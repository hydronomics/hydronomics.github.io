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Financial Summary - multi-year overview (USD)</t>
        </is>
      </c>
    </row>
    <row r="3">
      <c r="A3" s="2" t="inlineStr">
        <is>
          <t>Entity ID: cawc_0103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82112</v>
      </c>
      <c r="C10" s="9" t="n">
        <v>82237</v>
      </c>
      <c r="D10" s="9" t="n">
        <v>103148</v>
      </c>
      <c r="E10" s="9" t="n">
        <v>100532</v>
      </c>
      <c r="F10" s="9" t="n">
        <v>108431</v>
      </c>
      <c r="G10" s="9" t="n">
        <v>115214</v>
      </c>
    </row>
    <row r="11">
      <c r="A11" s="8" t="inlineStr">
        <is>
          <t xml:space="preserve">    Total expenses</t>
        </is>
      </c>
      <c r="B11" s="9" t="n">
        <v>152618</v>
      </c>
      <c r="C11" s="9" t="n">
        <v>158795</v>
      </c>
      <c r="D11" s="9" t="n">
        <v>182803</v>
      </c>
      <c r="E11" s="9" t="n">
        <v>176466</v>
      </c>
      <c r="F11" s="9" t="n">
        <v>182810</v>
      </c>
      <c r="G11" s="9" t="n">
        <v>186576</v>
      </c>
    </row>
    <row r="12">
      <c r="A12" s="10" t="inlineStr">
        <is>
          <t xml:space="preserve">    Net income</t>
        </is>
      </c>
      <c r="B12" s="11" t="n">
        <v>-70506</v>
      </c>
      <c r="C12" s="11" t="n">
        <v>-76558</v>
      </c>
      <c r="D12" s="11" t="n">
        <v>-79655</v>
      </c>
      <c r="E12" s="11" t="n">
        <v>-75934</v>
      </c>
      <c r="F12" s="11" t="n">
        <v>-74379</v>
      </c>
      <c r="G12" s="11" t="n">
        <v>-71362</v>
      </c>
    </row>
    <row r="14">
      <c r="A14" s="6" t="inlineStr">
        <is>
          <t>Financial position (USD, end of year)</t>
        </is>
      </c>
      <c r="B14" s="7" t="n"/>
      <c r="C14" s="7" t="n"/>
      <c r="D14" s="7" t="n"/>
      <c r="E14" s="7" t="n"/>
      <c r="F14" s="7" t="n"/>
      <c r="G14" s="7" t="n"/>
    </row>
    <row r="15">
      <c r="A15" s="8" t="inlineStr">
        <is>
          <t xml:space="preserve">    Total assets</t>
        </is>
      </c>
      <c r="B15" s="9" t="n">
        <v>2628949</v>
      </c>
      <c r="C15" s="9" t="n">
        <v>2552392</v>
      </c>
      <c r="D15" s="9" t="n">
        <v>2472736</v>
      </c>
      <c r="E15" s="9" t="n">
        <v>2396802</v>
      </c>
      <c r="F15" s="9" t="n">
        <v>2322423</v>
      </c>
      <c r="G15" s="9" t="n">
        <v>2251061</v>
      </c>
    </row>
    <row r="16">
      <c r="A16" s="8" t="inlineStr">
        <is>
          <t xml:space="preserve">    Total liabilities</t>
        </is>
      </c>
      <c r="B16" s="9" t="n">
        <v>1</v>
      </c>
      <c r="C16" s="9" t="n">
        <v>2</v>
      </c>
      <c r="D16" s="9" t="n">
        <v>1</v>
      </c>
      <c r="E16" s="9" t="n">
        <v>1</v>
      </c>
      <c r="F16" s="9" t="n">
        <v>1</v>
      </c>
      <c r="G16" s="9" t="n">
        <v>1</v>
      </c>
    </row>
    <row r="17">
      <c r="A17" s="10" t="inlineStr">
        <is>
          <t xml:space="preserve">    Net assets</t>
        </is>
      </c>
      <c r="B17" s="11" t="n">
        <v>2628948</v>
      </c>
      <c r="C17" s="11" t="n">
        <v>2552390</v>
      </c>
      <c r="D17" s="11" t="n">
        <v>2472735</v>
      </c>
      <c r="E17" s="11" t="n">
        <v>2396801</v>
      </c>
      <c r="F17" s="11" t="n">
        <v>2322422</v>
      </c>
      <c r="G17" s="11" t="n">
        <v>2251060</v>
      </c>
    </row>
    <row r="19">
      <c r="A19" s="6" t="inlineStr">
        <is>
          <t>Headline ratios</t>
        </is>
      </c>
      <c r="B19" s="7" t="n"/>
      <c r="C19" s="7" t="n"/>
      <c r="D19" s="7" t="n"/>
      <c r="E19" s="7" t="n"/>
      <c r="F19" s="7" t="n"/>
      <c r="G19" s="7" t="n"/>
    </row>
    <row r="20">
      <c r="A20" s="8" t="inlineStr">
        <is>
          <t xml:space="preserve">    Operating margin</t>
        </is>
      </c>
      <c r="B20" s="12" t="n">
        <v>-0.8586564692127825</v>
      </c>
      <c r="C20" s="12" t="n">
        <v>-0.9309434925884942</v>
      </c>
      <c r="D20" s="12" t="n">
        <v>-0.772239888315818</v>
      </c>
      <c r="E20" s="12" t="n">
        <v>-0.7553216886165599</v>
      </c>
      <c r="F20" s="12" t="n">
        <v>-0.6859569680257491</v>
      </c>
      <c r="G20" s="12" t="n">
        <v>-0.6193865328866284</v>
      </c>
    </row>
    <row r="21">
      <c r="A21" s="8" t="inlineStr">
        <is>
          <t xml:space="preserve">    Revenue growth (YoY)</t>
        </is>
      </c>
      <c r="B21" s="12" t="n">
        <v>0.005067443511469069</v>
      </c>
      <c r="C21" s="12" t="n">
        <v>0.001522310989867498</v>
      </c>
      <c r="D21" s="12" t="n">
        <v>0.2542772717876381</v>
      </c>
      <c r="E21" s="12" t="n">
        <v>-0.02536161631829992</v>
      </c>
      <c r="F21" s="12" t="n">
        <v>0.07857199697608722</v>
      </c>
      <c r="G21" s="12" t="n">
        <v>0.06255591113242523</v>
      </c>
    </row>
    <row r="22">
      <c r="A22" s="8" t="inlineStr">
        <is>
          <t xml:space="preserve">    Return on assets</t>
        </is>
      </c>
      <c r="B22" s="12" t="n">
        <v>-0.0268190824546235</v>
      </c>
      <c r="C22" s="12" t="n">
        <v>-0.02999460897855815</v>
      </c>
      <c r="D22" s="12" t="n">
        <v>-0.03221330542362792</v>
      </c>
      <c r="E22" s="12" t="n">
        <v>-0.03168138210832601</v>
      </c>
      <c r="F22" s="12" t="n">
        <v>-0.03202646546300997</v>
      </c>
      <c r="G22" s="12" t="n">
        <v>-0.03170149542815588</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Financial Statements - income statement, balance sheet, cash flow, member income test (USD)</t>
        </is>
      </c>
    </row>
    <row r="3">
      <c r="A3" s="2" t="inlineStr">
        <is>
          <t>Entity ID: cawc_0103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0</v>
      </c>
      <c r="C8" s="9" t="n">
        <v>0</v>
      </c>
      <c r="D8" s="9" t="n">
        <v>0</v>
      </c>
      <c r="E8" s="9" t="n">
        <v>0</v>
      </c>
      <c r="F8" s="9" t="n">
        <v>0</v>
      </c>
      <c r="G8" s="9" t="n">
        <v>0</v>
      </c>
    </row>
    <row r="9">
      <c r="A9" s="8" t="inlineStr">
        <is>
          <t xml:space="preserve">    Investment income</t>
        </is>
      </c>
      <c r="B9" s="9" t="n">
        <v>739</v>
      </c>
      <c r="C9" s="9" t="n">
        <v>585</v>
      </c>
      <c r="D9" s="9" t="n">
        <v>529</v>
      </c>
      <c r="E9" s="9" t="n">
        <v>6017</v>
      </c>
      <c r="F9" s="9" t="n">
        <v>9093</v>
      </c>
      <c r="G9" s="9" t="n">
        <v>7630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81373</v>
      </c>
      <c r="C12" s="9" t="n">
        <v>81652</v>
      </c>
      <c r="D12" s="9" t="n">
        <v>102619</v>
      </c>
      <c r="E12" s="9" t="n">
        <v>94515</v>
      </c>
      <c r="F12" s="9" t="n">
        <v>99338</v>
      </c>
      <c r="G12" s="9" t="n">
        <v>107584</v>
      </c>
    </row>
    <row r="13">
      <c r="A13" s="8" t="inlineStr">
        <is>
          <t xml:space="preserve">    Contributions &amp; grants</t>
        </is>
      </c>
      <c r="B13" s="9" t="n">
        <v>0</v>
      </c>
      <c r="C13" s="9" t="n">
        <v>0</v>
      </c>
      <c r="D13" s="9" t="n">
        <v>0</v>
      </c>
      <c r="E13" s="9" t="n">
        <v>0</v>
      </c>
      <c r="F13" s="9" t="n">
        <v>0</v>
      </c>
      <c r="G13" s="9" t="n">
        <v>0</v>
      </c>
    </row>
    <row r="14">
      <c r="A14" s="10" t="inlineStr">
        <is>
          <t>Total revenue</t>
        </is>
      </c>
      <c r="B14" s="11" t="n">
        <v>82112</v>
      </c>
      <c r="C14" s="11" t="n">
        <v>82237</v>
      </c>
      <c r="D14" s="11" t="n">
        <v>103148</v>
      </c>
      <c r="E14" s="11" t="n">
        <v>100532</v>
      </c>
      <c r="F14" s="11" t="n">
        <v>108431</v>
      </c>
      <c r="G14" s="11" t="n">
        <v>115214</v>
      </c>
    </row>
    <row r="16">
      <c r="A16" s="6" t="inlineStr">
        <is>
          <t>Expenses</t>
        </is>
      </c>
      <c r="B16" s="7" t="n"/>
      <c r="C16" s="7" t="n"/>
      <c r="D16" s="7" t="n"/>
      <c r="E16" s="7" t="n"/>
      <c r="F16" s="7" t="n"/>
      <c r="G16" s="7" t="n"/>
    </row>
    <row r="17">
      <c r="A17" s="8" t="inlineStr">
        <is>
          <t xml:space="preserve">    Depreciation</t>
        </is>
      </c>
      <c r="B17" s="9" t="n">
        <v>81352</v>
      </c>
      <c r="C17" s="9" t="n">
        <v>82656</v>
      </c>
      <c r="D17" s="9" t="n">
        <v>81116</v>
      </c>
      <c r="E17" s="9" t="n">
        <v>81115</v>
      </c>
      <c r="F17" s="9" t="n">
        <v>81115</v>
      </c>
      <c r="G17" s="9" t="n">
        <v>83922</v>
      </c>
    </row>
    <row r="18">
      <c r="A18" s="8" t="inlineStr">
        <is>
          <t xml:space="preserve">    Interest expense</t>
        </is>
      </c>
      <c r="B18" s="9" t="n">
        <v>0</v>
      </c>
      <c r="C18" s="9" t="n">
        <v>0</v>
      </c>
      <c r="D18" s="9" t="n">
        <v>0</v>
      </c>
      <c r="E18" s="9" t="n">
        <v>0</v>
      </c>
      <c r="F18" s="9" t="n">
        <v>0</v>
      </c>
      <c r="G18" s="9" t="n">
        <v>0</v>
      </c>
    </row>
    <row r="19">
      <c r="A19" s="10" t="inlineStr">
        <is>
          <t>Total expenses</t>
        </is>
      </c>
      <c r="B19" s="11" t="n">
        <v>152618</v>
      </c>
      <c r="C19" s="11" t="n">
        <v>158795</v>
      </c>
      <c r="D19" s="11" t="n">
        <v>182803</v>
      </c>
      <c r="E19" s="11" t="n">
        <v>176466</v>
      </c>
      <c r="F19" s="11" t="n">
        <v>182810</v>
      </c>
      <c r="G19" s="11" t="n">
        <v>186576</v>
      </c>
    </row>
    <row r="21">
      <c r="A21" s="10" t="inlineStr">
        <is>
          <t>Net income</t>
        </is>
      </c>
      <c r="B21" s="11" t="n">
        <v>-70506</v>
      </c>
      <c r="C21" s="11" t="n">
        <v>-76558</v>
      </c>
      <c r="D21" s="11" t="n">
        <v>-79655</v>
      </c>
      <c r="E21" s="11" t="n">
        <v>-75934</v>
      </c>
      <c r="F21" s="11" t="n">
        <v>-74379</v>
      </c>
      <c r="G21" s="11" t="n">
        <v>-71362</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224088</v>
      </c>
      <c r="C27" s="9" t="n">
        <v>10199</v>
      </c>
      <c r="D27" s="9" t="n">
        <v>10911</v>
      </c>
      <c r="E27" s="9" t="n">
        <v>1267</v>
      </c>
      <c r="F27" s="9" t="n">
        <v>9514</v>
      </c>
      <c r="G27" s="9" t="n">
        <v>8297</v>
      </c>
    </row>
    <row r="28">
      <c r="A28" s="8" t="inlineStr">
        <is>
          <t xml:space="preserve">    Savings &amp; temporary investments</t>
        </is>
      </c>
      <c r="B28" s="9" t="n">
        <v>0</v>
      </c>
      <c r="C28" s="9" t="n">
        <v>219028</v>
      </c>
      <c r="D28" s="9" t="n">
        <v>219557</v>
      </c>
      <c r="E28" s="9" t="n">
        <v>218184</v>
      </c>
      <c r="F28" s="9" t="n">
        <v>203246</v>
      </c>
      <c r="G28" s="9" t="n">
        <v>209626</v>
      </c>
    </row>
    <row r="29">
      <c r="A29" s="8" t="inlineStr">
        <is>
          <t xml:space="preserve">    Accounts receivable</t>
        </is>
      </c>
      <c r="B29" s="9" t="n">
        <v>13171</v>
      </c>
      <c r="C29" s="9" t="n">
        <v>14131</v>
      </c>
      <c r="D29" s="9" t="n">
        <v>14349</v>
      </c>
      <c r="E29" s="9" t="n">
        <v>15815</v>
      </c>
      <c r="F29" s="9" t="n">
        <v>15903</v>
      </c>
      <c r="G29" s="9" t="n">
        <v>16174</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3195810</v>
      </c>
      <c r="C32" s="9" t="n">
        <v>3195810</v>
      </c>
      <c r="D32" s="9" t="n">
        <v>3195810</v>
      </c>
      <c r="E32" s="9" t="n">
        <v>3210542</v>
      </c>
      <c r="F32" s="9" t="n">
        <v>3223882</v>
      </c>
      <c r="G32" s="9" t="n">
        <v>3231007</v>
      </c>
    </row>
    <row r="33">
      <c r="A33" s="8" t="inlineStr">
        <is>
          <t xml:space="preserve">    Less: accumulated depreciation</t>
        </is>
      </c>
      <c r="B33" s="9" t="n">
        <v>-804120</v>
      </c>
      <c r="C33" s="9" t="n">
        <v>-886776</v>
      </c>
      <c r="D33" s="9" t="n">
        <v>-967891</v>
      </c>
      <c r="E33" s="9" t="n">
        <v>-1049006</v>
      </c>
      <c r="F33" s="9" t="n">
        <v>-1130122</v>
      </c>
      <c r="G33" s="9" t="n">
        <v>-1214044</v>
      </c>
    </row>
    <row r="34">
      <c r="A34" s="10" t="inlineStr">
        <is>
          <t xml:space="preserve">    Net property, plant &amp; equipment</t>
        </is>
      </c>
      <c r="B34" s="11" t="n">
        <v>2391690</v>
      </c>
      <c r="C34" s="11" t="n">
        <v>2309034</v>
      </c>
      <c r="D34" s="11" t="n">
        <v>2227919</v>
      </c>
      <c r="E34" s="11" t="n">
        <v>2161536</v>
      </c>
      <c r="F34" s="11" t="n">
        <v>2093760</v>
      </c>
      <c r="G34" s="11" t="n">
        <v>2016963</v>
      </c>
    </row>
    <row r="35">
      <c r="A35" s="10" t="inlineStr">
        <is>
          <t>Total assets</t>
        </is>
      </c>
      <c r="B35" s="11" t="n">
        <v>2628949</v>
      </c>
      <c r="C35" s="11" t="n">
        <v>2552392</v>
      </c>
      <c r="D35" s="11" t="n">
        <v>2472736</v>
      </c>
      <c r="E35" s="11" t="n">
        <v>2396802</v>
      </c>
      <c r="F35" s="11" t="n">
        <v>2322423</v>
      </c>
      <c r="G35" s="11" t="n">
        <v>2251061</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1</v>
      </c>
      <c r="C40" s="11" t="n">
        <v>2</v>
      </c>
      <c r="D40" s="11" t="n">
        <v>1</v>
      </c>
      <c r="E40" s="11" t="n">
        <v>1</v>
      </c>
      <c r="F40" s="11" t="n">
        <v>1</v>
      </c>
      <c r="G40" s="11" t="n">
        <v>1</v>
      </c>
    </row>
    <row r="42">
      <c r="A42" s="6" t="inlineStr">
        <is>
          <t>Net Assets / Equity</t>
        </is>
      </c>
      <c r="B42" s="7" t="n"/>
      <c r="C42" s="7" t="n"/>
      <c r="D42" s="7" t="n"/>
      <c r="E42" s="7" t="n"/>
      <c r="F42" s="7" t="n"/>
      <c r="G42" s="7" t="n"/>
    </row>
    <row r="43">
      <c r="A43" s="8" t="inlineStr">
        <is>
          <t xml:space="preserve">    Capital stock</t>
        </is>
      </c>
      <c r="B43" s="9" t="n">
        <v>10000</v>
      </c>
      <c r="C43" s="9" t="n">
        <v>10000</v>
      </c>
      <c r="D43" s="9" t="n">
        <v>10000</v>
      </c>
      <c r="E43" s="9" t="n">
        <v>10000</v>
      </c>
      <c r="F43" s="9" t="n">
        <v>10000</v>
      </c>
      <c r="G43" s="9" t="n">
        <v>10000</v>
      </c>
    </row>
    <row r="44">
      <c r="A44" s="8" t="inlineStr">
        <is>
          <t xml:space="preserve">    Paid-in capital</t>
        </is>
      </c>
      <c r="B44" s="9" t="n">
        <v>2473042</v>
      </c>
      <c r="C44" s="9" t="n">
        <v>2473042</v>
      </c>
      <c r="D44" s="9" t="n">
        <v>2473042</v>
      </c>
      <c r="E44" s="9" t="n">
        <v>2473042</v>
      </c>
      <c r="F44" s="9" t="n">
        <v>2473042</v>
      </c>
      <c r="G44" s="9" t="n">
        <v>2473042</v>
      </c>
    </row>
    <row r="45">
      <c r="A45" s="8" t="inlineStr">
        <is>
          <t xml:space="preserve">    Retained earnings</t>
        </is>
      </c>
      <c r="B45" s="9" t="n">
        <v>145906</v>
      </c>
      <c r="C45" s="9" t="n">
        <v>69348</v>
      </c>
      <c r="D45" s="9" t="n">
        <v>-10307</v>
      </c>
      <c r="E45" s="9" t="n">
        <v>-86241</v>
      </c>
      <c r="F45" s="9" t="n">
        <v>-160620</v>
      </c>
      <c r="G45" s="9" t="n">
        <v>-231982</v>
      </c>
    </row>
    <row r="46">
      <c r="A46" s="10" t="inlineStr">
        <is>
          <t>Net assets</t>
        </is>
      </c>
      <c r="B46" s="11" t="n">
        <v>2628948</v>
      </c>
      <c r="C46" s="11" t="n">
        <v>2552390</v>
      </c>
      <c r="D46" s="11" t="n">
        <v>2472735</v>
      </c>
      <c r="E46" s="11" t="n">
        <v>2396801</v>
      </c>
      <c r="F46" s="11" t="n">
        <v>2322422</v>
      </c>
      <c r="G46" s="11" t="n">
        <v>2251060</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-70506</v>
      </c>
      <c r="C52" s="9" t="n">
        <v>-76558</v>
      </c>
      <c r="D52" s="9" t="n">
        <v>-79655</v>
      </c>
      <c r="E52" s="9" t="n">
        <v>-75934</v>
      </c>
      <c r="F52" s="9" t="n">
        <v>-74379</v>
      </c>
      <c r="G52" s="9" t="n">
        <v>-71362</v>
      </c>
    </row>
    <row r="53">
      <c r="A53" s="8" t="inlineStr">
        <is>
          <t xml:space="preserve">    + Depreciation (reported)</t>
        </is>
      </c>
      <c r="B53" s="9" t="n">
        <v>81352</v>
      </c>
      <c r="C53" s="9" t="n">
        <v>82656</v>
      </c>
      <c r="D53" s="9" t="n">
        <v>81116</v>
      </c>
      <c r="E53" s="9" t="n">
        <v>81115</v>
      </c>
      <c r="F53" s="9" t="n">
        <v>81115</v>
      </c>
      <c r="G53" s="9" t="n">
        <v>83922</v>
      </c>
    </row>
    <row r="54">
      <c r="A54" s="8" t="inlineStr">
        <is>
          <t xml:space="preserve">    − Δ Accounts receivable</t>
        </is>
      </c>
      <c r="B54" s="9" t="n"/>
      <c r="C54" s="9" t="n">
        <v>-960</v>
      </c>
      <c r="D54" s="9" t="n">
        <v>-218</v>
      </c>
      <c r="E54" s="9" t="n">
        <v>-1466</v>
      </c>
      <c r="F54" s="9" t="n">
        <v>-88</v>
      </c>
      <c r="G54" s="9" t="n">
        <v>-271</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5138</v>
      </c>
      <c r="D58" s="11" t="n">
        <v>1243</v>
      </c>
      <c r="E58" s="11" t="n">
        <v>3715</v>
      </c>
      <c r="F58" s="11" t="n">
        <v>6648</v>
      </c>
      <c r="G58" s="11" t="n">
        <v>12289</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-14732</v>
      </c>
      <c r="F61" s="9" t="n">
        <v>-13340</v>
      </c>
      <c r="G61" s="9" t="n">
        <v>-7125</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5139</v>
      </c>
      <c r="D67" s="11" t="n">
        <v>1241</v>
      </c>
      <c r="E67" s="11" t="n">
        <v>-11017</v>
      </c>
      <c r="F67" s="11" t="n">
        <v>-6691</v>
      </c>
      <c r="G67" s="11" t="n">
        <v>5163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Balance Sheet - as reported (USD, end of year)</t>
        </is>
      </c>
    </row>
    <row r="3">
      <c r="A3" s="2" t="inlineStr">
        <is>
          <t>Entity ID: cawc_0103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224088</v>
      </c>
      <c r="C7" s="9" t="n">
        <v>10199</v>
      </c>
      <c r="D7" s="9" t="n">
        <v>10911</v>
      </c>
      <c r="E7" s="9" t="n">
        <v>1267</v>
      </c>
      <c r="F7" s="9" t="n">
        <v>9514</v>
      </c>
      <c r="G7" s="9" t="n">
        <v>8297</v>
      </c>
    </row>
    <row r="8">
      <c r="A8" s="8" t="inlineStr">
        <is>
          <t xml:space="preserve">    Savings &amp; temporary investments</t>
        </is>
      </c>
      <c r="B8" s="9" t="n">
        <v>0</v>
      </c>
      <c r="C8" s="9" t="n">
        <v>219028</v>
      </c>
      <c r="D8" s="9" t="n">
        <v>219557</v>
      </c>
      <c r="E8" s="9" t="n">
        <v>218184</v>
      </c>
      <c r="F8" s="9" t="n">
        <v>203246</v>
      </c>
      <c r="G8" s="9" t="n">
        <v>209626</v>
      </c>
    </row>
    <row r="9">
      <c r="A9" s="8" t="inlineStr">
        <is>
          <t xml:space="preserve">    Accounts receivable</t>
        </is>
      </c>
      <c r="B9" s="9" t="n">
        <v>13171</v>
      </c>
      <c r="C9" s="9" t="n">
        <v>14131</v>
      </c>
      <c r="D9" s="9" t="n">
        <v>14349</v>
      </c>
      <c r="E9" s="9" t="n">
        <v>15815</v>
      </c>
      <c r="F9" s="9" t="n">
        <v>15903</v>
      </c>
      <c r="G9" s="9" t="n">
        <v>16174</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3195810</v>
      </c>
      <c r="C12" s="9" t="n">
        <v>3195810</v>
      </c>
      <c r="D12" s="9" t="n">
        <v>3195810</v>
      </c>
      <c r="E12" s="9" t="n">
        <v>3210542</v>
      </c>
      <c r="F12" s="9" t="n">
        <v>3223882</v>
      </c>
      <c r="G12" s="9" t="n">
        <v>3231007</v>
      </c>
    </row>
    <row r="13">
      <c r="A13" s="8" t="inlineStr">
        <is>
          <t xml:space="preserve">    Less: accumulated depreciation</t>
        </is>
      </c>
      <c r="B13" s="9" t="n">
        <v>-804120</v>
      </c>
      <c r="C13" s="9" t="n">
        <v>-886776</v>
      </c>
      <c r="D13" s="9" t="n">
        <v>-967891</v>
      </c>
      <c r="E13" s="9" t="n">
        <v>-1049006</v>
      </c>
      <c r="F13" s="9" t="n">
        <v>-1130122</v>
      </c>
      <c r="G13" s="9" t="n">
        <v>-1214044</v>
      </c>
    </row>
    <row r="14">
      <c r="A14" s="10" t="inlineStr">
        <is>
          <t xml:space="preserve">    Net property, plant &amp; equipment</t>
        </is>
      </c>
      <c r="B14" s="11" t="n">
        <v>2391690</v>
      </c>
      <c r="C14" s="11" t="n">
        <v>2309034</v>
      </c>
      <c r="D14" s="11" t="n">
        <v>2227919</v>
      </c>
      <c r="E14" s="11" t="n">
        <v>2161536</v>
      </c>
      <c r="F14" s="11" t="n">
        <v>2093760</v>
      </c>
      <c r="G14" s="11" t="n">
        <v>2016963</v>
      </c>
    </row>
    <row r="15">
      <c r="A15" s="10" t="inlineStr">
        <is>
          <t>Total assets</t>
        </is>
      </c>
      <c r="B15" s="11" t="n">
        <v>2628949</v>
      </c>
      <c r="C15" s="11" t="n">
        <v>2552392</v>
      </c>
      <c r="D15" s="11" t="n">
        <v>2472736</v>
      </c>
      <c r="E15" s="11" t="n">
        <v>2396802</v>
      </c>
      <c r="F15" s="11" t="n">
        <v>2322423</v>
      </c>
      <c r="G15" s="11" t="n">
        <v>2251061</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1</v>
      </c>
      <c r="C20" s="11" t="n">
        <v>2</v>
      </c>
      <c r="D20" s="11" t="n">
        <v>1</v>
      </c>
      <c r="E20" s="11" t="n">
        <v>1</v>
      </c>
      <c r="F20" s="11" t="n">
        <v>1</v>
      </c>
      <c r="G20" s="11" t="n">
        <v>1</v>
      </c>
    </row>
    <row r="22">
      <c r="A22" s="6" t="inlineStr">
        <is>
          <t>Net Assets / Equity</t>
        </is>
      </c>
      <c r="B22" s="7" t="n"/>
      <c r="C22" s="7" t="n"/>
      <c r="D22" s="7" t="n"/>
      <c r="E22" s="7" t="n"/>
      <c r="F22" s="7" t="n"/>
      <c r="G22" s="7" t="n"/>
    </row>
    <row r="23">
      <c r="A23" s="8" t="inlineStr">
        <is>
          <t xml:space="preserve">    Capital stock</t>
        </is>
      </c>
      <c r="B23" s="9" t="n">
        <v>10000</v>
      </c>
      <c r="C23" s="9" t="n">
        <v>10000</v>
      </c>
      <c r="D23" s="9" t="n">
        <v>10000</v>
      </c>
      <c r="E23" s="9" t="n">
        <v>10000</v>
      </c>
      <c r="F23" s="9" t="n">
        <v>10000</v>
      </c>
      <c r="G23" s="9" t="n">
        <v>10000</v>
      </c>
    </row>
    <row r="24">
      <c r="A24" s="8" t="inlineStr">
        <is>
          <t xml:space="preserve">    Paid-in capital</t>
        </is>
      </c>
      <c r="B24" s="9" t="n">
        <v>2473042</v>
      </c>
      <c r="C24" s="9" t="n">
        <v>2473042</v>
      </c>
      <c r="D24" s="9" t="n">
        <v>2473042</v>
      </c>
      <c r="E24" s="9" t="n">
        <v>2473042</v>
      </c>
      <c r="F24" s="9" t="n">
        <v>2473042</v>
      </c>
      <c r="G24" s="9" t="n">
        <v>2473042</v>
      </c>
    </row>
    <row r="25">
      <c r="A25" s="8" t="inlineStr">
        <is>
          <t xml:space="preserve">    Retained earnings</t>
        </is>
      </c>
      <c r="B25" s="9" t="n">
        <v>145906</v>
      </c>
      <c r="C25" s="9" t="n">
        <v>69348</v>
      </c>
      <c r="D25" s="9" t="n">
        <v>-10307</v>
      </c>
      <c r="E25" s="9" t="n">
        <v>-86241</v>
      </c>
      <c r="F25" s="9" t="n">
        <v>-160620</v>
      </c>
      <c r="G25" s="9" t="n">
        <v>-231982</v>
      </c>
    </row>
    <row r="26">
      <c r="A26" s="10" t="inlineStr">
        <is>
          <t>Net assets</t>
        </is>
      </c>
      <c r="B26" s="11" t="n">
        <v>2628948</v>
      </c>
      <c r="C26" s="11" t="n">
        <v>2552390</v>
      </c>
      <c r="D26" s="11" t="n">
        <v>2472735</v>
      </c>
      <c r="E26" s="11" t="n">
        <v>2396801</v>
      </c>
      <c r="F26" s="11" t="n">
        <v>2322422</v>
      </c>
      <c r="G26" s="11" t="n">
        <v>2251060</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Farmington Water Company</t>
        </is>
      </c>
    </row>
    <row r="2">
      <c r="A2" s="2" t="inlineStr">
        <is>
          <t>Officers, Directors &amp; Contractors - Form 990 Part VII (FY2025; USD)</t>
        </is>
      </c>
    </row>
    <row r="3">
      <c r="A3" s="2" t="inlineStr">
        <is>
          <t>Entity ID: cawc_0103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LINDA HARP</t>
        </is>
      </c>
      <c r="B7" s="8" t="inlineStr">
        <is>
          <t>Vice President</t>
        </is>
      </c>
      <c r="C7" s="9" t="n">
        <v>0</v>
      </c>
      <c r="D7" s="9" t="n">
        <v>0</v>
      </c>
      <c r="E7" s="9" t="n">
        <v>0</v>
      </c>
      <c r="F7" s="9" t="n">
        <v>0</v>
      </c>
    </row>
    <row r="8">
      <c r="A8" s="8" t="inlineStr">
        <is>
          <t>BILL BLACKMORE</t>
        </is>
      </c>
      <c r="B8" s="8" t="inlineStr">
        <is>
          <t>Director</t>
        </is>
      </c>
      <c r="C8" s="9" t="n">
        <v>0</v>
      </c>
      <c r="D8" s="9" t="n">
        <v>0</v>
      </c>
      <c r="E8" s="9" t="n">
        <v>0</v>
      </c>
      <c r="F8" s="9" t="n">
        <v>0</v>
      </c>
    </row>
    <row r="9">
      <c r="A9" s="8" t="inlineStr">
        <is>
          <t>MIKE CAMPOY</t>
        </is>
      </c>
      <c r="B9" s="8" t="inlineStr">
        <is>
          <t>Director</t>
        </is>
      </c>
      <c r="C9" s="9" t="n">
        <v>0</v>
      </c>
      <c r="D9" s="9" t="n">
        <v>0</v>
      </c>
      <c r="E9" s="9" t="n">
        <v>0</v>
      </c>
      <c r="F9" s="9" t="n">
        <v>0</v>
      </c>
    </row>
    <row r="10">
      <c r="A10" s="8" t="inlineStr">
        <is>
          <t>RANDY SAKAKURA</t>
        </is>
      </c>
      <c r="B10" s="8" t="inlineStr">
        <is>
          <t>Director</t>
        </is>
      </c>
      <c r="C10" s="9" t="n">
        <v>0</v>
      </c>
      <c r="D10" s="9" t="n">
        <v>0</v>
      </c>
      <c r="E10" s="9" t="n">
        <v>0</v>
      </c>
      <c r="F10" s="9" t="n">
        <v>0</v>
      </c>
    </row>
    <row r="11">
      <c r="A11" s="8" t="inlineStr">
        <is>
          <t>KEN CAMPOY</t>
        </is>
      </c>
      <c r="B11" s="8" t="inlineStr">
        <is>
          <t>Director</t>
        </is>
      </c>
      <c r="C11" s="9" t="n">
        <v>0</v>
      </c>
      <c r="D11" s="9" t="n">
        <v>0</v>
      </c>
      <c r="E11" s="9" t="n">
        <v>0</v>
      </c>
      <c r="F11" s="9" t="n">
        <v>0</v>
      </c>
    </row>
    <row r="12">
      <c r="A12" s="8" t="inlineStr">
        <is>
          <t>KATE POWELL</t>
        </is>
      </c>
      <c r="B12" s="8" t="inlineStr">
        <is>
          <t>Director</t>
        </is>
      </c>
      <c r="C12" s="9" t="n">
        <v>0</v>
      </c>
      <c r="D12" s="9" t="n">
        <v>0</v>
      </c>
      <c r="E12" s="9" t="n">
        <v>0</v>
      </c>
      <c r="F12" s="9" t="n">
        <v>0</v>
      </c>
    </row>
    <row r="13">
      <c r="A13" s="8" t="inlineStr">
        <is>
          <t>LES STROJAN</t>
        </is>
      </c>
      <c r="B13" s="8" t="inlineStr">
        <is>
          <t>President</t>
        </is>
      </c>
      <c r="C13" s="9" t="n">
        <v>0</v>
      </c>
      <c r="D13" s="9" t="n">
        <v>0</v>
      </c>
      <c r="E13" s="9" t="n">
        <v>0</v>
      </c>
      <c r="F13" s="9" t="n">
        <v>0</v>
      </c>
    </row>
    <row r="14">
      <c r="A14" s="8" t="inlineStr">
        <is>
          <t>MARY ANNE STROJAN</t>
        </is>
      </c>
      <c r="B14" s="8" t="inlineStr">
        <is>
          <t>Treasurer</t>
        </is>
      </c>
      <c r="C14" s="9" t="n">
        <v>0</v>
      </c>
      <c r="D14" s="9" t="n">
        <v>0</v>
      </c>
      <c r="E14" s="9" t="n">
        <v>0</v>
      </c>
      <c r="F14" s="9" t="n">
        <v>0</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Revenue - Form 990 Part VIII (USD)</t>
        </is>
      </c>
    </row>
    <row r="3">
      <c r="A3" s="2" t="inlineStr">
        <is>
          <t>Entity ID: cawc_0103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0</v>
      </c>
      <c r="C8" s="9" t="n">
        <v>0</v>
      </c>
      <c r="D8" s="9" t="n">
        <v>0</v>
      </c>
      <c r="E8" s="9" t="n">
        <v>0</v>
      </c>
      <c r="F8" s="9" t="n">
        <v>0</v>
      </c>
      <c r="G8" s="9" t="n">
        <v>0</v>
      </c>
    </row>
    <row r="9">
      <c r="A9" s="8" t="inlineStr">
        <is>
          <t xml:space="preserve">    3. Investment income</t>
        </is>
      </c>
      <c r="B9" s="9" t="n">
        <v>739</v>
      </c>
      <c r="C9" s="9" t="n">
        <v>585</v>
      </c>
      <c r="D9" s="9" t="n">
        <v>529</v>
      </c>
      <c r="E9" s="9" t="n">
        <v>6017</v>
      </c>
      <c r="F9" s="9" t="n">
        <v>9093</v>
      </c>
      <c r="G9" s="9" t="n">
        <v>7630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81373</v>
      </c>
      <c r="C12" s="9" t="n">
        <v>81652</v>
      </c>
      <c r="D12" s="9" t="n">
        <v>102619</v>
      </c>
      <c r="E12" s="9" t="n">
        <v>94515</v>
      </c>
      <c r="F12" s="9" t="n">
        <v>99338</v>
      </c>
      <c r="G12" s="9" t="n">
        <v>107584</v>
      </c>
    </row>
    <row r="13">
      <c r="A13" s="10" t="inlineStr">
        <is>
          <t>12. Total revenue</t>
        </is>
      </c>
      <c r="B13" s="11">
        <f>SUM(B7:B12)</f>
        <v/>
      </c>
      <c r="C13" s="11">
        <f>SUM(C7:C12)</f>
        <v/>
      </c>
      <c r="D13" s="11">
        <f>SUM(D7:D12)</f>
        <v/>
      </c>
      <c r="E13" s="11">
        <f>SUM(E7:E12)</f>
        <v/>
      </c>
      <c r="F13" s="11">
        <f>SUM(F7:F12)</f>
        <v/>
      </c>
      <c r="G13" s="11">
        <f>SUM(G7:G12)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Farmington Water Company</t>
        </is>
      </c>
    </row>
    <row r="2">
      <c r="A2" s="2" t="inlineStr">
        <is>
          <t>Statement of Functional Expenses - Form 990 Part IX (USD)</t>
        </is>
      </c>
    </row>
    <row r="3">
      <c r="A3" s="2" t="inlineStr">
        <is>
          <t>Entity ID: cawc_0103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0</v>
      </c>
      <c r="C13" s="9" t="n">
        <v>0</v>
      </c>
      <c r="D13" s="9" t="n">
        <v>0</v>
      </c>
      <c r="E13" s="9" t="n">
        <v>0</v>
      </c>
      <c r="F13" s="9" t="n">
        <v>0</v>
      </c>
      <c r="G13" s="9" t="n">
        <v>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0</v>
      </c>
      <c r="C15" s="9" t="n">
        <v>0</v>
      </c>
      <c r="D15" s="9" t="n">
        <v>0</v>
      </c>
      <c r="E15" s="9" t="n">
        <v>0</v>
      </c>
      <c r="F15" s="9" t="n">
        <v>0</v>
      </c>
      <c r="G15" s="9" t="n">
        <v>0</v>
      </c>
    </row>
    <row r="16">
      <c r="A16" s="8" t="inlineStr">
        <is>
          <t xml:space="preserve">    10. Payroll taxes</t>
        </is>
      </c>
      <c r="B16" s="9" t="n">
        <v>0</v>
      </c>
      <c r="C16" s="9" t="n">
        <v>0</v>
      </c>
      <c r="D16" s="9" t="n">
        <v>0</v>
      </c>
      <c r="E16" s="9" t="n">
        <v>0</v>
      </c>
      <c r="F16" s="9" t="n">
        <v>0</v>
      </c>
      <c r="G16" s="9" t="n">
        <v>0</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2095</v>
      </c>
      <c r="G18" s="9" t="n">
        <v>282</v>
      </c>
    </row>
    <row r="19">
      <c r="A19" s="8" t="inlineStr">
        <is>
          <t xml:space="preserve">    11c. Fees for services: accounting</t>
        </is>
      </c>
      <c r="B19" s="9" t="n">
        <v>4445</v>
      </c>
      <c r="C19" s="9" t="n">
        <v>4445</v>
      </c>
      <c r="D19" s="9" t="n">
        <v>4575</v>
      </c>
      <c r="E19" s="9" t="n">
        <v>5225</v>
      </c>
      <c r="F19" s="9" t="n">
        <v>5225</v>
      </c>
      <c r="G19" s="9" t="n">
        <v>5225</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11</v>
      </c>
      <c r="C23" s="9" t="n">
        <v>55</v>
      </c>
      <c r="D23" s="9" t="n">
        <v>2280</v>
      </c>
      <c r="E23" s="9" t="n">
        <v>3345</v>
      </c>
      <c r="F23" s="9" t="n">
        <v>3082</v>
      </c>
      <c r="G23" s="9" t="n">
        <v>2205</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365</v>
      </c>
      <c r="C25" s="9" t="n">
        <v>607</v>
      </c>
      <c r="D25" s="9" t="n">
        <v>2488</v>
      </c>
      <c r="E25" s="9" t="n">
        <v>1026</v>
      </c>
      <c r="F25" s="9" t="n">
        <v>1719</v>
      </c>
      <c r="G25" s="9" t="n">
        <v>2686</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0</v>
      </c>
      <c r="F32" s="9" t="n">
        <v>0</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81352</v>
      </c>
      <c r="C34" s="9" t="n">
        <v>82656</v>
      </c>
      <c r="D34" s="9" t="n">
        <v>81116</v>
      </c>
      <c r="E34" s="9" t="n">
        <v>81115</v>
      </c>
      <c r="F34" s="9" t="n">
        <v>81115</v>
      </c>
      <c r="G34" s="9" t="n">
        <v>83922</v>
      </c>
    </row>
    <row r="35">
      <c r="A35" s="8" t="inlineStr">
        <is>
          <t xml:space="preserve">    23. Insurance</t>
        </is>
      </c>
      <c r="B35" s="9" t="n">
        <v>3682</v>
      </c>
      <c r="C35" s="9" t="n">
        <v>4169</v>
      </c>
      <c r="D35" s="9" t="n">
        <v>4364</v>
      </c>
      <c r="E35" s="9" t="n">
        <v>4768</v>
      </c>
      <c r="F35" s="9" t="n">
        <v>5483</v>
      </c>
      <c r="G35" s="9" t="n">
        <v>5838</v>
      </c>
    </row>
    <row r="36">
      <c r="A36" s="8" t="inlineStr">
        <is>
          <t xml:space="preserve">    24. CONTRACT SERVICES</t>
        </is>
      </c>
      <c r="B36" s="9" t="n">
        <v>39000</v>
      </c>
      <c r="C36" s="9" t="n">
        <v>40575</v>
      </c>
      <c r="D36" s="9" t="n">
        <v>45480</v>
      </c>
      <c r="E36" s="9" t="n">
        <v>45540</v>
      </c>
      <c r="F36" s="9" t="n">
        <v>43383</v>
      </c>
      <c r="G36" s="9" t="n">
        <v>40391</v>
      </c>
    </row>
    <row r="37">
      <c r="A37" s="8" t="inlineStr">
        <is>
          <t xml:space="preserve">    24. UTILITIES</t>
        </is>
      </c>
      <c r="B37" s="9" t="n">
        <v>12319</v>
      </c>
      <c r="C37" s="9" t="n">
        <v>13292</v>
      </c>
      <c r="D37" s="9" t="n">
        <v>18744</v>
      </c>
      <c r="E37" s="9" t="n">
        <v>19146</v>
      </c>
      <c r="F37" s="9" t="n">
        <v>24016</v>
      </c>
      <c r="G37" s="9" t="n">
        <v>24464</v>
      </c>
    </row>
    <row r="38">
      <c r="A38" s="8" t="inlineStr">
        <is>
          <t xml:space="preserve">    24. WATER TESTS, PERMITS</t>
        </is>
      </c>
      <c r="B38" s="9" t="n">
        <v>4266</v>
      </c>
      <c r="C38" s="9" t="n">
        <v>3331</v>
      </c>
      <c r="D38" s="9" t="n">
        <v>5915</v>
      </c>
      <c r="E38" s="9" t="n">
        <v>7713</v>
      </c>
      <c r="F38" s="9" t="n">
        <v>7168</v>
      </c>
      <c r="G38" s="9" t="n">
        <v>7000</v>
      </c>
    </row>
    <row r="39">
      <c r="A39" s="8" t="inlineStr">
        <is>
          <t xml:space="preserve">    24. PROPERTY TAXES</t>
        </is>
      </c>
      <c r="B39" s="9" t="n">
        <v>1931</v>
      </c>
      <c r="C39" s="14" t="inlineStr">
        <is>
          <t>not reported</t>
        </is>
      </c>
      <c r="D39" s="14" t="inlineStr">
        <is>
          <t>not reported</t>
        </is>
      </c>
      <c r="E39" s="14" t="inlineStr">
        <is>
          <t>not reported</t>
        </is>
      </c>
      <c r="F39" s="9" t="n">
        <v>3063</v>
      </c>
      <c r="G39" s="14" t="inlineStr">
        <is>
          <t>not reported</t>
        </is>
      </c>
    </row>
    <row r="40">
      <c r="A40" s="8" t="inlineStr">
        <is>
          <t xml:space="preserve">    24. REPAIRS, SUPPLIES</t>
        </is>
      </c>
      <c r="B40" s="14" t="inlineStr">
        <is>
          <t>not reported</t>
        </is>
      </c>
      <c r="C40" s="9" t="n">
        <v>3211</v>
      </c>
      <c r="D40" s="9" t="n">
        <v>12200</v>
      </c>
      <c r="E40" s="9" t="n">
        <v>3947</v>
      </c>
      <c r="F40" s="14" t="inlineStr">
        <is>
          <t>not reported</t>
        </is>
      </c>
      <c r="G40" s="9" t="n">
        <v>7922</v>
      </c>
    </row>
    <row r="41">
      <c r="A41" s="8" t="inlineStr">
        <is>
          <t xml:space="preserve">    24e. All other expenses</t>
        </is>
      </c>
      <c r="B41" s="9" t="n">
        <v>5247</v>
      </c>
      <c r="C41" s="9" t="n">
        <v>6454</v>
      </c>
      <c r="D41" s="9" t="n">
        <v>5641</v>
      </c>
      <c r="E41" s="9" t="n">
        <v>4641</v>
      </c>
      <c r="F41" s="9" t="n">
        <v>6461</v>
      </c>
      <c r="G41" s="9" t="n">
        <v>6641</v>
      </c>
    </row>
    <row r="42">
      <c r="A42" s="10" t="inlineStr">
        <is>
          <t>25. Total functional expenses</t>
        </is>
      </c>
      <c r="B42" s="11">
        <f>SUM(B7:B41)</f>
        <v/>
      </c>
      <c r="C42" s="11">
        <f>SUM(C7:C41)</f>
        <v/>
      </c>
      <c r="D42" s="11">
        <f>SUM(D7:D41)</f>
        <v/>
      </c>
      <c r="E42" s="11">
        <f>SUM(E7:E41)</f>
        <v/>
      </c>
      <c r="F42" s="11">
        <f>SUM(F7:F41)</f>
        <v/>
      </c>
      <c r="G42" s="11">
        <f>SUM(G7:G41)</f>
        <v/>
      </c>
    </row>
    <row r="44">
      <c r="A44" s="6" t="inlineStr">
        <is>
          <t>Functional column split - FY2025 (col A = B + C + D)</t>
        </is>
      </c>
      <c r="B44" s="7" t="n"/>
      <c r="C44" s="7" t="n"/>
      <c r="D44" s="7" t="n"/>
      <c r="E44" s="7" t="n"/>
      <c r="F44" s="7" t="n"/>
      <c r="G44" s="7" t="n"/>
    </row>
    <row r="45">
      <c r="A45" s="5" t="inlineStr">
        <is>
          <t>Part IX line</t>
        </is>
      </c>
      <c r="B45" s="5" t="inlineStr">
        <is>
          <t>A. Total</t>
        </is>
      </c>
      <c r="C45" s="5" t="inlineStr">
        <is>
          <t>B. Program services</t>
        </is>
      </c>
      <c r="D45" s="5" t="inlineStr">
        <is>
          <t>C. Management &amp; general</t>
        </is>
      </c>
      <c r="E45" s="5" t="inlineStr">
        <is>
          <t>D. Fundraising</t>
        </is>
      </c>
    </row>
    <row r="46">
      <c r="A46" s="18" t="inlineStr">
        <is>
          <t>1. Grants to domestic organizations and governments</t>
        </is>
      </c>
      <c r="B46" s="9" t="n">
        <v>0</v>
      </c>
      <c r="C46" s="9" t="n"/>
      <c r="D46" s="9" t="n"/>
      <c r="E46" s="9" t="n"/>
    </row>
    <row r="47">
      <c r="A47" s="18" t="inlineStr">
        <is>
          <t>2. Grants to domestic individuals</t>
        </is>
      </c>
      <c r="B47" s="9" t="n">
        <v>0</v>
      </c>
      <c r="C47" s="9" t="n"/>
      <c r="D47" s="9" t="n"/>
      <c r="E47" s="9" t="n"/>
    </row>
    <row r="48">
      <c r="A48" s="18" t="inlineStr">
        <is>
          <t>3. Grants to foreign organizations and individuals</t>
        </is>
      </c>
      <c r="B48" s="9" t="n">
        <v>0</v>
      </c>
      <c r="C48" s="9" t="n"/>
      <c r="D48" s="9" t="n"/>
      <c r="E48" s="9" t="n"/>
    </row>
    <row r="49">
      <c r="A49" s="18" t="inlineStr">
        <is>
          <t>4. Benefits paid to or for members</t>
        </is>
      </c>
      <c r="B49" s="9" t="n">
        <v>0</v>
      </c>
      <c r="C49" s="9" t="n"/>
      <c r="D49" s="9" t="n"/>
      <c r="E49" s="9" t="n"/>
    </row>
    <row r="50">
      <c r="A50" s="18" t="inlineStr">
        <is>
          <t>5. Compensation of current officers, directors, trustees</t>
        </is>
      </c>
      <c r="B50" s="9" t="n">
        <v>0</v>
      </c>
      <c r="C50" s="9" t="n"/>
      <c r="D50" s="9" t="n"/>
      <c r="E50" s="9" t="n"/>
    </row>
    <row r="51">
      <c r="A51" s="18" t="inlineStr">
        <is>
          <t>6. Compensation to disqualified persons</t>
        </is>
      </c>
      <c r="B51" s="9" t="n">
        <v>0</v>
      </c>
      <c r="C51" s="9" t="n"/>
      <c r="D51" s="9" t="n"/>
      <c r="E51" s="9" t="n"/>
    </row>
    <row r="52">
      <c r="A52" s="18" t="inlineStr">
        <is>
          <t>7. Other salaries and wages</t>
        </is>
      </c>
      <c r="B52" s="9" t="n">
        <v>0</v>
      </c>
      <c r="C52" s="9" t="n"/>
      <c r="D52" s="9" t="n"/>
      <c r="E52" s="9" t="n"/>
    </row>
    <row r="53">
      <c r="A53" s="18" t="inlineStr">
        <is>
          <t>8. Pension plan accruals and contributions</t>
        </is>
      </c>
      <c r="B53" s="9" t="n">
        <v>0</v>
      </c>
      <c r="C53" s="9" t="n"/>
      <c r="D53" s="9" t="n"/>
      <c r="E53" s="9" t="n"/>
    </row>
    <row r="54">
      <c r="A54" s="18" t="inlineStr">
        <is>
          <t>9. Other employee benefits</t>
        </is>
      </c>
      <c r="B54" s="9" t="n">
        <v>0</v>
      </c>
      <c r="C54" s="9" t="n"/>
      <c r="D54" s="9" t="n"/>
      <c r="E54" s="9" t="n"/>
    </row>
    <row r="55">
      <c r="A55" s="18" t="inlineStr">
        <is>
          <t>10. Payroll taxes</t>
        </is>
      </c>
      <c r="B55" s="9" t="n">
        <v>0</v>
      </c>
      <c r="C55" s="9" t="n"/>
      <c r="D55" s="9" t="n"/>
      <c r="E55" s="9" t="n"/>
    </row>
    <row r="56">
      <c r="A56" s="18" t="inlineStr">
        <is>
          <t>11a. Fees for services: management</t>
        </is>
      </c>
      <c r="B56" s="9" t="n">
        <v>0</v>
      </c>
      <c r="C56" s="9" t="n"/>
      <c r="D56" s="9" t="n"/>
      <c r="E56" s="9" t="n"/>
    </row>
    <row r="57">
      <c r="A57" s="18" t="inlineStr">
        <is>
          <t>11b. Fees for services: legal</t>
        </is>
      </c>
      <c r="B57" s="9" t="n">
        <v>282</v>
      </c>
      <c r="C57" s="9" t="n">
        <v>282</v>
      </c>
      <c r="D57" s="9" t="n"/>
      <c r="E57" s="9" t="n"/>
    </row>
    <row r="58">
      <c r="A58" s="18" t="inlineStr">
        <is>
          <t>11c. Fees for services: accounting</t>
        </is>
      </c>
      <c r="B58" s="9" t="n">
        <v>5225</v>
      </c>
      <c r="C58" s="9" t="n">
        <v>5225</v>
      </c>
      <c r="D58" s="9" t="n"/>
      <c r="E58" s="9" t="n"/>
    </row>
    <row r="59">
      <c r="A59" s="18" t="inlineStr">
        <is>
          <t>11d. Fees for services: lobbying</t>
        </is>
      </c>
      <c r="B59" s="9" t="n">
        <v>0</v>
      </c>
      <c r="C59" s="9" t="n"/>
      <c r="D59" s="9" t="n"/>
      <c r="E59" s="9" t="n"/>
    </row>
    <row r="60">
      <c r="A60" s="18" t="inlineStr">
        <is>
          <t>11e. Fees for services: professional fundraising</t>
        </is>
      </c>
      <c r="B60" s="9" t="n">
        <v>0</v>
      </c>
      <c r="C60" s="9" t="n"/>
      <c r="D60" s="9" t="n"/>
      <c r="E60" s="9" t="n"/>
    </row>
    <row r="61">
      <c r="A61" s="18" t="inlineStr">
        <is>
          <t>11f. Fees for services: investment management</t>
        </is>
      </c>
      <c r="B61" s="9" t="n">
        <v>0</v>
      </c>
      <c r="C61" s="9" t="n"/>
      <c r="D61" s="9" t="n"/>
      <c r="E61" s="9" t="n"/>
    </row>
    <row r="62">
      <c r="A62" s="18" t="inlineStr">
        <is>
          <t>11g. Fees for services: other</t>
        </is>
      </c>
      <c r="B62" s="9" t="n">
        <v>2205</v>
      </c>
      <c r="C62" s="9" t="n">
        <v>2205</v>
      </c>
      <c r="D62" s="9" t="n"/>
      <c r="E62" s="9" t="n"/>
    </row>
    <row r="63">
      <c r="A63" s="18" t="inlineStr">
        <is>
          <t>12. Advertising and promotion</t>
        </is>
      </c>
      <c r="B63" s="9" t="n">
        <v>0</v>
      </c>
      <c r="C63" s="9" t="n"/>
      <c r="D63" s="9" t="n"/>
      <c r="E63" s="9" t="n"/>
    </row>
    <row r="64">
      <c r="A64" s="18" t="inlineStr">
        <is>
          <t>13. Office expenses</t>
        </is>
      </c>
      <c r="B64" s="9" t="n">
        <v>2686</v>
      </c>
      <c r="C64" s="9" t="n"/>
      <c r="D64" s="9" t="n">
        <v>2686</v>
      </c>
      <c r="E64" s="9" t="n"/>
    </row>
    <row r="65">
      <c r="A65" s="18" t="inlineStr">
        <is>
          <t>14. Information technology</t>
        </is>
      </c>
      <c r="B65" s="9" t="n">
        <v>0</v>
      </c>
      <c r="C65" s="9" t="n"/>
      <c r="D65" s="9" t="n"/>
      <c r="E65" s="9" t="n"/>
    </row>
    <row r="66">
      <c r="A66" s="18" t="inlineStr">
        <is>
          <t>15. Royalties</t>
        </is>
      </c>
      <c r="B66" s="9" t="n">
        <v>0</v>
      </c>
      <c r="C66" s="9" t="n"/>
      <c r="D66" s="9" t="n"/>
      <c r="E66" s="9" t="n"/>
    </row>
    <row r="67">
      <c r="A67" s="18" t="inlineStr">
        <is>
          <t>16. Occupancy</t>
        </is>
      </c>
      <c r="B67" s="9" t="n">
        <v>0</v>
      </c>
      <c r="C67" s="9" t="n"/>
      <c r="D67" s="9" t="n"/>
      <c r="E67" s="9" t="n"/>
    </row>
    <row r="68">
      <c r="A68" s="18" t="inlineStr">
        <is>
          <t>17. Travel</t>
        </is>
      </c>
      <c r="B68" s="9" t="n">
        <v>0</v>
      </c>
      <c r="C68" s="9" t="n"/>
      <c r="D68" s="9" t="n"/>
      <c r="E68" s="9" t="n"/>
    </row>
    <row r="69">
      <c r="A69" s="18" t="inlineStr">
        <is>
          <t>18. Payments of travel/entertainment for public officials</t>
        </is>
      </c>
      <c r="B69" s="9" t="n">
        <v>0</v>
      </c>
      <c r="C69" s="9" t="n"/>
      <c r="D69" s="9" t="n"/>
      <c r="E69" s="9" t="n"/>
    </row>
    <row r="70">
      <c r="A70" s="18" t="inlineStr">
        <is>
          <t>19. Conferences, conventions, and meetings</t>
        </is>
      </c>
      <c r="B70" s="9" t="n">
        <v>0</v>
      </c>
      <c r="C70" s="9" t="n"/>
      <c r="D70" s="9" t="n"/>
      <c r="E70" s="9" t="n"/>
    </row>
    <row r="71">
      <c r="A71" s="18" t="inlineStr">
        <is>
          <t>20. Interest</t>
        </is>
      </c>
      <c r="B71" s="9" t="n">
        <v>0</v>
      </c>
      <c r="C71" s="9" t="n"/>
      <c r="D71" s="9" t="n"/>
      <c r="E71" s="9" t="n"/>
    </row>
    <row r="72">
      <c r="A72" s="18" t="inlineStr">
        <is>
          <t>21. Payments to affiliates</t>
        </is>
      </c>
      <c r="B72" s="9" t="n">
        <v>0</v>
      </c>
      <c r="C72" s="9" t="n"/>
      <c r="D72" s="9" t="n"/>
      <c r="E72" s="9" t="n"/>
    </row>
    <row r="73">
      <c r="A73" s="18" t="inlineStr">
        <is>
          <t>22. Depreciation, depletion, and amortization</t>
        </is>
      </c>
      <c r="B73" s="9" t="n">
        <v>83922</v>
      </c>
      <c r="C73" s="9" t="n">
        <v>83922</v>
      </c>
      <c r="D73" s="9" t="n"/>
      <c r="E73" s="9" t="n"/>
    </row>
    <row r="74">
      <c r="A74" s="18" t="inlineStr">
        <is>
          <t>23. Insurance</t>
        </is>
      </c>
      <c r="B74" s="9" t="n">
        <v>5838</v>
      </c>
      <c r="C74" s="9" t="n">
        <v>5838</v>
      </c>
      <c r="D74" s="9" t="n"/>
      <c r="E74" s="9" t="n"/>
    </row>
    <row r="75">
      <c r="A75" s="10" t="inlineStr">
        <is>
          <t>25. Total (filed col A / B / C / D)</t>
        </is>
      </c>
      <c r="B75" s="11" t="n">
        <v>186576</v>
      </c>
      <c r="C75" s="11" t="n">
        <v>183090</v>
      </c>
      <c r="D75" s="11" t="n">
        <v>3486</v>
      </c>
      <c r="E75" s="11" t="n">
        <v>0</v>
      </c>
    </row>
    <row r="77" ht="42" customHeight="1">
      <c r="A7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G3"/>
    <mergeCell ref="A2:G2"/>
    <mergeCell ref="A77:G77"/>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Balance Sheet - Form 990 Part X (end of year, USD)</t>
        </is>
      </c>
    </row>
    <row r="3">
      <c r="A3" s="2" t="inlineStr">
        <is>
          <t>Entity ID: cawc_0103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224088</v>
      </c>
      <c r="C7" s="9" t="n">
        <v>10199</v>
      </c>
      <c r="D7" s="9" t="n">
        <v>10911</v>
      </c>
      <c r="E7" s="9" t="n">
        <v>1267</v>
      </c>
      <c r="F7" s="9" t="n">
        <v>9514</v>
      </c>
      <c r="G7" s="9" t="n">
        <v>8297</v>
      </c>
    </row>
    <row r="8">
      <c r="A8" s="8" t="inlineStr">
        <is>
          <t xml:space="preserve">    2. Savings and temporary cash investments</t>
        </is>
      </c>
      <c r="B8" s="9" t="n">
        <v>0</v>
      </c>
      <c r="C8" s="9" t="n">
        <v>219028</v>
      </c>
      <c r="D8" s="9" t="n">
        <v>219557</v>
      </c>
      <c r="E8" s="9" t="n">
        <v>218184</v>
      </c>
      <c r="F8" s="9" t="n">
        <v>203246</v>
      </c>
      <c r="G8" s="9" t="n">
        <v>209626</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13171</v>
      </c>
      <c r="C10" s="9" t="n">
        <v>14131</v>
      </c>
      <c r="D10" s="9" t="n">
        <v>14349</v>
      </c>
      <c r="E10" s="9" t="n">
        <v>15815</v>
      </c>
      <c r="F10" s="9" t="n">
        <v>15903</v>
      </c>
      <c r="G10" s="9" t="n">
        <v>16174</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2391690</v>
      </c>
      <c r="C16" s="9" t="n">
        <v>2309034</v>
      </c>
      <c r="D16" s="9" t="n">
        <v>2227919</v>
      </c>
      <c r="E16" s="9" t="n">
        <v>2161536</v>
      </c>
      <c r="F16" s="9" t="n">
        <v>2093760</v>
      </c>
      <c r="G16" s="9" t="n">
        <v>2016963</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0</v>
      </c>
      <c r="C21" s="9" t="n">
        <v>0</v>
      </c>
      <c r="D21" s="9" t="n">
        <v>0</v>
      </c>
      <c r="E21" s="9" t="n">
        <v>0</v>
      </c>
      <c r="F21" s="9" t="n">
        <v>0</v>
      </c>
      <c r="G21" s="9" t="n">
        <v>1</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25. Other liabilities</t>
        </is>
      </c>
      <c r="B25" s="9" t="n">
        <v>1</v>
      </c>
      <c r="C25" s="9" t="n">
        <v>2</v>
      </c>
      <c r="D25" s="9" t="n">
        <v>1</v>
      </c>
      <c r="E25" s="9" t="n">
        <v>1</v>
      </c>
      <c r="F25" s="9" t="n">
        <v>1</v>
      </c>
      <c r="G25" s="9" t="n">
        <v>1</v>
      </c>
    </row>
    <row r="26">
      <c r="A26" s="10" t="inlineStr">
        <is>
          <t>26. Total liabilities</t>
        </is>
      </c>
      <c r="B26" s="11">
        <f>SUM(B25:B25)</f>
        <v/>
      </c>
      <c r="C26" s="11">
        <f>SUM(C25:C25)</f>
        <v/>
      </c>
      <c r="D26" s="11">
        <f>SUM(D25:D25)</f>
        <v/>
      </c>
      <c r="E26" s="11">
        <f>SUM(E25:E25)</f>
        <v/>
      </c>
      <c r="F26" s="11">
        <f>SUM(F25:F25)</f>
        <v/>
      </c>
      <c r="G26" s="11">
        <f>SUM(G25:G25)</f>
        <v/>
      </c>
    </row>
    <row r="28">
      <c r="A28" s="6" t="inlineStr">
        <is>
          <t>Net assets / fund balances</t>
        </is>
      </c>
      <c r="B28" s="7" t="n"/>
      <c r="C28" s="7" t="n"/>
      <c r="D28" s="7" t="n"/>
      <c r="E28" s="7" t="n"/>
      <c r="F28" s="7" t="n"/>
      <c r="G28" s="7" t="n"/>
    </row>
    <row r="29">
      <c r="A29" s="8" t="inlineStr">
        <is>
          <t xml:space="preserve">    29. Capital stock or trust principal</t>
        </is>
      </c>
      <c r="B29" s="9" t="n">
        <v>10000</v>
      </c>
      <c r="C29" s="9" t="n">
        <v>10000</v>
      </c>
      <c r="D29" s="9" t="n">
        <v>10000</v>
      </c>
      <c r="E29" s="9" t="n">
        <v>10000</v>
      </c>
      <c r="F29" s="9" t="n">
        <v>10000</v>
      </c>
      <c r="G29" s="9" t="n">
        <v>10000</v>
      </c>
    </row>
    <row r="30">
      <c r="A30" s="8" t="inlineStr">
        <is>
          <t xml:space="preserve">    30. Paid-in or capital surplus</t>
        </is>
      </c>
      <c r="B30" s="9" t="n">
        <v>2473042</v>
      </c>
      <c r="C30" s="9" t="n">
        <v>2473042</v>
      </c>
      <c r="D30" s="9" t="n">
        <v>2473042</v>
      </c>
      <c r="E30" s="9" t="n">
        <v>2473042</v>
      </c>
      <c r="F30" s="9" t="n">
        <v>2473042</v>
      </c>
      <c r="G30" s="9" t="n">
        <v>2473042</v>
      </c>
    </row>
    <row r="31">
      <c r="A31" s="8" t="inlineStr">
        <is>
          <t xml:space="preserve">    31. Retained earnings / accumulated funds</t>
        </is>
      </c>
      <c r="B31" s="9" t="n">
        <v>145906</v>
      </c>
      <c r="C31" s="9" t="n">
        <v>69348</v>
      </c>
      <c r="D31" s="9" t="n">
        <v>-10307</v>
      </c>
      <c r="E31" s="9" t="n">
        <v>-86241</v>
      </c>
      <c r="F31" s="9" t="n">
        <v>-160620</v>
      </c>
      <c r="G31" s="9" t="n">
        <v>-231982</v>
      </c>
    </row>
    <row r="32">
      <c r="A32" s="10" t="inlineStr">
        <is>
          <t>32. Total net assets / fund balances</t>
        </is>
      </c>
      <c r="B32" s="11">
        <f>SUM(B29:B31)</f>
        <v/>
      </c>
      <c r="C32" s="11">
        <f>SUM(C29:C31)</f>
        <v/>
      </c>
      <c r="D32" s="11">
        <f>SUM(D29:D31)</f>
        <v/>
      </c>
      <c r="E32" s="11">
        <f>SUM(E29:E31)</f>
        <v/>
      </c>
      <c r="F32" s="11">
        <f>SUM(F29:F31)</f>
        <v/>
      </c>
      <c r="G32" s="11">
        <f>SUM(G29:G31)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4:G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Reconciliation of Net Assets - Form 990 Part XI (USD)</t>
        </is>
      </c>
    </row>
    <row r="3">
      <c r="A3" s="2" t="inlineStr">
        <is>
          <t>Entity ID: cawc_0103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2699454</v>
      </c>
      <c r="C7" s="9" t="n">
        <v>2628948</v>
      </c>
      <c r="D7" s="9" t="n">
        <v>2552390</v>
      </c>
      <c r="E7" s="9" t="n">
        <v>2472735</v>
      </c>
      <c r="F7" s="9" t="n">
        <v>2396801</v>
      </c>
      <c r="G7" s="9" t="n">
        <v>2322422</v>
      </c>
    </row>
    <row r="8">
      <c r="A8" s="8" t="inlineStr">
        <is>
          <t xml:space="preserve">    3. Revenue less expenses</t>
        </is>
      </c>
      <c r="B8" s="9" t="n">
        <v>-70506</v>
      </c>
      <c r="C8" s="9" t="n">
        <v>-76558</v>
      </c>
      <c r="D8" s="9" t="n">
        <v>-79655</v>
      </c>
      <c r="E8" s="9" t="n">
        <v>-75934</v>
      </c>
      <c r="F8" s="9" t="n">
        <v>-74379</v>
      </c>
      <c r="G8" s="9" t="n">
        <v>-71362</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Cash Flow Proxies - derived (USD)</t>
        </is>
      </c>
    </row>
    <row r="3">
      <c r="A3" s="2" t="inlineStr">
        <is>
          <t>Entity ID: cawc_0103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-70506</v>
      </c>
      <c r="C9" s="9" t="n">
        <v>-76558</v>
      </c>
      <c r="D9" s="9" t="n">
        <v>-79655</v>
      </c>
      <c r="E9" s="9" t="n">
        <v>-75934</v>
      </c>
      <c r="F9" s="9" t="n">
        <v>-74379</v>
      </c>
      <c r="G9" s="9" t="n">
        <v>-71362</v>
      </c>
    </row>
    <row r="10">
      <c r="A10" s="8" t="inlineStr">
        <is>
          <t xml:space="preserve">    + Depreciation (reported)</t>
        </is>
      </c>
      <c r="B10" s="9" t="n">
        <v>81352</v>
      </c>
      <c r="C10" s="9" t="n">
        <v>82656</v>
      </c>
      <c r="D10" s="9" t="n">
        <v>81116</v>
      </c>
      <c r="E10" s="9" t="n">
        <v>81115</v>
      </c>
      <c r="F10" s="9" t="n">
        <v>81115</v>
      </c>
      <c r="G10" s="9" t="n">
        <v>83922</v>
      </c>
    </row>
    <row r="11">
      <c r="A11" s="8" t="inlineStr">
        <is>
          <t xml:space="preserve">    − Δ Accounts receivable</t>
        </is>
      </c>
      <c r="B11" s="9" t="n"/>
      <c r="C11" s="9" t="n">
        <v>-960</v>
      </c>
      <c r="D11" s="9" t="n">
        <v>-218</v>
      </c>
      <c r="E11" s="9" t="n">
        <v>-1466</v>
      </c>
      <c r="F11" s="9" t="n">
        <v>-88</v>
      </c>
      <c r="G11" s="9" t="n">
        <v>-271</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5138</v>
      </c>
      <c r="D15" s="11" t="n">
        <v>1243</v>
      </c>
      <c r="E15" s="11" t="n">
        <v>3715</v>
      </c>
      <c r="F15" s="11" t="n">
        <v>6648</v>
      </c>
      <c r="G15" s="11" t="n">
        <v>12289</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-14732</v>
      </c>
      <c r="F18" s="9" t="n">
        <v>-13340</v>
      </c>
      <c r="G18" s="9" t="n">
        <v>-7125</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5139</v>
      </c>
      <c r="D24" s="11" t="n">
        <v>1241</v>
      </c>
      <c r="E24" s="11" t="n">
        <v>-11017</v>
      </c>
      <c r="F24" s="11" t="n">
        <v>-6691</v>
      </c>
      <c r="G24" s="11" t="n">
        <v>5163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Farmington Water Company</t>
        </is>
      </c>
    </row>
    <row r="2">
      <c r="A2" s="2" t="inlineStr">
        <is>
          <t>Financial Ratios</t>
        </is>
      </c>
    </row>
    <row r="3">
      <c r="A3" s="2" t="inlineStr">
        <is>
          <t>Entity ID: cawc_0103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-0.8586564692127825</v>
      </c>
      <c r="C7" s="12" t="n">
        <v>-0.9309434925884942</v>
      </c>
      <c r="D7" s="12" t="n">
        <v>-0.772239888315818</v>
      </c>
      <c r="E7" s="12" t="n">
        <v>-0.7553216886165599</v>
      </c>
      <c r="F7" s="12" t="n">
        <v>-0.6859569680257491</v>
      </c>
      <c r="G7" s="12" t="n">
        <v>-0.6193865328866284</v>
      </c>
    </row>
    <row r="8">
      <c r="A8" s="8" t="inlineStr">
        <is>
          <t xml:space="preserve">    Expense ratio (expenses / revenue)</t>
        </is>
      </c>
      <c r="B8" s="12" t="n">
        <v>1.858656469212782</v>
      </c>
      <c r="C8" s="12" t="n">
        <v>1.930943492588494</v>
      </c>
      <c r="D8" s="12" t="n">
        <v>1.772239888315818</v>
      </c>
      <c r="E8" s="12" t="n">
        <v>1.75532168861656</v>
      </c>
      <c r="F8" s="12" t="n">
        <v>1.685956968025749</v>
      </c>
      <c r="G8" s="12" t="n">
        <v>1.619386532886628</v>
      </c>
    </row>
    <row r="9">
      <c r="A9" s="8" t="inlineStr">
        <is>
          <t xml:space="preserve">    Return on assets (NI / assets)</t>
        </is>
      </c>
      <c r="B9" s="12" t="n">
        <v>-0.0268190824546235</v>
      </c>
      <c r="C9" s="12" t="n">
        <v>-0.02999460897855815</v>
      </c>
      <c r="D9" s="12" t="n">
        <v>-0.03221330542362792</v>
      </c>
      <c r="E9" s="12" t="n">
        <v>-0.03168138210832601</v>
      </c>
      <c r="F9" s="12" t="n">
        <v>-0.03202646546300997</v>
      </c>
      <c r="G9" s="12" t="n">
        <v>-0.03170149542815588</v>
      </c>
    </row>
    <row r="10">
      <c r="A10" s="8" t="inlineStr">
        <is>
          <t xml:space="preserve">    Revenue growth (YoY)</t>
        </is>
      </c>
      <c r="B10" s="12" t="n">
        <v>0.005067443511469069</v>
      </c>
      <c r="C10" s="12" t="n">
        <v>0.001522310989867498</v>
      </c>
      <c r="D10" s="12" t="n">
        <v>0.2542772717876381</v>
      </c>
      <c r="E10" s="12" t="n">
        <v>-0.02536161631829992</v>
      </c>
      <c r="F10" s="12" t="n">
        <v>0.07857199697608722</v>
      </c>
      <c r="G10" s="12" t="n">
        <v>0.06255591113242523</v>
      </c>
    </row>
    <row r="12">
      <c r="A12" s="6" t="inlineStr">
        <is>
          <t>Leverage &amp; solvency</t>
        </is>
      </c>
      <c r="B12" s="7" t="n"/>
      <c r="C12" s="7" t="n"/>
      <c r="D12" s="7" t="n"/>
      <c r="E12" s="7" t="n"/>
      <c r="F12" s="7" t="n"/>
      <c r="G12" s="7" t="n"/>
    </row>
    <row r="13">
      <c r="A13" s="8" t="inlineStr">
        <is>
          <t xml:space="preserve">    Debt-to-assets (liab. / assets)</t>
        </is>
      </c>
      <c r="B13" s="12" t="n">
        <v>3.803801443086192e-07</v>
      </c>
      <c r="C13" s="12" t="n">
        <v>7.835786979429492e-07</v>
      </c>
      <c r="D13" s="12" t="n">
        <v>4.044103373752799e-07</v>
      </c>
      <c r="E13" s="12" t="n">
        <v>4.172226158022231e-07</v>
      </c>
      <c r="F13" s="12" t="n">
        <v>4.305847814975997e-07</v>
      </c>
      <c r="G13" s="12" t="n">
        <v>4.442349629796794e-07</v>
      </c>
    </row>
    <row r="14">
      <c r="A14" s="8" t="inlineStr">
        <is>
          <t xml:space="preserve">    Equity ratio (net assets / assets)</t>
        </is>
      </c>
      <c r="B14" s="12" t="n">
        <v>0.9999996196198557</v>
      </c>
      <c r="C14" s="12" t="n">
        <v>0.9999992164213021</v>
      </c>
      <c r="D14" s="12" t="n">
        <v>0.9999995955896627</v>
      </c>
      <c r="E14" s="12" t="n">
        <v>0.9999995827773842</v>
      </c>
      <c r="F14" s="12" t="n">
        <v>0.9999995694152185</v>
      </c>
      <c r="G14" s="12" t="n">
        <v>0.9999995557650371</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v>224088</v>
      </c>
      <c r="C18" s="19" t="n">
        <v>114613.5</v>
      </c>
      <c r="D18" s="19" t="n">
        <v>230468</v>
      </c>
      <c r="E18" s="19" t="n">
        <v>219451</v>
      </c>
      <c r="F18" s="19" t="n">
        <v>212760</v>
      </c>
      <c r="G18" s="19" t="n">
        <v>217923</v>
      </c>
    </row>
    <row r="19">
      <c r="A19" s="8" t="inlineStr">
        <is>
          <t xml:space="preserve">    Asset age proxy (accum. deprec. / gross PP&amp;E)</t>
        </is>
      </c>
      <c r="B19" s="12" t="n">
        <v>0.2516169609582547</v>
      </c>
      <c r="C19" s="12" t="n">
        <v>0.2774808264571423</v>
      </c>
      <c r="D19" s="12" t="n">
        <v>0.302862498083428</v>
      </c>
      <c r="E19" s="12" t="n">
        <v>0.326737977575126</v>
      </c>
      <c r="F19" s="12" t="n">
        <v>0.3505469492990128</v>
      </c>
      <c r="G19" s="12" t="n">
        <v>0.3757478705555265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Farmington Water Company</t>
        </is>
      </c>
    </row>
    <row r="2">
      <c r="A2" s="2" t="inlineStr">
        <is>
          <t>Unit economics - per-customer revenue by category (USD)</t>
        </is>
      </c>
    </row>
    <row r="3">
      <c r="A3" s="2" t="inlineStr">
        <is>
          <t>Entity ID: cawc_0103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Farmington Water Company</t>
        </is>
      </c>
    </row>
    <row r="2">
      <c r="A2" s="2" t="inlineStr">
        <is>
          <t>Rate structure and representative bill - eAR Section 8a</t>
        </is>
      </c>
    </row>
    <row r="3">
      <c r="A3" s="2" t="inlineStr">
        <is>
          <t>Entity ID: cawc_0103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Farmington Water Company</t>
        </is>
      </c>
    </row>
    <row r="2">
      <c r="A2" s="2" t="inlineStr">
        <is>
          <t>Operational metrics - plant per acre, density, terrain</t>
        </is>
      </c>
    </row>
    <row r="3">
      <c r="A3" s="2" t="inlineStr">
        <is>
          <t>Entity ID: cawc_0103   |   Fiscal year ends December 31.</t>
        </is>
      </c>
    </row>
    <row r="5">
      <c r="A5" s="6" t="inlineStr">
        <is>
          <t>Plant assets per acre</t>
        </is>
      </c>
      <c r="B5" s="7" t="n"/>
      <c r="C5" s="7" t="n"/>
    </row>
    <row r="6">
      <c r="A6" s="20" t="inlineStr">
        <is>
          <t>Service-area acres</t>
        </is>
      </c>
      <c r="B6" s="26" t="n">
        <v>95</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33640.1053</v>
      </c>
      <c r="C8" s="9" t="n">
        <v>24305.6211</v>
      </c>
    </row>
    <row r="9">
      <c r="A9" s="18" t="inlineStr">
        <is>
          <t>FY2022</t>
        </is>
      </c>
      <c r="B9" s="9" t="n">
        <v>33640.1053</v>
      </c>
      <c r="C9" s="9" t="n">
        <v>23451.7789</v>
      </c>
    </row>
    <row r="10">
      <c r="A10" s="18" t="inlineStr">
        <is>
          <t>FY2023</t>
        </is>
      </c>
      <c r="B10" s="9" t="n">
        <v>33795.1789</v>
      </c>
      <c r="C10" s="9" t="n">
        <v>22753.0105</v>
      </c>
    </row>
    <row r="11">
      <c r="A11" s="18" t="inlineStr">
        <is>
          <t>FY2024</t>
        </is>
      </c>
      <c r="B11" s="9" t="n">
        <v>33935.6</v>
      </c>
      <c r="C11" s="9" t="n">
        <v>22039.5789</v>
      </c>
    </row>
    <row r="12">
      <c r="A12" s="18" t="inlineStr">
        <is>
          <t>FY2025</t>
        </is>
      </c>
      <c r="B12" s="9" t="n">
        <v>34010.6</v>
      </c>
      <c r="C12" s="9" t="n">
        <v>21231.1895</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0.84</v>
      </c>
      <c r="C19" s="22" t="inlineStr">
        <is>
          <t>80 connections / 95.0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Farmington Water Company</t>
        </is>
      </c>
    </row>
    <row r="2">
      <c r="A2" s="2" t="inlineStr">
        <is>
          <t>Supply and weather indicators (DWR water year)</t>
        </is>
      </c>
    </row>
    <row r="3">
      <c r="A3" s="2" t="inlineStr">
        <is>
          <t>Entity ID: cawc_0103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Farmington Water Company</t>
        </is>
      </c>
    </row>
    <row r="2">
      <c r="A2" s="2" t="inlineStr">
        <is>
          <t>How this was built - forensic lineage</t>
        </is>
      </c>
    </row>
    <row r="3">
      <c r="A3" s="2" t="inlineStr">
        <is>
          <t>Entity ID: cawc_0103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1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Farmington Water Company</t>
        </is>
      </c>
    </row>
    <row r="2">
      <c r="A2" s="2" t="inlineStr">
        <is>
          <t>Sources &amp; audit - full provenance and tie-outs (kept off the statements so they read clean)</t>
        </is>
      </c>
    </row>
    <row r="3">
      <c r="A3" s="2" t="inlineStr">
        <is>
          <t>Entity ID: cawc_0103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b014d2b8-37ba-4d50-89d2-75ef40bf5cdd</t>
        </is>
      </c>
      <c r="F10" s="8" t="inlineStr">
        <is>
          <t>202131769349301258</t>
        </is>
      </c>
      <c r="G10" s="8" t="inlineStr">
        <is>
          <t>claude-opus-5</t>
        </is>
      </c>
      <c r="H10" s="8" t="inlineStr">
        <is>
          <t>2026-09-23T06:31:51+00:00</t>
        </is>
      </c>
      <c r="I10" s="8" t="inlineStr">
        <is>
          <t>https://apps.irs.gov/pub/epostcard/990/xml/2021/2021_TEOS_XML_01A.zip#202131769349301258_public.xml</t>
        </is>
      </c>
    </row>
    <row r="11">
      <c r="A11" s="27" t="inlineStr">
        <is>
          <t>FY2021</t>
        </is>
      </c>
      <c r="B11" s="8" t="inlineStr">
        <is>
          <t>2021-12-31</t>
        </is>
      </c>
      <c r="C11" s="8" t="inlineStr">
        <is>
          <t>990</t>
        </is>
      </c>
      <c r="D11" s="8" t="inlineStr">
        <is>
          <t>high</t>
        </is>
      </c>
      <c r="E11" s="8" t="inlineStr">
        <is>
          <t>64f8ec86-40f3-4867-a670-a11425fe191b</t>
        </is>
      </c>
      <c r="F11" s="8" t="inlineStr">
        <is>
          <t>202231469349300728</t>
        </is>
      </c>
      <c r="G11" s="8" t="inlineStr">
        <is>
          <t>claude-opus-5</t>
        </is>
      </c>
      <c r="H11" s="8" t="inlineStr">
        <is>
          <t>2026-09-23T06:31:51+00:00</t>
        </is>
      </c>
      <c r="I11" s="8" t="inlineStr">
        <is>
          <t>https://apps.irs.gov/pub/epostcard/990/xml/2022/2022_TEOS_XML_01A.zip#202231469349300728_public.xml</t>
        </is>
      </c>
    </row>
    <row r="12">
      <c r="A12" s="27" t="inlineStr">
        <is>
          <t>FY2022</t>
        </is>
      </c>
      <c r="B12" s="8" t="inlineStr">
        <is>
          <t>2022-12-31</t>
        </is>
      </c>
      <c r="C12" s="8" t="inlineStr">
        <is>
          <t>990</t>
        </is>
      </c>
      <c r="D12" s="8" t="inlineStr">
        <is>
          <t>high</t>
        </is>
      </c>
      <c r="E12" s="8" t="inlineStr">
        <is>
          <t>b2add55a-96d8-4b81-aac2-7a253bfd30a6</t>
        </is>
      </c>
      <c r="F12" s="8" t="inlineStr">
        <is>
          <t>202311229349302116</t>
        </is>
      </c>
      <c r="G12" s="8" t="inlineStr">
        <is>
          <t>claude-opus-5</t>
        </is>
      </c>
      <c r="H12" s="8" t="inlineStr">
        <is>
          <t>2026-09-23T06:31:51+00:00</t>
        </is>
      </c>
      <c r="I12" s="8" t="inlineStr">
        <is>
          <t>https://apps.irs.gov/pub/epostcard/990/xml/2023/2023_TEOS_XML_05A.zip#202311229349302116_public.xml</t>
        </is>
      </c>
    </row>
    <row r="13">
      <c r="A13" s="27" t="inlineStr">
        <is>
          <t>FY2023</t>
        </is>
      </c>
      <c r="B13" s="8" t="inlineStr">
        <is>
          <t>2023-12-31</t>
        </is>
      </c>
      <c r="C13" s="8" t="inlineStr">
        <is>
          <t>990</t>
        </is>
      </c>
      <c r="D13" s="8" t="inlineStr">
        <is>
          <t>high</t>
        </is>
      </c>
      <c r="E13" s="8" t="inlineStr">
        <is>
          <t>d5ea12c8-06c6-4bb5-ad04-a8b6fb26a7d3</t>
        </is>
      </c>
      <c r="F13" s="8" t="inlineStr">
        <is>
          <t>202431289349302228</t>
        </is>
      </c>
      <c r="G13" s="8" t="inlineStr">
        <is>
          <t>claude-opus-5</t>
        </is>
      </c>
      <c r="H13" s="8" t="inlineStr">
        <is>
          <t>2026-09-23T06:31:51+00:00</t>
        </is>
      </c>
      <c r="I13" s="8" t="inlineStr">
        <is>
          <t>https://apps.irs.gov/pub/epostcard/990/xml/2024/2024_TEOS_XML_05A.zip#202431289349302228_public.xml</t>
        </is>
      </c>
    </row>
    <row r="14">
      <c r="A14" s="27" t="inlineStr">
        <is>
          <t>FY2024</t>
        </is>
      </c>
      <c r="B14" s="8" t="inlineStr">
        <is>
          <t>2024-12-31</t>
        </is>
      </c>
      <c r="C14" s="8" t="inlineStr">
        <is>
          <t>990</t>
        </is>
      </c>
      <c r="D14" s="8" t="inlineStr">
        <is>
          <t>high</t>
        </is>
      </c>
      <c r="E14" s="8" t="inlineStr">
        <is>
          <t>cb2b01d4-2aa7-4126-8d66-064a27299147</t>
        </is>
      </c>
      <c r="F14" s="8" t="inlineStr">
        <is>
          <t>202531159349301808</t>
        </is>
      </c>
      <c r="G14" s="8" t="inlineStr">
        <is>
          <t>claude-opus-5</t>
        </is>
      </c>
      <c r="H14" s="8" t="inlineStr">
        <is>
          <t>2026-09-23T06:31:51+00:00</t>
        </is>
      </c>
      <c r="I14" s="8" t="inlineStr">
        <is>
          <t>https://apps.irs.gov/pub/epostcard/990/xml/2025/2025_TEOS_XML_05B.zip#202531159349301808_public.xml</t>
        </is>
      </c>
    </row>
    <row r="15">
      <c r="A15" s="27" t="inlineStr">
        <is>
          <t>FY2025</t>
        </is>
      </c>
      <c r="B15" s="8" t="inlineStr">
        <is>
          <t>2025-12-31</t>
        </is>
      </c>
      <c r="C15" s="8" t="inlineStr">
        <is>
          <t>990</t>
        </is>
      </c>
      <c r="D15" s="8" t="inlineStr">
        <is>
          <t>high</t>
        </is>
      </c>
      <c r="E15" s="8" t="inlineStr">
        <is>
          <t>8de2a6be-f132-4d7c-8472-c8321b45648a</t>
        </is>
      </c>
      <c r="F15" s="8" t="inlineStr">
        <is>
          <t>202622159349300437</t>
        </is>
      </c>
      <c r="G15" s="8" t="inlineStr">
        <is>
          <t>claude-opus-5</t>
        </is>
      </c>
      <c r="H15" s="8" t="inlineStr">
        <is>
          <t>2026-09-23T06:31:51+00:00</t>
        </is>
      </c>
      <c r="I15" s="8" t="inlineStr">
        <is>
          <t>https://apps.irs.gov/pub/epostcard/990/xml/2026/2026_TEOS_XML_08A.zip#202622159349300437_public.xml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C7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D7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E7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F7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G7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B8</t>
        </is>
      </c>
      <c r="C25" s="8" t="inlineStr">
        <is>
          <t>2g. Total program service revenue</t>
        </is>
      </c>
      <c r="D25" s="8" t="inlineStr">
        <is>
          <t>2g</t>
        </is>
      </c>
      <c r="E25" s="8" t="inlineStr">
        <is>
          <t>part_viii_revenue.total_program_service_revenue</t>
        </is>
      </c>
      <c r="F25" s="8" t="inlineStr">
        <is>
          <t>high</t>
        </is>
      </c>
      <c r="G25" s="9" t="n">
        <v>0</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0</v>
      </c>
    </row>
    <row r="27">
      <c r="A27" s="8" t="inlineStr">
        <is>
          <t>Revenue (detail)</t>
        </is>
      </c>
      <c r="B27" s="8" t="inlineStr">
        <is>
          <t>D8</t>
        </is>
      </c>
      <c r="C27" s="8" t="inlineStr">
        <is>
          <t>2g. Total program service revenue</t>
        </is>
      </c>
      <c r="D27" s="8" t="inlineStr">
        <is>
          <t>2g</t>
        </is>
      </c>
      <c r="E27" s="8" t="inlineStr">
        <is>
          <t>part_viii_revenue.total_program_service_revenue</t>
        </is>
      </c>
      <c r="F27" s="8" t="inlineStr">
        <is>
          <t>high</t>
        </is>
      </c>
      <c r="G27" s="9" t="n">
        <v>0</v>
      </c>
    </row>
    <row r="28">
      <c r="A28" s="8" t="inlineStr">
        <is>
          <t>Revenue (detail)</t>
        </is>
      </c>
      <c r="B28" s="8" t="inlineStr">
        <is>
          <t>E8</t>
        </is>
      </c>
      <c r="C28" s="8" t="inlineStr">
        <is>
          <t>2g. Total program service revenue</t>
        </is>
      </c>
      <c r="D28" s="8" t="inlineStr">
        <is>
          <t>2g</t>
        </is>
      </c>
      <c r="E28" s="8" t="inlineStr">
        <is>
          <t>part_viii_revenue.total_program_service_revenue</t>
        </is>
      </c>
      <c r="F28" s="8" t="inlineStr">
        <is>
          <t>high</t>
        </is>
      </c>
      <c r="G28" s="9" t="n">
        <v>0</v>
      </c>
    </row>
    <row r="29">
      <c r="A29" s="8" t="inlineStr">
        <is>
          <t>Revenue (detail)</t>
        </is>
      </c>
      <c r="B29" s="8" t="inlineStr">
        <is>
          <t>F8</t>
        </is>
      </c>
      <c r="C29" s="8" t="inlineStr">
        <is>
          <t>2g. Total program service revenue</t>
        </is>
      </c>
      <c r="D29" s="8" t="inlineStr">
        <is>
          <t>2g</t>
        </is>
      </c>
      <c r="E29" s="8" t="inlineStr">
        <is>
          <t>part_viii_revenue.total_program_service_revenue</t>
        </is>
      </c>
      <c r="F29" s="8" t="inlineStr">
        <is>
          <t>high</t>
        </is>
      </c>
      <c r="G29" s="9" t="n">
        <v>0</v>
      </c>
    </row>
    <row r="30">
      <c r="A30" s="8" t="inlineStr">
        <is>
          <t>Revenue (detail)</t>
        </is>
      </c>
      <c r="B30" s="8" t="inlineStr">
        <is>
          <t>G8</t>
        </is>
      </c>
      <c r="C30" s="8" t="inlineStr">
        <is>
          <t>2g. Total program service revenue</t>
        </is>
      </c>
      <c r="D30" s="8" t="inlineStr">
        <is>
          <t>2g</t>
        </is>
      </c>
      <c r="E30" s="8" t="inlineStr">
        <is>
          <t>part_viii_revenue.total_program_service_revenue</t>
        </is>
      </c>
      <c r="F30" s="8" t="inlineStr">
        <is>
          <t>high</t>
        </is>
      </c>
      <c r="G30" s="9" t="n">
        <v>0</v>
      </c>
    </row>
    <row r="31">
      <c r="A31" s="8" t="inlineStr">
        <is>
          <t>Revenue (detail)</t>
        </is>
      </c>
      <c r="B31" s="8" t="inlineStr">
        <is>
          <t>B9</t>
        </is>
      </c>
      <c r="C31" s="8" t="inlineStr">
        <is>
          <t>3. Investment income</t>
        </is>
      </c>
      <c r="D31" s="8" t="inlineStr">
        <is>
          <t>3</t>
        </is>
      </c>
      <c r="E31" s="8" t="inlineStr">
        <is>
          <t>part_viii_revenue.investment_income</t>
        </is>
      </c>
      <c r="F31" s="8" t="inlineStr">
        <is>
          <t>high</t>
        </is>
      </c>
      <c r="G31" s="9" t="n">
        <v>739</v>
      </c>
    </row>
    <row r="32">
      <c r="A32" s="8" t="inlineStr">
        <is>
          <t>Revenue (detail)</t>
        </is>
      </c>
      <c r="B32" s="8" t="inlineStr">
        <is>
          <t>C9</t>
        </is>
      </c>
      <c r="C32" s="8" t="inlineStr">
        <is>
          <t>3. Investment income</t>
        </is>
      </c>
      <c r="D32" s="8" t="inlineStr">
        <is>
          <t>3</t>
        </is>
      </c>
      <c r="E32" s="8" t="inlineStr">
        <is>
          <t>part_viii_revenue.investment_income</t>
        </is>
      </c>
      <c r="F32" s="8" t="inlineStr">
        <is>
          <t>high</t>
        </is>
      </c>
      <c r="G32" s="9" t="n">
        <v>585</v>
      </c>
    </row>
    <row r="33">
      <c r="A33" s="8" t="inlineStr">
        <is>
          <t>Revenue (detail)</t>
        </is>
      </c>
      <c r="B33" s="8" t="inlineStr">
        <is>
          <t>D9</t>
        </is>
      </c>
      <c r="C33" s="8" t="inlineStr">
        <is>
          <t>3. Investment income</t>
        </is>
      </c>
      <c r="D33" s="8" t="inlineStr">
        <is>
          <t>3</t>
        </is>
      </c>
      <c r="E33" s="8" t="inlineStr">
        <is>
          <t>part_viii_revenue.investment_income</t>
        </is>
      </c>
      <c r="F33" s="8" t="inlineStr">
        <is>
          <t>high</t>
        </is>
      </c>
      <c r="G33" s="9" t="n">
        <v>529</v>
      </c>
    </row>
    <row r="34">
      <c r="A34" s="8" t="inlineStr">
        <is>
          <t>Revenue (detail)</t>
        </is>
      </c>
      <c r="B34" s="8" t="inlineStr">
        <is>
          <t>E9</t>
        </is>
      </c>
      <c r="C34" s="8" t="inlineStr">
        <is>
          <t>3. Investment income</t>
        </is>
      </c>
      <c r="D34" s="8" t="inlineStr">
        <is>
          <t>3</t>
        </is>
      </c>
      <c r="E34" s="8" t="inlineStr">
        <is>
          <t>part_viii_revenue.investment_income</t>
        </is>
      </c>
      <c r="F34" s="8" t="inlineStr">
        <is>
          <t>high</t>
        </is>
      </c>
      <c r="G34" s="9" t="n">
        <v>6017</v>
      </c>
    </row>
    <row r="35">
      <c r="A35" s="8" t="inlineStr">
        <is>
          <t>Revenue (detail)</t>
        </is>
      </c>
      <c r="B35" s="8" t="inlineStr">
        <is>
          <t>F9</t>
        </is>
      </c>
      <c r="C35" s="8" t="inlineStr">
        <is>
          <t>3. Investment income</t>
        </is>
      </c>
      <c r="D35" s="8" t="inlineStr">
        <is>
          <t>3</t>
        </is>
      </c>
      <c r="E35" s="8" t="inlineStr">
        <is>
          <t>part_viii_revenue.investment_income</t>
        </is>
      </c>
      <c r="F35" s="8" t="inlineStr">
        <is>
          <t>high</t>
        </is>
      </c>
      <c r="G35" s="9" t="n">
        <v>9093</v>
      </c>
    </row>
    <row r="36">
      <c r="A36" s="8" t="inlineStr">
        <is>
          <t>Revenue (detail)</t>
        </is>
      </c>
      <c r="B36" s="8" t="inlineStr">
        <is>
          <t>G9</t>
        </is>
      </c>
      <c r="C36" s="8" t="inlineStr">
        <is>
          <t>3. Investment income</t>
        </is>
      </c>
      <c r="D36" s="8" t="inlineStr">
        <is>
          <t>3</t>
        </is>
      </c>
      <c r="E36" s="8" t="inlineStr">
        <is>
          <t>part_viii_revenue.investment_income</t>
        </is>
      </c>
      <c r="F36" s="8" t="inlineStr">
        <is>
          <t>high</t>
        </is>
      </c>
      <c r="G36" s="9" t="n">
        <v>7630</v>
      </c>
    </row>
    <row r="37">
      <c r="A37" s="8" t="inlineStr">
        <is>
          <t>Revenue (detail)</t>
        </is>
      </c>
      <c r="B37" s="8" t="inlineStr">
        <is>
          <t>B10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C10</t>
        </is>
      </c>
      <c r="C38" s="8" t="inlineStr">
        <is>
          <t>6d. Net rental income</t>
        </is>
      </c>
      <c r="D38" s="8" t="inlineStr">
        <is>
          <t>6d</t>
        </is>
      </c>
      <c r="E38" s="8" t="inlineStr">
        <is>
          <t>part_viii_revenue.net_rental_income</t>
        </is>
      </c>
      <c r="F38" s="8" t="inlineStr">
        <is>
          <t>high</t>
        </is>
      </c>
      <c r="G38" s="9" t="n">
        <v>0</v>
      </c>
    </row>
    <row r="39">
      <c r="A39" s="8" t="inlineStr">
        <is>
          <t>Revenue (detail)</t>
        </is>
      </c>
      <c r="B39" s="8" t="inlineStr">
        <is>
          <t>D10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E10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F10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G10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G11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B12</t>
        </is>
      </c>
      <c r="C49" s="8" t="inlineStr">
        <is>
          <t>11e. Other revenue</t>
        </is>
      </c>
      <c r="D49" s="8" t="inlineStr">
        <is>
          <t>11e</t>
        </is>
      </c>
      <c r="E49" s="8" t="inlineStr">
        <is>
          <t>part_viii_revenue.other_revenue_total</t>
        </is>
      </c>
      <c r="F49" s="8" t="inlineStr">
        <is>
          <t>high</t>
        </is>
      </c>
      <c r="G49" s="9" t="n">
        <v>81373</v>
      </c>
    </row>
    <row r="50">
      <c r="A50" s="8" t="inlineStr">
        <is>
          <t>Revenue (detail)</t>
        </is>
      </c>
      <c r="B50" s="8" t="inlineStr">
        <is>
          <t>C12</t>
        </is>
      </c>
      <c r="C50" s="8" t="inlineStr">
        <is>
          <t>11e. Other revenue</t>
        </is>
      </c>
      <c r="D50" s="8" t="inlineStr">
        <is>
          <t>11e</t>
        </is>
      </c>
      <c r="E50" s="8" t="inlineStr">
        <is>
          <t>part_viii_revenue.other_revenue_total</t>
        </is>
      </c>
      <c r="F50" s="8" t="inlineStr">
        <is>
          <t>high</t>
        </is>
      </c>
      <c r="G50" s="9" t="n">
        <v>81652</v>
      </c>
    </row>
    <row r="51">
      <c r="A51" s="8" t="inlineStr">
        <is>
          <t>Revenue (detail)</t>
        </is>
      </c>
      <c r="B51" s="8" t="inlineStr">
        <is>
          <t>D12</t>
        </is>
      </c>
      <c r="C51" s="8" t="inlineStr">
        <is>
          <t>11e. Other revenue</t>
        </is>
      </c>
      <c r="D51" s="8" t="inlineStr">
        <is>
          <t>11e</t>
        </is>
      </c>
      <c r="E51" s="8" t="inlineStr">
        <is>
          <t>part_viii_revenue.other_revenue_total</t>
        </is>
      </c>
      <c r="F51" s="8" t="inlineStr">
        <is>
          <t>high</t>
        </is>
      </c>
      <c r="G51" s="9" t="n">
        <v>102619</v>
      </c>
    </row>
    <row r="52">
      <c r="A52" s="8" t="inlineStr">
        <is>
          <t>Revenue (detail)</t>
        </is>
      </c>
      <c r="B52" s="8" t="inlineStr">
        <is>
          <t>E12</t>
        </is>
      </c>
      <c r="C52" s="8" t="inlineStr">
        <is>
          <t>11e. Other revenue</t>
        </is>
      </c>
      <c r="D52" s="8" t="inlineStr">
        <is>
          <t>11e</t>
        </is>
      </c>
      <c r="E52" s="8" t="inlineStr">
        <is>
          <t>part_viii_revenue.other_revenue_total</t>
        </is>
      </c>
      <c r="F52" s="8" t="inlineStr">
        <is>
          <t>high</t>
        </is>
      </c>
      <c r="G52" s="9" t="n">
        <v>94515</v>
      </c>
    </row>
    <row r="53">
      <c r="A53" s="8" t="inlineStr">
        <is>
          <t>Revenue (detail)</t>
        </is>
      </c>
      <c r="B53" s="8" t="inlineStr">
        <is>
          <t>F12</t>
        </is>
      </c>
      <c r="C53" s="8" t="inlineStr">
        <is>
          <t>11e. Other revenue</t>
        </is>
      </c>
      <c r="D53" s="8" t="inlineStr">
        <is>
          <t>11e</t>
        </is>
      </c>
      <c r="E53" s="8" t="inlineStr">
        <is>
          <t>part_viii_revenue.other_revenue_total</t>
        </is>
      </c>
      <c r="F53" s="8" t="inlineStr">
        <is>
          <t>high</t>
        </is>
      </c>
      <c r="G53" s="9" t="n">
        <v>99338</v>
      </c>
    </row>
    <row r="54">
      <c r="A54" s="8" t="inlineStr">
        <is>
          <t>Revenue (detail)</t>
        </is>
      </c>
      <c r="B54" s="8" t="inlineStr">
        <is>
          <t>G12</t>
        </is>
      </c>
      <c r="C54" s="8" t="inlineStr">
        <is>
          <t>11e. Other revenue</t>
        </is>
      </c>
      <c r="D54" s="8" t="inlineStr">
        <is>
          <t>11e</t>
        </is>
      </c>
      <c r="E54" s="8" t="inlineStr">
        <is>
          <t>part_viii_revenue.other_revenue_total</t>
        </is>
      </c>
      <c r="F54" s="8" t="inlineStr">
        <is>
          <t>high</t>
        </is>
      </c>
      <c r="G54" s="9" t="n">
        <v>107584</v>
      </c>
    </row>
    <row r="55">
      <c r="A55" s="8" t="inlineStr">
        <is>
          <t>Operating expenses (detail)</t>
        </is>
      </c>
      <c r="B55" s="8" t="inlineStr">
        <is>
          <t>B7</t>
        </is>
      </c>
      <c r="C55" s="8" t="inlineStr">
        <is>
          <t>1. Grants to domestic organizations and governments</t>
        </is>
      </c>
      <c r="D55" s="8" t="inlineStr">
        <is>
          <t>1</t>
        </is>
      </c>
      <c r="E55" s="8" t="inlineStr">
        <is>
          <t>part_ix_expenses.grants_domestic_orgs</t>
        </is>
      </c>
      <c r="F55" s="8" t="inlineStr">
        <is>
          <t>high</t>
        </is>
      </c>
      <c r="G55" s="9" t="n">
        <v>0</v>
      </c>
    </row>
    <row r="56">
      <c r="A56" s="8" t="inlineStr">
        <is>
          <t>Operating expenses (detail)</t>
        </is>
      </c>
      <c r="B56" s="8" t="inlineStr">
        <is>
          <t>C7</t>
        </is>
      </c>
      <c r="C56" s="8" t="inlineStr">
        <is>
          <t>1. Grants to domestic organizations and governments</t>
        </is>
      </c>
      <c r="D56" s="8" t="inlineStr">
        <is>
          <t>1</t>
        </is>
      </c>
      <c r="E56" s="8" t="inlineStr">
        <is>
          <t>part_ix_expenses.grants_domestic_orgs</t>
        </is>
      </c>
      <c r="F56" s="8" t="inlineStr">
        <is>
          <t>high</t>
        </is>
      </c>
      <c r="G56" s="9" t="n">
        <v>0</v>
      </c>
    </row>
    <row r="57">
      <c r="A57" s="8" t="inlineStr">
        <is>
          <t>Operating expenses (detail)</t>
        </is>
      </c>
      <c r="B57" s="8" t="inlineStr">
        <is>
          <t>D7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E7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F7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G7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B8</t>
        </is>
      </c>
      <c r="C61" s="8" t="inlineStr">
        <is>
          <t>2. Grants to domestic individuals</t>
        </is>
      </c>
      <c r="D61" s="8" t="inlineStr">
        <is>
          <t>2</t>
        </is>
      </c>
      <c r="E61" s="8" t="inlineStr">
        <is>
          <t>part_ix_expenses.grants_domestic_individuals</t>
        </is>
      </c>
      <c r="F61" s="8" t="inlineStr">
        <is>
          <t>high</t>
        </is>
      </c>
      <c r="G61" s="9" t="n">
        <v>0</v>
      </c>
    </row>
    <row r="62">
      <c r="A62" s="8" t="inlineStr">
        <is>
          <t>Operating expenses (detail)</t>
        </is>
      </c>
      <c r="B62" s="8" t="inlineStr">
        <is>
          <t>C8</t>
        </is>
      </c>
      <c r="C62" s="8" t="inlineStr">
        <is>
          <t>2. Grants to domestic individuals</t>
        </is>
      </c>
      <c r="D62" s="8" t="inlineStr">
        <is>
          <t>2</t>
        </is>
      </c>
      <c r="E62" s="8" t="inlineStr">
        <is>
          <t>part_ix_expenses.grants_domestic_individuals</t>
        </is>
      </c>
      <c r="F62" s="8" t="inlineStr">
        <is>
          <t>high</t>
        </is>
      </c>
      <c r="G62" s="9" t="n">
        <v>0</v>
      </c>
    </row>
    <row r="63">
      <c r="A63" s="8" t="inlineStr">
        <is>
          <t>Operating expenses (detail)</t>
        </is>
      </c>
      <c r="B63" s="8" t="inlineStr">
        <is>
          <t>D8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E8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F8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G8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B9</t>
        </is>
      </c>
      <c r="C67" s="8" t="inlineStr">
        <is>
          <t>3. Grants to foreign organizations and individuals</t>
        </is>
      </c>
      <c r="D67" s="8" t="inlineStr">
        <is>
          <t>3</t>
        </is>
      </c>
      <c r="E67" s="8" t="inlineStr">
        <is>
          <t>part_ix_expenses.foreign_grants</t>
        </is>
      </c>
      <c r="F67" s="8" t="inlineStr">
        <is>
          <t>high</t>
        </is>
      </c>
      <c r="G67" s="9" t="n">
        <v>0</v>
      </c>
    </row>
    <row r="68">
      <c r="A68" s="8" t="inlineStr">
        <is>
          <t>Operating expenses (detail)</t>
        </is>
      </c>
      <c r="B68" s="8" t="inlineStr">
        <is>
          <t>C9</t>
        </is>
      </c>
      <c r="C68" s="8" t="inlineStr">
        <is>
          <t>3. Grants to foreign organizations and individuals</t>
        </is>
      </c>
      <c r="D68" s="8" t="inlineStr">
        <is>
          <t>3</t>
        </is>
      </c>
      <c r="E68" s="8" t="inlineStr">
        <is>
          <t>part_ix_expenses.foreign_grants</t>
        </is>
      </c>
      <c r="F68" s="8" t="inlineStr">
        <is>
          <t>high</t>
        </is>
      </c>
      <c r="G68" s="9" t="n">
        <v>0</v>
      </c>
    </row>
    <row r="69">
      <c r="A69" s="8" t="inlineStr">
        <is>
          <t>Operating expenses (detail)</t>
        </is>
      </c>
      <c r="B69" s="8" t="inlineStr">
        <is>
          <t>D9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E9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F9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G9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B10</t>
        </is>
      </c>
      <c r="C73" s="8" t="inlineStr">
        <is>
          <t>4. Benefits paid to or for members</t>
        </is>
      </c>
      <c r="D73" s="8" t="inlineStr">
        <is>
          <t>4</t>
        </is>
      </c>
      <c r="E73" s="8" t="inlineStr">
        <is>
          <t>part_ix_expenses.benefits_to_members</t>
        </is>
      </c>
      <c r="F73" s="8" t="inlineStr">
        <is>
          <t>high</t>
        </is>
      </c>
      <c r="G73" s="9" t="n">
        <v>0</v>
      </c>
    </row>
    <row r="74">
      <c r="A74" s="8" t="inlineStr">
        <is>
          <t>Operating expenses (detail)</t>
        </is>
      </c>
      <c r="B74" s="8" t="inlineStr">
        <is>
          <t>C10</t>
        </is>
      </c>
      <c r="C74" s="8" t="inlineStr">
        <is>
          <t>4. Benefits paid to or for members</t>
        </is>
      </c>
      <c r="D74" s="8" t="inlineStr">
        <is>
          <t>4</t>
        </is>
      </c>
      <c r="E74" s="8" t="inlineStr">
        <is>
          <t>part_ix_expenses.benefits_to_members</t>
        </is>
      </c>
      <c r="F74" s="8" t="inlineStr">
        <is>
          <t>high</t>
        </is>
      </c>
      <c r="G74" s="9" t="n">
        <v>0</v>
      </c>
    </row>
    <row r="75">
      <c r="A75" s="8" t="inlineStr">
        <is>
          <t>Operating expenses (detail)</t>
        </is>
      </c>
      <c r="B75" s="8" t="inlineStr">
        <is>
          <t>D10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E10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F10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G10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B11</t>
        </is>
      </c>
      <c r="C79" s="8" t="inlineStr">
        <is>
          <t>5. Compensation of current officers, directors, trustees</t>
        </is>
      </c>
      <c r="D79" s="8" t="inlineStr">
        <is>
          <t>5</t>
        </is>
      </c>
      <c r="E79" s="8" t="inlineStr">
        <is>
          <t>part_ix_expenses.comp_current_officers</t>
        </is>
      </c>
      <c r="F79" s="8" t="inlineStr">
        <is>
          <t>high</t>
        </is>
      </c>
      <c r="G79" s="9" t="n">
        <v>0</v>
      </c>
    </row>
    <row r="80">
      <c r="A80" s="8" t="inlineStr">
        <is>
          <t>Operating expenses (detail)</t>
        </is>
      </c>
      <c r="B80" s="8" t="inlineStr">
        <is>
          <t>C11</t>
        </is>
      </c>
      <c r="C80" s="8" t="inlineStr">
        <is>
          <t>5. Compensation of current officers, directors, trustees</t>
        </is>
      </c>
      <c r="D80" s="8" t="inlineStr">
        <is>
          <t>5</t>
        </is>
      </c>
      <c r="E80" s="8" t="inlineStr">
        <is>
          <t>part_ix_expenses.comp_current_officers</t>
        </is>
      </c>
      <c r="F80" s="8" t="inlineStr">
        <is>
          <t>high</t>
        </is>
      </c>
      <c r="G80" s="9" t="n">
        <v>0</v>
      </c>
    </row>
    <row r="81">
      <c r="A81" s="8" t="inlineStr">
        <is>
          <t>Operating expenses (detail)</t>
        </is>
      </c>
      <c r="B81" s="8" t="inlineStr">
        <is>
          <t>D11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E11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F11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G11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B12</t>
        </is>
      </c>
      <c r="C85" s="8" t="inlineStr">
        <is>
          <t>6. Compensation to disqualified persons</t>
        </is>
      </c>
      <c r="D85" s="8" t="inlineStr">
        <is>
          <t>6</t>
        </is>
      </c>
      <c r="E85" s="8" t="inlineStr">
        <is>
          <t>part_ix_expenses.comp_disqualified_persons</t>
        </is>
      </c>
      <c r="F85" s="8" t="inlineStr">
        <is>
          <t>high</t>
        </is>
      </c>
      <c r="G85" s="9" t="n">
        <v>0</v>
      </c>
    </row>
    <row r="86">
      <c r="A86" s="8" t="inlineStr">
        <is>
          <t>Operating expenses (detail)</t>
        </is>
      </c>
      <c r="B86" s="8" t="inlineStr">
        <is>
          <t>C12</t>
        </is>
      </c>
      <c r="C86" s="8" t="inlineStr">
        <is>
          <t>6. Compensation to disqualified persons</t>
        </is>
      </c>
      <c r="D86" s="8" t="inlineStr">
        <is>
          <t>6</t>
        </is>
      </c>
      <c r="E86" s="8" t="inlineStr">
        <is>
          <t>part_ix_expenses.comp_disqualified_persons</t>
        </is>
      </c>
      <c r="F86" s="8" t="inlineStr">
        <is>
          <t>high</t>
        </is>
      </c>
      <c r="G86" s="9" t="n">
        <v>0</v>
      </c>
    </row>
    <row r="87">
      <c r="A87" s="8" t="inlineStr">
        <is>
          <t>Operating expenses (detail)</t>
        </is>
      </c>
      <c r="B87" s="8" t="inlineStr">
        <is>
          <t>D12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E12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F12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G12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B13</t>
        </is>
      </c>
      <c r="C91" s="8" t="inlineStr">
        <is>
          <t>7. Other salaries and wages</t>
        </is>
      </c>
      <c r="D91" s="8" t="inlineStr">
        <is>
          <t>7</t>
        </is>
      </c>
      <c r="E91" s="8" t="inlineStr">
        <is>
          <t>part_ix_expenses.other_salaries_and_wages</t>
        </is>
      </c>
      <c r="F91" s="8" t="inlineStr">
        <is>
          <t>high</t>
        </is>
      </c>
      <c r="G91" s="9" t="n">
        <v>0</v>
      </c>
    </row>
    <row r="92">
      <c r="A92" s="8" t="inlineStr">
        <is>
          <t>Operating expenses (detail)</t>
        </is>
      </c>
      <c r="B92" s="8" t="inlineStr">
        <is>
          <t>C13</t>
        </is>
      </c>
      <c r="C92" s="8" t="inlineStr">
        <is>
          <t>7. Other salaries and wages</t>
        </is>
      </c>
      <c r="D92" s="8" t="inlineStr">
        <is>
          <t>7</t>
        </is>
      </c>
      <c r="E92" s="8" t="inlineStr">
        <is>
          <t>part_ix_expenses.other_salaries_and_wages</t>
        </is>
      </c>
      <c r="F92" s="8" t="inlineStr">
        <is>
          <t>high</t>
        </is>
      </c>
      <c r="G92" s="9" t="n">
        <v>0</v>
      </c>
    </row>
    <row r="93">
      <c r="A93" s="8" t="inlineStr">
        <is>
          <t>Operating expenses (detail)</t>
        </is>
      </c>
      <c r="B93" s="8" t="inlineStr">
        <is>
          <t>D13</t>
        </is>
      </c>
      <c r="C93" s="8" t="inlineStr">
        <is>
          <t>7. Other salaries and wages</t>
        </is>
      </c>
      <c r="D93" s="8" t="inlineStr">
        <is>
          <t>7</t>
        </is>
      </c>
      <c r="E93" s="8" t="inlineStr">
        <is>
          <t>part_ix_expenses.other_salaries_and_wages</t>
        </is>
      </c>
      <c r="F93" s="8" t="inlineStr">
        <is>
          <t>high</t>
        </is>
      </c>
      <c r="G93" s="9" t="n">
        <v>0</v>
      </c>
    </row>
    <row r="94">
      <c r="A94" s="8" t="inlineStr">
        <is>
          <t>Operating expenses (detail)</t>
        </is>
      </c>
      <c r="B94" s="8" t="inlineStr">
        <is>
          <t>E13</t>
        </is>
      </c>
      <c r="C94" s="8" t="inlineStr">
        <is>
          <t>7. Other salaries and wages</t>
        </is>
      </c>
      <c r="D94" s="8" t="inlineStr">
        <is>
          <t>7</t>
        </is>
      </c>
      <c r="E94" s="8" t="inlineStr">
        <is>
          <t>part_ix_expenses.other_salaries_and_wages</t>
        </is>
      </c>
      <c r="F94" s="8" t="inlineStr">
        <is>
          <t>high</t>
        </is>
      </c>
      <c r="G94" s="9" t="n">
        <v>0</v>
      </c>
    </row>
    <row r="95">
      <c r="A95" s="8" t="inlineStr">
        <is>
          <t>Operating expenses (detail)</t>
        </is>
      </c>
      <c r="B95" s="8" t="inlineStr">
        <is>
          <t>F13</t>
        </is>
      </c>
      <c r="C95" s="8" t="inlineStr">
        <is>
          <t>7. Other salaries and wages</t>
        </is>
      </c>
      <c r="D95" s="8" t="inlineStr">
        <is>
          <t>7</t>
        </is>
      </c>
      <c r="E95" s="8" t="inlineStr">
        <is>
          <t>part_ix_expenses.other_salaries_and_wages</t>
        </is>
      </c>
      <c r="F95" s="8" t="inlineStr">
        <is>
          <t>high</t>
        </is>
      </c>
      <c r="G95" s="9" t="n">
        <v>0</v>
      </c>
    </row>
    <row r="96">
      <c r="A96" s="8" t="inlineStr">
        <is>
          <t>Operating expenses (detail)</t>
        </is>
      </c>
      <c r="B96" s="8" t="inlineStr">
        <is>
          <t>G13</t>
        </is>
      </c>
      <c r="C96" s="8" t="inlineStr">
        <is>
          <t>7. Other salaries and wages</t>
        </is>
      </c>
      <c r="D96" s="8" t="inlineStr">
        <is>
          <t>7</t>
        </is>
      </c>
      <c r="E96" s="8" t="inlineStr">
        <is>
          <t>part_ix_expenses.other_salaries_and_wages</t>
        </is>
      </c>
      <c r="F96" s="8" t="inlineStr">
        <is>
          <t>high</t>
        </is>
      </c>
      <c r="G96" s="9" t="n">
        <v>0</v>
      </c>
    </row>
    <row r="97">
      <c r="A97" s="8" t="inlineStr">
        <is>
          <t>Operating expenses (detail)</t>
        </is>
      </c>
      <c r="B97" s="8" t="inlineStr">
        <is>
          <t>B14</t>
        </is>
      </c>
      <c r="C97" s="8" t="inlineStr">
        <is>
          <t>8. Pension plan accruals and contributions</t>
        </is>
      </c>
      <c r="D97" s="8" t="inlineStr">
        <is>
          <t>8</t>
        </is>
      </c>
      <c r="E97" s="8" t="inlineStr">
        <is>
          <t>part_ix_expenses.pension_plan_contributions</t>
        </is>
      </c>
      <c r="F97" s="8" t="inlineStr">
        <is>
          <t>high</t>
        </is>
      </c>
      <c r="G97" s="9" t="n">
        <v>0</v>
      </c>
    </row>
    <row r="98">
      <c r="A98" s="8" t="inlineStr">
        <is>
          <t>Operating expenses (detail)</t>
        </is>
      </c>
      <c r="B98" s="8" t="inlineStr">
        <is>
          <t>C14</t>
        </is>
      </c>
      <c r="C98" s="8" t="inlineStr">
        <is>
          <t>8. Pension plan accruals and contributions</t>
        </is>
      </c>
      <c r="D98" s="8" t="inlineStr">
        <is>
          <t>8</t>
        </is>
      </c>
      <c r="E98" s="8" t="inlineStr">
        <is>
          <t>part_ix_expenses.pension_plan_contributions</t>
        </is>
      </c>
      <c r="F98" s="8" t="inlineStr">
        <is>
          <t>high</t>
        </is>
      </c>
      <c r="G98" s="9" t="n">
        <v>0</v>
      </c>
    </row>
    <row r="99">
      <c r="A99" s="8" t="inlineStr">
        <is>
          <t>Operating expenses (detail)</t>
        </is>
      </c>
      <c r="B99" s="8" t="inlineStr">
        <is>
          <t>D14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E14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F14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G14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B15</t>
        </is>
      </c>
      <c r="C103" s="8" t="inlineStr">
        <is>
          <t>9. Other employee benefits</t>
        </is>
      </c>
      <c r="D103" s="8" t="inlineStr">
        <is>
          <t>9</t>
        </is>
      </c>
      <c r="E103" s="8" t="inlineStr">
        <is>
          <t>part_ix_expenses.other_employee_benefits</t>
        </is>
      </c>
      <c r="F103" s="8" t="inlineStr">
        <is>
          <t>high</t>
        </is>
      </c>
      <c r="G103" s="9" t="n">
        <v>0</v>
      </c>
    </row>
    <row r="104">
      <c r="A104" s="8" t="inlineStr">
        <is>
          <t>Operating expenses (detail)</t>
        </is>
      </c>
      <c r="B104" s="8" t="inlineStr">
        <is>
          <t>C15</t>
        </is>
      </c>
      <c r="C104" s="8" t="inlineStr">
        <is>
          <t>9. Other employee benefits</t>
        </is>
      </c>
      <c r="D104" s="8" t="inlineStr">
        <is>
          <t>9</t>
        </is>
      </c>
      <c r="E104" s="8" t="inlineStr">
        <is>
          <t>part_ix_expenses.other_employee_benefits</t>
        </is>
      </c>
      <c r="F104" s="8" t="inlineStr">
        <is>
          <t>high</t>
        </is>
      </c>
      <c r="G104" s="9" t="n">
        <v>0</v>
      </c>
    </row>
    <row r="105">
      <c r="A105" s="8" t="inlineStr">
        <is>
          <t>Operating expenses (detail)</t>
        </is>
      </c>
      <c r="B105" s="8" t="inlineStr">
        <is>
          <t>D15</t>
        </is>
      </c>
      <c r="C105" s="8" t="inlineStr">
        <is>
          <t>9. Other employee benefits</t>
        </is>
      </c>
      <c r="D105" s="8" t="inlineStr">
        <is>
          <t>9</t>
        </is>
      </c>
      <c r="E105" s="8" t="inlineStr">
        <is>
          <t>part_ix_expenses.other_employee_benefits</t>
        </is>
      </c>
      <c r="F105" s="8" t="inlineStr">
        <is>
          <t>high</t>
        </is>
      </c>
      <c r="G105" s="9" t="n">
        <v>0</v>
      </c>
    </row>
    <row r="106">
      <c r="A106" s="8" t="inlineStr">
        <is>
          <t>Operating expenses (detail)</t>
        </is>
      </c>
      <c r="B106" s="8" t="inlineStr">
        <is>
          <t>E15</t>
        </is>
      </c>
      <c r="C106" s="8" t="inlineStr">
        <is>
          <t>9. Other employee benefits</t>
        </is>
      </c>
      <c r="D106" s="8" t="inlineStr">
        <is>
          <t>9</t>
        </is>
      </c>
      <c r="E106" s="8" t="inlineStr">
        <is>
          <t>part_ix_expenses.other_employee_benefits</t>
        </is>
      </c>
      <c r="F106" s="8" t="inlineStr">
        <is>
          <t>high</t>
        </is>
      </c>
      <c r="G106" s="9" t="n">
        <v>0</v>
      </c>
    </row>
    <row r="107">
      <c r="A107" s="8" t="inlineStr">
        <is>
          <t>Operating expenses (detail)</t>
        </is>
      </c>
      <c r="B107" s="8" t="inlineStr">
        <is>
          <t>F15</t>
        </is>
      </c>
      <c r="C107" s="8" t="inlineStr">
        <is>
          <t>9. Other employee benefits</t>
        </is>
      </c>
      <c r="D107" s="8" t="inlineStr">
        <is>
          <t>9</t>
        </is>
      </c>
      <c r="E107" s="8" t="inlineStr">
        <is>
          <t>part_ix_expenses.other_employee_benefits</t>
        </is>
      </c>
      <c r="F107" s="8" t="inlineStr">
        <is>
          <t>high</t>
        </is>
      </c>
      <c r="G107" s="9" t="n">
        <v>0</v>
      </c>
    </row>
    <row r="108">
      <c r="A108" s="8" t="inlineStr">
        <is>
          <t>Operating expenses (detail)</t>
        </is>
      </c>
      <c r="B108" s="8" t="inlineStr">
        <is>
          <t>G15</t>
        </is>
      </c>
      <c r="C108" s="8" t="inlineStr">
        <is>
          <t>9. Other employee benefits</t>
        </is>
      </c>
      <c r="D108" s="8" t="inlineStr">
        <is>
          <t>9</t>
        </is>
      </c>
      <c r="E108" s="8" t="inlineStr">
        <is>
          <t>part_ix_expenses.other_employee_benefits</t>
        </is>
      </c>
      <c r="F108" s="8" t="inlineStr">
        <is>
          <t>high</t>
        </is>
      </c>
      <c r="G108" s="9" t="n">
        <v>0</v>
      </c>
    </row>
    <row r="109">
      <c r="A109" s="8" t="inlineStr">
        <is>
          <t>Operating expenses (detail)</t>
        </is>
      </c>
      <c r="B109" s="8" t="inlineStr">
        <is>
          <t>B16</t>
        </is>
      </c>
      <c r="C109" s="8" t="inlineStr">
        <is>
          <t>10. Payroll taxes</t>
        </is>
      </c>
      <c r="D109" s="8" t="inlineStr">
        <is>
          <t>10</t>
        </is>
      </c>
      <c r="E109" s="8" t="inlineStr">
        <is>
          <t>part_ix_expenses.payroll_taxes</t>
        </is>
      </c>
      <c r="F109" s="8" t="inlineStr">
        <is>
          <t>high</t>
        </is>
      </c>
      <c r="G109" s="9" t="n">
        <v>0</v>
      </c>
    </row>
    <row r="110">
      <c r="A110" s="8" t="inlineStr">
        <is>
          <t>Operating expenses (detail)</t>
        </is>
      </c>
      <c r="B110" s="8" t="inlineStr">
        <is>
          <t>C16</t>
        </is>
      </c>
      <c r="C110" s="8" t="inlineStr">
        <is>
          <t>10. Payroll taxes</t>
        </is>
      </c>
      <c r="D110" s="8" t="inlineStr">
        <is>
          <t>10</t>
        </is>
      </c>
      <c r="E110" s="8" t="inlineStr">
        <is>
          <t>part_ix_expenses.payroll_taxes</t>
        </is>
      </c>
      <c r="F110" s="8" t="inlineStr">
        <is>
          <t>high</t>
        </is>
      </c>
      <c r="G110" s="9" t="n">
        <v>0</v>
      </c>
    </row>
    <row r="111">
      <c r="A111" s="8" t="inlineStr">
        <is>
          <t>Operating expenses (detail)</t>
        </is>
      </c>
      <c r="B111" s="8" t="inlineStr">
        <is>
          <t>D16</t>
        </is>
      </c>
      <c r="C111" s="8" t="inlineStr">
        <is>
          <t>10. Payroll taxes</t>
        </is>
      </c>
      <c r="D111" s="8" t="inlineStr">
        <is>
          <t>10</t>
        </is>
      </c>
      <c r="E111" s="8" t="inlineStr">
        <is>
          <t>part_ix_expenses.payroll_taxes</t>
        </is>
      </c>
      <c r="F111" s="8" t="inlineStr">
        <is>
          <t>high</t>
        </is>
      </c>
      <c r="G111" s="9" t="n">
        <v>0</v>
      </c>
    </row>
    <row r="112">
      <c r="A112" s="8" t="inlineStr">
        <is>
          <t>Operating expenses (detail)</t>
        </is>
      </c>
      <c r="B112" s="8" t="inlineStr">
        <is>
          <t>E16</t>
        </is>
      </c>
      <c r="C112" s="8" t="inlineStr">
        <is>
          <t>10. Payroll taxes</t>
        </is>
      </c>
      <c r="D112" s="8" t="inlineStr">
        <is>
          <t>10</t>
        </is>
      </c>
      <c r="E112" s="8" t="inlineStr">
        <is>
          <t>part_ix_expenses.payroll_taxes</t>
        </is>
      </c>
      <c r="F112" s="8" t="inlineStr">
        <is>
          <t>high</t>
        </is>
      </c>
      <c r="G112" s="9" t="n">
        <v>0</v>
      </c>
    </row>
    <row r="113">
      <c r="A113" s="8" t="inlineStr">
        <is>
          <t>Operating expenses (detail)</t>
        </is>
      </c>
      <c r="B113" s="8" t="inlineStr">
        <is>
          <t>F16</t>
        </is>
      </c>
      <c r="C113" s="8" t="inlineStr">
        <is>
          <t>10. Payroll taxes</t>
        </is>
      </c>
      <c r="D113" s="8" t="inlineStr">
        <is>
          <t>10</t>
        </is>
      </c>
      <c r="E113" s="8" t="inlineStr">
        <is>
          <t>part_ix_expenses.payroll_taxes</t>
        </is>
      </c>
      <c r="F113" s="8" t="inlineStr">
        <is>
          <t>high</t>
        </is>
      </c>
      <c r="G113" s="9" t="n">
        <v>0</v>
      </c>
    </row>
    <row r="114">
      <c r="A114" s="8" t="inlineStr">
        <is>
          <t>Operating expenses (detail)</t>
        </is>
      </c>
      <c r="B114" s="8" t="inlineStr">
        <is>
          <t>G16</t>
        </is>
      </c>
      <c r="C114" s="8" t="inlineStr">
        <is>
          <t>10. Payroll taxes</t>
        </is>
      </c>
      <c r="D114" s="8" t="inlineStr">
        <is>
          <t>10</t>
        </is>
      </c>
      <c r="E114" s="8" t="inlineStr">
        <is>
          <t>part_ix_expenses.payroll_taxes</t>
        </is>
      </c>
      <c r="F114" s="8" t="inlineStr">
        <is>
          <t>high</t>
        </is>
      </c>
      <c r="G114" s="9" t="n">
        <v>0</v>
      </c>
    </row>
    <row r="115">
      <c r="A115" s="8" t="inlineStr">
        <is>
          <t>Operating expenses (detail)</t>
        </is>
      </c>
      <c r="B115" s="8" t="inlineStr">
        <is>
          <t>B17</t>
        </is>
      </c>
      <c r="C115" s="8" t="inlineStr">
        <is>
          <t>11a. Fees for services: management</t>
        </is>
      </c>
      <c r="D115" s="8" t="inlineStr">
        <is>
          <t>11a</t>
        </is>
      </c>
      <c r="E115" s="8" t="inlineStr">
        <is>
          <t>part_ix_expenses.fees_management</t>
        </is>
      </c>
      <c r="F115" s="8" t="inlineStr">
        <is>
          <t>high</t>
        </is>
      </c>
      <c r="G115" s="9" t="n">
        <v>0</v>
      </c>
    </row>
    <row r="116">
      <c r="A116" s="8" t="inlineStr">
        <is>
          <t>Operating expenses (detail)</t>
        </is>
      </c>
      <c r="B116" s="8" t="inlineStr">
        <is>
          <t>C17</t>
        </is>
      </c>
      <c r="C116" s="8" t="inlineStr">
        <is>
          <t>11a. Fees for services: management</t>
        </is>
      </c>
      <c r="D116" s="8" t="inlineStr">
        <is>
          <t>11a</t>
        </is>
      </c>
      <c r="E116" s="8" t="inlineStr">
        <is>
          <t>part_ix_expenses.fees_management</t>
        </is>
      </c>
      <c r="F116" s="8" t="inlineStr">
        <is>
          <t>high</t>
        </is>
      </c>
      <c r="G116" s="9" t="n">
        <v>0</v>
      </c>
    </row>
    <row r="117">
      <c r="A117" s="8" t="inlineStr">
        <is>
          <t>Operating expenses (detail)</t>
        </is>
      </c>
      <c r="B117" s="8" t="inlineStr">
        <is>
          <t>D17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E17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F17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G17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B18</t>
        </is>
      </c>
      <c r="C121" s="8" t="inlineStr">
        <is>
          <t>11b. Fees for services: legal</t>
        </is>
      </c>
      <c r="D121" s="8" t="inlineStr">
        <is>
          <t>11b</t>
        </is>
      </c>
      <c r="E121" s="8" t="inlineStr">
        <is>
          <t>part_ix_expenses.fees_legal</t>
        </is>
      </c>
      <c r="F121" s="8" t="inlineStr">
        <is>
          <t>high</t>
        </is>
      </c>
      <c r="G121" s="9" t="n">
        <v>0</v>
      </c>
    </row>
    <row r="122">
      <c r="A122" s="8" t="inlineStr">
        <is>
          <t>Operating expenses (detail)</t>
        </is>
      </c>
      <c r="B122" s="8" t="inlineStr">
        <is>
          <t>C18</t>
        </is>
      </c>
      <c r="C122" s="8" t="inlineStr">
        <is>
          <t>11b. Fees for services: legal</t>
        </is>
      </c>
      <c r="D122" s="8" t="inlineStr">
        <is>
          <t>11b</t>
        </is>
      </c>
      <c r="E122" s="8" t="inlineStr">
        <is>
          <t>part_ix_expenses.fees_legal</t>
        </is>
      </c>
      <c r="F122" s="8" t="inlineStr">
        <is>
          <t>high</t>
        </is>
      </c>
      <c r="G122" s="9" t="n">
        <v>0</v>
      </c>
    </row>
    <row r="123">
      <c r="A123" s="8" t="inlineStr">
        <is>
          <t>Operating expenses (detail)</t>
        </is>
      </c>
      <c r="B123" s="8" t="inlineStr">
        <is>
          <t>D18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E18</t>
        </is>
      </c>
      <c r="C124" s="8" t="inlineStr">
        <is>
          <t>11b. Fees for services: legal</t>
        </is>
      </c>
      <c r="D124" s="8" t="inlineStr">
        <is>
          <t>11b</t>
        </is>
      </c>
      <c r="E124" s="8" t="inlineStr">
        <is>
          <t>part_ix_expenses.fees_legal</t>
        </is>
      </c>
      <c r="F124" s="8" t="inlineStr">
        <is>
          <t>high</t>
        </is>
      </c>
      <c r="G124" s="9" t="n">
        <v>0</v>
      </c>
    </row>
    <row r="125">
      <c r="A125" s="8" t="inlineStr">
        <is>
          <t>Operating expenses (detail)</t>
        </is>
      </c>
      <c r="B125" s="8" t="inlineStr">
        <is>
          <t>F18</t>
        </is>
      </c>
      <c r="C125" s="8" t="inlineStr">
        <is>
          <t>11b. Fees for services: legal</t>
        </is>
      </c>
      <c r="D125" s="8" t="inlineStr">
        <is>
          <t>11b</t>
        </is>
      </c>
      <c r="E125" s="8" t="inlineStr">
        <is>
          <t>part_ix_expenses.fees_legal</t>
        </is>
      </c>
      <c r="F125" s="8" t="inlineStr">
        <is>
          <t>high</t>
        </is>
      </c>
      <c r="G125" s="9" t="n">
        <v>2095</v>
      </c>
    </row>
    <row r="126">
      <c r="A126" s="8" t="inlineStr">
        <is>
          <t>Operating expenses (detail)</t>
        </is>
      </c>
      <c r="B126" s="8" t="inlineStr">
        <is>
          <t>G18</t>
        </is>
      </c>
      <c r="C126" s="8" t="inlineStr">
        <is>
          <t>11b. Fees for services: legal</t>
        </is>
      </c>
      <c r="D126" s="8" t="inlineStr">
        <is>
          <t>11b</t>
        </is>
      </c>
      <c r="E126" s="8" t="inlineStr">
        <is>
          <t>part_ix_expenses.fees_legal</t>
        </is>
      </c>
      <c r="F126" s="8" t="inlineStr">
        <is>
          <t>high</t>
        </is>
      </c>
      <c r="G126" s="9" t="n">
        <v>282</v>
      </c>
    </row>
    <row r="127">
      <c r="A127" s="8" t="inlineStr">
        <is>
          <t>Operating expenses (detail)</t>
        </is>
      </c>
      <c r="B127" s="8" t="inlineStr">
        <is>
          <t>B19</t>
        </is>
      </c>
      <c r="C127" s="8" t="inlineStr">
        <is>
          <t>11c. Fees for services: accounting</t>
        </is>
      </c>
      <c r="D127" s="8" t="inlineStr">
        <is>
          <t>11c</t>
        </is>
      </c>
      <c r="E127" s="8" t="inlineStr">
        <is>
          <t>part_ix_expenses.fees_accounting</t>
        </is>
      </c>
      <c r="F127" s="8" t="inlineStr">
        <is>
          <t>high</t>
        </is>
      </c>
      <c r="G127" s="9" t="n">
        <v>4445</v>
      </c>
    </row>
    <row r="128">
      <c r="A128" s="8" t="inlineStr">
        <is>
          <t>Operating expenses (detail)</t>
        </is>
      </c>
      <c r="B128" s="8" t="inlineStr">
        <is>
          <t>C19</t>
        </is>
      </c>
      <c r="C128" s="8" t="inlineStr">
        <is>
          <t>11c. Fees for services: accounting</t>
        </is>
      </c>
      <c r="D128" s="8" t="inlineStr">
        <is>
          <t>11c</t>
        </is>
      </c>
      <c r="E128" s="8" t="inlineStr">
        <is>
          <t>part_ix_expenses.fees_accounting</t>
        </is>
      </c>
      <c r="F128" s="8" t="inlineStr">
        <is>
          <t>high</t>
        </is>
      </c>
      <c r="G128" s="9" t="n">
        <v>4445</v>
      </c>
    </row>
    <row r="129">
      <c r="A129" s="8" t="inlineStr">
        <is>
          <t>Operating expenses (detail)</t>
        </is>
      </c>
      <c r="B129" s="8" t="inlineStr">
        <is>
          <t>D19</t>
        </is>
      </c>
      <c r="C129" s="8" t="inlineStr">
        <is>
          <t>11c. Fees for services: accounting</t>
        </is>
      </c>
      <c r="D129" s="8" t="inlineStr">
        <is>
          <t>11c</t>
        </is>
      </c>
      <c r="E129" s="8" t="inlineStr">
        <is>
          <t>part_ix_expenses.fees_accounting</t>
        </is>
      </c>
      <c r="F129" s="8" t="inlineStr">
        <is>
          <t>high</t>
        </is>
      </c>
      <c r="G129" s="9" t="n">
        <v>4575</v>
      </c>
    </row>
    <row r="130">
      <c r="A130" s="8" t="inlineStr">
        <is>
          <t>Operating expenses (detail)</t>
        </is>
      </c>
      <c r="B130" s="8" t="inlineStr">
        <is>
          <t>E19</t>
        </is>
      </c>
      <c r="C130" s="8" t="inlineStr">
        <is>
          <t>11c. Fees for services: accounting</t>
        </is>
      </c>
      <c r="D130" s="8" t="inlineStr">
        <is>
          <t>11c</t>
        </is>
      </c>
      <c r="E130" s="8" t="inlineStr">
        <is>
          <t>part_ix_expenses.fees_accounting</t>
        </is>
      </c>
      <c r="F130" s="8" t="inlineStr">
        <is>
          <t>high</t>
        </is>
      </c>
      <c r="G130" s="9" t="n">
        <v>5225</v>
      </c>
    </row>
    <row r="131">
      <c r="A131" s="8" t="inlineStr">
        <is>
          <t>Operating expenses (detail)</t>
        </is>
      </c>
      <c r="B131" s="8" t="inlineStr">
        <is>
          <t>F19</t>
        </is>
      </c>
      <c r="C131" s="8" t="inlineStr">
        <is>
          <t>11c. Fees for services: accounting</t>
        </is>
      </c>
      <c r="D131" s="8" t="inlineStr">
        <is>
          <t>11c</t>
        </is>
      </c>
      <c r="E131" s="8" t="inlineStr">
        <is>
          <t>part_ix_expenses.fees_accounting</t>
        </is>
      </c>
      <c r="F131" s="8" t="inlineStr">
        <is>
          <t>high</t>
        </is>
      </c>
      <c r="G131" s="9" t="n">
        <v>5225</v>
      </c>
    </row>
    <row r="132">
      <c r="A132" s="8" t="inlineStr">
        <is>
          <t>Operating expenses (detail)</t>
        </is>
      </c>
      <c r="B132" s="8" t="inlineStr">
        <is>
          <t>G19</t>
        </is>
      </c>
      <c r="C132" s="8" t="inlineStr">
        <is>
          <t>11c. Fees for services: accounting</t>
        </is>
      </c>
      <c r="D132" s="8" t="inlineStr">
        <is>
          <t>11c</t>
        </is>
      </c>
      <c r="E132" s="8" t="inlineStr">
        <is>
          <t>part_ix_expenses.fees_accounting</t>
        </is>
      </c>
      <c r="F132" s="8" t="inlineStr">
        <is>
          <t>high</t>
        </is>
      </c>
      <c r="G132" s="9" t="n">
        <v>5225</v>
      </c>
    </row>
    <row r="133">
      <c r="A133" s="8" t="inlineStr">
        <is>
          <t>Operating expenses (detail)</t>
        </is>
      </c>
      <c r="B133" s="8" t="inlineStr">
        <is>
          <t>B20</t>
        </is>
      </c>
      <c r="C133" s="8" t="inlineStr">
        <is>
          <t>11d. Fees for services: lobbying</t>
        </is>
      </c>
      <c r="D133" s="8" t="inlineStr">
        <is>
          <t>11d</t>
        </is>
      </c>
      <c r="E133" s="8" t="inlineStr">
        <is>
          <t>part_ix_expenses.fees_lobbying</t>
        </is>
      </c>
      <c r="F133" s="8" t="inlineStr">
        <is>
          <t>high</t>
        </is>
      </c>
      <c r="G133" s="9" t="n">
        <v>0</v>
      </c>
    </row>
    <row r="134">
      <c r="A134" s="8" t="inlineStr">
        <is>
          <t>Operating expenses (detail)</t>
        </is>
      </c>
      <c r="B134" s="8" t="inlineStr">
        <is>
          <t>C20</t>
        </is>
      </c>
      <c r="C134" s="8" t="inlineStr">
        <is>
          <t>11d. Fees for services: lobbying</t>
        </is>
      </c>
      <c r="D134" s="8" t="inlineStr">
        <is>
          <t>11d</t>
        </is>
      </c>
      <c r="E134" s="8" t="inlineStr">
        <is>
          <t>part_ix_expenses.fees_lobbying</t>
        </is>
      </c>
      <c r="F134" s="8" t="inlineStr">
        <is>
          <t>high</t>
        </is>
      </c>
      <c r="G134" s="9" t="n">
        <v>0</v>
      </c>
    </row>
    <row r="135">
      <c r="A135" s="8" t="inlineStr">
        <is>
          <t>Operating expenses (detail)</t>
        </is>
      </c>
      <c r="B135" s="8" t="inlineStr">
        <is>
          <t>D20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E20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F20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G20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B21</t>
        </is>
      </c>
      <c r="C139" s="8" t="inlineStr">
        <is>
          <t>11e. Fees for services: professional fundraising</t>
        </is>
      </c>
      <c r="D139" s="8" t="inlineStr">
        <is>
          <t>11e</t>
        </is>
      </c>
      <c r="E139" s="8" t="inlineStr">
        <is>
          <t>part_ix_expenses.fees_prof_fundraising</t>
        </is>
      </c>
      <c r="F139" s="8" t="inlineStr">
        <is>
          <t>high</t>
        </is>
      </c>
      <c r="G139" s="9" t="n">
        <v>0</v>
      </c>
    </row>
    <row r="140">
      <c r="A140" s="8" t="inlineStr">
        <is>
          <t>Operating expenses (detail)</t>
        </is>
      </c>
      <c r="B140" s="8" t="inlineStr">
        <is>
          <t>C21</t>
        </is>
      </c>
      <c r="C140" s="8" t="inlineStr">
        <is>
          <t>11e. Fees for services: professional fundraising</t>
        </is>
      </c>
      <c r="D140" s="8" t="inlineStr">
        <is>
          <t>11e</t>
        </is>
      </c>
      <c r="E140" s="8" t="inlineStr">
        <is>
          <t>part_ix_expenses.fees_prof_fundraising</t>
        </is>
      </c>
      <c r="F140" s="8" t="inlineStr">
        <is>
          <t>high</t>
        </is>
      </c>
      <c r="G140" s="9" t="n">
        <v>0</v>
      </c>
    </row>
    <row r="141">
      <c r="A141" s="8" t="inlineStr">
        <is>
          <t>Operating expenses (detail)</t>
        </is>
      </c>
      <c r="B141" s="8" t="inlineStr">
        <is>
          <t>D21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E21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F21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G21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B22</t>
        </is>
      </c>
      <c r="C145" s="8" t="inlineStr">
        <is>
          <t>11f. Fees for services: investment management</t>
        </is>
      </c>
      <c r="D145" s="8" t="inlineStr">
        <is>
          <t>11f</t>
        </is>
      </c>
      <c r="E145" s="8" t="inlineStr">
        <is>
          <t>part_ix_expenses.fees_investment_mgmt</t>
        </is>
      </c>
      <c r="F145" s="8" t="inlineStr">
        <is>
          <t>high</t>
        </is>
      </c>
      <c r="G145" s="9" t="n">
        <v>0</v>
      </c>
    </row>
    <row r="146">
      <c r="A146" s="8" t="inlineStr">
        <is>
          <t>Operating expenses (detail)</t>
        </is>
      </c>
      <c r="B146" s="8" t="inlineStr">
        <is>
          <t>C22</t>
        </is>
      </c>
      <c r="C146" s="8" t="inlineStr">
        <is>
          <t>11f. Fees for services: investment management</t>
        </is>
      </c>
      <c r="D146" s="8" t="inlineStr">
        <is>
          <t>11f</t>
        </is>
      </c>
      <c r="E146" s="8" t="inlineStr">
        <is>
          <t>part_ix_expenses.fees_investment_mgmt</t>
        </is>
      </c>
      <c r="F146" s="8" t="inlineStr">
        <is>
          <t>high</t>
        </is>
      </c>
      <c r="G146" s="9" t="n">
        <v>0</v>
      </c>
    </row>
    <row r="147">
      <c r="A147" s="8" t="inlineStr">
        <is>
          <t>Operating expenses (detail)</t>
        </is>
      </c>
      <c r="B147" s="8" t="inlineStr">
        <is>
          <t>D22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E22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F22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G22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B23</t>
        </is>
      </c>
      <c r="C151" s="8" t="inlineStr">
        <is>
          <t>11g. Fees for services: other</t>
        </is>
      </c>
      <c r="D151" s="8" t="inlineStr">
        <is>
          <t>11g</t>
        </is>
      </c>
      <c r="E151" s="8" t="inlineStr">
        <is>
          <t>part_ix_expenses.fees_other</t>
        </is>
      </c>
      <c r="F151" s="8" t="inlineStr">
        <is>
          <t>high</t>
        </is>
      </c>
      <c r="G151" s="9" t="n">
        <v>11</v>
      </c>
    </row>
    <row r="152">
      <c r="A152" s="8" t="inlineStr">
        <is>
          <t>Operating expenses (detail)</t>
        </is>
      </c>
      <c r="B152" s="8" t="inlineStr">
        <is>
          <t>C23</t>
        </is>
      </c>
      <c r="C152" s="8" t="inlineStr">
        <is>
          <t>11g. Fees for services: other</t>
        </is>
      </c>
      <c r="D152" s="8" t="inlineStr">
        <is>
          <t>11g</t>
        </is>
      </c>
      <c r="E152" s="8" t="inlineStr">
        <is>
          <t>part_ix_expenses.fees_other</t>
        </is>
      </c>
      <c r="F152" s="8" t="inlineStr">
        <is>
          <t>high</t>
        </is>
      </c>
      <c r="G152" s="9" t="n">
        <v>55</v>
      </c>
    </row>
    <row r="153">
      <c r="A153" s="8" t="inlineStr">
        <is>
          <t>Operating expenses (detail)</t>
        </is>
      </c>
      <c r="B153" s="8" t="inlineStr">
        <is>
          <t>D23</t>
        </is>
      </c>
      <c r="C153" s="8" t="inlineStr">
        <is>
          <t>11g. Fees for services: other</t>
        </is>
      </c>
      <c r="D153" s="8" t="inlineStr">
        <is>
          <t>11g</t>
        </is>
      </c>
      <c r="E153" s="8" t="inlineStr">
        <is>
          <t>part_ix_expenses.fees_other</t>
        </is>
      </c>
      <c r="F153" s="8" t="inlineStr">
        <is>
          <t>high</t>
        </is>
      </c>
      <c r="G153" s="9" t="n">
        <v>2280</v>
      </c>
    </row>
    <row r="154">
      <c r="A154" s="8" t="inlineStr">
        <is>
          <t>Operating expenses (detail)</t>
        </is>
      </c>
      <c r="B154" s="8" t="inlineStr">
        <is>
          <t>E23</t>
        </is>
      </c>
      <c r="C154" s="8" t="inlineStr">
        <is>
          <t>11g. Fees for services: other</t>
        </is>
      </c>
      <c r="D154" s="8" t="inlineStr">
        <is>
          <t>11g</t>
        </is>
      </c>
      <c r="E154" s="8" t="inlineStr">
        <is>
          <t>part_ix_expenses.fees_other</t>
        </is>
      </c>
      <c r="F154" s="8" t="inlineStr">
        <is>
          <t>high</t>
        </is>
      </c>
      <c r="G154" s="9" t="n">
        <v>3345</v>
      </c>
    </row>
    <row r="155">
      <c r="A155" s="8" t="inlineStr">
        <is>
          <t>Operating expenses (detail)</t>
        </is>
      </c>
      <c r="B155" s="8" t="inlineStr">
        <is>
          <t>F23</t>
        </is>
      </c>
      <c r="C155" s="8" t="inlineStr">
        <is>
          <t>11g. Fees for services: other</t>
        </is>
      </c>
      <c r="D155" s="8" t="inlineStr">
        <is>
          <t>11g</t>
        </is>
      </c>
      <c r="E155" s="8" t="inlineStr">
        <is>
          <t>part_ix_expenses.fees_other</t>
        </is>
      </c>
      <c r="F155" s="8" t="inlineStr">
        <is>
          <t>high</t>
        </is>
      </c>
      <c r="G155" s="9" t="n">
        <v>3082</v>
      </c>
    </row>
    <row r="156">
      <c r="A156" s="8" t="inlineStr">
        <is>
          <t>Operating expenses (detail)</t>
        </is>
      </c>
      <c r="B156" s="8" t="inlineStr">
        <is>
          <t>G23</t>
        </is>
      </c>
      <c r="C156" s="8" t="inlineStr">
        <is>
          <t>11g. Fees for services: other</t>
        </is>
      </c>
      <c r="D156" s="8" t="inlineStr">
        <is>
          <t>11g</t>
        </is>
      </c>
      <c r="E156" s="8" t="inlineStr">
        <is>
          <t>part_ix_expenses.fees_other</t>
        </is>
      </c>
      <c r="F156" s="8" t="inlineStr">
        <is>
          <t>high</t>
        </is>
      </c>
      <c r="G156" s="9" t="n">
        <v>2205</v>
      </c>
    </row>
    <row r="157">
      <c r="A157" s="8" t="inlineStr">
        <is>
          <t>Operating expenses (detail)</t>
        </is>
      </c>
      <c r="B157" s="8" t="inlineStr">
        <is>
          <t>B24</t>
        </is>
      </c>
      <c r="C157" s="8" t="inlineStr">
        <is>
          <t>12. Advertising and promotion</t>
        </is>
      </c>
      <c r="D157" s="8" t="inlineStr">
        <is>
          <t>12</t>
        </is>
      </c>
      <c r="E157" s="8" t="inlineStr">
        <is>
          <t>part_ix_expenses.advertising</t>
        </is>
      </c>
      <c r="F157" s="8" t="inlineStr">
        <is>
          <t>high</t>
        </is>
      </c>
      <c r="G157" s="9" t="n">
        <v>0</v>
      </c>
    </row>
    <row r="158">
      <c r="A158" s="8" t="inlineStr">
        <is>
          <t>Operating expenses (detail)</t>
        </is>
      </c>
      <c r="B158" s="8" t="inlineStr">
        <is>
          <t>C24</t>
        </is>
      </c>
      <c r="C158" s="8" t="inlineStr">
        <is>
          <t>12. Advertising and promotion</t>
        </is>
      </c>
      <c r="D158" s="8" t="inlineStr">
        <is>
          <t>12</t>
        </is>
      </c>
      <c r="E158" s="8" t="inlineStr">
        <is>
          <t>part_ix_expenses.advertising</t>
        </is>
      </c>
      <c r="F158" s="8" t="inlineStr">
        <is>
          <t>high</t>
        </is>
      </c>
      <c r="G158" s="9" t="n">
        <v>0</v>
      </c>
    </row>
    <row r="159">
      <c r="A159" s="8" t="inlineStr">
        <is>
          <t>Operating expenses (detail)</t>
        </is>
      </c>
      <c r="B159" s="8" t="inlineStr">
        <is>
          <t>D24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E24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F24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G24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B25</t>
        </is>
      </c>
      <c r="C163" s="8" t="inlineStr">
        <is>
          <t>13. Office expenses</t>
        </is>
      </c>
      <c r="D163" s="8" t="inlineStr">
        <is>
          <t>13</t>
        </is>
      </c>
      <c r="E163" s="8" t="inlineStr">
        <is>
          <t>part_ix_expenses.office_expenses</t>
        </is>
      </c>
      <c r="F163" s="8" t="inlineStr">
        <is>
          <t>high</t>
        </is>
      </c>
      <c r="G163" s="9" t="n">
        <v>365</v>
      </c>
    </row>
    <row r="164">
      <c r="A164" s="8" t="inlineStr">
        <is>
          <t>Operating expenses (detail)</t>
        </is>
      </c>
      <c r="B164" s="8" t="inlineStr">
        <is>
          <t>C25</t>
        </is>
      </c>
      <c r="C164" s="8" t="inlineStr">
        <is>
          <t>13. Office expenses</t>
        </is>
      </c>
      <c r="D164" s="8" t="inlineStr">
        <is>
          <t>13</t>
        </is>
      </c>
      <c r="E164" s="8" t="inlineStr">
        <is>
          <t>part_ix_expenses.office_expenses</t>
        </is>
      </c>
      <c r="F164" s="8" t="inlineStr">
        <is>
          <t>high</t>
        </is>
      </c>
      <c r="G164" s="9" t="n">
        <v>607</v>
      </c>
    </row>
    <row r="165">
      <c r="A165" s="8" t="inlineStr">
        <is>
          <t>Operating expenses (detail)</t>
        </is>
      </c>
      <c r="B165" s="8" t="inlineStr">
        <is>
          <t>D25</t>
        </is>
      </c>
      <c r="C165" s="8" t="inlineStr">
        <is>
          <t>13. Office expenses</t>
        </is>
      </c>
      <c r="D165" s="8" t="inlineStr">
        <is>
          <t>13</t>
        </is>
      </c>
      <c r="E165" s="8" t="inlineStr">
        <is>
          <t>part_ix_expenses.office_expenses</t>
        </is>
      </c>
      <c r="F165" s="8" t="inlineStr">
        <is>
          <t>high</t>
        </is>
      </c>
      <c r="G165" s="9" t="n">
        <v>2488</v>
      </c>
    </row>
    <row r="166">
      <c r="A166" s="8" t="inlineStr">
        <is>
          <t>Operating expenses (detail)</t>
        </is>
      </c>
      <c r="B166" s="8" t="inlineStr">
        <is>
          <t>E25</t>
        </is>
      </c>
      <c r="C166" s="8" t="inlineStr">
        <is>
          <t>13. Office expenses</t>
        </is>
      </c>
      <c r="D166" s="8" t="inlineStr">
        <is>
          <t>13</t>
        </is>
      </c>
      <c r="E166" s="8" t="inlineStr">
        <is>
          <t>part_ix_expenses.office_expenses</t>
        </is>
      </c>
      <c r="F166" s="8" t="inlineStr">
        <is>
          <t>high</t>
        </is>
      </c>
      <c r="G166" s="9" t="n">
        <v>1026</v>
      </c>
    </row>
    <row r="167">
      <c r="A167" s="8" t="inlineStr">
        <is>
          <t>Operating expenses (detail)</t>
        </is>
      </c>
      <c r="B167" s="8" t="inlineStr">
        <is>
          <t>F25</t>
        </is>
      </c>
      <c r="C167" s="8" t="inlineStr">
        <is>
          <t>13. Office expenses</t>
        </is>
      </c>
      <c r="D167" s="8" t="inlineStr">
        <is>
          <t>13</t>
        </is>
      </c>
      <c r="E167" s="8" t="inlineStr">
        <is>
          <t>part_ix_expenses.office_expenses</t>
        </is>
      </c>
      <c r="F167" s="8" t="inlineStr">
        <is>
          <t>high</t>
        </is>
      </c>
      <c r="G167" s="9" t="n">
        <v>1719</v>
      </c>
    </row>
    <row r="168">
      <c r="A168" s="8" t="inlineStr">
        <is>
          <t>Operating expenses (detail)</t>
        </is>
      </c>
      <c r="B168" s="8" t="inlineStr">
        <is>
          <t>G25</t>
        </is>
      </c>
      <c r="C168" s="8" t="inlineStr">
        <is>
          <t>13. Office expenses</t>
        </is>
      </c>
      <c r="D168" s="8" t="inlineStr">
        <is>
          <t>13</t>
        </is>
      </c>
      <c r="E168" s="8" t="inlineStr">
        <is>
          <t>part_ix_expenses.office_expenses</t>
        </is>
      </c>
      <c r="F168" s="8" t="inlineStr">
        <is>
          <t>high</t>
        </is>
      </c>
      <c r="G168" s="9" t="n">
        <v>2686</v>
      </c>
    </row>
    <row r="169">
      <c r="A169" s="8" t="inlineStr">
        <is>
          <t>Operating expenses (detail)</t>
        </is>
      </c>
      <c r="B169" s="8" t="inlineStr">
        <is>
          <t>B26</t>
        </is>
      </c>
      <c r="C169" s="8" t="inlineStr">
        <is>
          <t>14. Information technology</t>
        </is>
      </c>
      <c r="D169" s="8" t="inlineStr">
        <is>
          <t>14</t>
        </is>
      </c>
      <c r="E169" s="8" t="inlineStr">
        <is>
          <t>part_ix_expenses.information_technology</t>
        </is>
      </c>
      <c r="F169" s="8" t="inlineStr">
        <is>
          <t>high</t>
        </is>
      </c>
      <c r="G169" s="9" t="n">
        <v>0</v>
      </c>
    </row>
    <row r="170">
      <c r="A170" s="8" t="inlineStr">
        <is>
          <t>Operating expenses (detail)</t>
        </is>
      </c>
      <c r="B170" s="8" t="inlineStr">
        <is>
          <t>C26</t>
        </is>
      </c>
      <c r="C170" s="8" t="inlineStr">
        <is>
          <t>14. Information technology</t>
        </is>
      </c>
      <c r="D170" s="8" t="inlineStr">
        <is>
          <t>14</t>
        </is>
      </c>
      <c r="E170" s="8" t="inlineStr">
        <is>
          <t>part_ix_expenses.information_technology</t>
        </is>
      </c>
      <c r="F170" s="8" t="inlineStr">
        <is>
          <t>high</t>
        </is>
      </c>
      <c r="G170" s="9" t="n">
        <v>0</v>
      </c>
    </row>
    <row r="171">
      <c r="A171" s="8" t="inlineStr">
        <is>
          <t>Operating expenses (detail)</t>
        </is>
      </c>
      <c r="B171" s="8" t="inlineStr">
        <is>
          <t>D26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E26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F26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G26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B27</t>
        </is>
      </c>
      <c r="C175" s="8" t="inlineStr">
        <is>
          <t>15. Royalties</t>
        </is>
      </c>
      <c r="D175" s="8" t="inlineStr">
        <is>
          <t>15</t>
        </is>
      </c>
      <c r="E175" s="8" t="inlineStr">
        <is>
          <t>part_ix_expenses.royalties</t>
        </is>
      </c>
      <c r="F175" s="8" t="inlineStr">
        <is>
          <t>high</t>
        </is>
      </c>
      <c r="G175" s="9" t="n">
        <v>0</v>
      </c>
    </row>
    <row r="176">
      <c r="A176" s="8" t="inlineStr">
        <is>
          <t>Operating expenses (detail)</t>
        </is>
      </c>
      <c r="B176" s="8" t="inlineStr">
        <is>
          <t>C27</t>
        </is>
      </c>
      <c r="C176" s="8" t="inlineStr">
        <is>
          <t>15. Royalties</t>
        </is>
      </c>
      <c r="D176" s="8" t="inlineStr">
        <is>
          <t>15</t>
        </is>
      </c>
      <c r="E176" s="8" t="inlineStr">
        <is>
          <t>part_ix_expenses.royalties</t>
        </is>
      </c>
      <c r="F176" s="8" t="inlineStr">
        <is>
          <t>high</t>
        </is>
      </c>
      <c r="G176" s="9" t="n">
        <v>0</v>
      </c>
    </row>
    <row r="177">
      <c r="A177" s="8" t="inlineStr">
        <is>
          <t>Operating expenses (detail)</t>
        </is>
      </c>
      <c r="B177" s="8" t="inlineStr">
        <is>
          <t>D27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E27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F27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G27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B28</t>
        </is>
      </c>
      <c r="C181" s="8" t="inlineStr">
        <is>
          <t>16. Occupancy</t>
        </is>
      </c>
      <c r="D181" s="8" t="inlineStr">
        <is>
          <t>16</t>
        </is>
      </c>
      <c r="E181" s="8" t="inlineStr">
        <is>
          <t>part_ix_expenses.occupancy</t>
        </is>
      </c>
      <c r="F181" s="8" t="inlineStr">
        <is>
          <t>high</t>
        </is>
      </c>
      <c r="G181" s="9" t="n">
        <v>0</v>
      </c>
    </row>
    <row r="182">
      <c r="A182" s="8" t="inlineStr">
        <is>
          <t>Operating expenses (detail)</t>
        </is>
      </c>
      <c r="B182" s="8" t="inlineStr">
        <is>
          <t>C28</t>
        </is>
      </c>
      <c r="C182" s="8" t="inlineStr">
        <is>
          <t>16. Occupancy</t>
        </is>
      </c>
      <c r="D182" s="8" t="inlineStr">
        <is>
          <t>16</t>
        </is>
      </c>
      <c r="E182" s="8" t="inlineStr">
        <is>
          <t>part_ix_expenses.occupancy</t>
        </is>
      </c>
      <c r="F182" s="8" t="inlineStr">
        <is>
          <t>high</t>
        </is>
      </c>
      <c r="G182" s="9" t="n">
        <v>0</v>
      </c>
    </row>
    <row r="183">
      <c r="A183" s="8" t="inlineStr">
        <is>
          <t>Operating expenses (detail)</t>
        </is>
      </c>
      <c r="B183" s="8" t="inlineStr">
        <is>
          <t>D28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E28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F28</t>
        </is>
      </c>
      <c r="C185" s="8" t="inlineStr">
        <is>
          <t>16. Occupancy</t>
        </is>
      </c>
      <c r="D185" s="8" t="inlineStr">
        <is>
          <t>16</t>
        </is>
      </c>
      <c r="E185" s="8" t="inlineStr">
        <is>
          <t>part_ix_expenses.occupancy</t>
        </is>
      </c>
      <c r="F185" s="8" t="inlineStr">
        <is>
          <t>high</t>
        </is>
      </c>
      <c r="G185" s="9" t="n">
        <v>0</v>
      </c>
    </row>
    <row r="186">
      <c r="A186" s="8" t="inlineStr">
        <is>
          <t>Operating expenses (detail)</t>
        </is>
      </c>
      <c r="B186" s="8" t="inlineStr">
        <is>
          <t>G28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B29</t>
        </is>
      </c>
      <c r="C187" s="8" t="inlineStr">
        <is>
          <t>17. Travel</t>
        </is>
      </c>
      <c r="D187" s="8" t="inlineStr">
        <is>
          <t>17</t>
        </is>
      </c>
      <c r="E187" s="8" t="inlineStr">
        <is>
          <t>part_ix_expenses.travel</t>
        </is>
      </c>
      <c r="F187" s="8" t="inlineStr">
        <is>
          <t>high</t>
        </is>
      </c>
      <c r="G187" s="9" t="n">
        <v>0</v>
      </c>
    </row>
    <row r="188">
      <c r="A188" s="8" t="inlineStr">
        <is>
          <t>Operating expenses (detail)</t>
        </is>
      </c>
      <c r="B188" s="8" t="inlineStr">
        <is>
          <t>C29</t>
        </is>
      </c>
      <c r="C188" s="8" t="inlineStr">
        <is>
          <t>17. Travel</t>
        </is>
      </c>
      <c r="D188" s="8" t="inlineStr">
        <is>
          <t>17</t>
        </is>
      </c>
      <c r="E188" s="8" t="inlineStr">
        <is>
          <t>part_ix_expenses.travel</t>
        </is>
      </c>
      <c r="F188" s="8" t="inlineStr">
        <is>
          <t>high</t>
        </is>
      </c>
      <c r="G188" s="9" t="n">
        <v>0</v>
      </c>
    </row>
    <row r="189">
      <c r="A189" s="8" t="inlineStr">
        <is>
          <t>Operating expenses (detail)</t>
        </is>
      </c>
      <c r="B189" s="8" t="inlineStr">
        <is>
          <t>D29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E29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F29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G29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B30</t>
        </is>
      </c>
      <c r="C193" s="8" t="inlineStr">
        <is>
          <t>18. Payments of travel/entertainment for public officials</t>
        </is>
      </c>
      <c r="D193" s="8" t="inlineStr">
        <is>
          <t>18</t>
        </is>
      </c>
      <c r="E193" s="8" t="inlineStr">
        <is>
          <t>part_ix_expenses.travel_entertainment_public_officials</t>
        </is>
      </c>
      <c r="F193" s="8" t="inlineStr">
        <is>
          <t>high</t>
        </is>
      </c>
      <c r="G193" s="9" t="n">
        <v>0</v>
      </c>
    </row>
    <row r="194">
      <c r="A194" s="8" t="inlineStr">
        <is>
          <t>Operating expenses (detail)</t>
        </is>
      </c>
      <c r="B194" s="8" t="inlineStr">
        <is>
          <t>C30</t>
        </is>
      </c>
      <c r="C194" s="8" t="inlineStr">
        <is>
          <t>18. Payments of travel/entertainment for public officials</t>
        </is>
      </c>
      <c r="D194" s="8" t="inlineStr">
        <is>
          <t>18</t>
        </is>
      </c>
      <c r="E194" s="8" t="inlineStr">
        <is>
          <t>part_ix_expenses.travel_entertainment_public_officials</t>
        </is>
      </c>
      <c r="F194" s="8" t="inlineStr">
        <is>
          <t>high</t>
        </is>
      </c>
      <c r="G194" s="9" t="n">
        <v>0</v>
      </c>
    </row>
    <row r="195">
      <c r="A195" s="8" t="inlineStr">
        <is>
          <t>Operating expenses (detail)</t>
        </is>
      </c>
      <c r="B195" s="8" t="inlineStr">
        <is>
          <t>D30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E30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F30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G30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B31</t>
        </is>
      </c>
      <c r="C199" s="8" t="inlineStr">
        <is>
          <t>19. Conferences, conventions, and meetings</t>
        </is>
      </c>
      <c r="D199" s="8" t="inlineStr">
        <is>
          <t>19</t>
        </is>
      </c>
      <c r="E199" s="8" t="inlineStr">
        <is>
          <t>part_ix_expenses.conferences_conventions_meetings</t>
        </is>
      </c>
      <c r="F199" s="8" t="inlineStr">
        <is>
          <t>high</t>
        </is>
      </c>
      <c r="G199" s="9" t="n">
        <v>0</v>
      </c>
    </row>
    <row r="200">
      <c r="A200" s="8" t="inlineStr">
        <is>
          <t>Operating expenses (detail)</t>
        </is>
      </c>
      <c r="B200" s="8" t="inlineStr">
        <is>
          <t>C31</t>
        </is>
      </c>
      <c r="C200" s="8" t="inlineStr">
        <is>
          <t>19. Conferences, conventions, and meetings</t>
        </is>
      </c>
      <c r="D200" s="8" t="inlineStr">
        <is>
          <t>19</t>
        </is>
      </c>
      <c r="E200" s="8" t="inlineStr">
        <is>
          <t>part_ix_expenses.conferences_conventions_meetings</t>
        </is>
      </c>
      <c r="F200" s="8" t="inlineStr">
        <is>
          <t>high</t>
        </is>
      </c>
      <c r="G200" s="9" t="n">
        <v>0</v>
      </c>
    </row>
    <row r="201">
      <c r="A201" s="8" t="inlineStr">
        <is>
          <t>Operating expenses (detail)</t>
        </is>
      </c>
      <c r="B201" s="8" t="inlineStr">
        <is>
          <t>D31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E31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F31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G31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B32</t>
        </is>
      </c>
      <c r="C205" s="8" t="inlineStr">
        <is>
          <t>20. Interest</t>
        </is>
      </c>
      <c r="D205" s="8" t="inlineStr">
        <is>
          <t>20</t>
        </is>
      </c>
      <c r="E205" s="8" t="inlineStr">
        <is>
          <t>part_ix_expenses.interest</t>
        </is>
      </c>
      <c r="F205" s="8" t="inlineStr">
        <is>
          <t>high</t>
        </is>
      </c>
      <c r="G205" s="9" t="n">
        <v>0</v>
      </c>
    </row>
    <row r="206">
      <c r="A206" s="8" t="inlineStr">
        <is>
          <t>Operating expenses (detail)</t>
        </is>
      </c>
      <c r="B206" s="8" t="inlineStr">
        <is>
          <t>C32</t>
        </is>
      </c>
      <c r="C206" s="8" t="inlineStr">
        <is>
          <t>20. Interest</t>
        </is>
      </c>
      <c r="D206" s="8" t="inlineStr">
        <is>
          <t>20</t>
        </is>
      </c>
      <c r="E206" s="8" t="inlineStr">
        <is>
          <t>part_ix_expenses.interest</t>
        </is>
      </c>
      <c r="F206" s="8" t="inlineStr">
        <is>
          <t>high</t>
        </is>
      </c>
      <c r="G206" s="9" t="n">
        <v>0</v>
      </c>
    </row>
    <row r="207">
      <c r="A207" s="8" t="inlineStr">
        <is>
          <t>Operating expenses (detail)</t>
        </is>
      </c>
      <c r="B207" s="8" t="inlineStr">
        <is>
          <t>D32</t>
        </is>
      </c>
      <c r="C207" s="8" t="inlineStr">
        <is>
          <t>20. Interest</t>
        </is>
      </c>
      <c r="D207" s="8" t="inlineStr">
        <is>
          <t>20</t>
        </is>
      </c>
      <c r="E207" s="8" t="inlineStr">
        <is>
          <t>part_ix_expenses.interest</t>
        </is>
      </c>
      <c r="F207" s="8" t="inlineStr">
        <is>
          <t>high</t>
        </is>
      </c>
      <c r="G207" s="9" t="n">
        <v>0</v>
      </c>
    </row>
    <row r="208">
      <c r="A208" s="8" t="inlineStr">
        <is>
          <t>Operating expenses (detail)</t>
        </is>
      </c>
      <c r="B208" s="8" t="inlineStr">
        <is>
          <t>E32</t>
        </is>
      </c>
      <c r="C208" s="8" t="inlineStr">
        <is>
          <t>20. Interest</t>
        </is>
      </c>
      <c r="D208" s="8" t="inlineStr">
        <is>
          <t>20</t>
        </is>
      </c>
      <c r="E208" s="8" t="inlineStr">
        <is>
          <t>part_ix_expenses.interest</t>
        </is>
      </c>
      <c r="F208" s="8" t="inlineStr">
        <is>
          <t>high</t>
        </is>
      </c>
      <c r="G208" s="9" t="n">
        <v>0</v>
      </c>
    </row>
    <row r="209">
      <c r="A209" s="8" t="inlineStr">
        <is>
          <t>Operating expenses (detail)</t>
        </is>
      </c>
      <c r="B209" s="8" t="inlineStr">
        <is>
          <t>F32</t>
        </is>
      </c>
      <c r="C209" s="8" t="inlineStr">
        <is>
          <t>20. Interest</t>
        </is>
      </c>
      <c r="D209" s="8" t="inlineStr">
        <is>
          <t>20</t>
        </is>
      </c>
      <c r="E209" s="8" t="inlineStr">
        <is>
          <t>part_ix_expenses.interest</t>
        </is>
      </c>
      <c r="F209" s="8" t="inlineStr">
        <is>
          <t>high</t>
        </is>
      </c>
      <c r="G209" s="9" t="n">
        <v>0</v>
      </c>
    </row>
    <row r="210">
      <c r="A210" s="8" t="inlineStr">
        <is>
          <t>Operating expenses (detail)</t>
        </is>
      </c>
      <c r="B210" s="8" t="inlineStr">
        <is>
          <t>G32</t>
        </is>
      </c>
      <c r="C210" s="8" t="inlineStr">
        <is>
          <t>20. Interest</t>
        </is>
      </c>
      <c r="D210" s="8" t="inlineStr">
        <is>
          <t>20</t>
        </is>
      </c>
      <c r="E210" s="8" t="inlineStr">
        <is>
          <t>part_ix_expenses.interest</t>
        </is>
      </c>
      <c r="F210" s="8" t="inlineStr">
        <is>
          <t>high</t>
        </is>
      </c>
      <c r="G210" s="9" t="n">
        <v>0</v>
      </c>
    </row>
    <row r="211">
      <c r="A211" s="8" t="inlineStr">
        <is>
          <t>Operating expenses (detail)</t>
        </is>
      </c>
      <c r="B211" s="8" t="inlineStr">
        <is>
          <t>B33</t>
        </is>
      </c>
      <c r="C211" s="8" t="inlineStr">
        <is>
          <t>21. Payments to affiliates</t>
        </is>
      </c>
      <c r="D211" s="8" t="inlineStr">
        <is>
          <t>21</t>
        </is>
      </c>
      <c r="E211" s="8" t="inlineStr">
        <is>
          <t>part_ix_expenses.payments_to_affiliates</t>
        </is>
      </c>
      <c r="F211" s="8" t="inlineStr">
        <is>
          <t>high</t>
        </is>
      </c>
      <c r="G211" s="9" t="n">
        <v>0</v>
      </c>
    </row>
    <row r="212">
      <c r="A212" s="8" t="inlineStr">
        <is>
          <t>Operating expenses (detail)</t>
        </is>
      </c>
      <c r="B212" s="8" t="inlineStr">
        <is>
          <t>C33</t>
        </is>
      </c>
      <c r="C212" s="8" t="inlineStr">
        <is>
          <t>21. Payments to affiliates</t>
        </is>
      </c>
      <c r="D212" s="8" t="inlineStr">
        <is>
          <t>21</t>
        </is>
      </c>
      <c r="E212" s="8" t="inlineStr">
        <is>
          <t>part_ix_expenses.payments_to_affiliates</t>
        </is>
      </c>
      <c r="F212" s="8" t="inlineStr">
        <is>
          <t>high</t>
        </is>
      </c>
      <c r="G212" s="9" t="n">
        <v>0</v>
      </c>
    </row>
    <row r="213">
      <c r="A213" s="8" t="inlineStr">
        <is>
          <t>Operating expenses (detail)</t>
        </is>
      </c>
      <c r="B213" s="8" t="inlineStr">
        <is>
          <t>D33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E33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F33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G33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B34</t>
        </is>
      </c>
      <c r="C217" s="8" t="inlineStr">
        <is>
          <t>22. Depreciation, depletion, and amortization</t>
        </is>
      </c>
      <c r="D217" s="8" t="inlineStr">
        <is>
          <t>22</t>
        </is>
      </c>
      <c r="E217" s="8" t="inlineStr">
        <is>
          <t>part_ix_expenses.depreciation</t>
        </is>
      </c>
      <c r="F217" s="8" t="inlineStr">
        <is>
          <t>high</t>
        </is>
      </c>
      <c r="G217" s="9" t="n">
        <v>81352</v>
      </c>
    </row>
    <row r="218">
      <c r="A218" s="8" t="inlineStr">
        <is>
          <t>Operating expenses (detail)</t>
        </is>
      </c>
      <c r="B218" s="8" t="inlineStr">
        <is>
          <t>C34</t>
        </is>
      </c>
      <c r="C218" s="8" t="inlineStr">
        <is>
          <t>22. Depreciation, depletion, and amortization</t>
        </is>
      </c>
      <c r="D218" s="8" t="inlineStr">
        <is>
          <t>22</t>
        </is>
      </c>
      <c r="E218" s="8" t="inlineStr">
        <is>
          <t>part_ix_expenses.depreciation</t>
        </is>
      </c>
      <c r="F218" s="8" t="inlineStr">
        <is>
          <t>high</t>
        </is>
      </c>
      <c r="G218" s="9" t="n">
        <v>82656</v>
      </c>
    </row>
    <row r="219">
      <c r="A219" s="8" t="inlineStr">
        <is>
          <t>Operating expenses (detail)</t>
        </is>
      </c>
      <c r="B219" s="8" t="inlineStr">
        <is>
          <t>D34</t>
        </is>
      </c>
      <c r="C219" s="8" t="inlineStr">
        <is>
          <t>22. Depreciation, depletion, and amortization</t>
        </is>
      </c>
      <c r="D219" s="8" t="inlineStr">
        <is>
          <t>22</t>
        </is>
      </c>
      <c r="E219" s="8" t="inlineStr">
        <is>
          <t>part_ix_expenses.depreciation</t>
        </is>
      </c>
      <c r="F219" s="8" t="inlineStr">
        <is>
          <t>high</t>
        </is>
      </c>
      <c r="G219" s="9" t="n">
        <v>81116</v>
      </c>
    </row>
    <row r="220">
      <c r="A220" s="8" t="inlineStr">
        <is>
          <t>Operating expenses (detail)</t>
        </is>
      </c>
      <c r="B220" s="8" t="inlineStr">
        <is>
          <t>E34</t>
        </is>
      </c>
      <c r="C220" s="8" t="inlineStr">
        <is>
          <t>22. Depreciation, depletion, and amortization</t>
        </is>
      </c>
      <c r="D220" s="8" t="inlineStr">
        <is>
          <t>22</t>
        </is>
      </c>
      <c r="E220" s="8" t="inlineStr">
        <is>
          <t>part_ix_expenses.depreciation</t>
        </is>
      </c>
      <c r="F220" s="8" t="inlineStr">
        <is>
          <t>high</t>
        </is>
      </c>
      <c r="G220" s="9" t="n">
        <v>81115</v>
      </c>
    </row>
    <row r="221">
      <c r="A221" s="8" t="inlineStr">
        <is>
          <t>Operating expenses (detail)</t>
        </is>
      </c>
      <c r="B221" s="8" t="inlineStr">
        <is>
          <t>F34</t>
        </is>
      </c>
      <c r="C221" s="8" t="inlineStr">
        <is>
          <t>22. Depreciation, depletion, and amortization</t>
        </is>
      </c>
      <c r="D221" s="8" t="inlineStr">
        <is>
          <t>22</t>
        </is>
      </c>
      <c r="E221" s="8" t="inlineStr">
        <is>
          <t>part_ix_expenses.depreciation</t>
        </is>
      </c>
      <c r="F221" s="8" t="inlineStr">
        <is>
          <t>high</t>
        </is>
      </c>
      <c r="G221" s="9" t="n">
        <v>81115</v>
      </c>
    </row>
    <row r="222">
      <c r="A222" s="8" t="inlineStr">
        <is>
          <t>Operating expenses (detail)</t>
        </is>
      </c>
      <c r="B222" s="8" t="inlineStr">
        <is>
          <t>G34</t>
        </is>
      </c>
      <c r="C222" s="8" t="inlineStr">
        <is>
          <t>22. Depreciation, depletion, and amortization</t>
        </is>
      </c>
      <c r="D222" s="8" t="inlineStr">
        <is>
          <t>22</t>
        </is>
      </c>
      <c r="E222" s="8" t="inlineStr">
        <is>
          <t>part_ix_expenses.depreciation</t>
        </is>
      </c>
      <c r="F222" s="8" t="inlineStr">
        <is>
          <t>high</t>
        </is>
      </c>
      <c r="G222" s="9" t="n">
        <v>83922</v>
      </c>
    </row>
    <row r="223">
      <c r="A223" s="8" t="inlineStr">
        <is>
          <t>Operating expenses (detail)</t>
        </is>
      </c>
      <c r="B223" s="8" t="inlineStr">
        <is>
          <t>B35</t>
        </is>
      </c>
      <c r="C223" s="8" t="inlineStr">
        <is>
          <t>23. Insurance</t>
        </is>
      </c>
      <c r="D223" s="8" t="inlineStr">
        <is>
          <t>23</t>
        </is>
      </c>
      <c r="E223" s="8" t="inlineStr">
        <is>
          <t>part_ix_expenses.insurance</t>
        </is>
      </c>
      <c r="F223" s="8" t="inlineStr">
        <is>
          <t>high</t>
        </is>
      </c>
      <c r="G223" s="9" t="n">
        <v>3682</v>
      </c>
    </row>
    <row r="224">
      <c r="A224" s="8" t="inlineStr">
        <is>
          <t>Operating expenses (detail)</t>
        </is>
      </c>
      <c r="B224" s="8" t="inlineStr">
        <is>
          <t>C35</t>
        </is>
      </c>
      <c r="C224" s="8" t="inlineStr">
        <is>
          <t>23. Insurance</t>
        </is>
      </c>
      <c r="D224" s="8" t="inlineStr">
        <is>
          <t>23</t>
        </is>
      </c>
      <c r="E224" s="8" t="inlineStr">
        <is>
          <t>part_ix_expenses.insurance</t>
        </is>
      </c>
      <c r="F224" s="8" t="inlineStr">
        <is>
          <t>high</t>
        </is>
      </c>
      <c r="G224" s="9" t="n">
        <v>4169</v>
      </c>
    </row>
    <row r="225">
      <c r="A225" s="8" t="inlineStr">
        <is>
          <t>Operating expenses (detail)</t>
        </is>
      </c>
      <c r="B225" s="8" t="inlineStr">
        <is>
          <t>D35</t>
        </is>
      </c>
      <c r="C225" s="8" t="inlineStr">
        <is>
          <t>23. Insurance</t>
        </is>
      </c>
      <c r="D225" s="8" t="inlineStr">
        <is>
          <t>23</t>
        </is>
      </c>
      <c r="E225" s="8" t="inlineStr">
        <is>
          <t>part_ix_expenses.insurance</t>
        </is>
      </c>
      <c r="F225" s="8" t="inlineStr">
        <is>
          <t>high</t>
        </is>
      </c>
      <c r="G225" s="9" t="n">
        <v>4364</v>
      </c>
    </row>
    <row r="226">
      <c r="A226" s="8" t="inlineStr">
        <is>
          <t>Operating expenses (detail)</t>
        </is>
      </c>
      <c r="B226" s="8" t="inlineStr">
        <is>
          <t>E35</t>
        </is>
      </c>
      <c r="C226" s="8" t="inlineStr">
        <is>
          <t>23. Insurance</t>
        </is>
      </c>
      <c r="D226" s="8" t="inlineStr">
        <is>
          <t>23</t>
        </is>
      </c>
      <c r="E226" s="8" t="inlineStr">
        <is>
          <t>part_ix_expenses.insurance</t>
        </is>
      </c>
      <c r="F226" s="8" t="inlineStr">
        <is>
          <t>high</t>
        </is>
      </c>
      <c r="G226" s="9" t="n">
        <v>4768</v>
      </c>
    </row>
    <row r="227">
      <c r="A227" s="8" t="inlineStr">
        <is>
          <t>Operating expenses (detail)</t>
        </is>
      </c>
      <c r="B227" s="8" t="inlineStr">
        <is>
          <t>F35</t>
        </is>
      </c>
      <c r="C227" s="8" t="inlineStr">
        <is>
          <t>23. Insurance</t>
        </is>
      </c>
      <c r="D227" s="8" t="inlineStr">
        <is>
          <t>23</t>
        </is>
      </c>
      <c r="E227" s="8" t="inlineStr">
        <is>
          <t>part_ix_expenses.insurance</t>
        </is>
      </c>
      <c r="F227" s="8" t="inlineStr">
        <is>
          <t>high</t>
        </is>
      </c>
      <c r="G227" s="9" t="n">
        <v>5483</v>
      </c>
    </row>
    <row r="228">
      <c r="A228" s="8" t="inlineStr">
        <is>
          <t>Operating expenses (detail)</t>
        </is>
      </c>
      <c r="B228" s="8" t="inlineStr">
        <is>
          <t>G35</t>
        </is>
      </c>
      <c r="C228" s="8" t="inlineStr">
        <is>
          <t>23. Insurance</t>
        </is>
      </c>
      <c r="D228" s="8" t="inlineStr">
        <is>
          <t>23</t>
        </is>
      </c>
      <c r="E228" s="8" t="inlineStr">
        <is>
          <t>part_ix_expenses.insurance</t>
        </is>
      </c>
      <c r="F228" s="8" t="inlineStr">
        <is>
          <t>high</t>
        </is>
      </c>
      <c r="G228" s="9" t="n">
        <v>5838</v>
      </c>
    </row>
    <row r="229">
      <c r="A229" s="8" t="inlineStr">
        <is>
          <t>Operating expenses (detail)</t>
        </is>
      </c>
      <c r="B229" s="8" t="inlineStr">
        <is>
          <t>B41</t>
        </is>
      </c>
      <c r="C229" s="8" t="inlineStr">
        <is>
          <t>24e. All other expenses</t>
        </is>
      </c>
      <c r="D229" s="8" t="inlineStr">
        <is>
          <t>24e</t>
        </is>
      </c>
      <c r="E229" s="8" t="inlineStr">
        <is>
          <t>part_ix_expenses.all_other_expenses</t>
        </is>
      </c>
      <c r="F229" s="8" t="inlineStr">
        <is>
          <t>high</t>
        </is>
      </c>
      <c r="G229" s="9" t="n">
        <v>5247</v>
      </c>
    </row>
    <row r="230">
      <c r="A230" s="8" t="inlineStr">
        <is>
          <t>Operating expenses (detail)</t>
        </is>
      </c>
      <c r="B230" s="8" t="inlineStr">
        <is>
          <t>C41</t>
        </is>
      </c>
      <c r="C230" s="8" t="inlineStr">
        <is>
          <t>24e. All other expenses</t>
        </is>
      </c>
      <c r="D230" s="8" t="inlineStr">
        <is>
          <t>24e</t>
        </is>
      </c>
      <c r="E230" s="8" t="inlineStr">
        <is>
          <t>part_ix_expenses.all_other_expenses</t>
        </is>
      </c>
      <c r="F230" s="8" t="inlineStr">
        <is>
          <t>high</t>
        </is>
      </c>
      <c r="G230" s="9" t="n">
        <v>6454</v>
      </c>
    </row>
    <row r="231">
      <c r="A231" s="8" t="inlineStr">
        <is>
          <t>Operating expenses (detail)</t>
        </is>
      </c>
      <c r="B231" s="8" t="inlineStr">
        <is>
          <t>D41</t>
        </is>
      </c>
      <c r="C231" s="8" t="inlineStr">
        <is>
          <t>24e. All other expenses</t>
        </is>
      </c>
      <c r="D231" s="8" t="inlineStr">
        <is>
          <t>24e</t>
        </is>
      </c>
      <c r="E231" s="8" t="inlineStr">
        <is>
          <t>part_ix_expenses.all_other_expenses</t>
        </is>
      </c>
      <c r="F231" s="8" t="inlineStr">
        <is>
          <t>high</t>
        </is>
      </c>
      <c r="G231" s="9" t="n">
        <v>5641</v>
      </c>
    </row>
    <row r="232">
      <c r="A232" s="8" t="inlineStr">
        <is>
          <t>Operating expenses (detail)</t>
        </is>
      </c>
      <c r="B232" s="8" t="inlineStr">
        <is>
          <t>E41</t>
        </is>
      </c>
      <c r="C232" s="8" t="inlineStr">
        <is>
          <t>24e. All other expenses</t>
        </is>
      </c>
      <c r="D232" s="8" t="inlineStr">
        <is>
          <t>24e</t>
        </is>
      </c>
      <c r="E232" s="8" t="inlineStr">
        <is>
          <t>part_ix_expenses.all_other_expenses</t>
        </is>
      </c>
      <c r="F232" s="8" t="inlineStr">
        <is>
          <t>high</t>
        </is>
      </c>
      <c r="G232" s="9" t="n">
        <v>4641</v>
      </c>
    </row>
    <row r="233">
      <c r="A233" s="8" t="inlineStr">
        <is>
          <t>Operating expenses (detail)</t>
        </is>
      </c>
      <c r="B233" s="8" t="inlineStr">
        <is>
          <t>F41</t>
        </is>
      </c>
      <c r="C233" s="8" t="inlineStr">
        <is>
          <t>24e. All other expenses</t>
        </is>
      </c>
      <c r="D233" s="8" t="inlineStr">
        <is>
          <t>24e</t>
        </is>
      </c>
      <c r="E233" s="8" t="inlineStr">
        <is>
          <t>part_ix_expenses.all_other_expenses</t>
        </is>
      </c>
      <c r="F233" s="8" t="inlineStr">
        <is>
          <t>high</t>
        </is>
      </c>
      <c r="G233" s="9" t="n">
        <v>6461</v>
      </c>
    </row>
    <row r="234">
      <c r="A234" s="8" t="inlineStr">
        <is>
          <t>Operating expenses (detail)</t>
        </is>
      </c>
      <c r="B234" s="8" t="inlineStr">
        <is>
          <t>G41</t>
        </is>
      </c>
      <c r="C234" s="8" t="inlineStr">
        <is>
          <t>24e. All other expenses</t>
        </is>
      </c>
      <c r="D234" s="8" t="inlineStr">
        <is>
          <t>24e</t>
        </is>
      </c>
      <c r="E234" s="8" t="inlineStr">
        <is>
          <t>part_ix_expenses.all_other_expenses</t>
        </is>
      </c>
      <c r="F234" s="8" t="inlineStr">
        <is>
          <t>high</t>
        </is>
      </c>
      <c r="G234" s="9" t="n">
        <v>6641</v>
      </c>
    </row>
    <row r="235">
      <c r="A235" s="8" t="inlineStr">
        <is>
          <t>Balance sheet (detail)</t>
        </is>
      </c>
      <c r="B235" s="8" t="inlineStr">
        <is>
          <t>B7</t>
        </is>
      </c>
      <c r="C235" s="8" t="inlineStr">
        <is>
          <t>1. Cash - non-interest-bearing</t>
        </is>
      </c>
      <c r="D235" s="8" t="inlineStr">
        <is>
          <t>1E</t>
        </is>
      </c>
      <c r="E235" s="8" t="inlineStr">
        <is>
          <t>part_x_balance_sheet.cash_noninterest_eoy</t>
        </is>
      </c>
      <c r="F235" s="8" t="inlineStr">
        <is>
          <t>high</t>
        </is>
      </c>
      <c r="G235" s="9" t="n">
        <v>224088</v>
      </c>
    </row>
    <row r="236">
      <c r="A236" s="8" t="inlineStr">
        <is>
          <t>Balance sheet (detail)</t>
        </is>
      </c>
      <c r="B236" s="8" t="inlineStr">
        <is>
          <t>C7</t>
        </is>
      </c>
      <c r="C236" s="8" t="inlineStr">
        <is>
          <t>1. Cash - non-interest-bearing</t>
        </is>
      </c>
      <c r="D236" s="8" t="inlineStr">
        <is>
          <t>1E</t>
        </is>
      </c>
      <c r="E236" s="8" t="inlineStr">
        <is>
          <t>part_x_balance_sheet.cash_noninterest_eoy</t>
        </is>
      </c>
      <c r="F236" s="8" t="inlineStr">
        <is>
          <t>high</t>
        </is>
      </c>
      <c r="G236" s="9" t="n">
        <v>10199</v>
      </c>
    </row>
    <row r="237">
      <c r="A237" s="8" t="inlineStr">
        <is>
          <t>Balance sheet (detail)</t>
        </is>
      </c>
      <c r="B237" s="8" t="inlineStr">
        <is>
          <t>D7</t>
        </is>
      </c>
      <c r="C237" s="8" t="inlineStr">
        <is>
          <t>1. Cash - non-interest-bearing</t>
        </is>
      </c>
      <c r="D237" s="8" t="inlineStr">
        <is>
          <t>1E</t>
        </is>
      </c>
      <c r="E237" s="8" t="inlineStr">
        <is>
          <t>part_x_balance_sheet.cash_noninterest_eoy</t>
        </is>
      </c>
      <c r="F237" s="8" t="inlineStr">
        <is>
          <t>high</t>
        </is>
      </c>
      <c r="G237" s="9" t="n">
        <v>10911</v>
      </c>
    </row>
    <row r="238">
      <c r="A238" s="8" t="inlineStr">
        <is>
          <t>Balance sheet (detail)</t>
        </is>
      </c>
      <c r="B238" s="8" t="inlineStr">
        <is>
          <t>E7</t>
        </is>
      </c>
      <c r="C238" s="8" t="inlineStr">
        <is>
          <t>1. Cash - non-interest-bearing</t>
        </is>
      </c>
      <c r="D238" s="8" t="inlineStr">
        <is>
          <t>1E</t>
        </is>
      </c>
      <c r="E238" s="8" t="inlineStr">
        <is>
          <t>part_x_balance_sheet.cash_noninterest_eoy</t>
        </is>
      </c>
      <c r="F238" s="8" t="inlineStr">
        <is>
          <t>high</t>
        </is>
      </c>
      <c r="G238" s="9" t="n">
        <v>1267</v>
      </c>
    </row>
    <row r="239">
      <c r="A239" s="8" t="inlineStr">
        <is>
          <t>Balance sheet (detail)</t>
        </is>
      </c>
      <c r="B239" s="8" t="inlineStr">
        <is>
          <t>F7</t>
        </is>
      </c>
      <c r="C239" s="8" t="inlineStr">
        <is>
          <t>1. Cash - non-interest-bearing</t>
        </is>
      </c>
      <c r="D239" s="8" t="inlineStr">
        <is>
          <t>1E</t>
        </is>
      </c>
      <c r="E239" s="8" t="inlineStr">
        <is>
          <t>part_x_balance_sheet.cash_noninterest_eoy</t>
        </is>
      </c>
      <c r="F239" s="8" t="inlineStr">
        <is>
          <t>high</t>
        </is>
      </c>
      <c r="G239" s="9" t="n">
        <v>9514</v>
      </c>
    </row>
    <row r="240">
      <c r="A240" s="8" t="inlineStr">
        <is>
          <t>Balance sheet (detail)</t>
        </is>
      </c>
      <c r="B240" s="8" t="inlineStr">
        <is>
          <t>G7</t>
        </is>
      </c>
      <c r="C240" s="8" t="inlineStr">
        <is>
          <t>1. Cash - non-interest-bearing</t>
        </is>
      </c>
      <c r="D240" s="8" t="inlineStr">
        <is>
          <t>1E</t>
        </is>
      </c>
      <c r="E240" s="8" t="inlineStr">
        <is>
          <t>part_x_balance_sheet.cash_noninterest_eoy</t>
        </is>
      </c>
      <c r="F240" s="8" t="inlineStr">
        <is>
          <t>high</t>
        </is>
      </c>
      <c r="G240" s="9" t="n">
        <v>8297</v>
      </c>
    </row>
    <row r="241">
      <c r="A241" s="8" t="inlineStr">
        <is>
          <t>Balance sheet (detail)</t>
        </is>
      </c>
      <c r="B241" s="8" t="inlineStr">
        <is>
          <t>B8</t>
        </is>
      </c>
      <c r="C241" s="8" t="inlineStr">
        <is>
          <t>2. Savings and temporary cash investments</t>
        </is>
      </c>
      <c r="D241" s="8" t="inlineStr">
        <is>
          <t>2E</t>
        </is>
      </c>
      <c r="E241" s="8" t="inlineStr">
        <is>
          <t>part_x_balance_sheet.savings_temp_invest_eoy</t>
        </is>
      </c>
      <c r="F241" s="8" t="inlineStr">
        <is>
          <t>high</t>
        </is>
      </c>
      <c r="G241" s="9" t="n">
        <v>0</v>
      </c>
    </row>
    <row r="242">
      <c r="A242" s="8" t="inlineStr">
        <is>
          <t>Balance sheet (detail)</t>
        </is>
      </c>
      <c r="B242" s="8" t="inlineStr">
        <is>
          <t>C8</t>
        </is>
      </c>
      <c r="C242" s="8" t="inlineStr">
        <is>
          <t>2. Savings and temporary cash investments</t>
        </is>
      </c>
      <c r="D242" s="8" t="inlineStr">
        <is>
          <t>2E</t>
        </is>
      </c>
      <c r="E242" s="8" t="inlineStr">
        <is>
          <t>part_x_balance_sheet.savings_temp_invest_eoy</t>
        </is>
      </c>
      <c r="F242" s="8" t="inlineStr">
        <is>
          <t>high</t>
        </is>
      </c>
      <c r="G242" s="9" t="n">
        <v>219028</v>
      </c>
    </row>
    <row r="243">
      <c r="A243" s="8" t="inlineStr">
        <is>
          <t>Balance sheet (detail)</t>
        </is>
      </c>
      <c r="B243" s="8" t="inlineStr">
        <is>
          <t>D8</t>
        </is>
      </c>
      <c r="C243" s="8" t="inlineStr">
        <is>
          <t>2. Savings and temporary cash investments</t>
        </is>
      </c>
      <c r="D243" s="8" t="inlineStr">
        <is>
          <t>2E</t>
        </is>
      </c>
      <c r="E243" s="8" t="inlineStr">
        <is>
          <t>part_x_balance_sheet.savings_temp_invest_eoy</t>
        </is>
      </c>
      <c r="F243" s="8" t="inlineStr">
        <is>
          <t>high</t>
        </is>
      </c>
      <c r="G243" s="9" t="n">
        <v>219557</v>
      </c>
    </row>
    <row r="244">
      <c r="A244" s="8" t="inlineStr">
        <is>
          <t>Balance sheet (detail)</t>
        </is>
      </c>
      <c r="B244" s="8" t="inlineStr">
        <is>
          <t>E8</t>
        </is>
      </c>
      <c r="C244" s="8" t="inlineStr">
        <is>
          <t>2. Savings and temporary cash investments</t>
        </is>
      </c>
      <c r="D244" s="8" t="inlineStr">
        <is>
          <t>2E</t>
        </is>
      </c>
      <c r="E244" s="8" t="inlineStr">
        <is>
          <t>part_x_balance_sheet.savings_temp_invest_eoy</t>
        </is>
      </c>
      <c r="F244" s="8" t="inlineStr">
        <is>
          <t>high</t>
        </is>
      </c>
      <c r="G244" s="9" t="n">
        <v>218184</v>
      </c>
    </row>
    <row r="245">
      <c r="A245" s="8" t="inlineStr">
        <is>
          <t>Balance sheet (detail)</t>
        </is>
      </c>
      <c r="B245" s="8" t="inlineStr">
        <is>
          <t>F8</t>
        </is>
      </c>
      <c r="C245" s="8" t="inlineStr">
        <is>
          <t>2. Savings and temporary cash investments</t>
        </is>
      </c>
      <c r="D245" s="8" t="inlineStr">
        <is>
          <t>2E</t>
        </is>
      </c>
      <c r="E245" s="8" t="inlineStr">
        <is>
          <t>part_x_balance_sheet.savings_temp_invest_eoy</t>
        </is>
      </c>
      <c r="F245" s="8" t="inlineStr">
        <is>
          <t>high</t>
        </is>
      </c>
      <c r="G245" s="9" t="n">
        <v>203246</v>
      </c>
    </row>
    <row r="246">
      <c r="A246" s="8" t="inlineStr">
        <is>
          <t>Balance sheet (detail)</t>
        </is>
      </c>
      <c r="B246" s="8" t="inlineStr">
        <is>
          <t>G8</t>
        </is>
      </c>
      <c r="C246" s="8" t="inlineStr">
        <is>
          <t>2. Savings and temporary cash investments</t>
        </is>
      </c>
      <c r="D246" s="8" t="inlineStr">
        <is>
          <t>2E</t>
        </is>
      </c>
      <c r="E246" s="8" t="inlineStr">
        <is>
          <t>part_x_balance_sheet.savings_temp_invest_eoy</t>
        </is>
      </c>
      <c r="F246" s="8" t="inlineStr">
        <is>
          <t>high</t>
        </is>
      </c>
      <c r="G246" s="9" t="n">
        <v>209626</v>
      </c>
    </row>
    <row r="247">
      <c r="A247" s="8" t="inlineStr">
        <is>
          <t>Balance sheet (detail)</t>
        </is>
      </c>
      <c r="B247" s="8" t="inlineStr">
        <is>
          <t>B9</t>
        </is>
      </c>
      <c r="C247" s="8" t="inlineStr">
        <is>
          <t>3. Pledges and grants receivable, net</t>
        </is>
      </c>
      <c r="D247" s="8" t="inlineStr">
        <is>
          <t>3E</t>
        </is>
      </c>
      <c r="E247" s="8" t="inlineStr">
        <is>
          <t>part_x_balance_sheet.pledges_grants_receivable_eoy</t>
        </is>
      </c>
      <c r="F247" s="8" t="inlineStr">
        <is>
          <t>high</t>
        </is>
      </c>
      <c r="G247" s="9" t="n">
        <v>0</v>
      </c>
    </row>
    <row r="248">
      <c r="A248" s="8" t="inlineStr">
        <is>
          <t>Balance sheet (detail)</t>
        </is>
      </c>
      <c r="B248" s="8" t="inlineStr">
        <is>
          <t>C9</t>
        </is>
      </c>
      <c r="C248" s="8" t="inlineStr">
        <is>
          <t>3. Pledges and grants receivable, net</t>
        </is>
      </c>
      <c r="D248" s="8" t="inlineStr">
        <is>
          <t>3E</t>
        </is>
      </c>
      <c r="E248" s="8" t="inlineStr">
        <is>
          <t>part_x_balance_sheet.pledges_grants_receivable_eoy</t>
        </is>
      </c>
      <c r="F248" s="8" t="inlineStr">
        <is>
          <t>high</t>
        </is>
      </c>
      <c r="G248" s="9" t="n">
        <v>0</v>
      </c>
    </row>
    <row r="249">
      <c r="A249" s="8" t="inlineStr">
        <is>
          <t>Balance sheet (detail)</t>
        </is>
      </c>
      <c r="B249" s="8" t="inlineStr">
        <is>
          <t>D9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E9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F9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G9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B10</t>
        </is>
      </c>
      <c r="C253" s="8" t="inlineStr">
        <is>
          <t>4. Accounts receivable, net</t>
        </is>
      </c>
      <c r="D253" s="8" t="inlineStr">
        <is>
          <t>4E</t>
        </is>
      </c>
      <c r="E253" s="8" t="inlineStr">
        <is>
          <t>part_x_balance_sheet.accounts_receivable_eoy</t>
        </is>
      </c>
      <c r="F253" s="8" t="inlineStr">
        <is>
          <t>high</t>
        </is>
      </c>
      <c r="G253" s="9" t="n">
        <v>13171</v>
      </c>
    </row>
    <row r="254">
      <c r="A254" s="8" t="inlineStr">
        <is>
          <t>Balance sheet (detail)</t>
        </is>
      </c>
      <c r="B254" s="8" t="inlineStr">
        <is>
          <t>C10</t>
        </is>
      </c>
      <c r="C254" s="8" t="inlineStr">
        <is>
          <t>4. Accounts receivable, net</t>
        </is>
      </c>
      <c r="D254" s="8" t="inlineStr">
        <is>
          <t>4E</t>
        </is>
      </c>
      <c r="E254" s="8" t="inlineStr">
        <is>
          <t>part_x_balance_sheet.accounts_receivable_eoy</t>
        </is>
      </c>
      <c r="F254" s="8" t="inlineStr">
        <is>
          <t>high</t>
        </is>
      </c>
      <c r="G254" s="9" t="n">
        <v>14131</v>
      </c>
    </row>
    <row r="255">
      <c r="A255" s="8" t="inlineStr">
        <is>
          <t>Balance sheet (detail)</t>
        </is>
      </c>
      <c r="B255" s="8" t="inlineStr">
        <is>
          <t>D10</t>
        </is>
      </c>
      <c r="C255" s="8" t="inlineStr">
        <is>
          <t>4. Accounts receivable, net</t>
        </is>
      </c>
      <c r="D255" s="8" t="inlineStr">
        <is>
          <t>4E</t>
        </is>
      </c>
      <c r="E255" s="8" t="inlineStr">
        <is>
          <t>part_x_balance_sheet.accounts_receivable_eoy</t>
        </is>
      </c>
      <c r="F255" s="8" t="inlineStr">
        <is>
          <t>high</t>
        </is>
      </c>
      <c r="G255" s="9" t="n">
        <v>14349</v>
      </c>
    </row>
    <row r="256">
      <c r="A256" s="8" t="inlineStr">
        <is>
          <t>Balance sheet (detail)</t>
        </is>
      </c>
      <c r="B256" s="8" t="inlineStr">
        <is>
          <t>E10</t>
        </is>
      </c>
      <c r="C256" s="8" t="inlineStr">
        <is>
          <t>4. Accounts receivable, net</t>
        </is>
      </c>
      <c r="D256" s="8" t="inlineStr">
        <is>
          <t>4E</t>
        </is>
      </c>
      <c r="E256" s="8" t="inlineStr">
        <is>
          <t>part_x_balance_sheet.accounts_receivable_eoy</t>
        </is>
      </c>
      <c r="F256" s="8" t="inlineStr">
        <is>
          <t>high</t>
        </is>
      </c>
      <c r="G256" s="9" t="n">
        <v>15815</v>
      </c>
    </row>
    <row r="257">
      <c r="A257" s="8" t="inlineStr">
        <is>
          <t>Balance sheet (detail)</t>
        </is>
      </c>
      <c r="B257" s="8" t="inlineStr">
        <is>
          <t>F10</t>
        </is>
      </c>
      <c r="C257" s="8" t="inlineStr">
        <is>
          <t>4. Accounts receivable, net</t>
        </is>
      </c>
      <c r="D257" s="8" t="inlineStr">
        <is>
          <t>4E</t>
        </is>
      </c>
      <c r="E257" s="8" t="inlineStr">
        <is>
          <t>part_x_balance_sheet.accounts_receivable_eoy</t>
        </is>
      </c>
      <c r="F257" s="8" t="inlineStr">
        <is>
          <t>high</t>
        </is>
      </c>
      <c r="G257" s="9" t="n">
        <v>15903</v>
      </c>
    </row>
    <row r="258">
      <c r="A258" s="8" t="inlineStr">
        <is>
          <t>Balance sheet (detail)</t>
        </is>
      </c>
      <c r="B258" s="8" t="inlineStr">
        <is>
          <t>G10</t>
        </is>
      </c>
      <c r="C258" s="8" t="inlineStr">
        <is>
          <t>4. Accounts receivable, net</t>
        </is>
      </c>
      <c r="D258" s="8" t="inlineStr">
        <is>
          <t>4E</t>
        </is>
      </c>
      <c r="E258" s="8" t="inlineStr">
        <is>
          <t>part_x_balance_sheet.accounts_receivable_eoy</t>
        </is>
      </c>
      <c r="F258" s="8" t="inlineStr">
        <is>
          <t>high</t>
        </is>
      </c>
      <c r="G258" s="9" t="n">
        <v>16174</v>
      </c>
    </row>
    <row r="259">
      <c r="A259" s="8" t="inlineStr">
        <is>
          <t>Balance sheet (detail)</t>
        </is>
      </c>
      <c r="B259" s="8" t="inlineStr">
        <is>
          <t>B11</t>
        </is>
      </c>
      <c r="C259" s="8" t="inlineStr">
        <is>
          <t>5. Receivables from officers/directors/trustees</t>
        </is>
      </c>
      <c r="D259" s="8" t="inlineStr">
        <is>
          <t>5E</t>
        </is>
      </c>
      <c r="E259" s="8" t="inlineStr">
        <is>
          <t>part_x_balance_sheet.receivables_officers_eoy</t>
        </is>
      </c>
      <c r="F259" s="8" t="inlineStr">
        <is>
          <t>high</t>
        </is>
      </c>
      <c r="G259" s="9" t="n">
        <v>0</v>
      </c>
    </row>
    <row r="260">
      <c r="A260" s="8" t="inlineStr">
        <is>
          <t>Balance sheet (detail)</t>
        </is>
      </c>
      <c r="B260" s="8" t="inlineStr">
        <is>
          <t>C11</t>
        </is>
      </c>
      <c r="C260" s="8" t="inlineStr">
        <is>
          <t>5. Receivables from officers/directors/trustees</t>
        </is>
      </c>
      <c r="D260" s="8" t="inlineStr">
        <is>
          <t>5E</t>
        </is>
      </c>
      <c r="E260" s="8" t="inlineStr">
        <is>
          <t>part_x_balance_sheet.receivables_officers_eoy</t>
        </is>
      </c>
      <c r="F260" s="8" t="inlineStr">
        <is>
          <t>high</t>
        </is>
      </c>
      <c r="G260" s="9" t="n">
        <v>0</v>
      </c>
    </row>
    <row r="261">
      <c r="A261" s="8" t="inlineStr">
        <is>
          <t>Balance sheet (detail)</t>
        </is>
      </c>
      <c r="B261" s="8" t="inlineStr">
        <is>
          <t>D11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E11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F11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G11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B12</t>
        </is>
      </c>
      <c r="C265" s="8" t="inlineStr">
        <is>
          <t>6. Receivables from disqualified persons</t>
        </is>
      </c>
      <c r="D265" s="8" t="inlineStr">
        <is>
          <t>6E</t>
        </is>
      </c>
      <c r="E265" s="8" t="inlineStr">
        <is>
          <t>part_x_balance_sheet.receivables_disqualified_eoy</t>
        </is>
      </c>
      <c r="F265" s="8" t="inlineStr">
        <is>
          <t>high</t>
        </is>
      </c>
      <c r="G265" s="9" t="n">
        <v>0</v>
      </c>
    </row>
    <row r="266">
      <c r="A266" s="8" t="inlineStr">
        <is>
          <t>Balance sheet (detail)</t>
        </is>
      </c>
      <c r="B266" s="8" t="inlineStr">
        <is>
          <t>C12</t>
        </is>
      </c>
      <c r="C266" s="8" t="inlineStr">
        <is>
          <t>6. Receivables from disqualified persons</t>
        </is>
      </c>
      <c r="D266" s="8" t="inlineStr">
        <is>
          <t>6E</t>
        </is>
      </c>
      <c r="E266" s="8" t="inlineStr">
        <is>
          <t>part_x_balance_sheet.receivables_disqualified_eoy</t>
        </is>
      </c>
      <c r="F266" s="8" t="inlineStr">
        <is>
          <t>high</t>
        </is>
      </c>
      <c r="G266" s="9" t="n">
        <v>0</v>
      </c>
    </row>
    <row r="267">
      <c r="A267" s="8" t="inlineStr">
        <is>
          <t>Balance sheet (detail)</t>
        </is>
      </c>
      <c r="B267" s="8" t="inlineStr">
        <is>
          <t>D12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E12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F12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G12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B13</t>
        </is>
      </c>
      <c r="C271" s="8" t="inlineStr">
        <is>
          <t>7. Notes and loans receivable, net</t>
        </is>
      </c>
      <c r="D271" s="8" t="inlineStr">
        <is>
          <t>7E</t>
        </is>
      </c>
      <c r="E271" s="8" t="inlineStr">
        <is>
          <t>part_x_balance_sheet.notes_loans_receivable_eoy</t>
        </is>
      </c>
      <c r="F271" s="8" t="inlineStr">
        <is>
          <t>high</t>
        </is>
      </c>
      <c r="G271" s="9" t="n">
        <v>0</v>
      </c>
    </row>
    <row r="272">
      <c r="A272" s="8" t="inlineStr">
        <is>
          <t>Balance sheet (detail)</t>
        </is>
      </c>
      <c r="B272" s="8" t="inlineStr">
        <is>
          <t>C13</t>
        </is>
      </c>
      <c r="C272" s="8" t="inlineStr">
        <is>
          <t>7. Notes and loans receivable, net</t>
        </is>
      </c>
      <c r="D272" s="8" t="inlineStr">
        <is>
          <t>7E</t>
        </is>
      </c>
      <c r="E272" s="8" t="inlineStr">
        <is>
          <t>part_x_balance_sheet.notes_loans_receivable_eoy</t>
        </is>
      </c>
      <c r="F272" s="8" t="inlineStr">
        <is>
          <t>high</t>
        </is>
      </c>
      <c r="G272" s="9" t="n">
        <v>0</v>
      </c>
    </row>
    <row r="273">
      <c r="A273" s="8" t="inlineStr">
        <is>
          <t>Balance sheet (detail)</t>
        </is>
      </c>
      <c r="B273" s="8" t="inlineStr">
        <is>
          <t>D13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E13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F13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G13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B14</t>
        </is>
      </c>
      <c r="C277" s="8" t="inlineStr">
        <is>
          <t>8. Inventories for sale or use</t>
        </is>
      </c>
      <c r="D277" s="8" t="inlineStr">
        <is>
          <t>8E</t>
        </is>
      </c>
      <c r="E277" s="8" t="inlineStr">
        <is>
          <t>part_x_balance_sheet.inventories_eoy</t>
        </is>
      </c>
      <c r="F277" s="8" t="inlineStr">
        <is>
          <t>high</t>
        </is>
      </c>
      <c r="G277" s="9" t="n">
        <v>0</v>
      </c>
    </row>
    <row r="278">
      <c r="A278" s="8" t="inlineStr">
        <is>
          <t>Balance sheet (detail)</t>
        </is>
      </c>
      <c r="B278" s="8" t="inlineStr">
        <is>
          <t>C14</t>
        </is>
      </c>
      <c r="C278" s="8" t="inlineStr">
        <is>
          <t>8. Inventories for sale or use</t>
        </is>
      </c>
      <c r="D278" s="8" t="inlineStr">
        <is>
          <t>8E</t>
        </is>
      </c>
      <c r="E278" s="8" t="inlineStr">
        <is>
          <t>part_x_balance_sheet.inventories_eoy</t>
        </is>
      </c>
      <c r="F278" s="8" t="inlineStr">
        <is>
          <t>high</t>
        </is>
      </c>
      <c r="G278" s="9" t="n">
        <v>0</v>
      </c>
    </row>
    <row r="279">
      <c r="A279" s="8" t="inlineStr">
        <is>
          <t>Balance sheet (detail)</t>
        </is>
      </c>
      <c r="B279" s="8" t="inlineStr">
        <is>
          <t>D14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E14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F14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G14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B15</t>
        </is>
      </c>
      <c r="C283" s="8" t="inlineStr">
        <is>
          <t>9. Prepaid expenses and deferred charges</t>
        </is>
      </c>
      <c r="D283" s="8" t="inlineStr">
        <is>
          <t>9E</t>
        </is>
      </c>
      <c r="E283" s="8" t="inlineStr">
        <is>
          <t>part_x_balance_sheet.prepaid_expenses_eoy</t>
        </is>
      </c>
      <c r="F283" s="8" t="inlineStr">
        <is>
          <t>high</t>
        </is>
      </c>
      <c r="G283" s="9" t="n">
        <v>0</v>
      </c>
    </row>
    <row r="284">
      <c r="A284" s="8" t="inlineStr">
        <is>
          <t>Balance sheet (detail)</t>
        </is>
      </c>
      <c r="B284" s="8" t="inlineStr">
        <is>
          <t>C15</t>
        </is>
      </c>
      <c r="C284" s="8" t="inlineStr">
        <is>
          <t>9. Prepaid expenses and deferred charges</t>
        </is>
      </c>
      <c r="D284" s="8" t="inlineStr">
        <is>
          <t>9E</t>
        </is>
      </c>
      <c r="E284" s="8" t="inlineStr">
        <is>
          <t>part_x_balance_sheet.prepaid_expenses_eoy</t>
        </is>
      </c>
      <c r="F284" s="8" t="inlineStr">
        <is>
          <t>high</t>
        </is>
      </c>
      <c r="G284" s="9" t="n">
        <v>0</v>
      </c>
    </row>
    <row r="285">
      <c r="A285" s="8" t="inlineStr">
        <is>
          <t>Balance sheet (detail)</t>
        </is>
      </c>
      <c r="B285" s="8" t="inlineStr">
        <is>
          <t>D15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E15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F15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G15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B16</t>
        </is>
      </c>
      <c r="C289" s="8" t="inlineStr">
        <is>
          <t>10c. Land, buildings, and equipment, net</t>
        </is>
      </c>
      <c r="D289" s="8" t="inlineStr">
        <is>
          <t>10cE</t>
        </is>
      </c>
      <c r="E289" s="8" t="inlineStr">
        <is>
          <t>part_x_balance_sheet.land_bldg_equip_net_eoy</t>
        </is>
      </c>
      <c r="F289" s="8" t="inlineStr">
        <is>
          <t>high</t>
        </is>
      </c>
      <c r="G289" s="9" t="n">
        <v>2391690</v>
      </c>
    </row>
    <row r="290">
      <c r="A290" s="8" t="inlineStr">
        <is>
          <t>Balance sheet (detail)</t>
        </is>
      </c>
      <c r="B290" s="8" t="inlineStr">
        <is>
          <t>C16</t>
        </is>
      </c>
      <c r="C290" s="8" t="inlineStr">
        <is>
          <t>10c. Land, buildings, and equipment, net</t>
        </is>
      </c>
      <c r="D290" s="8" t="inlineStr">
        <is>
          <t>10cE</t>
        </is>
      </c>
      <c r="E290" s="8" t="inlineStr">
        <is>
          <t>part_x_balance_sheet.land_bldg_equip_net_eoy</t>
        </is>
      </c>
      <c r="F290" s="8" t="inlineStr">
        <is>
          <t>high</t>
        </is>
      </c>
      <c r="G290" s="9" t="n">
        <v>2309034</v>
      </c>
    </row>
    <row r="291">
      <c r="A291" s="8" t="inlineStr">
        <is>
          <t>Balance sheet (detail)</t>
        </is>
      </c>
      <c r="B291" s="8" t="inlineStr">
        <is>
          <t>D16</t>
        </is>
      </c>
      <c r="C291" s="8" t="inlineStr">
        <is>
          <t>10c. Land, buildings, and equipment, net</t>
        </is>
      </c>
      <c r="D291" s="8" t="inlineStr">
        <is>
          <t>10cE</t>
        </is>
      </c>
      <c r="E291" s="8" t="inlineStr">
        <is>
          <t>part_x_balance_sheet.land_bldg_equip_net_eoy</t>
        </is>
      </c>
      <c r="F291" s="8" t="inlineStr">
        <is>
          <t>high</t>
        </is>
      </c>
      <c r="G291" s="9" t="n">
        <v>2227919</v>
      </c>
    </row>
    <row r="292">
      <c r="A292" s="8" t="inlineStr">
        <is>
          <t>Balance sheet (detail)</t>
        </is>
      </c>
      <c r="B292" s="8" t="inlineStr">
        <is>
          <t>E16</t>
        </is>
      </c>
      <c r="C292" s="8" t="inlineStr">
        <is>
          <t>10c. Land, buildings, and equipment, net</t>
        </is>
      </c>
      <c r="D292" s="8" t="inlineStr">
        <is>
          <t>10cE</t>
        </is>
      </c>
      <c r="E292" s="8" t="inlineStr">
        <is>
          <t>part_x_balance_sheet.land_bldg_equip_net_eoy</t>
        </is>
      </c>
      <c r="F292" s="8" t="inlineStr">
        <is>
          <t>high</t>
        </is>
      </c>
      <c r="G292" s="9" t="n">
        <v>2161536</v>
      </c>
    </row>
    <row r="293">
      <c r="A293" s="8" t="inlineStr">
        <is>
          <t>Balance sheet (detail)</t>
        </is>
      </c>
      <c r="B293" s="8" t="inlineStr">
        <is>
          <t>F16</t>
        </is>
      </c>
      <c r="C293" s="8" t="inlineStr">
        <is>
          <t>10c. Land, buildings, and equipment, net</t>
        </is>
      </c>
      <c r="D293" s="8" t="inlineStr">
        <is>
          <t>10cE</t>
        </is>
      </c>
      <c r="E293" s="8" t="inlineStr">
        <is>
          <t>part_x_balance_sheet.land_bldg_equip_net_eoy</t>
        </is>
      </c>
      <c r="F293" s="8" t="inlineStr">
        <is>
          <t>high</t>
        </is>
      </c>
      <c r="G293" s="9" t="n">
        <v>2093760</v>
      </c>
    </row>
    <row r="294">
      <c r="A294" s="8" t="inlineStr">
        <is>
          <t>Balance sheet (detail)</t>
        </is>
      </c>
      <c r="B294" s="8" t="inlineStr">
        <is>
          <t>G16</t>
        </is>
      </c>
      <c r="C294" s="8" t="inlineStr">
        <is>
          <t>10c. Land, buildings, and equipment, net</t>
        </is>
      </c>
      <c r="D294" s="8" t="inlineStr">
        <is>
          <t>10cE</t>
        </is>
      </c>
      <c r="E294" s="8" t="inlineStr">
        <is>
          <t>part_x_balance_sheet.land_bldg_equip_net_eoy</t>
        </is>
      </c>
      <c r="F294" s="8" t="inlineStr">
        <is>
          <t>high</t>
        </is>
      </c>
      <c r="G294" s="9" t="n">
        <v>2016963</v>
      </c>
    </row>
    <row r="295">
      <c r="A295" s="8" t="inlineStr">
        <is>
          <t>Balance sheet (detail)</t>
        </is>
      </c>
      <c r="B295" s="8" t="inlineStr">
        <is>
          <t>B17</t>
        </is>
      </c>
      <c r="C295" s="8" t="inlineStr">
        <is>
          <t>11. Investments - publicly traded securities</t>
        </is>
      </c>
      <c r="D295" s="8" t="inlineStr">
        <is>
          <t>11E</t>
        </is>
      </c>
      <c r="E295" s="8" t="inlineStr">
        <is>
          <t>part_x_balance_sheet.investments_public_securities_eoy</t>
        </is>
      </c>
      <c r="F295" s="8" t="inlineStr">
        <is>
          <t>high</t>
        </is>
      </c>
      <c r="G295" s="9" t="n">
        <v>0</v>
      </c>
    </row>
    <row r="296">
      <c r="A296" s="8" t="inlineStr">
        <is>
          <t>Balance sheet (detail)</t>
        </is>
      </c>
      <c r="B296" s="8" t="inlineStr">
        <is>
          <t>C17</t>
        </is>
      </c>
      <c r="C296" s="8" t="inlineStr">
        <is>
          <t>11. Investments - publicly traded securities</t>
        </is>
      </c>
      <c r="D296" s="8" t="inlineStr">
        <is>
          <t>11E</t>
        </is>
      </c>
      <c r="E296" s="8" t="inlineStr">
        <is>
          <t>part_x_balance_sheet.investments_public_securities_eoy</t>
        </is>
      </c>
      <c r="F296" s="8" t="inlineStr">
        <is>
          <t>high</t>
        </is>
      </c>
      <c r="G296" s="9" t="n">
        <v>0</v>
      </c>
    </row>
    <row r="297">
      <c r="A297" s="8" t="inlineStr">
        <is>
          <t>Balance sheet (detail)</t>
        </is>
      </c>
      <c r="B297" s="8" t="inlineStr">
        <is>
          <t>D17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E17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F17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G17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B18</t>
        </is>
      </c>
      <c r="C301" s="8" t="inlineStr">
        <is>
          <t>12. Investments - other securities</t>
        </is>
      </c>
      <c r="D301" s="8" t="inlineStr">
        <is>
          <t>12E</t>
        </is>
      </c>
      <c r="E301" s="8" t="inlineStr">
        <is>
          <t>part_x_balance_sheet.investments_other_securities_eoy</t>
        </is>
      </c>
      <c r="F301" s="8" t="inlineStr">
        <is>
          <t>high</t>
        </is>
      </c>
      <c r="G301" s="9" t="n">
        <v>0</v>
      </c>
    </row>
    <row r="302">
      <c r="A302" s="8" t="inlineStr">
        <is>
          <t>Balance sheet (detail)</t>
        </is>
      </c>
      <c r="B302" s="8" t="inlineStr">
        <is>
          <t>C18</t>
        </is>
      </c>
      <c r="C302" s="8" t="inlineStr">
        <is>
          <t>12. Investments - other securities</t>
        </is>
      </c>
      <c r="D302" s="8" t="inlineStr">
        <is>
          <t>12E</t>
        </is>
      </c>
      <c r="E302" s="8" t="inlineStr">
        <is>
          <t>part_x_balance_sheet.investments_other_securities_eoy</t>
        </is>
      </c>
      <c r="F302" s="8" t="inlineStr">
        <is>
          <t>high</t>
        </is>
      </c>
      <c r="G302" s="9" t="n">
        <v>0</v>
      </c>
    </row>
    <row r="303">
      <c r="A303" s="8" t="inlineStr">
        <is>
          <t>Balance sheet (detail)</t>
        </is>
      </c>
      <c r="B303" s="8" t="inlineStr">
        <is>
          <t>D18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E18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F18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G18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B19</t>
        </is>
      </c>
      <c r="C307" s="8" t="inlineStr">
        <is>
          <t>13. Investments - program-related</t>
        </is>
      </c>
      <c r="D307" s="8" t="inlineStr">
        <is>
          <t>13E</t>
        </is>
      </c>
      <c r="E307" s="8" t="inlineStr">
        <is>
          <t>part_x_balance_sheet.investments_program_related_eoy</t>
        </is>
      </c>
      <c r="F307" s="8" t="inlineStr">
        <is>
          <t>high</t>
        </is>
      </c>
      <c r="G307" s="9" t="n">
        <v>0</v>
      </c>
    </row>
    <row r="308">
      <c r="A308" s="8" t="inlineStr">
        <is>
          <t>Balance sheet (detail)</t>
        </is>
      </c>
      <c r="B308" s="8" t="inlineStr">
        <is>
          <t>C19</t>
        </is>
      </c>
      <c r="C308" s="8" t="inlineStr">
        <is>
          <t>13. Investments - program-related</t>
        </is>
      </c>
      <c r="D308" s="8" t="inlineStr">
        <is>
          <t>13E</t>
        </is>
      </c>
      <c r="E308" s="8" t="inlineStr">
        <is>
          <t>part_x_balance_sheet.investments_program_related_eoy</t>
        </is>
      </c>
      <c r="F308" s="8" t="inlineStr">
        <is>
          <t>high</t>
        </is>
      </c>
      <c r="G308" s="9" t="n">
        <v>0</v>
      </c>
    </row>
    <row r="309">
      <c r="A309" s="8" t="inlineStr">
        <is>
          <t>Balance sheet (detail)</t>
        </is>
      </c>
      <c r="B309" s="8" t="inlineStr">
        <is>
          <t>D19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E19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F19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G19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B20</t>
        </is>
      </c>
      <c r="C313" s="8" t="inlineStr">
        <is>
          <t>14. Intangible assets</t>
        </is>
      </c>
      <c r="D313" s="8" t="inlineStr">
        <is>
          <t>14E</t>
        </is>
      </c>
      <c r="E313" s="8" t="inlineStr">
        <is>
          <t>part_x_balance_sheet.intangible_assets_eoy</t>
        </is>
      </c>
      <c r="F313" s="8" t="inlineStr">
        <is>
          <t>high</t>
        </is>
      </c>
      <c r="G313" s="9" t="n">
        <v>0</v>
      </c>
    </row>
    <row r="314">
      <c r="A314" s="8" t="inlineStr">
        <is>
          <t>Balance sheet (detail)</t>
        </is>
      </c>
      <c r="B314" s="8" t="inlineStr">
        <is>
          <t>C20</t>
        </is>
      </c>
      <c r="C314" s="8" t="inlineStr">
        <is>
          <t>14. Intangible assets</t>
        </is>
      </c>
      <c r="D314" s="8" t="inlineStr">
        <is>
          <t>14E</t>
        </is>
      </c>
      <c r="E314" s="8" t="inlineStr">
        <is>
          <t>part_x_balance_sheet.intangible_assets_eoy</t>
        </is>
      </c>
      <c r="F314" s="8" t="inlineStr">
        <is>
          <t>high</t>
        </is>
      </c>
      <c r="G314" s="9" t="n">
        <v>0</v>
      </c>
    </row>
    <row r="315">
      <c r="A315" s="8" t="inlineStr">
        <is>
          <t>Balance sheet (detail)</t>
        </is>
      </c>
      <c r="B315" s="8" t="inlineStr">
        <is>
          <t>D20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E20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F20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G20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B21</t>
        </is>
      </c>
      <c r="C319" s="8" t="inlineStr">
        <is>
          <t>15. Other assets</t>
        </is>
      </c>
      <c r="D319" s="8" t="inlineStr">
        <is>
          <t>15E</t>
        </is>
      </c>
      <c r="E319" s="8" t="inlineStr">
        <is>
          <t>part_x_balance_sheet.other_assets_eoy</t>
        </is>
      </c>
      <c r="F319" s="8" t="inlineStr">
        <is>
          <t>high</t>
        </is>
      </c>
      <c r="G319" s="9" t="n">
        <v>0</v>
      </c>
    </row>
    <row r="320">
      <c r="A320" s="8" t="inlineStr">
        <is>
          <t>Balance sheet (detail)</t>
        </is>
      </c>
      <c r="B320" s="8" t="inlineStr">
        <is>
          <t>C21</t>
        </is>
      </c>
      <c r="C320" s="8" t="inlineStr">
        <is>
          <t>15. Other assets</t>
        </is>
      </c>
      <c r="D320" s="8" t="inlineStr">
        <is>
          <t>15E</t>
        </is>
      </c>
      <c r="E320" s="8" t="inlineStr">
        <is>
          <t>part_x_balance_sheet.other_assets_eoy</t>
        </is>
      </c>
      <c r="F320" s="8" t="inlineStr">
        <is>
          <t>high</t>
        </is>
      </c>
      <c r="G320" s="9" t="n">
        <v>0</v>
      </c>
    </row>
    <row r="321">
      <c r="A321" s="8" t="inlineStr">
        <is>
          <t>Balance sheet (detail)</t>
        </is>
      </c>
      <c r="B321" s="8" t="inlineStr">
        <is>
          <t>D21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E21</t>
        </is>
      </c>
      <c r="C322" s="8" t="inlineStr">
        <is>
          <t>15. Other assets</t>
        </is>
      </c>
      <c r="D322" s="8" t="inlineStr">
        <is>
          <t>15E</t>
        </is>
      </c>
      <c r="E322" s="8" t="inlineStr">
        <is>
          <t>part_x_balance_sheet.other_assets_eoy</t>
        </is>
      </c>
      <c r="F322" s="8" t="inlineStr">
        <is>
          <t>high</t>
        </is>
      </c>
      <c r="G322" s="9" t="n">
        <v>0</v>
      </c>
    </row>
    <row r="323">
      <c r="A323" s="8" t="inlineStr">
        <is>
          <t>Balance sheet (detail)</t>
        </is>
      </c>
      <c r="B323" s="8" t="inlineStr">
        <is>
          <t>F21</t>
        </is>
      </c>
      <c r="C323" s="8" t="inlineStr">
        <is>
          <t>15. Other assets</t>
        </is>
      </c>
      <c r="D323" s="8" t="inlineStr">
        <is>
          <t>15E</t>
        </is>
      </c>
      <c r="E323" s="8" t="inlineStr">
        <is>
          <t>part_x_balance_sheet.other_assets_eoy</t>
        </is>
      </c>
      <c r="F323" s="8" t="inlineStr">
        <is>
          <t>high</t>
        </is>
      </c>
      <c r="G323" s="9" t="n">
        <v>0</v>
      </c>
    </row>
    <row r="324">
      <c r="A324" s="8" t="inlineStr">
        <is>
          <t>Balance sheet (detail)</t>
        </is>
      </c>
      <c r="B324" s="8" t="inlineStr">
        <is>
          <t>G21</t>
        </is>
      </c>
      <c r="C324" s="8" t="inlineStr">
        <is>
          <t>15. Other assets</t>
        </is>
      </c>
      <c r="D324" s="8" t="inlineStr">
        <is>
          <t>15E</t>
        </is>
      </c>
      <c r="E324" s="8" t="inlineStr">
        <is>
          <t>part_x_balance_sheet.other_assets_eoy</t>
        </is>
      </c>
      <c r="F324" s="8" t="inlineStr">
        <is>
          <t>high</t>
        </is>
      </c>
      <c r="G324" s="9" t="n">
        <v>1</v>
      </c>
    </row>
    <row r="325">
      <c r="A325" s="8" t="inlineStr">
        <is>
          <t>Balance sheet (detail)</t>
        </is>
      </c>
      <c r="B325" s="8" t="inlineStr">
        <is>
          <t>B25</t>
        </is>
      </c>
      <c r="C325" s="8" t="inlineStr">
        <is>
          <t>25. Other liabilities</t>
        </is>
      </c>
      <c r="D325" s="8" t="inlineStr">
        <is>
          <t>25E</t>
        </is>
      </c>
      <c r="E325" s="8" t="inlineStr">
        <is>
          <t>part_x_balance_sheet.other_liabilities_eoy</t>
        </is>
      </c>
      <c r="F325" s="8" t="inlineStr">
        <is>
          <t>high</t>
        </is>
      </c>
      <c r="G325" s="9" t="n">
        <v>1</v>
      </c>
    </row>
    <row r="326">
      <c r="A326" s="8" t="inlineStr">
        <is>
          <t>Balance sheet (detail)</t>
        </is>
      </c>
      <c r="B326" s="8" t="inlineStr">
        <is>
          <t>C25</t>
        </is>
      </c>
      <c r="C326" s="8" t="inlineStr">
        <is>
          <t>25. Other liabilities</t>
        </is>
      </c>
      <c r="D326" s="8" t="inlineStr">
        <is>
          <t>25E</t>
        </is>
      </c>
      <c r="E326" s="8" t="inlineStr">
        <is>
          <t>part_x_balance_sheet.other_liabilities_eoy</t>
        </is>
      </c>
      <c r="F326" s="8" t="inlineStr">
        <is>
          <t>high</t>
        </is>
      </c>
      <c r="G326" s="9" t="n">
        <v>2</v>
      </c>
    </row>
    <row r="327">
      <c r="A327" s="8" t="inlineStr">
        <is>
          <t>Balance sheet (detail)</t>
        </is>
      </c>
      <c r="B327" s="8" t="inlineStr">
        <is>
          <t>D25</t>
        </is>
      </c>
      <c r="C327" s="8" t="inlineStr">
        <is>
          <t>25. Other liabilities</t>
        </is>
      </c>
      <c r="D327" s="8" t="inlineStr">
        <is>
          <t>25E</t>
        </is>
      </c>
      <c r="E327" s="8" t="inlineStr">
        <is>
          <t>part_x_balance_sheet.other_liabilities_eoy</t>
        </is>
      </c>
      <c r="F327" s="8" t="inlineStr">
        <is>
          <t>high</t>
        </is>
      </c>
      <c r="G327" s="9" t="n">
        <v>1</v>
      </c>
    </row>
    <row r="328">
      <c r="A328" s="8" t="inlineStr">
        <is>
          <t>Balance sheet (detail)</t>
        </is>
      </c>
      <c r="B328" s="8" t="inlineStr">
        <is>
          <t>E25</t>
        </is>
      </c>
      <c r="C328" s="8" t="inlineStr">
        <is>
          <t>25. Other liabilities</t>
        </is>
      </c>
      <c r="D328" s="8" t="inlineStr">
        <is>
          <t>25E</t>
        </is>
      </c>
      <c r="E328" s="8" t="inlineStr">
        <is>
          <t>part_x_balance_sheet.other_liabilities_eoy</t>
        </is>
      </c>
      <c r="F328" s="8" t="inlineStr">
        <is>
          <t>high</t>
        </is>
      </c>
      <c r="G328" s="9" t="n">
        <v>1</v>
      </c>
    </row>
    <row r="329">
      <c r="A329" s="8" t="inlineStr">
        <is>
          <t>Balance sheet (detail)</t>
        </is>
      </c>
      <c r="B329" s="8" t="inlineStr">
        <is>
          <t>F25</t>
        </is>
      </c>
      <c r="C329" s="8" t="inlineStr">
        <is>
          <t>25. Other liabilities</t>
        </is>
      </c>
      <c r="D329" s="8" t="inlineStr">
        <is>
          <t>25E</t>
        </is>
      </c>
      <c r="E329" s="8" t="inlineStr">
        <is>
          <t>part_x_balance_sheet.other_liabilities_eoy</t>
        </is>
      </c>
      <c r="F329" s="8" t="inlineStr">
        <is>
          <t>high</t>
        </is>
      </c>
      <c r="G329" s="9" t="n">
        <v>1</v>
      </c>
    </row>
    <row r="330">
      <c r="A330" s="8" t="inlineStr">
        <is>
          <t>Balance sheet (detail)</t>
        </is>
      </c>
      <c r="B330" s="8" t="inlineStr">
        <is>
          <t>G25</t>
        </is>
      </c>
      <c r="C330" s="8" t="inlineStr">
        <is>
          <t>25. Other liabilities</t>
        </is>
      </c>
      <c r="D330" s="8" t="inlineStr">
        <is>
          <t>25E</t>
        </is>
      </c>
      <c r="E330" s="8" t="inlineStr">
        <is>
          <t>part_x_balance_sheet.other_liabilities_eoy</t>
        </is>
      </c>
      <c r="F330" s="8" t="inlineStr">
        <is>
          <t>high</t>
        </is>
      </c>
      <c r="G330" s="9" t="n">
        <v>1</v>
      </c>
    </row>
    <row r="331">
      <c r="A331" s="8" t="inlineStr">
        <is>
          <t>Balance sheet (detail)</t>
        </is>
      </c>
      <c r="B331" s="8" t="inlineStr">
        <is>
          <t>B29</t>
        </is>
      </c>
      <c r="C331" s="8" t="inlineStr">
        <is>
          <t>29. Capital stock or trust principal</t>
        </is>
      </c>
      <c r="D331" s="8" t="inlineStr">
        <is>
          <t>29E</t>
        </is>
      </c>
      <c r="E331" s="8" t="inlineStr">
        <is>
          <t>part_x_balance_sheet.cap_stock_eoy</t>
        </is>
      </c>
      <c r="F331" s="8" t="inlineStr">
        <is>
          <t>high</t>
        </is>
      </c>
      <c r="G331" s="9" t="n">
        <v>10000</v>
      </c>
    </row>
    <row r="332">
      <c r="A332" s="8" t="inlineStr">
        <is>
          <t>Balance sheet (detail)</t>
        </is>
      </c>
      <c r="B332" s="8" t="inlineStr">
        <is>
          <t>C29</t>
        </is>
      </c>
      <c r="C332" s="8" t="inlineStr">
        <is>
          <t>29. Capital stock or trust principal</t>
        </is>
      </c>
      <c r="D332" s="8" t="inlineStr">
        <is>
          <t>29E</t>
        </is>
      </c>
      <c r="E332" s="8" t="inlineStr">
        <is>
          <t>part_x_balance_sheet.cap_stock_eoy</t>
        </is>
      </c>
      <c r="F332" s="8" t="inlineStr">
        <is>
          <t>high</t>
        </is>
      </c>
      <c r="G332" s="9" t="n">
        <v>10000</v>
      </c>
    </row>
    <row r="333">
      <c r="A333" s="8" t="inlineStr">
        <is>
          <t>Balance sheet (detail)</t>
        </is>
      </c>
      <c r="B333" s="8" t="inlineStr">
        <is>
          <t>D29</t>
        </is>
      </c>
      <c r="C333" s="8" t="inlineStr">
        <is>
          <t>29. Capital stock or trust principal</t>
        </is>
      </c>
      <c r="D333" s="8" t="inlineStr">
        <is>
          <t>29E</t>
        </is>
      </c>
      <c r="E333" s="8" t="inlineStr">
        <is>
          <t>part_x_balance_sheet.cap_stock_eoy</t>
        </is>
      </c>
      <c r="F333" s="8" t="inlineStr">
        <is>
          <t>high</t>
        </is>
      </c>
      <c r="G333" s="9" t="n">
        <v>10000</v>
      </c>
    </row>
    <row r="334">
      <c r="A334" s="8" t="inlineStr">
        <is>
          <t>Balance sheet (detail)</t>
        </is>
      </c>
      <c r="B334" s="8" t="inlineStr">
        <is>
          <t>E29</t>
        </is>
      </c>
      <c r="C334" s="8" t="inlineStr">
        <is>
          <t>29. Capital stock or trust principal</t>
        </is>
      </c>
      <c r="D334" s="8" t="inlineStr">
        <is>
          <t>29E</t>
        </is>
      </c>
      <c r="E334" s="8" t="inlineStr">
        <is>
          <t>part_x_balance_sheet.cap_stock_eoy</t>
        </is>
      </c>
      <c r="F334" s="8" t="inlineStr">
        <is>
          <t>high</t>
        </is>
      </c>
      <c r="G334" s="9" t="n">
        <v>10000</v>
      </c>
    </row>
    <row r="335">
      <c r="A335" s="8" t="inlineStr">
        <is>
          <t>Balance sheet (detail)</t>
        </is>
      </c>
      <c r="B335" s="8" t="inlineStr">
        <is>
          <t>F29</t>
        </is>
      </c>
      <c r="C335" s="8" t="inlineStr">
        <is>
          <t>29. Capital stock or trust principal</t>
        </is>
      </c>
      <c r="D335" s="8" t="inlineStr">
        <is>
          <t>29E</t>
        </is>
      </c>
      <c r="E335" s="8" t="inlineStr">
        <is>
          <t>part_x_balance_sheet.cap_stock_eoy</t>
        </is>
      </c>
      <c r="F335" s="8" t="inlineStr">
        <is>
          <t>high</t>
        </is>
      </c>
      <c r="G335" s="9" t="n">
        <v>10000</v>
      </c>
    </row>
    <row r="336">
      <c r="A336" s="8" t="inlineStr">
        <is>
          <t>Balance sheet (detail)</t>
        </is>
      </c>
      <c r="B336" s="8" t="inlineStr">
        <is>
          <t>G29</t>
        </is>
      </c>
      <c r="C336" s="8" t="inlineStr">
        <is>
          <t>29. Capital stock or trust principal</t>
        </is>
      </c>
      <c r="D336" s="8" t="inlineStr">
        <is>
          <t>29E</t>
        </is>
      </c>
      <c r="E336" s="8" t="inlineStr">
        <is>
          <t>part_x_balance_sheet.cap_stock_eoy</t>
        </is>
      </c>
      <c r="F336" s="8" t="inlineStr">
        <is>
          <t>high</t>
        </is>
      </c>
      <c r="G336" s="9" t="n">
        <v>10000</v>
      </c>
    </row>
    <row r="337">
      <c r="A337" s="8" t="inlineStr">
        <is>
          <t>Balance sheet (detail)</t>
        </is>
      </c>
      <c r="B337" s="8" t="inlineStr">
        <is>
          <t>B30</t>
        </is>
      </c>
      <c r="C337" s="8" t="inlineStr">
        <is>
          <t>30. Paid-in or capital surplus</t>
        </is>
      </c>
      <c r="D337" s="8" t="inlineStr">
        <is>
          <t>30E</t>
        </is>
      </c>
      <c r="E337" s="8" t="inlineStr">
        <is>
          <t>part_x_balance_sheet.paid_in_capital_eoy</t>
        </is>
      </c>
      <c r="F337" s="8" t="inlineStr">
        <is>
          <t>high</t>
        </is>
      </c>
      <c r="G337" s="9" t="n">
        <v>2473042</v>
      </c>
    </row>
    <row r="338">
      <c r="A338" s="8" t="inlineStr">
        <is>
          <t>Balance sheet (detail)</t>
        </is>
      </c>
      <c r="B338" s="8" t="inlineStr">
        <is>
          <t>C30</t>
        </is>
      </c>
      <c r="C338" s="8" t="inlineStr">
        <is>
          <t>30. Paid-in or capital surplus</t>
        </is>
      </c>
      <c r="D338" s="8" t="inlineStr">
        <is>
          <t>30E</t>
        </is>
      </c>
      <c r="E338" s="8" t="inlineStr">
        <is>
          <t>part_x_balance_sheet.paid_in_capital_eoy</t>
        </is>
      </c>
      <c r="F338" s="8" t="inlineStr">
        <is>
          <t>high</t>
        </is>
      </c>
      <c r="G338" s="9" t="n">
        <v>2473042</v>
      </c>
    </row>
    <row r="339">
      <c r="A339" s="8" t="inlineStr">
        <is>
          <t>Balance sheet (detail)</t>
        </is>
      </c>
      <c r="B339" s="8" t="inlineStr">
        <is>
          <t>D30</t>
        </is>
      </c>
      <c r="C339" s="8" t="inlineStr">
        <is>
          <t>30. Paid-in or capital surplus</t>
        </is>
      </c>
      <c r="D339" s="8" t="inlineStr">
        <is>
          <t>30E</t>
        </is>
      </c>
      <c r="E339" s="8" t="inlineStr">
        <is>
          <t>part_x_balance_sheet.paid_in_capital_eoy</t>
        </is>
      </c>
      <c r="F339" s="8" t="inlineStr">
        <is>
          <t>high</t>
        </is>
      </c>
      <c r="G339" s="9" t="n">
        <v>2473042</v>
      </c>
    </row>
    <row r="340">
      <c r="A340" s="8" t="inlineStr">
        <is>
          <t>Balance sheet (detail)</t>
        </is>
      </c>
      <c r="B340" s="8" t="inlineStr">
        <is>
          <t>E30</t>
        </is>
      </c>
      <c r="C340" s="8" t="inlineStr">
        <is>
          <t>30. Paid-in or capital surplus</t>
        </is>
      </c>
      <c r="D340" s="8" t="inlineStr">
        <is>
          <t>30E</t>
        </is>
      </c>
      <c r="E340" s="8" t="inlineStr">
        <is>
          <t>part_x_balance_sheet.paid_in_capital_eoy</t>
        </is>
      </c>
      <c r="F340" s="8" t="inlineStr">
        <is>
          <t>high</t>
        </is>
      </c>
      <c r="G340" s="9" t="n">
        <v>2473042</v>
      </c>
    </row>
    <row r="341">
      <c r="A341" s="8" t="inlineStr">
        <is>
          <t>Balance sheet (detail)</t>
        </is>
      </c>
      <c r="B341" s="8" t="inlineStr">
        <is>
          <t>F30</t>
        </is>
      </c>
      <c r="C341" s="8" t="inlineStr">
        <is>
          <t>30. Paid-in or capital surplus</t>
        </is>
      </c>
      <c r="D341" s="8" t="inlineStr">
        <is>
          <t>30E</t>
        </is>
      </c>
      <c r="E341" s="8" t="inlineStr">
        <is>
          <t>part_x_balance_sheet.paid_in_capital_eoy</t>
        </is>
      </c>
      <c r="F341" s="8" t="inlineStr">
        <is>
          <t>high</t>
        </is>
      </c>
      <c r="G341" s="9" t="n">
        <v>2473042</v>
      </c>
    </row>
    <row r="342">
      <c r="A342" s="8" t="inlineStr">
        <is>
          <t>Balance sheet (detail)</t>
        </is>
      </c>
      <c r="B342" s="8" t="inlineStr">
        <is>
          <t>G30</t>
        </is>
      </c>
      <c r="C342" s="8" t="inlineStr">
        <is>
          <t>30. Paid-in or capital surplus</t>
        </is>
      </c>
      <c r="D342" s="8" t="inlineStr">
        <is>
          <t>30E</t>
        </is>
      </c>
      <c r="E342" s="8" t="inlineStr">
        <is>
          <t>part_x_balance_sheet.paid_in_capital_eoy</t>
        </is>
      </c>
      <c r="F342" s="8" t="inlineStr">
        <is>
          <t>high</t>
        </is>
      </c>
      <c r="G342" s="9" t="n">
        <v>2473042</v>
      </c>
    </row>
    <row r="343">
      <c r="A343" s="8" t="inlineStr">
        <is>
          <t>Balance sheet (detail)</t>
        </is>
      </c>
      <c r="B343" s="8" t="inlineStr">
        <is>
          <t>B31</t>
        </is>
      </c>
      <c r="C343" s="8" t="inlineStr">
        <is>
          <t>31. Retained earnings / accumulated funds</t>
        </is>
      </c>
      <c r="D343" s="8" t="inlineStr">
        <is>
          <t>31E</t>
        </is>
      </c>
      <c r="E343" s="8" t="inlineStr">
        <is>
          <t>part_x_balance_sheet.retained_earnings_eoy</t>
        </is>
      </c>
      <c r="F343" s="8" t="inlineStr">
        <is>
          <t>high</t>
        </is>
      </c>
      <c r="G343" s="9" t="n">
        <v>145906</v>
      </c>
    </row>
    <row r="344">
      <c r="A344" s="8" t="inlineStr">
        <is>
          <t>Balance sheet (detail)</t>
        </is>
      </c>
      <c r="B344" s="8" t="inlineStr">
        <is>
          <t>C31</t>
        </is>
      </c>
      <c r="C344" s="8" t="inlineStr">
        <is>
          <t>31. Retained earnings / accumulated funds</t>
        </is>
      </c>
      <c r="D344" s="8" t="inlineStr">
        <is>
          <t>31E</t>
        </is>
      </c>
      <c r="E344" s="8" t="inlineStr">
        <is>
          <t>part_x_balance_sheet.retained_earnings_eoy</t>
        </is>
      </c>
      <c r="F344" s="8" t="inlineStr">
        <is>
          <t>high</t>
        </is>
      </c>
      <c r="G344" s="9" t="n">
        <v>69348</v>
      </c>
    </row>
    <row r="345">
      <c r="A345" s="8" t="inlineStr">
        <is>
          <t>Balance sheet (detail)</t>
        </is>
      </c>
      <c r="B345" s="8" t="inlineStr">
        <is>
          <t>D31</t>
        </is>
      </c>
      <c r="C345" s="8" t="inlineStr">
        <is>
          <t>31. Retained earnings / accumulated funds</t>
        </is>
      </c>
      <c r="D345" s="8" t="inlineStr">
        <is>
          <t>31E</t>
        </is>
      </c>
      <c r="E345" s="8" t="inlineStr">
        <is>
          <t>part_x_balance_sheet.retained_earnings_eoy</t>
        </is>
      </c>
      <c r="F345" s="8" t="inlineStr">
        <is>
          <t>high</t>
        </is>
      </c>
      <c r="G345" s="9" t="n">
        <v>-10307</v>
      </c>
    </row>
    <row r="346">
      <c r="A346" s="8" t="inlineStr">
        <is>
          <t>Balance sheet (detail)</t>
        </is>
      </c>
      <c r="B346" s="8" t="inlineStr">
        <is>
          <t>E31</t>
        </is>
      </c>
      <c r="C346" s="8" t="inlineStr">
        <is>
          <t>31. Retained earnings / accumulated funds</t>
        </is>
      </c>
      <c r="D346" s="8" t="inlineStr">
        <is>
          <t>31E</t>
        </is>
      </c>
      <c r="E346" s="8" t="inlineStr">
        <is>
          <t>part_x_balance_sheet.retained_earnings_eoy</t>
        </is>
      </c>
      <c r="F346" s="8" t="inlineStr">
        <is>
          <t>high</t>
        </is>
      </c>
      <c r="G346" s="9" t="n">
        <v>-86241</v>
      </c>
    </row>
    <row r="347">
      <c r="A347" s="8" t="inlineStr">
        <is>
          <t>Balance sheet (detail)</t>
        </is>
      </c>
      <c r="B347" s="8" t="inlineStr">
        <is>
          <t>F31</t>
        </is>
      </c>
      <c r="C347" s="8" t="inlineStr">
        <is>
          <t>31. Retained earnings / accumulated funds</t>
        </is>
      </c>
      <c r="D347" s="8" t="inlineStr">
        <is>
          <t>31E</t>
        </is>
      </c>
      <c r="E347" s="8" t="inlineStr">
        <is>
          <t>part_x_balance_sheet.retained_earnings_eoy</t>
        </is>
      </c>
      <c r="F347" s="8" t="inlineStr">
        <is>
          <t>high</t>
        </is>
      </c>
      <c r="G347" s="9" t="n">
        <v>-160620</v>
      </c>
    </row>
    <row r="348">
      <c r="A348" s="8" t="inlineStr">
        <is>
          <t>Balance sheet (detail)</t>
        </is>
      </c>
      <c r="B348" s="8" t="inlineStr">
        <is>
          <t>G31</t>
        </is>
      </c>
      <c r="C348" s="8" t="inlineStr">
        <is>
          <t>31. Retained earnings / accumulated funds</t>
        </is>
      </c>
      <c r="D348" s="8" t="inlineStr">
        <is>
          <t>31E</t>
        </is>
      </c>
      <c r="E348" s="8" t="inlineStr">
        <is>
          <t>part_x_balance_sheet.retained_earnings_eoy</t>
        </is>
      </c>
      <c r="F348" s="8" t="inlineStr">
        <is>
          <t>high</t>
        </is>
      </c>
      <c r="G348" s="9" t="n">
        <v>-231982</v>
      </c>
    </row>
    <row r="349">
      <c r="A349" s="8" t="inlineStr">
        <is>
          <t>Net-assets reconciliation</t>
        </is>
      </c>
      <c r="B349" s="8" t="inlineStr">
        <is>
          <t>B7</t>
        </is>
      </c>
      <c r="C349" s="8" t="inlineStr">
        <is>
          <t>4. Net assets, beginning of year</t>
        </is>
      </c>
      <c r="D349" s="8" t="inlineStr">
        <is>
          <t>Part XI line 4</t>
        </is>
      </c>
      <c r="E349" s="8" t="inlineStr">
        <is>
          <t>part_xi_reconciliation.net_assets_boy</t>
        </is>
      </c>
      <c r="F349" s="8" t="inlineStr">
        <is>
          <t>high</t>
        </is>
      </c>
      <c r="G349" s="9" t="n">
        <v>2699454</v>
      </c>
    </row>
    <row r="350">
      <c r="A350" s="8" t="inlineStr">
        <is>
          <t>Net-assets reconciliation</t>
        </is>
      </c>
      <c r="B350" s="8" t="inlineStr">
        <is>
          <t>C7</t>
        </is>
      </c>
      <c r="C350" s="8" t="inlineStr">
        <is>
          <t>4. Net assets, beginning of year</t>
        </is>
      </c>
      <c r="D350" s="8" t="inlineStr">
        <is>
          <t>Part XI line 4</t>
        </is>
      </c>
      <c r="E350" s="8" t="inlineStr">
        <is>
          <t>part_xi_reconciliation.net_assets_boy</t>
        </is>
      </c>
      <c r="F350" s="8" t="inlineStr">
        <is>
          <t>high</t>
        </is>
      </c>
      <c r="G350" s="9" t="n">
        <v>2628948</v>
      </c>
    </row>
    <row r="351">
      <c r="A351" s="8" t="inlineStr">
        <is>
          <t>Net-assets reconciliation</t>
        </is>
      </c>
      <c r="B351" s="8" t="inlineStr">
        <is>
          <t>D7</t>
        </is>
      </c>
      <c r="C351" s="8" t="inlineStr">
        <is>
          <t>4. Net assets, beginning of year</t>
        </is>
      </c>
      <c r="D351" s="8" t="inlineStr">
        <is>
          <t>Part XI line 4</t>
        </is>
      </c>
      <c r="E351" s="8" t="inlineStr">
        <is>
          <t>part_xi_reconciliation.net_assets_boy</t>
        </is>
      </c>
      <c r="F351" s="8" t="inlineStr">
        <is>
          <t>high</t>
        </is>
      </c>
      <c r="G351" s="9" t="n">
        <v>2552390</v>
      </c>
    </row>
    <row r="352">
      <c r="A352" s="8" t="inlineStr">
        <is>
          <t>Net-assets reconciliation</t>
        </is>
      </c>
      <c r="B352" s="8" t="inlineStr">
        <is>
          <t>E7</t>
        </is>
      </c>
      <c r="C352" s="8" t="inlineStr">
        <is>
          <t>4. Net assets, beginning of year</t>
        </is>
      </c>
      <c r="D352" s="8" t="inlineStr">
        <is>
          <t>Part XI line 4</t>
        </is>
      </c>
      <c r="E352" s="8" t="inlineStr">
        <is>
          <t>part_xi_reconciliation.net_assets_boy</t>
        </is>
      </c>
      <c r="F352" s="8" t="inlineStr">
        <is>
          <t>high</t>
        </is>
      </c>
      <c r="G352" s="9" t="n">
        <v>2472735</v>
      </c>
    </row>
    <row r="353">
      <c r="A353" s="8" t="inlineStr">
        <is>
          <t>Net-assets reconciliation</t>
        </is>
      </c>
      <c r="B353" s="8" t="inlineStr">
        <is>
          <t>F7</t>
        </is>
      </c>
      <c r="C353" s="8" t="inlineStr">
        <is>
          <t>4. Net assets, beginning of year</t>
        </is>
      </c>
      <c r="D353" s="8" t="inlineStr">
        <is>
          <t>Part XI line 4</t>
        </is>
      </c>
      <c r="E353" s="8" t="inlineStr">
        <is>
          <t>part_xi_reconciliation.net_assets_boy</t>
        </is>
      </c>
      <c r="F353" s="8" t="inlineStr">
        <is>
          <t>high</t>
        </is>
      </c>
      <c r="G353" s="9" t="n">
        <v>2396801</v>
      </c>
    </row>
    <row r="354">
      <c r="A354" s="8" t="inlineStr">
        <is>
          <t>Net-assets reconciliation</t>
        </is>
      </c>
      <c r="B354" s="8" t="inlineStr">
        <is>
          <t>G7</t>
        </is>
      </c>
      <c r="C354" s="8" t="inlineStr">
        <is>
          <t>4. Net assets, beginning of year</t>
        </is>
      </c>
      <c r="D354" s="8" t="inlineStr">
        <is>
          <t>Part XI line 4</t>
        </is>
      </c>
      <c r="E354" s="8" t="inlineStr">
        <is>
          <t>part_xi_reconciliation.net_assets_boy</t>
        </is>
      </c>
      <c r="F354" s="8" t="inlineStr">
        <is>
          <t>high</t>
        </is>
      </c>
      <c r="G354" s="9" t="n">
        <v>2322422</v>
      </c>
    </row>
    <row r="355">
      <c r="A355" s="8" t="inlineStr">
        <is>
          <t>Net-assets reconciliation</t>
        </is>
      </c>
      <c r="B355" s="8" t="inlineStr">
        <is>
          <t>B8</t>
        </is>
      </c>
      <c r="C355" s="8" t="inlineStr">
        <is>
          <t>3. Revenue less expenses</t>
        </is>
      </c>
      <c r="D355" s="8" t="inlineStr">
        <is>
          <t>Part XI line 3</t>
        </is>
      </c>
      <c r="E355" s="8" t="inlineStr">
        <is>
          <t>part_xi_reconciliation.reconciliation_revenue_expenses</t>
        </is>
      </c>
      <c r="F355" s="8" t="inlineStr">
        <is>
          <t>high</t>
        </is>
      </c>
      <c r="G355" s="9" t="n">
        <v>-70506</v>
      </c>
    </row>
    <row r="356">
      <c r="A356" s="8" t="inlineStr">
        <is>
          <t>Net-assets reconciliation</t>
        </is>
      </c>
      <c r="B356" s="8" t="inlineStr">
        <is>
          <t>C8</t>
        </is>
      </c>
      <c r="C356" s="8" t="inlineStr">
        <is>
          <t>3. Revenue less expenses</t>
        </is>
      </c>
      <c r="D356" s="8" t="inlineStr">
        <is>
          <t>Part XI line 3</t>
        </is>
      </c>
      <c r="E356" s="8" t="inlineStr">
        <is>
          <t>part_xi_reconciliation.reconciliation_revenue_expenses</t>
        </is>
      </c>
      <c r="F356" s="8" t="inlineStr">
        <is>
          <t>high</t>
        </is>
      </c>
      <c r="G356" s="9" t="n">
        <v>-76558</v>
      </c>
    </row>
    <row r="357">
      <c r="A357" s="8" t="inlineStr">
        <is>
          <t>Net-assets reconciliation</t>
        </is>
      </c>
      <c r="B357" s="8" t="inlineStr">
        <is>
          <t>D8</t>
        </is>
      </c>
      <c r="C357" s="8" t="inlineStr">
        <is>
          <t>3. Revenue less expenses</t>
        </is>
      </c>
      <c r="D357" s="8" t="inlineStr">
        <is>
          <t>Part XI line 3</t>
        </is>
      </c>
      <c r="E357" s="8" t="inlineStr">
        <is>
          <t>part_xi_reconciliation.reconciliation_revenue_expenses</t>
        </is>
      </c>
      <c r="F357" s="8" t="inlineStr">
        <is>
          <t>high</t>
        </is>
      </c>
      <c r="G357" s="9" t="n">
        <v>-79655</v>
      </c>
    </row>
    <row r="358">
      <c r="A358" s="8" t="inlineStr">
        <is>
          <t>Net-assets reconciliation</t>
        </is>
      </c>
      <c r="B358" s="8" t="inlineStr">
        <is>
          <t>E8</t>
        </is>
      </c>
      <c r="C358" s="8" t="inlineStr">
        <is>
          <t>3. Revenue less expenses</t>
        </is>
      </c>
      <c r="D358" s="8" t="inlineStr">
        <is>
          <t>Part XI line 3</t>
        </is>
      </c>
      <c r="E358" s="8" t="inlineStr">
        <is>
          <t>part_xi_reconciliation.reconciliation_revenue_expenses</t>
        </is>
      </c>
      <c r="F358" s="8" t="inlineStr">
        <is>
          <t>high</t>
        </is>
      </c>
      <c r="G358" s="9" t="n">
        <v>-75934</v>
      </c>
    </row>
    <row r="359">
      <c r="A359" s="8" t="inlineStr">
        <is>
          <t>Net-assets reconciliation</t>
        </is>
      </c>
      <c r="B359" s="8" t="inlineStr">
        <is>
          <t>F8</t>
        </is>
      </c>
      <c r="C359" s="8" t="inlineStr">
        <is>
          <t>3. Revenue less expenses</t>
        </is>
      </c>
      <c r="D359" s="8" t="inlineStr">
        <is>
          <t>Part XI line 3</t>
        </is>
      </c>
      <c r="E359" s="8" t="inlineStr">
        <is>
          <t>part_xi_reconciliation.reconciliation_revenue_expenses</t>
        </is>
      </c>
      <c r="F359" s="8" t="inlineStr">
        <is>
          <t>high</t>
        </is>
      </c>
      <c r="G359" s="9" t="n">
        <v>-74379</v>
      </c>
    </row>
    <row r="360">
      <c r="A360" s="8" t="inlineStr">
        <is>
          <t>Net-assets reconciliation</t>
        </is>
      </c>
      <c r="B360" s="8" t="inlineStr">
        <is>
          <t>G8</t>
        </is>
      </c>
      <c r="C360" s="8" t="inlineStr">
        <is>
          <t>3. Revenue less expenses</t>
        </is>
      </c>
      <c r="D360" s="8" t="inlineStr">
        <is>
          <t>Part XI line 3</t>
        </is>
      </c>
      <c r="E360" s="8" t="inlineStr">
        <is>
          <t>part_xi_reconciliation.reconciliation_revenue_expenses</t>
        </is>
      </c>
      <c r="F360" s="8" t="inlineStr">
        <is>
          <t>high</t>
        </is>
      </c>
      <c r="G360" s="9" t="n">
        <v>-71362</v>
      </c>
    </row>
    <row r="362">
      <c r="A362" s="29" t="inlineStr">
        <is>
          <t>C. Tie-out checks (filed vs computed; any nonzero variance is flagged red)</t>
        </is>
      </c>
      <c r="B362" s="7" t="n"/>
      <c r="C362" s="7" t="n"/>
      <c r="D362" s="7" t="n"/>
      <c r="E362" s="7" t="n"/>
      <c r="F362" s="7" t="n"/>
      <c r="G362" s="7" t="n"/>
      <c r="H362" s="7" t="n"/>
      <c r="I362" s="7" t="n"/>
      <c r="J362" s="7" t="n"/>
      <c r="K362" s="7" t="n"/>
    </row>
    <row r="363">
      <c r="A363" s="5" t="inlineStr">
        <is>
          <t>Tab</t>
        </is>
      </c>
      <c r="B363" s="5" t="inlineStr">
        <is>
          <t>Check</t>
        </is>
      </c>
      <c r="C363" s="5" t="inlineStr">
        <is>
          <t>Fiscal year</t>
        </is>
      </c>
      <c r="D363" s="5" t="inlineStr">
        <is>
          <t>Filed</t>
        </is>
      </c>
      <c r="E363" s="5" t="inlineStr">
        <is>
          <t>Computed</t>
        </is>
      </c>
      <c r="F363" s="5" t="inlineStr">
        <is>
          <t>Variance (computed - filed)</t>
        </is>
      </c>
    </row>
    <row r="364">
      <c r="A364" s="18" t="inlineStr">
        <is>
          <t>Revenue (detail)</t>
        </is>
      </c>
      <c r="B364" s="18" t="inlineStr">
        <is>
          <t>12. Total revenue</t>
        </is>
      </c>
      <c r="C364" s="18" t="inlineStr">
        <is>
          <t>FY2020</t>
        </is>
      </c>
      <c r="D364" s="9" t="n">
        <v>82112</v>
      </c>
      <c r="E364" s="9">
        <f>'Revenue (detail)'!B13</f>
        <v/>
      </c>
      <c r="F364" s="9">
        <f>E364-D364</f>
        <v/>
      </c>
    </row>
    <row r="365">
      <c r="A365" s="18" t="inlineStr">
        <is>
          <t>Revenue (detail)</t>
        </is>
      </c>
      <c r="B365" s="18" t="inlineStr">
        <is>
          <t>12. Total revenue</t>
        </is>
      </c>
      <c r="C365" s="18" t="inlineStr">
        <is>
          <t>FY2021</t>
        </is>
      </c>
      <c r="D365" s="9" t="n">
        <v>82237</v>
      </c>
      <c r="E365" s="9">
        <f>'Revenue (detail)'!C13</f>
        <v/>
      </c>
      <c r="F365" s="9">
        <f>E365-D365</f>
        <v/>
      </c>
    </row>
    <row r="366">
      <c r="A366" s="18" t="inlineStr">
        <is>
          <t>Revenue (detail)</t>
        </is>
      </c>
      <c r="B366" s="18" t="inlineStr">
        <is>
          <t>12. Total revenue</t>
        </is>
      </c>
      <c r="C366" s="18" t="inlineStr">
        <is>
          <t>FY2022</t>
        </is>
      </c>
      <c r="D366" s="9" t="n">
        <v>103148</v>
      </c>
      <c r="E366" s="9">
        <f>'Revenue (detail)'!D13</f>
        <v/>
      </c>
      <c r="F366" s="9">
        <f>E366-D366</f>
        <v/>
      </c>
    </row>
    <row r="367">
      <c r="A367" s="18" t="inlineStr">
        <is>
          <t>Revenue (detail)</t>
        </is>
      </c>
      <c r="B367" s="18" t="inlineStr">
        <is>
          <t>12. Total revenue</t>
        </is>
      </c>
      <c r="C367" s="18" t="inlineStr">
        <is>
          <t>FY2023</t>
        </is>
      </c>
      <c r="D367" s="9" t="n">
        <v>100532</v>
      </c>
      <c r="E367" s="9">
        <f>'Revenue (detail)'!E13</f>
        <v/>
      </c>
      <c r="F367" s="9">
        <f>E367-D367</f>
        <v/>
      </c>
    </row>
    <row r="368">
      <c r="A368" s="18" t="inlineStr">
        <is>
          <t>Revenue (detail)</t>
        </is>
      </c>
      <c r="B368" s="18" t="inlineStr">
        <is>
          <t>12. Total revenue</t>
        </is>
      </c>
      <c r="C368" s="18" t="inlineStr">
        <is>
          <t>FY2024</t>
        </is>
      </c>
      <c r="D368" s="9" t="n">
        <v>108431</v>
      </c>
      <c r="E368" s="9">
        <f>'Revenue (detail)'!F13</f>
        <v/>
      </c>
      <c r="F368" s="9">
        <f>E368-D368</f>
        <v/>
      </c>
    </row>
    <row r="369">
      <c r="A369" s="18" t="inlineStr">
        <is>
          <t>Revenue (detail)</t>
        </is>
      </c>
      <c r="B369" s="18" t="inlineStr">
        <is>
          <t>12. Total revenue</t>
        </is>
      </c>
      <c r="C369" s="18" t="inlineStr">
        <is>
          <t>FY2025</t>
        </is>
      </c>
      <c r="D369" s="9" t="n">
        <v>115214</v>
      </c>
      <c r="E369" s="9">
        <f>'Revenue (detail)'!G13</f>
        <v/>
      </c>
      <c r="F369" s="9">
        <f>E369-D369</f>
        <v/>
      </c>
    </row>
    <row r="370">
      <c r="A370" s="18" t="inlineStr">
        <is>
          <t>Operating expenses (detail)</t>
        </is>
      </c>
      <c r="B370" s="18" t="inlineStr">
        <is>
          <t>25. Total functional expenses</t>
        </is>
      </c>
      <c r="C370" s="18" t="inlineStr">
        <is>
          <t>FY2020</t>
        </is>
      </c>
      <c r="D370" s="9" t="n">
        <v>152618</v>
      </c>
      <c r="E370" s="9">
        <f>'Operating expenses (detail)'!B42</f>
        <v/>
      </c>
      <c r="F370" s="9">
        <f>E370-D370</f>
        <v/>
      </c>
    </row>
    <row r="371">
      <c r="A371" s="18" t="inlineStr">
        <is>
          <t>Operating expenses (detail)</t>
        </is>
      </c>
      <c r="B371" s="18" t="inlineStr">
        <is>
          <t>25. Total functional expenses</t>
        </is>
      </c>
      <c r="C371" s="18" t="inlineStr">
        <is>
          <t>FY2021</t>
        </is>
      </c>
      <c r="D371" s="9" t="n">
        <v>158795</v>
      </c>
      <c r="E371" s="9">
        <f>'Operating expenses (detail)'!C42</f>
        <v/>
      </c>
      <c r="F371" s="9">
        <f>E371-D371</f>
        <v/>
      </c>
    </row>
    <row r="372">
      <c r="A372" s="18" t="inlineStr">
        <is>
          <t>Operating expenses (detail)</t>
        </is>
      </c>
      <c r="B372" s="18" t="inlineStr">
        <is>
          <t>25. Total functional expenses</t>
        </is>
      </c>
      <c r="C372" s="18" t="inlineStr">
        <is>
          <t>FY2022</t>
        </is>
      </c>
      <c r="D372" s="9" t="n">
        <v>182803</v>
      </c>
      <c r="E372" s="9">
        <f>'Operating expenses (detail)'!D42</f>
        <v/>
      </c>
      <c r="F372" s="9">
        <f>E372-D372</f>
        <v/>
      </c>
    </row>
    <row r="373">
      <c r="A373" s="18" t="inlineStr">
        <is>
          <t>Operating expenses (detail)</t>
        </is>
      </c>
      <c r="B373" s="18" t="inlineStr">
        <is>
          <t>25. Total functional expenses</t>
        </is>
      </c>
      <c r="C373" s="18" t="inlineStr">
        <is>
          <t>FY2023</t>
        </is>
      </c>
      <c r="D373" s="9" t="n">
        <v>176466</v>
      </c>
      <c r="E373" s="9">
        <f>'Operating expenses (detail)'!E42</f>
        <v/>
      </c>
      <c r="F373" s="9">
        <f>E373-D373</f>
        <v/>
      </c>
    </row>
    <row r="374">
      <c r="A374" s="18" t="inlineStr">
        <is>
          <t>Operating expenses (detail)</t>
        </is>
      </c>
      <c r="B374" s="18" t="inlineStr">
        <is>
          <t>25. Total functional expenses</t>
        </is>
      </c>
      <c r="C374" s="18" t="inlineStr">
        <is>
          <t>FY2024</t>
        </is>
      </c>
      <c r="D374" s="9" t="n">
        <v>182810</v>
      </c>
      <c r="E374" s="9">
        <f>'Operating expenses (detail)'!F42</f>
        <v/>
      </c>
      <c r="F374" s="9">
        <f>E374-D374</f>
        <v/>
      </c>
    </row>
    <row r="375">
      <c r="A375" s="18" t="inlineStr">
        <is>
          <t>Operating expenses (detail)</t>
        </is>
      </c>
      <c r="B375" s="18" t="inlineStr">
        <is>
          <t>25. Total functional expenses</t>
        </is>
      </c>
      <c r="C375" s="18" t="inlineStr">
        <is>
          <t>FY2025</t>
        </is>
      </c>
      <c r="D375" s="9" t="n">
        <v>186576</v>
      </c>
      <c r="E375" s="9">
        <f>'Operating expenses (detail)'!G42</f>
        <v/>
      </c>
      <c r="F375" s="9">
        <f>E375-D375</f>
        <v/>
      </c>
    </row>
    <row r="376">
      <c r="A376" s="18" t="inlineStr">
        <is>
          <t>Operating expenses (detail)</t>
        </is>
      </c>
      <c r="B376" s="18" t="inlineStr">
        <is>
          <t>Part IX column split: col A = B + C + D (FY2025)</t>
        </is>
      </c>
      <c r="C376" s="18" t="inlineStr">
        <is>
          <t>FY2025</t>
        </is>
      </c>
      <c r="D376" s="9">
        <f>'Operating expenses (detail)'!B75</f>
        <v/>
      </c>
      <c r="E376" s="9">
        <f>'Operating expenses (detail)'!C75+'Operating expenses (detail)'!D75+'Operating expenses (detail)'!E75</f>
        <v/>
      </c>
      <c r="F376" s="9">
        <f>E376-D376</f>
        <v/>
      </c>
    </row>
    <row r="377">
      <c r="A377" s="18" t="inlineStr">
        <is>
          <t>Balance sheet (detail)</t>
        </is>
      </c>
      <c r="B377" s="18" t="inlineStr">
        <is>
          <t>16. Total assets</t>
        </is>
      </c>
      <c r="C377" s="18" t="inlineStr">
        <is>
          <t>FY2020</t>
        </is>
      </c>
      <c r="D377" s="9" t="n">
        <v>2628949</v>
      </c>
      <c r="E377" s="9">
        <f>'Balance sheet (detail)'!B22</f>
        <v/>
      </c>
      <c r="F377" s="9">
        <f>E377-D377</f>
        <v/>
      </c>
    </row>
    <row r="378">
      <c r="A378" s="18" t="inlineStr">
        <is>
          <t>Balance sheet (detail)</t>
        </is>
      </c>
      <c r="B378" s="18" t="inlineStr">
        <is>
          <t>16. Total assets</t>
        </is>
      </c>
      <c r="C378" s="18" t="inlineStr">
        <is>
          <t>FY2021</t>
        </is>
      </c>
      <c r="D378" s="9" t="n">
        <v>2552392</v>
      </c>
      <c r="E378" s="9">
        <f>'Balance sheet (detail)'!C22</f>
        <v/>
      </c>
      <c r="F378" s="9">
        <f>E378-D378</f>
        <v/>
      </c>
    </row>
    <row r="379">
      <c r="A379" s="18" t="inlineStr">
        <is>
          <t>Balance sheet (detail)</t>
        </is>
      </c>
      <c r="B379" s="18" t="inlineStr">
        <is>
          <t>16. Total assets</t>
        </is>
      </c>
      <c r="C379" s="18" t="inlineStr">
        <is>
          <t>FY2022</t>
        </is>
      </c>
      <c r="D379" s="9" t="n">
        <v>2472736</v>
      </c>
      <c r="E379" s="9">
        <f>'Balance sheet (detail)'!D22</f>
        <v/>
      </c>
      <c r="F379" s="9">
        <f>E379-D379</f>
        <v/>
      </c>
    </row>
    <row r="380">
      <c r="A380" s="18" t="inlineStr">
        <is>
          <t>Balance sheet (detail)</t>
        </is>
      </c>
      <c r="B380" s="18" t="inlineStr">
        <is>
          <t>16. Total assets</t>
        </is>
      </c>
      <c r="C380" s="18" t="inlineStr">
        <is>
          <t>FY2023</t>
        </is>
      </c>
      <c r="D380" s="9" t="n">
        <v>2396802</v>
      </c>
      <c r="E380" s="9">
        <f>'Balance sheet (detail)'!E22</f>
        <v/>
      </c>
      <c r="F380" s="9">
        <f>E380-D380</f>
        <v/>
      </c>
    </row>
    <row r="381">
      <c r="A381" s="18" t="inlineStr">
        <is>
          <t>Balance sheet (detail)</t>
        </is>
      </c>
      <c r="B381" s="18" t="inlineStr">
        <is>
          <t>16. Total assets</t>
        </is>
      </c>
      <c r="C381" s="18" t="inlineStr">
        <is>
          <t>FY2024</t>
        </is>
      </c>
      <c r="D381" s="9" t="n">
        <v>2322423</v>
      </c>
      <c r="E381" s="9">
        <f>'Balance sheet (detail)'!F22</f>
        <v/>
      </c>
      <c r="F381" s="9">
        <f>E381-D381</f>
        <v/>
      </c>
    </row>
    <row r="382">
      <c r="A382" s="18" t="inlineStr">
        <is>
          <t>Balance sheet (detail)</t>
        </is>
      </c>
      <c r="B382" s="18" t="inlineStr">
        <is>
          <t>16. Total assets</t>
        </is>
      </c>
      <c r="C382" s="18" t="inlineStr">
        <is>
          <t>FY2025</t>
        </is>
      </c>
      <c r="D382" s="9" t="n">
        <v>2251061</v>
      </c>
      <c r="E382" s="9">
        <f>'Balance sheet (detail)'!G22</f>
        <v/>
      </c>
      <c r="F382" s="9">
        <f>E382-D382</f>
        <v/>
      </c>
    </row>
    <row r="383">
      <c r="A383" s="18" t="inlineStr">
        <is>
          <t>Balance sheet (detail)</t>
        </is>
      </c>
      <c r="B383" s="18" t="inlineStr">
        <is>
          <t>26. Total liabilities</t>
        </is>
      </c>
      <c r="C383" s="18" t="inlineStr">
        <is>
          <t>FY2020</t>
        </is>
      </c>
      <c r="D383" s="9" t="n">
        <v>1</v>
      </c>
      <c r="E383" s="9">
        <f>'Balance sheet (detail)'!B26</f>
        <v/>
      </c>
      <c r="F383" s="9">
        <f>E383-D383</f>
        <v/>
      </c>
    </row>
    <row r="384">
      <c r="A384" s="18" t="inlineStr">
        <is>
          <t>Balance sheet (detail)</t>
        </is>
      </c>
      <c r="B384" s="18" t="inlineStr">
        <is>
          <t>26. Total liabilities</t>
        </is>
      </c>
      <c r="C384" s="18" t="inlineStr">
        <is>
          <t>FY2021</t>
        </is>
      </c>
      <c r="D384" s="9" t="n">
        <v>2</v>
      </c>
      <c r="E384" s="9">
        <f>'Balance sheet (detail)'!C26</f>
        <v/>
      </c>
      <c r="F384" s="9">
        <f>E384-D384</f>
        <v/>
      </c>
    </row>
    <row r="385">
      <c r="A385" s="18" t="inlineStr">
        <is>
          <t>Balance sheet (detail)</t>
        </is>
      </c>
      <c r="B385" s="18" t="inlineStr">
        <is>
          <t>26. Total liabilities</t>
        </is>
      </c>
      <c r="C385" s="18" t="inlineStr">
        <is>
          <t>FY2022</t>
        </is>
      </c>
      <c r="D385" s="9" t="n">
        <v>1</v>
      </c>
      <c r="E385" s="9">
        <f>'Balance sheet (detail)'!D26</f>
        <v/>
      </c>
      <c r="F385" s="9">
        <f>E385-D385</f>
        <v/>
      </c>
    </row>
    <row r="386">
      <c r="A386" s="18" t="inlineStr">
        <is>
          <t>Balance sheet (detail)</t>
        </is>
      </c>
      <c r="B386" s="18" t="inlineStr">
        <is>
          <t>26. Total liabilities</t>
        </is>
      </c>
      <c r="C386" s="18" t="inlineStr">
        <is>
          <t>FY2023</t>
        </is>
      </c>
      <c r="D386" s="9" t="n">
        <v>1</v>
      </c>
      <c r="E386" s="9">
        <f>'Balance sheet (detail)'!E26</f>
        <v/>
      </c>
      <c r="F386" s="9">
        <f>E386-D386</f>
        <v/>
      </c>
    </row>
    <row r="387">
      <c r="A387" s="18" t="inlineStr">
        <is>
          <t>Balance sheet (detail)</t>
        </is>
      </c>
      <c r="B387" s="18" t="inlineStr">
        <is>
          <t>26. Total liabilities</t>
        </is>
      </c>
      <c r="C387" s="18" t="inlineStr">
        <is>
          <t>FY2024</t>
        </is>
      </c>
      <c r="D387" s="9" t="n">
        <v>1</v>
      </c>
      <c r="E387" s="9">
        <f>'Balance sheet (detail)'!F26</f>
        <v/>
      </c>
      <c r="F387" s="9">
        <f>E387-D387</f>
        <v/>
      </c>
    </row>
    <row r="388">
      <c r="A388" s="18" t="inlineStr">
        <is>
          <t>Balance sheet (detail)</t>
        </is>
      </c>
      <c r="B388" s="18" t="inlineStr">
        <is>
          <t>26. Total liabilities</t>
        </is>
      </c>
      <c r="C388" s="18" t="inlineStr">
        <is>
          <t>FY2025</t>
        </is>
      </c>
      <c r="D388" s="9" t="n">
        <v>1</v>
      </c>
      <c r="E388" s="9">
        <f>'Balance sheet (detail)'!G26</f>
        <v/>
      </c>
      <c r="F388" s="9">
        <f>E388-D388</f>
        <v/>
      </c>
    </row>
    <row r="389">
      <c r="A389" s="18" t="inlineStr">
        <is>
          <t>Balance sheet (detail)</t>
        </is>
      </c>
      <c r="B389" s="18" t="inlineStr">
        <is>
          <t>32. Total net assets / fund balances</t>
        </is>
      </c>
      <c r="C389" s="18" t="inlineStr">
        <is>
          <t>FY2020</t>
        </is>
      </c>
      <c r="D389" s="9" t="n">
        <v>2628948</v>
      </c>
      <c r="E389" s="9">
        <f>'Balance sheet (detail)'!B32</f>
        <v/>
      </c>
      <c r="F389" s="9">
        <f>E389-D389</f>
        <v/>
      </c>
    </row>
    <row r="390">
      <c r="A390" s="18" t="inlineStr">
        <is>
          <t>Balance sheet (detail)</t>
        </is>
      </c>
      <c r="B390" s="18" t="inlineStr">
        <is>
          <t>32. Total net assets / fund balances</t>
        </is>
      </c>
      <c r="C390" s="18" t="inlineStr">
        <is>
          <t>FY2021</t>
        </is>
      </c>
      <c r="D390" s="9" t="n">
        <v>2552390</v>
      </c>
      <c r="E390" s="9">
        <f>'Balance sheet (detail)'!C32</f>
        <v/>
      </c>
      <c r="F390" s="9">
        <f>E390-D390</f>
        <v/>
      </c>
    </row>
    <row r="391">
      <c r="A391" s="18" t="inlineStr">
        <is>
          <t>Balance sheet (detail)</t>
        </is>
      </c>
      <c r="B391" s="18" t="inlineStr">
        <is>
          <t>32. Total net assets / fund balances</t>
        </is>
      </c>
      <c r="C391" s="18" t="inlineStr">
        <is>
          <t>FY2022</t>
        </is>
      </c>
      <c r="D391" s="9" t="n">
        <v>2472735</v>
      </c>
      <c r="E391" s="9">
        <f>'Balance sheet (detail)'!D32</f>
        <v/>
      </c>
      <c r="F391" s="9">
        <f>E391-D391</f>
        <v/>
      </c>
    </row>
    <row r="392">
      <c r="A392" s="18" t="inlineStr">
        <is>
          <t>Balance sheet (detail)</t>
        </is>
      </c>
      <c r="B392" s="18" t="inlineStr">
        <is>
          <t>32. Total net assets / fund balances</t>
        </is>
      </c>
      <c r="C392" s="18" t="inlineStr">
        <is>
          <t>FY2023</t>
        </is>
      </c>
      <c r="D392" s="9" t="n">
        <v>2396801</v>
      </c>
      <c r="E392" s="9">
        <f>'Balance sheet (detail)'!E32</f>
        <v/>
      </c>
      <c r="F392" s="9">
        <f>E392-D392</f>
        <v/>
      </c>
    </row>
    <row r="393">
      <c r="A393" s="18" t="inlineStr">
        <is>
          <t>Balance sheet (detail)</t>
        </is>
      </c>
      <c r="B393" s="18" t="inlineStr">
        <is>
          <t>32. Total net assets / fund balances</t>
        </is>
      </c>
      <c r="C393" s="18" t="inlineStr">
        <is>
          <t>FY2024</t>
        </is>
      </c>
      <c r="D393" s="9" t="n">
        <v>2322422</v>
      </c>
      <c r="E393" s="9">
        <f>'Balance sheet (detail)'!F32</f>
        <v/>
      </c>
      <c r="F393" s="9">
        <f>E393-D393</f>
        <v/>
      </c>
    </row>
    <row r="394">
      <c r="A394" s="18" t="inlineStr">
        <is>
          <t>Balance sheet (detail)</t>
        </is>
      </c>
      <c r="B394" s="18" t="inlineStr">
        <is>
          <t>32. Total net assets / fund balances</t>
        </is>
      </c>
      <c r="C394" s="18" t="inlineStr">
        <is>
          <t>FY2025</t>
        </is>
      </c>
      <c r="D394" s="9" t="n">
        <v>2251060</v>
      </c>
      <c r="E394" s="9">
        <f>'Balance sheet (detail)'!G32</f>
        <v/>
      </c>
      <c r="F394" s="9">
        <f>E394-D394</f>
        <v/>
      </c>
    </row>
    <row r="395">
      <c r="A395" s="18" t="inlineStr">
        <is>
          <t>Balance sheet (detail)</t>
        </is>
      </c>
      <c r="B395" s="18" t="inlineStr">
        <is>
          <t>Balance sheet identity: line 16 = line 26 + line 32 (EOY)</t>
        </is>
      </c>
      <c r="C395" s="18" t="inlineStr">
        <is>
          <t>FY2020</t>
        </is>
      </c>
      <c r="D395" s="9">
        <f>'Balance sheet (detail)'!B22</f>
        <v/>
      </c>
      <c r="E395" s="9">
        <f>SUM('Balance sheet (detail)'!B26,'Balance sheet (detail)'!B32)</f>
        <v/>
      </c>
      <c r="F395" s="9">
        <f>E395-D395</f>
        <v/>
      </c>
    </row>
    <row r="396">
      <c r="A396" s="18" t="inlineStr">
        <is>
          <t>Balance sheet (detail)</t>
        </is>
      </c>
      <c r="B396" s="18" t="inlineStr">
        <is>
          <t>Balance sheet identity: line 16 = line 26 + line 32 (EOY)</t>
        </is>
      </c>
      <c r="C396" s="18" t="inlineStr">
        <is>
          <t>FY2021</t>
        </is>
      </c>
      <c r="D396" s="9">
        <f>'Balance sheet (detail)'!C22</f>
        <v/>
      </c>
      <c r="E396" s="9">
        <f>SUM('Balance sheet (detail)'!C26,'Balance sheet (detail)'!C32)</f>
        <v/>
      </c>
      <c r="F396" s="9">
        <f>E396-D396</f>
        <v/>
      </c>
    </row>
    <row r="397">
      <c r="A397" s="18" t="inlineStr">
        <is>
          <t>Balance sheet (detail)</t>
        </is>
      </c>
      <c r="B397" s="18" t="inlineStr">
        <is>
          <t>Balance sheet identity: line 16 = line 26 + line 32 (EOY)</t>
        </is>
      </c>
      <c r="C397" s="18" t="inlineStr">
        <is>
          <t>FY2022</t>
        </is>
      </c>
      <c r="D397" s="9">
        <f>'Balance sheet (detail)'!D22</f>
        <v/>
      </c>
      <c r="E397" s="9">
        <f>SUM('Balance sheet (detail)'!D26,'Balance sheet (detail)'!D32)</f>
        <v/>
      </c>
      <c r="F397" s="9">
        <f>E397-D397</f>
        <v/>
      </c>
    </row>
    <row r="398">
      <c r="A398" s="18" t="inlineStr">
        <is>
          <t>Balance sheet (detail)</t>
        </is>
      </c>
      <c r="B398" s="18" t="inlineStr">
        <is>
          <t>Balance sheet identity: line 16 = line 26 + line 32 (EOY)</t>
        </is>
      </c>
      <c r="C398" s="18" t="inlineStr">
        <is>
          <t>FY2023</t>
        </is>
      </c>
      <c r="D398" s="9">
        <f>'Balance sheet (detail)'!E22</f>
        <v/>
      </c>
      <c r="E398" s="9">
        <f>SUM('Balance sheet (detail)'!E26,'Balance sheet (detail)'!E32)</f>
        <v/>
      </c>
      <c r="F398" s="9">
        <f>E398-D398</f>
        <v/>
      </c>
    </row>
    <row r="399">
      <c r="A399" s="18" t="inlineStr">
        <is>
          <t>Balance sheet (detail)</t>
        </is>
      </c>
      <c r="B399" s="18" t="inlineStr">
        <is>
          <t>Balance sheet identity: line 16 = line 26 + line 32 (EOY)</t>
        </is>
      </c>
      <c r="C399" s="18" t="inlineStr">
        <is>
          <t>FY2024</t>
        </is>
      </c>
      <c r="D399" s="9">
        <f>'Balance sheet (detail)'!F22</f>
        <v/>
      </c>
      <c r="E399" s="9">
        <f>SUM('Balance sheet (detail)'!F26,'Balance sheet (detail)'!F32)</f>
        <v/>
      </c>
      <c r="F399" s="9">
        <f>E399-D399</f>
        <v/>
      </c>
    </row>
    <row r="400">
      <c r="A400" s="18" t="inlineStr">
        <is>
          <t>Balance sheet (detail)</t>
        </is>
      </c>
      <c r="B400" s="18" t="inlineStr">
        <is>
          <t>Balance sheet identity: line 16 = line 26 + line 32 (EOY)</t>
        </is>
      </c>
      <c r="C400" s="18" t="inlineStr">
        <is>
          <t>FY2025</t>
        </is>
      </c>
      <c r="D400" s="9">
        <f>'Balance sheet (detail)'!G22</f>
        <v/>
      </c>
      <c r="E400" s="9">
        <f>SUM('Balance sheet (detail)'!G26,'Balance sheet (detail)'!G32)</f>
        <v/>
      </c>
      <c r="F400" s="9">
        <f>E400-D400</f>
        <v/>
      </c>
    </row>
    <row r="401">
      <c r="A401" s="18" t="inlineStr">
        <is>
          <t>Net-assets reconciliation</t>
        </is>
      </c>
      <c r="B401" s="18" t="inlineStr">
        <is>
          <t>10. Net assets, end of year</t>
        </is>
      </c>
      <c r="C401" s="18" t="inlineStr">
        <is>
          <t>FY2020</t>
        </is>
      </c>
      <c r="D401" s="9" t="n">
        <v>2628948</v>
      </c>
      <c r="E401" s="9">
        <f>'Net-assets reconciliation'!B11</f>
        <v/>
      </c>
      <c r="F401" s="9">
        <f>E401-D401</f>
        <v/>
      </c>
    </row>
    <row r="402">
      <c r="A402" s="18" t="inlineStr">
        <is>
          <t>Net-assets reconciliation</t>
        </is>
      </c>
      <c r="B402" s="18" t="inlineStr">
        <is>
          <t>10. Net assets, end of year</t>
        </is>
      </c>
      <c r="C402" s="18" t="inlineStr">
        <is>
          <t>FY2021</t>
        </is>
      </c>
      <c r="D402" s="9" t="n">
        <v>2552390</v>
      </c>
      <c r="E402" s="9">
        <f>'Net-assets reconciliation'!C11</f>
        <v/>
      </c>
      <c r="F402" s="9">
        <f>E402-D402</f>
        <v/>
      </c>
    </row>
    <row r="403">
      <c r="A403" s="18" t="inlineStr">
        <is>
          <t>Net-assets reconciliation</t>
        </is>
      </c>
      <c r="B403" s="18" t="inlineStr">
        <is>
          <t>10. Net assets, end of year</t>
        </is>
      </c>
      <c r="C403" s="18" t="inlineStr">
        <is>
          <t>FY2022</t>
        </is>
      </c>
      <c r="D403" s="9" t="n">
        <v>2472735</v>
      </c>
      <c r="E403" s="9">
        <f>'Net-assets reconciliation'!D11</f>
        <v/>
      </c>
      <c r="F403" s="9">
        <f>E403-D403</f>
        <v/>
      </c>
    </row>
    <row r="404">
      <c r="A404" s="18" t="inlineStr">
        <is>
          <t>Net-assets reconciliation</t>
        </is>
      </c>
      <c r="B404" s="18" t="inlineStr">
        <is>
          <t>10. Net assets, end of year</t>
        </is>
      </c>
      <c r="C404" s="18" t="inlineStr">
        <is>
          <t>FY2023</t>
        </is>
      </c>
      <c r="D404" s="9" t="n">
        <v>2396801</v>
      </c>
      <c r="E404" s="9">
        <f>'Net-assets reconciliation'!E11</f>
        <v/>
      </c>
      <c r="F404" s="9">
        <f>E404-D404</f>
        <v/>
      </c>
    </row>
    <row r="405">
      <c r="A405" s="18" t="inlineStr">
        <is>
          <t>Net-assets reconciliation</t>
        </is>
      </c>
      <c r="B405" s="18" t="inlineStr">
        <is>
          <t>10. Net assets, end of year</t>
        </is>
      </c>
      <c r="C405" s="18" t="inlineStr">
        <is>
          <t>FY2024</t>
        </is>
      </c>
      <c r="D405" s="9" t="n">
        <v>2322422</v>
      </c>
      <c r="E405" s="9">
        <f>'Net-assets reconciliation'!F11</f>
        <v/>
      </c>
      <c r="F405" s="9">
        <f>E405-D405</f>
        <v/>
      </c>
    </row>
    <row r="406">
      <c r="A406" s="18" t="inlineStr">
        <is>
          <t>Net-assets reconciliation</t>
        </is>
      </c>
      <c r="B406" s="18" t="inlineStr">
        <is>
          <t>10. Net assets, end of year</t>
        </is>
      </c>
      <c r="C406" s="18" t="inlineStr">
        <is>
          <t>FY2025</t>
        </is>
      </c>
      <c r="D406" s="9" t="n">
        <v>2251060</v>
      </c>
      <c r="E406" s="9">
        <f>'Net-assets reconciliation'!G11</f>
        <v/>
      </c>
      <c r="F406" s="9">
        <f>E406-D406</f>
        <v/>
      </c>
    </row>
    <row r="408">
      <c r="A408" s="29" t="inlineStr">
        <is>
          <t>D. Preparer / auditor trail (one row per fiscal year, as filed)</t>
        </is>
      </c>
      <c r="B408" s="7" t="n"/>
      <c r="C408" s="7" t="n"/>
      <c r="D408" s="7" t="n"/>
      <c r="E408" s="7" t="n"/>
      <c r="F408" s="7" t="n"/>
      <c r="G408" s="7" t="n"/>
      <c r="H408" s="7" t="n"/>
      <c r="I408" s="7" t="n"/>
      <c r="J408" s="7" t="n"/>
      <c r="K408" s="7" t="n"/>
    </row>
    <row r="409">
      <c r="A409" s="5" t="inlineStr">
        <is>
          <t>Fiscal year</t>
        </is>
      </c>
      <c r="B409" s="5" t="inlineStr">
        <is>
          <t>Paid preparer</t>
        </is>
      </c>
      <c r="C409" s="5" t="inlineStr">
        <is>
          <t>Preparer firm</t>
        </is>
      </c>
      <c r="D409" s="5" t="inlineStr">
        <is>
          <t>Independent auditor</t>
        </is>
      </c>
      <c r="E409" s="5" t="inlineStr">
        <is>
          <t>Citation</t>
        </is>
      </c>
    </row>
    <row r="410" ht="42" customHeight="1">
      <c r="A410" s="27" t="inlineStr">
        <is>
          <t>FY2020</t>
        </is>
      </c>
      <c r="B410" s="8" t="inlineStr">
        <is>
          <t>JOHN E BLOMBERG</t>
        </is>
      </c>
      <c r="C410" s="8" t="inlineStr">
        <is>
          <t>BLOMBERG GRIFFIN AC</t>
        </is>
      </c>
      <c r="D410" s="30" t="inlineStr">
        <is>
          <t>not reported</t>
        </is>
      </c>
      <c r="E410" s="21" t="inlineStr">
        <is>
          <t>Form 990 Return Header, Paid Preparer block (return_header.preparer_person_name / preparer_firm_name); auditor: Part XII line 2 reports audited financial statements but does not name the firm.</t>
        </is>
      </c>
    </row>
    <row r="411" ht="42" customHeight="1">
      <c r="A411" s="27" t="inlineStr">
        <is>
          <t>FY2021</t>
        </is>
      </c>
      <c r="B411" s="8" t="inlineStr">
        <is>
          <t>JOHN E BLOMBERG</t>
        </is>
      </c>
      <c r="C411" s="8" t="inlineStr">
        <is>
          <t>BLOMBERG GRIFFIN AC</t>
        </is>
      </c>
      <c r="D411" s="30" t="inlineStr">
        <is>
          <t>not reported</t>
        </is>
      </c>
      <c r="E411" s="21" t="inlineStr">
        <is>
          <t>Form 990 Return Header, Paid Preparer block (return_header.preparer_person_name / preparer_firm_name); auditor: Part XII line 2 reports audited financial statements but does not name the firm.</t>
        </is>
      </c>
    </row>
    <row r="412" ht="42" customHeight="1">
      <c r="A412" s="27" t="inlineStr">
        <is>
          <t>FY2022</t>
        </is>
      </c>
      <c r="B412" s="8" t="inlineStr">
        <is>
          <t>JOHN E BLOMBERG</t>
        </is>
      </c>
      <c r="C412" s="8" t="inlineStr">
        <is>
          <t>BLOMBERG GRIFFIN AC</t>
        </is>
      </c>
      <c r="D412" s="30" t="inlineStr">
        <is>
          <t>not reported</t>
        </is>
      </c>
      <c r="E412" s="21" t="inlineStr">
        <is>
          <t>Form 990 Return Header, Paid Preparer block (return_header.preparer_person_name / preparer_firm_name); auditor: Part XII line 2 reports audited financial statements but does not name the firm.</t>
        </is>
      </c>
    </row>
    <row r="413" ht="42" customHeight="1">
      <c r="A413" s="27" t="inlineStr">
        <is>
          <t>FY2023</t>
        </is>
      </c>
      <c r="B413" s="8" t="inlineStr">
        <is>
          <t>JOHN E BLOMBERG</t>
        </is>
      </c>
      <c r="C413" s="8" t="inlineStr">
        <is>
          <t>BLOMBERG GRIFFIN AC</t>
        </is>
      </c>
      <c r="D413" s="30" t="inlineStr">
        <is>
          <t>not reported</t>
        </is>
      </c>
      <c r="E413" s="21" t="inlineStr">
        <is>
          <t>Form 990 Return Header, Paid Preparer block (return_header.preparer_person_name / preparer_firm_name); auditor: Part XII line 2 reports audited financial statements but does not name the firm.</t>
        </is>
      </c>
    </row>
    <row r="414" ht="42" customHeight="1">
      <c r="A414" s="27" t="inlineStr">
        <is>
          <t>FY2024</t>
        </is>
      </c>
      <c r="B414" s="8" t="inlineStr">
        <is>
          <t>JOHN E BLOMBERG</t>
        </is>
      </c>
      <c r="C414" s="8" t="inlineStr">
        <is>
          <t>BLOMBERG GRIFFIN AC</t>
        </is>
      </c>
      <c r="D414" s="30" t="inlineStr">
        <is>
          <t>not reported</t>
        </is>
      </c>
      <c r="E414" s="21" t="inlineStr">
        <is>
          <t>Form 990 Return Header, Paid Preparer block (return_header.preparer_person_name / preparer_firm_name); auditor: Part XII line 2 reports audited financial statements but does not name the firm.</t>
        </is>
      </c>
    </row>
    <row r="415" ht="42" customHeight="1">
      <c r="A415" s="27" t="inlineStr">
        <is>
          <t>FY2025</t>
        </is>
      </c>
      <c r="B415" s="8" t="inlineStr">
        <is>
          <t>JOHN E BLOMBERG</t>
        </is>
      </c>
      <c r="C415" s="8" t="inlineStr">
        <is>
          <t>BLOMBERG GRIFFIN AC</t>
        </is>
      </c>
      <c r="D415" s="30" t="inlineStr">
        <is>
          <t>not reported</t>
        </is>
      </c>
      <c r="E415" s="21" t="inlineStr">
        <is>
          <t>Form 990 Return Header, Paid Preparer block (return_header.preparer_person_name / preparer_firm_name); auditor: Part XII line 2 reports audited financial statements but does not name the firm.</t>
        </is>
      </c>
    </row>
    <row r="417" ht="42" customHeight="1">
      <c r="A41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17:K417"/>
    <mergeCell ref="A3:K3"/>
    <mergeCell ref="A2:K2"/>
    <mergeCell ref="A5:K5"/>
    <mergeCell ref="A1:K1"/>
  </mergeCells>
  <conditionalFormatting sqref="F364:F406">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