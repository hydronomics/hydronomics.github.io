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(moderate)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Baron Canyon Mutual Water Company Inc</t>
        </is>
      </c>
    </row>
    <row r="2">
      <c r="A2" s="2" t="inlineStr">
        <is>
          <t>Financial Summary - multi-year overview (USD)</t>
        </is>
      </c>
    </row>
    <row r="3">
      <c r="A3" s="2" t="inlineStr">
        <is>
          <t>Entity ID: cawc_0060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51001</v>
      </c>
      <c r="C10" s="9" t="n">
        <v>60591</v>
      </c>
      <c r="D10" s="9" t="n">
        <v>65897</v>
      </c>
      <c r="E10" s="9" t="n">
        <v>170283</v>
      </c>
      <c r="F10" s="9" t="n">
        <v>639401</v>
      </c>
      <c r="G10" s="9" t="n">
        <v>1155136</v>
      </c>
    </row>
    <row r="11">
      <c r="A11" s="8" t="inlineStr">
        <is>
          <t xml:space="preserve">    Total expenses</t>
        </is>
      </c>
      <c r="B11" s="9" t="n">
        <v>54005</v>
      </c>
      <c r="C11" s="9" t="n">
        <v>56357</v>
      </c>
      <c r="D11" s="9" t="n">
        <v>80707</v>
      </c>
      <c r="E11" s="9" t="n">
        <v>144270</v>
      </c>
      <c r="F11" s="9" t="n">
        <v>564421</v>
      </c>
      <c r="G11" s="9" t="n">
        <v>1090610</v>
      </c>
    </row>
    <row r="12">
      <c r="A12" s="10" t="inlineStr">
        <is>
          <t xml:space="preserve">    Net income</t>
        </is>
      </c>
      <c r="B12" s="11" t="n">
        <v>-3004</v>
      </c>
      <c r="C12" s="11" t="n">
        <v>4234</v>
      </c>
      <c r="D12" s="11" t="n">
        <v>-14810</v>
      </c>
      <c r="E12" s="11" t="n">
        <v>26013</v>
      </c>
      <c r="F12" s="11" t="n">
        <v>74980</v>
      </c>
      <c r="G12" s="11" t="n">
        <v>64526</v>
      </c>
    </row>
    <row r="14">
      <c r="A14" s="6" t="inlineStr">
        <is>
          <t>Financial position (USD, end of year)</t>
        </is>
      </c>
      <c r="B14" s="7" t="n"/>
      <c r="C14" s="7" t="n"/>
      <c r="D14" s="7" t="n"/>
      <c r="E14" s="7" t="n"/>
      <c r="F14" s="7" t="n"/>
      <c r="G14" s="7" t="n"/>
    </row>
    <row r="15">
      <c r="A15" s="8" t="inlineStr">
        <is>
          <t xml:space="preserve">    Total assets</t>
        </is>
      </c>
      <c r="B15" s="9" t="n">
        <v>141316</v>
      </c>
      <c r="C15" s="9" t="n">
        <v>145147</v>
      </c>
      <c r="D15" s="9" t="n">
        <v>139893</v>
      </c>
      <c r="E15" s="9" t="n">
        <v>198740</v>
      </c>
      <c r="F15" s="9" t="n">
        <v>281683</v>
      </c>
      <c r="G15" s="9" t="n">
        <v>674968</v>
      </c>
    </row>
    <row r="16">
      <c r="A16" s="8" t="inlineStr">
        <is>
          <t xml:space="preserve">    Total liabilities</t>
        </is>
      </c>
      <c r="B16" s="9" t="n">
        <v>4168</v>
      </c>
      <c r="C16" s="9" t="n">
        <v>3765</v>
      </c>
      <c r="D16" s="9" t="n">
        <v>9675</v>
      </c>
      <c r="E16" s="9" t="n">
        <v>41569</v>
      </c>
      <c r="F16" s="9" t="n">
        <v>49532</v>
      </c>
      <c r="G16" s="9" t="n">
        <v>439413</v>
      </c>
    </row>
    <row r="17">
      <c r="A17" s="10" t="inlineStr">
        <is>
          <t xml:space="preserve">    Net assets</t>
        </is>
      </c>
      <c r="B17" s="11" t="n">
        <v>137148</v>
      </c>
      <c r="C17" s="11" t="n">
        <v>141382</v>
      </c>
      <c r="D17" s="11" t="n">
        <v>130218</v>
      </c>
      <c r="E17" s="11" t="n">
        <v>157171</v>
      </c>
      <c r="F17" s="11" t="n">
        <v>232151</v>
      </c>
      <c r="G17" s="11" t="n">
        <v>235555</v>
      </c>
    </row>
    <row r="19">
      <c r="A19" s="6" t="inlineStr">
        <is>
          <t>Headline ratios</t>
        </is>
      </c>
      <c r="B19" s="7" t="n"/>
      <c r="C19" s="7" t="n"/>
      <c r="D19" s="7" t="n"/>
      <c r="E19" s="7" t="n"/>
      <c r="F19" s="7" t="n"/>
      <c r="G19" s="7" t="n"/>
    </row>
    <row r="20">
      <c r="A20" s="8" t="inlineStr">
        <is>
          <t xml:space="preserve">    Operating margin</t>
        </is>
      </c>
      <c r="B20" s="12" t="n">
        <v>-0.05890080586655164</v>
      </c>
      <c r="C20" s="12" t="n">
        <v>0.06987836477364626</v>
      </c>
      <c r="D20" s="12" t="n">
        <v>-0.2247446772994218</v>
      </c>
      <c r="E20" s="12" t="n">
        <v>0.152763341026409</v>
      </c>
      <c r="F20" s="12" t="n">
        <v>0.1172660036502914</v>
      </c>
      <c r="G20" s="12" t="n">
        <v>0.05586008920161782</v>
      </c>
    </row>
    <row r="21">
      <c r="A21" s="8" t="inlineStr">
        <is>
          <t xml:space="preserve">    Revenue growth (YoY)</t>
        </is>
      </c>
      <c r="B21" s="12" t="n"/>
      <c r="C21" s="12" t="n"/>
      <c r="D21" s="12" t="n"/>
      <c r="E21" s="12" t="n"/>
      <c r="F21" s="12" t="n">
        <v>2.754931496391301</v>
      </c>
      <c r="G21" s="12" t="n">
        <v>0.8065908561294086</v>
      </c>
    </row>
    <row r="22">
      <c r="A22" s="8" t="inlineStr">
        <is>
          <t xml:space="preserve">    Return on assets</t>
        </is>
      </c>
      <c r="B22" s="12" t="n">
        <v>-0.02125732401143536</v>
      </c>
      <c r="C22" s="12" t="n">
        <v>0.02917042722205764</v>
      </c>
      <c r="D22" s="12" t="n">
        <v>-0.1058666266360719</v>
      </c>
      <c r="E22" s="12" t="n">
        <v>0.130889604508403</v>
      </c>
      <c r="F22" s="12" t="n">
        <v>0.266185747808707</v>
      </c>
      <c r="G22" s="12" t="n">
        <v>0.0955986061561437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clarification</t>
        </is>
      </c>
      <c r="C5" s="8" t="inlineStr">
        <is>
          <t>Claude</t>
        </is>
      </c>
      <c r="D5" s="13" t="inlineStr">
        <is>
          <t>Form type changes mid-history: this filer filed the Form 990-EZ for FY2020 through FY2023 and the full Form 990 for FY2024 and FY2025, and both are staged. The FY2020 return sits in processing year 2020, which predates the current IRS bulk archive naming and ships as download990xml_2020_4.zip; a scan starting at the 2021 index does not see it. filing_type is recorded per year rather than per company because it selects the projection migration and the validator dialect.</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Baron Canyon Mutual Water Company Inc</t>
        </is>
      </c>
    </row>
    <row r="2">
      <c r="A2" s="2" t="inlineStr">
        <is>
          <t>Financial Statements - income statement, balance sheet, cash flow, member income test (USD)</t>
        </is>
      </c>
    </row>
    <row r="3">
      <c r="A3" s="2" t="inlineStr">
        <is>
          <t>Entity ID: cawc_0060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v>376858</v>
      </c>
      <c r="G8" s="9" t="n">
        <v>292261</v>
      </c>
    </row>
    <row r="9">
      <c r="A9" s="8" t="inlineStr">
        <is>
          <t xml:space="preserve">    Investment income</t>
        </is>
      </c>
      <c r="B9" s="9" t="n"/>
      <c r="C9" s="9" t="n"/>
      <c r="D9" s="9" t="n"/>
      <c r="E9" s="9" t="n"/>
      <c r="F9" s="9" t="n">
        <v>3269</v>
      </c>
      <c r="G9" s="9" t="n">
        <v>3761</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v>259274</v>
      </c>
      <c r="G13" s="9" t="n">
        <v>859114</v>
      </c>
    </row>
    <row r="14">
      <c r="A14" s="10" t="inlineStr">
        <is>
          <t>Total revenue</t>
        </is>
      </c>
      <c r="B14" s="11" t="n"/>
      <c r="C14" s="11" t="n"/>
      <c r="D14" s="11" t="n"/>
      <c r="E14" s="11" t="n"/>
      <c r="F14" s="11" t="n">
        <v>639401</v>
      </c>
      <c r="G14" s="11" t="n">
        <v>1155136</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54005</v>
      </c>
      <c r="C19" s="11" t="n">
        <v>56357</v>
      </c>
      <c r="D19" s="11" t="n">
        <v>80707</v>
      </c>
      <c r="E19" s="11" t="n">
        <v>144270</v>
      </c>
      <c r="F19" s="11" t="n">
        <v>564421</v>
      </c>
      <c r="G19" s="11" t="n">
        <v>1090610</v>
      </c>
    </row>
    <row r="21">
      <c r="A21" s="10" t="inlineStr">
        <is>
          <t>Net income</t>
        </is>
      </c>
      <c r="B21" s="11" t="n">
        <v>-3004</v>
      </c>
      <c r="C21" s="11" t="n">
        <v>4234</v>
      </c>
      <c r="D21" s="11" t="n">
        <v>-14810</v>
      </c>
      <c r="E21" s="11" t="n">
        <v>26013</v>
      </c>
      <c r="F21" s="11" t="n">
        <v>74980</v>
      </c>
      <c r="G21" s="11" t="n">
        <v>64526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138727</v>
      </c>
      <c r="C27" s="9" t="n">
        <v>138521</v>
      </c>
      <c r="D27" s="9" t="n">
        <v>131175</v>
      </c>
      <c r="E27" s="9" t="n">
        <v>197850</v>
      </c>
      <c r="F27" s="9" t="n">
        <v>281214</v>
      </c>
      <c r="G27" s="9" t="n">
        <v>623178</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v>303</v>
      </c>
      <c r="G29" s="9" t="n">
        <v>1624</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141316</v>
      </c>
      <c r="C35" s="11" t="n">
        <v>145147</v>
      </c>
      <c r="D35" s="11" t="n">
        <v>139893</v>
      </c>
      <c r="E35" s="11" t="n">
        <v>198740</v>
      </c>
      <c r="F35" s="11" t="n">
        <v>281683</v>
      </c>
      <c r="G35" s="11" t="n">
        <v>674968</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v>20417</v>
      </c>
      <c r="G38" s="9" t="n">
        <v>23601</v>
      </c>
    </row>
    <row r="39">
      <c r="A39" s="8" t="inlineStr">
        <is>
          <t xml:space="preserve">    Mortgages &amp; notes payable</t>
        </is>
      </c>
      <c r="B39" s="9" t="n"/>
      <c r="C39" s="9" t="n"/>
      <c r="D39" s="9" t="n"/>
      <c r="E39" s="9" t="n"/>
      <c r="F39" s="9" t="n"/>
      <c r="G39" s="9" t="n"/>
    </row>
    <row r="40">
      <c r="A40" s="10" t="inlineStr">
        <is>
          <t>Total liabilities</t>
        </is>
      </c>
      <c r="B40" s="11" t="n">
        <v>4168</v>
      </c>
      <c r="C40" s="11" t="n">
        <v>3765</v>
      </c>
      <c r="D40" s="11" t="n">
        <v>9675</v>
      </c>
      <c r="E40" s="11" t="n">
        <v>41569</v>
      </c>
      <c r="F40" s="11" t="n">
        <v>49532</v>
      </c>
      <c r="G40" s="11" t="n">
        <v>439413</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137148</v>
      </c>
      <c r="C46" s="11" t="n">
        <v>141382</v>
      </c>
      <c r="D46" s="11" t="n">
        <v>130218</v>
      </c>
      <c r="E46" s="11" t="n">
        <v>157171</v>
      </c>
      <c r="F46" s="11" t="n">
        <v>232151</v>
      </c>
      <c r="G46" s="11" t="n">
        <v>235555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-3004</v>
      </c>
      <c r="C52" s="9" t="n">
        <v>4234</v>
      </c>
      <c r="D52" s="9" t="n">
        <v>-14810</v>
      </c>
      <c r="E52" s="9" t="n">
        <v>26013</v>
      </c>
      <c r="F52" s="9" t="n">
        <v>74980</v>
      </c>
      <c r="G52" s="9" t="n">
        <v>64526</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v>-1321</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v>3184</v>
      </c>
    </row>
    <row r="58">
      <c r="A58" s="10" t="inlineStr">
        <is>
          <t xml:space="preserve">    Operating cash flow proxy</t>
        </is>
      </c>
      <c r="B58" s="11" t="n"/>
      <c r="C58" s="11" t="n">
        <v>4234</v>
      </c>
      <c r="D58" s="11" t="n">
        <v>-14810</v>
      </c>
      <c r="E58" s="11" t="n">
        <v>26013</v>
      </c>
      <c r="F58" s="11" t="n">
        <v>74980</v>
      </c>
      <c r="G58" s="11" t="n">
        <v>66389</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-206</v>
      </c>
      <c r="D67" s="11" t="n">
        <v>-7346</v>
      </c>
      <c r="E67" s="11" t="n">
        <v>66675</v>
      </c>
      <c r="F67" s="11" t="n">
        <v>83364</v>
      </c>
      <c r="G67" s="11" t="n">
        <v>341964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FY2024</t>
        </is>
      </c>
      <c r="C72" s="5" t="inlineStr">
        <is>
          <t>FY2025</t>
        </is>
      </c>
    </row>
    <row r="73">
      <c r="A73" s="8" t="inlineStr">
        <is>
          <t xml:space="preserve">    11a. Gross income from members or shareholders</t>
        </is>
      </c>
      <c r="B73" s="9" t="n">
        <v>376858</v>
      </c>
      <c r="C73" s="9" t="n">
        <v>292261</v>
      </c>
    </row>
    <row r="74">
      <c r="A74" s="8" t="inlineStr">
        <is>
          <t xml:space="preserve">    11b. Gross income from other sources</t>
        </is>
      </c>
      <c r="B74" s="9" t="n">
        <v>262543</v>
      </c>
      <c r="C74" s="9" t="n">
        <v>862875</v>
      </c>
    </row>
    <row r="75">
      <c r="A75" s="14" t="inlineStr">
        <is>
          <t>Total gross income (11a + 11b)</t>
        </is>
      </c>
      <c r="B75" s="15">
        <f>SUM(B73,B74)</f>
        <v/>
      </c>
      <c r="C75" s="15">
        <f>SUM(C73,C74)</f>
        <v/>
      </c>
    </row>
    <row r="76">
      <c r="A76" s="14" t="inlineStr">
        <is>
          <t>Member income share (11a / total)</t>
        </is>
      </c>
      <c r="B76" s="16">
        <f>IF(B75=0,"",B73/B75)</f>
        <v/>
      </c>
      <c r="C76" s="16">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Baron Canyon Mutual Water Company Inc</t>
        </is>
      </c>
    </row>
    <row r="2">
      <c r="A2" s="2" t="inlineStr">
        <is>
          <t>Balance Sheet - as reported (USD, end of year)</t>
        </is>
      </c>
    </row>
    <row r="3">
      <c r="A3" s="2" t="inlineStr">
        <is>
          <t>Entity ID: cawc_0060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138727</v>
      </c>
      <c r="C7" s="9" t="n">
        <v>138521</v>
      </c>
      <c r="D7" s="9" t="n">
        <v>131175</v>
      </c>
      <c r="E7" s="9" t="n">
        <v>197850</v>
      </c>
      <c r="F7" s="9" t="n">
        <v>281214</v>
      </c>
      <c r="G7" s="9" t="n">
        <v>623178</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v>303</v>
      </c>
      <c r="G9" s="9" t="n">
        <v>1624</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141316</v>
      </c>
      <c r="C15" s="11" t="n">
        <v>145147</v>
      </c>
      <c r="D15" s="11" t="n">
        <v>139893</v>
      </c>
      <c r="E15" s="11" t="n">
        <v>198740</v>
      </c>
      <c r="F15" s="11" t="n">
        <v>281683</v>
      </c>
      <c r="G15" s="11" t="n">
        <v>674968</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v>20417</v>
      </c>
      <c r="G18" s="9" t="n">
        <v>23601</v>
      </c>
    </row>
    <row r="19">
      <c r="A19" s="8" t="inlineStr">
        <is>
          <t xml:space="preserve">    Mortgages &amp; notes payable</t>
        </is>
      </c>
      <c r="B19" s="9" t="n"/>
      <c r="C19" s="9" t="n"/>
      <c r="D19" s="9" t="n"/>
      <c r="E19" s="9" t="n"/>
      <c r="F19" s="9" t="n"/>
      <c r="G19" s="9" t="n"/>
    </row>
    <row r="20">
      <c r="A20" s="10" t="inlineStr">
        <is>
          <t>Total liabilities</t>
        </is>
      </c>
      <c r="B20" s="11" t="n">
        <v>4168</v>
      </c>
      <c r="C20" s="11" t="n">
        <v>3765</v>
      </c>
      <c r="D20" s="11" t="n">
        <v>9675</v>
      </c>
      <c r="E20" s="11" t="n">
        <v>41569</v>
      </c>
      <c r="F20" s="11" t="n">
        <v>49532</v>
      </c>
      <c r="G20" s="11" t="n">
        <v>439413</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137148</v>
      </c>
      <c r="C26" s="11" t="n">
        <v>141382</v>
      </c>
      <c r="D26" s="11" t="n">
        <v>130218</v>
      </c>
      <c r="E26" s="11" t="n">
        <v>157171</v>
      </c>
      <c r="F26" s="11" t="n">
        <v>232151</v>
      </c>
      <c r="G26" s="11" t="n">
        <v>235555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Baron Canyon Mutual Water Company Inc</t>
        </is>
      </c>
    </row>
    <row r="2">
      <c r="A2" s="2" t="inlineStr">
        <is>
          <t>Officers, Directors &amp; Contractors - Form 990 Part VII (FY2025; USD)</t>
        </is>
      </c>
    </row>
    <row r="3">
      <c r="A3" s="2" t="inlineStr">
        <is>
          <t>Entity ID: cawc_0060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BILL CHADWICK</t>
        </is>
      </c>
      <c r="B7" s="8" t="inlineStr">
        <is>
          <t>PRESIDENT</t>
        </is>
      </c>
      <c r="C7" s="9" t="n">
        <v>0</v>
      </c>
      <c r="D7" s="9" t="n">
        <v>0</v>
      </c>
      <c r="E7" s="9" t="n">
        <v>0</v>
      </c>
      <c r="F7" s="9" t="n">
        <v>0</v>
      </c>
    </row>
    <row r="8">
      <c r="A8" s="8" t="inlineStr">
        <is>
          <t>THOMAS BOWER</t>
        </is>
      </c>
      <c r="B8" s="8" t="inlineStr">
        <is>
          <t>VICE PRESIDE</t>
        </is>
      </c>
      <c r="C8" s="9" t="n">
        <v>0</v>
      </c>
      <c r="D8" s="9" t="n">
        <v>0</v>
      </c>
      <c r="E8" s="9" t="n">
        <v>0</v>
      </c>
      <c r="F8" s="9" t="n">
        <v>0</v>
      </c>
    </row>
    <row r="9">
      <c r="A9" s="8" t="inlineStr">
        <is>
          <t>PAUL GREILING</t>
        </is>
      </c>
      <c r="B9" s="8" t="inlineStr">
        <is>
          <t>TREASURER</t>
        </is>
      </c>
      <c r="C9" s="9" t="n">
        <v>0</v>
      </c>
      <c r="D9" s="9" t="n">
        <v>0</v>
      </c>
      <c r="E9" s="9" t="n">
        <v>0</v>
      </c>
      <c r="F9" s="9" t="n">
        <v>0</v>
      </c>
    </row>
    <row r="10">
      <c r="A10" s="8" t="inlineStr">
        <is>
          <t>COLBY COUTER</t>
        </is>
      </c>
      <c r="B10" s="8" t="inlineStr">
        <is>
          <t>SECRETARY</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4">
      <c r="A14" s="8" t="inlineStr">
        <is>
          <t>CROSNO CONSTRUCTION</t>
        </is>
      </c>
      <c r="B14" s="8" t="inlineStr">
        <is>
          <t>CONSTRUCTION</t>
        </is>
      </c>
      <c r="C14" s="9" t="n">
        <v>609590</v>
      </c>
    </row>
    <row r="15">
      <c r="A15" s="8" t="inlineStr">
        <is>
          <t>WATER SYSTEMS CONSULTING</t>
        </is>
      </c>
      <c r="B15" s="8" t="inlineStr">
        <is>
          <t>WATER SYSTEM RM</t>
        </is>
      </c>
      <c r="C15" s="9" t="n">
        <v>210100</v>
      </c>
    </row>
    <row r="16">
      <c r="A16" s="8" t="inlineStr">
        <is>
          <t>HARTZELL GENERAL ENGINEERING</t>
        </is>
      </c>
      <c r="B16" s="8" t="inlineStr">
        <is>
          <t>ENGINEERING</t>
        </is>
      </c>
      <c r="C16" s="9" t="n">
        <v>180556</v>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3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Baron Canyon Mutual Water Company Inc</t>
        </is>
      </c>
    </row>
    <row r="2">
      <c r="A2" s="2" t="inlineStr">
        <is>
          <t>Revenue - Form 990 Part VIII (USD)</t>
        </is>
      </c>
    </row>
    <row r="3">
      <c r="A3" s="2" t="inlineStr">
        <is>
          <t>Entity ID: cawc_0060   |   Fiscal year ends June 30.</t>
        </is>
      </c>
    </row>
    <row r="5">
      <c r="A5" s="4" t="inlineStr">
        <is>
          <t>Part VIII line</t>
        </is>
      </c>
      <c r="B5" s="5" t="inlineStr">
        <is>
          <t>FY2024</t>
        </is>
      </c>
      <c r="C5" s="5" t="inlineStr">
        <is>
          <t>FY2025</t>
        </is>
      </c>
    </row>
    <row r="6">
      <c r="A6" s="6" t="inlineStr">
        <is>
          <t>Revenue by category</t>
        </is>
      </c>
      <c r="B6" s="7" t="n"/>
      <c r="C6" s="7" t="n"/>
    </row>
    <row r="7">
      <c r="A7" s="8" t="inlineStr">
        <is>
          <t xml:space="preserve">    1h. Total contributions, gifts, grants</t>
        </is>
      </c>
      <c r="B7" s="9" t="n">
        <v>259274</v>
      </c>
      <c r="C7" s="9" t="n">
        <v>859114</v>
      </c>
    </row>
    <row r="8">
      <c r="A8" s="8" t="inlineStr">
        <is>
          <t xml:space="preserve">    2g. Total program service revenue</t>
        </is>
      </c>
      <c r="B8" s="9" t="n">
        <v>376858</v>
      </c>
      <c r="C8" s="9" t="n">
        <v>292261</v>
      </c>
    </row>
    <row r="9">
      <c r="A9" s="8" t="inlineStr">
        <is>
          <t xml:space="preserve">    3. Investment income</t>
        </is>
      </c>
      <c r="B9" s="9" t="n">
        <v>3269</v>
      </c>
      <c r="C9" s="9" t="n">
        <v>3761</v>
      </c>
    </row>
    <row r="10">
      <c r="A10" s="8" t="inlineStr">
        <is>
          <t xml:space="preserve">    6d. Net rental income</t>
        </is>
      </c>
      <c r="B10" s="17" t="inlineStr">
        <is>
          <t>not reported</t>
        </is>
      </c>
      <c r="C10" s="17" t="inlineStr">
        <is>
          <t>not reported</t>
        </is>
      </c>
    </row>
    <row r="11">
      <c r="A11" s="8" t="inlineStr">
        <is>
          <t xml:space="preserve">    7d. Net gain/(loss) from investment sales</t>
        </is>
      </c>
      <c r="B11" s="17" t="inlineStr">
        <is>
          <t>not reported</t>
        </is>
      </c>
      <c r="C11" s="17" t="inlineStr">
        <is>
          <t>not reported</t>
        </is>
      </c>
    </row>
    <row r="12">
      <c r="A12" s="8" t="inlineStr">
        <is>
          <t xml:space="preserve">    11e. Other revenue</t>
        </is>
      </c>
      <c r="B12" s="17" t="inlineStr">
        <is>
          <t>not reported</t>
        </is>
      </c>
      <c r="C12" s="17" t="inlineStr">
        <is>
          <t>not reported</t>
        </is>
      </c>
    </row>
    <row r="13">
      <c r="A13" s="10" t="inlineStr">
        <is>
          <t>12. Total revenue</t>
        </is>
      </c>
      <c r="B13" s="11">
        <f>SUM(B7:B12)</f>
        <v/>
      </c>
      <c r="C13" s="11">
        <f>SUM(C7:C12)</f>
        <v/>
      </c>
    </row>
    <row r="15">
      <c r="A15" s="6" t="inlineStr">
        <is>
          <t>Program service revenue detail - FY2025 (lines 2a-2f)</t>
        </is>
      </c>
      <c r="B15" s="7" t="n"/>
      <c r="C15" s="7" t="n"/>
    </row>
    <row r="16">
      <c r="A16" s="5" t="inlineStr">
        <is>
          <t>Description</t>
        </is>
      </c>
      <c r="B16" s="5" t="inlineStr">
        <is>
          <t>Business code</t>
        </is>
      </c>
      <c r="C16" s="5" t="inlineStr">
        <is>
          <t>Total revenue</t>
        </is>
      </c>
    </row>
    <row r="17">
      <c r="A17" s="8" t="inlineStr">
        <is>
          <t>SPECIAL ASSESSMENTS</t>
        </is>
      </c>
      <c r="B17" s="8" t="inlineStr">
        <is>
          <t>839900</t>
        </is>
      </c>
      <c r="C17" s="9" t="n">
        <v>150000</v>
      </c>
    </row>
    <row r="18">
      <c r="A18" s="8" t="inlineStr">
        <is>
          <t>MEMBER-RELATED INCOME</t>
        </is>
      </c>
      <c r="B18" s="8" t="inlineStr">
        <is>
          <t>839900</t>
        </is>
      </c>
      <c r="C18" s="9" t="n">
        <v>78541</v>
      </c>
    </row>
    <row r="19">
      <c r="A19" s="8" t="inlineStr">
        <is>
          <t>MEMBER WATER FEES</t>
        </is>
      </c>
      <c r="B19" s="8" t="inlineStr">
        <is>
          <t>839900</t>
        </is>
      </c>
      <c r="C19" s="9" t="n">
        <v>63720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20:C20"/>
    <mergeCell ref="A3:C3"/>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Baron Canyon Mutual Water Company Inc</t>
        </is>
      </c>
    </row>
    <row r="2">
      <c r="A2" s="2" t="inlineStr">
        <is>
          <t>Statement of Functional Expenses - Form 990 Part IX (USD)</t>
        </is>
      </c>
    </row>
    <row r="3">
      <c r="A3" s="2" t="inlineStr">
        <is>
          <t>Entity ID: cawc_0060   |   Fiscal year ends June 30.</t>
        </is>
      </c>
    </row>
    <row r="5">
      <c r="A5" s="4" t="inlineStr">
        <is>
          <t>Part IX line (column A Total)</t>
        </is>
      </c>
      <c r="B5" s="5" t="inlineStr">
        <is>
          <t>FY2024</t>
        </is>
      </c>
      <c r="C5" s="5" t="inlineStr">
        <is>
          <t>FY2025</t>
        </is>
      </c>
    </row>
    <row r="6">
      <c r="A6" s="6" t="inlineStr">
        <is>
          <t>Functional expenses, column A Total - by year</t>
        </is>
      </c>
      <c r="B6" s="7" t="n"/>
      <c r="C6" s="7" t="n"/>
    </row>
    <row r="7">
      <c r="A7" s="8" t="inlineStr">
        <is>
          <t xml:space="preserve">    11a. Fees for services: management</t>
        </is>
      </c>
      <c r="B7" s="9" t="n">
        <v>7675</v>
      </c>
      <c r="C7" s="9" t="n">
        <v>8400</v>
      </c>
    </row>
    <row r="8">
      <c r="A8" s="8" t="inlineStr">
        <is>
          <t xml:space="preserve">    11b. Fees for services: legal</t>
        </is>
      </c>
      <c r="B8" s="9" t="n">
        <v>3604</v>
      </c>
      <c r="C8" s="9" t="n">
        <v>864</v>
      </c>
    </row>
    <row r="9">
      <c r="A9" s="8" t="inlineStr">
        <is>
          <t xml:space="preserve">    13. Office expenses</t>
        </is>
      </c>
      <c r="B9" s="9" t="n">
        <v>1621</v>
      </c>
      <c r="C9" s="9" t="n">
        <v>761</v>
      </c>
    </row>
    <row r="10">
      <c r="A10" s="8" t="inlineStr">
        <is>
          <t xml:space="preserve">    23. Insurance</t>
        </is>
      </c>
      <c r="B10" s="9" t="n">
        <v>5451</v>
      </c>
      <c r="C10" s="9" t="n">
        <v>6363</v>
      </c>
    </row>
    <row r="11">
      <c r="A11" s="8" t="inlineStr">
        <is>
          <t xml:space="preserve">    24. RESERVE EXPENSES</t>
        </is>
      </c>
      <c r="B11" s="9" t="n">
        <v>513115</v>
      </c>
      <c r="C11" s="9" t="n">
        <v>1042095</v>
      </c>
    </row>
    <row r="12">
      <c r="A12" s="8" t="inlineStr">
        <is>
          <t xml:space="preserve">    24. REPAIRS/MAINTENANCE</t>
        </is>
      </c>
      <c r="B12" s="9" t="n">
        <v>21773</v>
      </c>
      <c r="C12" s="9" t="n">
        <v>16014</v>
      </c>
    </row>
    <row r="13">
      <c r="A13" s="8" t="inlineStr">
        <is>
          <t xml:space="preserve">    24. ELECTRIC</t>
        </is>
      </c>
      <c r="B13" s="9" t="n">
        <v>8211</v>
      </c>
      <c r="C13" s="9" t="n">
        <v>10350</v>
      </c>
    </row>
    <row r="14">
      <c r="A14" s="8" t="inlineStr">
        <is>
          <t xml:space="preserve">    24. LICENSES, FEES &amp; PERMITS</t>
        </is>
      </c>
      <c r="B14" s="9" t="n">
        <v>2971</v>
      </c>
      <c r="C14" s="9" t="n">
        <v>3308</v>
      </c>
    </row>
    <row r="15">
      <c r="A15" s="8" t="inlineStr">
        <is>
          <t xml:space="preserve">    24e. All other expenses</t>
        </is>
      </c>
      <c r="B15" s="17" t="inlineStr">
        <is>
          <t>not reported</t>
        </is>
      </c>
      <c r="C15" s="9" t="n">
        <v>2455</v>
      </c>
    </row>
    <row r="16">
      <c r="A16" s="10" t="inlineStr">
        <is>
          <t>25. Total functional expenses</t>
        </is>
      </c>
      <c r="B16" s="11">
        <f>SUM(B7:B15)</f>
        <v/>
      </c>
      <c r="C16" s="11">
        <f>SUM(C7:C15)</f>
        <v/>
      </c>
    </row>
    <row r="18">
      <c r="A18" s="6" t="inlineStr">
        <is>
          <t>Functional column split - FY2025 (col A = B + C + D)</t>
        </is>
      </c>
      <c r="B18" s="7" t="n"/>
      <c r="C18" s="7" t="n"/>
    </row>
    <row r="19">
      <c r="A19" s="5" t="inlineStr">
        <is>
          <t>Part IX line</t>
        </is>
      </c>
      <c r="B19" s="5" t="inlineStr">
        <is>
          <t>A. Total</t>
        </is>
      </c>
      <c r="C19" s="5" t="inlineStr">
        <is>
          <t>B. Program services</t>
        </is>
      </c>
      <c r="D19" s="5" t="inlineStr">
        <is>
          <t>C. Management &amp; general</t>
        </is>
      </c>
      <c r="E19" s="5" t="inlineStr">
        <is>
          <t>D. Fundraising</t>
        </is>
      </c>
    </row>
    <row r="20">
      <c r="A20" s="18" t="inlineStr">
        <is>
          <t>11a. Fees for services: management</t>
        </is>
      </c>
      <c r="B20" s="9" t="n">
        <v>8400</v>
      </c>
      <c r="C20" s="9" t="n">
        <v>8400</v>
      </c>
      <c r="D20" s="9" t="n"/>
      <c r="E20" s="9" t="n"/>
    </row>
    <row r="21">
      <c r="A21" s="18" t="inlineStr">
        <is>
          <t>11b. Fees for services: legal</t>
        </is>
      </c>
      <c r="B21" s="9" t="n">
        <v>864</v>
      </c>
      <c r="C21" s="9" t="n">
        <v>864</v>
      </c>
      <c r="D21" s="9" t="n"/>
      <c r="E21" s="9" t="n"/>
    </row>
    <row r="22">
      <c r="A22" s="18" t="inlineStr">
        <is>
          <t>13. Office expenses</t>
        </is>
      </c>
      <c r="B22" s="9" t="n">
        <v>761</v>
      </c>
      <c r="C22" s="9" t="n">
        <v>761</v>
      </c>
      <c r="D22" s="9" t="n"/>
      <c r="E22" s="9" t="n"/>
    </row>
    <row r="23">
      <c r="A23" s="18" t="inlineStr">
        <is>
          <t>23. Insurance</t>
        </is>
      </c>
      <c r="B23" s="9" t="n">
        <v>6363</v>
      </c>
      <c r="C23" s="9" t="n">
        <v>6363</v>
      </c>
      <c r="D23" s="9" t="n"/>
      <c r="E23" s="9" t="n"/>
    </row>
    <row r="24">
      <c r="A24" s="10" t="inlineStr">
        <is>
          <t>25. Total (filed col A / B / C / D)</t>
        </is>
      </c>
      <c r="B24" s="11" t="n">
        <v>1090610</v>
      </c>
      <c r="C24" s="11" t="n">
        <v>1090610</v>
      </c>
      <c r="D24" s="11" t="n">
        <v>0</v>
      </c>
      <c r="E24" s="11" t="n">
        <v>0</v>
      </c>
    </row>
    <row r="26" ht="42" customHeight="1">
      <c r="A2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26:C26"/>
    <mergeCell ref="A3:C3"/>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Baron Canyon Mutual Water Company Inc</t>
        </is>
      </c>
    </row>
    <row r="2">
      <c r="A2" s="2" t="inlineStr">
        <is>
          <t>Balance Sheet - Form 990 Part X (end of year, USD)</t>
        </is>
      </c>
    </row>
    <row r="3">
      <c r="A3" s="2" t="inlineStr">
        <is>
          <t>Entity ID: cawc_0060   |   Fiscal year ends June 30.</t>
        </is>
      </c>
    </row>
    <row r="5">
      <c r="A5" s="4" t="inlineStr">
        <is>
          <t>Part X line (column B, EOY)</t>
        </is>
      </c>
      <c r="B5" s="5" t="inlineStr">
        <is>
          <t>FY2024</t>
        </is>
      </c>
      <c r="C5" s="5" t="inlineStr">
        <is>
          <t>FY2025</t>
        </is>
      </c>
    </row>
    <row r="6">
      <c r="A6" s="6" t="inlineStr">
        <is>
          <t>Assets</t>
        </is>
      </c>
      <c r="B6" s="7" t="n"/>
      <c r="C6" s="7" t="n"/>
    </row>
    <row r="7">
      <c r="A7" s="8" t="inlineStr">
        <is>
          <t xml:space="preserve">    1. Cash - non-interest-bearing</t>
        </is>
      </c>
      <c r="B7" s="9" t="n">
        <v>281214</v>
      </c>
      <c r="C7" s="9" t="n">
        <v>623178</v>
      </c>
    </row>
    <row r="8">
      <c r="A8" s="8" t="inlineStr">
        <is>
          <t xml:space="preserve">    4. Accounts receivable, net</t>
        </is>
      </c>
      <c r="B8" s="9" t="n">
        <v>303</v>
      </c>
      <c r="C8" s="9" t="n">
        <v>1624</v>
      </c>
    </row>
    <row r="9">
      <c r="A9" s="8" t="inlineStr">
        <is>
          <t xml:space="preserve">    15. Other assets</t>
        </is>
      </c>
      <c r="B9" s="9" t="n">
        <v>166</v>
      </c>
      <c r="C9" s="9" t="n">
        <v>50166</v>
      </c>
    </row>
    <row r="10">
      <c r="A10" s="10" t="inlineStr">
        <is>
          <t>16. Total assets</t>
        </is>
      </c>
      <c r="B10" s="11">
        <f>SUM(B7:B9)</f>
        <v/>
      </c>
      <c r="C10" s="11">
        <f>SUM(C7:C9)</f>
        <v/>
      </c>
    </row>
    <row r="12">
      <c r="A12" s="6" t="inlineStr">
        <is>
          <t>Liabilities</t>
        </is>
      </c>
      <c r="B12" s="7" t="n"/>
      <c r="C12" s="7" t="n"/>
    </row>
    <row r="13">
      <c r="A13" s="8" t="inlineStr">
        <is>
          <t xml:space="preserve">    17. Accounts payable and accrued expenses</t>
        </is>
      </c>
      <c r="B13" s="9" t="n">
        <v>20417</v>
      </c>
      <c r="C13" s="9" t="n">
        <v>23601</v>
      </c>
    </row>
    <row r="14">
      <c r="A14" s="8" t="inlineStr">
        <is>
          <t xml:space="preserve">    19. Deferred revenue</t>
        </is>
      </c>
      <c r="B14" s="9" t="n">
        <v>29115</v>
      </c>
      <c r="C14" s="9" t="n">
        <v>812</v>
      </c>
    </row>
    <row r="15">
      <c r="A15" s="8" t="inlineStr">
        <is>
          <t xml:space="preserve">    25. Other liabilities</t>
        </is>
      </c>
      <c r="B15" s="17" t="inlineStr">
        <is>
          <t>not reported</t>
        </is>
      </c>
      <c r="C15" s="9" t="n">
        <v>415000</v>
      </c>
    </row>
    <row r="16">
      <c r="A16" s="10" t="inlineStr">
        <is>
          <t>26. Total liabilities</t>
        </is>
      </c>
      <c r="B16" s="11">
        <f>SUM(B13:B15)</f>
        <v/>
      </c>
      <c r="C16" s="11">
        <f>SUM(C13:C15)</f>
        <v/>
      </c>
    </row>
    <row r="18">
      <c r="A18" s="6" t="inlineStr">
        <is>
          <t>Net assets / fund balances</t>
        </is>
      </c>
      <c r="B18" s="7" t="n"/>
      <c r="C18" s="7" t="n"/>
    </row>
    <row r="19">
      <c r="A19" s="8" t="inlineStr">
        <is>
          <t xml:space="preserve">    27. Net assets without donor restrictions</t>
        </is>
      </c>
      <c r="B19" s="9" t="n">
        <v>-18574</v>
      </c>
      <c r="C19" s="9" t="n">
        <v>-178518</v>
      </c>
    </row>
    <row r="20">
      <c r="A20" s="8" t="inlineStr">
        <is>
          <t xml:space="preserve">    28. Net assets with donor restrictions</t>
        </is>
      </c>
      <c r="B20" s="9" t="n">
        <v>250725</v>
      </c>
      <c r="C20" s="9" t="n">
        <v>414073</v>
      </c>
    </row>
    <row r="21">
      <c r="A21" s="10" t="inlineStr">
        <is>
          <t>32. Total net assets / fund balances</t>
        </is>
      </c>
      <c r="B21" s="11">
        <f>SUM(B19:B20)</f>
        <v/>
      </c>
      <c r="C21" s="11">
        <f>SUM(C19:C20)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23:C23"/>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Baron Canyon Mutual Water Company Inc</t>
        </is>
      </c>
    </row>
    <row r="2">
      <c r="A2" s="2" t="inlineStr">
        <is>
          <t>Reconciliation of Net Assets - Form 990 Part XI (USD)</t>
        </is>
      </c>
    </row>
    <row r="3">
      <c r="A3" s="2" t="inlineStr">
        <is>
          <t>Entity ID: cawc_0060   |   Fiscal year ends June 30.</t>
        </is>
      </c>
    </row>
    <row r="5">
      <c r="A5" s="4" t="inlineStr">
        <is>
          <t>Part XI line</t>
        </is>
      </c>
      <c r="B5" s="5" t="inlineStr">
        <is>
          <t>FY2024</t>
        </is>
      </c>
      <c r="C5" s="5" t="inlineStr">
        <is>
          <t>FY2025</t>
        </is>
      </c>
    </row>
    <row r="6">
      <c r="A6" s="6" t="inlineStr">
        <is>
          <t>Reconciliation</t>
        </is>
      </c>
      <c r="B6" s="7" t="n"/>
      <c r="C6" s="7" t="n"/>
    </row>
    <row r="7">
      <c r="A7" s="8" t="inlineStr">
        <is>
          <t xml:space="preserve">    4. Net assets, beginning of year</t>
        </is>
      </c>
      <c r="B7" s="9" t="n">
        <v>157171</v>
      </c>
      <c r="C7" s="9" t="n">
        <v>232151</v>
      </c>
    </row>
    <row r="8">
      <c r="A8" s="8" t="inlineStr">
        <is>
          <t xml:space="preserve">    3. Revenue less expenses</t>
        </is>
      </c>
      <c r="B8" s="9" t="n">
        <v>74980</v>
      </c>
      <c r="C8" s="9" t="n">
        <v>64526</v>
      </c>
    </row>
    <row r="9">
      <c r="A9" s="8" t="inlineStr">
        <is>
          <t xml:space="preserve">    8. Prior period adjustments</t>
        </is>
      </c>
      <c r="B9" s="17" t="inlineStr">
        <is>
          <t>not reported</t>
        </is>
      </c>
      <c r="C9" s="17" t="inlineStr">
        <is>
          <t>not reported</t>
        </is>
      </c>
    </row>
    <row r="10">
      <c r="A10" s="8" t="inlineStr">
        <is>
          <t xml:space="preserve">    9. Other changes in net assets</t>
        </is>
      </c>
      <c r="B10" s="17" t="inlineStr">
        <is>
          <t>not reported</t>
        </is>
      </c>
      <c r="C10" s="9" t="n">
        <v>-61122</v>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Baron Canyon Mutual Water Company Inc</t>
        </is>
      </c>
    </row>
    <row r="2">
      <c r="A2" s="2" t="inlineStr">
        <is>
          <t>Cash Flow Proxies - derived (USD)</t>
        </is>
      </c>
    </row>
    <row r="3">
      <c r="A3" s="2" t="inlineStr">
        <is>
          <t>Entity ID: cawc_0060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-3004</v>
      </c>
      <c r="C9" s="9" t="n">
        <v>4234</v>
      </c>
      <c r="D9" s="9" t="n">
        <v>-14810</v>
      </c>
      <c r="E9" s="9" t="n">
        <v>26013</v>
      </c>
      <c r="F9" s="9" t="n">
        <v>74980</v>
      </c>
      <c r="G9" s="9" t="n">
        <v>64526</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v>-1321</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v>3184</v>
      </c>
    </row>
    <row r="15">
      <c r="A15" s="10" t="inlineStr">
        <is>
          <t xml:space="preserve">    Operating cash flow proxy</t>
        </is>
      </c>
      <c r="B15" s="11" t="n"/>
      <c r="C15" s="11" t="n">
        <v>4234</v>
      </c>
      <c r="D15" s="11" t="n">
        <v>-14810</v>
      </c>
      <c r="E15" s="11" t="n">
        <v>26013</v>
      </c>
      <c r="F15" s="11" t="n">
        <v>74980</v>
      </c>
      <c r="G15" s="11" t="n">
        <v>66389</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-206</v>
      </c>
      <c r="D24" s="11" t="n">
        <v>-7346</v>
      </c>
      <c r="E24" s="11" t="n">
        <v>66675</v>
      </c>
      <c r="F24" s="11" t="n">
        <v>83364</v>
      </c>
      <c r="G24" s="11" t="n">
        <v>341964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Baron Canyon Mutual Water Company Inc</t>
        </is>
      </c>
    </row>
    <row r="2">
      <c r="A2" s="2" t="inlineStr">
        <is>
          <t>Financial Ratios</t>
        </is>
      </c>
    </row>
    <row r="3">
      <c r="A3" s="2" t="inlineStr">
        <is>
          <t>Entity ID: cawc_0060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-0.05890080586655164</v>
      </c>
      <c r="C7" s="12" t="n">
        <v>0.06987836477364626</v>
      </c>
      <c r="D7" s="12" t="n">
        <v>-0.2247446772994218</v>
      </c>
      <c r="E7" s="12" t="n">
        <v>0.152763341026409</v>
      </c>
      <c r="F7" s="12" t="n">
        <v>0.1172660036502914</v>
      </c>
      <c r="G7" s="12" t="n">
        <v>0.05586008920161782</v>
      </c>
    </row>
    <row r="8">
      <c r="A8" s="8" t="inlineStr">
        <is>
          <t xml:space="preserve">    Expense ratio (expenses / revenue)</t>
        </is>
      </c>
      <c r="B8" s="12" t="n">
        <v>1.058900805866552</v>
      </c>
      <c r="C8" s="12" t="n">
        <v>0.9301216352263537</v>
      </c>
      <c r="D8" s="12" t="n">
        <v>1.224744677299422</v>
      </c>
      <c r="E8" s="12" t="n">
        <v>0.847236658973591</v>
      </c>
      <c r="F8" s="12" t="n">
        <v>0.8827339963497085</v>
      </c>
      <c r="G8" s="12" t="n">
        <v>0.9441399107983822</v>
      </c>
    </row>
    <row r="9">
      <c r="A9" s="8" t="inlineStr">
        <is>
          <t xml:space="preserve">    Return on assets (NI / assets)</t>
        </is>
      </c>
      <c r="B9" s="12" t="n">
        <v>-0.02125732401143536</v>
      </c>
      <c r="C9" s="12" t="n">
        <v>0.02917042722205764</v>
      </c>
      <c r="D9" s="12" t="n">
        <v>-0.1058666266360719</v>
      </c>
      <c r="E9" s="12" t="n">
        <v>0.130889604508403</v>
      </c>
      <c r="F9" s="12" t="n">
        <v>0.266185747808707</v>
      </c>
      <c r="G9" s="12" t="n">
        <v>0.0955986061561437</v>
      </c>
    </row>
    <row r="10">
      <c r="A10" s="8" t="inlineStr">
        <is>
          <t xml:space="preserve">    Revenue growth (YoY)</t>
        </is>
      </c>
      <c r="B10" s="12" t="n"/>
      <c r="C10" s="12" t="n"/>
      <c r="D10" s="12" t="n"/>
      <c r="E10" s="12" t="n"/>
      <c r="F10" s="12" t="n">
        <v>2.754931496391301</v>
      </c>
      <c r="G10" s="12" t="n">
        <v>0.8065908561294086</v>
      </c>
    </row>
    <row r="12">
      <c r="A12" s="6" t="inlineStr">
        <is>
          <t>Leverage &amp; solvency</t>
        </is>
      </c>
      <c r="B12" s="7" t="n"/>
      <c r="C12" s="7" t="n"/>
      <c r="D12" s="7" t="n"/>
      <c r="E12" s="7" t="n"/>
      <c r="F12" s="7" t="n"/>
      <c r="G12" s="7" t="n"/>
    </row>
    <row r="13">
      <c r="A13" s="8" t="inlineStr">
        <is>
          <t xml:space="preserve">    Debt-to-assets (liab. / assets)</t>
        </is>
      </c>
      <c r="B13" s="12" t="n">
        <v>0.02949418324888901</v>
      </c>
      <c r="C13" s="12" t="n">
        <v>0.0259392202387924</v>
      </c>
      <c r="D13" s="12" t="n">
        <v>0.06916000085779846</v>
      </c>
      <c r="E13" s="12" t="n">
        <v>0.2091627251685619</v>
      </c>
      <c r="F13" s="12" t="n">
        <v>0.1758430576215107</v>
      </c>
      <c r="G13" s="12" t="n">
        <v>0.6510130850647734</v>
      </c>
    </row>
    <row r="14">
      <c r="A14" s="8" t="inlineStr">
        <is>
          <t xml:space="preserve">    Equity ratio (net assets / assets)</t>
        </is>
      </c>
      <c r="B14" s="12" t="n">
        <v>0.970505816751111</v>
      </c>
      <c r="C14" s="12" t="n">
        <v>0.9740607797612076</v>
      </c>
      <c r="D14" s="12" t="n">
        <v>0.9308399991422015</v>
      </c>
      <c r="E14" s="12" t="n">
        <v>0.7908372748314381</v>
      </c>
      <c r="F14" s="12" t="n">
        <v>0.8241569423784892</v>
      </c>
      <c r="G14" s="12" t="n">
        <v>0.3489869149352265</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v>13.78836263897732</v>
      </c>
      <c r="G17" s="19" t="n">
        <v>26.47353925681115</v>
      </c>
    </row>
    <row r="18">
      <c r="A18" s="8" t="inlineStr">
        <is>
          <t xml:space="preserve">    Cash ratio ((cash+temp inv.) / total liab.)</t>
        </is>
      </c>
      <c r="B18" s="19" t="n">
        <v>33.28382917466411</v>
      </c>
      <c r="C18" s="19" t="n">
        <v>36.79176626826029</v>
      </c>
      <c r="D18" s="19" t="n">
        <v>13.55813953488372</v>
      </c>
      <c r="E18" s="19" t="n">
        <v>4.759556400202074</v>
      </c>
      <c r="F18" s="19" t="n">
        <v>5.677420657352823</v>
      </c>
      <c r="G18" s="19" t="n">
        <v>1.418205651630698</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Baron Canyon Mutual Water Company Inc</t>
        </is>
      </c>
    </row>
    <row r="2">
      <c r="A2" s="2" t="inlineStr">
        <is>
          <t>Unit economics - per-customer revenue by category (USD)</t>
        </is>
      </c>
    </row>
    <row r="3">
      <c r="A3" s="2" t="inlineStr">
        <is>
          <t>Entity ID: cawc_0060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13" t="n"/>
      <c r="C6" s="21" t="inlineStr">
        <is>
          <t>State Water Board eAR Section 4</t>
        </is>
      </c>
    </row>
    <row r="7">
      <c r="A7" s="20" t="inlineStr">
        <is>
          <t>Total annual revenue (eAR Section 8b B1.8)</t>
        </is>
      </c>
      <c r="B7" s="13" t="n"/>
      <c r="C7" s="21" t="inlineStr">
        <is>
          <t>eAR Section 8b total annual revenue not reported for this system.</t>
        </is>
      </c>
    </row>
    <row r="8">
      <c r="A8" s="20" t="inlineStr">
        <is>
          <t>Primary source</t>
        </is>
      </c>
      <c r="B8" s="13"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Baron Canyon Mutual Water Company Inc</t>
        </is>
      </c>
    </row>
    <row r="2">
      <c r="A2" s="2" t="inlineStr">
        <is>
          <t>Rate structure and representative bill - eAR Section 8a</t>
        </is>
      </c>
    </row>
    <row r="3">
      <c r="A3" s="2" t="inlineStr">
        <is>
          <t>Entity ID: cawc_0060   |   Fiscal year ends June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Baron Canyon Mutual Water Company Inc</t>
        </is>
      </c>
    </row>
    <row r="2">
      <c r="A2" s="2" t="inlineStr">
        <is>
          <t>Operational metrics - plant per acre, density, terrain</t>
        </is>
      </c>
    </row>
    <row r="3">
      <c r="A3" s="2" t="inlineStr">
        <is>
          <t>Entity ID: cawc_0060   |   Fiscal year ends June 30.</t>
        </is>
      </c>
    </row>
    <row r="5">
      <c r="A5" s="6" t="inlineStr">
        <is>
          <t>Connections per acre</t>
        </is>
      </c>
      <c r="B5" s="7" t="n"/>
      <c r="C5" s="7" t="n"/>
    </row>
    <row r="6">
      <c r="A6" s="20" t="inlineStr">
        <is>
          <t>Connections per acre</t>
        </is>
      </c>
      <c r="B6" s="19" t="n">
        <v>0.05</v>
      </c>
      <c r="C6" s="21" t="inlineStr">
        <is>
          <t>25 connections / 490.5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Baron Canyon Mutual Water Company Inc</t>
        </is>
      </c>
    </row>
    <row r="2">
      <c r="A2" s="2" t="inlineStr">
        <is>
          <t>Supply and weather indicators (DWR water year)</t>
        </is>
      </c>
    </row>
    <row r="3">
      <c r="A3" s="2" t="inlineStr">
        <is>
          <t>Entity ID: cawc_0060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5" t="inlineStr">
        <is>
          <t>Critical</t>
        </is>
      </c>
      <c r="C8" s="25" t="inlineStr">
        <is>
          <t>Critical</t>
        </is>
      </c>
      <c r="D8" s="25" t="inlineStr">
        <is>
          <t>Wet</t>
        </is>
      </c>
      <c r="E8" s="25" t="inlineStr">
        <is>
          <t>Above Normal</t>
        </is>
      </c>
      <c r="F8" s="26" t="inlineStr">
        <is>
          <t>not reported</t>
        </is>
      </c>
    </row>
    <row r="9">
      <c r="A9" s="8" t="inlineStr">
        <is>
          <t>Peak drought, San Luis Obispo County</t>
        </is>
      </c>
      <c r="B9" s="25" t="inlineStr">
        <is>
          <t>D4</t>
        </is>
      </c>
      <c r="C9" s="25" t="inlineStr">
        <is>
          <t>D4</t>
        </is>
      </c>
      <c r="D9" s="25" t="inlineStr">
        <is>
          <t>D4</t>
        </is>
      </c>
      <c r="E9" s="25" t="inlineStr">
        <is>
          <t>None (no D0-D4 during the fiscal year)</t>
        </is>
      </c>
      <c r="F9" s="25" t="inlineStr">
        <is>
          <t>D1</t>
        </is>
      </c>
    </row>
    <row r="10">
      <c r="A10" s="8" t="inlineStr">
        <is>
          <t>Precip, percent of normal (8-Station Index)</t>
        </is>
      </c>
      <c r="B10" s="25" t="inlineStr">
        <is>
          <t>48</t>
        </is>
      </c>
      <c r="C10" s="25" t="inlineStr">
        <is>
          <t>86</t>
        </is>
      </c>
      <c r="D10" s="25" t="inlineStr">
        <is>
          <t>133</t>
        </is>
      </c>
      <c r="E10" s="25" t="inlineStr">
        <is>
          <t>96</t>
        </is>
      </c>
      <c r="F10" s="25" t="inlineStr">
        <is>
          <t>113</t>
        </is>
      </c>
    </row>
    <row r="11">
      <c r="A11" s="8" t="inlineStr">
        <is>
          <t>Snowpack, April 1 percent of average</t>
        </is>
      </c>
      <c r="B11" s="25" t="inlineStr">
        <is>
          <t>59%</t>
        </is>
      </c>
      <c r="C11" s="25" t="inlineStr">
        <is>
          <t>38%</t>
        </is>
      </c>
      <c r="D11" s="25" t="inlineStr">
        <is>
          <t>237%</t>
        </is>
      </c>
      <c r="E11" s="25" t="inlineStr">
        <is>
          <t>110%</t>
        </is>
      </c>
      <c r="F11" s="25" t="inlineStr">
        <is>
          <t>96%</t>
        </is>
      </c>
    </row>
    <row r="12">
      <c r="A12" s="8" t="inlineStr">
        <is>
          <t>State Water Project allocation</t>
        </is>
      </c>
      <c r="B12" s="25" t="inlineStr">
        <is>
          <t>5%</t>
        </is>
      </c>
      <c r="C12" s="25" t="inlineStr">
        <is>
          <t>5%</t>
        </is>
      </c>
      <c r="D12" s="25" t="inlineStr">
        <is>
          <t>100%</t>
        </is>
      </c>
      <c r="E12" s="25" t="inlineStr">
        <is>
          <t>40%</t>
        </is>
      </c>
      <c r="F12" s="25"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Baron Canyon Mutual Water Company Inc</t>
        </is>
      </c>
    </row>
    <row r="2">
      <c r="A2" s="2" t="inlineStr">
        <is>
          <t>How this was built - forensic lineage</t>
        </is>
      </c>
    </row>
    <row r="3">
      <c r="A3" s="2" t="inlineStr">
        <is>
          <t>Entity ID: cawc_0060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1" t="inlineStr">
        <is>
          <t>Form 990 Part VIII line 2 (program-service revenue); State Water Board eAR Section 8b (water-rate revenue B1.1/B1.2); eAR Section 8b filer comment (WRRevenueComments)</t>
        </is>
      </c>
    </row>
    <row r="13" ht="72" customHeight="1">
      <c r="A13" s="20" t="inlineStr">
        <is>
          <t>What was found</t>
        </is>
      </c>
      <c r="B13" s="21" t="inlineStr">
        <is>
          <t>A period-aligned residual cannot be computed for this filer, so the metric is rendered IMPOSSIBLE rather than guessed.</t>
        </is>
      </c>
    </row>
    <row r="14" ht="72" customHeight="1">
      <c r="A14" s="20"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1" t="inlineStr">
        <is>
          <t>State Water Board eAR Section 8a (rate prices); State Water Board eAR Section 8b (revenue lines); audited financial statement</t>
        </is>
      </c>
    </row>
    <row r="18" ht="72" customHeight="1">
      <c r="A18" s="20" t="inlineStr">
        <is>
          <t>What was found</t>
        </is>
      </c>
      <c r="B18" s="21" t="inlineStr">
        <is>
          <t>The rate price exists in Section 8a but no revenue or tier volume is reported, and the base charge is already inside water sales.</t>
        </is>
      </c>
    </row>
    <row r="19" ht="72" customHeight="1">
      <c r="A19" s="20"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1" t="inlineStr">
        <is>
          <t>State Water Board eAR Section 8a (rate prices); State Water Board eAR Section 8b (revenue lines); audited financial statement</t>
        </is>
      </c>
    </row>
    <row r="23" ht="72" customHeight="1">
      <c r="A23" s="20" t="inlineStr">
        <is>
          <t>What was found</t>
        </is>
      </c>
      <c r="B23" s="21" t="inlineStr">
        <is>
          <t>The rate price exists in Section 8a but no revenue or tier volume is reported, and the base charge is already inside water sales.</t>
        </is>
      </c>
    </row>
    <row r="24" ht="72" customHeight="1">
      <c r="A24" s="20"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1" t="inlineStr">
        <is>
          <t>eAR Section 8b B0.1 (WRFinancialReportingPeriod); eAR Section 8b B0.2 (WRFiscalYearStartDate)</t>
        </is>
      </c>
    </row>
    <row r="28" ht="72" customHeight="1">
      <c r="A28" s="20"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1" t="inlineStr">
        <is>
          <t>Form 990 (no member count stated); company website</t>
        </is>
      </c>
    </row>
    <row r="32" ht="72" customHeight="1">
      <c r="A32" s="20"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1" t="inlineStr">
        <is>
          <t>Form 990 (not in the filing); Consumer Confidence Report; eAR Section 6 (PRA-gated)</t>
        </is>
      </c>
    </row>
    <row r="36" ht="72" customHeight="1">
      <c r="A36" s="20"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Baron Canyon Mutual Water Company Inc</t>
        </is>
      </c>
    </row>
    <row r="2">
      <c r="A2" s="2" t="inlineStr">
        <is>
          <t>Sources &amp; audit - full provenance and tie-outs (kept off the statements so they read clean)</t>
        </is>
      </c>
    </row>
    <row r="3">
      <c r="A3" s="2" t="inlineStr">
        <is>
          <t>Entity ID: cawc_0060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5" t="inlineStr">
        <is>
          <t>FY2020</t>
        </is>
      </c>
      <c r="B10" s="8" t="inlineStr">
        <is>
          <t>2020-06-30</t>
        </is>
      </c>
      <c r="C10" s="8" t="inlineStr">
        <is>
          <t>990-EZ</t>
        </is>
      </c>
      <c r="D10" s="8" t="inlineStr">
        <is>
          <t>high</t>
        </is>
      </c>
      <c r="E10" s="8" t="inlineStr">
        <is>
          <t>9758cba5-b314-4619-be2f-ae4af6a22e34</t>
        </is>
      </c>
      <c r="F10" s="8" t="inlineStr">
        <is>
          <t>202022399349200612</t>
        </is>
      </c>
      <c r="G10" s="8" t="inlineStr">
        <is>
          <t>claude-opus-5</t>
        </is>
      </c>
      <c r="H10" s="8" t="inlineStr">
        <is>
          <t>2026-09-14T20:40:28+00:00</t>
        </is>
      </c>
      <c r="I10" s="8" t="inlineStr">
        <is>
          <t>https://apps.irs.gov/pub/epostcard/990/xml/2020/download990xml_2020_4.zip#202022399349200612_public.xml</t>
        </is>
      </c>
    </row>
    <row r="11">
      <c r="A11" s="25" t="inlineStr">
        <is>
          <t>FY2021</t>
        </is>
      </c>
      <c r="B11" s="8" t="inlineStr">
        <is>
          <t>2021-06-30</t>
        </is>
      </c>
      <c r="C11" s="8" t="inlineStr">
        <is>
          <t>990-EZ</t>
        </is>
      </c>
      <c r="D11" s="8" t="inlineStr">
        <is>
          <t>high</t>
        </is>
      </c>
      <c r="E11" s="8" t="inlineStr">
        <is>
          <t>9407e0c3-9ca5-458d-a928-a78bb0620abc</t>
        </is>
      </c>
      <c r="F11" s="8" t="inlineStr">
        <is>
          <t>202143139349202744</t>
        </is>
      </c>
      <c r="G11" s="8" t="inlineStr">
        <is>
          <t>claude-opus-5</t>
        </is>
      </c>
      <c r="H11" s="8" t="inlineStr">
        <is>
          <t>2026-09-14T20:40:28+00:00</t>
        </is>
      </c>
      <c r="I11" s="8" t="inlineStr">
        <is>
          <t>https://apps.irs.gov/pub/epostcard/990/xml/2021/2021_TEOS_XML_01A.zip#202143139349202744_public.xml</t>
        </is>
      </c>
    </row>
    <row r="12">
      <c r="A12" s="25" t="inlineStr">
        <is>
          <t>FY2022</t>
        </is>
      </c>
      <c r="B12" s="8" t="inlineStr">
        <is>
          <t>2022-06-30</t>
        </is>
      </c>
      <c r="C12" s="8" t="inlineStr">
        <is>
          <t>990-EZ</t>
        </is>
      </c>
      <c r="D12" s="8" t="inlineStr">
        <is>
          <t>high</t>
        </is>
      </c>
      <c r="E12" s="8" t="inlineStr">
        <is>
          <t>fa01cd7d-b764-4ea9-bc98-2916e3675959</t>
        </is>
      </c>
      <c r="F12" s="8" t="inlineStr">
        <is>
          <t>202223559349200617</t>
        </is>
      </c>
      <c r="G12" s="8" t="inlineStr">
        <is>
          <t>claude-opus-5</t>
        </is>
      </c>
      <c r="H12" s="8" t="inlineStr">
        <is>
          <t>2026-09-14T20:40:28+00:00</t>
        </is>
      </c>
      <c r="I12" s="8" t="inlineStr">
        <is>
          <t>https://apps.irs.gov/pub/epostcard/990/xml/2022/2022_TEOS_XML_02A.zip#202223559349200617_public.xml</t>
        </is>
      </c>
    </row>
    <row r="13">
      <c r="A13" s="25" t="inlineStr">
        <is>
          <t>FY2023</t>
        </is>
      </c>
      <c r="B13" s="8" t="inlineStr">
        <is>
          <t>2023-06-30</t>
        </is>
      </c>
      <c r="C13" s="8" t="inlineStr">
        <is>
          <t>990-EZ</t>
        </is>
      </c>
      <c r="D13" s="8" t="inlineStr">
        <is>
          <t>high</t>
        </is>
      </c>
      <c r="E13" s="8" t="inlineStr">
        <is>
          <t>c002c4c7-aa87-4574-b4fd-9fbda8ca3a04</t>
        </is>
      </c>
      <c r="F13" s="8" t="inlineStr">
        <is>
          <t>202401309349202285</t>
        </is>
      </c>
      <c r="G13" s="8" t="inlineStr">
        <is>
          <t>claude-opus-5</t>
        </is>
      </c>
      <c r="H13" s="8" t="inlineStr">
        <is>
          <t>2026-09-14T20:40:28+00:00</t>
        </is>
      </c>
      <c r="I13" s="8" t="inlineStr">
        <is>
          <t>https://apps.irs.gov/pub/epostcard/990/xml/2024/2024_TEOS_XML_05A.zip#202401309349202285_public.xml</t>
        </is>
      </c>
    </row>
    <row r="14">
      <c r="A14" s="25" t="inlineStr">
        <is>
          <t>FY2024</t>
        </is>
      </c>
      <c r="B14" s="8" t="inlineStr">
        <is>
          <t>2024-06-30</t>
        </is>
      </c>
      <c r="C14" s="8" t="inlineStr">
        <is>
          <t>990</t>
        </is>
      </c>
      <c r="D14" s="8" t="inlineStr">
        <is>
          <t>high</t>
        </is>
      </c>
      <c r="E14" s="8" t="inlineStr">
        <is>
          <t>898d2fcf-de45-4e05-aa1c-f4e1cd5a4e0b</t>
        </is>
      </c>
      <c r="F14" s="8" t="inlineStr">
        <is>
          <t>202511139349300846</t>
        </is>
      </c>
      <c r="G14" s="8" t="inlineStr">
        <is>
          <t>claude-opus-5</t>
        </is>
      </c>
      <c r="H14" s="8" t="inlineStr">
        <is>
          <t>2026-09-14T20:40:28+00:00</t>
        </is>
      </c>
      <c r="I14" s="8" t="inlineStr">
        <is>
          <t>https://apps.irs.gov/pub/epostcard/990/xml/2025/2025_TEOS_XML_04A.zip#202511139349300846_public.xml</t>
        </is>
      </c>
    </row>
    <row r="15">
      <c r="A15" s="25" t="inlineStr">
        <is>
          <t>FY2025</t>
        </is>
      </c>
      <c r="B15" s="8" t="inlineStr">
        <is>
          <t>2025-06-30</t>
        </is>
      </c>
      <c r="C15" s="8" t="inlineStr">
        <is>
          <t>990</t>
        </is>
      </c>
      <c r="D15" s="8" t="inlineStr">
        <is>
          <t>high</t>
        </is>
      </c>
      <c r="E15" s="8" t="inlineStr">
        <is>
          <t>9535aa5d-1ec4-4d2c-b030-e64cb357a643</t>
        </is>
      </c>
      <c r="F15" s="8" t="inlineStr">
        <is>
          <t>202533459349301318</t>
        </is>
      </c>
      <c r="G15" s="8" t="inlineStr">
        <is>
          <t>claude-opus-5</t>
        </is>
      </c>
      <c r="H15" s="8" t="inlineStr">
        <is>
          <t>2026-09-14T20:40:28+00:00</t>
        </is>
      </c>
      <c r="I15" s="8" t="inlineStr">
        <is>
          <t>https://apps.irs.gov/pub/epostcard/990/xml/2025/2025_TEOS_XML_12A.zip#202533459349301318_public.xml</t>
        </is>
      </c>
    </row>
    <row r="17">
      <c r="A17" s="27"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376858</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292261</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262543</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862875</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259274</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859114</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376858</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292261</v>
      </c>
    </row>
    <row r="27">
      <c r="A27" s="8" t="inlineStr">
        <is>
          <t>Revenue (detail)</t>
        </is>
      </c>
      <c r="B27" s="8" t="inlineStr">
        <is>
          <t>B9</t>
        </is>
      </c>
      <c r="C27" s="8" t="inlineStr">
        <is>
          <t>3. Investment income</t>
        </is>
      </c>
      <c r="D27" s="8" t="inlineStr">
        <is>
          <t>3</t>
        </is>
      </c>
      <c r="E27" s="8" t="inlineStr">
        <is>
          <t>part_viii_revenue.investment_income</t>
        </is>
      </c>
      <c r="F27" s="8" t="inlineStr">
        <is>
          <t>high</t>
        </is>
      </c>
      <c r="G27" s="9" t="n">
        <v>3269</v>
      </c>
    </row>
    <row r="28">
      <c r="A28" s="8" t="inlineStr">
        <is>
          <t>Revenue (detail)</t>
        </is>
      </c>
      <c r="B28" s="8" t="inlineStr">
        <is>
          <t>C9</t>
        </is>
      </c>
      <c r="C28" s="8" t="inlineStr">
        <is>
          <t>3. Investment income</t>
        </is>
      </c>
      <c r="D28" s="8" t="inlineStr">
        <is>
          <t>3</t>
        </is>
      </c>
      <c r="E28" s="8" t="inlineStr">
        <is>
          <t>part_viii_revenue.investment_income</t>
        </is>
      </c>
      <c r="F28" s="8" t="inlineStr">
        <is>
          <t>high</t>
        </is>
      </c>
      <c r="G28" s="9" t="n">
        <v>3761</v>
      </c>
    </row>
    <row r="29">
      <c r="A29" s="8" t="inlineStr">
        <is>
          <t>Operating expenses (detail)</t>
        </is>
      </c>
      <c r="B29" s="8" t="inlineStr">
        <is>
          <t>B7</t>
        </is>
      </c>
      <c r="C29" s="8" t="inlineStr">
        <is>
          <t>11a. Fees for services: management</t>
        </is>
      </c>
      <c r="D29" s="8" t="inlineStr">
        <is>
          <t>11a</t>
        </is>
      </c>
      <c r="E29" s="8" t="inlineStr">
        <is>
          <t>part_ix_expenses.fees_management</t>
        </is>
      </c>
      <c r="F29" s="8" t="inlineStr">
        <is>
          <t>high</t>
        </is>
      </c>
      <c r="G29" s="9" t="n">
        <v>7675</v>
      </c>
    </row>
    <row r="30">
      <c r="A30" s="8" t="inlineStr">
        <is>
          <t>Operating expenses (detail)</t>
        </is>
      </c>
      <c r="B30" s="8" t="inlineStr">
        <is>
          <t>C7</t>
        </is>
      </c>
      <c r="C30" s="8" t="inlineStr">
        <is>
          <t>11a. Fees for services: management</t>
        </is>
      </c>
      <c r="D30" s="8" t="inlineStr">
        <is>
          <t>11a</t>
        </is>
      </c>
      <c r="E30" s="8" t="inlineStr">
        <is>
          <t>part_ix_expenses.fees_management</t>
        </is>
      </c>
      <c r="F30" s="8" t="inlineStr">
        <is>
          <t>high</t>
        </is>
      </c>
      <c r="G30" s="9" t="n">
        <v>8400</v>
      </c>
    </row>
    <row r="31">
      <c r="A31" s="8" t="inlineStr">
        <is>
          <t>Operating expenses (detail)</t>
        </is>
      </c>
      <c r="B31" s="8" t="inlineStr">
        <is>
          <t>B8</t>
        </is>
      </c>
      <c r="C31" s="8" t="inlineStr">
        <is>
          <t>11b. Fees for services: legal</t>
        </is>
      </c>
      <c r="D31" s="8" t="inlineStr">
        <is>
          <t>11b</t>
        </is>
      </c>
      <c r="E31" s="8" t="inlineStr">
        <is>
          <t>part_ix_expenses.fees_legal</t>
        </is>
      </c>
      <c r="F31" s="8" t="inlineStr">
        <is>
          <t>high</t>
        </is>
      </c>
      <c r="G31" s="9" t="n">
        <v>3604</v>
      </c>
    </row>
    <row r="32">
      <c r="A32" s="8" t="inlineStr">
        <is>
          <t>Operating expenses (detail)</t>
        </is>
      </c>
      <c r="B32" s="8" t="inlineStr">
        <is>
          <t>C8</t>
        </is>
      </c>
      <c r="C32" s="8" t="inlineStr">
        <is>
          <t>11b. Fees for services: legal</t>
        </is>
      </c>
      <c r="D32" s="8" t="inlineStr">
        <is>
          <t>11b</t>
        </is>
      </c>
      <c r="E32" s="8" t="inlineStr">
        <is>
          <t>part_ix_expenses.fees_legal</t>
        </is>
      </c>
      <c r="F32" s="8" t="inlineStr">
        <is>
          <t>high</t>
        </is>
      </c>
      <c r="G32" s="9" t="n">
        <v>864</v>
      </c>
    </row>
    <row r="33">
      <c r="A33" s="8" t="inlineStr">
        <is>
          <t>Operating expenses (detail)</t>
        </is>
      </c>
      <c r="B33" s="8" t="inlineStr">
        <is>
          <t>B9</t>
        </is>
      </c>
      <c r="C33" s="8" t="inlineStr">
        <is>
          <t>13. Office expenses</t>
        </is>
      </c>
      <c r="D33" s="8" t="inlineStr">
        <is>
          <t>13</t>
        </is>
      </c>
      <c r="E33" s="8" t="inlineStr">
        <is>
          <t>part_ix_expenses.office_expenses</t>
        </is>
      </c>
      <c r="F33" s="8" t="inlineStr">
        <is>
          <t>high</t>
        </is>
      </c>
      <c r="G33" s="9" t="n">
        <v>1621</v>
      </c>
    </row>
    <row r="34">
      <c r="A34" s="8" t="inlineStr">
        <is>
          <t>Operating expenses (detail)</t>
        </is>
      </c>
      <c r="B34" s="8" t="inlineStr">
        <is>
          <t>C9</t>
        </is>
      </c>
      <c r="C34" s="8" t="inlineStr">
        <is>
          <t>13. Office expenses</t>
        </is>
      </c>
      <c r="D34" s="8" t="inlineStr">
        <is>
          <t>13</t>
        </is>
      </c>
      <c r="E34" s="8" t="inlineStr">
        <is>
          <t>part_ix_expenses.office_expenses</t>
        </is>
      </c>
      <c r="F34" s="8" t="inlineStr">
        <is>
          <t>high</t>
        </is>
      </c>
      <c r="G34" s="9" t="n">
        <v>761</v>
      </c>
    </row>
    <row r="35">
      <c r="A35" s="8" t="inlineStr">
        <is>
          <t>Operating expenses (detail)</t>
        </is>
      </c>
      <c r="B35" s="8" t="inlineStr">
        <is>
          <t>B10</t>
        </is>
      </c>
      <c r="C35" s="8" t="inlineStr">
        <is>
          <t>23. Insurance</t>
        </is>
      </c>
      <c r="D35" s="8" t="inlineStr">
        <is>
          <t>23</t>
        </is>
      </c>
      <c r="E35" s="8" t="inlineStr">
        <is>
          <t>part_ix_expenses.insurance</t>
        </is>
      </c>
      <c r="F35" s="8" t="inlineStr">
        <is>
          <t>high</t>
        </is>
      </c>
      <c r="G35" s="9" t="n">
        <v>5451</v>
      </c>
    </row>
    <row r="36">
      <c r="A36" s="8" t="inlineStr">
        <is>
          <t>Operating expenses (detail)</t>
        </is>
      </c>
      <c r="B36" s="8" t="inlineStr">
        <is>
          <t>C10</t>
        </is>
      </c>
      <c r="C36" s="8" t="inlineStr">
        <is>
          <t>23. Insurance</t>
        </is>
      </c>
      <c r="D36" s="8" t="inlineStr">
        <is>
          <t>23</t>
        </is>
      </c>
      <c r="E36" s="8" t="inlineStr">
        <is>
          <t>part_ix_expenses.insurance</t>
        </is>
      </c>
      <c r="F36" s="8" t="inlineStr">
        <is>
          <t>high</t>
        </is>
      </c>
      <c r="G36" s="9" t="n">
        <v>6363</v>
      </c>
    </row>
    <row r="37">
      <c r="A37" s="8" t="inlineStr">
        <is>
          <t>Operating expenses (detail)</t>
        </is>
      </c>
      <c r="B37" s="8" t="inlineStr">
        <is>
          <t>C15</t>
        </is>
      </c>
      <c r="C37" s="8" t="inlineStr">
        <is>
          <t>24e. All other expenses</t>
        </is>
      </c>
      <c r="D37" s="8" t="inlineStr">
        <is>
          <t>24e</t>
        </is>
      </c>
      <c r="E37" s="8" t="inlineStr">
        <is>
          <t>part_ix_expenses.all_other_expenses</t>
        </is>
      </c>
      <c r="F37" s="8" t="inlineStr">
        <is>
          <t>high</t>
        </is>
      </c>
      <c r="G37" s="9" t="n">
        <v>2455</v>
      </c>
    </row>
    <row r="38">
      <c r="A38" s="8" t="inlineStr">
        <is>
          <t>Balance sheet (detail)</t>
        </is>
      </c>
      <c r="B38" s="8" t="inlineStr">
        <is>
          <t>B7</t>
        </is>
      </c>
      <c r="C38" s="8" t="inlineStr">
        <is>
          <t>1. Cash - non-interest-bearing</t>
        </is>
      </c>
      <c r="D38" s="8" t="inlineStr">
        <is>
          <t>1E</t>
        </is>
      </c>
      <c r="E38" s="8" t="inlineStr">
        <is>
          <t>part_x_balance_sheet.cash_noninterest_eoy</t>
        </is>
      </c>
      <c r="F38" s="8" t="inlineStr">
        <is>
          <t>high</t>
        </is>
      </c>
      <c r="G38" s="9" t="n">
        <v>281214</v>
      </c>
    </row>
    <row r="39">
      <c r="A39" s="8" t="inlineStr">
        <is>
          <t>Balance sheet (detail)</t>
        </is>
      </c>
      <c r="B39" s="8" t="inlineStr">
        <is>
          <t>C7</t>
        </is>
      </c>
      <c r="C39" s="8" t="inlineStr">
        <is>
          <t>1. Cash - non-interest-bearing</t>
        </is>
      </c>
      <c r="D39" s="8" t="inlineStr">
        <is>
          <t>1E</t>
        </is>
      </c>
      <c r="E39" s="8" t="inlineStr">
        <is>
          <t>part_x_balance_sheet.cash_noninterest_eoy</t>
        </is>
      </c>
      <c r="F39" s="8" t="inlineStr">
        <is>
          <t>high</t>
        </is>
      </c>
      <c r="G39" s="9" t="n">
        <v>623178</v>
      </c>
    </row>
    <row r="40">
      <c r="A40" s="8" t="inlineStr">
        <is>
          <t>Balance sheet (detail)</t>
        </is>
      </c>
      <c r="B40" s="8" t="inlineStr">
        <is>
          <t>B8</t>
        </is>
      </c>
      <c r="C40" s="8" t="inlineStr">
        <is>
          <t>4. Accounts receivable, net</t>
        </is>
      </c>
      <c r="D40" s="8" t="inlineStr">
        <is>
          <t>4E</t>
        </is>
      </c>
      <c r="E40" s="8" t="inlineStr">
        <is>
          <t>part_x_balance_sheet.accounts_receivable_eoy</t>
        </is>
      </c>
      <c r="F40" s="8" t="inlineStr">
        <is>
          <t>high</t>
        </is>
      </c>
      <c r="G40" s="9" t="n">
        <v>303</v>
      </c>
    </row>
    <row r="41">
      <c r="A41" s="8" t="inlineStr">
        <is>
          <t>Balance sheet (detail)</t>
        </is>
      </c>
      <c r="B41" s="8" t="inlineStr">
        <is>
          <t>C8</t>
        </is>
      </c>
      <c r="C41" s="8" t="inlineStr">
        <is>
          <t>4. Accounts receivable, net</t>
        </is>
      </c>
      <c r="D41" s="8" t="inlineStr">
        <is>
          <t>4E</t>
        </is>
      </c>
      <c r="E41" s="8" t="inlineStr">
        <is>
          <t>part_x_balance_sheet.accounts_receivable_eoy</t>
        </is>
      </c>
      <c r="F41" s="8" t="inlineStr">
        <is>
          <t>high</t>
        </is>
      </c>
      <c r="G41" s="9" t="n">
        <v>1624</v>
      </c>
    </row>
    <row r="42">
      <c r="A42" s="8" t="inlineStr">
        <is>
          <t>Balance sheet (detail)</t>
        </is>
      </c>
      <c r="B42" s="8" t="inlineStr">
        <is>
          <t>B9</t>
        </is>
      </c>
      <c r="C42" s="8" t="inlineStr">
        <is>
          <t>15. Other assets</t>
        </is>
      </c>
      <c r="D42" s="8" t="inlineStr">
        <is>
          <t>15E</t>
        </is>
      </c>
      <c r="E42" s="8" t="inlineStr">
        <is>
          <t>part_x_balance_sheet.other_assets_eoy</t>
        </is>
      </c>
      <c r="F42" s="8" t="inlineStr">
        <is>
          <t>high</t>
        </is>
      </c>
      <c r="G42" s="9" t="n">
        <v>166</v>
      </c>
    </row>
    <row r="43">
      <c r="A43" s="8" t="inlineStr">
        <is>
          <t>Balance sheet (detail)</t>
        </is>
      </c>
      <c r="B43" s="8" t="inlineStr">
        <is>
          <t>C9</t>
        </is>
      </c>
      <c r="C43" s="8" t="inlineStr">
        <is>
          <t>15. Other assets</t>
        </is>
      </c>
      <c r="D43" s="8" t="inlineStr">
        <is>
          <t>15E</t>
        </is>
      </c>
      <c r="E43" s="8" t="inlineStr">
        <is>
          <t>part_x_balance_sheet.other_assets_eoy</t>
        </is>
      </c>
      <c r="F43" s="8" t="inlineStr">
        <is>
          <t>high</t>
        </is>
      </c>
      <c r="G43" s="9" t="n">
        <v>50166</v>
      </c>
    </row>
    <row r="44">
      <c r="A44" s="8" t="inlineStr">
        <is>
          <t>Balance sheet (detail)</t>
        </is>
      </c>
      <c r="B44" s="8" t="inlineStr">
        <is>
          <t>B13</t>
        </is>
      </c>
      <c r="C44" s="8" t="inlineStr">
        <is>
          <t>17. Accounts payable and accrued expenses</t>
        </is>
      </c>
      <c r="D44" s="8" t="inlineStr">
        <is>
          <t>17E</t>
        </is>
      </c>
      <c r="E44" s="8" t="inlineStr">
        <is>
          <t>part_x_balance_sheet.accounts_payable_eoy</t>
        </is>
      </c>
      <c r="F44" s="8" t="inlineStr">
        <is>
          <t>high</t>
        </is>
      </c>
      <c r="G44" s="9" t="n">
        <v>20417</v>
      </c>
    </row>
    <row r="45">
      <c r="A45" s="8" t="inlineStr">
        <is>
          <t>Balance sheet (detail)</t>
        </is>
      </c>
      <c r="B45" s="8" t="inlineStr">
        <is>
          <t>C13</t>
        </is>
      </c>
      <c r="C45" s="8" t="inlineStr">
        <is>
          <t>17. Accounts payable and accrued expenses</t>
        </is>
      </c>
      <c r="D45" s="8" t="inlineStr">
        <is>
          <t>17E</t>
        </is>
      </c>
      <c r="E45" s="8" t="inlineStr">
        <is>
          <t>part_x_balance_sheet.accounts_payable_eoy</t>
        </is>
      </c>
      <c r="F45" s="8" t="inlineStr">
        <is>
          <t>high</t>
        </is>
      </c>
      <c r="G45" s="9" t="n">
        <v>23601</v>
      </c>
    </row>
    <row r="46">
      <c r="A46" s="8" t="inlineStr">
        <is>
          <t>Balance sheet (detail)</t>
        </is>
      </c>
      <c r="B46" s="8" t="inlineStr">
        <is>
          <t>B14</t>
        </is>
      </c>
      <c r="C46" s="8" t="inlineStr">
        <is>
          <t>19. Deferred revenue</t>
        </is>
      </c>
      <c r="D46" s="8" t="inlineStr">
        <is>
          <t>19E</t>
        </is>
      </c>
      <c r="E46" s="8" t="inlineStr">
        <is>
          <t>part_x_balance_sheet.deferred_revenue_eoy</t>
        </is>
      </c>
      <c r="F46" s="8" t="inlineStr">
        <is>
          <t>high</t>
        </is>
      </c>
      <c r="G46" s="9" t="n">
        <v>29115</v>
      </c>
    </row>
    <row r="47">
      <c r="A47" s="8" t="inlineStr">
        <is>
          <t>Balance sheet (detail)</t>
        </is>
      </c>
      <c r="B47" s="8" t="inlineStr">
        <is>
          <t>C14</t>
        </is>
      </c>
      <c r="C47" s="8" t="inlineStr">
        <is>
          <t>19. Deferred revenue</t>
        </is>
      </c>
      <c r="D47" s="8" t="inlineStr">
        <is>
          <t>19E</t>
        </is>
      </c>
      <c r="E47" s="8" t="inlineStr">
        <is>
          <t>part_x_balance_sheet.deferred_revenue_eoy</t>
        </is>
      </c>
      <c r="F47" s="8" t="inlineStr">
        <is>
          <t>high</t>
        </is>
      </c>
      <c r="G47" s="9" t="n">
        <v>812</v>
      </c>
    </row>
    <row r="48">
      <c r="A48" s="8" t="inlineStr">
        <is>
          <t>Balance sheet (detail)</t>
        </is>
      </c>
      <c r="B48" s="8" t="inlineStr">
        <is>
          <t>C15</t>
        </is>
      </c>
      <c r="C48" s="8" t="inlineStr">
        <is>
          <t>25. Other liabilities</t>
        </is>
      </c>
      <c r="D48" s="8" t="inlineStr">
        <is>
          <t>25E</t>
        </is>
      </c>
      <c r="E48" s="8" t="inlineStr">
        <is>
          <t>part_x_balance_sheet.other_liabilities_eoy</t>
        </is>
      </c>
      <c r="F48" s="8" t="inlineStr">
        <is>
          <t>high</t>
        </is>
      </c>
      <c r="G48" s="9" t="n">
        <v>415000</v>
      </c>
    </row>
    <row r="49">
      <c r="A49" s="8" t="inlineStr">
        <is>
          <t>Balance sheet (detail)</t>
        </is>
      </c>
      <c r="B49" s="8" t="inlineStr">
        <is>
          <t>B19</t>
        </is>
      </c>
      <c r="C49" s="8" t="inlineStr">
        <is>
          <t>27. Net assets without donor restrictions</t>
        </is>
      </c>
      <c r="D49" s="8" t="inlineStr">
        <is>
          <t>27E</t>
        </is>
      </c>
      <c r="E49" s="8" t="inlineStr">
        <is>
          <t>part_x_balance_sheet.net_assets_no_donor_restriction_eoy</t>
        </is>
      </c>
      <c r="F49" s="8" t="inlineStr">
        <is>
          <t>high</t>
        </is>
      </c>
      <c r="G49" s="9" t="n">
        <v>-18574</v>
      </c>
    </row>
    <row r="50">
      <c r="A50" s="8" t="inlineStr">
        <is>
          <t>Balance sheet (detail)</t>
        </is>
      </c>
      <c r="B50" s="8" t="inlineStr">
        <is>
          <t>C19</t>
        </is>
      </c>
      <c r="C50" s="8" t="inlineStr">
        <is>
          <t>27. Net assets without donor restrictions</t>
        </is>
      </c>
      <c r="D50" s="8" t="inlineStr">
        <is>
          <t>27E</t>
        </is>
      </c>
      <c r="E50" s="8" t="inlineStr">
        <is>
          <t>part_x_balance_sheet.net_assets_no_donor_restriction_eoy</t>
        </is>
      </c>
      <c r="F50" s="8" t="inlineStr">
        <is>
          <t>high</t>
        </is>
      </c>
      <c r="G50" s="9" t="n">
        <v>-178518</v>
      </c>
    </row>
    <row r="51">
      <c r="A51" s="8" t="inlineStr">
        <is>
          <t>Balance sheet (detail)</t>
        </is>
      </c>
      <c r="B51" s="8" t="inlineStr">
        <is>
          <t>B20</t>
        </is>
      </c>
      <c r="C51" s="8" t="inlineStr">
        <is>
          <t>28. Net assets with donor restrictions</t>
        </is>
      </c>
      <c r="D51" s="8" t="inlineStr">
        <is>
          <t>28E</t>
        </is>
      </c>
      <c r="E51" s="8" t="inlineStr">
        <is>
          <t>part_x_balance_sheet.net_assets_with_donor_restriction_eoy</t>
        </is>
      </c>
      <c r="F51" s="8" t="inlineStr">
        <is>
          <t>high</t>
        </is>
      </c>
      <c r="G51" s="9" t="n">
        <v>250725</v>
      </c>
    </row>
    <row r="52">
      <c r="A52" s="8" t="inlineStr">
        <is>
          <t>Balance sheet (detail)</t>
        </is>
      </c>
      <c r="B52" s="8" t="inlineStr">
        <is>
          <t>C20</t>
        </is>
      </c>
      <c r="C52" s="8" t="inlineStr">
        <is>
          <t>28. Net assets with donor restrictions</t>
        </is>
      </c>
      <c r="D52" s="8" t="inlineStr">
        <is>
          <t>28E</t>
        </is>
      </c>
      <c r="E52" s="8" t="inlineStr">
        <is>
          <t>part_x_balance_sheet.net_assets_with_donor_restriction_eoy</t>
        </is>
      </c>
      <c r="F52" s="8" t="inlineStr">
        <is>
          <t>high</t>
        </is>
      </c>
      <c r="G52" s="9" t="n">
        <v>414073</v>
      </c>
    </row>
    <row r="53">
      <c r="A53" s="8" t="inlineStr">
        <is>
          <t>Net-assets reconciliation</t>
        </is>
      </c>
      <c r="B53" s="8" t="inlineStr">
        <is>
          <t>B7</t>
        </is>
      </c>
      <c r="C53" s="8" t="inlineStr">
        <is>
          <t>4. Net assets, beginning of year</t>
        </is>
      </c>
      <c r="D53" s="8" t="inlineStr">
        <is>
          <t>Part XI line 4</t>
        </is>
      </c>
      <c r="E53" s="8" t="inlineStr">
        <is>
          <t>part_xi_reconciliation.net_assets_boy</t>
        </is>
      </c>
      <c r="F53" s="8" t="inlineStr">
        <is>
          <t>high</t>
        </is>
      </c>
      <c r="G53" s="9" t="n">
        <v>157171</v>
      </c>
    </row>
    <row r="54">
      <c r="A54" s="8" t="inlineStr">
        <is>
          <t>Net-assets reconciliation</t>
        </is>
      </c>
      <c r="B54" s="8" t="inlineStr">
        <is>
          <t>C7</t>
        </is>
      </c>
      <c r="C54" s="8" t="inlineStr">
        <is>
          <t>4. Net assets, beginning of year</t>
        </is>
      </c>
      <c r="D54" s="8" t="inlineStr">
        <is>
          <t>Part XI line 4</t>
        </is>
      </c>
      <c r="E54" s="8" t="inlineStr">
        <is>
          <t>part_xi_reconciliation.net_assets_boy</t>
        </is>
      </c>
      <c r="F54" s="8" t="inlineStr">
        <is>
          <t>high</t>
        </is>
      </c>
      <c r="G54" s="9" t="n">
        <v>232151</v>
      </c>
    </row>
    <row r="55">
      <c r="A55" s="8" t="inlineStr">
        <is>
          <t>Net-assets reconciliation</t>
        </is>
      </c>
      <c r="B55" s="8" t="inlineStr">
        <is>
          <t>B8</t>
        </is>
      </c>
      <c r="C55" s="8" t="inlineStr">
        <is>
          <t>3. Revenue less expenses</t>
        </is>
      </c>
      <c r="D55" s="8" t="inlineStr">
        <is>
          <t>Part XI line 3</t>
        </is>
      </c>
      <c r="E55" s="8" t="inlineStr">
        <is>
          <t>part_xi_reconciliation.reconciliation_revenue_expenses</t>
        </is>
      </c>
      <c r="F55" s="8" t="inlineStr">
        <is>
          <t>high</t>
        </is>
      </c>
      <c r="G55" s="9" t="n">
        <v>74980</v>
      </c>
    </row>
    <row r="56">
      <c r="A56" s="8" t="inlineStr">
        <is>
          <t>Net-assets reconciliation</t>
        </is>
      </c>
      <c r="B56" s="8" t="inlineStr">
        <is>
          <t>C8</t>
        </is>
      </c>
      <c r="C56" s="8" t="inlineStr">
        <is>
          <t>3. Revenue less expenses</t>
        </is>
      </c>
      <c r="D56" s="8" t="inlineStr">
        <is>
          <t>Part XI line 3</t>
        </is>
      </c>
      <c r="E56" s="8" t="inlineStr">
        <is>
          <t>part_xi_reconciliation.reconciliation_revenue_expenses</t>
        </is>
      </c>
      <c r="F56" s="8" t="inlineStr">
        <is>
          <t>high</t>
        </is>
      </c>
      <c r="G56" s="9" t="n">
        <v>64526</v>
      </c>
    </row>
    <row r="57">
      <c r="A57" s="8" t="inlineStr">
        <is>
          <t>Net-assets reconciliation</t>
        </is>
      </c>
      <c r="B57" s="8" t="inlineStr">
        <is>
          <t>C10</t>
        </is>
      </c>
      <c r="C57" s="8" t="inlineStr">
        <is>
          <t>9. Other changes in net assets</t>
        </is>
      </c>
      <c r="D57" s="8" t="inlineStr">
        <is>
          <t>Part XI line 9</t>
        </is>
      </c>
      <c r="E57" s="8" t="inlineStr">
        <is>
          <t>part_xi_reconciliation.other_changes_net_assets</t>
        </is>
      </c>
      <c r="F57" s="8" t="inlineStr">
        <is>
          <t>high</t>
        </is>
      </c>
      <c r="G57" s="9" t="n">
        <v>-61122</v>
      </c>
    </row>
    <row r="59">
      <c r="A59" s="27" t="inlineStr">
        <is>
          <t>C. Tie-out checks (filed vs computed; any nonzero variance is flagged red)</t>
        </is>
      </c>
      <c r="B59" s="7" t="n"/>
      <c r="C59" s="7" t="n"/>
      <c r="D59" s="7" t="n"/>
      <c r="E59" s="7" t="n"/>
      <c r="F59" s="7" t="n"/>
      <c r="G59" s="7" t="n"/>
      <c r="H59" s="7" t="n"/>
      <c r="I59" s="7" t="n"/>
      <c r="J59" s="7" t="n"/>
      <c r="K59" s="7" t="n"/>
    </row>
    <row r="60">
      <c r="A60" s="5" t="inlineStr">
        <is>
          <t>Tab</t>
        </is>
      </c>
      <c r="B60" s="5" t="inlineStr">
        <is>
          <t>Check</t>
        </is>
      </c>
      <c r="C60" s="5" t="inlineStr">
        <is>
          <t>Fiscal year</t>
        </is>
      </c>
      <c r="D60" s="5" t="inlineStr">
        <is>
          <t>Filed</t>
        </is>
      </c>
      <c r="E60" s="5" t="inlineStr">
        <is>
          <t>Computed</t>
        </is>
      </c>
      <c r="F60" s="5" t="inlineStr">
        <is>
          <t>Variance (computed - filed)</t>
        </is>
      </c>
    </row>
    <row r="61">
      <c r="A61" s="18" t="inlineStr">
        <is>
          <t>Revenue (detail)</t>
        </is>
      </c>
      <c r="B61" s="18" t="inlineStr">
        <is>
          <t>12. Total revenue</t>
        </is>
      </c>
      <c r="C61" s="18" t="inlineStr">
        <is>
          <t>FY2024</t>
        </is>
      </c>
      <c r="D61" s="9" t="n">
        <v>639401</v>
      </c>
      <c r="E61" s="9">
        <f>'Revenue (detail)'!B13</f>
        <v/>
      </c>
      <c r="F61" s="9">
        <f>E61-D61</f>
        <v/>
      </c>
    </row>
    <row r="62">
      <c r="A62" s="18" t="inlineStr">
        <is>
          <t>Revenue (detail)</t>
        </is>
      </c>
      <c r="B62" s="18" t="inlineStr">
        <is>
          <t>12. Total revenue</t>
        </is>
      </c>
      <c r="C62" s="18" t="inlineStr">
        <is>
          <t>FY2025</t>
        </is>
      </c>
      <c r="D62" s="9" t="n">
        <v>1155136</v>
      </c>
      <c r="E62" s="9">
        <f>'Revenue (detail)'!C13</f>
        <v/>
      </c>
      <c r="F62" s="9">
        <f>E62-D62</f>
        <v/>
      </c>
    </row>
    <row r="63">
      <c r="A63" s="18" t="inlineStr">
        <is>
          <t>Revenue (detail)</t>
        </is>
      </c>
      <c r="B63" s="18" t="inlineStr">
        <is>
          <t>2g program service revenue = sum of lines 2a-2f (FY2025)</t>
        </is>
      </c>
      <c r="C63" s="18" t="inlineStr">
        <is>
          <t>FY2025</t>
        </is>
      </c>
      <c r="D63" s="9" t="n">
        <v>292261</v>
      </c>
      <c r="E63" s="9">
        <f>SUM('Revenue (detail)'!C17:C19)</f>
        <v/>
      </c>
      <c r="F63" s="9">
        <f>E63-D63</f>
        <v/>
      </c>
    </row>
    <row r="64">
      <c r="A64" s="18" t="inlineStr">
        <is>
          <t>Operating expenses (detail)</t>
        </is>
      </c>
      <c r="B64" s="18" t="inlineStr">
        <is>
          <t>25. Total functional expenses</t>
        </is>
      </c>
      <c r="C64" s="18" t="inlineStr">
        <is>
          <t>FY2024</t>
        </is>
      </c>
      <c r="D64" s="9" t="n">
        <v>564421</v>
      </c>
      <c r="E64" s="9">
        <f>'Operating expenses (detail)'!B16</f>
        <v/>
      </c>
      <c r="F64" s="9">
        <f>E64-D64</f>
        <v/>
      </c>
    </row>
    <row r="65">
      <c r="A65" s="18" t="inlineStr">
        <is>
          <t>Operating expenses (detail)</t>
        </is>
      </c>
      <c r="B65" s="18" t="inlineStr">
        <is>
          <t>25. Total functional expenses</t>
        </is>
      </c>
      <c r="C65" s="18" t="inlineStr">
        <is>
          <t>FY2025</t>
        </is>
      </c>
      <c r="D65" s="9" t="n">
        <v>1090610</v>
      </c>
      <c r="E65" s="9">
        <f>'Operating expenses (detail)'!C16</f>
        <v/>
      </c>
      <c r="F65" s="9">
        <f>E65-D65</f>
        <v/>
      </c>
    </row>
    <row r="66">
      <c r="A66" s="18" t="inlineStr">
        <is>
          <t>Operating expenses (detail)</t>
        </is>
      </c>
      <c r="B66" s="18" t="inlineStr">
        <is>
          <t>Part IX column split: col A = B + C + D (FY2025)</t>
        </is>
      </c>
      <c r="C66" s="18" t="inlineStr">
        <is>
          <t>FY2025</t>
        </is>
      </c>
      <c r="D66" s="9">
        <f>'Operating expenses (detail)'!B24</f>
        <v/>
      </c>
      <c r="E66" s="9">
        <f>'Operating expenses (detail)'!C24+'Operating expenses (detail)'!D24+'Operating expenses (detail)'!E24</f>
        <v/>
      </c>
      <c r="F66" s="9">
        <f>E66-D66</f>
        <v/>
      </c>
    </row>
    <row r="67">
      <c r="A67" s="18" t="inlineStr">
        <is>
          <t>Balance sheet (detail)</t>
        </is>
      </c>
      <c r="B67" s="18" t="inlineStr">
        <is>
          <t>16. Total assets</t>
        </is>
      </c>
      <c r="C67" s="18" t="inlineStr">
        <is>
          <t>FY2024</t>
        </is>
      </c>
      <c r="D67" s="9" t="n">
        <v>281683</v>
      </c>
      <c r="E67" s="9">
        <f>'Balance sheet (detail)'!B10</f>
        <v/>
      </c>
      <c r="F67" s="9">
        <f>E67-D67</f>
        <v/>
      </c>
    </row>
    <row r="68">
      <c r="A68" s="18" t="inlineStr">
        <is>
          <t>Balance sheet (detail)</t>
        </is>
      </c>
      <c r="B68" s="18" t="inlineStr">
        <is>
          <t>16. Total assets</t>
        </is>
      </c>
      <c r="C68" s="18" t="inlineStr">
        <is>
          <t>FY2025</t>
        </is>
      </c>
      <c r="D68" s="9" t="n">
        <v>674968</v>
      </c>
      <c r="E68" s="9">
        <f>'Balance sheet (detail)'!C10</f>
        <v/>
      </c>
      <c r="F68" s="9">
        <f>E68-D68</f>
        <v/>
      </c>
    </row>
    <row r="69">
      <c r="A69" s="18" t="inlineStr">
        <is>
          <t>Balance sheet (detail)</t>
        </is>
      </c>
      <c r="B69" s="18" t="inlineStr">
        <is>
          <t>26. Total liabilities</t>
        </is>
      </c>
      <c r="C69" s="18" t="inlineStr">
        <is>
          <t>FY2024</t>
        </is>
      </c>
      <c r="D69" s="9" t="n">
        <v>49532</v>
      </c>
      <c r="E69" s="9">
        <f>'Balance sheet (detail)'!B16</f>
        <v/>
      </c>
      <c r="F69" s="9">
        <f>E69-D69</f>
        <v/>
      </c>
    </row>
    <row r="70">
      <c r="A70" s="18" t="inlineStr">
        <is>
          <t>Balance sheet (detail)</t>
        </is>
      </c>
      <c r="B70" s="18" t="inlineStr">
        <is>
          <t>26. Total liabilities</t>
        </is>
      </c>
      <c r="C70" s="18" t="inlineStr">
        <is>
          <t>FY2025</t>
        </is>
      </c>
      <c r="D70" s="9" t="n">
        <v>439413</v>
      </c>
      <c r="E70" s="9">
        <f>'Balance sheet (detail)'!C16</f>
        <v/>
      </c>
      <c r="F70" s="9">
        <f>E70-D70</f>
        <v/>
      </c>
    </row>
    <row r="71">
      <c r="A71" s="18" t="inlineStr">
        <is>
          <t>Balance sheet (detail)</t>
        </is>
      </c>
      <c r="B71" s="18" t="inlineStr">
        <is>
          <t>32. Total net assets / fund balances</t>
        </is>
      </c>
      <c r="C71" s="18" t="inlineStr">
        <is>
          <t>FY2024</t>
        </is>
      </c>
      <c r="D71" s="9" t="n">
        <v>232151</v>
      </c>
      <c r="E71" s="9">
        <f>'Balance sheet (detail)'!B21</f>
        <v/>
      </c>
      <c r="F71" s="9">
        <f>E71-D71</f>
        <v/>
      </c>
    </row>
    <row r="72">
      <c r="A72" s="18" t="inlineStr">
        <is>
          <t>Balance sheet (detail)</t>
        </is>
      </c>
      <c r="B72" s="18" t="inlineStr">
        <is>
          <t>32. Total net assets / fund balances</t>
        </is>
      </c>
      <c r="C72" s="18" t="inlineStr">
        <is>
          <t>FY2025</t>
        </is>
      </c>
      <c r="D72" s="9" t="n">
        <v>235555</v>
      </c>
      <c r="E72" s="9">
        <f>'Balance sheet (detail)'!C21</f>
        <v/>
      </c>
      <c r="F72" s="9">
        <f>E72-D72</f>
        <v/>
      </c>
    </row>
    <row r="73">
      <c r="A73" s="18" t="inlineStr">
        <is>
          <t>Balance sheet (detail)</t>
        </is>
      </c>
      <c r="B73" s="18" t="inlineStr">
        <is>
          <t>Balance sheet identity: line 16 = line 26 + line 32 (EOY)</t>
        </is>
      </c>
      <c r="C73" s="18" t="inlineStr">
        <is>
          <t>FY2024</t>
        </is>
      </c>
      <c r="D73" s="9">
        <f>'Balance sheet (detail)'!B10</f>
        <v/>
      </c>
      <c r="E73" s="9">
        <f>SUM('Balance sheet (detail)'!B16,'Balance sheet (detail)'!B21)</f>
        <v/>
      </c>
      <c r="F73" s="9">
        <f>E73-D73</f>
        <v/>
      </c>
    </row>
    <row r="74">
      <c r="A74" s="18" t="inlineStr">
        <is>
          <t>Balance sheet (detail)</t>
        </is>
      </c>
      <c r="B74" s="18" t="inlineStr">
        <is>
          <t>Balance sheet identity: line 16 = line 26 + line 32 (EOY)</t>
        </is>
      </c>
      <c r="C74" s="18" t="inlineStr">
        <is>
          <t>FY2025</t>
        </is>
      </c>
      <c r="D74" s="9">
        <f>'Balance sheet (detail)'!C10</f>
        <v/>
      </c>
      <c r="E74" s="9">
        <f>SUM('Balance sheet (detail)'!C16,'Balance sheet (detail)'!C21)</f>
        <v/>
      </c>
      <c r="F74" s="9">
        <f>E74-D74</f>
        <v/>
      </c>
    </row>
    <row r="75">
      <c r="A75" s="18" t="inlineStr">
        <is>
          <t>Net-assets reconciliation</t>
        </is>
      </c>
      <c r="B75" s="18" t="inlineStr">
        <is>
          <t>10. Net assets, end of year</t>
        </is>
      </c>
      <c r="C75" s="18" t="inlineStr">
        <is>
          <t>FY2024</t>
        </is>
      </c>
      <c r="D75" s="9" t="n">
        <v>232151</v>
      </c>
      <c r="E75" s="9">
        <f>'Net-assets reconciliation'!B11</f>
        <v/>
      </c>
      <c r="F75" s="9">
        <f>E75-D75</f>
        <v/>
      </c>
    </row>
    <row r="76">
      <c r="A76" s="18" t="inlineStr">
        <is>
          <t>Net-assets reconciliation</t>
        </is>
      </c>
      <c r="B76" s="18" t="inlineStr">
        <is>
          <t>10. Net assets, end of year</t>
        </is>
      </c>
      <c r="C76" s="18" t="inlineStr">
        <is>
          <t>FY2025</t>
        </is>
      </c>
      <c r="D76" s="9" t="n">
        <v>235555</v>
      </c>
      <c r="E76" s="9">
        <f>'Net-assets reconciliation'!C11</f>
        <v/>
      </c>
      <c r="F76" s="9">
        <f>E76-D76</f>
        <v/>
      </c>
    </row>
    <row r="78">
      <c r="A78" s="27" t="inlineStr">
        <is>
          <t>D. Preparer / auditor trail (one row per fiscal year, as filed)</t>
        </is>
      </c>
      <c r="B78" s="7" t="n"/>
      <c r="C78" s="7" t="n"/>
      <c r="D78" s="7" t="n"/>
      <c r="E78" s="7" t="n"/>
      <c r="F78" s="7" t="n"/>
      <c r="G78" s="7" t="n"/>
      <c r="H78" s="7" t="n"/>
      <c r="I78" s="7" t="n"/>
      <c r="J78" s="7" t="n"/>
      <c r="K78" s="7" t="n"/>
    </row>
    <row r="79">
      <c r="A79" s="5" t="inlineStr">
        <is>
          <t>Fiscal year</t>
        </is>
      </c>
      <c r="B79" s="5" t="inlineStr">
        <is>
          <t>Paid preparer</t>
        </is>
      </c>
      <c r="C79" s="5" t="inlineStr">
        <is>
          <t>Preparer firm</t>
        </is>
      </c>
      <c r="D79" s="5" t="inlineStr">
        <is>
          <t>Independent auditor</t>
        </is>
      </c>
      <c r="E79" s="5" t="inlineStr">
        <is>
          <t>Citation</t>
        </is>
      </c>
    </row>
    <row r="80" ht="42" customHeight="1">
      <c r="A80" s="25" t="inlineStr">
        <is>
          <t>FY2024</t>
        </is>
      </c>
      <c r="B80" s="8" t="inlineStr">
        <is>
          <t>JEREMY NEWMAN</t>
        </is>
      </c>
      <c r="C80" s="8" t="inlineStr">
        <is>
          <t>NEWMAN CERTIFIED PUBLIC ACCOUNTANT PC</t>
        </is>
      </c>
      <c r="D80" s="28" t="inlineStr">
        <is>
          <t>not reported</t>
        </is>
      </c>
      <c r="E80" s="13" t="inlineStr">
        <is>
          <t>Form 990 Return Header, Paid Preparer block (return_header.preparer_person_name / preparer_firm_name); auditor: Part XII line 2 reports audited financial statements but does not name the firm.</t>
        </is>
      </c>
    </row>
    <row r="81" ht="42" customHeight="1">
      <c r="A81" s="25" t="inlineStr">
        <is>
          <t>FY2025</t>
        </is>
      </c>
      <c r="B81" s="8" t="inlineStr">
        <is>
          <t>JEREMY NEWMAN</t>
        </is>
      </c>
      <c r="C81" s="8" t="inlineStr">
        <is>
          <t>NEWMAN CERTIFIED PUBLIC ACCOUNTANT PC</t>
        </is>
      </c>
      <c r="D81" s="28" t="inlineStr">
        <is>
          <t>not reported</t>
        </is>
      </c>
      <c r="E81" s="13" t="inlineStr">
        <is>
          <t>Form 990 Return Header, Paid Preparer block (return_header.preparer_person_name / preparer_firm_name); auditor: Part XII line 2 reports audited financial statements but does not name the firm.</t>
        </is>
      </c>
    </row>
    <row r="83" ht="42" customHeight="1">
      <c r="A8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83:K83"/>
    <mergeCell ref="A3:K3"/>
    <mergeCell ref="A2:K2"/>
    <mergeCell ref="A5:K5"/>
    <mergeCell ref="A1:K1"/>
  </mergeCells>
  <conditionalFormatting sqref="F61:F7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