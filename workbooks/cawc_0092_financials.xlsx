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Financial Summary - multi-year overview (USD)</t>
        </is>
      </c>
    </row>
    <row r="3">
      <c r="A3" s="2" t="inlineStr">
        <is>
          <t>Entity ID: cawc_0092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111294</v>
      </c>
      <c r="C10" s="9" t="n">
        <v>108893</v>
      </c>
      <c r="D10" s="9" t="n">
        <v>107355</v>
      </c>
      <c r="E10" s="9" t="n">
        <v>118926</v>
      </c>
      <c r="F10" s="9" t="n">
        <v>137327</v>
      </c>
      <c r="G10" s="9" t="n">
        <v>145698</v>
      </c>
    </row>
    <row r="11">
      <c r="A11" s="8" t="inlineStr">
        <is>
          <t xml:space="preserve">    Total expenses</t>
        </is>
      </c>
      <c r="B11" s="9" t="n">
        <v>66579</v>
      </c>
      <c r="C11" s="9" t="n">
        <v>70984</v>
      </c>
      <c r="D11" s="9" t="n">
        <v>63651</v>
      </c>
      <c r="E11" s="9" t="n">
        <v>69569</v>
      </c>
      <c r="F11" s="9" t="n">
        <v>83055</v>
      </c>
      <c r="G11" s="9" t="n">
        <v>100427</v>
      </c>
    </row>
    <row r="12">
      <c r="A12" s="10" t="inlineStr">
        <is>
          <t xml:space="preserve">    Net income</t>
        </is>
      </c>
      <c r="B12" s="11" t="n">
        <v>44715</v>
      </c>
      <c r="C12" s="11" t="n">
        <v>37909</v>
      </c>
      <c r="D12" s="11" t="n">
        <v>43704</v>
      </c>
      <c r="E12" s="11" t="n">
        <v>49357</v>
      </c>
      <c r="F12" s="11" t="n">
        <v>54272</v>
      </c>
      <c r="G12" s="11" t="n">
        <v>45271</v>
      </c>
    </row>
    <row r="14">
      <c r="A14" s="6" t="inlineStr">
        <is>
          <t>Financial position (USD, end of year)</t>
        </is>
      </c>
      <c r="B14" s="7" t="n"/>
      <c r="C14" s="7" t="n"/>
      <c r="D14" s="7" t="n"/>
      <c r="E14" s="7" t="n"/>
      <c r="F14" s="7" t="n"/>
      <c r="G14" s="7" t="n"/>
    </row>
    <row r="15">
      <c r="A15" s="8" t="inlineStr">
        <is>
          <t xml:space="preserve">    Total assets</t>
        </is>
      </c>
      <c r="B15" s="9" t="n">
        <v>628332</v>
      </c>
      <c r="C15" s="9" t="n">
        <v>665696</v>
      </c>
      <c r="D15" s="9" t="n">
        <v>709765</v>
      </c>
      <c r="E15" s="9" t="n">
        <v>758492</v>
      </c>
      <c r="F15" s="9" t="n">
        <v>812764</v>
      </c>
      <c r="G15" s="9" t="n">
        <v>858239</v>
      </c>
    </row>
    <row r="16">
      <c r="A16" s="8" t="inlineStr">
        <is>
          <t xml:space="preserve">    Total liabilities</t>
        </is>
      </c>
      <c r="B16" s="9" t="n">
        <v>750</v>
      </c>
      <c r="C16" s="9" t="n">
        <v>265</v>
      </c>
      <c r="D16" s="9" t="n">
        <v>630</v>
      </c>
      <c r="E16" s="9" t="n">
        <v>0</v>
      </c>
      <c r="F16" s="9" t="n">
        <v>0</v>
      </c>
      <c r="G16" s="9" t="n">
        <v>204</v>
      </c>
    </row>
    <row r="17">
      <c r="A17" s="10" t="inlineStr">
        <is>
          <t xml:space="preserve">    Net assets</t>
        </is>
      </c>
      <c r="B17" s="11" t="n">
        <v>627582</v>
      </c>
      <c r="C17" s="11" t="n">
        <v>665431</v>
      </c>
      <c r="D17" s="11" t="n">
        <v>709135</v>
      </c>
      <c r="E17" s="11" t="n">
        <v>758492</v>
      </c>
      <c r="F17" s="11" t="n">
        <v>812764</v>
      </c>
      <c r="G17" s="11" t="n">
        <v>858035</v>
      </c>
    </row>
    <row r="19">
      <c r="A19" s="6" t="inlineStr">
        <is>
          <t>Headline ratios</t>
        </is>
      </c>
      <c r="B19" s="7" t="n"/>
      <c r="C19" s="7" t="n"/>
      <c r="D19" s="7" t="n"/>
      <c r="E19" s="7" t="n"/>
      <c r="F19" s="7" t="n"/>
      <c r="G19" s="7" t="n"/>
    </row>
    <row r="20">
      <c r="A20" s="8" t="inlineStr">
        <is>
          <t xml:space="preserve">    Operating margin</t>
        </is>
      </c>
      <c r="B20" s="12" t="n">
        <v>0.401773680521861</v>
      </c>
      <c r="C20" s="12" t="n">
        <v>0.3481307338396408</v>
      </c>
      <c r="D20" s="12" t="n">
        <v>0.4070979460667878</v>
      </c>
      <c r="E20" s="12" t="n">
        <v>0.4150227872794847</v>
      </c>
      <c r="F20" s="12" t="n">
        <v>0.3952026913862532</v>
      </c>
      <c r="G20" s="12" t="n">
        <v>0.3107180606459938</v>
      </c>
    </row>
    <row r="21">
      <c r="A21" s="8" t="inlineStr">
        <is>
          <t xml:space="preserve">    Revenue growth (YoY)</t>
        </is>
      </c>
      <c r="B21" s="12" t="n">
        <v>0.02622406639004149</v>
      </c>
      <c r="C21" s="12" t="n">
        <v>-0.02157349003540173</v>
      </c>
      <c r="D21" s="12" t="n">
        <v>-0.01412395654449781</v>
      </c>
      <c r="E21" s="12" t="n">
        <v>0.1077825904708677</v>
      </c>
      <c r="F21" s="12" t="n">
        <v>0.1547264685602812</v>
      </c>
      <c r="G21" s="12" t="n">
        <v>0.06095669460484828</v>
      </c>
    </row>
    <row r="22">
      <c r="A22" s="8" t="inlineStr">
        <is>
          <t xml:space="preserve">    Return on assets</t>
        </is>
      </c>
      <c r="B22" s="12" t="n">
        <v>0.07116460724585091</v>
      </c>
      <c r="C22" s="12" t="n">
        <v>0.05694641397875307</v>
      </c>
      <c r="D22" s="12" t="n">
        <v>0.06157531013786254</v>
      </c>
      <c r="E22" s="12" t="n">
        <v>0.06507253866883236</v>
      </c>
      <c r="F22" s="12" t="n">
        <v>0.06677461108021517</v>
      </c>
      <c r="G22" s="12" t="n">
        <v>0.05274870985820966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2026-09-23</t>
        </is>
      </c>
      <c r="B5" s="8" t="inlineStr">
        <is>
          <t>conflict</t>
        </is>
      </c>
      <c r="C5" s="8" t="inlineStr">
        <is>
          <t>Brendan</t>
        </is>
      </c>
      <c r="D5" s="13" t="inlineStr">
        <is>
          <t>The company's own website prints its state water system number twice as CA4900588. That identifier belongs to Lawndale Mutual Water Company in Kenwood. The State Water Board returns CA4900558 for this system in Sebastopol, and CA4900558 is what the registry carries. It reads as a single digit typo on the company's page. Both readings are recorded and neither is reconciled away: a reader comparing our record against the company's own site would otherwise conclude we had it wrong.</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Financial Statements - income statement, balance sheet, cash flow, member income test (USD)</t>
        </is>
      </c>
    </row>
    <row r="3">
      <c r="A3" s="2" t="inlineStr">
        <is>
          <t>Entity ID: cawc_0092   |   Fiscal year ends September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109506</v>
      </c>
      <c r="C8" s="9" t="n">
        <v>107337</v>
      </c>
      <c r="D8" s="9" t="n">
        <v>105999</v>
      </c>
      <c r="E8" s="9" t="n">
        <v>114963</v>
      </c>
      <c r="F8" s="9" t="n">
        <v>132512</v>
      </c>
      <c r="G8" s="9" t="n">
        <v>137311</v>
      </c>
    </row>
    <row r="9">
      <c r="A9" s="8" t="inlineStr">
        <is>
          <t xml:space="preserve">    Investment income</t>
        </is>
      </c>
      <c r="B9" s="9" t="n">
        <v>1788</v>
      </c>
      <c r="C9" s="9" t="n">
        <v>1556</v>
      </c>
      <c r="D9" s="9" t="n">
        <v>1356</v>
      </c>
      <c r="E9" s="9" t="n">
        <v>3963</v>
      </c>
      <c r="F9" s="9" t="n">
        <v>4815</v>
      </c>
      <c r="G9" s="9" t="n">
        <v>8387</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111294</v>
      </c>
      <c r="C14" s="11" t="n">
        <v>108893</v>
      </c>
      <c r="D14" s="11" t="n">
        <v>107355</v>
      </c>
      <c r="E14" s="11" t="n">
        <v>118926</v>
      </c>
      <c r="F14" s="11" t="n">
        <v>137327</v>
      </c>
      <c r="G14" s="11" t="n">
        <v>145698</v>
      </c>
    </row>
    <row r="16">
      <c r="A16" s="6" t="inlineStr">
        <is>
          <t>Expenses</t>
        </is>
      </c>
      <c r="B16" s="7" t="n"/>
      <c r="C16" s="7" t="n"/>
      <c r="D16" s="7" t="n"/>
      <c r="E16" s="7" t="n"/>
      <c r="F16" s="7" t="n"/>
      <c r="G16" s="7" t="n"/>
    </row>
    <row r="17">
      <c r="A17" s="8" t="inlineStr">
        <is>
          <t xml:space="preserve">    Depreciation</t>
        </is>
      </c>
      <c r="B17" s="9" t="n">
        <v>6380</v>
      </c>
      <c r="C17" s="9" t="n">
        <v>6547</v>
      </c>
      <c r="D17" s="9" t="n">
        <v>6547</v>
      </c>
      <c r="E17" s="9" t="n">
        <v>6510</v>
      </c>
      <c r="F17" s="9" t="n">
        <v>10309</v>
      </c>
      <c r="G17" s="9" t="n">
        <v>14959</v>
      </c>
    </row>
    <row r="18">
      <c r="A18" s="8" t="inlineStr">
        <is>
          <t xml:space="preserve">    Interest expense</t>
        </is>
      </c>
      <c r="B18" s="9" t="n">
        <v>0</v>
      </c>
      <c r="C18" s="9" t="n">
        <v>20</v>
      </c>
      <c r="D18" s="9" t="n">
        <v>0</v>
      </c>
      <c r="E18" s="9" t="n">
        <v>2</v>
      </c>
      <c r="F18" s="9" t="n">
        <v>0</v>
      </c>
      <c r="G18" s="9" t="n">
        <v>0</v>
      </c>
    </row>
    <row r="19">
      <c r="A19" s="10" t="inlineStr">
        <is>
          <t>Total expenses</t>
        </is>
      </c>
      <c r="B19" s="11" t="n">
        <v>66579</v>
      </c>
      <c r="C19" s="11" t="n">
        <v>70984</v>
      </c>
      <c r="D19" s="11" t="n">
        <v>63651</v>
      </c>
      <c r="E19" s="11" t="n">
        <v>69569</v>
      </c>
      <c r="F19" s="11" t="n">
        <v>83055</v>
      </c>
      <c r="G19" s="11" t="n">
        <v>100427</v>
      </c>
    </row>
    <row r="21">
      <c r="A21" s="10" t="inlineStr">
        <is>
          <t>Net income</t>
        </is>
      </c>
      <c r="B21" s="11" t="n">
        <v>44715</v>
      </c>
      <c r="C21" s="11" t="n">
        <v>37909</v>
      </c>
      <c r="D21" s="11" t="n">
        <v>43704</v>
      </c>
      <c r="E21" s="11" t="n">
        <v>49357</v>
      </c>
      <c r="F21" s="11" t="n">
        <v>54272</v>
      </c>
      <c r="G21" s="11" t="n">
        <v>45271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282619</v>
      </c>
      <c r="C27" s="9" t="n">
        <v>323721</v>
      </c>
      <c r="D27" s="9" t="n">
        <v>378073</v>
      </c>
      <c r="E27" s="9" t="n">
        <v>397101</v>
      </c>
      <c r="F27" s="9" t="n">
        <v>325421</v>
      </c>
      <c r="G27" s="9" t="n">
        <v>369355</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12604</v>
      </c>
      <c r="C29" s="9" t="n">
        <v>1728</v>
      </c>
      <c r="D29" s="9" t="n">
        <v>-2251</v>
      </c>
      <c r="E29" s="9" t="n">
        <v>1455</v>
      </c>
      <c r="F29" s="9" t="n">
        <v>-1693</v>
      </c>
      <c r="G29" s="9" t="n">
        <v>-4238</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614</v>
      </c>
      <c r="E31" s="9" t="n">
        <v>614</v>
      </c>
      <c r="F31" s="9" t="n">
        <v>614</v>
      </c>
      <c r="G31" s="9" t="n">
        <v>3110</v>
      </c>
    </row>
    <row r="32">
      <c r="A32" s="8" t="inlineStr">
        <is>
          <t xml:space="preserve">    Property, plant &amp; equipment (gross)</t>
        </is>
      </c>
      <c r="B32" s="9" t="n">
        <v>413612</v>
      </c>
      <c r="C32" s="9" t="n">
        <v>424935</v>
      </c>
      <c r="D32" s="9" t="n">
        <v>424936</v>
      </c>
      <c r="E32" s="9" t="n">
        <v>461238</v>
      </c>
      <c r="F32" s="9" t="n">
        <v>600648</v>
      </c>
      <c r="G32" s="9" t="n">
        <v>617195</v>
      </c>
    </row>
    <row r="33">
      <c r="A33" s="8" t="inlineStr">
        <is>
          <t xml:space="preserve">    Less: accumulated depreciation</t>
        </is>
      </c>
      <c r="B33" s="9" t="n">
        <v>-82313</v>
      </c>
      <c r="C33" s="9" t="n">
        <v>-88860</v>
      </c>
      <c r="D33" s="9" t="n">
        <v>-95407</v>
      </c>
      <c r="E33" s="9" t="n">
        <v>-101917</v>
      </c>
      <c r="F33" s="9" t="n">
        <v>-112226</v>
      </c>
      <c r="G33" s="9" t="n">
        <v>-127185</v>
      </c>
    </row>
    <row r="34">
      <c r="A34" s="10" t="inlineStr">
        <is>
          <t xml:space="preserve">    Net property, plant &amp; equipment</t>
        </is>
      </c>
      <c r="B34" s="11" t="n">
        <v>331299</v>
      </c>
      <c r="C34" s="11" t="n">
        <v>336075</v>
      </c>
      <c r="D34" s="11" t="n">
        <v>329529</v>
      </c>
      <c r="E34" s="11" t="n">
        <v>359321</v>
      </c>
      <c r="F34" s="11" t="n">
        <v>488422</v>
      </c>
      <c r="G34" s="11" t="n">
        <v>490010</v>
      </c>
    </row>
    <row r="35">
      <c r="A35" s="10" t="inlineStr">
        <is>
          <t>Total assets</t>
        </is>
      </c>
      <c r="B35" s="11" t="n">
        <v>628332</v>
      </c>
      <c r="C35" s="11" t="n">
        <v>665696</v>
      </c>
      <c r="D35" s="11" t="n">
        <v>709765</v>
      </c>
      <c r="E35" s="11" t="n">
        <v>758492</v>
      </c>
      <c r="F35" s="11" t="n">
        <v>812764</v>
      </c>
      <c r="G35" s="11" t="n">
        <v>858239</v>
      </c>
    </row>
    <row r="37">
      <c r="A37" s="6" t="inlineStr">
        <is>
          <t>Liabilities</t>
        </is>
      </c>
      <c r="B37" s="7" t="n"/>
      <c r="C37" s="7" t="n"/>
      <c r="D37" s="7" t="n"/>
      <c r="E37" s="7" t="n"/>
      <c r="F37" s="7" t="n"/>
      <c r="G37" s="7" t="n"/>
    </row>
    <row r="38">
      <c r="A38" s="8" t="inlineStr">
        <is>
          <t xml:space="preserve">    Accounts payable</t>
        </is>
      </c>
      <c r="B38" s="9" t="n">
        <v>750</v>
      </c>
      <c r="C38" s="9" t="n">
        <v>265</v>
      </c>
      <c r="D38" s="9" t="n">
        <v>629</v>
      </c>
      <c r="E38" s="9" t="n"/>
      <c r="F38" s="9" t="n"/>
      <c r="G38" s="9" t="n">
        <v>204</v>
      </c>
    </row>
    <row r="39">
      <c r="A39" s="8" t="inlineStr">
        <is>
          <t xml:space="preserve">    Mortgages &amp; notes payable</t>
        </is>
      </c>
      <c r="B39" s="9" t="n"/>
      <c r="C39" s="9" t="n"/>
      <c r="D39" s="9" t="n"/>
      <c r="E39" s="9" t="n"/>
      <c r="F39" s="9" t="n"/>
      <c r="G39" s="9" t="n"/>
    </row>
    <row r="40">
      <c r="A40" s="10" t="inlineStr">
        <is>
          <t>Total liabilities</t>
        </is>
      </c>
      <c r="B40" s="11" t="n">
        <v>750</v>
      </c>
      <c r="C40" s="11" t="n">
        <v>265</v>
      </c>
      <c r="D40" s="11" t="n">
        <v>630</v>
      </c>
      <c r="E40" s="11" t="n">
        <v>0</v>
      </c>
      <c r="F40" s="11" t="n">
        <v>0</v>
      </c>
      <c r="G40" s="11" t="n">
        <v>204</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627582</v>
      </c>
      <c r="C46" s="11" t="n">
        <v>665431</v>
      </c>
      <c r="D46" s="11" t="n">
        <v>709135</v>
      </c>
      <c r="E46" s="11" t="n">
        <v>758492</v>
      </c>
      <c r="F46" s="11" t="n">
        <v>812764</v>
      </c>
      <c r="G46" s="11" t="n">
        <v>858035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44715</v>
      </c>
      <c r="C52" s="9" t="n">
        <v>37909</v>
      </c>
      <c r="D52" s="9" t="n">
        <v>43704</v>
      </c>
      <c r="E52" s="9" t="n">
        <v>49357</v>
      </c>
      <c r="F52" s="9" t="n">
        <v>54272</v>
      </c>
      <c r="G52" s="9" t="n">
        <v>45271</v>
      </c>
    </row>
    <row r="53">
      <c r="A53" s="8" t="inlineStr">
        <is>
          <t xml:space="preserve">    + Depreciation (reported)</t>
        </is>
      </c>
      <c r="B53" s="9" t="n">
        <v>6380</v>
      </c>
      <c r="C53" s="9" t="n">
        <v>6547</v>
      </c>
      <c r="D53" s="9" t="n">
        <v>6547</v>
      </c>
      <c r="E53" s="9" t="n">
        <v>6510</v>
      </c>
      <c r="F53" s="9" t="n">
        <v>10309</v>
      </c>
      <c r="G53" s="9" t="n">
        <v>14959</v>
      </c>
    </row>
    <row r="54">
      <c r="A54" s="8" t="inlineStr">
        <is>
          <t xml:space="preserve">    − Δ Accounts receivable</t>
        </is>
      </c>
      <c r="B54" s="9" t="n"/>
      <c r="C54" s="9" t="n">
        <v>10876</v>
      </c>
      <c r="D54" s="9" t="n">
        <v>3979</v>
      </c>
      <c r="E54" s="9" t="n">
        <v>-3706</v>
      </c>
      <c r="F54" s="9" t="n">
        <v>3148</v>
      </c>
      <c r="G54" s="9" t="n">
        <v>2545</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-614</v>
      </c>
      <c r="E56" s="9" t="n">
        <v>0</v>
      </c>
      <c r="F56" s="9" t="n">
        <v>0</v>
      </c>
      <c r="G56" s="9" t="n">
        <v>-2496</v>
      </c>
    </row>
    <row r="57">
      <c r="A57" s="8" t="inlineStr">
        <is>
          <t xml:space="preserve">    + Δ Accounts payable</t>
        </is>
      </c>
      <c r="B57" s="9" t="n"/>
      <c r="C57" s="9" t="n">
        <v>-485</v>
      </c>
      <c r="D57" s="9" t="n">
        <v>364</v>
      </c>
      <c r="E57" s="9" t="n"/>
      <c r="F57" s="9" t="n"/>
      <c r="G57" s="9" t="n"/>
    </row>
    <row r="58">
      <c r="A58" s="10" t="inlineStr">
        <is>
          <t xml:space="preserve">    Operating cash flow proxy</t>
        </is>
      </c>
      <c r="B58" s="11" t="n"/>
      <c r="C58" s="11" t="n">
        <v>54847</v>
      </c>
      <c r="D58" s="11" t="n">
        <v>53980</v>
      </c>
      <c r="E58" s="11" t="n">
        <v>52161</v>
      </c>
      <c r="F58" s="11" t="n">
        <v>67729</v>
      </c>
      <c r="G58" s="11" t="n">
        <v>60279</v>
      </c>
    </row>
    <row r="60">
      <c r="A60" s="6" t="inlineStr">
        <is>
          <t>Investing</t>
        </is>
      </c>
      <c r="B60" s="7" t="n"/>
      <c r="C60" s="7" t="n"/>
      <c r="D60" s="7" t="n"/>
      <c r="E60" s="7" t="n"/>
      <c r="F60" s="7" t="n"/>
      <c r="G60" s="7" t="n"/>
    </row>
    <row r="61">
      <c r="A61" s="8" t="inlineStr">
        <is>
          <t xml:space="preserve">    − Δ PP&amp;E gross (capex proxy)</t>
        </is>
      </c>
      <c r="B61" s="9" t="n"/>
      <c r="C61" s="9" t="n">
        <v>-11323</v>
      </c>
      <c r="D61" s="9" t="n">
        <v>-1</v>
      </c>
      <c r="E61" s="9" t="n">
        <v>-36302</v>
      </c>
      <c r="F61" s="9" t="n">
        <v>-139410</v>
      </c>
      <c r="G61" s="9" t="n">
        <v>-16547</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41102</v>
      </c>
      <c r="D67" s="11" t="n">
        <v>54352</v>
      </c>
      <c r="E67" s="11" t="n">
        <v>19028</v>
      </c>
      <c r="F67" s="11" t="n">
        <v>-71680</v>
      </c>
      <c r="G67" s="11" t="n">
        <v>43934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Balance Sheet - as reported (USD, end of year)</t>
        </is>
      </c>
    </row>
    <row r="3">
      <c r="A3" s="2" t="inlineStr">
        <is>
          <t>Entity ID: cawc_0092   |   Fiscal year ends September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282619</v>
      </c>
      <c r="C7" s="9" t="n">
        <v>323721</v>
      </c>
      <c r="D7" s="9" t="n">
        <v>378073</v>
      </c>
      <c r="E7" s="9" t="n">
        <v>397101</v>
      </c>
      <c r="F7" s="9" t="n">
        <v>325421</v>
      </c>
      <c r="G7" s="9" t="n">
        <v>369355</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12604</v>
      </c>
      <c r="C9" s="9" t="n">
        <v>1728</v>
      </c>
      <c r="D9" s="9" t="n">
        <v>-2251</v>
      </c>
      <c r="E9" s="9" t="n">
        <v>1455</v>
      </c>
      <c r="F9" s="9" t="n">
        <v>-1693</v>
      </c>
      <c r="G9" s="9" t="n">
        <v>-4238</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614</v>
      </c>
      <c r="E11" s="9" t="n">
        <v>614</v>
      </c>
      <c r="F11" s="9" t="n">
        <v>614</v>
      </c>
      <c r="G11" s="9" t="n">
        <v>3110</v>
      </c>
    </row>
    <row r="12">
      <c r="A12" s="8" t="inlineStr">
        <is>
          <t xml:space="preserve">    Property, plant &amp; equipment (gross)</t>
        </is>
      </c>
      <c r="B12" s="9" t="n">
        <v>413612</v>
      </c>
      <c r="C12" s="9" t="n">
        <v>424935</v>
      </c>
      <c r="D12" s="9" t="n">
        <v>424936</v>
      </c>
      <c r="E12" s="9" t="n">
        <v>461238</v>
      </c>
      <c r="F12" s="9" t="n">
        <v>600648</v>
      </c>
      <c r="G12" s="9" t="n">
        <v>617195</v>
      </c>
    </row>
    <row r="13">
      <c r="A13" s="8" t="inlineStr">
        <is>
          <t xml:space="preserve">    Less: accumulated depreciation</t>
        </is>
      </c>
      <c r="B13" s="9" t="n">
        <v>-82313</v>
      </c>
      <c r="C13" s="9" t="n">
        <v>-88860</v>
      </c>
      <c r="D13" s="9" t="n">
        <v>-95407</v>
      </c>
      <c r="E13" s="9" t="n">
        <v>-101917</v>
      </c>
      <c r="F13" s="9" t="n">
        <v>-112226</v>
      </c>
      <c r="G13" s="9" t="n">
        <v>-127185</v>
      </c>
    </row>
    <row r="14">
      <c r="A14" s="10" t="inlineStr">
        <is>
          <t xml:space="preserve">    Net property, plant &amp; equipment</t>
        </is>
      </c>
      <c r="B14" s="11" t="n">
        <v>331299</v>
      </c>
      <c r="C14" s="11" t="n">
        <v>336075</v>
      </c>
      <c r="D14" s="11" t="n">
        <v>329529</v>
      </c>
      <c r="E14" s="11" t="n">
        <v>359321</v>
      </c>
      <c r="F14" s="11" t="n">
        <v>488422</v>
      </c>
      <c r="G14" s="11" t="n">
        <v>490010</v>
      </c>
    </row>
    <row r="15">
      <c r="A15" s="10" t="inlineStr">
        <is>
          <t>Total assets</t>
        </is>
      </c>
      <c r="B15" s="11" t="n">
        <v>628332</v>
      </c>
      <c r="C15" s="11" t="n">
        <v>665696</v>
      </c>
      <c r="D15" s="11" t="n">
        <v>709765</v>
      </c>
      <c r="E15" s="11" t="n">
        <v>758492</v>
      </c>
      <c r="F15" s="11" t="n">
        <v>812764</v>
      </c>
      <c r="G15" s="11" t="n">
        <v>858239</v>
      </c>
    </row>
    <row r="17">
      <c r="A17" s="6" t="inlineStr">
        <is>
          <t>Liabilities</t>
        </is>
      </c>
      <c r="B17" s="7" t="n"/>
      <c r="C17" s="7" t="n"/>
      <c r="D17" s="7" t="n"/>
      <c r="E17" s="7" t="n"/>
      <c r="F17" s="7" t="n"/>
      <c r="G17" s="7" t="n"/>
    </row>
    <row r="18">
      <c r="A18" s="8" t="inlineStr">
        <is>
          <t xml:space="preserve">    Accounts payable</t>
        </is>
      </c>
      <c r="B18" s="9" t="n">
        <v>750</v>
      </c>
      <c r="C18" s="9" t="n">
        <v>265</v>
      </c>
      <c r="D18" s="9" t="n">
        <v>629</v>
      </c>
      <c r="E18" s="9" t="n"/>
      <c r="F18" s="9" t="n"/>
      <c r="G18" s="9" t="n">
        <v>204</v>
      </c>
    </row>
    <row r="19">
      <c r="A19" s="8" t="inlineStr">
        <is>
          <t xml:space="preserve">    Mortgages &amp; notes payable</t>
        </is>
      </c>
      <c r="B19" s="9" t="n"/>
      <c r="C19" s="9" t="n"/>
      <c r="D19" s="9" t="n"/>
      <c r="E19" s="9" t="n"/>
      <c r="F19" s="9" t="n"/>
      <c r="G19" s="9" t="n"/>
    </row>
    <row r="20">
      <c r="A20" s="10" t="inlineStr">
        <is>
          <t>Total liabilities</t>
        </is>
      </c>
      <c r="B20" s="11" t="n">
        <v>750</v>
      </c>
      <c r="C20" s="11" t="n">
        <v>265</v>
      </c>
      <c r="D20" s="11" t="n">
        <v>630</v>
      </c>
      <c r="E20" s="11" t="n">
        <v>0</v>
      </c>
      <c r="F20" s="11" t="n">
        <v>0</v>
      </c>
      <c r="G20" s="11" t="n">
        <v>204</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627582</v>
      </c>
      <c r="C26" s="11" t="n">
        <v>665431</v>
      </c>
      <c r="D26" s="11" t="n">
        <v>709135</v>
      </c>
      <c r="E26" s="11" t="n">
        <v>758492</v>
      </c>
      <c r="F26" s="11" t="n">
        <v>812764</v>
      </c>
      <c r="G26" s="11" t="n">
        <v>858035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Belmont Mutual Water Company</t>
        </is>
      </c>
    </row>
    <row r="2">
      <c r="A2" s="2" t="inlineStr">
        <is>
          <t>Officers, Directors &amp; Contractors - Form 990 Part VII (FY2025; USD)</t>
        </is>
      </c>
    </row>
    <row r="3">
      <c r="A3" s="2" t="inlineStr">
        <is>
          <t>Entity ID: cawc_0092   |   Fiscal year ends September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Jean Tillinghast</t>
        </is>
      </c>
      <c r="B7" s="8" t="inlineStr">
        <is>
          <t>President</t>
        </is>
      </c>
      <c r="C7" s="9" t="n">
        <v>0</v>
      </c>
      <c r="D7" s="9" t="n">
        <v>0</v>
      </c>
      <c r="E7" s="9" t="n">
        <v>0</v>
      </c>
      <c r="F7" s="9" t="n">
        <v>0</v>
      </c>
    </row>
    <row r="8">
      <c r="A8" s="8" t="inlineStr">
        <is>
          <t>Sandra Pete</t>
        </is>
      </c>
      <c r="B8" s="8" t="inlineStr">
        <is>
          <t>Secretary</t>
        </is>
      </c>
      <c r="C8" s="9" t="n">
        <v>0</v>
      </c>
      <c r="D8" s="9" t="n">
        <v>0</v>
      </c>
      <c r="E8" s="9" t="n">
        <v>0</v>
      </c>
      <c r="F8" s="9" t="n">
        <v>0</v>
      </c>
    </row>
    <row r="9">
      <c r="A9" s="8" t="inlineStr">
        <is>
          <t>Laura Hormel</t>
        </is>
      </c>
      <c r="B9" s="8" t="inlineStr">
        <is>
          <t>Director</t>
        </is>
      </c>
      <c r="C9" s="9" t="n">
        <v>0</v>
      </c>
      <c r="D9" s="9" t="n">
        <v>0</v>
      </c>
      <c r="E9" s="9" t="n">
        <v>0</v>
      </c>
      <c r="F9" s="9" t="n">
        <v>0</v>
      </c>
    </row>
    <row r="10">
      <c r="A10" s="8" t="inlineStr">
        <is>
          <t>Suzanne Llamado</t>
        </is>
      </c>
      <c r="B10" s="8" t="inlineStr">
        <is>
          <t>Treasurer</t>
        </is>
      </c>
      <c r="C10" s="9" t="n">
        <v>0</v>
      </c>
      <c r="D10" s="9" t="n">
        <v>0</v>
      </c>
      <c r="E10" s="9" t="n">
        <v>0</v>
      </c>
      <c r="F10" s="9" t="n">
        <v>0</v>
      </c>
    </row>
    <row r="11">
      <c r="A11" s="8" t="inlineStr">
        <is>
          <t>Jon Hallengren</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Revenue - Form 990 Part VIII (USD)</t>
        </is>
      </c>
    </row>
    <row r="3">
      <c r="A3" s="2" t="inlineStr">
        <is>
          <t>Entity ID: cawc_0092   |   Fiscal year ends September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109506</v>
      </c>
      <c r="C8" s="9" t="n">
        <v>107337</v>
      </c>
      <c r="D8" s="9" t="n">
        <v>105999</v>
      </c>
      <c r="E8" s="9" t="n">
        <v>114963</v>
      </c>
      <c r="F8" s="9" t="n">
        <v>132512</v>
      </c>
      <c r="G8" s="9" t="n">
        <v>137311</v>
      </c>
    </row>
    <row r="9">
      <c r="A9" s="8" t="inlineStr">
        <is>
          <t xml:space="preserve">    3. Investment income</t>
        </is>
      </c>
      <c r="B9" s="9" t="n">
        <v>1788</v>
      </c>
      <c r="C9" s="9" t="n">
        <v>1556</v>
      </c>
      <c r="D9" s="9" t="n">
        <v>1356</v>
      </c>
      <c r="E9" s="9" t="n">
        <v>3963</v>
      </c>
      <c r="F9" s="9" t="n">
        <v>4815</v>
      </c>
      <c r="G9" s="9" t="n">
        <v>8387</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Revenue</t>
        </is>
      </c>
      <c r="B17" s="8" t="n"/>
      <c r="C17" s="9" t="n">
        <v>137311</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Belmont Mutual Water Company</t>
        </is>
      </c>
    </row>
    <row r="2">
      <c r="A2" s="2" t="inlineStr">
        <is>
          <t>Statement of Functional Expenses - Form 990 Part IX (USD)</t>
        </is>
      </c>
    </row>
    <row r="3">
      <c r="A3" s="2" t="inlineStr">
        <is>
          <t>Entity ID: cawc_0092   |   Fiscal year ends September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10653</v>
      </c>
      <c r="C13" s="9" t="n">
        <v>12089</v>
      </c>
      <c r="D13" s="9" t="n">
        <v>13219</v>
      </c>
      <c r="E13" s="9" t="n">
        <v>8697</v>
      </c>
      <c r="F13" s="9" t="n">
        <v>17145</v>
      </c>
      <c r="G13" s="9" t="n">
        <v>15958</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566</v>
      </c>
      <c r="C15" s="9" t="n">
        <v>1387</v>
      </c>
      <c r="D15" s="9" t="n">
        <v>1060</v>
      </c>
      <c r="E15" s="9" t="n">
        <v>955</v>
      </c>
      <c r="F15" s="9" t="n">
        <v>1377</v>
      </c>
      <c r="G15" s="9" t="n">
        <v>2815</v>
      </c>
    </row>
    <row r="16">
      <c r="A16" s="8" t="inlineStr">
        <is>
          <t xml:space="preserve">    10. Payroll taxes</t>
        </is>
      </c>
      <c r="B16" s="9" t="n">
        <v>1047</v>
      </c>
      <c r="C16" s="9" t="n">
        <v>1109</v>
      </c>
      <c r="D16" s="9" t="n">
        <v>1243</v>
      </c>
      <c r="E16" s="9" t="n">
        <v>813</v>
      </c>
      <c r="F16" s="9" t="n">
        <v>1555</v>
      </c>
      <c r="G16" s="9" t="n">
        <v>1656</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4750</v>
      </c>
      <c r="D18" s="9" t="n">
        <v>0</v>
      </c>
      <c r="E18" s="9" t="n">
        <v>0</v>
      </c>
      <c r="F18" s="9" t="n">
        <v>0</v>
      </c>
      <c r="G18" s="9" t="n">
        <v>0</v>
      </c>
    </row>
    <row r="19">
      <c r="A19" s="8" t="inlineStr">
        <is>
          <t xml:space="preserve">    11c. Fees for services: accounting</t>
        </is>
      </c>
      <c r="B19" s="9" t="n">
        <v>0</v>
      </c>
      <c r="C19" s="9" t="n">
        <v>15181</v>
      </c>
      <c r="D19" s="9" t="n">
        <v>750</v>
      </c>
      <c r="E19" s="9" t="n">
        <v>16780</v>
      </c>
      <c r="F19" s="9" t="n">
        <v>18101</v>
      </c>
      <c r="G19" s="9" t="n">
        <v>19115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16994</v>
      </c>
      <c r="C23" s="9" t="n">
        <v>5000</v>
      </c>
      <c r="D23" s="9" t="n">
        <v>16225</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117</v>
      </c>
      <c r="C25" s="9" t="n">
        <v>0</v>
      </c>
      <c r="D25" s="9" t="n">
        <v>811</v>
      </c>
      <c r="E25" s="9" t="n">
        <v>1664</v>
      </c>
      <c r="F25" s="9" t="n">
        <v>1347</v>
      </c>
      <c r="G25" s="9" t="n">
        <v>1680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1645</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20</v>
      </c>
      <c r="D32" s="9" t="n">
        <v>0</v>
      </c>
      <c r="E32" s="9" t="n">
        <v>2</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6380</v>
      </c>
      <c r="C34" s="9" t="n">
        <v>6547</v>
      </c>
      <c r="D34" s="9" t="n">
        <v>6547</v>
      </c>
      <c r="E34" s="9" t="n">
        <v>6510</v>
      </c>
      <c r="F34" s="9" t="n">
        <v>10309</v>
      </c>
      <c r="G34" s="9" t="n">
        <v>14959</v>
      </c>
    </row>
    <row r="35">
      <c r="A35" s="8" t="inlineStr">
        <is>
          <t xml:space="preserve">    23. Insurance</t>
        </is>
      </c>
      <c r="B35" s="9" t="n">
        <v>3804</v>
      </c>
      <c r="C35" s="9" t="n">
        <v>5039</v>
      </c>
      <c r="D35" s="9" t="n">
        <v>4058</v>
      </c>
      <c r="E35" s="9" t="n">
        <v>4645</v>
      </c>
      <c r="F35" s="9" t="n">
        <v>5344</v>
      </c>
      <c r="G35" s="9" t="n">
        <v>6316</v>
      </c>
    </row>
    <row r="36">
      <c r="A36" s="8" t="inlineStr">
        <is>
          <t xml:space="preserve">    24. Utilities</t>
        </is>
      </c>
      <c r="B36" s="9" t="n">
        <v>9331</v>
      </c>
      <c r="C36" s="9" t="n">
        <v>9646</v>
      </c>
      <c r="D36" s="9" t="n">
        <v>8971</v>
      </c>
      <c r="E36" s="9" t="n">
        <v>6889</v>
      </c>
      <c r="F36" s="9" t="n">
        <v>12376</v>
      </c>
      <c r="G36" s="9" t="n">
        <v>10415</v>
      </c>
    </row>
    <row r="37">
      <c r="A37" s="8" t="inlineStr">
        <is>
          <t xml:space="preserve">    24. DUES AND FEES</t>
        </is>
      </c>
      <c r="B37" s="9" t="n">
        <v>4255</v>
      </c>
      <c r="C37" s="14" t="inlineStr">
        <is>
          <t>not reported</t>
        </is>
      </c>
      <c r="D37" s="14" t="inlineStr">
        <is>
          <t>not reported</t>
        </is>
      </c>
      <c r="E37" s="9" t="n">
        <v>3301</v>
      </c>
      <c r="F37" s="14" t="inlineStr">
        <is>
          <t>not reported</t>
        </is>
      </c>
      <c r="G37" s="14" t="inlineStr">
        <is>
          <t>not reported</t>
        </is>
      </c>
    </row>
    <row r="38">
      <c r="A38" s="8" t="inlineStr">
        <is>
          <t xml:space="preserve">    24. Program &amp; General Supplies</t>
        </is>
      </c>
      <c r="B38" s="9" t="n">
        <v>3319</v>
      </c>
      <c r="C38" s="9" t="n">
        <v>3909</v>
      </c>
      <c r="D38" s="9" t="n">
        <v>4525</v>
      </c>
      <c r="E38" s="14" t="inlineStr">
        <is>
          <t>not reported</t>
        </is>
      </c>
      <c r="F38" s="9" t="n">
        <v>2178</v>
      </c>
      <c r="G38" s="14" t="inlineStr">
        <is>
          <t>not reported</t>
        </is>
      </c>
    </row>
    <row r="39">
      <c r="A39" s="8" t="inlineStr">
        <is>
          <t xml:space="preserve">    24. Water Testing</t>
        </is>
      </c>
      <c r="B39" s="9" t="n">
        <v>3240</v>
      </c>
      <c r="C39" s="9" t="n">
        <v>1926</v>
      </c>
      <c r="D39" s="9" t="n">
        <v>1100</v>
      </c>
      <c r="E39" s="9" t="n">
        <v>2769</v>
      </c>
      <c r="F39" s="9" t="n">
        <v>3621</v>
      </c>
      <c r="G39" s="9" t="n">
        <v>3803</v>
      </c>
    </row>
    <row r="40">
      <c r="A40" s="8" t="inlineStr">
        <is>
          <t xml:space="preserve">    24. property taxes</t>
        </is>
      </c>
      <c r="B40" s="14" t="inlineStr">
        <is>
          <t>not reported</t>
        </is>
      </c>
      <c r="C40" s="9" t="n">
        <v>1100</v>
      </c>
      <c r="D40" s="14" t="inlineStr">
        <is>
          <t>not reported</t>
        </is>
      </c>
      <c r="E40" s="14" t="inlineStr">
        <is>
          <t>not reported</t>
        </is>
      </c>
      <c r="F40" s="14" t="inlineStr">
        <is>
          <t>not reported</t>
        </is>
      </c>
      <c r="G40" s="14" t="inlineStr">
        <is>
          <t>not reported</t>
        </is>
      </c>
    </row>
    <row r="41">
      <c r="A41" s="8" t="inlineStr">
        <is>
          <t xml:space="preserve">    24. Payroll Fees</t>
        </is>
      </c>
      <c r="B41" s="14" t="inlineStr">
        <is>
          <t>not reported</t>
        </is>
      </c>
      <c r="C41" s="14" t="inlineStr">
        <is>
          <t>not reported</t>
        </is>
      </c>
      <c r="D41" s="9" t="n">
        <v>1292</v>
      </c>
      <c r="E41" s="14" t="inlineStr">
        <is>
          <t>not reported</t>
        </is>
      </c>
      <c r="F41" s="14" t="inlineStr">
        <is>
          <t>not reported</t>
        </is>
      </c>
      <c r="G41" s="14" t="inlineStr">
        <is>
          <t>not reported</t>
        </is>
      </c>
    </row>
    <row r="42">
      <c r="A42" s="8" t="inlineStr">
        <is>
          <t xml:space="preserve">    24. maintenance and repair</t>
        </is>
      </c>
      <c r="B42" s="14" t="inlineStr">
        <is>
          <t>not reported</t>
        </is>
      </c>
      <c r="C42" s="14" t="inlineStr">
        <is>
          <t>not reported</t>
        </is>
      </c>
      <c r="D42" s="14" t="inlineStr">
        <is>
          <t>not reported</t>
        </is>
      </c>
      <c r="E42" s="9" t="n">
        <v>10831</v>
      </c>
      <c r="F42" s="14" t="inlineStr">
        <is>
          <t>not reported</t>
        </is>
      </c>
      <c r="G42" s="9" t="n">
        <v>5187</v>
      </c>
    </row>
    <row r="43">
      <c r="A43" s="8" t="inlineStr">
        <is>
          <t xml:space="preserve">    24. equipment repair &amp; maintenance</t>
        </is>
      </c>
      <c r="B43" s="14" t="inlineStr">
        <is>
          <t>not reported</t>
        </is>
      </c>
      <c r="C43" s="14" t="inlineStr">
        <is>
          <t>not reported</t>
        </is>
      </c>
      <c r="D43" s="14" t="inlineStr">
        <is>
          <t>not reported</t>
        </is>
      </c>
      <c r="E43" s="14" t="inlineStr">
        <is>
          <t>not reported</t>
        </is>
      </c>
      <c r="F43" s="9" t="n">
        <v>2974</v>
      </c>
      <c r="G43" s="9" t="n">
        <v>12989</v>
      </c>
    </row>
    <row r="44">
      <c r="A44" s="8" t="inlineStr">
        <is>
          <t xml:space="preserve">    24e. All other expenses</t>
        </is>
      </c>
      <c r="B44" s="9" t="n">
        <v>6873</v>
      </c>
      <c r="C44" s="9" t="n">
        <v>3281</v>
      </c>
      <c r="D44" s="9" t="n">
        <v>3850</v>
      </c>
      <c r="E44" s="9" t="n">
        <v>5713</v>
      </c>
      <c r="F44" s="9" t="n">
        <v>6728</v>
      </c>
      <c r="G44" s="9" t="n">
        <v>3889</v>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 (col A = B + C + D)</t>
        </is>
      </c>
      <c r="B47" s="7" t="n"/>
      <c r="C47" s="7" t="n"/>
      <c r="D47" s="7" t="n"/>
      <c r="E47" s="7" t="n"/>
      <c r="F47" s="7" t="n"/>
      <c r="G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15958</v>
      </c>
      <c r="C55" s="9" t="n">
        <v>15958</v>
      </c>
      <c r="D55" s="9" t="n"/>
      <c r="E55" s="9" t="n"/>
    </row>
    <row r="56">
      <c r="A56" s="18" t="inlineStr">
        <is>
          <t>8. Pension plan accruals and contributions</t>
        </is>
      </c>
      <c r="B56" s="9" t="n">
        <v>0</v>
      </c>
      <c r="C56" s="9" t="n"/>
      <c r="D56" s="9" t="n"/>
      <c r="E56" s="9" t="n"/>
    </row>
    <row r="57">
      <c r="A57" s="18" t="inlineStr">
        <is>
          <t>9. Other employee benefits</t>
        </is>
      </c>
      <c r="B57" s="9" t="n">
        <v>2815</v>
      </c>
      <c r="C57" s="9" t="n">
        <v>2815</v>
      </c>
      <c r="D57" s="9" t="n"/>
      <c r="E57" s="9" t="n"/>
    </row>
    <row r="58">
      <c r="A58" s="18" t="inlineStr">
        <is>
          <t>10. Payroll taxes</t>
        </is>
      </c>
      <c r="B58" s="9" t="n">
        <v>1656</v>
      </c>
      <c r="C58" s="9" t="n">
        <v>1656</v>
      </c>
      <c r="D58" s="9" t="n"/>
      <c r="E58" s="9" t="n"/>
    </row>
    <row r="59">
      <c r="A59" s="18" t="inlineStr">
        <is>
          <t>11a. Fees for services: management</t>
        </is>
      </c>
      <c r="B59" s="9" t="n">
        <v>0</v>
      </c>
      <c r="C59" s="9" t="n"/>
      <c r="D59" s="9" t="n"/>
      <c r="E59" s="9" t="n"/>
    </row>
    <row r="60">
      <c r="A60" s="18" t="inlineStr">
        <is>
          <t>11b. Fees for services: legal</t>
        </is>
      </c>
      <c r="B60" s="9" t="n">
        <v>0</v>
      </c>
      <c r="C60" s="9" t="n"/>
      <c r="D60" s="9" t="n"/>
      <c r="E60" s="9" t="n"/>
    </row>
    <row r="61">
      <c r="A61" s="18" t="inlineStr">
        <is>
          <t>11c. Fees for services: accounting</t>
        </is>
      </c>
      <c r="B61" s="9" t="n">
        <v>19115</v>
      </c>
      <c r="C61" s="9" t="n">
        <v>17204</v>
      </c>
      <c r="D61" s="9" t="n">
        <v>1911</v>
      </c>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1680</v>
      </c>
      <c r="C67" s="9" t="n">
        <v>1512</v>
      </c>
      <c r="D67" s="9" t="n">
        <v>168</v>
      </c>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1645</v>
      </c>
      <c r="C70" s="9" t="n">
        <v>1645</v>
      </c>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0</v>
      </c>
      <c r="C74" s="9" t="n"/>
      <c r="D74" s="9" t="n"/>
      <c r="E74" s="9" t="n"/>
    </row>
    <row r="75">
      <c r="A75" s="18" t="inlineStr">
        <is>
          <t>21. Payments to affiliates</t>
        </is>
      </c>
      <c r="B75" s="9" t="n">
        <v>0</v>
      </c>
      <c r="C75" s="9" t="n"/>
      <c r="D75" s="9" t="n"/>
      <c r="E75" s="9" t="n"/>
    </row>
    <row r="76">
      <c r="A76" s="18" t="inlineStr">
        <is>
          <t>22. Depreciation, depletion, and amortization</t>
        </is>
      </c>
      <c r="B76" s="9" t="n">
        <v>14959</v>
      </c>
      <c r="C76" s="9" t="n">
        <v>13463</v>
      </c>
      <c r="D76" s="9" t="n">
        <v>1496</v>
      </c>
      <c r="E76" s="9" t="n"/>
    </row>
    <row r="77">
      <c r="A77" s="18" t="inlineStr">
        <is>
          <t>23. Insurance</t>
        </is>
      </c>
      <c r="B77" s="9" t="n">
        <v>6316</v>
      </c>
      <c r="C77" s="9" t="n">
        <v>5684</v>
      </c>
      <c r="D77" s="9" t="n">
        <v>632</v>
      </c>
      <c r="E77" s="9" t="n"/>
    </row>
    <row r="78">
      <c r="A78" s="10" t="inlineStr">
        <is>
          <t>25. Total (filed col A / B / C / D)</t>
        </is>
      </c>
      <c r="B78" s="11" t="n">
        <v>100427</v>
      </c>
      <c r="C78" s="11" t="n">
        <v>96136</v>
      </c>
      <c r="D78" s="11" t="n">
        <v>4291</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Balance Sheet - Form 990 Part X (end of year, USD)</t>
        </is>
      </c>
    </row>
    <row r="3">
      <c r="A3" s="2" t="inlineStr">
        <is>
          <t>Entity ID: cawc_0092   |   Fiscal year ends September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282619</v>
      </c>
      <c r="C7" s="9" t="n">
        <v>323721</v>
      </c>
      <c r="D7" s="9" t="n">
        <v>378073</v>
      </c>
      <c r="E7" s="9" t="n">
        <v>397101</v>
      </c>
      <c r="F7" s="9" t="n">
        <v>325421</v>
      </c>
      <c r="G7" s="9" t="n">
        <v>369355</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12604</v>
      </c>
      <c r="C10" s="9" t="n">
        <v>1728</v>
      </c>
      <c r="D10" s="9" t="n">
        <v>-2251</v>
      </c>
      <c r="E10" s="9" t="n">
        <v>1455</v>
      </c>
      <c r="F10" s="9" t="n">
        <v>-1693</v>
      </c>
      <c r="G10" s="9" t="n">
        <v>-4238</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614</v>
      </c>
      <c r="E15" s="9" t="n">
        <v>614</v>
      </c>
      <c r="F15" s="9" t="n">
        <v>614</v>
      </c>
      <c r="G15" s="9" t="n">
        <v>3110</v>
      </c>
    </row>
    <row r="16">
      <c r="A16" s="8" t="inlineStr">
        <is>
          <t xml:space="preserve">    10c. Land, buildings, and equipment, net</t>
        </is>
      </c>
      <c r="B16" s="9" t="n">
        <v>331299</v>
      </c>
      <c r="C16" s="9" t="n">
        <v>336075</v>
      </c>
      <c r="D16" s="9" t="n">
        <v>329529</v>
      </c>
      <c r="E16" s="9" t="n">
        <v>359321</v>
      </c>
      <c r="F16" s="9" t="n">
        <v>488422</v>
      </c>
      <c r="G16" s="9" t="n">
        <v>490010</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1810</v>
      </c>
      <c r="C21" s="9" t="n">
        <v>4172</v>
      </c>
      <c r="D21" s="9" t="n">
        <v>3800</v>
      </c>
      <c r="E21" s="9" t="n">
        <v>1</v>
      </c>
      <c r="F21" s="9" t="n">
        <v>0</v>
      </c>
      <c r="G21" s="9" t="n">
        <v>2</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750</v>
      </c>
      <c r="C25" s="9" t="n">
        <v>265</v>
      </c>
      <c r="D25" s="9" t="n">
        <v>629</v>
      </c>
      <c r="E25" s="14" t="inlineStr">
        <is>
          <t>not reported</t>
        </is>
      </c>
      <c r="F25" s="14" t="inlineStr">
        <is>
          <t>not reported</t>
        </is>
      </c>
      <c r="G25" s="9" t="n">
        <v>204</v>
      </c>
    </row>
    <row r="26">
      <c r="A26" s="8" t="inlineStr">
        <is>
          <t xml:space="preserve">    25. Other liabilities</t>
        </is>
      </c>
      <c r="B26" s="14" t="inlineStr">
        <is>
          <t>not reported</t>
        </is>
      </c>
      <c r="C26" s="14" t="inlineStr">
        <is>
          <t>not reported</t>
        </is>
      </c>
      <c r="D26" s="9" t="n">
        <v>1</v>
      </c>
      <c r="E26" s="14" t="inlineStr">
        <is>
          <t>not reported</t>
        </is>
      </c>
      <c r="F26" s="14" t="inlineStr">
        <is>
          <t>not reported</t>
        </is>
      </c>
      <c r="G26" s="14" t="inlineStr">
        <is>
          <t>not reported</t>
        </is>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27. Net assets without donor restrictions</t>
        </is>
      </c>
      <c r="B30" s="9" t="n">
        <v>627582</v>
      </c>
      <c r="C30" s="9" t="n">
        <v>665431</v>
      </c>
      <c r="D30" s="9" t="n">
        <v>709135</v>
      </c>
      <c r="E30" s="9" t="n">
        <v>758492</v>
      </c>
      <c r="F30" s="9" t="n">
        <v>812764</v>
      </c>
      <c r="G30" s="9" t="n">
        <v>858035</v>
      </c>
    </row>
    <row r="31">
      <c r="A31" s="10" t="inlineStr">
        <is>
          <t>32. Total net assets / fund balances</t>
        </is>
      </c>
      <c r="B31" s="11">
        <f>SUM(B30:B30)</f>
        <v/>
      </c>
      <c r="C31" s="11">
        <f>SUM(C30:C30)</f>
        <v/>
      </c>
      <c r="D31" s="11">
        <f>SUM(D30:D30)</f>
        <v/>
      </c>
      <c r="E31" s="11">
        <f>SUM(E30:E30)</f>
        <v/>
      </c>
      <c r="F31" s="11">
        <f>SUM(F30:F30)</f>
        <v/>
      </c>
      <c r="G31" s="11">
        <f>SUM(G30:G30)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Reconciliation of Net Assets - Form 990 Part XI (USD)</t>
        </is>
      </c>
    </row>
    <row r="3">
      <c r="A3" s="2" t="inlineStr">
        <is>
          <t>Entity ID: cawc_0092   |   Fiscal year ends September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582867</v>
      </c>
      <c r="C7" s="9" t="n">
        <v>627582</v>
      </c>
      <c r="D7" s="9" t="n">
        <v>665431</v>
      </c>
      <c r="E7" s="9" t="n">
        <v>709135</v>
      </c>
      <c r="F7" s="9" t="n">
        <v>758492</v>
      </c>
      <c r="G7" s="9" t="n">
        <v>812764</v>
      </c>
    </row>
    <row r="8">
      <c r="A8" s="8" t="inlineStr">
        <is>
          <t xml:space="preserve">    3. Revenue less expenses</t>
        </is>
      </c>
      <c r="B8" s="9" t="n">
        <v>44715</v>
      </c>
      <c r="C8" s="9" t="n">
        <v>37909</v>
      </c>
      <c r="D8" s="9" t="n">
        <v>43704</v>
      </c>
      <c r="E8" s="9" t="n">
        <v>49357</v>
      </c>
      <c r="F8" s="9" t="n">
        <v>54272</v>
      </c>
      <c r="G8" s="9" t="n">
        <v>45271</v>
      </c>
    </row>
    <row r="9">
      <c r="A9" s="8" t="inlineStr">
        <is>
          <t xml:space="preserve">    8. Prior period adjustments</t>
        </is>
      </c>
      <c r="B9" s="14" t="inlineStr">
        <is>
          <t>not reported</t>
        </is>
      </c>
      <c r="C9" s="9" t="n">
        <v>-60</v>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Cash Flow Proxies - derived (USD)</t>
        </is>
      </c>
    </row>
    <row r="3">
      <c r="A3" s="2" t="inlineStr">
        <is>
          <t>Entity ID: cawc_0092   |   Fiscal year ends September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44715</v>
      </c>
      <c r="C9" s="9" t="n">
        <v>37909</v>
      </c>
      <c r="D9" s="9" t="n">
        <v>43704</v>
      </c>
      <c r="E9" s="9" t="n">
        <v>49357</v>
      </c>
      <c r="F9" s="9" t="n">
        <v>54272</v>
      </c>
      <c r="G9" s="9" t="n">
        <v>45271</v>
      </c>
    </row>
    <row r="10">
      <c r="A10" s="8" t="inlineStr">
        <is>
          <t xml:space="preserve">    + Depreciation (reported)</t>
        </is>
      </c>
      <c r="B10" s="9" t="n">
        <v>6380</v>
      </c>
      <c r="C10" s="9" t="n">
        <v>6547</v>
      </c>
      <c r="D10" s="9" t="n">
        <v>6547</v>
      </c>
      <c r="E10" s="9" t="n">
        <v>6510</v>
      </c>
      <c r="F10" s="9" t="n">
        <v>10309</v>
      </c>
      <c r="G10" s="9" t="n">
        <v>14959</v>
      </c>
    </row>
    <row r="11">
      <c r="A11" s="8" t="inlineStr">
        <is>
          <t xml:space="preserve">    − Δ Accounts receivable</t>
        </is>
      </c>
      <c r="B11" s="9" t="n"/>
      <c r="C11" s="9" t="n">
        <v>10876</v>
      </c>
      <c r="D11" s="9" t="n">
        <v>3979</v>
      </c>
      <c r="E11" s="9" t="n">
        <v>-3706</v>
      </c>
      <c r="F11" s="9" t="n">
        <v>3148</v>
      </c>
      <c r="G11" s="9" t="n">
        <v>2545</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-614</v>
      </c>
      <c r="E13" s="9" t="n">
        <v>0</v>
      </c>
      <c r="F13" s="9" t="n">
        <v>0</v>
      </c>
      <c r="G13" s="9" t="n">
        <v>-2496</v>
      </c>
    </row>
    <row r="14">
      <c r="A14" s="8" t="inlineStr">
        <is>
          <t xml:space="preserve">    + Δ Accounts payable</t>
        </is>
      </c>
      <c r="B14" s="9" t="n"/>
      <c r="C14" s="9" t="n">
        <v>-485</v>
      </c>
      <c r="D14" s="9" t="n">
        <v>364</v>
      </c>
      <c r="E14" s="9" t="n"/>
      <c r="F14" s="9" t="n"/>
      <c r="G14" s="9" t="n"/>
    </row>
    <row r="15">
      <c r="A15" s="10" t="inlineStr">
        <is>
          <t xml:space="preserve">    Operating cash flow proxy</t>
        </is>
      </c>
      <c r="B15" s="11" t="n"/>
      <c r="C15" s="11" t="n">
        <v>54847</v>
      </c>
      <c r="D15" s="11" t="n">
        <v>53980</v>
      </c>
      <c r="E15" s="11" t="n">
        <v>52161</v>
      </c>
      <c r="F15" s="11" t="n">
        <v>67729</v>
      </c>
      <c r="G15" s="11" t="n">
        <v>60279</v>
      </c>
    </row>
    <row r="17">
      <c r="A17" s="6" t="inlineStr">
        <is>
          <t>Investing</t>
        </is>
      </c>
      <c r="B17" s="7" t="n"/>
      <c r="C17" s="7" t="n"/>
      <c r="D17" s="7" t="n"/>
      <c r="E17" s="7" t="n"/>
      <c r="F17" s="7" t="n"/>
      <c r="G17" s="7" t="n"/>
    </row>
    <row r="18">
      <c r="A18" s="8" t="inlineStr">
        <is>
          <t xml:space="preserve">    − Δ PP&amp;E gross (capex proxy)</t>
        </is>
      </c>
      <c r="B18" s="9" t="n"/>
      <c r="C18" s="9" t="n">
        <v>-11323</v>
      </c>
      <c r="D18" s="9" t="n">
        <v>-1</v>
      </c>
      <c r="E18" s="9" t="n">
        <v>-36302</v>
      </c>
      <c r="F18" s="9" t="n">
        <v>-139410</v>
      </c>
      <c r="G18" s="9" t="n">
        <v>-16547</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41102</v>
      </c>
      <c r="D24" s="11" t="n">
        <v>54352</v>
      </c>
      <c r="E24" s="11" t="n">
        <v>19028</v>
      </c>
      <c r="F24" s="11" t="n">
        <v>-71680</v>
      </c>
      <c r="G24" s="11" t="n">
        <v>43934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Belmont Mutual Water Company</t>
        </is>
      </c>
    </row>
    <row r="2">
      <c r="A2" s="2" t="inlineStr">
        <is>
          <t>Financial Ratios</t>
        </is>
      </c>
    </row>
    <row r="3">
      <c r="A3" s="2" t="inlineStr">
        <is>
          <t>Entity ID: cawc_0092   |   Fiscal year ends September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0.401773680521861</v>
      </c>
      <c r="C7" s="12" t="n">
        <v>0.3481307338396408</v>
      </c>
      <c r="D7" s="12" t="n">
        <v>0.4070979460667878</v>
      </c>
      <c r="E7" s="12" t="n">
        <v>0.4150227872794847</v>
      </c>
      <c r="F7" s="12" t="n">
        <v>0.3952026913862532</v>
      </c>
      <c r="G7" s="12" t="n">
        <v>0.3107180606459938</v>
      </c>
    </row>
    <row r="8">
      <c r="A8" s="8" t="inlineStr">
        <is>
          <t xml:space="preserve">    Expense ratio (expenses / revenue)</t>
        </is>
      </c>
      <c r="B8" s="12" t="n">
        <v>0.598226319478139</v>
      </c>
      <c r="C8" s="12" t="n">
        <v>0.6518692661603592</v>
      </c>
      <c r="D8" s="12" t="n">
        <v>0.5929020539332123</v>
      </c>
      <c r="E8" s="12" t="n">
        <v>0.5849772127205153</v>
      </c>
      <c r="F8" s="12" t="n">
        <v>0.6047973086137467</v>
      </c>
      <c r="G8" s="12" t="n">
        <v>0.6892819393540063</v>
      </c>
    </row>
    <row r="9">
      <c r="A9" s="8" t="inlineStr">
        <is>
          <t xml:space="preserve">    Return on assets (NI / assets)</t>
        </is>
      </c>
      <c r="B9" s="12" t="n">
        <v>0.07116460724585091</v>
      </c>
      <c r="C9" s="12" t="n">
        <v>0.05694641397875307</v>
      </c>
      <c r="D9" s="12" t="n">
        <v>0.06157531013786254</v>
      </c>
      <c r="E9" s="12" t="n">
        <v>0.06507253866883236</v>
      </c>
      <c r="F9" s="12" t="n">
        <v>0.06677461108021517</v>
      </c>
      <c r="G9" s="12" t="n">
        <v>0.05274870985820966</v>
      </c>
    </row>
    <row r="10">
      <c r="A10" s="8" t="inlineStr">
        <is>
          <t xml:space="preserve">    Revenue growth (YoY)</t>
        </is>
      </c>
      <c r="B10" s="12" t="n">
        <v>0.02622406639004149</v>
      </c>
      <c r="C10" s="12" t="n">
        <v>-0.02157349003540173</v>
      </c>
      <c r="D10" s="12" t="n">
        <v>-0.01412395654449781</v>
      </c>
      <c r="E10" s="12" t="n">
        <v>0.1077825904708677</v>
      </c>
      <c r="F10" s="12" t="n">
        <v>0.1547264685602812</v>
      </c>
      <c r="G10" s="12" t="n">
        <v>0.06095669460484828</v>
      </c>
    </row>
    <row r="12">
      <c r="A12" s="6" t="inlineStr">
        <is>
          <t>Leverage &amp; solvency</t>
        </is>
      </c>
      <c r="B12" s="7" t="n"/>
      <c r="C12" s="7" t="n"/>
      <c r="D12" s="7" t="n"/>
      <c r="E12" s="7" t="n"/>
      <c r="F12" s="7" t="n"/>
      <c r="G12" s="7" t="n"/>
    </row>
    <row r="13">
      <c r="A13" s="8" t="inlineStr">
        <is>
          <t xml:space="preserve">    Debt-to-assets (liab. / assets)</t>
        </is>
      </c>
      <c r="B13" s="12" t="n">
        <v>0.00119363648517026</v>
      </c>
      <c r="C13" s="12" t="n">
        <v>0.0003980796039032832</v>
      </c>
      <c r="D13" s="12" t="n">
        <v>0.0008876177326298141</v>
      </c>
      <c r="E13" s="12" t="n">
        <v>0</v>
      </c>
      <c r="F13" s="12" t="n">
        <v>0</v>
      </c>
      <c r="G13" s="12" t="n">
        <v>0.000237696026398241</v>
      </c>
    </row>
    <row r="14">
      <c r="A14" s="8" t="inlineStr">
        <is>
          <t xml:space="preserve">    Equity ratio (net assets / assets)</t>
        </is>
      </c>
      <c r="B14" s="12" t="n">
        <v>0.9988063635148298</v>
      </c>
      <c r="C14" s="12" t="n">
        <v>0.9996019203960967</v>
      </c>
      <c r="D14" s="12" t="n">
        <v>0.9991123822673702</v>
      </c>
      <c r="E14" s="12" t="n">
        <v>1</v>
      </c>
      <c r="F14" s="12" t="n">
        <v>1</v>
      </c>
      <c r="G14" s="12" t="n">
        <v>0.9997623039736018</v>
      </c>
    </row>
    <row r="16">
      <c r="A16" s="6" t="inlineStr">
        <is>
          <t>Liquidity &amp; asset profile (derived here)</t>
        </is>
      </c>
      <c r="B16" s="7" t="n"/>
      <c r="C16" s="7" t="n"/>
      <c r="D16" s="7" t="n"/>
      <c r="E16" s="7" t="n"/>
      <c r="F16" s="7" t="n"/>
      <c r="G16" s="7" t="n"/>
    </row>
    <row r="17">
      <c r="A17" s="8" t="inlineStr">
        <is>
          <t xml:space="preserve">    Current ratio (current assets / AP)</t>
        </is>
      </c>
      <c r="B17" s="19" t="n">
        <v>393.6306666666667</v>
      </c>
      <c r="C17" s="19" t="n">
        <v>1228.109433962264</v>
      </c>
      <c r="D17" s="19" t="n">
        <v>598.4674085850556</v>
      </c>
      <c r="E17" s="19" t="n"/>
      <c r="F17" s="19" t="n"/>
      <c r="G17" s="19" t="n">
        <v>1805.03431372549</v>
      </c>
    </row>
    <row r="18">
      <c r="A18" s="8" t="inlineStr">
        <is>
          <t xml:space="preserve">    Cash ratio ((cash+temp inv.) / total liab.)</t>
        </is>
      </c>
      <c r="B18" s="19" t="n">
        <v>376.8253333333333</v>
      </c>
      <c r="C18" s="19" t="n">
        <v>1221.588679245283</v>
      </c>
      <c r="D18" s="19" t="n">
        <v>600.115873015873</v>
      </c>
      <c r="E18" s="19" t="n"/>
      <c r="F18" s="19" t="n"/>
      <c r="G18" s="19" t="n">
        <v>1810.563725490196</v>
      </c>
    </row>
    <row r="19">
      <c r="A19" s="8" t="inlineStr">
        <is>
          <t xml:space="preserve">    Asset age proxy (accum. deprec. / gross PP&amp;E)</t>
        </is>
      </c>
      <c r="B19" s="12" t="n">
        <v>0.1990101834569597</v>
      </c>
      <c r="C19" s="12" t="n">
        <v>0.2091143351336087</v>
      </c>
      <c r="D19" s="12" t="n">
        <v>0.2245208690249826</v>
      </c>
      <c r="E19" s="12" t="n">
        <v>0.2209640142399369</v>
      </c>
      <c r="F19" s="12" t="n">
        <v>0.1868415444653108</v>
      </c>
      <c r="G19" s="12" t="n">
        <v>0.2060693945997618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Belmont Mutual Water Company</t>
        </is>
      </c>
    </row>
    <row r="2">
      <c r="A2" s="2" t="inlineStr">
        <is>
          <t>Unit economics - per-customer revenue by category (USD)</t>
        </is>
      </c>
    </row>
    <row r="3">
      <c r="A3" s="2" t="inlineStr">
        <is>
          <t>Entity ID: cawc_0092   |   Fiscal year ends September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Belmont Mutual Water Company</t>
        </is>
      </c>
    </row>
    <row r="2">
      <c r="A2" s="2" t="inlineStr">
        <is>
          <t>Rate structure and representative bill - eAR Section 8a</t>
        </is>
      </c>
    </row>
    <row r="3">
      <c r="A3" s="2" t="inlineStr">
        <is>
          <t>Entity ID: cawc_0092   |   Fiscal year ends September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Belmont Mutual Water Company</t>
        </is>
      </c>
    </row>
    <row r="2">
      <c r="A2" s="2" t="inlineStr">
        <is>
          <t>Operational metrics - plant per acre, density, terrain</t>
        </is>
      </c>
    </row>
    <row r="3">
      <c r="A3" s="2" t="inlineStr">
        <is>
          <t>Entity ID: cawc_0092   |   Fiscal year ends September 30.</t>
        </is>
      </c>
    </row>
    <row r="5">
      <c r="A5" s="6" t="inlineStr">
        <is>
          <t>Plant assets per acre</t>
        </is>
      </c>
      <c r="B5" s="7" t="n"/>
      <c r="C5" s="7" t="n"/>
    </row>
    <row r="6">
      <c r="A6" s="20" t="inlineStr">
        <is>
          <t>Service-area acres</t>
        </is>
      </c>
      <c r="B6" s="25" t="n">
        <v>32.1</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13237.8505</v>
      </c>
      <c r="C8" s="9" t="n">
        <v>10469.6262</v>
      </c>
    </row>
    <row r="9">
      <c r="A9" s="18" t="inlineStr">
        <is>
          <t>FY2022</t>
        </is>
      </c>
      <c r="B9" s="9" t="n">
        <v>13237.8816</v>
      </c>
      <c r="C9" s="9" t="n">
        <v>10265.7009</v>
      </c>
    </row>
    <row r="10">
      <c r="A10" s="18" t="inlineStr">
        <is>
          <t>FY2023</t>
        </is>
      </c>
      <c r="B10" s="9" t="n">
        <v>14368.785</v>
      </c>
      <c r="C10" s="9" t="n">
        <v>11193.8006</v>
      </c>
    </row>
    <row r="11">
      <c r="A11" s="18" t="inlineStr">
        <is>
          <t>FY2024</t>
        </is>
      </c>
      <c r="B11" s="9" t="n">
        <v>18711.7757</v>
      </c>
      <c r="C11" s="9" t="n">
        <v>15215.6386</v>
      </c>
    </row>
    <row r="12">
      <c r="A12" s="18" t="inlineStr">
        <is>
          <t>FY2025</t>
        </is>
      </c>
      <c r="B12" s="9" t="n">
        <v>19227.2586</v>
      </c>
      <c r="C12" s="9" t="n">
        <v>15265.109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2.71</v>
      </c>
      <c r="C19" s="21" t="inlineStr">
        <is>
          <t>87 connections / 32.1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Belmont Mutual Water Company</t>
        </is>
      </c>
    </row>
    <row r="2">
      <c r="A2" s="2" t="inlineStr">
        <is>
          <t>Supply and weather indicators (DWR water year)</t>
        </is>
      </c>
    </row>
    <row r="3">
      <c r="A3" s="2" t="inlineStr">
        <is>
          <t>Entity ID: cawc_0092   |   Fiscal year ends September 30.</t>
        </is>
      </c>
    </row>
    <row r="5" ht="96" customHeight="1">
      <c r="A5" s="3" t="inlineStr">
        <is>
          <t>Reporting calendar: Different reporting periods. The DWR water year runs October 1 to September 30; this system's fiscal year ends September 30, so the two period ends fall in the same month.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Belmont Mutual Water Company</t>
        </is>
      </c>
    </row>
    <row r="2">
      <c r="A2" s="2" t="inlineStr">
        <is>
          <t>How this was built - forensic lineage</t>
        </is>
      </c>
    </row>
    <row r="3">
      <c r="A3" s="2" t="inlineStr">
        <is>
          <t>Entity ID: cawc_0092   |   Fiscal year ends September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0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Belmont Mutual Water Company</t>
        </is>
      </c>
    </row>
    <row r="2">
      <c r="A2" s="2" t="inlineStr">
        <is>
          <t>Sources &amp; audit - full provenance and tie-outs (kept off the statements so they read clean)</t>
        </is>
      </c>
    </row>
    <row r="3">
      <c r="A3" s="2" t="inlineStr">
        <is>
          <t>Entity ID: cawc_0092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2020-09-30</t>
        </is>
      </c>
      <c r="C10" s="8" t="inlineStr">
        <is>
          <t>990</t>
        </is>
      </c>
      <c r="D10" s="8" t="inlineStr">
        <is>
          <t>high</t>
        </is>
      </c>
      <c r="E10" s="8" t="inlineStr">
        <is>
          <t>5238d189-7d3b-43ef-b5b2-feaf29936ce2</t>
        </is>
      </c>
      <c r="F10" s="8" t="inlineStr">
        <is>
          <t>202111069349301321</t>
        </is>
      </c>
      <c r="G10" s="8" t="inlineStr">
        <is>
          <t>claude-opus-5</t>
        </is>
      </c>
      <c r="H10" s="8" t="inlineStr">
        <is>
          <t>2026-09-23T06:31:50+00:00</t>
        </is>
      </c>
      <c r="I10" s="8" t="inlineStr">
        <is>
          <t>https://apps.irs.gov/pub/epostcard/990/xml/2021/2021_TEOS_XML_01A.zip#202111069349301321_public.xml</t>
        </is>
      </c>
    </row>
    <row r="11">
      <c r="A11" s="26" t="inlineStr">
        <is>
          <t>FY2021</t>
        </is>
      </c>
      <c r="B11" s="8" t="inlineStr">
        <is>
          <t>2021-09-30</t>
        </is>
      </c>
      <c r="C11" s="8" t="inlineStr">
        <is>
          <t>990</t>
        </is>
      </c>
      <c r="D11" s="8" t="inlineStr">
        <is>
          <t>high</t>
        </is>
      </c>
      <c r="E11" s="8" t="inlineStr">
        <is>
          <t>5abe60f1-d33f-443a-bf22-978c7cff5d81</t>
        </is>
      </c>
      <c r="F11" s="8" t="inlineStr">
        <is>
          <t>202241189349302084</t>
        </is>
      </c>
      <c r="G11" s="8" t="inlineStr">
        <is>
          <t>claude-opus-5</t>
        </is>
      </c>
      <c r="H11" s="8" t="inlineStr">
        <is>
          <t>2026-09-23T06:31:50+00:00</t>
        </is>
      </c>
      <c r="I11" s="8" t="inlineStr">
        <is>
          <t>https://apps.irs.gov/pub/epostcard/990/xml/2022/2022_TEOS_XML_01A.zip#202241189349302084_public.xml</t>
        </is>
      </c>
    </row>
    <row r="12">
      <c r="A12" s="26" t="inlineStr">
        <is>
          <t>FY2022</t>
        </is>
      </c>
      <c r="B12" s="8" t="inlineStr">
        <is>
          <t>2022-09-30</t>
        </is>
      </c>
      <c r="C12" s="8" t="inlineStr">
        <is>
          <t>990</t>
        </is>
      </c>
      <c r="D12" s="8" t="inlineStr">
        <is>
          <t>high</t>
        </is>
      </c>
      <c r="E12" s="8" t="inlineStr">
        <is>
          <t>edc3254b-b84c-4f09-bebc-935fcae3a8ac</t>
        </is>
      </c>
      <c r="F12" s="8" t="inlineStr">
        <is>
          <t>202340469349301324</t>
        </is>
      </c>
      <c r="G12" s="8" t="inlineStr">
        <is>
          <t>claude-opus-5</t>
        </is>
      </c>
      <c r="H12" s="8" t="inlineStr">
        <is>
          <t>2026-09-23T06:31:50+00:00</t>
        </is>
      </c>
      <c r="I12" s="8" t="inlineStr">
        <is>
          <t>https://apps.irs.gov/pub/epostcard/990/xml/2023/2023_TEOS_XML_02A.zip#202340469349301324_public.xml</t>
        </is>
      </c>
    </row>
    <row r="13">
      <c r="A13" s="26" t="inlineStr">
        <is>
          <t>FY2023</t>
        </is>
      </c>
      <c r="B13" s="8" t="inlineStr">
        <is>
          <t>2023-09-30</t>
        </is>
      </c>
      <c r="C13" s="8" t="inlineStr">
        <is>
          <t>990</t>
        </is>
      </c>
      <c r="D13" s="8" t="inlineStr">
        <is>
          <t>high</t>
        </is>
      </c>
      <c r="E13" s="8" t="inlineStr">
        <is>
          <t>e430fc00-9077-4865-a970-09f826590a49</t>
        </is>
      </c>
      <c r="F13" s="8" t="inlineStr">
        <is>
          <t>202400309349300815</t>
        </is>
      </c>
      <c r="G13" s="8" t="inlineStr">
        <is>
          <t>claude-opus-5</t>
        </is>
      </c>
      <c r="H13" s="8" t="inlineStr">
        <is>
          <t>2026-09-23T06:31:50+00:00</t>
        </is>
      </c>
      <c r="I13" s="8" t="inlineStr">
        <is>
          <t>https://apps.irs.gov/pub/epostcard/990/xml/2024/2024_TEOS_XML_02A.zip#202400309349300815_public.xml</t>
        </is>
      </c>
    </row>
    <row r="14">
      <c r="A14" s="26" t="inlineStr">
        <is>
          <t>FY2024</t>
        </is>
      </c>
      <c r="B14" s="8" t="inlineStr">
        <is>
          <t>2024-09-30</t>
        </is>
      </c>
      <c r="C14" s="8" t="inlineStr">
        <is>
          <t>990</t>
        </is>
      </c>
      <c r="D14" s="8" t="inlineStr">
        <is>
          <t>high</t>
        </is>
      </c>
      <c r="E14" s="8" t="inlineStr">
        <is>
          <t>502a578d-882c-4557-9b0a-08fd311a4e50</t>
        </is>
      </c>
      <c r="F14" s="8" t="inlineStr">
        <is>
          <t>202520449349301457</t>
        </is>
      </c>
      <c r="G14" s="8" t="inlineStr">
        <is>
          <t>claude-opus-5</t>
        </is>
      </c>
      <c r="H14" s="8" t="inlineStr">
        <is>
          <t>2026-09-23T06:31:50+00:00</t>
        </is>
      </c>
      <c r="I14" s="8" t="inlineStr">
        <is>
          <t>https://apps.irs.gov/pub/epostcard/990/xml/2025/2025_TEOS_XML_02A.zip#202520449349301457_public.xml</t>
        </is>
      </c>
    </row>
    <row r="15">
      <c r="A15" s="26" t="inlineStr">
        <is>
          <t>FY2025</t>
        </is>
      </c>
      <c r="B15" s="8" t="inlineStr">
        <is>
          <t>2025-09-30</t>
        </is>
      </c>
      <c r="C15" s="8" t="inlineStr">
        <is>
          <t>990</t>
        </is>
      </c>
      <c r="D15" s="8" t="inlineStr">
        <is>
          <t>high</t>
        </is>
      </c>
      <c r="E15" s="8" t="inlineStr">
        <is>
          <t>fe0c4165-cb4b-4699-80e9-e08e4199a679</t>
        </is>
      </c>
      <c r="F15" s="8" t="inlineStr">
        <is>
          <t>202641279349303824</t>
        </is>
      </c>
      <c r="G15" s="8" t="inlineStr">
        <is>
          <t>claude-opus-5</t>
        </is>
      </c>
      <c r="H15" s="8" t="inlineStr">
        <is>
          <t>2026-09-23T06:31:50+00:00</t>
        </is>
      </c>
      <c r="I15" s="8" t="inlineStr">
        <is>
          <t>https://apps.irs.gov/pub/epostcard/990/xml/2026/2026_TEOS_XML_05B.zip#202641279349303824_public.xml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109506</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107337</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105999</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114963</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132512</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137311</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1788</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1556</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1356</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3963</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4815</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8387</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10653</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12089</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13219</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8697</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17145</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15958</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566</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1387</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1060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955</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1377</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2815</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1047</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1109</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1243</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813</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1555</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1656</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4750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15181</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750</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16780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18101</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19115</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16994</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5000</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16225</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117</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0</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811</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1664</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1347</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1680</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1645</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0</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20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2</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6380</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6547</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6547</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6510</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10309</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14959</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3804</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5039</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4058</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4645</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5344</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6316</v>
      </c>
    </row>
    <row r="229">
      <c r="A229" s="8" t="inlineStr">
        <is>
          <t>Operating expenses (detail)</t>
        </is>
      </c>
      <c r="B229" s="8" t="inlineStr">
        <is>
          <t>B44</t>
        </is>
      </c>
      <c r="C229" s="8" t="inlineStr">
        <is>
          <t>24e. All other expenses</t>
        </is>
      </c>
      <c r="D229" s="8" t="inlineStr">
        <is>
          <t>24e</t>
        </is>
      </c>
      <c r="E229" s="8" t="inlineStr">
        <is>
          <t>part_ix_expenses.all_other_expenses</t>
        </is>
      </c>
      <c r="F229" s="8" t="inlineStr">
        <is>
          <t>high</t>
        </is>
      </c>
      <c r="G229" s="9" t="n">
        <v>6873</v>
      </c>
    </row>
    <row r="230">
      <c r="A230" s="8" t="inlineStr">
        <is>
          <t>Operating expenses (detail)</t>
        </is>
      </c>
      <c r="B230" s="8" t="inlineStr">
        <is>
          <t>C44</t>
        </is>
      </c>
      <c r="C230" s="8" t="inlineStr">
        <is>
          <t>24e. All other expenses</t>
        </is>
      </c>
      <c r="D230" s="8" t="inlineStr">
        <is>
          <t>24e</t>
        </is>
      </c>
      <c r="E230" s="8" t="inlineStr">
        <is>
          <t>part_ix_expenses.all_other_expenses</t>
        </is>
      </c>
      <c r="F230" s="8" t="inlineStr">
        <is>
          <t>high</t>
        </is>
      </c>
      <c r="G230" s="9" t="n">
        <v>3281</v>
      </c>
    </row>
    <row r="231">
      <c r="A231" s="8" t="inlineStr">
        <is>
          <t>Operating expenses (detail)</t>
        </is>
      </c>
      <c r="B231" s="8" t="inlineStr">
        <is>
          <t>D44</t>
        </is>
      </c>
      <c r="C231" s="8" t="inlineStr">
        <is>
          <t>24e. All other expenses</t>
        </is>
      </c>
      <c r="D231" s="8" t="inlineStr">
        <is>
          <t>24e</t>
        </is>
      </c>
      <c r="E231" s="8" t="inlineStr">
        <is>
          <t>part_ix_expenses.all_other_expenses</t>
        </is>
      </c>
      <c r="F231" s="8" t="inlineStr">
        <is>
          <t>high</t>
        </is>
      </c>
      <c r="G231" s="9" t="n">
        <v>3850</v>
      </c>
    </row>
    <row r="232">
      <c r="A232" s="8" t="inlineStr">
        <is>
          <t>Operating expenses (detail)</t>
        </is>
      </c>
      <c r="B232" s="8" t="inlineStr">
        <is>
          <t>E44</t>
        </is>
      </c>
      <c r="C232" s="8" t="inlineStr">
        <is>
          <t>24e. All other expenses</t>
        </is>
      </c>
      <c r="D232" s="8" t="inlineStr">
        <is>
          <t>24e</t>
        </is>
      </c>
      <c r="E232" s="8" t="inlineStr">
        <is>
          <t>part_ix_expenses.all_other_expenses</t>
        </is>
      </c>
      <c r="F232" s="8" t="inlineStr">
        <is>
          <t>high</t>
        </is>
      </c>
      <c r="G232" s="9" t="n">
        <v>5713</v>
      </c>
    </row>
    <row r="233">
      <c r="A233" s="8" t="inlineStr">
        <is>
          <t>Operating expenses (detail)</t>
        </is>
      </c>
      <c r="B233" s="8" t="inlineStr">
        <is>
          <t>F44</t>
        </is>
      </c>
      <c r="C233" s="8" t="inlineStr">
        <is>
          <t>24e. All other expenses</t>
        </is>
      </c>
      <c r="D233" s="8" t="inlineStr">
        <is>
          <t>24e</t>
        </is>
      </c>
      <c r="E233" s="8" t="inlineStr">
        <is>
          <t>part_ix_expenses.all_other_expenses</t>
        </is>
      </c>
      <c r="F233" s="8" t="inlineStr">
        <is>
          <t>high</t>
        </is>
      </c>
      <c r="G233" s="9" t="n">
        <v>6728</v>
      </c>
    </row>
    <row r="234">
      <c r="A234" s="8" t="inlineStr">
        <is>
          <t>Operating expenses (detail)</t>
        </is>
      </c>
      <c r="B234" s="8" t="inlineStr">
        <is>
          <t>G44</t>
        </is>
      </c>
      <c r="C234" s="8" t="inlineStr">
        <is>
          <t>24e. All other expenses</t>
        </is>
      </c>
      <c r="D234" s="8" t="inlineStr">
        <is>
          <t>24e</t>
        </is>
      </c>
      <c r="E234" s="8" t="inlineStr">
        <is>
          <t>part_ix_expenses.all_other_expenses</t>
        </is>
      </c>
      <c r="F234" s="8" t="inlineStr">
        <is>
          <t>high</t>
        </is>
      </c>
      <c r="G234" s="9" t="n">
        <v>3889</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282619</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323721</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378073</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397101</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325421</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369355</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0</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0</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0</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0</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12604</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1728</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-2251</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1455</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-1693</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-4238</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614</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614</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614</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3110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331299</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336075</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329529</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359321</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488422</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490010</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1810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4172</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3800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1</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2</v>
      </c>
    </row>
    <row r="325">
      <c r="A325" s="8" t="inlineStr">
        <is>
          <t>Balance sheet (detail)</t>
        </is>
      </c>
      <c r="B325" s="8" t="inlineStr">
        <is>
          <t>B25</t>
        </is>
      </c>
      <c r="C325" s="8" t="inlineStr">
        <is>
          <t>17. Accounts payable and accrued expenses</t>
        </is>
      </c>
      <c r="D325" s="8" t="inlineStr">
        <is>
          <t>17E</t>
        </is>
      </c>
      <c r="E325" s="8" t="inlineStr">
        <is>
          <t>part_x_balance_sheet.accounts_payable_eoy</t>
        </is>
      </c>
      <c r="F325" s="8" t="inlineStr">
        <is>
          <t>high</t>
        </is>
      </c>
      <c r="G325" s="9" t="n">
        <v>750</v>
      </c>
    </row>
    <row r="326">
      <c r="A326" s="8" t="inlineStr">
        <is>
          <t>Balance sheet (detail)</t>
        </is>
      </c>
      <c r="B326" s="8" t="inlineStr">
        <is>
          <t>C25</t>
        </is>
      </c>
      <c r="C326" s="8" t="inlineStr">
        <is>
          <t>17. Accounts payable and accrued expenses</t>
        </is>
      </c>
      <c r="D326" s="8" t="inlineStr">
        <is>
          <t>17E</t>
        </is>
      </c>
      <c r="E326" s="8" t="inlineStr">
        <is>
          <t>part_x_balance_sheet.accounts_payable_eoy</t>
        </is>
      </c>
      <c r="F326" s="8" t="inlineStr">
        <is>
          <t>high</t>
        </is>
      </c>
      <c r="G326" s="9" t="n">
        <v>265</v>
      </c>
    </row>
    <row r="327">
      <c r="A327" s="8" t="inlineStr">
        <is>
          <t>Balance sheet (detail)</t>
        </is>
      </c>
      <c r="B327" s="8" t="inlineStr">
        <is>
          <t>D25</t>
        </is>
      </c>
      <c r="C327" s="8" t="inlineStr">
        <is>
          <t>17. Accounts payable and accrued expenses</t>
        </is>
      </c>
      <c r="D327" s="8" t="inlineStr">
        <is>
          <t>17E</t>
        </is>
      </c>
      <c r="E327" s="8" t="inlineStr">
        <is>
          <t>part_x_balance_sheet.accounts_payable_eoy</t>
        </is>
      </c>
      <c r="F327" s="8" t="inlineStr">
        <is>
          <t>high</t>
        </is>
      </c>
      <c r="G327" s="9" t="n">
        <v>629</v>
      </c>
    </row>
    <row r="328">
      <c r="A328" s="8" t="inlineStr">
        <is>
          <t>Balance sheet (detail)</t>
        </is>
      </c>
      <c r="B328" s="8" t="inlineStr">
        <is>
          <t>G25</t>
        </is>
      </c>
      <c r="C328" s="8" t="inlineStr">
        <is>
          <t>17. Accounts payable and accrued expenses</t>
        </is>
      </c>
      <c r="D328" s="8" t="inlineStr">
        <is>
          <t>17E</t>
        </is>
      </c>
      <c r="E328" s="8" t="inlineStr">
        <is>
          <t>part_x_balance_sheet.accounts_payable_eoy</t>
        </is>
      </c>
      <c r="F328" s="8" t="inlineStr">
        <is>
          <t>high</t>
        </is>
      </c>
      <c r="G328" s="9" t="n">
        <v>204</v>
      </c>
    </row>
    <row r="329">
      <c r="A329" s="8" t="inlineStr">
        <is>
          <t>Balance sheet (detail)</t>
        </is>
      </c>
      <c r="B329" s="8" t="inlineStr">
        <is>
          <t>D26</t>
        </is>
      </c>
      <c r="C329" s="8" t="inlineStr">
        <is>
          <t>25. Other liabilities</t>
        </is>
      </c>
      <c r="D329" s="8" t="inlineStr">
        <is>
          <t>25E</t>
        </is>
      </c>
      <c r="E329" s="8" t="inlineStr">
        <is>
          <t>part_x_balance_sheet.other_liabilities_eoy</t>
        </is>
      </c>
      <c r="F329" s="8" t="inlineStr">
        <is>
          <t>high</t>
        </is>
      </c>
      <c r="G329" s="9" t="n">
        <v>1</v>
      </c>
    </row>
    <row r="330">
      <c r="A330" s="8" t="inlineStr">
        <is>
          <t>Balance sheet (detail)</t>
        </is>
      </c>
      <c r="B330" s="8" t="inlineStr">
        <is>
          <t>B30</t>
        </is>
      </c>
      <c r="C330" s="8" t="inlineStr">
        <is>
          <t>27. Net assets without donor restrictions</t>
        </is>
      </c>
      <c r="D330" s="8" t="inlineStr">
        <is>
          <t>27E</t>
        </is>
      </c>
      <c r="E330" s="8" t="inlineStr">
        <is>
          <t>part_x_balance_sheet.net_assets_no_donor_restriction_eoy</t>
        </is>
      </c>
      <c r="F330" s="8" t="inlineStr">
        <is>
          <t>high</t>
        </is>
      </c>
      <c r="G330" s="9" t="n">
        <v>627582</v>
      </c>
    </row>
    <row r="331">
      <c r="A331" s="8" t="inlineStr">
        <is>
          <t>Balance sheet (detail)</t>
        </is>
      </c>
      <c r="B331" s="8" t="inlineStr">
        <is>
          <t>C30</t>
        </is>
      </c>
      <c r="C331" s="8" t="inlineStr">
        <is>
          <t>27. Net assets without donor restrictions</t>
        </is>
      </c>
      <c r="D331" s="8" t="inlineStr">
        <is>
          <t>27E</t>
        </is>
      </c>
      <c r="E331" s="8" t="inlineStr">
        <is>
          <t>part_x_balance_sheet.net_assets_no_donor_restriction_eoy</t>
        </is>
      </c>
      <c r="F331" s="8" t="inlineStr">
        <is>
          <t>high</t>
        </is>
      </c>
      <c r="G331" s="9" t="n">
        <v>665431</v>
      </c>
    </row>
    <row r="332">
      <c r="A332" s="8" t="inlineStr">
        <is>
          <t>Balance sheet (detail)</t>
        </is>
      </c>
      <c r="B332" s="8" t="inlineStr">
        <is>
          <t>D30</t>
        </is>
      </c>
      <c r="C332" s="8" t="inlineStr">
        <is>
          <t>27. Net assets without donor restrictions</t>
        </is>
      </c>
      <c r="D332" s="8" t="inlineStr">
        <is>
          <t>27E</t>
        </is>
      </c>
      <c r="E332" s="8" t="inlineStr">
        <is>
          <t>part_x_balance_sheet.net_assets_no_donor_restriction_eoy</t>
        </is>
      </c>
      <c r="F332" s="8" t="inlineStr">
        <is>
          <t>high</t>
        </is>
      </c>
      <c r="G332" s="9" t="n">
        <v>709135</v>
      </c>
    </row>
    <row r="333">
      <c r="A333" s="8" t="inlineStr">
        <is>
          <t>Balance sheet (detail)</t>
        </is>
      </c>
      <c r="B333" s="8" t="inlineStr">
        <is>
          <t>E30</t>
        </is>
      </c>
      <c r="C333" s="8" t="inlineStr">
        <is>
          <t>27. Net assets without donor restrictions</t>
        </is>
      </c>
      <c r="D333" s="8" t="inlineStr">
        <is>
          <t>27E</t>
        </is>
      </c>
      <c r="E333" s="8" t="inlineStr">
        <is>
          <t>part_x_balance_sheet.net_assets_no_donor_restriction_eoy</t>
        </is>
      </c>
      <c r="F333" s="8" t="inlineStr">
        <is>
          <t>high</t>
        </is>
      </c>
      <c r="G333" s="9" t="n">
        <v>758492</v>
      </c>
    </row>
    <row r="334">
      <c r="A334" s="8" t="inlineStr">
        <is>
          <t>Balance sheet (detail)</t>
        </is>
      </c>
      <c r="B334" s="8" t="inlineStr">
        <is>
          <t>F30</t>
        </is>
      </c>
      <c r="C334" s="8" t="inlineStr">
        <is>
          <t>27. Net assets without donor restrictions</t>
        </is>
      </c>
      <c r="D334" s="8" t="inlineStr">
        <is>
          <t>27E</t>
        </is>
      </c>
      <c r="E334" s="8" t="inlineStr">
        <is>
          <t>part_x_balance_sheet.net_assets_no_donor_restriction_eoy</t>
        </is>
      </c>
      <c r="F334" s="8" t="inlineStr">
        <is>
          <t>high</t>
        </is>
      </c>
      <c r="G334" s="9" t="n">
        <v>812764</v>
      </c>
    </row>
    <row r="335">
      <c r="A335" s="8" t="inlineStr">
        <is>
          <t>Balance sheet (detail)</t>
        </is>
      </c>
      <c r="B335" s="8" t="inlineStr">
        <is>
          <t>G30</t>
        </is>
      </c>
      <c r="C335" s="8" t="inlineStr">
        <is>
          <t>27. Net assets without donor restrictions</t>
        </is>
      </c>
      <c r="D335" s="8" t="inlineStr">
        <is>
          <t>27E</t>
        </is>
      </c>
      <c r="E335" s="8" t="inlineStr">
        <is>
          <t>part_x_balance_sheet.net_assets_no_donor_restriction_eoy</t>
        </is>
      </c>
      <c r="F335" s="8" t="inlineStr">
        <is>
          <t>high</t>
        </is>
      </c>
      <c r="G335" s="9" t="n">
        <v>858035</v>
      </c>
    </row>
    <row r="336">
      <c r="A336" s="8" t="inlineStr">
        <is>
          <t>Net-assets reconciliation</t>
        </is>
      </c>
      <c r="B336" s="8" t="inlineStr">
        <is>
          <t>B7</t>
        </is>
      </c>
      <c r="C336" s="8" t="inlineStr">
        <is>
          <t>4. Net assets, beginning of year</t>
        </is>
      </c>
      <c r="D336" s="8" t="inlineStr">
        <is>
          <t>Part XI line 4</t>
        </is>
      </c>
      <c r="E336" s="8" t="inlineStr">
        <is>
          <t>part_xi_reconciliation.net_assets_boy</t>
        </is>
      </c>
      <c r="F336" s="8" t="inlineStr">
        <is>
          <t>high</t>
        </is>
      </c>
      <c r="G336" s="9" t="n">
        <v>582867</v>
      </c>
    </row>
    <row r="337">
      <c r="A337" s="8" t="inlineStr">
        <is>
          <t>Net-assets reconciliation</t>
        </is>
      </c>
      <c r="B337" s="8" t="inlineStr">
        <is>
          <t>C7</t>
        </is>
      </c>
      <c r="C337" s="8" t="inlineStr">
        <is>
          <t>4. Net assets, beginning of year</t>
        </is>
      </c>
      <c r="D337" s="8" t="inlineStr">
        <is>
          <t>Part XI line 4</t>
        </is>
      </c>
      <c r="E337" s="8" t="inlineStr">
        <is>
          <t>part_xi_reconciliation.net_assets_boy</t>
        </is>
      </c>
      <c r="F337" s="8" t="inlineStr">
        <is>
          <t>high</t>
        </is>
      </c>
      <c r="G337" s="9" t="n">
        <v>627582</v>
      </c>
    </row>
    <row r="338">
      <c r="A338" s="8" t="inlineStr">
        <is>
          <t>Net-assets reconciliation</t>
        </is>
      </c>
      <c r="B338" s="8" t="inlineStr">
        <is>
          <t>D7</t>
        </is>
      </c>
      <c r="C338" s="8" t="inlineStr">
        <is>
          <t>4. Net assets, beginning of year</t>
        </is>
      </c>
      <c r="D338" s="8" t="inlineStr">
        <is>
          <t>Part XI line 4</t>
        </is>
      </c>
      <c r="E338" s="8" t="inlineStr">
        <is>
          <t>part_xi_reconciliation.net_assets_boy</t>
        </is>
      </c>
      <c r="F338" s="8" t="inlineStr">
        <is>
          <t>high</t>
        </is>
      </c>
      <c r="G338" s="9" t="n">
        <v>665431</v>
      </c>
    </row>
    <row r="339">
      <c r="A339" s="8" t="inlineStr">
        <is>
          <t>Net-assets reconciliation</t>
        </is>
      </c>
      <c r="B339" s="8" t="inlineStr">
        <is>
          <t>E7</t>
        </is>
      </c>
      <c r="C339" s="8" t="inlineStr">
        <is>
          <t>4. Net assets, beginning of year</t>
        </is>
      </c>
      <c r="D339" s="8" t="inlineStr">
        <is>
          <t>Part XI line 4</t>
        </is>
      </c>
      <c r="E339" s="8" t="inlineStr">
        <is>
          <t>part_xi_reconciliation.net_assets_boy</t>
        </is>
      </c>
      <c r="F339" s="8" t="inlineStr">
        <is>
          <t>high</t>
        </is>
      </c>
      <c r="G339" s="9" t="n">
        <v>709135</v>
      </c>
    </row>
    <row r="340">
      <c r="A340" s="8" t="inlineStr">
        <is>
          <t>Net-assets reconciliation</t>
        </is>
      </c>
      <c r="B340" s="8" t="inlineStr">
        <is>
          <t>F7</t>
        </is>
      </c>
      <c r="C340" s="8" t="inlineStr">
        <is>
          <t>4. Net assets, beginning of year</t>
        </is>
      </c>
      <c r="D340" s="8" t="inlineStr">
        <is>
          <t>Part XI line 4</t>
        </is>
      </c>
      <c r="E340" s="8" t="inlineStr">
        <is>
          <t>part_xi_reconciliation.net_assets_boy</t>
        </is>
      </c>
      <c r="F340" s="8" t="inlineStr">
        <is>
          <t>high</t>
        </is>
      </c>
      <c r="G340" s="9" t="n">
        <v>758492</v>
      </c>
    </row>
    <row r="341">
      <c r="A341" s="8" t="inlineStr">
        <is>
          <t>Net-assets reconciliation</t>
        </is>
      </c>
      <c r="B341" s="8" t="inlineStr">
        <is>
          <t>G7</t>
        </is>
      </c>
      <c r="C341" s="8" t="inlineStr">
        <is>
          <t>4. Net assets, beginning of year</t>
        </is>
      </c>
      <c r="D341" s="8" t="inlineStr">
        <is>
          <t>Part XI line 4</t>
        </is>
      </c>
      <c r="E341" s="8" t="inlineStr">
        <is>
          <t>part_xi_reconciliation.net_assets_boy</t>
        </is>
      </c>
      <c r="F341" s="8" t="inlineStr">
        <is>
          <t>high</t>
        </is>
      </c>
      <c r="G341" s="9" t="n">
        <v>812764</v>
      </c>
    </row>
    <row r="342">
      <c r="A342" s="8" t="inlineStr">
        <is>
          <t>Net-assets reconciliation</t>
        </is>
      </c>
      <c r="B342" s="8" t="inlineStr">
        <is>
          <t>B8</t>
        </is>
      </c>
      <c r="C342" s="8" t="inlineStr">
        <is>
          <t>3. Revenue less expenses</t>
        </is>
      </c>
      <c r="D342" s="8" t="inlineStr">
        <is>
          <t>Part XI line 3</t>
        </is>
      </c>
      <c r="E342" s="8" t="inlineStr">
        <is>
          <t>part_xi_reconciliation.reconciliation_revenue_expenses</t>
        </is>
      </c>
      <c r="F342" s="8" t="inlineStr">
        <is>
          <t>high</t>
        </is>
      </c>
      <c r="G342" s="9" t="n">
        <v>44715</v>
      </c>
    </row>
    <row r="343">
      <c r="A343" s="8" t="inlineStr">
        <is>
          <t>Net-assets reconciliation</t>
        </is>
      </c>
      <c r="B343" s="8" t="inlineStr">
        <is>
          <t>C8</t>
        </is>
      </c>
      <c r="C343" s="8" t="inlineStr">
        <is>
          <t>3. Revenue less expenses</t>
        </is>
      </c>
      <c r="D343" s="8" t="inlineStr">
        <is>
          <t>Part XI line 3</t>
        </is>
      </c>
      <c r="E343" s="8" t="inlineStr">
        <is>
          <t>part_xi_reconciliation.reconciliation_revenue_expenses</t>
        </is>
      </c>
      <c r="F343" s="8" t="inlineStr">
        <is>
          <t>high</t>
        </is>
      </c>
      <c r="G343" s="9" t="n">
        <v>37909</v>
      </c>
    </row>
    <row r="344">
      <c r="A344" s="8" t="inlineStr">
        <is>
          <t>Net-assets reconciliation</t>
        </is>
      </c>
      <c r="B344" s="8" t="inlineStr">
        <is>
          <t>D8</t>
        </is>
      </c>
      <c r="C344" s="8" t="inlineStr">
        <is>
          <t>3. Revenue less expenses</t>
        </is>
      </c>
      <c r="D344" s="8" t="inlineStr">
        <is>
          <t>Part XI line 3</t>
        </is>
      </c>
      <c r="E344" s="8" t="inlineStr">
        <is>
          <t>part_xi_reconciliation.reconciliation_revenue_expenses</t>
        </is>
      </c>
      <c r="F344" s="8" t="inlineStr">
        <is>
          <t>high</t>
        </is>
      </c>
      <c r="G344" s="9" t="n">
        <v>43704</v>
      </c>
    </row>
    <row r="345">
      <c r="A345" s="8" t="inlineStr">
        <is>
          <t>Net-assets reconciliation</t>
        </is>
      </c>
      <c r="B345" s="8" t="inlineStr">
        <is>
          <t>E8</t>
        </is>
      </c>
      <c r="C345" s="8" t="inlineStr">
        <is>
          <t>3. Revenue less expenses</t>
        </is>
      </c>
      <c r="D345" s="8" t="inlineStr">
        <is>
          <t>Part XI line 3</t>
        </is>
      </c>
      <c r="E345" s="8" t="inlineStr">
        <is>
          <t>part_xi_reconciliation.reconciliation_revenue_expenses</t>
        </is>
      </c>
      <c r="F345" s="8" t="inlineStr">
        <is>
          <t>high</t>
        </is>
      </c>
      <c r="G345" s="9" t="n">
        <v>49357</v>
      </c>
    </row>
    <row r="346">
      <c r="A346" s="8" t="inlineStr">
        <is>
          <t>Net-assets reconciliation</t>
        </is>
      </c>
      <c r="B346" s="8" t="inlineStr">
        <is>
          <t>F8</t>
        </is>
      </c>
      <c r="C346" s="8" t="inlineStr">
        <is>
          <t>3. Revenue less expenses</t>
        </is>
      </c>
      <c r="D346" s="8" t="inlineStr">
        <is>
          <t>Part XI line 3</t>
        </is>
      </c>
      <c r="E346" s="8" t="inlineStr">
        <is>
          <t>part_xi_reconciliation.reconciliation_revenue_expenses</t>
        </is>
      </c>
      <c r="F346" s="8" t="inlineStr">
        <is>
          <t>high</t>
        </is>
      </c>
      <c r="G346" s="9" t="n">
        <v>54272</v>
      </c>
    </row>
    <row r="347">
      <c r="A347" s="8" t="inlineStr">
        <is>
          <t>Net-assets reconciliation</t>
        </is>
      </c>
      <c r="B347" s="8" t="inlineStr">
        <is>
          <t>G8</t>
        </is>
      </c>
      <c r="C347" s="8" t="inlineStr">
        <is>
          <t>3. Revenue less expenses</t>
        </is>
      </c>
      <c r="D347" s="8" t="inlineStr">
        <is>
          <t>Part XI line 3</t>
        </is>
      </c>
      <c r="E347" s="8" t="inlineStr">
        <is>
          <t>part_xi_reconciliation.reconciliation_revenue_expenses</t>
        </is>
      </c>
      <c r="F347" s="8" t="inlineStr">
        <is>
          <t>high</t>
        </is>
      </c>
      <c r="G347" s="9" t="n">
        <v>45271</v>
      </c>
    </row>
    <row r="348">
      <c r="A348" s="8" t="inlineStr">
        <is>
          <t>Net-assets reconciliation</t>
        </is>
      </c>
      <c r="B348" s="8" t="inlineStr">
        <is>
          <t>C9</t>
        </is>
      </c>
      <c r="C348" s="8" t="inlineStr">
        <is>
          <t>8. Prior period adjustments</t>
        </is>
      </c>
      <c r="D348" s="8" t="inlineStr">
        <is>
          <t>Part XI line 8</t>
        </is>
      </c>
      <c r="E348" s="8" t="inlineStr">
        <is>
          <t>part_xi_reconciliation.prior_period_adjustments</t>
        </is>
      </c>
      <c r="F348" s="8" t="inlineStr">
        <is>
          <t>high</t>
        </is>
      </c>
      <c r="G348" s="9" t="n">
        <v>-60</v>
      </c>
    </row>
    <row r="350">
      <c r="A350" s="28" t="inlineStr">
        <is>
          <t>C. Tie-out checks (filed vs computed; any nonzero variance is flagged red)</t>
        </is>
      </c>
      <c r="B350" s="7" t="n"/>
      <c r="C350" s="7" t="n"/>
      <c r="D350" s="7" t="n"/>
      <c r="E350" s="7" t="n"/>
      <c r="F350" s="7" t="n"/>
      <c r="G350" s="7" t="n"/>
      <c r="H350" s="7" t="n"/>
      <c r="I350" s="7" t="n"/>
      <c r="J350" s="7" t="n"/>
      <c r="K350" s="7" t="n"/>
    </row>
    <row r="351">
      <c r="A351" s="5" t="inlineStr">
        <is>
          <t>Tab</t>
        </is>
      </c>
      <c r="B351" s="5" t="inlineStr">
        <is>
          <t>Check</t>
        </is>
      </c>
      <c r="C351" s="5" t="inlineStr">
        <is>
          <t>Fiscal year</t>
        </is>
      </c>
      <c r="D351" s="5" t="inlineStr">
        <is>
          <t>Filed</t>
        </is>
      </c>
      <c r="E351" s="5" t="inlineStr">
        <is>
          <t>Computed</t>
        </is>
      </c>
      <c r="F351" s="5" t="inlineStr">
        <is>
          <t>Variance (computed - filed)</t>
        </is>
      </c>
    </row>
    <row r="352">
      <c r="A352" s="18" t="inlineStr">
        <is>
          <t>Revenue (detail)</t>
        </is>
      </c>
      <c r="B352" s="18" t="inlineStr">
        <is>
          <t>12. Total revenue</t>
        </is>
      </c>
      <c r="C352" s="18" t="inlineStr">
        <is>
          <t>FY2020</t>
        </is>
      </c>
      <c r="D352" s="9" t="n">
        <v>111294</v>
      </c>
      <c r="E352" s="9">
        <f>'Revenue (detail)'!B13</f>
        <v/>
      </c>
      <c r="F352" s="9">
        <f>E352-D352</f>
        <v/>
      </c>
    </row>
    <row r="353">
      <c r="A353" s="18" t="inlineStr">
        <is>
          <t>Revenue (detail)</t>
        </is>
      </c>
      <c r="B353" s="18" t="inlineStr">
        <is>
          <t>12. Total revenue</t>
        </is>
      </c>
      <c r="C353" s="18" t="inlineStr">
        <is>
          <t>FY2021</t>
        </is>
      </c>
      <c r="D353" s="9" t="n">
        <v>108893</v>
      </c>
      <c r="E353" s="9">
        <f>'Revenue (detail)'!C13</f>
        <v/>
      </c>
      <c r="F353" s="9">
        <f>E353-D353</f>
        <v/>
      </c>
    </row>
    <row r="354">
      <c r="A354" s="18" t="inlineStr">
        <is>
          <t>Revenue (detail)</t>
        </is>
      </c>
      <c r="B354" s="18" t="inlineStr">
        <is>
          <t>12. Total revenue</t>
        </is>
      </c>
      <c r="C354" s="18" t="inlineStr">
        <is>
          <t>FY2022</t>
        </is>
      </c>
      <c r="D354" s="9" t="n">
        <v>107355</v>
      </c>
      <c r="E354" s="9">
        <f>'Revenue (detail)'!D13</f>
        <v/>
      </c>
      <c r="F354" s="9">
        <f>E354-D354</f>
        <v/>
      </c>
    </row>
    <row r="355">
      <c r="A355" s="18" t="inlineStr">
        <is>
          <t>Revenue (detail)</t>
        </is>
      </c>
      <c r="B355" s="18" t="inlineStr">
        <is>
          <t>12. Total revenue</t>
        </is>
      </c>
      <c r="C355" s="18" t="inlineStr">
        <is>
          <t>FY2023</t>
        </is>
      </c>
      <c r="D355" s="9" t="n">
        <v>118926</v>
      </c>
      <c r="E355" s="9">
        <f>'Revenue (detail)'!E13</f>
        <v/>
      </c>
      <c r="F355" s="9">
        <f>E355-D355</f>
        <v/>
      </c>
    </row>
    <row r="356">
      <c r="A356" s="18" t="inlineStr">
        <is>
          <t>Revenue (detail)</t>
        </is>
      </c>
      <c r="B356" s="18" t="inlineStr">
        <is>
          <t>12. Total revenue</t>
        </is>
      </c>
      <c r="C356" s="18" t="inlineStr">
        <is>
          <t>FY2024</t>
        </is>
      </c>
      <c r="D356" s="9" t="n">
        <v>137327</v>
      </c>
      <c r="E356" s="9">
        <f>'Revenue (detail)'!F13</f>
        <v/>
      </c>
      <c r="F356" s="9">
        <f>E356-D356</f>
        <v/>
      </c>
    </row>
    <row r="357">
      <c r="A357" s="18" t="inlineStr">
        <is>
          <t>Revenue (detail)</t>
        </is>
      </c>
      <c r="B357" s="18" t="inlineStr">
        <is>
          <t>12. Total revenue</t>
        </is>
      </c>
      <c r="C357" s="18" t="inlineStr">
        <is>
          <t>FY2025</t>
        </is>
      </c>
      <c r="D357" s="9" t="n">
        <v>145698</v>
      </c>
      <c r="E357" s="9">
        <f>'Revenue (detail)'!G13</f>
        <v/>
      </c>
      <c r="F357" s="9">
        <f>E357-D357</f>
        <v/>
      </c>
    </row>
    <row r="358">
      <c r="A358" s="18" t="inlineStr">
        <is>
          <t>Revenue (detail)</t>
        </is>
      </c>
      <c r="B358" s="18" t="inlineStr">
        <is>
          <t>2g program service revenue = sum of lines 2a-2f (FY2025)</t>
        </is>
      </c>
      <c r="C358" s="18" t="inlineStr">
        <is>
          <t>FY2025</t>
        </is>
      </c>
      <c r="D358" s="9" t="n">
        <v>137311</v>
      </c>
      <c r="E358" s="9">
        <f>SUM('Revenue (detail)'!C17:C17)</f>
        <v/>
      </c>
      <c r="F358" s="9">
        <f>E358-D358</f>
        <v/>
      </c>
    </row>
    <row r="359">
      <c r="A359" s="18" t="inlineStr">
        <is>
          <t>Operating expenses (detail)</t>
        </is>
      </c>
      <c r="B359" s="18" t="inlineStr">
        <is>
          <t>25. Total functional expenses</t>
        </is>
      </c>
      <c r="C359" s="18" t="inlineStr">
        <is>
          <t>FY2020</t>
        </is>
      </c>
      <c r="D359" s="9" t="n">
        <v>66579</v>
      </c>
      <c r="E359" s="9">
        <f>'Operating expenses (detail)'!B45</f>
        <v/>
      </c>
      <c r="F359" s="9">
        <f>E359-D359</f>
        <v/>
      </c>
    </row>
    <row r="360">
      <c r="A360" s="18" t="inlineStr">
        <is>
          <t>Operating expenses (detail)</t>
        </is>
      </c>
      <c r="B360" s="18" t="inlineStr">
        <is>
          <t>25. Total functional expenses</t>
        </is>
      </c>
      <c r="C360" s="18" t="inlineStr">
        <is>
          <t>FY2021</t>
        </is>
      </c>
      <c r="D360" s="9" t="n">
        <v>70984</v>
      </c>
      <c r="E360" s="9">
        <f>'Operating expenses (detail)'!C45</f>
        <v/>
      </c>
      <c r="F360" s="9">
        <f>E360-D360</f>
        <v/>
      </c>
    </row>
    <row r="361">
      <c r="A361" s="18" t="inlineStr">
        <is>
          <t>Operating expenses (detail)</t>
        </is>
      </c>
      <c r="B361" s="18" t="inlineStr">
        <is>
          <t>25. Total functional expenses</t>
        </is>
      </c>
      <c r="C361" s="18" t="inlineStr">
        <is>
          <t>FY2022</t>
        </is>
      </c>
      <c r="D361" s="9" t="n">
        <v>63651</v>
      </c>
      <c r="E361" s="9">
        <f>'Operating expenses (detail)'!D45</f>
        <v/>
      </c>
      <c r="F361" s="9">
        <f>E361-D361</f>
        <v/>
      </c>
    </row>
    <row r="362">
      <c r="A362" s="18" t="inlineStr">
        <is>
          <t>Operating expenses (detail)</t>
        </is>
      </c>
      <c r="B362" s="18" t="inlineStr">
        <is>
          <t>25. Total functional expenses</t>
        </is>
      </c>
      <c r="C362" s="18" t="inlineStr">
        <is>
          <t>FY2023</t>
        </is>
      </c>
      <c r="D362" s="9" t="n">
        <v>69569</v>
      </c>
      <c r="E362" s="9">
        <f>'Operating expenses (detail)'!E45</f>
        <v/>
      </c>
      <c r="F362" s="9">
        <f>E362-D362</f>
        <v/>
      </c>
    </row>
    <row r="363">
      <c r="A363" s="18" t="inlineStr">
        <is>
          <t>Operating expenses (detail)</t>
        </is>
      </c>
      <c r="B363" s="18" t="inlineStr">
        <is>
          <t>25. Total functional expenses</t>
        </is>
      </c>
      <c r="C363" s="18" t="inlineStr">
        <is>
          <t>FY2024</t>
        </is>
      </c>
      <c r="D363" s="9" t="n">
        <v>83055</v>
      </c>
      <c r="E363" s="9">
        <f>'Operating expenses (detail)'!F45</f>
        <v/>
      </c>
      <c r="F363" s="9">
        <f>E363-D363</f>
        <v/>
      </c>
    </row>
    <row r="364">
      <c r="A364" s="18" t="inlineStr">
        <is>
          <t>Operating expenses (detail)</t>
        </is>
      </c>
      <c r="B364" s="18" t="inlineStr">
        <is>
          <t>25. Total functional expenses</t>
        </is>
      </c>
      <c r="C364" s="18" t="inlineStr">
        <is>
          <t>FY2025</t>
        </is>
      </c>
      <c r="D364" s="9" t="n">
        <v>100427</v>
      </c>
      <c r="E364" s="9">
        <f>'Operating expenses (detail)'!G45</f>
        <v/>
      </c>
      <c r="F364" s="9">
        <f>E364-D364</f>
        <v/>
      </c>
    </row>
    <row r="365">
      <c r="A365" s="18" t="inlineStr">
        <is>
          <t>Operating expenses (detail)</t>
        </is>
      </c>
      <c r="B365" s="18" t="inlineStr">
        <is>
          <t>Part IX column split: col A = B + C + D (FY2025)</t>
        </is>
      </c>
      <c r="C365" s="18" t="inlineStr">
        <is>
          <t>FY2025</t>
        </is>
      </c>
      <c r="D365" s="9">
        <f>'Operating expenses (detail)'!B78</f>
        <v/>
      </c>
      <c r="E365" s="9">
        <f>'Operating expenses (detail)'!C78+'Operating expenses (detail)'!D78+'Operating expenses (detail)'!E78</f>
        <v/>
      </c>
      <c r="F365" s="9">
        <f>E365-D365</f>
        <v/>
      </c>
    </row>
    <row r="366">
      <c r="A366" s="18" t="inlineStr">
        <is>
          <t>Balance sheet (detail)</t>
        </is>
      </c>
      <c r="B366" s="18" t="inlineStr">
        <is>
          <t>16. Total assets</t>
        </is>
      </c>
      <c r="C366" s="18" t="inlineStr">
        <is>
          <t>FY2020</t>
        </is>
      </c>
      <c r="D366" s="9" t="n">
        <v>628332</v>
      </c>
      <c r="E366" s="9">
        <f>'Balance sheet (detail)'!B22</f>
        <v/>
      </c>
      <c r="F366" s="9">
        <f>E366-D366</f>
        <v/>
      </c>
    </row>
    <row r="367">
      <c r="A367" s="18" t="inlineStr">
        <is>
          <t>Balance sheet (detail)</t>
        </is>
      </c>
      <c r="B367" s="18" t="inlineStr">
        <is>
          <t>16. Total assets</t>
        </is>
      </c>
      <c r="C367" s="18" t="inlineStr">
        <is>
          <t>FY2021</t>
        </is>
      </c>
      <c r="D367" s="9" t="n">
        <v>665696</v>
      </c>
      <c r="E367" s="9">
        <f>'Balance sheet (detail)'!C22</f>
        <v/>
      </c>
      <c r="F367" s="9">
        <f>E367-D367</f>
        <v/>
      </c>
    </row>
    <row r="368">
      <c r="A368" s="18" t="inlineStr">
        <is>
          <t>Balance sheet (detail)</t>
        </is>
      </c>
      <c r="B368" s="18" t="inlineStr">
        <is>
          <t>16. Total assets</t>
        </is>
      </c>
      <c r="C368" s="18" t="inlineStr">
        <is>
          <t>FY2022</t>
        </is>
      </c>
      <c r="D368" s="9" t="n">
        <v>709765</v>
      </c>
      <c r="E368" s="9">
        <f>'Balance sheet (detail)'!D22</f>
        <v/>
      </c>
      <c r="F368" s="9">
        <f>E368-D368</f>
        <v/>
      </c>
    </row>
    <row r="369">
      <c r="A369" s="18" t="inlineStr">
        <is>
          <t>Balance sheet (detail)</t>
        </is>
      </c>
      <c r="B369" s="18" t="inlineStr">
        <is>
          <t>16. Total assets</t>
        </is>
      </c>
      <c r="C369" s="18" t="inlineStr">
        <is>
          <t>FY2023</t>
        </is>
      </c>
      <c r="D369" s="9" t="n">
        <v>758492</v>
      </c>
      <c r="E369" s="9">
        <f>'Balance sheet (detail)'!E22</f>
        <v/>
      </c>
      <c r="F369" s="9">
        <f>E369-D369</f>
        <v/>
      </c>
    </row>
    <row r="370">
      <c r="A370" s="18" t="inlineStr">
        <is>
          <t>Balance sheet (detail)</t>
        </is>
      </c>
      <c r="B370" s="18" t="inlineStr">
        <is>
          <t>16. Total assets</t>
        </is>
      </c>
      <c r="C370" s="18" t="inlineStr">
        <is>
          <t>FY2024</t>
        </is>
      </c>
      <c r="D370" s="9" t="n">
        <v>812764</v>
      </c>
      <c r="E370" s="9">
        <f>'Balance sheet (detail)'!F22</f>
        <v/>
      </c>
      <c r="F370" s="9">
        <f>E370-D370</f>
        <v/>
      </c>
    </row>
    <row r="371">
      <c r="A371" s="18" t="inlineStr">
        <is>
          <t>Balance sheet (detail)</t>
        </is>
      </c>
      <c r="B371" s="18" t="inlineStr">
        <is>
          <t>16. Total assets</t>
        </is>
      </c>
      <c r="C371" s="18" t="inlineStr">
        <is>
          <t>FY2025</t>
        </is>
      </c>
      <c r="D371" s="9" t="n">
        <v>858239</v>
      </c>
      <c r="E371" s="9">
        <f>'Balance sheet (detail)'!G22</f>
        <v/>
      </c>
      <c r="F371" s="9">
        <f>E371-D371</f>
        <v/>
      </c>
    </row>
    <row r="372">
      <c r="A372" s="18" t="inlineStr">
        <is>
          <t>Balance sheet (detail)</t>
        </is>
      </c>
      <c r="B372" s="18" t="inlineStr">
        <is>
          <t>26. Total liabilities</t>
        </is>
      </c>
      <c r="C372" s="18" t="inlineStr">
        <is>
          <t>FY2020</t>
        </is>
      </c>
      <c r="D372" s="9" t="n">
        <v>750</v>
      </c>
      <c r="E372" s="9">
        <f>'Balance sheet (detail)'!B27</f>
        <v/>
      </c>
      <c r="F372" s="9">
        <f>E372-D372</f>
        <v/>
      </c>
    </row>
    <row r="373">
      <c r="A373" s="18" t="inlineStr">
        <is>
          <t>Balance sheet (detail)</t>
        </is>
      </c>
      <c r="B373" s="18" t="inlineStr">
        <is>
          <t>26. Total liabilities</t>
        </is>
      </c>
      <c r="C373" s="18" t="inlineStr">
        <is>
          <t>FY2021</t>
        </is>
      </c>
      <c r="D373" s="9" t="n">
        <v>265</v>
      </c>
      <c r="E373" s="9">
        <f>'Balance sheet (detail)'!C27</f>
        <v/>
      </c>
      <c r="F373" s="9">
        <f>E373-D373</f>
        <v/>
      </c>
    </row>
    <row r="374">
      <c r="A374" s="18" t="inlineStr">
        <is>
          <t>Balance sheet (detail)</t>
        </is>
      </c>
      <c r="B374" s="18" t="inlineStr">
        <is>
          <t>26. Total liabilities</t>
        </is>
      </c>
      <c r="C374" s="18" t="inlineStr">
        <is>
          <t>FY2022</t>
        </is>
      </c>
      <c r="D374" s="9" t="n">
        <v>630</v>
      </c>
      <c r="E374" s="9">
        <f>'Balance sheet (detail)'!D27</f>
        <v/>
      </c>
      <c r="F374" s="9">
        <f>E374-D374</f>
        <v/>
      </c>
    </row>
    <row r="375">
      <c r="A375" s="18" t="inlineStr">
        <is>
          <t>Balance sheet (detail)</t>
        </is>
      </c>
      <c r="B375" s="18" t="inlineStr">
        <is>
          <t>26. Total liabilities</t>
        </is>
      </c>
      <c r="C375" s="18" t="inlineStr">
        <is>
          <t>FY2023</t>
        </is>
      </c>
      <c r="D375" s="9" t="n">
        <v>0</v>
      </c>
      <c r="E375" s="9">
        <f>'Balance sheet (detail)'!E27</f>
        <v/>
      </c>
      <c r="F375" s="9">
        <f>E375-D375</f>
        <v/>
      </c>
    </row>
    <row r="376">
      <c r="A376" s="18" t="inlineStr">
        <is>
          <t>Balance sheet (detail)</t>
        </is>
      </c>
      <c r="B376" s="18" t="inlineStr">
        <is>
          <t>26. Total liabilities</t>
        </is>
      </c>
      <c r="C376" s="18" t="inlineStr">
        <is>
          <t>FY2024</t>
        </is>
      </c>
      <c r="D376" s="9" t="n">
        <v>0</v>
      </c>
      <c r="E376" s="9">
        <f>'Balance sheet (detail)'!F27</f>
        <v/>
      </c>
      <c r="F376" s="9">
        <f>E376-D376</f>
        <v/>
      </c>
    </row>
    <row r="377">
      <c r="A377" s="18" t="inlineStr">
        <is>
          <t>Balance sheet (detail)</t>
        </is>
      </c>
      <c r="B377" s="18" t="inlineStr">
        <is>
          <t>26. Total liabilities</t>
        </is>
      </c>
      <c r="C377" s="18" t="inlineStr">
        <is>
          <t>FY2025</t>
        </is>
      </c>
      <c r="D377" s="9" t="n">
        <v>204</v>
      </c>
      <c r="E377" s="9">
        <f>'Balance sheet (detail)'!G27</f>
        <v/>
      </c>
      <c r="F377" s="9">
        <f>E377-D377</f>
        <v/>
      </c>
    </row>
    <row r="378">
      <c r="A378" s="18" t="inlineStr">
        <is>
          <t>Balance sheet (detail)</t>
        </is>
      </c>
      <c r="B378" s="18" t="inlineStr">
        <is>
          <t>32. Total net assets / fund balances</t>
        </is>
      </c>
      <c r="C378" s="18" t="inlineStr">
        <is>
          <t>FY2020</t>
        </is>
      </c>
      <c r="D378" s="9" t="n">
        <v>627582</v>
      </c>
      <c r="E378" s="9">
        <f>'Balance sheet (detail)'!B31</f>
        <v/>
      </c>
      <c r="F378" s="9">
        <f>E378-D378</f>
        <v/>
      </c>
    </row>
    <row r="379">
      <c r="A379" s="18" t="inlineStr">
        <is>
          <t>Balance sheet (detail)</t>
        </is>
      </c>
      <c r="B379" s="18" t="inlineStr">
        <is>
          <t>32. Total net assets / fund balances</t>
        </is>
      </c>
      <c r="C379" s="18" t="inlineStr">
        <is>
          <t>FY2021</t>
        </is>
      </c>
      <c r="D379" s="9" t="n">
        <v>665431</v>
      </c>
      <c r="E379" s="9">
        <f>'Balance sheet (detail)'!C31</f>
        <v/>
      </c>
      <c r="F379" s="9">
        <f>E379-D379</f>
        <v/>
      </c>
    </row>
    <row r="380">
      <c r="A380" s="18" t="inlineStr">
        <is>
          <t>Balance sheet (detail)</t>
        </is>
      </c>
      <c r="B380" s="18" t="inlineStr">
        <is>
          <t>32. Total net assets / fund balances</t>
        </is>
      </c>
      <c r="C380" s="18" t="inlineStr">
        <is>
          <t>FY2022</t>
        </is>
      </c>
      <c r="D380" s="9" t="n">
        <v>709135</v>
      </c>
      <c r="E380" s="9">
        <f>'Balance sheet (detail)'!D31</f>
        <v/>
      </c>
      <c r="F380" s="9">
        <f>E380-D380</f>
        <v/>
      </c>
    </row>
    <row r="381">
      <c r="A381" s="18" t="inlineStr">
        <is>
          <t>Balance sheet (detail)</t>
        </is>
      </c>
      <c r="B381" s="18" t="inlineStr">
        <is>
          <t>32. Total net assets / fund balances</t>
        </is>
      </c>
      <c r="C381" s="18" t="inlineStr">
        <is>
          <t>FY2023</t>
        </is>
      </c>
      <c r="D381" s="9" t="n">
        <v>758492</v>
      </c>
      <c r="E381" s="9">
        <f>'Balance sheet (detail)'!E31</f>
        <v/>
      </c>
      <c r="F381" s="9">
        <f>E381-D381</f>
        <v/>
      </c>
    </row>
    <row r="382">
      <c r="A382" s="18" t="inlineStr">
        <is>
          <t>Balance sheet (detail)</t>
        </is>
      </c>
      <c r="B382" s="18" t="inlineStr">
        <is>
          <t>32. Total net assets / fund balances</t>
        </is>
      </c>
      <c r="C382" s="18" t="inlineStr">
        <is>
          <t>FY2024</t>
        </is>
      </c>
      <c r="D382" s="9" t="n">
        <v>812764</v>
      </c>
      <c r="E382" s="9">
        <f>'Balance sheet (detail)'!F31</f>
        <v/>
      </c>
      <c r="F382" s="9">
        <f>E382-D382</f>
        <v/>
      </c>
    </row>
    <row r="383">
      <c r="A383" s="18" t="inlineStr">
        <is>
          <t>Balance sheet (detail)</t>
        </is>
      </c>
      <c r="B383" s="18" t="inlineStr">
        <is>
          <t>32. Total net assets / fund balances</t>
        </is>
      </c>
      <c r="C383" s="18" t="inlineStr">
        <is>
          <t>FY2025</t>
        </is>
      </c>
      <c r="D383" s="9" t="n">
        <v>858035</v>
      </c>
      <c r="E383" s="9">
        <f>'Balance sheet (detail)'!G31</f>
        <v/>
      </c>
      <c r="F383" s="9">
        <f>E383-D383</f>
        <v/>
      </c>
    </row>
    <row r="384">
      <c r="A384" s="18" t="inlineStr">
        <is>
          <t>Balance sheet (detail)</t>
        </is>
      </c>
      <c r="B384" s="18" t="inlineStr">
        <is>
          <t>Balance sheet identity: line 16 = line 26 + line 32 (EOY)</t>
        </is>
      </c>
      <c r="C384" s="18" t="inlineStr">
        <is>
          <t>FY2020</t>
        </is>
      </c>
      <c r="D384" s="9">
        <f>'Balance sheet (detail)'!B22</f>
        <v/>
      </c>
      <c r="E384" s="9">
        <f>SUM('Balance sheet (detail)'!B27,'Balance sheet (detail)'!B31)</f>
        <v/>
      </c>
      <c r="F384" s="9">
        <f>E384-D384</f>
        <v/>
      </c>
    </row>
    <row r="385">
      <c r="A385" s="18" t="inlineStr">
        <is>
          <t>Balance sheet (detail)</t>
        </is>
      </c>
      <c r="B385" s="18" t="inlineStr">
        <is>
          <t>Balance sheet identity: line 16 = line 26 + line 32 (EOY)</t>
        </is>
      </c>
      <c r="C385" s="18" t="inlineStr">
        <is>
          <t>FY2021</t>
        </is>
      </c>
      <c r="D385" s="9">
        <f>'Balance sheet (detail)'!C22</f>
        <v/>
      </c>
      <c r="E385" s="9">
        <f>SUM('Balance sheet (detail)'!C27,'Balance sheet (detail)'!C31)</f>
        <v/>
      </c>
      <c r="F385" s="9">
        <f>E385-D385</f>
        <v/>
      </c>
    </row>
    <row r="386">
      <c r="A386" s="18" t="inlineStr">
        <is>
          <t>Balance sheet (detail)</t>
        </is>
      </c>
      <c r="B386" s="18" t="inlineStr">
        <is>
          <t>Balance sheet identity: line 16 = line 26 + line 32 (EOY)</t>
        </is>
      </c>
      <c r="C386" s="18" t="inlineStr">
        <is>
          <t>FY2022</t>
        </is>
      </c>
      <c r="D386" s="9">
        <f>'Balance sheet (detail)'!D22</f>
        <v/>
      </c>
      <c r="E386" s="9">
        <f>SUM('Balance sheet (detail)'!D27,'Balance sheet (detail)'!D31)</f>
        <v/>
      </c>
      <c r="F386" s="9">
        <f>E386-D386</f>
        <v/>
      </c>
    </row>
    <row r="387">
      <c r="A387" s="18" t="inlineStr">
        <is>
          <t>Balance sheet (detail)</t>
        </is>
      </c>
      <c r="B387" s="18" t="inlineStr">
        <is>
          <t>Balance sheet identity: line 16 = line 26 + line 32 (EOY)</t>
        </is>
      </c>
      <c r="C387" s="18" t="inlineStr">
        <is>
          <t>FY2023</t>
        </is>
      </c>
      <c r="D387" s="9">
        <f>'Balance sheet (detail)'!E22</f>
        <v/>
      </c>
      <c r="E387" s="9">
        <f>SUM('Balance sheet (detail)'!E27,'Balance sheet (detail)'!E31)</f>
        <v/>
      </c>
      <c r="F387" s="9">
        <f>E387-D387</f>
        <v/>
      </c>
    </row>
    <row r="388">
      <c r="A388" s="18" t="inlineStr">
        <is>
          <t>Balance sheet (detail)</t>
        </is>
      </c>
      <c r="B388" s="18" t="inlineStr">
        <is>
          <t>Balance sheet identity: line 16 = line 26 + line 32 (EOY)</t>
        </is>
      </c>
      <c r="C388" s="18" t="inlineStr">
        <is>
          <t>FY2024</t>
        </is>
      </c>
      <c r="D388" s="9">
        <f>'Balance sheet (detail)'!F22</f>
        <v/>
      </c>
      <c r="E388" s="9">
        <f>SUM('Balance sheet (detail)'!F27,'Balance sheet (detail)'!F31)</f>
        <v/>
      </c>
      <c r="F388" s="9">
        <f>E388-D388</f>
        <v/>
      </c>
    </row>
    <row r="389">
      <c r="A389" s="18" t="inlineStr">
        <is>
          <t>Balance sheet (detail)</t>
        </is>
      </c>
      <c r="B389" s="18" t="inlineStr">
        <is>
          <t>Balance sheet identity: line 16 = line 26 + line 32 (EOY)</t>
        </is>
      </c>
      <c r="C389" s="18" t="inlineStr">
        <is>
          <t>FY2025</t>
        </is>
      </c>
      <c r="D389" s="9">
        <f>'Balance sheet (detail)'!G22</f>
        <v/>
      </c>
      <c r="E389" s="9">
        <f>SUM('Balance sheet (detail)'!G27,'Balance sheet (detail)'!G31)</f>
        <v/>
      </c>
      <c r="F389" s="9">
        <f>E389-D389</f>
        <v/>
      </c>
    </row>
    <row r="390">
      <c r="A390" s="18" t="inlineStr">
        <is>
          <t>Net-assets reconciliation</t>
        </is>
      </c>
      <c r="B390" s="18" t="inlineStr">
        <is>
          <t>10. Net assets, end of year</t>
        </is>
      </c>
      <c r="C390" s="18" t="inlineStr">
        <is>
          <t>FY2020</t>
        </is>
      </c>
      <c r="D390" s="9" t="n">
        <v>627582</v>
      </c>
      <c r="E390" s="9">
        <f>'Net-assets reconciliation'!B11</f>
        <v/>
      </c>
      <c r="F390" s="9">
        <f>E390-D390</f>
        <v/>
      </c>
    </row>
    <row r="391">
      <c r="A391" s="18" t="inlineStr">
        <is>
          <t>Net-assets reconciliation</t>
        </is>
      </c>
      <c r="B391" s="18" t="inlineStr">
        <is>
          <t>10. Net assets, end of year</t>
        </is>
      </c>
      <c r="C391" s="18" t="inlineStr">
        <is>
          <t>FY2021</t>
        </is>
      </c>
      <c r="D391" s="9" t="n">
        <v>665431</v>
      </c>
      <c r="E391" s="9">
        <f>'Net-assets reconciliation'!C11</f>
        <v/>
      </c>
      <c r="F391" s="9">
        <f>E391-D391</f>
        <v/>
      </c>
    </row>
    <row r="392">
      <c r="A392" s="18" t="inlineStr">
        <is>
          <t>Net-assets reconciliation</t>
        </is>
      </c>
      <c r="B392" s="18" t="inlineStr">
        <is>
          <t>10. Net assets, end of year</t>
        </is>
      </c>
      <c r="C392" s="18" t="inlineStr">
        <is>
          <t>FY2022</t>
        </is>
      </c>
      <c r="D392" s="9" t="n">
        <v>709135</v>
      </c>
      <c r="E392" s="9">
        <f>'Net-assets reconciliation'!D11</f>
        <v/>
      </c>
      <c r="F392" s="9">
        <f>E392-D392</f>
        <v/>
      </c>
    </row>
    <row r="393">
      <c r="A393" s="18" t="inlineStr">
        <is>
          <t>Net-assets reconciliation</t>
        </is>
      </c>
      <c r="B393" s="18" t="inlineStr">
        <is>
          <t>10. Net assets, end of year</t>
        </is>
      </c>
      <c r="C393" s="18" t="inlineStr">
        <is>
          <t>FY2023</t>
        </is>
      </c>
      <c r="D393" s="9" t="n">
        <v>758492</v>
      </c>
      <c r="E393" s="9">
        <f>'Net-assets reconciliation'!E11</f>
        <v/>
      </c>
      <c r="F393" s="9">
        <f>E393-D393</f>
        <v/>
      </c>
    </row>
    <row r="394">
      <c r="A394" s="18" t="inlineStr">
        <is>
          <t>Net-assets reconciliation</t>
        </is>
      </c>
      <c r="B394" s="18" t="inlineStr">
        <is>
          <t>10. Net assets, end of year</t>
        </is>
      </c>
      <c r="C394" s="18" t="inlineStr">
        <is>
          <t>FY2024</t>
        </is>
      </c>
      <c r="D394" s="9" t="n">
        <v>812764</v>
      </c>
      <c r="E394" s="9">
        <f>'Net-assets reconciliation'!F11</f>
        <v/>
      </c>
      <c r="F394" s="9">
        <f>E394-D394</f>
        <v/>
      </c>
    </row>
    <row r="395">
      <c r="A395" s="18" t="inlineStr">
        <is>
          <t>Net-assets reconciliation</t>
        </is>
      </c>
      <c r="B395" s="18" t="inlineStr">
        <is>
          <t>10. Net assets, end of year</t>
        </is>
      </c>
      <c r="C395" s="18" t="inlineStr">
        <is>
          <t>FY2025</t>
        </is>
      </c>
      <c r="D395" s="9" t="n">
        <v>858035</v>
      </c>
      <c r="E395" s="9">
        <f>'Net-assets reconciliation'!G11</f>
        <v/>
      </c>
      <c r="F395" s="9">
        <f>E395-D395</f>
        <v/>
      </c>
    </row>
    <row r="397">
      <c r="A397" s="28" t="inlineStr">
        <is>
          <t>D. Preparer / auditor trail (one row per fiscal year, as filed)</t>
        </is>
      </c>
      <c r="B397" s="7" t="n"/>
      <c r="C397" s="7" t="n"/>
      <c r="D397" s="7" t="n"/>
      <c r="E397" s="7" t="n"/>
      <c r="F397" s="7" t="n"/>
      <c r="G397" s="7" t="n"/>
      <c r="H397" s="7" t="n"/>
      <c r="I397" s="7" t="n"/>
      <c r="J397" s="7" t="n"/>
      <c r="K397" s="7" t="n"/>
    </row>
    <row r="398">
      <c r="A398" s="5" t="inlineStr">
        <is>
          <t>Fiscal year</t>
        </is>
      </c>
      <c r="B398" s="5" t="inlineStr">
        <is>
          <t>Paid preparer</t>
        </is>
      </c>
      <c r="C398" s="5" t="inlineStr">
        <is>
          <t>Preparer firm</t>
        </is>
      </c>
      <c r="D398" s="5" t="inlineStr">
        <is>
          <t>Independent auditor</t>
        </is>
      </c>
      <c r="E398" s="5" t="inlineStr">
        <is>
          <t>Citation</t>
        </is>
      </c>
    </row>
    <row r="399" ht="42" customHeight="1">
      <c r="A399" s="26" t="inlineStr">
        <is>
          <t>FY2020</t>
        </is>
      </c>
      <c r="B399" s="8" t="inlineStr">
        <is>
          <t>Sally Westgate</t>
        </is>
      </c>
      <c r="C399" s="8" t="inlineStr">
        <is>
          <t>Goranson and Associates</t>
        </is>
      </c>
      <c r="D399" s="29" t="inlineStr">
        <is>
          <t>not reported</t>
        </is>
      </c>
      <c r="E399" s="13" t="inlineStr">
        <is>
          <t>Form 990 Return Header, Paid Preparer block (return_header.preparer_person_name / preparer_firm_name); auditor: Part XII line 2 reports audited financial statements but does not name the firm.</t>
        </is>
      </c>
    </row>
    <row r="400" ht="42" customHeight="1">
      <c r="A400" s="26" t="inlineStr">
        <is>
          <t>FY2021</t>
        </is>
      </c>
      <c r="B400" s="8" t="inlineStr">
        <is>
          <t>Blake Gunter</t>
        </is>
      </c>
      <c r="C400" s="8" t="inlineStr">
        <is>
          <t>Goranson Tax and Consulting Inc</t>
        </is>
      </c>
      <c r="D400" s="29" t="inlineStr">
        <is>
          <t>not reported</t>
        </is>
      </c>
      <c r="E400" s="13" t="inlineStr">
        <is>
          <t>Form 990 Return Header, Paid Preparer block (return_header.preparer_person_name / preparer_firm_name); auditor: Part XII line 2 reports audited financial statements but does not name the firm.</t>
        </is>
      </c>
    </row>
    <row r="401" ht="42" customHeight="1">
      <c r="A401" s="26" t="inlineStr">
        <is>
          <t>FY2022</t>
        </is>
      </c>
      <c r="B401" s="8" t="inlineStr">
        <is>
          <t>Blake Gunter</t>
        </is>
      </c>
      <c r="C401" s="8" t="inlineStr">
        <is>
          <t>Goranson Tax and Consulting Inc</t>
        </is>
      </c>
      <c r="D401" s="29" t="inlineStr">
        <is>
          <t>not reported</t>
        </is>
      </c>
      <c r="E401" s="13" t="inlineStr">
        <is>
          <t>Form 990 Return Header, Paid Preparer block (return_header.preparer_person_name / preparer_firm_name); auditor: Part XII line 2 reports audited financial statements but does not name the firm.</t>
        </is>
      </c>
    </row>
    <row r="402" ht="42" customHeight="1">
      <c r="A402" s="26" t="inlineStr">
        <is>
          <t>FY2023</t>
        </is>
      </c>
      <c r="B402" s="8" t="inlineStr">
        <is>
          <t>Blake Gunter</t>
        </is>
      </c>
      <c r="C402" s="8" t="inlineStr">
        <is>
          <t>Goranson Tax and Consulting Inc</t>
        </is>
      </c>
      <c r="D402" s="29" t="inlineStr">
        <is>
          <t>not reported</t>
        </is>
      </c>
      <c r="E402" s="13" t="inlineStr">
        <is>
          <t>Form 990 Return Header, Paid Preparer block (return_header.preparer_person_name / preparer_firm_name); auditor: Part XII line 2 reports audited financial statements but does not name the firm.</t>
        </is>
      </c>
    </row>
    <row r="403" ht="42" customHeight="1">
      <c r="A403" s="26" t="inlineStr">
        <is>
          <t>FY2024</t>
        </is>
      </c>
      <c r="B403" s="8" t="inlineStr">
        <is>
          <t>Blake Gunter</t>
        </is>
      </c>
      <c r="C403" s="8" t="inlineStr">
        <is>
          <t>Goranson Tax and Consulting Inc</t>
        </is>
      </c>
      <c r="D403" s="29" t="inlineStr">
        <is>
          <t>not reported</t>
        </is>
      </c>
      <c r="E403" s="13" t="inlineStr">
        <is>
          <t>Form 990 Return Header, Paid Preparer block (return_header.preparer_person_name / preparer_firm_name); auditor: Part XII line 2 reports audited financial statements but does not name the firm.</t>
        </is>
      </c>
    </row>
    <row r="404" ht="42" customHeight="1">
      <c r="A404" s="26" t="inlineStr">
        <is>
          <t>FY2025</t>
        </is>
      </c>
      <c r="B404" s="8" t="inlineStr">
        <is>
          <t>Blake Gunter</t>
        </is>
      </c>
      <c r="C404" s="8" t="inlineStr">
        <is>
          <t>Goranson Tax and Consulting Inc</t>
        </is>
      </c>
      <c r="D404" s="29" t="inlineStr">
        <is>
          <t>not reported</t>
        </is>
      </c>
      <c r="E404" s="13" t="inlineStr">
        <is>
          <t>Form 990 Return Header, Paid Preparer block (return_header.preparer_person_name / preparer_firm_name); auditor: Part XII line 2 reports audited financial statements but does not name the firm.</t>
        </is>
      </c>
    </row>
    <row r="406" ht="42" customHeight="1">
      <c r="A40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06:K406"/>
    <mergeCell ref="A2:K2"/>
    <mergeCell ref="A5:K5"/>
    <mergeCell ref="A1:K1"/>
  </mergeCells>
  <conditionalFormatting sqref="F352:F39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