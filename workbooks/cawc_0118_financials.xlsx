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Financial Summary - multi-year overview (USD)</t>
        </is>
      </c>
    </row>
    <row r="3">
      <c r="A3" s="2" t="inlineStr">
        <is>
          <t>Entity ID: cawc_0118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721580</v>
      </c>
      <c r="C10" s="9" t="n">
        <v>756877</v>
      </c>
      <c r="D10" s="9" t="n">
        <v>709753</v>
      </c>
      <c r="E10" s="9" t="n">
        <v>757844</v>
      </c>
      <c r="F10" s="9" t="n">
        <v>729434</v>
      </c>
    </row>
    <row r="11">
      <c r="A11" s="8" t="inlineStr">
        <is>
          <t xml:space="preserve">    Total expenses</t>
        </is>
      </c>
      <c r="B11" s="9" t="n">
        <v>868197</v>
      </c>
      <c r="C11" s="9" t="n">
        <v>503336</v>
      </c>
      <c r="D11" s="9" t="n">
        <v>582706</v>
      </c>
      <c r="E11" s="9" t="n">
        <v>696367</v>
      </c>
      <c r="F11" s="9" t="n">
        <v>692614</v>
      </c>
    </row>
    <row r="12">
      <c r="A12" s="10" t="inlineStr">
        <is>
          <t xml:space="preserve">    Net income</t>
        </is>
      </c>
      <c r="B12" s="11" t="n">
        <v>-146617</v>
      </c>
      <c r="C12" s="11" t="n">
        <v>253541</v>
      </c>
      <c r="D12" s="11" t="n">
        <v>127047</v>
      </c>
      <c r="E12" s="11" t="n">
        <v>61477</v>
      </c>
      <c r="F12" s="11" t="n">
        <v>36820</v>
      </c>
    </row>
    <row r="14">
      <c r="A14" s="6" t="inlineStr">
        <is>
          <t>Financial position (USD, end of year)</t>
        </is>
      </c>
      <c r="B14" s="7" t="n"/>
      <c r="C14" s="7" t="n"/>
      <c r="D14" s="7" t="n"/>
      <c r="E14" s="7" t="n"/>
      <c r="F14" s="7" t="n"/>
    </row>
    <row r="15">
      <c r="A15" s="8" t="inlineStr">
        <is>
          <t xml:space="preserve">    Total assets</t>
        </is>
      </c>
      <c r="B15" s="9" t="n">
        <v>1526167</v>
      </c>
      <c r="C15" s="9" t="n">
        <v>1760826</v>
      </c>
      <c r="D15" s="9" t="n">
        <v>1889697</v>
      </c>
      <c r="E15" s="9" t="n">
        <v>1952567</v>
      </c>
      <c r="F15" s="9" t="n">
        <v>1986092</v>
      </c>
    </row>
    <row r="16">
      <c r="A16" s="8" t="inlineStr">
        <is>
          <t xml:space="preserve">    Total liabilities</t>
        </is>
      </c>
      <c r="B16" s="9" t="n">
        <v>18960</v>
      </c>
      <c r="C16" s="9" t="n">
        <v>78</v>
      </c>
      <c r="D16" s="9" t="n">
        <v>1902</v>
      </c>
      <c r="E16" s="9" t="n">
        <v>3295</v>
      </c>
      <c r="F16" s="9" t="n">
        <v>0</v>
      </c>
    </row>
    <row r="17">
      <c r="A17" s="10" t="inlineStr">
        <is>
          <t xml:space="preserve">    Net assets</t>
        </is>
      </c>
      <c r="B17" s="11" t="n">
        <v>1507207</v>
      </c>
      <c r="C17" s="11" t="n">
        <v>1760748</v>
      </c>
      <c r="D17" s="11" t="n">
        <v>1887795</v>
      </c>
      <c r="E17" s="11" t="n">
        <v>1949272</v>
      </c>
      <c r="F17" s="11" t="n">
        <v>1986092</v>
      </c>
    </row>
    <row r="19">
      <c r="A19" s="6" t="inlineStr">
        <is>
          <t>Headline ratios</t>
        </is>
      </c>
      <c r="B19" s="7" t="n"/>
      <c r="C19" s="7" t="n"/>
      <c r="D19" s="7" t="n"/>
      <c r="E19" s="7" t="n"/>
      <c r="F19" s="7" t="n"/>
    </row>
    <row r="20">
      <c r="A20" s="8" t="inlineStr">
        <is>
          <t xml:space="preserve">    Operating margin</t>
        </is>
      </c>
      <c r="B20" s="12" t="n">
        <v>-0.2031888356107431</v>
      </c>
      <c r="C20" s="12" t="n">
        <v>0.3349830950075111</v>
      </c>
      <c r="D20" s="12" t="n">
        <v>0.1790017090452594</v>
      </c>
      <c r="E20" s="12" t="n">
        <v>0.08112091670581281</v>
      </c>
      <c r="F20" s="12" t="n">
        <v>0.05047749350866562</v>
      </c>
    </row>
    <row r="21">
      <c r="A21" s="8" t="inlineStr">
        <is>
          <t xml:space="preserve">    Revenue growth (YoY)</t>
        </is>
      </c>
      <c r="B21" s="12" t="n">
        <v>0.1234524076426774</v>
      </c>
      <c r="C21" s="12" t="n">
        <v>0.04891626708057319</v>
      </c>
      <c r="D21" s="12" t="n">
        <v>-0.0622611071547953</v>
      </c>
      <c r="E21" s="12" t="n">
        <v>0.06775737474868017</v>
      </c>
      <c r="F21" s="12" t="n">
        <v>-0.03748792627506452</v>
      </c>
    </row>
    <row r="22">
      <c r="A22" s="8" t="inlineStr">
        <is>
          <t xml:space="preserve">    Return on assets</t>
        </is>
      </c>
      <c r="B22" s="12" t="n">
        <v>-0.09606877884268235</v>
      </c>
      <c r="C22" s="12" t="n">
        <v>0.1439898093281221</v>
      </c>
      <c r="D22" s="12" t="n">
        <v>0.06723141329006714</v>
      </c>
      <c r="E22" s="12" t="n">
        <v>0.0314852192011849</v>
      </c>
      <c r="F22" s="12" t="n">
        <v>0.01853891964722681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Financial Statements - income statement, balance sheet, cash flow, member income test (USD)</t>
        </is>
      </c>
    </row>
    <row r="3">
      <c r="A3" s="2" t="inlineStr">
        <is>
          <t>Entity ID: cawc_0118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679382</v>
      </c>
      <c r="C8" s="9" t="n">
        <v>723358</v>
      </c>
      <c r="D8" s="9" t="n">
        <v>676409</v>
      </c>
      <c r="E8" s="9" t="n">
        <v>693775</v>
      </c>
      <c r="F8" s="9" t="n">
        <v>666176</v>
      </c>
    </row>
    <row r="9">
      <c r="A9" s="8" t="inlineStr">
        <is>
          <t xml:space="preserve">    Investment income</t>
        </is>
      </c>
      <c r="B9" s="9" t="n">
        <v>10555</v>
      </c>
      <c r="C9" s="9" t="n">
        <v>926</v>
      </c>
      <c r="D9" s="9" t="n">
        <v>-226</v>
      </c>
      <c r="E9" s="9" t="n">
        <v>32429</v>
      </c>
      <c r="F9" s="9" t="n">
        <v>24707</v>
      </c>
    </row>
    <row r="10">
      <c r="A10" s="8" t="inlineStr">
        <is>
          <t xml:space="preserve">    Net rental income</t>
        </is>
      </c>
      <c r="B10" s="9" t="n">
        <v>31643</v>
      </c>
      <c r="C10" s="9" t="n">
        <v>32593</v>
      </c>
      <c r="D10" s="9" t="n">
        <v>33570</v>
      </c>
      <c r="E10" s="9" t="n">
        <v>31640</v>
      </c>
      <c r="F10" s="9" t="n">
        <v>38551</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721580</v>
      </c>
      <c r="C14" s="11" t="n">
        <v>756877</v>
      </c>
      <c r="D14" s="11" t="n">
        <v>709753</v>
      </c>
      <c r="E14" s="11" t="n">
        <v>757844</v>
      </c>
      <c r="F14" s="11" t="n">
        <v>729434</v>
      </c>
    </row>
    <row r="16">
      <c r="A16" s="6" t="inlineStr">
        <is>
          <t>Expenses</t>
        </is>
      </c>
      <c r="B16" s="7" t="n"/>
      <c r="C16" s="7" t="n"/>
      <c r="D16" s="7" t="n"/>
      <c r="E16" s="7" t="n"/>
      <c r="F16" s="7" t="n"/>
    </row>
    <row r="17">
      <c r="A17" s="8" t="inlineStr">
        <is>
          <t xml:space="preserve">    Depreciation</t>
        </is>
      </c>
      <c r="B17" s="9" t="n">
        <v>38632</v>
      </c>
      <c r="C17" s="9" t="n">
        <v>58664</v>
      </c>
      <c r="D17" s="9" t="n">
        <v>57758</v>
      </c>
      <c r="E17" s="9" t="n">
        <v>72686</v>
      </c>
      <c r="F17" s="9" t="n">
        <v>79202</v>
      </c>
    </row>
    <row r="18">
      <c r="A18" s="8" t="inlineStr">
        <is>
          <t xml:space="preserve">    Interest expense</t>
        </is>
      </c>
      <c r="B18" s="9" t="n">
        <v>0</v>
      </c>
      <c r="C18" s="9" t="n">
        <v>0</v>
      </c>
      <c r="D18" s="9" t="n">
        <v>0</v>
      </c>
      <c r="E18" s="9" t="n">
        <v>0</v>
      </c>
      <c r="F18" s="9" t="n">
        <v>0</v>
      </c>
    </row>
    <row r="19">
      <c r="A19" s="10" t="inlineStr">
        <is>
          <t>Total expenses</t>
        </is>
      </c>
      <c r="B19" s="11" t="n">
        <v>868197</v>
      </c>
      <c r="C19" s="11" t="n">
        <v>503336</v>
      </c>
      <c r="D19" s="11" t="n">
        <v>582706</v>
      </c>
      <c r="E19" s="11" t="n">
        <v>696367</v>
      </c>
      <c r="F19" s="11" t="n">
        <v>692614</v>
      </c>
    </row>
    <row r="21">
      <c r="A21" s="10" t="inlineStr">
        <is>
          <t>Net income</t>
        </is>
      </c>
      <c r="B21" s="11" t="n">
        <v>-146617</v>
      </c>
      <c r="C21" s="11" t="n">
        <v>253541</v>
      </c>
      <c r="D21" s="11" t="n">
        <v>127047</v>
      </c>
      <c r="E21" s="11" t="n">
        <v>61477</v>
      </c>
      <c r="F21" s="11" t="n">
        <v>36820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0</v>
      </c>
      <c r="C27" s="9" t="n">
        <v>349644</v>
      </c>
      <c r="D27" s="9" t="n">
        <v>132801</v>
      </c>
      <c r="E27" s="9" t="n">
        <v>324746</v>
      </c>
      <c r="F27" s="9" t="n">
        <v>347546</v>
      </c>
    </row>
    <row r="28">
      <c r="A28" s="8" t="inlineStr">
        <is>
          <t xml:space="preserve">    Savings &amp; temporary investments</t>
        </is>
      </c>
      <c r="B28" s="9" t="n">
        <v>642886</v>
      </c>
      <c r="C28" s="9" t="n">
        <v>584342</v>
      </c>
      <c r="D28" s="9" t="n">
        <v>584116</v>
      </c>
      <c r="E28" s="9" t="n">
        <v>429056</v>
      </c>
      <c r="F28" s="9" t="n">
        <v>481763</v>
      </c>
    </row>
    <row r="29">
      <c r="A29" s="8" t="inlineStr">
        <is>
          <t xml:space="preserve">    Accounts receivable</t>
        </is>
      </c>
      <c r="B29" s="9" t="n">
        <v>0</v>
      </c>
      <c r="C29" s="9" t="n">
        <v>0</v>
      </c>
      <c r="D29" s="9" t="n">
        <v>0</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231</v>
      </c>
      <c r="C31" s="9" t="n">
        <v>778</v>
      </c>
      <c r="D31" s="9" t="n">
        <v>30</v>
      </c>
      <c r="E31" s="9" t="n">
        <v>0</v>
      </c>
      <c r="F31" s="9" t="n">
        <v>183</v>
      </c>
    </row>
    <row r="32">
      <c r="A32" s="8" t="inlineStr">
        <is>
          <t xml:space="preserve">    Property, plant &amp; equipment (gross)</t>
        </is>
      </c>
      <c r="B32" s="9" t="n">
        <v>2124961</v>
      </c>
      <c r="C32" s="9" t="n">
        <v>2126637</v>
      </c>
      <c r="D32" s="9" t="n">
        <v>2516005</v>
      </c>
      <c r="E32" s="9" t="n">
        <v>2629415</v>
      </c>
      <c r="F32" s="9" t="n">
        <v>2666452</v>
      </c>
    </row>
    <row r="33">
      <c r="A33" s="8" t="inlineStr">
        <is>
          <t xml:space="preserve">    Less: accumulated depreciation</t>
        </is>
      </c>
      <c r="B33" s="9" t="n">
        <v>-1242549</v>
      </c>
      <c r="C33" s="9" t="n">
        <v>-1301213</v>
      </c>
      <c r="D33" s="9" t="n">
        <v>-1358602</v>
      </c>
      <c r="E33" s="9" t="n">
        <v>-1431288</v>
      </c>
      <c r="F33" s="9" t="n">
        <v>-1510490</v>
      </c>
    </row>
    <row r="34">
      <c r="A34" s="10" t="inlineStr">
        <is>
          <t xml:space="preserve">    Net property, plant &amp; equipment</t>
        </is>
      </c>
      <c r="B34" s="11" t="n">
        <v>882412</v>
      </c>
      <c r="C34" s="11" t="n">
        <v>825424</v>
      </c>
      <c r="D34" s="11" t="n">
        <v>1157403</v>
      </c>
      <c r="E34" s="11" t="n">
        <v>1198127</v>
      </c>
      <c r="F34" s="11" t="n">
        <v>1155962</v>
      </c>
    </row>
    <row r="35">
      <c r="A35" s="10" t="inlineStr">
        <is>
          <t>Total assets</t>
        </is>
      </c>
      <c r="B35" s="11" t="n">
        <v>1526167</v>
      </c>
      <c r="C35" s="11" t="n">
        <v>1760826</v>
      </c>
      <c r="D35" s="11" t="n">
        <v>1889697</v>
      </c>
      <c r="E35" s="11" t="n">
        <v>1952567</v>
      </c>
      <c r="F35" s="11" t="n">
        <v>1986092</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18960</v>
      </c>
      <c r="C40" s="11" t="n">
        <v>78</v>
      </c>
      <c r="D40" s="11" t="n">
        <v>1902</v>
      </c>
      <c r="E40" s="11" t="n">
        <v>3295</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1507207</v>
      </c>
      <c r="C46" s="11" t="n">
        <v>1760748</v>
      </c>
      <c r="D46" s="11" t="n">
        <v>1887795</v>
      </c>
      <c r="E46" s="11" t="n">
        <v>1949272</v>
      </c>
      <c r="F46" s="11" t="n">
        <v>1986092</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-146617</v>
      </c>
      <c r="C52" s="9" t="n">
        <v>253541</v>
      </c>
      <c r="D52" s="9" t="n">
        <v>127047</v>
      </c>
      <c r="E52" s="9" t="n">
        <v>61477</v>
      </c>
      <c r="F52" s="9" t="n">
        <v>36820</v>
      </c>
    </row>
    <row r="53">
      <c r="A53" s="8" t="inlineStr">
        <is>
          <t xml:space="preserve">    + Depreciation (reported)</t>
        </is>
      </c>
      <c r="B53" s="9" t="n">
        <v>38632</v>
      </c>
      <c r="C53" s="9" t="n">
        <v>58664</v>
      </c>
      <c r="D53" s="9" t="n">
        <v>57758</v>
      </c>
      <c r="E53" s="9" t="n">
        <v>72686</v>
      </c>
      <c r="F53" s="9" t="n">
        <v>79202</v>
      </c>
    </row>
    <row r="54">
      <c r="A54" s="8" t="inlineStr">
        <is>
          <t xml:space="preserve">    − Δ Accounts receivable</t>
        </is>
      </c>
      <c r="B54" s="9" t="n"/>
      <c r="C54" s="9" t="n">
        <v>0</v>
      </c>
      <c r="D54" s="9" t="n">
        <v>0</v>
      </c>
      <c r="E54" s="9" t="n">
        <v>0</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-547</v>
      </c>
      <c r="D56" s="9" t="n">
        <v>748</v>
      </c>
      <c r="E56" s="9" t="n">
        <v>30</v>
      </c>
      <c r="F56" s="9" t="n">
        <v>-183</v>
      </c>
    </row>
    <row r="57">
      <c r="A57" s="8" t="inlineStr">
        <is>
          <t xml:space="preserve">    + Δ Accounts payable</t>
        </is>
      </c>
      <c r="B57" s="9" t="n"/>
      <c r="C57" s="9" t="n"/>
      <c r="D57" s="9" t="n"/>
      <c r="E57" s="9" t="n"/>
      <c r="F57" s="9" t="n"/>
    </row>
    <row r="58">
      <c r="A58" s="10" t="inlineStr">
        <is>
          <t xml:space="preserve">    Operating cash flow proxy</t>
        </is>
      </c>
      <c r="B58" s="11" t="n"/>
      <c r="C58" s="11" t="n">
        <v>311658</v>
      </c>
      <c r="D58" s="11" t="n">
        <v>185553</v>
      </c>
      <c r="E58" s="11" t="n">
        <v>134193</v>
      </c>
      <c r="F58" s="11" t="n">
        <v>115839</v>
      </c>
    </row>
    <row r="60">
      <c r="A60" s="6" t="inlineStr">
        <is>
          <t>Investing</t>
        </is>
      </c>
      <c r="B60" s="7" t="n"/>
      <c r="C60" s="7" t="n"/>
      <c r="D60" s="7" t="n"/>
      <c r="E60" s="7" t="n"/>
      <c r="F60" s="7" t="n"/>
    </row>
    <row r="61">
      <c r="A61" s="8" t="inlineStr">
        <is>
          <t xml:space="preserve">    − Δ PP&amp;E gross (capex proxy)</t>
        </is>
      </c>
      <c r="B61" s="9" t="n"/>
      <c r="C61" s="9" t="n">
        <v>-1676</v>
      </c>
      <c r="D61" s="9" t="n">
        <v>-389368</v>
      </c>
      <c r="E61" s="9" t="n">
        <v>-113410</v>
      </c>
      <c r="F61" s="9" t="n">
        <v>-37037</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291100</v>
      </c>
      <c r="D67" s="11" t="n">
        <v>-217069</v>
      </c>
      <c r="E67" s="11" t="n">
        <v>36885</v>
      </c>
      <c r="F67" s="11" t="n">
        <v>75507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9" t="n">
        <v>720505</v>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9" t="n">
        <v>36372</v>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Balance Sheet - as reported (USD, end of year)</t>
        </is>
      </c>
    </row>
    <row r="3">
      <c r="A3" s="2" t="inlineStr">
        <is>
          <t>Entity ID: cawc_0118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0</v>
      </c>
      <c r="C7" s="9" t="n">
        <v>349644</v>
      </c>
      <c r="D7" s="9" t="n">
        <v>132801</v>
      </c>
      <c r="E7" s="9" t="n">
        <v>324746</v>
      </c>
      <c r="F7" s="9" t="n">
        <v>347546</v>
      </c>
    </row>
    <row r="8">
      <c r="A8" s="8" t="inlineStr">
        <is>
          <t xml:space="preserve">    Savings &amp; temporary investments</t>
        </is>
      </c>
      <c r="B8" s="9" t="n">
        <v>642886</v>
      </c>
      <c r="C8" s="9" t="n">
        <v>584342</v>
      </c>
      <c r="D8" s="9" t="n">
        <v>584116</v>
      </c>
      <c r="E8" s="9" t="n">
        <v>429056</v>
      </c>
      <c r="F8" s="9" t="n">
        <v>481763</v>
      </c>
    </row>
    <row r="9">
      <c r="A9" s="8" t="inlineStr">
        <is>
          <t xml:space="preserve">    Accounts receivable</t>
        </is>
      </c>
      <c r="B9" s="9" t="n">
        <v>0</v>
      </c>
      <c r="C9" s="9" t="n">
        <v>0</v>
      </c>
      <c r="D9" s="9" t="n">
        <v>0</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231</v>
      </c>
      <c r="C11" s="9" t="n">
        <v>778</v>
      </c>
      <c r="D11" s="9" t="n">
        <v>30</v>
      </c>
      <c r="E11" s="9" t="n">
        <v>0</v>
      </c>
      <c r="F11" s="9" t="n">
        <v>183</v>
      </c>
    </row>
    <row r="12">
      <c r="A12" s="8" t="inlineStr">
        <is>
          <t xml:space="preserve">    Property, plant &amp; equipment (gross)</t>
        </is>
      </c>
      <c r="B12" s="9" t="n">
        <v>2124961</v>
      </c>
      <c r="C12" s="9" t="n">
        <v>2126637</v>
      </c>
      <c r="D12" s="9" t="n">
        <v>2516005</v>
      </c>
      <c r="E12" s="9" t="n">
        <v>2629415</v>
      </c>
      <c r="F12" s="9" t="n">
        <v>2666452</v>
      </c>
    </row>
    <row r="13">
      <c r="A13" s="8" t="inlineStr">
        <is>
          <t xml:space="preserve">    Less: accumulated depreciation</t>
        </is>
      </c>
      <c r="B13" s="9" t="n">
        <v>-1242549</v>
      </c>
      <c r="C13" s="9" t="n">
        <v>-1301213</v>
      </c>
      <c r="D13" s="9" t="n">
        <v>-1358602</v>
      </c>
      <c r="E13" s="9" t="n">
        <v>-1431288</v>
      </c>
      <c r="F13" s="9" t="n">
        <v>-1510490</v>
      </c>
    </row>
    <row r="14">
      <c r="A14" s="10" t="inlineStr">
        <is>
          <t xml:space="preserve">    Net property, plant &amp; equipment</t>
        </is>
      </c>
      <c r="B14" s="11" t="n">
        <v>882412</v>
      </c>
      <c r="C14" s="11" t="n">
        <v>825424</v>
      </c>
      <c r="D14" s="11" t="n">
        <v>1157403</v>
      </c>
      <c r="E14" s="11" t="n">
        <v>1198127</v>
      </c>
      <c r="F14" s="11" t="n">
        <v>1155962</v>
      </c>
    </row>
    <row r="15">
      <c r="A15" s="10" t="inlineStr">
        <is>
          <t>Total assets</t>
        </is>
      </c>
      <c r="B15" s="11" t="n">
        <v>1526167</v>
      </c>
      <c r="C15" s="11" t="n">
        <v>1760826</v>
      </c>
      <c r="D15" s="11" t="n">
        <v>1889697</v>
      </c>
      <c r="E15" s="11" t="n">
        <v>1952567</v>
      </c>
      <c r="F15" s="11" t="n">
        <v>1986092</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18960</v>
      </c>
      <c r="C20" s="11" t="n">
        <v>78</v>
      </c>
      <c r="D20" s="11" t="n">
        <v>1902</v>
      </c>
      <c r="E20" s="11" t="n">
        <v>3295</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1507207</v>
      </c>
      <c r="C26" s="11" t="n">
        <v>1760748</v>
      </c>
      <c r="D26" s="11" t="n">
        <v>1887795</v>
      </c>
      <c r="E26" s="11" t="n">
        <v>1949272</v>
      </c>
      <c r="F26" s="11" t="n">
        <v>1986092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Morro Rock Mutual Water Company</t>
        </is>
      </c>
    </row>
    <row r="2">
      <c r="A2" s="2" t="inlineStr">
        <is>
          <t>Officers, Directors &amp; Contractors - Form 990 Part VII (FY2024; USD)</t>
        </is>
      </c>
    </row>
    <row r="3">
      <c r="A3" s="2" t="inlineStr">
        <is>
          <t>Entity ID: cawc_0118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MORGAN BRETT</t>
        </is>
      </c>
      <c r="B7" s="8" t="inlineStr">
        <is>
          <t>Director</t>
        </is>
      </c>
      <c r="C7" s="9" t="n">
        <v>0</v>
      </c>
      <c r="D7" s="9" t="n">
        <v>0</v>
      </c>
      <c r="E7" s="9" t="n">
        <v>0</v>
      </c>
      <c r="F7" s="9" t="n">
        <v>0</v>
      </c>
    </row>
    <row r="8">
      <c r="A8" s="8" t="inlineStr">
        <is>
          <t>DAVID BRANDMEYER</t>
        </is>
      </c>
      <c r="B8" s="8" t="inlineStr">
        <is>
          <t>Director</t>
        </is>
      </c>
      <c r="C8" s="9" t="n">
        <v>0</v>
      </c>
      <c r="D8" s="9" t="n">
        <v>0</v>
      </c>
      <c r="E8" s="9" t="n">
        <v>0</v>
      </c>
      <c r="F8" s="9" t="n">
        <v>0</v>
      </c>
    </row>
    <row r="9">
      <c r="A9" s="8" t="inlineStr">
        <is>
          <t>SCOTT MURRAY</t>
        </is>
      </c>
      <c r="B9" s="8" t="inlineStr">
        <is>
          <t>Vice President</t>
        </is>
      </c>
      <c r="C9" s="9" t="n">
        <v>0</v>
      </c>
      <c r="D9" s="9" t="n">
        <v>0</v>
      </c>
      <c r="E9" s="9" t="n">
        <v>0</v>
      </c>
      <c r="F9" s="9" t="n">
        <v>0</v>
      </c>
    </row>
    <row r="10">
      <c r="A10" s="8" t="inlineStr">
        <is>
          <t>GEORGE BRETT</t>
        </is>
      </c>
      <c r="B10" s="8" t="inlineStr">
        <is>
          <t>President</t>
        </is>
      </c>
      <c r="C10" s="9" t="n">
        <v>0</v>
      </c>
      <c r="D10" s="9" t="n">
        <v>0</v>
      </c>
      <c r="E10" s="9" t="n">
        <v>0</v>
      </c>
      <c r="F10" s="9" t="n">
        <v>0</v>
      </c>
    </row>
    <row r="11">
      <c r="A11" s="8" t="inlineStr">
        <is>
          <t>JOHN CURTI</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Revenue - Form 990 Part VIII (USD)</t>
        </is>
      </c>
    </row>
    <row r="3">
      <c r="A3" s="2" t="inlineStr">
        <is>
          <t>Entity ID: cawc_0118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679382</v>
      </c>
      <c r="C8" s="9" t="n">
        <v>723358</v>
      </c>
      <c r="D8" s="9" t="n">
        <v>676409</v>
      </c>
      <c r="E8" s="9" t="n">
        <v>693775</v>
      </c>
      <c r="F8" s="9" t="n">
        <v>666176</v>
      </c>
    </row>
    <row r="9">
      <c r="A9" s="8" t="inlineStr">
        <is>
          <t xml:space="preserve">    3. Investment income</t>
        </is>
      </c>
      <c r="B9" s="9" t="n">
        <v>10555</v>
      </c>
      <c r="C9" s="9" t="n">
        <v>926</v>
      </c>
      <c r="D9" s="9" t="n">
        <v>-226</v>
      </c>
      <c r="E9" s="9" t="n">
        <v>32429</v>
      </c>
      <c r="F9" s="9" t="n">
        <v>24707</v>
      </c>
    </row>
    <row r="10">
      <c r="A10" s="8" t="inlineStr">
        <is>
          <t xml:space="preserve">    6d. Net rental income</t>
        </is>
      </c>
      <c r="B10" s="9" t="n">
        <v>31643</v>
      </c>
      <c r="C10" s="9" t="n">
        <v>32593</v>
      </c>
      <c r="D10" s="9" t="n">
        <v>33570</v>
      </c>
      <c r="E10" s="9" t="n">
        <v>31640</v>
      </c>
      <c r="F10" s="9" t="n">
        <v>38551</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CAPITAL FUND ASSESSMENT</t>
        </is>
      </c>
      <c r="B17" s="8" t="n"/>
      <c r="C17" s="9" t="n">
        <v>140326</v>
      </c>
    </row>
    <row r="18">
      <c r="A18" s="8" t="inlineStr">
        <is>
          <t>MISC INCOME</t>
        </is>
      </c>
      <c r="B18" s="8" t="n"/>
      <c r="C18" s="9" t="n">
        <v>6519</v>
      </c>
    </row>
    <row r="19">
      <c r="A19" s="8" t="inlineStr">
        <is>
          <t>NEW CONNECTIONS</t>
        </is>
      </c>
      <c r="B19" s="8" t="n"/>
      <c r="C19" s="9" t="n">
        <v>7867</v>
      </c>
    </row>
    <row r="20">
      <c r="A20" s="8" t="inlineStr">
        <is>
          <t>PENALTIES</t>
        </is>
      </c>
      <c r="B20" s="8" t="n"/>
      <c r="C20" s="9" t="n">
        <v>7654</v>
      </c>
    </row>
    <row r="21">
      <c r="A21" s="8" t="inlineStr">
        <is>
          <t>WATER SALES</t>
        </is>
      </c>
      <c r="B21" s="8" t="inlineStr">
        <is>
          <t>221000</t>
        </is>
      </c>
      <c r="C21" s="9" t="n">
        <v>492183</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Morro Rock Mutual Water Company</t>
        </is>
      </c>
    </row>
    <row r="2">
      <c r="A2" s="2" t="inlineStr">
        <is>
          <t>Statement of Functional Expenses - Form 990 Part IX (USD)</t>
        </is>
      </c>
    </row>
    <row r="3">
      <c r="A3" s="2" t="inlineStr">
        <is>
          <t>Entity ID: cawc_0118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2700</v>
      </c>
      <c r="C11" s="9" t="n">
        <v>2525</v>
      </c>
      <c r="D11" s="9" t="n">
        <v>2050</v>
      </c>
      <c r="E11" s="9" t="n">
        <v>2075</v>
      </c>
      <c r="F11" s="9" t="n">
        <v>2400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158374</v>
      </c>
      <c r="C13" s="9" t="n">
        <v>110933</v>
      </c>
      <c r="D13" s="9" t="n">
        <v>143785</v>
      </c>
      <c r="E13" s="9" t="n">
        <v>131045</v>
      </c>
      <c r="F13" s="9" t="n">
        <v>135002</v>
      </c>
    </row>
    <row r="14">
      <c r="A14" s="8" t="inlineStr">
        <is>
          <t xml:space="preserve">    8. Pension plan accruals and contributions</t>
        </is>
      </c>
      <c r="B14" s="9" t="n">
        <v>3686</v>
      </c>
      <c r="C14" s="9" t="n">
        <v>3778</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13584</v>
      </c>
      <c r="C16" s="9" t="n">
        <v>9580</v>
      </c>
      <c r="D16" s="9" t="n">
        <v>12446</v>
      </c>
      <c r="E16" s="9" t="n">
        <v>15595</v>
      </c>
      <c r="F16" s="9" t="n">
        <v>15372</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1860</v>
      </c>
      <c r="C18" s="9" t="n">
        <v>0</v>
      </c>
      <c r="D18" s="9" t="n">
        <v>111</v>
      </c>
      <c r="E18" s="9" t="n">
        <v>153</v>
      </c>
      <c r="F18" s="9" t="n">
        <v>104</v>
      </c>
    </row>
    <row r="19">
      <c r="A19" s="8" t="inlineStr">
        <is>
          <t xml:space="preserve">    11c. Fees for services: accounting</t>
        </is>
      </c>
      <c r="B19" s="9" t="n">
        <v>1600</v>
      </c>
      <c r="C19" s="9" t="n">
        <v>1655</v>
      </c>
      <c r="D19" s="9" t="n">
        <v>2332</v>
      </c>
      <c r="E19" s="9" t="n">
        <v>1610</v>
      </c>
      <c r="F19" s="9" t="n">
        <v>3975</v>
      </c>
    </row>
    <row r="20">
      <c r="A20" s="8" t="inlineStr">
        <is>
          <t xml:space="preserve">    11d. Fees for services: lobbying</t>
        </is>
      </c>
      <c r="B20" s="9" t="n">
        <v>0</v>
      </c>
      <c r="C20" s="9" t="n">
        <v>2765</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160</v>
      </c>
      <c r="D24" s="9" t="n">
        <v>213</v>
      </c>
      <c r="E24" s="9" t="n">
        <v>172</v>
      </c>
      <c r="F24" s="9" t="n">
        <v>91</v>
      </c>
    </row>
    <row r="25">
      <c r="A25" s="8" t="inlineStr">
        <is>
          <t xml:space="preserve">    13. Office expenses</t>
        </is>
      </c>
      <c r="B25" s="9" t="n">
        <v>23800</v>
      </c>
      <c r="C25" s="9" t="n">
        <v>23225</v>
      </c>
      <c r="D25" s="9" t="n">
        <v>13587</v>
      </c>
      <c r="E25" s="9" t="n">
        <v>40403</v>
      </c>
      <c r="F25" s="9" t="n">
        <v>27619</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5795</v>
      </c>
      <c r="C28" s="9" t="n">
        <v>7867</v>
      </c>
      <c r="D28" s="9" t="n">
        <v>8623</v>
      </c>
      <c r="E28" s="9" t="n">
        <v>8644</v>
      </c>
      <c r="F28" s="9" t="n">
        <v>9586</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695</v>
      </c>
      <c r="E31" s="9" t="n">
        <v>215</v>
      </c>
      <c r="F31" s="9" t="n">
        <v>38</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38632</v>
      </c>
      <c r="C34" s="9" t="n">
        <v>58664</v>
      </c>
      <c r="D34" s="9" t="n">
        <v>57758</v>
      </c>
      <c r="E34" s="9" t="n">
        <v>72686</v>
      </c>
      <c r="F34" s="9" t="n">
        <v>79202</v>
      </c>
    </row>
    <row r="35">
      <c r="A35" s="8" t="inlineStr">
        <is>
          <t xml:space="preserve">    23. Insurance</t>
        </is>
      </c>
      <c r="B35" s="9" t="n">
        <v>5085</v>
      </c>
      <c r="C35" s="9" t="n">
        <v>7579</v>
      </c>
      <c r="D35" s="9" t="n">
        <v>9751</v>
      </c>
      <c r="E35" s="9" t="n">
        <v>7012</v>
      </c>
      <c r="F35" s="9" t="n">
        <v>9066</v>
      </c>
    </row>
    <row r="36">
      <c r="A36" s="8" t="inlineStr">
        <is>
          <t xml:space="preserve">    24. OPERATING LEASE</t>
        </is>
      </c>
      <c r="B36" s="9" t="n">
        <v>578885</v>
      </c>
      <c r="C36" s="9" t="n">
        <v>236751</v>
      </c>
      <c r="D36" s="9" t="n">
        <v>294168</v>
      </c>
      <c r="E36" s="9" t="n">
        <v>320797</v>
      </c>
      <c r="F36" s="9" t="n">
        <v>322753</v>
      </c>
    </row>
    <row r="37">
      <c r="A37" s="8" t="inlineStr">
        <is>
          <t xml:space="preserve">    24. REPAIRS &amp; MAINTENANCE</t>
        </is>
      </c>
      <c r="B37" s="9" t="n">
        <v>8556</v>
      </c>
      <c r="C37" s="9" t="n">
        <v>10862</v>
      </c>
      <c r="D37" s="9" t="n">
        <v>10391</v>
      </c>
      <c r="E37" s="9" t="n">
        <v>53657</v>
      </c>
      <c r="F37" s="9" t="n">
        <v>25142</v>
      </c>
    </row>
    <row r="38">
      <c r="A38" s="8" t="inlineStr">
        <is>
          <t xml:space="preserve">    24. PERMITS AND LICENSES</t>
        </is>
      </c>
      <c r="B38" s="9" t="n">
        <v>6524</v>
      </c>
      <c r="C38" s="9" t="n">
        <v>8580</v>
      </c>
      <c r="D38" s="9" t="n">
        <v>7035</v>
      </c>
      <c r="E38" s="9" t="n">
        <v>10254</v>
      </c>
      <c r="F38" s="9" t="n">
        <v>10401</v>
      </c>
    </row>
    <row r="39">
      <c r="A39" s="8" t="inlineStr">
        <is>
          <t xml:space="preserve">    24. TRUCK ALLOWANCE</t>
        </is>
      </c>
      <c r="B39" s="9" t="n">
        <v>6400</v>
      </c>
      <c r="C39" s="9" t="n">
        <v>6073</v>
      </c>
      <c r="D39" s="9" t="n">
        <v>6770</v>
      </c>
      <c r="E39" s="9" t="n">
        <v>7008</v>
      </c>
      <c r="F39" s="14" t="inlineStr">
        <is>
          <t>not reported</t>
        </is>
      </c>
    </row>
    <row r="40">
      <c r="A40" s="8" t="inlineStr">
        <is>
          <t xml:space="preserve">    24. METER CONNECTIONS</t>
        </is>
      </c>
      <c r="B40" s="14" t="inlineStr">
        <is>
          <t>not reported</t>
        </is>
      </c>
      <c r="C40" s="14" t="inlineStr">
        <is>
          <t>not reported</t>
        </is>
      </c>
      <c r="D40" s="14" t="inlineStr">
        <is>
          <t>not reported</t>
        </is>
      </c>
      <c r="E40" s="14" t="inlineStr">
        <is>
          <t>not reported</t>
        </is>
      </c>
      <c r="F40" s="9" t="n">
        <v>27085</v>
      </c>
    </row>
    <row r="41">
      <c r="A41" s="8" t="inlineStr">
        <is>
          <t xml:space="preserve">    24e. All other expenses</t>
        </is>
      </c>
      <c r="B41" s="9" t="n">
        <v>12716</v>
      </c>
      <c r="C41" s="9" t="n">
        <v>12339</v>
      </c>
      <c r="D41" s="9" t="n">
        <v>12991</v>
      </c>
      <c r="E41" s="9" t="n">
        <v>25041</v>
      </c>
      <c r="F41" s="9" t="n">
        <v>24778</v>
      </c>
    </row>
    <row r="42">
      <c r="A42" s="10" t="inlineStr">
        <is>
          <t>25. Total functional expenses</t>
        </is>
      </c>
      <c r="B42" s="11">
        <f>SUM(B7:B41)</f>
        <v/>
      </c>
      <c r="C42" s="11">
        <f>SUM(C7:C41)</f>
        <v/>
      </c>
      <c r="D42" s="11">
        <f>SUM(D7:D41)</f>
        <v/>
      </c>
      <c r="E42" s="11">
        <f>SUM(E7:E41)</f>
        <v/>
      </c>
      <c r="F42" s="11">
        <f>SUM(F7:F41)</f>
        <v/>
      </c>
    </row>
    <row r="44">
      <c r="A44" s="6" t="inlineStr">
        <is>
          <t>Functional column split - FY2024 (col A = B + C + D)</t>
        </is>
      </c>
      <c r="B44" s="7" t="n"/>
      <c r="C44" s="7" t="n"/>
      <c r="D44" s="7" t="n"/>
      <c r="E44" s="7" t="n"/>
      <c r="F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2400</v>
      </c>
      <c r="C50" s="9" t="n">
        <v>2400</v>
      </c>
      <c r="D50" s="9" t="n"/>
      <c r="E50" s="9" t="n"/>
    </row>
    <row r="51">
      <c r="A51" s="18" t="inlineStr">
        <is>
          <t>6. Compensation to disqualified persons</t>
        </is>
      </c>
      <c r="B51" s="9" t="n">
        <v>0</v>
      </c>
      <c r="C51" s="9" t="n"/>
      <c r="D51" s="9" t="n"/>
      <c r="E51" s="9" t="n"/>
    </row>
    <row r="52">
      <c r="A52" s="18" t="inlineStr">
        <is>
          <t>7. Other salaries and wages</t>
        </is>
      </c>
      <c r="B52" s="9" t="n">
        <v>135002</v>
      </c>
      <c r="C52" s="9" t="n">
        <v>135002</v>
      </c>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15372</v>
      </c>
      <c r="C55" s="9" t="n">
        <v>15372</v>
      </c>
      <c r="D55" s="9" t="n"/>
      <c r="E55" s="9" t="n"/>
    </row>
    <row r="56">
      <c r="A56" s="18" t="inlineStr">
        <is>
          <t>11a. Fees for services: management</t>
        </is>
      </c>
      <c r="B56" s="9" t="n">
        <v>0</v>
      </c>
      <c r="C56" s="9" t="n"/>
      <c r="D56" s="9" t="n"/>
      <c r="E56" s="9" t="n"/>
    </row>
    <row r="57">
      <c r="A57" s="18" t="inlineStr">
        <is>
          <t>11b. Fees for services: legal</t>
        </is>
      </c>
      <c r="B57" s="9" t="n">
        <v>104</v>
      </c>
      <c r="C57" s="9" t="n">
        <v>104</v>
      </c>
      <c r="D57" s="9" t="n"/>
      <c r="E57" s="9" t="n"/>
    </row>
    <row r="58">
      <c r="A58" s="18" t="inlineStr">
        <is>
          <t>11c. Fees for services: accounting</t>
        </is>
      </c>
      <c r="B58" s="9" t="n">
        <v>3975</v>
      </c>
      <c r="C58" s="9" t="n">
        <v>3975</v>
      </c>
      <c r="D58" s="9" t="n"/>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0</v>
      </c>
      <c r="C62" s="9" t="n"/>
      <c r="D62" s="9" t="n"/>
      <c r="E62" s="9" t="n"/>
    </row>
    <row r="63">
      <c r="A63" s="18" t="inlineStr">
        <is>
          <t>12. Advertising and promotion</t>
        </is>
      </c>
      <c r="B63" s="9" t="n">
        <v>91</v>
      </c>
      <c r="C63" s="9" t="n">
        <v>91</v>
      </c>
      <c r="D63" s="9" t="n"/>
      <c r="E63" s="9" t="n"/>
    </row>
    <row r="64">
      <c r="A64" s="18" t="inlineStr">
        <is>
          <t>13. Office expenses</t>
        </is>
      </c>
      <c r="B64" s="9" t="n">
        <v>27619</v>
      </c>
      <c r="C64" s="9" t="n">
        <v>27619</v>
      </c>
      <c r="D64" s="9" t="n"/>
      <c r="E64" s="9" t="n"/>
    </row>
    <row r="65">
      <c r="A65" s="18" t="inlineStr">
        <is>
          <t>14. Information technology</t>
        </is>
      </c>
      <c r="B65" s="9" t="n">
        <v>0</v>
      </c>
      <c r="C65" s="9" t="n"/>
      <c r="D65" s="9" t="n"/>
      <c r="E65" s="9" t="n"/>
    </row>
    <row r="66">
      <c r="A66" s="18" t="inlineStr">
        <is>
          <t>15. Royalties</t>
        </is>
      </c>
      <c r="B66" s="9" t="n">
        <v>0</v>
      </c>
      <c r="C66" s="9" t="n"/>
      <c r="D66" s="9" t="n"/>
      <c r="E66" s="9" t="n"/>
    </row>
    <row r="67">
      <c r="A67" s="18" t="inlineStr">
        <is>
          <t>16. Occupancy</t>
        </is>
      </c>
      <c r="B67" s="9" t="n">
        <v>9586</v>
      </c>
      <c r="C67" s="9" t="n">
        <v>9586</v>
      </c>
      <c r="D67" s="9" t="n"/>
      <c r="E67" s="9" t="n"/>
    </row>
    <row r="68">
      <c r="A68" s="18" t="inlineStr">
        <is>
          <t>17. Travel</t>
        </is>
      </c>
      <c r="B68" s="9" t="n">
        <v>0</v>
      </c>
      <c r="C68" s="9" t="n"/>
      <c r="D68" s="9" t="n"/>
      <c r="E68" s="9" t="n"/>
    </row>
    <row r="69">
      <c r="A69" s="18" t="inlineStr">
        <is>
          <t>18. Payments of travel/entertainment for public officials</t>
        </is>
      </c>
      <c r="B69" s="9" t="n">
        <v>0</v>
      </c>
      <c r="C69" s="9" t="n"/>
      <c r="D69" s="9" t="n"/>
      <c r="E69" s="9" t="n"/>
    </row>
    <row r="70">
      <c r="A70" s="18" t="inlineStr">
        <is>
          <t>19. Conferences, conventions, and meetings</t>
        </is>
      </c>
      <c r="B70" s="9" t="n">
        <v>38</v>
      </c>
      <c r="C70" s="9" t="n">
        <v>38</v>
      </c>
      <c r="D70" s="9" t="n"/>
      <c r="E70" s="9" t="n"/>
    </row>
    <row r="71">
      <c r="A71" s="18" t="inlineStr">
        <is>
          <t>20. Interest</t>
        </is>
      </c>
      <c r="B71" s="9" t="n">
        <v>0</v>
      </c>
      <c r="C71" s="9" t="n"/>
      <c r="D71" s="9" t="n"/>
      <c r="E71" s="9" t="n"/>
    </row>
    <row r="72">
      <c r="A72" s="18" t="inlineStr">
        <is>
          <t>21. Payments to affiliates</t>
        </is>
      </c>
      <c r="B72" s="9" t="n">
        <v>0</v>
      </c>
      <c r="C72" s="9" t="n"/>
      <c r="D72" s="9" t="n"/>
      <c r="E72" s="9" t="n"/>
    </row>
    <row r="73">
      <c r="A73" s="18" t="inlineStr">
        <is>
          <t>22. Depreciation, depletion, and amortization</t>
        </is>
      </c>
      <c r="B73" s="9" t="n">
        <v>79202</v>
      </c>
      <c r="C73" s="9" t="n">
        <v>79202</v>
      </c>
      <c r="D73" s="9" t="n"/>
      <c r="E73" s="9" t="n"/>
    </row>
    <row r="74">
      <c r="A74" s="18" t="inlineStr">
        <is>
          <t>23. Insurance</t>
        </is>
      </c>
      <c r="B74" s="9" t="n">
        <v>9066</v>
      </c>
      <c r="C74" s="9" t="n">
        <v>9066</v>
      </c>
      <c r="D74" s="9" t="n"/>
      <c r="E74" s="9" t="n"/>
    </row>
    <row r="75">
      <c r="A75" s="10" t="inlineStr">
        <is>
          <t>25. Total (filed col A / B / C / D)</t>
        </is>
      </c>
      <c r="B75" s="11" t="n">
        <v>692614</v>
      </c>
      <c r="C75" s="11" t="n">
        <v>692614</v>
      </c>
      <c r="D75" s="11" t="n">
        <v>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7:F77"/>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Balance Sheet - Form 990 Part X (end of year, USD)</t>
        </is>
      </c>
    </row>
    <row r="3">
      <c r="A3" s="2" t="inlineStr">
        <is>
          <t>Entity ID: cawc_0118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0</v>
      </c>
      <c r="C7" s="9" t="n">
        <v>349644</v>
      </c>
      <c r="D7" s="9" t="n">
        <v>132801</v>
      </c>
      <c r="E7" s="9" t="n">
        <v>324746</v>
      </c>
      <c r="F7" s="9" t="n">
        <v>347546</v>
      </c>
    </row>
    <row r="8">
      <c r="A8" s="8" t="inlineStr">
        <is>
          <t xml:space="preserve">    2. Savings and temporary cash investments</t>
        </is>
      </c>
      <c r="B8" s="9" t="n">
        <v>642886</v>
      </c>
      <c r="C8" s="9" t="n">
        <v>584342</v>
      </c>
      <c r="D8" s="9" t="n">
        <v>584116</v>
      </c>
      <c r="E8" s="9" t="n">
        <v>429056</v>
      </c>
      <c r="F8" s="9" t="n">
        <v>481763</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0</v>
      </c>
      <c r="C10" s="9" t="n">
        <v>0</v>
      </c>
      <c r="D10" s="9" t="n">
        <v>0</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231</v>
      </c>
      <c r="C15" s="9" t="n">
        <v>778</v>
      </c>
      <c r="D15" s="9" t="n">
        <v>30</v>
      </c>
      <c r="E15" s="9" t="n">
        <v>0</v>
      </c>
      <c r="F15" s="9" t="n">
        <v>183</v>
      </c>
    </row>
    <row r="16">
      <c r="A16" s="8" t="inlineStr">
        <is>
          <t xml:space="preserve">    10c. Land, buildings, and equipment, net</t>
        </is>
      </c>
      <c r="B16" s="9" t="n">
        <v>882412</v>
      </c>
      <c r="C16" s="9" t="n">
        <v>825424</v>
      </c>
      <c r="D16" s="9" t="n">
        <v>1157403</v>
      </c>
      <c r="E16" s="9" t="n">
        <v>1198127</v>
      </c>
      <c r="F16" s="9" t="n">
        <v>1155962</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638</v>
      </c>
      <c r="C21" s="9" t="n">
        <v>638</v>
      </c>
      <c r="D21" s="9" t="n">
        <v>15347</v>
      </c>
      <c r="E21" s="9" t="n">
        <v>638</v>
      </c>
      <c r="F21" s="9" t="n">
        <v>638</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25. Other liabilities</t>
        </is>
      </c>
      <c r="B25" s="9" t="n">
        <v>18960</v>
      </c>
      <c r="C25" s="9" t="n">
        <v>78</v>
      </c>
      <c r="D25" s="9" t="n">
        <v>1902</v>
      </c>
      <c r="E25" s="9" t="n">
        <v>3295</v>
      </c>
      <c r="F25" s="14" t="inlineStr">
        <is>
          <t>not reported</t>
        </is>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27. Net assets without donor restrictions</t>
        </is>
      </c>
      <c r="B29" s="9" t="n">
        <v>1507207</v>
      </c>
      <c r="C29" s="9" t="n">
        <v>1760748</v>
      </c>
      <c r="D29" s="9" t="n">
        <v>1887795</v>
      </c>
      <c r="E29" s="9" t="n">
        <v>1949272</v>
      </c>
      <c r="F29" s="9" t="n">
        <v>1986092</v>
      </c>
    </row>
    <row r="30">
      <c r="A30" s="10" t="inlineStr">
        <is>
          <t>32. Total net assets / fund balances</t>
        </is>
      </c>
      <c r="B30" s="11">
        <f>SUM(B29:B29)</f>
        <v/>
      </c>
      <c r="C30" s="11">
        <f>SUM(C29:C29)</f>
        <v/>
      </c>
      <c r="D30" s="11">
        <f>SUM(D29:D29)</f>
        <v/>
      </c>
      <c r="E30" s="11">
        <f>SUM(E29:E29)</f>
        <v/>
      </c>
      <c r="F30" s="11">
        <f>SUM(F29:F29)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2:F3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Reconciliation of Net Assets - Form 990 Part XI (USD)</t>
        </is>
      </c>
    </row>
    <row r="3">
      <c r="A3" s="2" t="inlineStr">
        <is>
          <t>Entity ID: cawc_0118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1653824</v>
      </c>
      <c r="C7" s="9" t="n">
        <v>1507207</v>
      </c>
      <c r="D7" s="9" t="n">
        <v>1760748</v>
      </c>
      <c r="E7" s="9" t="n">
        <v>1887795</v>
      </c>
      <c r="F7" s="9" t="n">
        <v>1949272</v>
      </c>
    </row>
    <row r="8">
      <c r="A8" s="8" t="inlineStr">
        <is>
          <t xml:space="preserve">    3. Revenue less expenses</t>
        </is>
      </c>
      <c r="B8" s="9" t="n">
        <v>-146617</v>
      </c>
      <c r="C8" s="9" t="n">
        <v>253541</v>
      </c>
      <c r="D8" s="9" t="n">
        <v>127047</v>
      </c>
      <c r="E8" s="9" t="n">
        <v>61477</v>
      </c>
      <c r="F8" s="9" t="n">
        <v>36820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Cash Flow Proxies - derived (USD)</t>
        </is>
      </c>
    </row>
    <row r="3">
      <c r="A3" s="2" t="inlineStr">
        <is>
          <t>Entity ID: cawc_0118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-146617</v>
      </c>
      <c r="C9" s="9" t="n">
        <v>253541</v>
      </c>
      <c r="D9" s="9" t="n">
        <v>127047</v>
      </c>
      <c r="E9" s="9" t="n">
        <v>61477</v>
      </c>
      <c r="F9" s="9" t="n">
        <v>36820</v>
      </c>
    </row>
    <row r="10">
      <c r="A10" s="8" t="inlineStr">
        <is>
          <t xml:space="preserve">    + Depreciation (reported)</t>
        </is>
      </c>
      <c r="B10" s="9" t="n">
        <v>38632</v>
      </c>
      <c r="C10" s="9" t="n">
        <v>58664</v>
      </c>
      <c r="D10" s="9" t="n">
        <v>57758</v>
      </c>
      <c r="E10" s="9" t="n">
        <v>72686</v>
      </c>
      <c r="F10" s="9" t="n">
        <v>79202</v>
      </c>
    </row>
    <row r="11">
      <c r="A11" s="8" t="inlineStr">
        <is>
          <t xml:space="preserve">    − Δ Accounts receivable</t>
        </is>
      </c>
      <c r="B11" s="9" t="n"/>
      <c r="C11" s="9" t="n">
        <v>0</v>
      </c>
      <c r="D11" s="9" t="n">
        <v>0</v>
      </c>
      <c r="E11" s="9" t="n">
        <v>0</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-547</v>
      </c>
      <c r="D13" s="9" t="n">
        <v>748</v>
      </c>
      <c r="E13" s="9" t="n">
        <v>30</v>
      </c>
      <c r="F13" s="9" t="n">
        <v>-183</v>
      </c>
    </row>
    <row r="14">
      <c r="A14" s="8" t="inlineStr">
        <is>
          <t xml:space="preserve">    + Δ Accounts payable</t>
        </is>
      </c>
      <c r="B14" s="9" t="n"/>
      <c r="C14" s="9" t="n"/>
      <c r="D14" s="9" t="n"/>
      <c r="E14" s="9" t="n"/>
      <c r="F14" s="9" t="n"/>
    </row>
    <row r="15">
      <c r="A15" s="10" t="inlineStr">
        <is>
          <t xml:space="preserve">    Operating cash flow proxy</t>
        </is>
      </c>
      <c r="B15" s="11" t="n"/>
      <c r="C15" s="11" t="n">
        <v>311658</v>
      </c>
      <c r="D15" s="11" t="n">
        <v>185553</v>
      </c>
      <c r="E15" s="11" t="n">
        <v>134193</v>
      </c>
      <c r="F15" s="11" t="n">
        <v>115839</v>
      </c>
    </row>
    <row r="17">
      <c r="A17" s="6" t="inlineStr">
        <is>
          <t>Investing</t>
        </is>
      </c>
      <c r="B17" s="7" t="n"/>
      <c r="C17" s="7" t="n"/>
      <c r="D17" s="7" t="n"/>
      <c r="E17" s="7" t="n"/>
      <c r="F17" s="7" t="n"/>
    </row>
    <row r="18">
      <c r="A18" s="8" t="inlineStr">
        <is>
          <t xml:space="preserve">    − Δ PP&amp;E gross (capex proxy)</t>
        </is>
      </c>
      <c r="B18" s="9" t="n"/>
      <c r="C18" s="9" t="n">
        <v>-1676</v>
      </c>
      <c r="D18" s="9" t="n">
        <v>-389368</v>
      </c>
      <c r="E18" s="9" t="n">
        <v>-113410</v>
      </c>
      <c r="F18" s="9" t="n">
        <v>-37037</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291100</v>
      </c>
      <c r="D24" s="11" t="n">
        <v>-217069</v>
      </c>
      <c r="E24" s="11" t="n">
        <v>36885</v>
      </c>
      <c r="F24" s="11" t="n">
        <v>75507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Morro Rock Mutual Water Company</t>
        </is>
      </c>
    </row>
    <row r="2">
      <c r="A2" s="2" t="inlineStr">
        <is>
          <t>Financial Ratios</t>
        </is>
      </c>
    </row>
    <row r="3">
      <c r="A3" s="2" t="inlineStr">
        <is>
          <t>Entity ID: cawc_0118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-0.2031888356107431</v>
      </c>
      <c r="C7" s="12" t="n">
        <v>0.3349830950075111</v>
      </c>
      <c r="D7" s="12" t="n">
        <v>0.1790017090452594</v>
      </c>
      <c r="E7" s="12" t="n">
        <v>0.08112091670581281</v>
      </c>
      <c r="F7" s="12" t="n">
        <v>0.05047749350866562</v>
      </c>
    </row>
    <row r="8">
      <c r="A8" s="8" t="inlineStr">
        <is>
          <t xml:space="preserve">    Expense ratio (expenses / revenue)</t>
        </is>
      </c>
      <c r="B8" s="12" t="n">
        <v>1.203188835610743</v>
      </c>
      <c r="C8" s="12" t="n">
        <v>0.6650169049924889</v>
      </c>
      <c r="D8" s="12" t="n">
        <v>0.8209982909547406</v>
      </c>
      <c r="E8" s="12" t="n">
        <v>0.9188790832941872</v>
      </c>
      <c r="F8" s="12" t="n">
        <v>0.9495225064913344</v>
      </c>
    </row>
    <row r="9">
      <c r="A9" s="8" t="inlineStr">
        <is>
          <t xml:space="preserve">    Return on assets (NI / assets)</t>
        </is>
      </c>
      <c r="B9" s="12" t="n">
        <v>-0.09606877884268235</v>
      </c>
      <c r="C9" s="12" t="n">
        <v>0.1439898093281221</v>
      </c>
      <c r="D9" s="12" t="n">
        <v>0.06723141329006714</v>
      </c>
      <c r="E9" s="12" t="n">
        <v>0.0314852192011849</v>
      </c>
      <c r="F9" s="12" t="n">
        <v>0.01853891964722681</v>
      </c>
    </row>
    <row r="10">
      <c r="A10" s="8" t="inlineStr">
        <is>
          <t xml:space="preserve">    Revenue growth (YoY)</t>
        </is>
      </c>
      <c r="B10" s="12" t="n">
        <v>0.1234524076426774</v>
      </c>
      <c r="C10" s="12" t="n">
        <v>0.04891626708057319</v>
      </c>
      <c r="D10" s="12" t="n">
        <v>-0.0622611071547953</v>
      </c>
      <c r="E10" s="12" t="n">
        <v>0.06775737474868017</v>
      </c>
      <c r="F10" s="12" t="n">
        <v>-0.03748792627506452</v>
      </c>
    </row>
    <row r="12">
      <c r="A12" s="6" t="inlineStr">
        <is>
          <t>Leverage &amp; solvency</t>
        </is>
      </c>
      <c r="B12" s="7" t="n"/>
      <c r="C12" s="7" t="n"/>
      <c r="D12" s="7" t="n"/>
      <c r="E12" s="7" t="n"/>
      <c r="F12" s="7" t="n"/>
    </row>
    <row r="13">
      <c r="A13" s="8" t="inlineStr">
        <is>
          <t xml:space="preserve">    Debt-to-assets (liab. / assets)</t>
        </is>
      </c>
      <c r="B13" s="12" t="n">
        <v>0.01242328002112482</v>
      </c>
      <c r="C13" s="12" t="n">
        <v>4.429739224659336e-05</v>
      </c>
      <c r="D13" s="12" t="n">
        <v>0.001006510567567181</v>
      </c>
      <c r="E13" s="12" t="n">
        <v>0.001687522118319115</v>
      </c>
      <c r="F13" s="12" t="n">
        <v>0</v>
      </c>
    </row>
    <row r="14">
      <c r="A14" s="8" t="inlineStr">
        <is>
          <t xml:space="preserve">    Equity ratio (net assets / assets)</t>
        </is>
      </c>
      <c r="B14" s="12" t="n">
        <v>0.9875767199788752</v>
      </c>
      <c r="C14" s="12" t="n">
        <v>0.9999557026077535</v>
      </c>
      <c r="D14" s="12" t="n">
        <v>0.9989934894324328</v>
      </c>
      <c r="E14" s="12" t="n">
        <v>0.9983124778816809</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v>33.90748945147679</v>
      </c>
      <c r="C18" s="19" t="n">
        <v>11974.17948717949</v>
      </c>
      <c r="D18" s="19" t="n">
        <v>376.9279705573081</v>
      </c>
      <c r="E18" s="19" t="n">
        <v>228.7714719271624</v>
      </c>
      <c r="F18" s="19" t="n"/>
    </row>
    <row r="19">
      <c r="A19" s="8" t="inlineStr">
        <is>
          <t xml:space="preserve">    Asset age proxy (accum. deprec. / gross PP&amp;E)</t>
        </is>
      </c>
      <c r="B19" s="12" t="n">
        <v>0.5847396728692903</v>
      </c>
      <c r="C19" s="12" t="n">
        <v>0.6118641780426091</v>
      </c>
      <c r="D19" s="12" t="n">
        <v>0.5399838235615589</v>
      </c>
      <c r="E19" s="12" t="n">
        <v>0.5443370483548622</v>
      </c>
      <c r="F19" s="12" t="n">
        <v>0.5664793515878028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Morro Rock Mutual Water Company</t>
        </is>
      </c>
    </row>
    <row r="2">
      <c r="A2" s="2" t="inlineStr">
        <is>
          <t>Unit economics - per-customer revenue by category (USD)</t>
        </is>
      </c>
    </row>
    <row r="3">
      <c r="A3" s="2" t="inlineStr">
        <is>
          <t>Entity ID: cawc_0118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Morro Rock Mutual Water Company</t>
        </is>
      </c>
    </row>
    <row r="2">
      <c r="A2" s="2" t="inlineStr">
        <is>
          <t>Rate structure and representative bill - eAR Section 8a</t>
        </is>
      </c>
    </row>
    <row r="3">
      <c r="A3" s="2" t="inlineStr">
        <is>
          <t>Entity ID: cawc_0118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Morro Rock Mutual Water Company</t>
        </is>
      </c>
    </row>
    <row r="2">
      <c r="A2" s="2" t="inlineStr">
        <is>
          <t>Operational metrics - plant per acre, density, terrain</t>
        </is>
      </c>
    </row>
    <row r="3">
      <c r="A3" s="2" t="inlineStr">
        <is>
          <t>Entity ID: cawc_0118   |   Fiscal year ends December 31.</t>
        </is>
      </c>
    </row>
    <row r="5">
      <c r="A5" s="6" t="inlineStr">
        <is>
          <t>Plant assets per acre</t>
        </is>
      </c>
      <c r="B5" s="7" t="n"/>
      <c r="C5" s="7" t="n"/>
    </row>
    <row r="6">
      <c r="A6" s="20" t="inlineStr">
        <is>
          <t>Service-area acres</t>
        </is>
      </c>
      <c r="B6" s="26" t="n">
        <v>107.8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19712.0686</v>
      </c>
      <c r="C8" s="9" t="n">
        <v>8185.6401</v>
      </c>
    </row>
    <row r="9">
      <c r="A9" s="18" t="inlineStr">
        <is>
          <t>FY2021</t>
        </is>
      </c>
      <c r="B9" s="9" t="n">
        <v>19727.616</v>
      </c>
      <c r="C9" s="9" t="n">
        <v>7656.9944</v>
      </c>
    </row>
    <row r="10">
      <c r="A10" s="18" t="inlineStr">
        <is>
          <t>FY2022</t>
        </is>
      </c>
      <c r="B10" s="9" t="n">
        <v>23339.564</v>
      </c>
      <c r="C10" s="9" t="n">
        <v>10736.577</v>
      </c>
    </row>
    <row r="11">
      <c r="A11" s="18" t="inlineStr">
        <is>
          <t>FY2023</t>
        </is>
      </c>
      <c r="B11" s="9" t="n">
        <v>24391.6048</v>
      </c>
      <c r="C11" s="9" t="n">
        <v>11114.3506</v>
      </c>
    </row>
    <row r="12">
      <c r="A12" s="18" t="inlineStr">
        <is>
          <t>FY2024</t>
        </is>
      </c>
      <c r="B12" s="9" t="n">
        <v>24735.1763</v>
      </c>
      <c r="C12" s="9" t="n">
        <v>10723.2096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6.11</v>
      </c>
      <c r="C19" s="22" t="inlineStr">
        <is>
          <t>659 connections / 107.8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Morro Rock Mutual Water Company</t>
        </is>
      </c>
    </row>
    <row r="2">
      <c r="A2" s="2" t="inlineStr">
        <is>
          <t>Supply and weather indicators (DWR water year)</t>
        </is>
      </c>
    </row>
    <row r="3">
      <c r="A3" s="2" t="inlineStr">
        <is>
          <t>Entity ID: cawc_0118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Morro Rock Mutual Water Company</t>
        </is>
      </c>
    </row>
    <row r="2">
      <c r="A2" s="2" t="inlineStr">
        <is>
          <t>How this was built - forensic lineage</t>
        </is>
      </c>
    </row>
    <row r="3">
      <c r="A3" s="2" t="inlineStr">
        <is>
          <t>Entity ID: cawc_0118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Morro Rock Mutual Water Company</t>
        </is>
      </c>
    </row>
    <row r="2">
      <c r="A2" s="2" t="inlineStr">
        <is>
          <t>Sources &amp; audit - full provenance and tie-outs (kept off the statements so they read clean)</t>
        </is>
      </c>
    </row>
    <row r="3">
      <c r="A3" s="2" t="inlineStr">
        <is>
          <t>Entity ID: cawc_0118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6b02fc44-20fa-48da-8f66-f21b0bfb4624</t>
        </is>
      </c>
      <c r="F10" s="8" t="inlineStr">
        <is>
          <t>202121269349302672</t>
        </is>
      </c>
      <c r="G10" s="8" t="inlineStr">
        <is>
          <t>claude-opus-5</t>
        </is>
      </c>
      <c r="H10" s="8" t="inlineStr">
        <is>
          <t>2026-10-02T18:54:16+00:00</t>
        </is>
      </c>
      <c r="I10" s="8" t="inlineStr">
        <is>
          <t>https://apps.irs.gov/pub/epostcard/990/xml/2021/2021_TEOS_XML_01A.zip#202121269349302672_public.xml</t>
        </is>
      </c>
    </row>
    <row r="11">
      <c r="A11" s="27" t="inlineStr">
        <is>
          <t>FY2021</t>
        </is>
      </c>
      <c r="B11" s="8" t="inlineStr">
        <is>
          <t>2021-12-31</t>
        </is>
      </c>
      <c r="C11" s="8" t="inlineStr">
        <is>
          <t>990</t>
        </is>
      </c>
      <c r="D11" s="8" t="inlineStr">
        <is>
          <t>high</t>
        </is>
      </c>
      <c r="E11" s="8" t="inlineStr">
        <is>
          <t>75582b32-179c-409b-8612-906f7c255df8</t>
        </is>
      </c>
      <c r="F11" s="8" t="inlineStr">
        <is>
          <t>202211059349301856</t>
        </is>
      </c>
      <c r="G11" s="8" t="inlineStr">
        <is>
          <t>claude-opus-5</t>
        </is>
      </c>
      <c r="H11" s="8" t="inlineStr">
        <is>
          <t>2026-10-02T18:54:16+00:00</t>
        </is>
      </c>
      <c r="I11" s="8" t="inlineStr">
        <is>
          <t>https://apps.irs.gov/pub/epostcard/990/xml/2022/2022_TEOS_XML_01A.zip#202211059349301856_public.xml</t>
        </is>
      </c>
    </row>
    <row r="12">
      <c r="A12" s="27" t="inlineStr">
        <is>
          <t>FY2022</t>
        </is>
      </c>
      <c r="B12" s="8" t="inlineStr">
        <is>
          <t>2022-12-31</t>
        </is>
      </c>
      <c r="C12" s="8" t="inlineStr">
        <is>
          <t>990</t>
        </is>
      </c>
      <c r="D12" s="8" t="inlineStr">
        <is>
          <t>high</t>
        </is>
      </c>
      <c r="E12" s="8" t="inlineStr">
        <is>
          <t>f8a97849-c73f-4c3f-a6e0-ae23092e79a6</t>
        </is>
      </c>
      <c r="F12" s="8" t="inlineStr">
        <is>
          <t>202332239349302603</t>
        </is>
      </c>
      <c r="G12" s="8" t="inlineStr">
        <is>
          <t>claude-opus-5</t>
        </is>
      </c>
      <c r="H12" s="8" t="inlineStr">
        <is>
          <t>2026-10-02T18:54:16+00:00</t>
        </is>
      </c>
      <c r="I12" s="8" t="inlineStr">
        <is>
          <t>https://apps.irs.gov/pub/epostcard/990/xml/2023/2023_TEOS_XML_08A.zip#202332239349302603_public.xml</t>
        </is>
      </c>
    </row>
    <row r="13">
      <c r="A13" s="27" t="inlineStr">
        <is>
          <t>FY2023</t>
        </is>
      </c>
      <c r="B13" s="8" t="inlineStr">
        <is>
          <t>2023-12-31</t>
        </is>
      </c>
      <c r="C13" s="8" t="inlineStr">
        <is>
          <t>990</t>
        </is>
      </c>
      <c r="D13" s="8" t="inlineStr">
        <is>
          <t>high</t>
        </is>
      </c>
      <c r="E13" s="8" t="inlineStr">
        <is>
          <t>22c1ccd7-3d8a-493c-9718-df3a4dc9de45</t>
        </is>
      </c>
      <c r="F13" s="8" t="inlineStr">
        <is>
          <t>202420949349300617</t>
        </is>
      </c>
      <c r="G13" s="8" t="inlineStr">
        <is>
          <t>claude-opus-5</t>
        </is>
      </c>
      <c r="H13" s="8" t="inlineStr">
        <is>
          <t>2026-10-02T18:54:16+00:00</t>
        </is>
      </c>
      <c r="I13" s="8" t="inlineStr">
        <is>
          <t>https://apps.irs.gov/pub/epostcard/990/xml/2024/2024_TEOS_XML_04A.zip#202420949349300617_public.xml</t>
        </is>
      </c>
    </row>
    <row r="14">
      <c r="A14" s="27" t="inlineStr">
        <is>
          <t>FY2024</t>
        </is>
      </c>
      <c r="B14" s="8" t="inlineStr">
        <is>
          <t>2024-12-31</t>
        </is>
      </c>
      <c r="C14" s="8" t="inlineStr">
        <is>
          <t>990</t>
        </is>
      </c>
      <c r="D14" s="8" t="inlineStr">
        <is>
          <t>high</t>
        </is>
      </c>
      <c r="E14" s="8" t="inlineStr">
        <is>
          <t>ce71cd95-c7e8-4f50-8842-b14f0495c6e8</t>
        </is>
      </c>
      <c r="F14" s="8" t="inlineStr">
        <is>
          <t>202511269349302506</t>
        </is>
      </c>
      <c r="G14" s="8" t="inlineStr">
        <is>
          <t>claude-opus-5</t>
        </is>
      </c>
      <c r="H14" s="8" t="inlineStr">
        <is>
          <t>2026-10-02T18:54:16+00:00</t>
        </is>
      </c>
      <c r="I14" s="8" t="inlineStr">
        <is>
          <t>https://apps.irs.gov/pub/epostcard/990/xml/2025/2025_TEOS_XML_05A.zip#202511269349302506_public.xml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720505</v>
      </c>
    </row>
    <row r="19">
      <c r="A19" s="8" t="inlineStr">
        <is>
          <t>Financial Statements</t>
        </is>
      </c>
      <c r="B19" s="8" t="inlineStr">
        <is>
          <t>C74</t>
        </is>
      </c>
      <c r="C19" s="8" t="inlineStr">
        <is>
          <t>11b. Gross income from other sources</t>
        </is>
      </c>
      <c r="D19" s="8" t="inlineStr">
        <is>
          <t>11b</t>
        </is>
      </c>
      <c r="E19" s="8" t="inlineStr">
        <is>
          <t>part_v_other_irs_filings.other_sources_gross_income</t>
        </is>
      </c>
      <c r="F19" s="8" t="inlineStr">
        <is>
          <t>high</t>
        </is>
      </c>
      <c r="G19" s="9" t="n">
        <v>36372</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679382</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723358</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676409</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693775</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666176</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10555</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926</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-226</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32429</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24707</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31643</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32593</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33570</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31640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38551</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2700</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2525</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2050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2075</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2400</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158374</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110933</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143785</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131045</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135002</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3686</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3778</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13584</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9580</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12446</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15595</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15372</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1860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111</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153</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104</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1600</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1655</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2332</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1610</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3975</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2765</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160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213</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172</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91</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23800</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23225</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13587</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40403</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27619</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5795</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7867</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8623</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8644</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9586</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695</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215</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38</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38632</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58664</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57758</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72686</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79202</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5085</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7579</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9751</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7012</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9066</v>
      </c>
    </row>
    <row r="195">
      <c r="A195" s="8" t="inlineStr">
        <is>
          <t>Operating expenses (detail)</t>
        </is>
      </c>
      <c r="B195" s="8" t="inlineStr">
        <is>
          <t>B41</t>
        </is>
      </c>
      <c r="C195" s="8" t="inlineStr">
        <is>
          <t>24e. All other expenses</t>
        </is>
      </c>
      <c r="D195" s="8" t="inlineStr">
        <is>
          <t>24e</t>
        </is>
      </c>
      <c r="E195" s="8" t="inlineStr">
        <is>
          <t>part_ix_expenses.all_other_expenses</t>
        </is>
      </c>
      <c r="F195" s="8" t="inlineStr">
        <is>
          <t>high</t>
        </is>
      </c>
      <c r="G195" s="9" t="n">
        <v>12716</v>
      </c>
    </row>
    <row r="196">
      <c r="A196" s="8" t="inlineStr">
        <is>
          <t>Operating expenses (detail)</t>
        </is>
      </c>
      <c r="B196" s="8" t="inlineStr">
        <is>
          <t>C41</t>
        </is>
      </c>
      <c r="C196" s="8" t="inlineStr">
        <is>
          <t>24e. All other expenses</t>
        </is>
      </c>
      <c r="D196" s="8" t="inlineStr">
        <is>
          <t>24e</t>
        </is>
      </c>
      <c r="E196" s="8" t="inlineStr">
        <is>
          <t>part_ix_expenses.all_other_expenses</t>
        </is>
      </c>
      <c r="F196" s="8" t="inlineStr">
        <is>
          <t>high</t>
        </is>
      </c>
      <c r="G196" s="9" t="n">
        <v>12339</v>
      </c>
    </row>
    <row r="197">
      <c r="A197" s="8" t="inlineStr">
        <is>
          <t>Operating expenses (detail)</t>
        </is>
      </c>
      <c r="B197" s="8" t="inlineStr">
        <is>
          <t>D41</t>
        </is>
      </c>
      <c r="C197" s="8" t="inlineStr">
        <is>
          <t>24e. All other expenses</t>
        </is>
      </c>
      <c r="D197" s="8" t="inlineStr">
        <is>
          <t>24e</t>
        </is>
      </c>
      <c r="E197" s="8" t="inlineStr">
        <is>
          <t>part_ix_expenses.all_other_expenses</t>
        </is>
      </c>
      <c r="F197" s="8" t="inlineStr">
        <is>
          <t>high</t>
        </is>
      </c>
      <c r="G197" s="9" t="n">
        <v>12991</v>
      </c>
    </row>
    <row r="198">
      <c r="A198" s="8" t="inlineStr">
        <is>
          <t>Operating expenses (detail)</t>
        </is>
      </c>
      <c r="B198" s="8" t="inlineStr">
        <is>
          <t>E41</t>
        </is>
      </c>
      <c r="C198" s="8" t="inlineStr">
        <is>
          <t>24e. All other expenses</t>
        </is>
      </c>
      <c r="D198" s="8" t="inlineStr">
        <is>
          <t>24e</t>
        </is>
      </c>
      <c r="E198" s="8" t="inlineStr">
        <is>
          <t>part_ix_expenses.all_other_expenses</t>
        </is>
      </c>
      <c r="F198" s="8" t="inlineStr">
        <is>
          <t>high</t>
        </is>
      </c>
      <c r="G198" s="9" t="n">
        <v>25041</v>
      </c>
    </row>
    <row r="199">
      <c r="A199" s="8" t="inlineStr">
        <is>
          <t>Operating expenses (detail)</t>
        </is>
      </c>
      <c r="B199" s="8" t="inlineStr">
        <is>
          <t>F41</t>
        </is>
      </c>
      <c r="C199" s="8" t="inlineStr">
        <is>
          <t>24e. All other expenses</t>
        </is>
      </c>
      <c r="D199" s="8" t="inlineStr">
        <is>
          <t>24e</t>
        </is>
      </c>
      <c r="E199" s="8" t="inlineStr">
        <is>
          <t>part_ix_expenses.all_other_expenses</t>
        </is>
      </c>
      <c r="F199" s="8" t="inlineStr">
        <is>
          <t>high</t>
        </is>
      </c>
      <c r="G199" s="9" t="n">
        <v>24778</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0</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349644</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132801</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324746</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347546</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642886</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584342</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584116</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429056</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481763</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0</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0</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0</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231</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778</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30</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183</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882412</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825424</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1157403</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1198127</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1155962</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638</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638</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15347</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638</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638</v>
      </c>
    </row>
    <row r="275">
      <c r="A275" s="8" t="inlineStr">
        <is>
          <t>Balance sheet (detail)</t>
        </is>
      </c>
      <c r="B275" s="8" t="inlineStr">
        <is>
          <t>B25</t>
        </is>
      </c>
      <c r="C275" s="8" t="inlineStr">
        <is>
          <t>25. Other liabilities</t>
        </is>
      </c>
      <c r="D275" s="8" t="inlineStr">
        <is>
          <t>25E</t>
        </is>
      </c>
      <c r="E275" s="8" t="inlineStr">
        <is>
          <t>part_x_balance_sheet.other_liabilities_eoy</t>
        </is>
      </c>
      <c r="F275" s="8" t="inlineStr">
        <is>
          <t>high</t>
        </is>
      </c>
      <c r="G275" s="9" t="n">
        <v>18960</v>
      </c>
    </row>
    <row r="276">
      <c r="A276" s="8" t="inlineStr">
        <is>
          <t>Balance sheet (detail)</t>
        </is>
      </c>
      <c r="B276" s="8" t="inlineStr">
        <is>
          <t>C25</t>
        </is>
      </c>
      <c r="C276" s="8" t="inlineStr">
        <is>
          <t>25. Other liabilities</t>
        </is>
      </c>
      <c r="D276" s="8" t="inlineStr">
        <is>
          <t>25E</t>
        </is>
      </c>
      <c r="E276" s="8" t="inlineStr">
        <is>
          <t>part_x_balance_sheet.other_liabilities_eoy</t>
        </is>
      </c>
      <c r="F276" s="8" t="inlineStr">
        <is>
          <t>high</t>
        </is>
      </c>
      <c r="G276" s="9" t="n">
        <v>78</v>
      </c>
    </row>
    <row r="277">
      <c r="A277" s="8" t="inlineStr">
        <is>
          <t>Balance sheet (detail)</t>
        </is>
      </c>
      <c r="B277" s="8" t="inlineStr">
        <is>
          <t>D25</t>
        </is>
      </c>
      <c r="C277" s="8" t="inlineStr">
        <is>
          <t>25. Other liabilities</t>
        </is>
      </c>
      <c r="D277" s="8" t="inlineStr">
        <is>
          <t>25E</t>
        </is>
      </c>
      <c r="E277" s="8" t="inlineStr">
        <is>
          <t>part_x_balance_sheet.other_liabilities_eoy</t>
        </is>
      </c>
      <c r="F277" s="8" t="inlineStr">
        <is>
          <t>high</t>
        </is>
      </c>
      <c r="G277" s="9" t="n">
        <v>1902</v>
      </c>
    </row>
    <row r="278">
      <c r="A278" s="8" t="inlineStr">
        <is>
          <t>Balance sheet (detail)</t>
        </is>
      </c>
      <c r="B278" s="8" t="inlineStr">
        <is>
          <t>E25</t>
        </is>
      </c>
      <c r="C278" s="8" t="inlineStr">
        <is>
          <t>25. Other liabilities</t>
        </is>
      </c>
      <c r="D278" s="8" t="inlineStr">
        <is>
          <t>25E</t>
        </is>
      </c>
      <c r="E278" s="8" t="inlineStr">
        <is>
          <t>part_x_balance_sheet.other_liabilities_eoy</t>
        </is>
      </c>
      <c r="F278" s="8" t="inlineStr">
        <is>
          <t>high</t>
        </is>
      </c>
      <c r="G278" s="9" t="n">
        <v>3295</v>
      </c>
    </row>
    <row r="279">
      <c r="A279" s="8" t="inlineStr">
        <is>
          <t>Balance sheet (detail)</t>
        </is>
      </c>
      <c r="B279" s="8" t="inlineStr">
        <is>
          <t>B29</t>
        </is>
      </c>
      <c r="C279" s="8" t="inlineStr">
        <is>
          <t>27. Net assets without donor restrictions</t>
        </is>
      </c>
      <c r="D279" s="8" t="inlineStr">
        <is>
          <t>27E</t>
        </is>
      </c>
      <c r="E279" s="8" t="inlineStr">
        <is>
          <t>part_x_balance_sheet.net_assets_no_donor_restriction_eoy</t>
        </is>
      </c>
      <c r="F279" s="8" t="inlineStr">
        <is>
          <t>high</t>
        </is>
      </c>
      <c r="G279" s="9" t="n">
        <v>1507207</v>
      </c>
    </row>
    <row r="280">
      <c r="A280" s="8" t="inlineStr">
        <is>
          <t>Balance sheet (detail)</t>
        </is>
      </c>
      <c r="B280" s="8" t="inlineStr">
        <is>
          <t>C29</t>
        </is>
      </c>
      <c r="C280" s="8" t="inlineStr">
        <is>
          <t>27. Net assets without donor restrictions</t>
        </is>
      </c>
      <c r="D280" s="8" t="inlineStr">
        <is>
          <t>27E</t>
        </is>
      </c>
      <c r="E280" s="8" t="inlineStr">
        <is>
          <t>part_x_balance_sheet.net_assets_no_donor_restriction_eoy</t>
        </is>
      </c>
      <c r="F280" s="8" t="inlineStr">
        <is>
          <t>high</t>
        </is>
      </c>
      <c r="G280" s="9" t="n">
        <v>1760748</v>
      </c>
    </row>
    <row r="281">
      <c r="A281" s="8" t="inlineStr">
        <is>
          <t>Balance sheet (detail)</t>
        </is>
      </c>
      <c r="B281" s="8" t="inlineStr">
        <is>
          <t>D29</t>
        </is>
      </c>
      <c r="C281" s="8" t="inlineStr">
        <is>
          <t>27. Net assets without donor restrictions</t>
        </is>
      </c>
      <c r="D281" s="8" t="inlineStr">
        <is>
          <t>27E</t>
        </is>
      </c>
      <c r="E281" s="8" t="inlineStr">
        <is>
          <t>part_x_balance_sheet.net_assets_no_donor_restriction_eoy</t>
        </is>
      </c>
      <c r="F281" s="8" t="inlineStr">
        <is>
          <t>high</t>
        </is>
      </c>
      <c r="G281" s="9" t="n">
        <v>1887795</v>
      </c>
    </row>
    <row r="282">
      <c r="A282" s="8" t="inlineStr">
        <is>
          <t>Balance sheet (detail)</t>
        </is>
      </c>
      <c r="B282" s="8" t="inlineStr">
        <is>
          <t>E29</t>
        </is>
      </c>
      <c r="C282" s="8" t="inlineStr">
        <is>
          <t>27. Net assets without donor restrictions</t>
        </is>
      </c>
      <c r="D282" s="8" t="inlineStr">
        <is>
          <t>27E</t>
        </is>
      </c>
      <c r="E282" s="8" t="inlineStr">
        <is>
          <t>part_x_balance_sheet.net_assets_no_donor_restriction_eoy</t>
        </is>
      </c>
      <c r="F282" s="8" t="inlineStr">
        <is>
          <t>high</t>
        </is>
      </c>
      <c r="G282" s="9" t="n">
        <v>1949272</v>
      </c>
    </row>
    <row r="283">
      <c r="A283" s="8" t="inlineStr">
        <is>
          <t>Balance sheet (detail)</t>
        </is>
      </c>
      <c r="B283" s="8" t="inlineStr">
        <is>
          <t>F29</t>
        </is>
      </c>
      <c r="C283" s="8" t="inlineStr">
        <is>
          <t>27. Net assets without donor restrictions</t>
        </is>
      </c>
      <c r="D283" s="8" t="inlineStr">
        <is>
          <t>27E</t>
        </is>
      </c>
      <c r="E283" s="8" t="inlineStr">
        <is>
          <t>part_x_balance_sheet.net_assets_no_donor_restriction_eoy</t>
        </is>
      </c>
      <c r="F283" s="8" t="inlineStr">
        <is>
          <t>high</t>
        </is>
      </c>
      <c r="G283" s="9" t="n">
        <v>1986092</v>
      </c>
    </row>
    <row r="284">
      <c r="A284" s="8" t="inlineStr">
        <is>
          <t>Net-assets reconciliation</t>
        </is>
      </c>
      <c r="B284" s="8" t="inlineStr">
        <is>
          <t>B7</t>
        </is>
      </c>
      <c r="C284" s="8" t="inlineStr">
        <is>
          <t>4. Net assets, beginning of year</t>
        </is>
      </c>
      <c r="D284" s="8" t="inlineStr">
        <is>
          <t>Part XI line 4</t>
        </is>
      </c>
      <c r="E284" s="8" t="inlineStr">
        <is>
          <t>part_xi_reconciliation.net_assets_boy</t>
        </is>
      </c>
      <c r="F284" s="8" t="inlineStr">
        <is>
          <t>high</t>
        </is>
      </c>
      <c r="G284" s="9" t="n">
        <v>1653824</v>
      </c>
    </row>
    <row r="285">
      <c r="A285" s="8" t="inlineStr">
        <is>
          <t>Net-assets reconciliation</t>
        </is>
      </c>
      <c r="B285" s="8" t="inlineStr">
        <is>
          <t>C7</t>
        </is>
      </c>
      <c r="C285" s="8" t="inlineStr">
        <is>
          <t>4. Net assets, beginning of year</t>
        </is>
      </c>
      <c r="D285" s="8" t="inlineStr">
        <is>
          <t>Part XI line 4</t>
        </is>
      </c>
      <c r="E285" s="8" t="inlineStr">
        <is>
          <t>part_xi_reconciliation.net_assets_boy</t>
        </is>
      </c>
      <c r="F285" s="8" t="inlineStr">
        <is>
          <t>high</t>
        </is>
      </c>
      <c r="G285" s="9" t="n">
        <v>1507207</v>
      </c>
    </row>
    <row r="286">
      <c r="A286" s="8" t="inlineStr">
        <is>
          <t>Net-assets reconciliation</t>
        </is>
      </c>
      <c r="B286" s="8" t="inlineStr">
        <is>
          <t>D7</t>
        </is>
      </c>
      <c r="C286" s="8" t="inlineStr">
        <is>
          <t>4. Net assets, beginning of year</t>
        </is>
      </c>
      <c r="D286" s="8" t="inlineStr">
        <is>
          <t>Part XI line 4</t>
        </is>
      </c>
      <c r="E286" s="8" t="inlineStr">
        <is>
          <t>part_xi_reconciliation.net_assets_boy</t>
        </is>
      </c>
      <c r="F286" s="8" t="inlineStr">
        <is>
          <t>high</t>
        </is>
      </c>
      <c r="G286" s="9" t="n">
        <v>1760748</v>
      </c>
    </row>
    <row r="287">
      <c r="A287" s="8" t="inlineStr">
        <is>
          <t>Net-assets reconciliation</t>
        </is>
      </c>
      <c r="B287" s="8" t="inlineStr">
        <is>
          <t>E7</t>
        </is>
      </c>
      <c r="C287" s="8" t="inlineStr">
        <is>
          <t>4. Net assets, beginning of year</t>
        </is>
      </c>
      <c r="D287" s="8" t="inlineStr">
        <is>
          <t>Part XI line 4</t>
        </is>
      </c>
      <c r="E287" s="8" t="inlineStr">
        <is>
          <t>part_xi_reconciliation.net_assets_boy</t>
        </is>
      </c>
      <c r="F287" s="8" t="inlineStr">
        <is>
          <t>high</t>
        </is>
      </c>
      <c r="G287" s="9" t="n">
        <v>1887795</v>
      </c>
    </row>
    <row r="288">
      <c r="A288" s="8" t="inlineStr">
        <is>
          <t>Net-assets reconciliation</t>
        </is>
      </c>
      <c r="B288" s="8" t="inlineStr">
        <is>
          <t>F7</t>
        </is>
      </c>
      <c r="C288" s="8" t="inlineStr">
        <is>
          <t>4. Net assets, beginning of year</t>
        </is>
      </c>
      <c r="D288" s="8" t="inlineStr">
        <is>
          <t>Part XI line 4</t>
        </is>
      </c>
      <c r="E288" s="8" t="inlineStr">
        <is>
          <t>part_xi_reconciliation.net_assets_boy</t>
        </is>
      </c>
      <c r="F288" s="8" t="inlineStr">
        <is>
          <t>high</t>
        </is>
      </c>
      <c r="G288" s="9" t="n">
        <v>1949272</v>
      </c>
    </row>
    <row r="289">
      <c r="A289" s="8" t="inlineStr">
        <is>
          <t>Net-assets reconciliation</t>
        </is>
      </c>
      <c r="B289" s="8" t="inlineStr">
        <is>
          <t>B8</t>
        </is>
      </c>
      <c r="C289" s="8" t="inlineStr">
        <is>
          <t>3. Revenue less expenses</t>
        </is>
      </c>
      <c r="D289" s="8" t="inlineStr">
        <is>
          <t>Part XI line 3</t>
        </is>
      </c>
      <c r="E289" s="8" t="inlineStr">
        <is>
          <t>part_xi_reconciliation.reconciliation_revenue_expenses</t>
        </is>
      </c>
      <c r="F289" s="8" t="inlineStr">
        <is>
          <t>high</t>
        </is>
      </c>
      <c r="G289" s="9" t="n">
        <v>-146617</v>
      </c>
    </row>
    <row r="290">
      <c r="A290" s="8" t="inlineStr">
        <is>
          <t>Net-assets reconciliation</t>
        </is>
      </c>
      <c r="B290" s="8" t="inlineStr">
        <is>
          <t>C8</t>
        </is>
      </c>
      <c r="C290" s="8" t="inlineStr">
        <is>
          <t>3. Revenue less expenses</t>
        </is>
      </c>
      <c r="D290" s="8" t="inlineStr">
        <is>
          <t>Part XI line 3</t>
        </is>
      </c>
      <c r="E290" s="8" t="inlineStr">
        <is>
          <t>part_xi_reconciliation.reconciliation_revenue_expenses</t>
        </is>
      </c>
      <c r="F290" s="8" t="inlineStr">
        <is>
          <t>high</t>
        </is>
      </c>
      <c r="G290" s="9" t="n">
        <v>253541</v>
      </c>
    </row>
    <row r="291">
      <c r="A291" s="8" t="inlineStr">
        <is>
          <t>Net-assets reconciliation</t>
        </is>
      </c>
      <c r="B291" s="8" t="inlineStr">
        <is>
          <t>D8</t>
        </is>
      </c>
      <c r="C291" s="8" t="inlineStr">
        <is>
          <t>3. Revenue less expenses</t>
        </is>
      </c>
      <c r="D291" s="8" t="inlineStr">
        <is>
          <t>Part XI line 3</t>
        </is>
      </c>
      <c r="E291" s="8" t="inlineStr">
        <is>
          <t>part_xi_reconciliation.reconciliation_revenue_expenses</t>
        </is>
      </c>
      <c r="F291" s="8" t="inlineStr">
        <is>
          <t>high</t>
        </is>
      </c>
      <c r="G291" s="9" t="n">
        <v>127047</v>
      </c>
    </row>
    <row r="292">
      <c r="A292" s="8" t="inlineStr">
        <is>
          <t>Net-assets reconciliation</t>
        </is>
      </c>
      <c r="B292" s="8" t="inlineStr">
        <is>
          <t>E8</t>
        </is>
      </c>
      <c r="C292" s="8" t="inlineStr">
        <is>
          <t>3. Revenue less expenses</t>
        </is>
      </c>
      <c r="D292" s="8" t="inlineStr">
        <is>
          <t>Part XI line 3</t>
        </is>
      </c>
      <c r="E292" s="8" t="inlineStr">
        <is>
          <t>part_xi_reconciliation.reconciliation_revenue_expenses</t>
        </is>
      </c>
      <c r="F292" s="8" t="inlineStr">
        <is>
          <t>high</t>
        </is>
      </c>
      <c r="G292" s="9" t="n">
        <v>61477</v>
      </c>
    </row>
    <row r="293">
      <c r="A293" s="8" t="inlineStr">
        <is>
          <t>Net-assets reconciliation</t>
        </is>
      </c>
      <c r="B293" s="8" t="inlineStr">
        <is>
          <t>F8</t>
        </is>
      </c>
      <c r="C293" s="8" t="inlineStr">
        <is>
          <t>3. Revenue less expenses</t>
        </is>
      </c>
      <c r="D293" s="8" t="inlineStr">
        <is>
          <t>Part XI line 3</t>
        </is>
      </c>
      <c r="E293" s="8" t="inlineStr">
        <is>
          <t>part_xi_reconciliation.reconciliation_revenue_expenses</t>
        </is>
      </c>
      <c r="F293" s="8" t="inlineStr">
        <is>
          <t>high</t>
        </is>
      </c>
      <c r="G293" s="9" t="n">
        <v>36820</v>
      </c>
    </row>
    <row r="295">
      <c r="A295" s="29" t="inlineStr">
        <is>
          <t>C. Tie-out checks (filed vs computed; any nonzero variance is flagged red)</t>
        </is>
      </c>
      <c r="B295" s="7" t="n"/>
      <c r="C295" s="7" t="n"/>
      <c r="D295" s="7" t="n"/>
      <c r="E295" s="7" t="n"/>
      <c r="F295" s="7" t="n"/>
      <c r="G295" s="7" t="n"/>
      <c r="H295" s="7" t="n"/>
      <c r="I295" s="7" t="n"/>
      <c r="J295" s="7" t="n"/>
      <c r="K295" s="7" t="n"/>
    </row>
    <row r="296">
      <c r="A296" s="5" t="inlineStr">
        <is>
          <t>Tab</t>
        </is>
      </c>
      <c r="B296" s="5" t="inlineStr">
        <is>
          <t>Check</t>
        </is>
      </c>
      <c r="C296" s="5" t="inlineStr">
        <is>
          <t>Fiscal year</t>
        </is>
      </c>
      <c r="D296" s="5" t="inlineStr">
        <is>
          <t>Filed</t>
        </is>
      </c>
      <c r="E296" s="5" t="inlineStr">
        <is>
          <t>Computed</t>
        </is>
      </c>
      <c r="F296" s="5" t="inlineStr">
        <is>
          <t>Variance (computed - filed)</t>
        </is>
      </c>
    </row>
    <row r="297">
      <c r="A297" s="18" t="inlineStr">
        <is>
          <t>Revenue (detail)</t>
        </is>
      </c>
      <c r="B297" s="18" t="inlineStr">
        <is>
          <t>12. Total revenue</t>
        </is>
      </c>
      <c r="C297" s="18" t="inlineStr">
        <is>
          <t>FY2020</t>
        </is>
      </c>
      <c r="D297" s="9" t="n">
        <v>721580</v>
      </c>
      <c r="E297" s="9">
        <f>'Revenue (detail)'!B13</f>
        <v/>
      </c>
      <c r="F297" s="9">
        <f>E297-D297</f>
        <v/>
      </c>
    </row>
    <row r="298">
      <c r="A298" s="18" t="inlineStr">
        <is>
          <t>Revenue (detail)</t>
        </is>
      </c>
      <c r="B298" s="18" t="inlineStr">
        <is>
          <t>12. Total revenue</t>
        </is>
      </c>
      <c r="C298" s="18" t="inlineStr">
        <is>
          <t>FY2021</t>
        </is>
      </c>
      <c r="D298" s="9" t="n">
        <v>756877</v>
      </c>
      <c r="E298" s="9">
        <f>'Revenue (detail)'!C13</f>
        <v/>
      </c>
      <c r="F298" s="9">
        <f>E298-D298</f>
        <v/>
      </c>
    </row>
    <row r="299">
      <c r="A299" s="18" t="inlineStr">
        <is>
          <t>Revenue (detail)</t>
        </is>
      </c>
      <c r="B299" s="18" t="inlineStr">
        <is>
          <t>12. Total revenue</t>
        </is>
      </c>
      <c r="C299" s="18" t="inlineStr">
        <is>
          <t>FY2022</t>
        </is>
      </c>
      <c r="D299" s="9" t="n">
        <v>709753</v>
      </c>
      <c r="E299" s="9">
        <f>'Revenue (detail)'!D13</f>
        <v/>
      </c>
      <c r="F299" s="9">
        <f>E299-D299</f>
        <v/>
      </c>
    </row>
    <row r="300">
      <c r="A300" s="18" t="inlineStr">
        <is>
          <t>Revenue (detail)</t>
        </is>
      </c>
      <c r="B300" s="18" t="inlineStr">
        <is>
          <t>12. Total revenue</t>
        </is>
      </c>
      <c r="C300" s="18" t="inlineStr">
        <is>
          <t>FY2023</t>
        </is>
      </c>
      <c r="D300" s="9" t="n">
        <v>757844</v>
      </c>
      <c r="E300" s="9">
        <f>'Revenue (detail)'!E13</f>
        <v/>
      </c>
      <c r="F300" s="9">
        <f>E300-D300</f>
        <v/>
      </c>
    </row>
    <row r="301">
      <c r="A301" s="18" t="inlineStr">
        <is>
          <t>Revenue (detail)</t>
        </is>
      </c>
      <c r="B301" s="18" t="inlineStr">
        <is>
          <t>12. Total revenue</t>
        </is>
      </c>
      <c r="C301" s="18" t="inlineStr">
        <is>
          <t>FY2024</t>
        </is>
      </c>
      <c r="D301" s="9" t="n">
        <v>729434</v>
      </c>
      <c r="E301" s="9">
        <f>'Revenue (detail)'!F13</f>
        <v/>
      </c>
      <c r="F301" s="9">
        <f>E301-D301</f>
        <v/>
      </c>
    </row>
    <row r="302">
      <c r="A302" s="18" t="inlineStr">
        <is>
          <t>Revenue (detail)</t>
        </is>
      </c>
      <c r="B302" s="18" t="inlineStr">
        <is>
          <t>2g program service revenue = sum of lines 2a-2f (FY2024)</t>
        </is>
      </c>
      <c r="C302" s="18" t="inlineStr">
        <is>
          <t>FY2024</t>
        </is>
      </c>
      <c r="D302" s="9" t="n">
        <v>666176</v>
      </c>
      <c r="E302" s="9">
        <f>SUM('Revenue (detail)'!C17:C21)</f>
        <v/>
      </c>
      <c r="F302" s="9">
        <f>E302-D302</f>
        <v/>
      </c>
    </row>
    <row r="303">
      <c r="A303" s="18" t="inlineStr">
        <is>
          <t>Operating expenses (detail)</t>
        </is>
      </c>
      <c r="B303" s="18" t="inlineStr">
        <is>
          <t>25. Total functional expenses</t>
        </is>
      </c>
      <c r="C303" s="18" t="inlineStr">
        <is>
          <t>FY2020</t>
        </is>
      </c>
      <c r="D303" s="9" t="n">
        <v>868197</v>
      </c>
      <c r="E303" s="9">
        <f>'Operating expenses (detail)'!B42</f>
        <v/>
      </c>
      <c r="F303" s="9">
        <f>E303-D303</f>
        <v/>
      </c>
    </row>
    <row r="304">
      <c r="A304" s="18" t="inlineStr">
        <is>
          <t>Operating expenses (detail)</t>
        </is>
      </c>
      <c r="B304" s="18" t="inlineStr">
        <is>
          <t>25. Total functional expenses</t>
        </is>
      </c>
      <c r="C304" s="18" t="inlineStr">
        <is>
          <t>FY2021</t>
        </is>
      </c>
      <c r="D304" s="9" t="n">
        <v>503336</v>
      </c>
      <c r="E304" s="9">
        <f>'Operating expenses (detail)'!C42</f>
        <v/>
      </c>
      <c r="F304" s="9">
        <f>E304-D304</f>
        <v/>
      </c>
    </row>
    <row r="305">
      <c r="A305" s="18" t="inlineStr">
        <is>
          <t>Operating expenses (detail)</t>
        </is>
      </c>
      <c r="B305" s="18" t="inlineStr">
        <is>
          <t>25. Total functional expenses</t>
        </is>
      </c>
      <c r="C305" s="18" t="inlineStr">
        <is>
          <t>FY2022</t>
        </is>
      </c>
      <c r="D305" s="9" t="n">
        <v>582706</v>
      </c>
      <c r="E305" s="9">
        <f>'Operating expenses (detail)'!D42</f>
        <v/>
      </c>
      <c r="F305" s="9">
        <f>E305-D305</f>
        <v/>
      </c>
    </row>
    <row r="306">
      <c r="A306" s="18" t="inlineStr">
        <is>
          <t>Operating expenses (detail)</t>
        </is>
      </c>
      <c r="B306" s="18" t="inlineStr">
        <is>
          <t>25. Total functional expenses</t>
        </is>
      </c>
      <c r="C306" s="18" t="inlineStr">
        <is>
          <t>FY2023</t>
        </is>
      </c>
      <c r="D306" s="9" t="n">
        <v>696367</v>
      </c>
      <c r="E306" s="9">
        <f>'Operating expenses (detail)'!E42</f>
        <v/>
      </c>
      <c r="F306" s="9">
        <f>E306-D306</f>
        <v/>
      </c>
    </row>
    <row r="307">
      <c r="A307" s="18" t="inlineStr">
        <is>
          <t>Operating expenses (detail)</t>
        </is>
      </c>
      <c r="B307" s="18" t="inlineStr">
        <is>
          <t>25. Total functional expenses</t>
        </is>
      </c>
      <c r="C307" s="18" t="inlineStr">
        <is>
          <t>FY2024</t>
        </is>
      </c>
      <c r="D307" s="9" t="n">
        <v>692614</v>
      </c>
      <c r="E307" s="9">
        <f>'Operating expenses (detail)'!F42</f>
        <v/>
      </c>
      <c r="F307" s="9">
        <f>E307-D307</f>
        <v/>
      </c>
    </row>
    <row r="308">
      <c r="A308" s="18" t="inlineStr">
        <is>
          <t>Operating expenses (detail)</t>
        </is>
      </c>
      <c r="B308" s="18" t="inlineStr">
        <is>
          <t>Part IX column split: col A = B + C + D (FY2024)</t>
        </is>
      </c>
      <c r="C308" s="18" t="inlineStr">
        <is>
          <t>FY2024</t>
        </is>
      </c>
      <c r="D308" s="9">
        <f>'Operating expenses (detail)'!B75</f>
        <v/>
      </c>
      <c r="E308" s="9">
        <f>'Operating expenses (detail)'!C75+'Operating expenses (detail)'!D75+'Operating expenses (detail)'!E75</f>
        <v/>
      </c>
      <c r="F308" s="9">
        <f>E308-D308</f>
        <v/>
      </c>
    </row>
    <row r="309">
      <c r="A309" s="18" t="inlineStr">
        <is>
          <t>Balance sheet (detail)</t>
        </is>
      </c>
      <c r="B309" s="18" t="inlineStr">
        <is>
          <t>16. Total assets</t>
        </is>
      </c>
      <c r="C309" s="18" t="inlineStr">
        <is>
          <t>FY2020</t>
        </is>
      </c>
      <c r="D309" s="9" t="n">
        <v>1526167</v>
      </c>
      <c r="E309" s="9">
        <f>'Balance sheet (detail)'!B22</f>
        <v/>
      </c>
      <c r="F309" s="9">
        <f>E309-D309</f>
        <v/>
      </c>
    </row>
    <row r="310">
      <c r="A310" s="18" t="inlineStr">
        <is>
          <t>Balance sheet (detail)</t>
        </is>
      </c>
      <c r="B310" s="18" t="inlineStr">
        <is>
          <t>16. Total assets</t>
        </is>
      </c>
      <c r="C310" s="18" t="inlineStr">
        <is>
          <t>FY2021</t>
        </is>
      </c>
      <c r="D310" s="9" t="n">
        <v>1760826</v>
      </c>
      <c r="E310" s="9">
        <f>'Balance sheet (detail)'!C22</f>
        <v/>
      </c>
      <c r="F310" s="9">
        <f>E310-D310</f>
        <v/>
      </c>
    </row>
    <row r="311">
      <c r="A311" s="18" t="inlineStr">
        <is>
          <t>Balance sheet (detail)</t>
        </is>
      </c>
      <c r="B311" s="18" t="inlineStr">
        <is>
          <t>16. Total assets</t>
        </is>
      </c>
      <c r="C311" s="18" t="inlineStr">
        <is>
          <t>FY2022</t>
        </is>
      </c>
      <c r="D311" s="9" t="n">
        <v>1889697</v>
      </c>
      <c r="E311" s="9">
        <f>'Balance sheet (detail)'!D22</f>
        <v/>
      </c>
      <c r="F311" s="9">
        <f>E311-D311</f>
        <v/>
      </c>
    </row>
    <row r="312">
      <c r="A312" s="18" t="inlineStr">
        <is>
          <t>Balance sheet (detail)</t>
        </is>
      </c>
      <c r="B312" s="18" t="inlineStr">
        <is>
          <t>16. Total assets</t>
        </is>
      </c>
      <c r="C312" s="18" t="inlineStr">
        <is>
          <t>FY2023</t>
        </is>
      </c>
      <c r="D312" s="9" t="n">
        <v>1952567</v>
      </c>
      <c r="E312" s="9">
        <f>'Balance sheet (detail)'!E22</f>
        <v/>
      </c>
      <c r="F312" s="9">
        <f>E312-D312</f>
        <v/>
      </c>
    </row>
    <row r="313">
      <c r="A313" s="18" t="inlineStr">
        <is>
          <t>Balance sheet (detail)</t>
        </is>
      </c>
      <c r="B313" s="18" t="inlineStr">
        <is>
          <t>16. Total assets</t>
        </is>
      </c>
      <c r="C313" s="18" t="inlineStr">
        <is>
          <t>FY2024</t>
        </is>
      </c>
      <c r="D313" s="9" t="n">
        <v>1986092</v>
      </c>
      <c r="E313" s="9">
        <f>'Balance sheet (detail)'!F22</f>
        <v/>
      </c>
      <c r="F313" s="9">
        <f>E313-D313</f>
        <v/>
      </c>
    </row>
    <row r="314">
      <c r="A314" s="18" t="inlineStr">
        <is>
          <t>Balance sheet (detail)</t>
        </is>
      </c>
      <c r="B314" s="18" t="inlineStr">
        <is>
          <t>26. Total liabilities</t>
        </is>
      </c>
      <c r="C314" s="18" t="inlineStr">
        <is>
          <t>FY2020</t>
        </is>
      </c>
      <c r="D314" s="9" t="n">
        <v>18960</v>
      </c>
      <c r="E314" s="9">
        <f>'Balance sheet (detail)'!B26</f>
        <v/>
      </c>
      <c r="F314" s="9">
        <f>E314-D314</f>
        <v/>
      </c>
    </row>
    <row r="315">
      <c r="A315" s="18" t="inlineStr">
        <is>
          <t>Balance sheet (detail)</t>
        </is>
      </c>
      <c r="B315" s="18" t="inlineStr">
        <is>
          <t>26. Total liabilities</t>
        </is>
      </c>
      <c r="C315" s="18" t="inlineStr">
        <is>
          <t>FY2021</t>
        </is>
      </c>
      <c r="D315" s="9" t="n">
        <v>78</v>
      </c>
      <c r="E315" s="9">
        <f>'Balance sheet (detail)'!C26</f>
        <v/>
      </c>
      <c r="F315" s="9">
        <f>E315-D315</f>
        <v/>
      </c>
    </row>
    <row r="316">
      <c r="A316" s="18" t="inlineStr">
        <is>
          <t>Balance sheet (detail)</t>
        </is>
      </c>
      <c r="B316" s="18" t="inlineStr">
        <is>
          <t>26. Total liabilities</t>
        </is>
      </c>
      <c r="C316" s="18" t="inlineStr">
        <is>
          <t>FY2022</t>
        </is>
      </c>
      <c r="D316" s="9" t="n">
        <v>1902</v>
      </c>
      <c r="E316" s="9">
        <f>'Balance sheet (detail)'!D26</f>
        <v/>
      </c>
      <c r="F316" s="9">
        <f>E316-D316</f>
        <v/>
      </c>
    </row>
    <row r="317">
      <c r="A317" s="18" t="inlineStr">
        <is>
          <t>Balance sheet (detail)</t>
        </is>
      </c>
      <c r="B317" s="18" t="inlineStr">
        <is>
          <t>26. Total liabilities</t>
        </is>
      </c>
      <c r="C317" s="18" t="inlineStr">
        <is>
          <t>FY2023</t>
        </is>
      </c>
      <c r="D317" s="9" t="n">
        <v>3295</v>
      </c>
      <c r="E317" s="9">
        <f>'Balance sheet (detail)'!E26</f>
        <v/>
      </c>
      <c r="F317" s="9">
        <f>E317-D317</f>
        <v/>
      </c>
    </row>
    <row r="318">
      <c r="A318" s="18" t="inlineStr">
        <is>
          <t>Balance sheet (detail)</t>
        </is>
      </c>
      <c r="B318" s="18" t="inlineStr">
        <is>
          <t>26. Total liabilities</t>
        </is>
      </c>
      <c r="C318" s="18" t="inlineStr">
        <is>
          <t>FY2024</t>
        </is>
      </c>
      <c r="D318" s="9" t="n">
        <v>0</v>
      </c>
      <c r="E318" s="9">
        <f>'Balance sheet (detail)'!F26</f>
        <v/>
      </c>
      <c r="F318" s="9">
        <f>E318-D318</f>
        <v/>
      </c>
    </row>
    <row r="319">
      <c r="A319" s="18" t="inlineStr">
        <is>
          <t>Balance sheet (detail)</t>
        </is>
      </c>
      <c r="B319" s="18" t="inlineStr">
        <is>
          <t>32. Total net assets / fund balances</t>
        </is>
      </c>
      <c r="C319" s="18" t="inlineStr">
        <is>
          <t>FY2020</t>
        </is>
      </c>
      <c r="D319" s="9" t="n">
        <v>1507207</v>
      </c>
      <c r="E319" s="9">
        <f>'Balance sheet (detail)'!B30</f>
        <v/>
      </c>
      <c r="F319" s="9">
        <f>E319-D319</f>
        <v/>
      </c>
    </row>
    <row r="320">
      <c r="A320" s="18" t="inlineStr">
        <is>
          <t>Balance sheet (detail)</t>
        </is>
      </c>
      <c r="B320" s="18" t="inlineStr">
        <is>
          <t>32. Total net assets / fund balances</t>
        </is>
      </c>
      <c r="C320" s="18" t="inlineStr">
        <is>
          <t>FY2021</t>
        </is>
      </c>
      <c r="D320" s="9" t="n">
        <v>1760748</v>
      </c>
      <c r="E320" s="9">
        <f>'Balance sheet (detail)'!C30</f>
        <v/>
      </c>
      <c r="F320" s="9">
        <f>E320-D320</f>
        <v/>
      </c>
    </row>
    <row r="321">
      <c r="A321" s="18" t="inlineStr">
        <is>
          <t>Balance sheet (detail)</t>
        </is>
      </c>
      <c r="B321" s="18" t="inlineStr">
        <is>
          <t>32. Total net assets / fund balances</t>
        </is>
      </c>
      <c r="C321" s="18" t="inlineStr">
        <is>
          <t>FY2022</t>
        </is>
      </c>
      <c r="D321" s="9" t="n">
        <v>1887795</v>
      </c>
      <c r="E321" s="9">
        <f>'Balance sheet (detail)'!D30</f>
        <v/>
      </c>
      <c r="F321" s="9">
        <f>E321-D321</f>
        <v/>
      </c>
    </row>
    <row r="322">
      <c r="A322" s="18" t="inlineStr">
        <is>
          <t>Balance sheet (detail)</t>
        </is>
      </c>
      <c r="B322" s="18" t="inlineStr">
        <is>
          <t>32. Total net assets / fund balances</t>
        </is>
      </c>
      <c r="C322" s="18" t="inlineStr">
        <is>
          <t>FY2023</t>
        </is>
      </c>
      <c r="D322" s="9" t="n">
        <v>1949272</v>
      </c>
      <c r="E322" s="9">
        <f>'Balance sheet (detail)'!E30</f>
        <v/>
      </c>
      <c r="F322" s="9">
        <f>E322-D322</f>
        <v/>
      </c>
    </row>
    <row r="323">
      <c r="A323" s="18" t="inlineStr">
        <is>
          <t>Balance sheet (detail)</t>
        </is>
      </c>
      <c r="B323" s="18" t="inlineStr">
        <is>
          <t>32. Total net assets / fund balances</t>
        </is>
      </c>
      <c r="C323" s="18" t="inlineStr">
        <is>
          <t>FY2024</t>
        </is>
      </c>
      <c r="D323" s="9" t="n">
        <v>1986092</v>
      </c>
      <c r="E323" s="9">
        <f>'Balance sheet (detail)'!F30</f>
        <v/>
      </c>
      <c r="F323" s="9">
        <f>E323-D323</f>
        <v/>
      </c>
    </row>
    <row r="324">
      <c r="A324" s="18" t="inlineStr">
        <is>
          <t>Balance sheet (detail)</t>
        </is>
      </c>
      <c r="B324" s="18" t="inlineStr">
        <is>
          <t>Balance sheet identity: line 16 = line 26 + line 32 (EOY)</t>
        </is>
      </c>
      <c r="C324" s="18" t="inlineStr">
        <is>
          <t>FY2020</t>
        </is>
      </c>
      <c r="D324" s="9">
        <f>'Balance sheet (detail)'!B22</f>
        <v/>
      </c>
      <c r="E324" s="9">
        <f>SUM('Balance sheet (detail)'!B26,'Balance sheet (detail)'!B30)</f>
        <v/>
      </c>
      <c r="F324" s="9">
        <f>E324-D324</f>
        <v/>
      </c>
    </row>
    <row r="325">
      <c r="A325" s="18" t="inlineStr">
        <is>
          <t>Balance sheet (detail)</t>
        </is>
      </c>
      <c r="B325" s="18" t="inlineStr">
        <is>
          <t>Balance sheet identity: line 16 = line 26 + line 32 (EOY)</t>
        </is>
      </c>
      <c r="C325" s="18" t="inlineStr">
        <is>
          <t>FY2021</t>
        </is>
      </c>
      <c r="D325" s="9">
        <f>'Balance sheet (detail)'!C22</f>
        <v/>
      </c>
      <c r="E325" s="9">
        <f>SUM('Balance sheet (detail)'!C26,'Balance sheet (detail)'!C30)</f>
        <v/>
      </c>
      <c r="F325" s="9">
        <f>E325-D325</f>
        <v/>
      </c>
    </row>
    <row r="326">
      <c r="A326" s="18" t="inlineStr">
        <is>
          <t>Balance sheet (detail)</t>
        </is>
      </c>
      <c r="B326" s="18" t="inlineStr">
        <is>
          <t>Balance sheet identity: line 16 = line 26 + line 32 (EOY)</t>
        </is>
      </c>
      <c r="C326" s="18" t="inlineStr">
        <is>
          <t>FY2022</t>
        </is>
      </c>
      <c r="D326" s="9">
        <f>'Balance sheet (detail)'!D22</f>
        <v/>
      </c>
      <c r="E326" s="9">
        <f>SUM('Balance sheet (detail)'!D26,'Balance sheet (detail)'!D30)</f>
        <v/>
      </c>
      <c r="F326" s="9">
        <f>E326-D326</f>
        <v/>
      </c>
    </row>
    <row r="327">
      <c r="A327" s="18" t="inlineStr">
        <is>
          <t>Balance sheet (detail)</t>
        </is>
      </c>
      <c r="B327" s="18" t="inlineStr">
        <is>
          <t>Balance sheet identity: line 16 = line 26 + line 32 (EOY)</t>
        </is>
      </c>
      <c r="C327" s="18" t="inlineStr">
        <is>
          <t>FY2023</t>
        </is>
      </c>
      <c r="D327" s="9">
        <f>'Balance sheet (detail)'!E22</f>
        <v/>
      </c>
      <c r="E327" s="9">
        <f>SUM('Balance sheet (detail)'!E26,'Balance sheet (detail)'!E30)</f>
        <v/>
      </c>
      <c r="F327" s="9">
        <f>E327-D327</f>
        <v/>
      </c>
    </row>
    <row r="328">
      <c r="A328" s="18" t="inlineStr">
        <is>
          <t>Balance sheet (detail)</t>
        </is>
      </c>
      <c r="B328" s="18" t="inlineStr">
        <is>
          <t>Balance sheet identity: line 16 = line 26 + line 32 (EOY)</t>
        </is>
      </c>
      <c r="C328" s="18" t="inlineStr">
        <is>
          <t>FY2024</t>
        </is>
      </c>
      <c r="D328" s="9">
        <f>'Balance sheet (detail)'!F22</f>
        <v/>
      </c>
      <c r="E328" s="9">
        <f>SUM('Balance sheet (detail)'!F26,'Balance sheet (detail)'!F30)</f>
        <v/>
      </c>
      <c r="F328" s="9">
        <f>E328-D328</f>
        <v/>
      </c>
    </row>
    <row r="329">
      <c r="A329" s="18" t="inlineStr">
        <is>
          <t>Net-assets reconciliation</t>
        </is>
      </c>
      <c r="B329" s="18" t="inlineStr">
        <is>
          <t>10. Net assets, end of year</t>
        </is>
      </c>
      <c r="C329" s="18" t="inlineStr">
        <is>
          <t>FY2020</t>
        </is>
      </c>
      <c r="D329" s="9" t="n">
        <v>1507207</v>
      </c>
      <c r="E329" s="9">
        <f>'Net-assets reconciliation'!B11</f>
        <v/>
      </c>
      <c r="F329" s="9">
        <f>E329-D329</f>
        <v/>
      </c>
    </row>
    <row r="330">
      <c r="A330" s="18" t="inlineStr">
        <is>
          <t>Net-assets reconciliation</t>
        </is>
      </c>
      <c r="B330" s="18" t="inlineStr">
        <is>
          <t>10. Net assets, end of year</t>
        </is>
      </c>
      <c r="C330" s="18" t="inlineStr">
        <is>
          <t>FY2021</t>
        </is>
      </c>
      <c r="D330" s="9" t="n">
        <v>1760748</v>
      </c>
      <c r="E330" s="9">
        <f>'Net-assets reconciliation'!C11</f>
        <v/>
      </c>
      <c r="F330" s="9">
        <f>E330-D330</f>
        <v/>
      </c>
    </row>
    <row r="331">
      <c r="A331" s="18" t="inlineStr">
        <is>
          <t>Net-assets reconciliation</t>
        </is>
      </c>
      <c r="B331" s="18" t="inlineStr">
        <is>
          <t>10. Net assets, end of year</t>
        </is>
      </c>
      <c r="C331" s="18" t="inlineStr">
        <is>
          <t>FY2022</t>
        </is>
      </c>
      <c r="D331" s="9" t="n">
        <v>1887795</v>
      </c>
      <c r="E331" s="9">
        <f>'Net-assets reconciliation'!D11</f>
        <v/>
      </c>
      <c r="F331" s="9">
        <f>E331-D331</f>
        <v/>
      </c>
    </row>
    <row r="332">
      <c r="A332" s="18" t="inlineStr">
        <is>
          <t>Net-assets reconciliation</t>
        </is>
      </c>
      <c r="B332" s="18" t="inlineStr">
        <is>
          <t>10. Net assets, end of year</t>
        </is>
      </c>
      <c r="C332" s="18" t="inlineStr">
        <is>
          <t>FY2023</t>
        </is>
      </c>
      <c r="D332" s="9" t="n">
        <v>1949272</v>
      </c>
      <c r="E332" s="9">
        <f>'Net-assets reconciliation'!E11</f>
        <v/>
      </c>
      <c r="F332" s="9">
        <f>E332-D332</f>
        <v/>
      </c>
    </row>
    <row r="333">
      <c r="A333" s="18" t="inlineStr">
        <is>
          <t>Net-assets reconciliation</t>
        </is>
      </c>
      <c r="B333" s="18" t="inlineStr">
        <is>
          <t>10. Net assets, end of year</t>
        </is>
      </c>
      <c r="C333" s="18" t="inlineStr">
        <is>
          <t>FY2024</t>
        </is>
      </c>
      <c r="D333" s="9" t="n">
        <v>1986092</v>
      </c>
      <c r="E333" s="9">
        <f>'Net-assets reconciliation'!F11</f>
        <v/>
      </c>
      <c r="F333" s="9">
        <f>E333-D333</f>
        <v/>
      </c>
    </row>
    <row r="335">
      <c r="A335" s="29" t="inlineStr">
        <is>
          <t>D. Preparer / auditor trail (one row per fiscal year, as filed)</t>
        </is>
      </c>
      <c r="B335" s="7" t="n"/>
      <c r="C335" s="7" t="n"/>
      <c r="D335" s="7" t="n"/>
      <c r="E335" s="7" t="n"/>
      <c r="F335" s="7" t="n"/>
      <c r="G335" s="7" t="n"/>
      <c r="H335" s="7" t="n"/>
      <c r="I335" s="7" t="n"/>
      <c r="J335" s="7" t="n"/>
      <c r="K335" s="7" t="n"/>
    </row>
    <row r="336">
      <c r="A336" s="5" t="inlineStr">
        <is>
          <t>Fiscal year</t>
        </is>
      </c>
      <c r="B336" s="5" t="inlineStr">
        <is>
          <t>Paid preparer</t>
        </is>
      </c>
      <c r="C336" s="5" t="inlineStr">
        <is>
          <t>Preparer firm</t>
        </is>
      </c>
      <c r="D336" s="5" t="inlineStr">
        <is>
          <t>Independent auditor</t>
        </is>
      </c>
      <c r="E336" s="5" t="inlineStr">
        <is>
          <t>Citation</t>
        </is>
      </c>
    </row>
    <row r="337" ht="42" customHeight="1">
      <c r="A337" s="27" t="inlineStr">
        <is>
          <t>FY2020</t>
        </is>
      </c>
      <c r="B337" s="8" t="inlineStr">
        <is>
          <t>Ron Levy CPA</t>
        </is>
      </c>
      <c r="C337" s="8" t="inlineStr">
        <is>
          <t>Moss Levy &amp; Hartzheim LLP</t>
        </is>
      </c>
      <c r="D337" s="30" t="inlineStr">
        <is>
          <t>not reported</t>
        </is>
      </c>
      <c r="E337" s="21" t="inlineStr">
        <is>
          <t>Form 990 Return Header, Paid Preparer block (return_header.preparer_person_name / preparer_firm_name); auditor: Part XII line 2 reports audited financial statements but does not name the firm.</t>
        </is>
      </c>
    </row>
    <row r="338" ht="42" customHeight="1">
      <c r="A338" s="27" t="inlineStr">
        <is>
          <t>FY2021</t>
        </is>
      </c>
      <c r="B338" s="8" t="inlineStr">
        <is>
          <t>Ron Levy CPA</t>
        </is>
      </c>
      <c r="C338" s="8" t="inlineStr">
        <is>
          <t>Moss Levy &amp; Hartzheim LLP</t>
        </is>
      </c>
      <c r="D338" s="30" t="inlineStr">
        <is>
          <t>not reported</t>
        </is>
      </c>
      <c r="E338" s="21" t="inlineStr">
        <is>
          <t>Form 990 Return Header, Paid Preparer block (return_header.preparer_person_name / preparer_firm_name); auditor: Part XII line 2 reports audited financial statements but does not name the firm.</t>
        </is>
      </c>
    </row>
    <row r="339" ht="42" customHeight="1">
      <c r="A339" s="27" t="inlineStr">
        <is>
          <t>FY2022</t>
        </is>
      </c>
      <c r="B339" s="8" t="inlineStr">
        <is>
          <t>Travis Hole CPA</t>
        </is>
      </c>
      <c r="C339" s="8" t="inlineStr">
        <is>
          <t>Moss Levy &amp; Hartzheim LLP</t>
        </is>
      </c>
      <c r="D339" s="30" t="inlineStr">
        <is>
          <t>not reported</t>
        </is>
      </c>
      <c r="E339" s="21" t="inlineStr">
        <is>
          <t>Form 990 Return Header, Paid Preparer block (return_header.preparer_person_name / preparer_firm_name); auditor: Part XII line 2 reports audited financial statements but does not name the firm.</t>
        </is>
      </c>
    </row>
    <row r="340" ht="42" customHeight="1">
      <c r="A340" s="27" t="inlineStr">
        <is>
          <t>FY2023</t>
        </is>
      </c>
      <c r="B340" s="8" t="inlineStr">
        <is>
          <t>Travis Hole CPA</t>
        </is>
      </c>
      <c r="C340" s="8" t="inlineStr">
        <is>
          <t>Moss Levy &amp; Hartzheim LLP</t>
        </is>
      </c>
      <c r="D340" s="30" t="inlineStr">
        <is>
          <t>not reported</t>
        </is>
      </c>
      <c r="E340" s="21" t="inlineStr">
        <is>
          <t>Form 990 Return Header, Paid Preparer block (return_header.preparer_person_name / preparer_firm_name); auditor: Part XII line 2 reports audited financial statements but does not name the firm.</t>
        </is>
      </c>
    </row>
    <row r="341" ht="42" customHeight="1">
      <c r="A341" s="27" t="inlineStr">
        <is>
          <t>FY2024</t>
        </is>
      </c>
      <c r="B341" s="8" t="inlineStr">
        <is>
          <t>Travis Hole CPA</t>
        </is>
      </c>
      <c r="C341" s="8" t="inlineStr">
        <is>
          <t>Moss Levy &amp; Hartzheim LLP</t>
        </is>
      </c>
      <c r="D341" s="30" t="inlineStr">
        <is>
          <t>not reported</t>
        </is>
      </c>
      <c r="E341" s="21" t="inlineStr">
        <is>
          <t>Form 990 Return Header, Paid Preparer block (return_header.preparer_person_name / preparer_firm_name); auditor: Part XII line 2 reports audited financial statements but does not name the firm.</t>
        </is>
      </c>
    </row>
    <row r="343" ht="42" customHeight="1">
      <c r="A34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343:K343"/>
  </mergeCells>
  <conditionalFormatting sqref="F297:F33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