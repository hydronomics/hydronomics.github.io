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Prather Water District Inc</t>
        </is>
      </c>
    </row>
    <row r="2">
      <c r="A2" s="2" t="inlineStr">
        <is>
          <t>Financial Summary - multi-year overview (USD)</t>
        </is>
      </c>
    </row>
    <row r="3">
      <c r="A3" s="2" t="inlineStr">
        <is>
          <t>Entity ID: cawc_0187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129767</v>
      </c>
      <c r="C10" s="9" t="n">
        <v>106201</v>
      </c>
      <c r="D10" s="9" t="n">
        <v>204198</v>
      </c>
      <c r="E10" s="9" t="n">
        <v>201943</v>
      </c>
      <c r="F10" s="9" t="n">
        <v>99794</v>
      </c>
    </row>
    <row r="11">
      <c r="A11" s="8" t="inlineStr">
        <is>
          <t xml:space="preserve">    Total expenses</t>
        </is>
      </c>
      <c r="B11" s="9" t="n">
        <v>88161</v>
      </c>
      <c r="C11" s="9" t="n">
        <v>85153</v>
      </c>
      <c r="D11" s="9" t="n">
        <v>134097</v>
      </c>
      <c r="E11" s="9" t="n">
        <v>89594</v>
      </c>
      <c r="F11" s="9" t="n">
        <v>91713</v>
      </c>
    </row>
    <row r="12">
      <c r="A12" s="10" t="inlineStr">
        <is>
          <t xml:space="preserve">    Net income</t>
        </is>
      </c>
      <c r="B12" s="11" t="n">
        <v>41606</v>
      </c>
      <c r="C12" s="11" t="n">
        <v>21048</v>
      </c>
      <c r="D12" s="11" t="n">
        <v>70101</v>
      </c>
      <c r="E12" s="11" t="n">
        <v>112349</v>
      </c>
      <c r="F12" s="11" t="n">
        <v>8081</v>
      </c>
    </row>
    <row r="14">
      <c r="A14" s="6" t="inlineStr">
        <is>
          <t>Financial position (USD, end of year)</t>
        </is>
      </c>
      <c r="B14" s="7" t="n"/>
      <c r="C14" s="7" t="n"/>
      <c r="D14" s="7" t="n"/>
      <c r="E14" s="7" t="n"/>
      <c r="F14" s="7" t="n"/>
    </row>
    <row r="15">
      <c r="A15" s="8" t="inlineStr">
        <is>
          <t xml:space="preserve">    Total assets</t>
        </is>
      </c>
      <c r="B15" s="9" t="n">
        <v>139308</v>
      </c>
      <c r="C15" s="9" t="n">
        <v>160356</v>
      </c>
      <c r="D15" s="9" t="n">
        <v>416638</v>
      </c>
      <c r="E15" s="9" t="n">
        <v>342806</v>
      </c>
      <c r="F15" s="9" t="n">
        <v>350887</v>
      </c>
    </row>
    <row r="16">
      <c r="A16" s="8" t="inlineStr">
        <is>
          <t xml:space="preserve">    Total liabilities</t>
        </is>
      </c>
      <c r="B16" s="9" t="n"/>
      <c r="C16" s="9" t="n"/>
      <c r="D16" s="9" t="n">
        <v>186181</v>
      </c>
      <c r="E16" s="9" t="n">
        <v>0</v>
      </c>
      <c r="F16" s="9" t="n">
        <v>0</v>
      </c>
    </row>
    <row r="17">
      <c r="A17" s="10" t="inlineStr">
        <is>
          <t xml:space="preserve">    Net assets</t>
        </is>
      </c>
      <c r="B17" s="11" t="n">
        <v>139308</v>
      </c>
      <c r="C17" s="11" t="n">
        <v>160356</v>
      </c>
      <c r="D17" s="11" t="n">
        <v>230457</v>
      </c>
      <c r="E17" s="11" t="n">
        <v>342806</v>
      </c>
      <c r="F17" s="11" t="n">
        <v>350887</v>
      </c>
    </row>
    <row r="19">
      <c r="A19" s="6" t="inlineStr">
        <is>
          <t>Headline ratios</t>
        </is>
      </c>
      <c r="B19" s="7" t="n"/>
      <c r="C19" s="7" t="n"/>
      <c r="D19" s="7" t="n"/>
      <c r="E19" s="7" t="n"/>
      <c r="F19" s="7" t="n"/>
    </row>
    <row r="20">
      <c r="A20" s="8" t="inlineStr">
        <is>
          <t xml:space="preserve">    Operating margin</t>
        </is>
      </c>
      <c r="B20" s="12" t="n">
        <v>0.3206208049812356</v>
      </c>
      <c r="C20" s="12" t="n">
        <v>0.1981902241975123</v>
      </c>
      <c r="D20" s="12" t="n">
        <v>0.3432991508242</v>
      </c>
      <c r="E20" s="12" t="n">
        <v>0.5563401553903824</v>
      </c>
      <c r="F20" s="12" t="n">
        <v>0.0809768122332004</v>
      </c>
    </row>
    <row r="21">
      <c r="A21" s="8" t="inlineStr">
        <is>
          <t xml:space="preserve">    Revenue growth (YoY)</t>
        </is>
      </c>
      <c r="B21" s="12" t="n"/>
      <c r="C21" s="12" t="n"/>
      <c r="D21" s="12" t="n"/>
      <c r="E21" s="12" t="n">
        <v>-0.011043203165555</v>
      </c>
      <c r="F21" s="12" t="n">
        <v>-0.5058308532605735</v>
      </c>
    </row>
    <row r="22">
      <c r="A22" s="8" t="inlineStr">
        <is>
          <t xml:space="preserve">    Return on assets</t>
        </is>
      </c>
      <c r="B22" s="12" t="n">
        <v>0.2986619576765153</v>
      </c>
      <c r="C22" s="12" t="n">
        <v>0.131257951058894</v>
      </c>
      <c r="D22" s="12" t="n">
        <v>0.1682539758735401</v>
      </c>
      <c r="E22" s="12" t="n">
        <v>0.3277334702426445</v>
      </c>
      <c r="F22" s="12" t="n">
        <v>0.02303020630573376</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Prather Water District Inc</t>
        </is>
      </c>
    </row>
    <row r="2">
      <c r="A2" s="2" t="inlineStr">
        <is>
          <t>Financial Statements - income statement, balance sheet, cash flow, member income test (USD)</t>
        </is>
      </c>
    </row>
    <row r="3">
      <c r="A3" s="2" t="inlineStr">
        <is>
          <t>Entity ID: cawc_0187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c r="C8" s="9" t="n"/>
      <c r="D8" s="9" t="n">
        <v>29454</v>
      </c>
      <c r="E8" s="9" t="n">
        <v>22178</v>
      </c>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v>174744</v>
      </c>
      <c r="E13" s="9" t="n">
        <v>179765</v>
      </c>
      <c r="F13" s="9" t="n">
        <v>99794</v>
      </c>
    </row>
    <row r="14">
      <c r="A14" s="10" t="inlineStr">
        <is>
          <t>Total revenue</t>
        </is>
      </c>
      <c r="B14" s="11" t="n"/>
      <c r="C14" s="11" t="n"/>
      <c r="D14" s="11" t="n">
        <v>204198</v>
      </c>
      <c r="E14" s="11" t="n">
        <v>201943</v>
      </c>
      <c r="F14" s="11" t="n">
        <v>99794</v>
      </c>
    </row>
    <row r="16">
      <c r="A16" s="6" t="inlineStr">
        <is>
          <t>Expenses</t>
        </is>
      </c>
      <c r="B16" s="7" t="n"/>
      <c r="C16" s="7" t="n"/>
      <c r="D16" s="7" t="n"/>
      <c r="E16" s="7" t="n"/>
      <c r="F16" s="7" t="n"/>
    </row>
    <row r="17">
      <c r="A17" s="8" t="inlineStr">
        <is>
          <t xml:space="preserve">    Depreciation</t>
        </is>
      </c>
      <c r="B17" s="9" t="n"/>
      <c r="C17" s="9" t="n"/>
      <c r="D17" s="9" t="n">
        <v>43022</v>
      </c>
      <c r="E17" s="9" t="n">
        <v>22603</v>
      </c>
      <c r="F17" s="9" t="n">
        <v>16144</v>
      </c>
    </row>
    <row r="18">
      <c r="A18" s="8" t="inlineStr">
        <is>
          <t xml:space="preserve">    Interest expense</t>
        </is>
      </c>
      <c r="B18" s="9" t="n"/>
      <c r="C18" s="9" t="n"/>
      <c r="D18" s="9" t="n"/>
      <c r="E18" s="9" t="n"/>
      <c r="F18" s="9" t="n">
        <v>16</v>
      </c>
    </row>
    <row r="19">
      <c r="A19" s="10" t="inlineStr">
        <is>
          <t>Total expenses</t>
        </is>
      </c>
      <c r="B19" s="11" t="n">
        <v>88161</v>
      </c>
      <c r="C19" s="11" t="n">
        <v>85153</v>
      </c>
      <c r="D19" s="11" t="n">
        <v>134097</v>
      </c>
      <c r="E19" s="11" t="n">
        <v>89594</v>
      </c>
      <c r="F19" s="11" t="n">
        <v>91713</v>
      </c>
    </row>
    <row r="21">
      <c r="A21" s="10" t="inlineStr">
        <is>
          <t>Net income</t>
        </is>
      </c>
      <c r="B21" s="11" t="n">
        <v>41606</v>
      </c>
      <c r="C21" s="11" t="n">
        <v>21048</v>
      </c>
      <c r="D21" s="11" t="n">
        <v>70101</v>
      </c>
      <c r="E21" s="11" t="n">
        <v>112349</v>
      </c>
      <c r="F21" s="11" t="n">
        <v>8081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57810</v>
      </c>
      <c r="C27" s="9" t="n">
        <v>102145</v>
      </c>
      <c r="D27" s="9" t="n">
        <v>337529</v>
      </c>
      <c r="E27" s="9" t="n">
        <v>286300</v>
      </c>
      <c r="F27" s="9" t="n">
        <v>310525</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v>159006</v>
      </c>
      <c r="E32" s="9" t="n">
        <v>159006</v>
      </c>
      <c r="F32" s="9" t="n">
        <v>159006</v>
      </c>
    </row>
    <row r="33">
      <c r="A33" s="8" t="inlineStr">
        <is>
          <t xml:space="preserve">    Less: accumulated depreciation</t>
        </is>
      </c>
      <c r="B33" s="9" t="n"/>
      <c r="C33" s="9" t="n"/>
      <c r="D33" s="9" t="n">
        <v>-79897</v>
      </c>
      <c r="E33" s="9" t="n">
        <v>-102500</v>
      </c>
      <c r="F33" s="9" t="n">
        <v>-118644</v>
      </c>
    </row>
    <row r="34">
      <c r="A34" s="10" t="inlineStr">
        <is>
          <t xml:space="preserve">    Net property, plant &amp; equipment</t>
        </is>
      </c>
      <c r="B34" s="11" t="n">
        <v>81498</v>
      </c>
      <c r="C34" s="11" t="n">
        <v>58211</v>
      </c>
      <c r="D34" s="11" t="n">
        <v>79109</v>
      </c>
      <c r="E34" s="11" t="n">
        <v>56506</v>
      </c>
      <c r="F34" s="11" t="n">
        <v>40362</v>
      </c>
    </row>
    <row r="35">
      <c r="A35" s="10" t="inlineStr">
        <is>
          <t>Total assets</t>
        </is>
      </c>
      <c r="B35" s="11" t="n">
        <v>139308</v>
      </c>
      <c r="C35" s="11" t="n">
        <v>160356</v>
      </c>
      <c r="D35" s="11" t="n">
        <v>416638</v>
      </c>
      <c r="E35" s="11" t="n">
        <v>342806</v>
      </c>
      <c r="F35" s="11" t="n">
        <v>350887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c r="C40" s="11" t="n"/>
      <c r="D40" s="11" t="n">
        <v>186181</v>
      </c>
      <c r="E40" s="11" t="n">
        <v>0</v>
      </c>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v>230457</v>
      </c>
      <c r="E45" s="9" t="n">
        <v>342806</v>
      </c>
      <c r="F45" s="9" t="n">
        <v>350887</v>
      </c>
    </row>
    <row r="46">
      <c r="A46" s="10" t="inlineStr">
        <is>
          <t>Net assets</t>
        </is>
      </c>
      <c r="B46" s="11" t="n">
        <v>139308</v>
      </c>
      <c r="C46" s="11" t="n">
        <v>160356</v>
      </c>
      <c r="D46" s="11" t="n">
        <v>230457</v>
      </c>
      <c r="E46" s="11" t="n">
        <v>342806</v>
      </c>
      <c r="F46" s="11" t="n">
        <v>350887</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41606</v>
      </c>
      <c r="C52" s="9" t="n">
        <v>21048</v>
      </c>
      <c r="D52" s="9" t="n">
        <v>70101</v>
      </c>
      <c r="E52" s="9" t="n">
        <v>112349</v>
      </c>
      <c r="F52" s="9" t="n">
        <v>8081</v>
      </c>
    </row>
    <row r="53">
      <c r="A53" s="8" t="inlineStr">
        <is>
          <t xml:space="preserve">    + Depreciation (reported)</t>
        </is>
      </c>
      <c r="B53" s="9" t="n"/>
      <c r="C53" s="9" t="n"/>
      <c r="D53" s="9" t="n">
        <v>43022</v>
      </c>
      <c r="E53" s="9" t="n">
        <v>22603</v>
      </c>
      <c r="F53" s="9" t="n">
        <v>16144</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21048</v>
      </c>
      <c r="D58" s="11" t="n">
        <v>113123</v>
      </c>
      <c r="E58" s="11" t="n">
        <v>134952</v>
      </c>
      <c r="F58" s="11" t="n">
        <v>24225</v>
      </c>
    </row>
    <row r="60">
      <c r="A60" s="6" t="inlineStr">
        <is>
          <t>Investing</t>
        </is>
      </c>
      <c r="B60" s="7" t="n"/>
      <c r="C60" s="7" t="n"/>
      <c r="D60" s="7" t="n"/>
      <c r="E60" s="7" t="n"/>
      <c r="F60" s="7" t="n"/>
    </row>
    <row r="61">
      <c r="A61" s="8" t="inlineStr">
        <is>
          <t xml:space="preserve">    − Δ PP&amp;E gross (capex proxy)</t>
        </is>
      </c>
      <c r="B61" s="9" t="n"/>
      <c r="C61" s="9" t="n"/>
      <c r="D61" s="9" t="n"/>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44335</v>
      </c>
      <c r="D67" s="11" t="n">
        <v>235384</v>
      </c>
      <c r="E67" s="11" t="n">
        <v>-51229</v>
      </c>
      <c r="F67" s="11" t="n">
        <v>24225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FY2022</t>
        </is>
      </c>
      <c r="C72" s="5" t="inlineStr">
        <is>
          <t>FY2023</t>
        </is>
      </c>
      <c r="D72" s="5" t="inlineStr">
        <is>
          <t>FY2024</t>
        </is>
      </c>
    </row>
    <row r="73">
      <c r="A73" s="8" t="inlineStr">
        <is>
          <t xml:space="preserve">    11a. Gross income from members or shareholders</t>
        </is>
      </c>
      <c r="B73" s="14" t="inlineStr">
        <is>
          <t>not reported</t>
        </is>
      </c>
      <c r="C73" s="14" t="inlineStr">
        <is>
          <t>not reported</t>
        </is>
      </c>
      <c r="D73" s="14" t="inlineStr">
        <is>
          <t>not reported</t>
        </is>
      </c>
    </row>
    <row r="74">
      <c r="A74" s="8" t="inlineStr">
        <is>
          <t xml:space="preserve">    11b. Gross income from other sources</t>
        </is>
      </c>
      <c r="B74" s="14" t="inlineStr">
        <is>
          <t>not reported</t>
        </is>
      </c>
      <c r="C74" s="14" t="inlineStr">
        <is>
          <t>not reported</t>
        </is>
      </c>
      <c r="D74" s="14" t="inlineStr">
        <is>
          <t>not reported</t>
        </is>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Prather Water District Inc</t>
        </is>
      </c>
    </row>
    <row r="2">
      <c r="A2" s="2" t="inlineStr">
        <is>
          <t>Balance Sheet - as reported (USD, end of year)</t>
        </is>
      </c>
    </row>
    <row r="3">
      <c r="A3" s="2" t="inlineStr">
        <is>
          <t>Entity ID: cawc_0187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57810</v>
      </c>
      <c r="C7" s="9" t="n">
        <v>102145</v>
      </c>
      <c r="D7" s="9" t="n">
        <v>337529</v>
      </c>
      <c r="E7" s="9" t="n">
        <v>286300</v>
      </c>
      <c r="F7" s="9" t="n">
        <v>310525</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v>159006</v>
      </c>
      <c r="E12" s="9" t="n">
        <v>159006</v>
      </c>
      <c r="F12" s="9" t="n">
        <v>159006</v>
      </c>
    </row>
    <row r="13">
      <c r="A13" s="8" t="inlineStr">
        <is>
          <t xml:space="preserve">    Less: accumulated depreciation</t>
        </is>
      </c>
      <c r="B13" s="9" t="n"/>
      <c r="C13" s="9" t="n"/>
      <c r="D13" s="9" t="n">
        <v>-79897</v>
      </c>
      <c r="E13" s="9" t="n">
        <v>-102500</v>
      </c>
      <c r="F13" s="9" t="n">
        <v>-118644</v>
      </c>
    </row>
    <row r="14">
      <c r="A14" s="10" t="inlineStr">
        <is>
          <t xml:space="preserve">    Net property, plant &amp; equipment</t>
        </is>
      </c>
      <c r="B14" s="11" t="n">
        <v>81498</v>
      </c>
      <c r="C14" s="11" t="n">
        <v>58211</v>
      </c>
      <c r="D14" s="11" t="n">
        <v>79109</v>
      </c>
      <c r="E14" s="11" t="n">
        <v>56506</v>
      </c>
      <c r="F14" s="11" t="n">
        <v>40362</v>
      </c>
    </row>
    <row r="15">
      <c r="A15" s="10" t="inlineStr">
        <is>
          <t>Total assets</t>
        </is>
      </c>
      <c r="B15" s="11" t="n">
        <v>139308</v>
      </c>
      <c r="C15" s="11" t="n">
        <v>160356</v>
      </c>
      <c r="D15" s="11" t="n">
        <v>416638</v>
      </c>
      <c r="E15" s="11" t="n">
        <v>342806</v>
      </c>
      <c r="F15" s="11" t="n">
        <v>350887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c r="C20" s="11" t="n"/>
      <c r="D20" s="11" t="n">
        <v>186181</v>
      </c>
      <c r="E20" s="11" t="n">
        <v>0</v>
      </c>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v>230457</v>
      </c>
      <c r="E25" s="9" t="n">
        <v>342806</v>
      </c>
      <c r="F25" s="9" t="n">
        <v>350887</v>
      </c>
    </row>
    <row r="26">
      <c r="A26" s="10" t="inlineStr">
        <is>
          <t>Net assets</t>
        </is>
      </c>
      <c r="B26" s="11" t="n">
        <v>139308</v>
      </c>
      <c r="C26" s="11" t="n">
        <v>160356</v>
      </c>
      <c r="D26" s="11" t="n">
        <v>230457</v>
      </c>
      <c r="E26" s="11" t="n">
        <v>342806</v>
      </c>
      <c r="F26" s="11" t="n">
        <v>350887</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Prather Water District Inc</t>
        </is>
      </c>
    </row>
    <row r="2">
      <c r="A2" s="2" t="inlineStr">
        <is>
          <t>Officers, Directors &amp; Contractors - Form 990 Part VII (FY2024; USD)</t>
        </is>
      </c>
    </row>
    <row r="3">
      <c r="A3" s="2" t="inlineStr">
        <is>
          <t>Entity ID: cawc_0187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MARTY PAGE</t>
        </is>
      </c>
      <c r="B7" s="8" t="inlineStr">
        <is>
          <t>PRESIDENT</t>
        </is>
      </c>
      <c r="C7" s="9" t="n">
        <v>0</v>
      </c>
      <c r="D7" s="9" t="n">
        <v>0</v>
      </c>
      <c r="E7" s="9" t="n">
        <v>0</v>
      </c>
      <c r="F7" s="9" t="n">
        <v>0</v>
      </c>
    </row>
    <row r="9">
      <c r="A9" s="6" t="inlineStr">
        <is>
          <t>Section B - Independent contractors (over $100,000)</t>
        </is>
      </c>
      <c r="B9" s="7" t="n"/>
      <c r="C9" s="7" t="n"/>
      <c r="D9" s="7" t="n"/>
      <c r="E9" s="7" t="n"/>
      <c r="F9" s="7" t="n"/>
    </row>
    <row r="10">
      <c r="A10" s="5" t="inlineStr">
        <is>
          <t>Contractor</t>
        </is>
      </c>
      <c r="B10" s="5" t="inlineStr">
        <is>
          <t>Services</t>
        </is>
      </c>
      <c r="C10" s="5" t="inlineStr">
        <is>
          <t>Compensation</t>
        </is>
      </c>
    </row>
    <row r="12" ht="42" customHeight="1">
      <c r="A12"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Prather Water District Inc</t>
        </is>
      </c>
    </row>
    <row r="2">
      <c r="A2" s="2" t="inlineStr">
        <is>
          <t>Revenue - Form 990 Part VIII (USD)</t>
        </is>
      </c>
    </row>
    <row r="3">
      <c r="A3" s="2" t="inlineStr">
        <is>
          <t>Entity ID: cawc_0187   |   Fiscal year ends December 31.</t>
        </is>
      </c>
    </row>
    <row r="5">
      <c r="A5" s="4" t="inlineStr">
        <is>
          <t>Part VIII line</t>
        </is>
      </c>
      <c r="B5" s="5" t="inlineStr">
        <is>
          <t>FY2022</t>
        </is>
      </c>
      <c r="C5" s="5" t="inlineStr">
        <is>
          <t>FY2023</t>
        </is>
      </c>
      <c r="D5" s="5" t="inlineStr">
        <is>
          <t>FY2024</t>
        </is>
      </c>
    </row>
    <row r="6">
      <c r="A6" s="6" t="inlineStr">
        <is>
          <t>Revenue by category</t>
        </is>
      </c>
      <c r="B6" s="7" t="n"/>
      <c r="C6" s="7" t="n"/>
      <c r="D6" s="7" t="n"/>
    </row>
    <row r="7">
      <c r="A7" s="8" t="inlineStr">
        <is>
          <t xml:space="preserve">    1h. Total contributions, gifts, grants</t>
        </is>
      </c>
      <c r="B7" s="9" t="n">
        <v>174744</v>
      </c>
      <c r="C7" s="9" t="n">
        <v>179765</v>
      </c>
      <c r="D7" s="9" t="n">
        <v>99794</v>
      </c>
    </row>
    <row r="8">
      <c r="A8" s="8" t="inlineStr">
        <is>
          <t xml:space="preserve">    2g. Total program service revenue</t>
        </is>
      </c>
      <c r="B8" s="9" t="n">
        <v>29454</v>
      </c>
      <c r="C8" s="9" t="n">
        <v>22178</v>
      </c>
      <c r="D8" s="14" t="inlineStr">
        <is>
          <t>not reported</t>
        </is>
      </c>
    </row>
    <row r="9">
      <c r="A9" s="8" t="inlineStr">
        <is>
          <t xml:space="preserve">    3. Investment income</t>
        </is>
      </c>
      <c r="B9" s="14" t="inlineStr">
        <is>
          <t>not reported</t>
        </is>
      </c>
      <c r="C9" s="14" t="inlineStr">
        <is>
          <t>not reported</t>
        </is>
      </c>
      <c r="D9" s="14" t="inlineStr">
        <is>
          <t>not reported</t>
        </is>
      </c>
    </row>
    <row r="10">
      <c r="A10" s="8" t="inlineStr">
        <is>
          <t xml:space="preserve">    6d. Net rental income</t>
        </is>
      </c>
      <c r="B10" s="14" t="inlineStr">
        <is>
          <t>not reported</t>
        </is>
      </c>
      <c r="C10" s="14" t="inlineStr">
        <is>
          <t>not reported</t>
        </is>
      </c>
      <c r="D10" s="14" t="inlineStr">
        <is>
          <t>not reported</t>
        </is>
      </c>
    </row>
    <row r="11">
      <c r="A11" s="8" t="inlineStr">
        <is>
          <t xml:space="preserve">    7d. Net gain/(loss) from investment sales</t>
        </is>
      </c>
      <c r="B11" s="14" t="inlineStr">
        <is>
          <t>not reported</t>
        </is>
      </c>
      <c r="C11" s="14" t="inlineStr">
        <is>
          <t>not reported</t>
        </is>
      </c>
      <c r="D11" s="14" t="inlineStr">
        <is>
          <t>not reported</t>
        </is>
      </c>
    </row>
    <row r="12">
      <c r="A12" s="8" t="inlineStr">
        <is>
          <t xml:space="preserve">    11e. Other revenue</t>
        </is>
      </c>
      <c r="B12" s="14" t="inlineStr">
        <is>
          <t>not reported</t>
        </is>
      </c>
      <c r="C12" s="14" t="inlineStr">
        <is>
          <t>not reported</t>
        </is>
      </c>
      <c r="D12" s="14" t="inlineStr">
        <is>
          <t>not reported</t>
        </is>
      </c>
    </row>
    <row r="13">
      <c r="A13" s="10" t="inlineStr">
        <is>
          <t>12. Total revenue</t>
        </is>
      </c>
      <c r="B13" s="11">
        <f>SUM(B7:B12)</f>
        <v/>
      </c>
      <c r="C13" s="11">
        <f>SUM(C7:C12)</f>
        <v/>
      </c>
      <c r="D13" s="11">
        <f>SUM(D7:D12)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3:D3"/>
    <mergeCell ref="A2:D2"/>
    <mergeCell ref="A15:D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Prather Water District Inc</t>
        </is>
      </c>
    </row>
    <row r="2">
      <c r="A2" s="2" t="inlineStr">
        <is>
          <t>Statement of Functional Expenses - Form 990 Part IX (USD)</t>
        </is>
      </c>
    </row>
    <row r="3">
      <c r="A3" s="2" t="inlineStr">
        <is>
          <t>Entity ID: cawc_0187   |   Fiscal year ends December 31.</t>
        </is>
      </c>
    </row>
    <row r="5">
      <c r="A5" s="4" t="inlineStr">
        <is>
          <t>Part IX line (column A Total)</t>
        </is>
      </c>
      <c r="B5" s="5" t="inlineStr">
        <is>
          <t>FY2022</t>
        </is>
      </c>
      <c r="C5" s="5" t="inlineStr">
        <is>
          <t>FY2023</t>
        </is>
      </c>
      <c r="D5" s="5" t="inlineStr">
        <is>
          <t>FY2024</t>
        </is>
      </c>
    </row>
    <row r="6">
      <c r="A6" s="6" t="inlineStr">
        <is>
          <t>Functional expenses, column A Total - by year</t>
        </is>
      </c>
      <c r="B6" s="7" t="n"/>
      <c r="C6" s="7" t="n"/>
      <c r="D6" s="7" t="n"/>
    </row>
    <row r="7">
      <c r="A7" s="8" t="inlineStr">
        <is>
          <t xml:space="preserve">    11g. Fees for services: other</t>
        </is>
      </c>
      <c r="B7" s="9" t="n">
        <v>55094</v>
      </c>
      <c r="C7" s="9" t="n">
        <v>11808</v>
      </c>
      <c r="D7" s="9" t="n">
        <v>11231</v>
      </c>
    </row>
    <row r="8">
      <c r="A8" s="8" t="inlineStr">
        <is>
          <t xml:space="preserve">    13. Office expenses</t>
        </is>
      </c>
      <c r="B8" s="9" t="n">
        <v>377</v>
      </c>
      <c r="C8" s="9" t="n">
        <v>299</v>
      </c>
      <c r="D8" s="9" t="n">
        <v>299</v>
      </c>
    </row>
    <row r="9">
      <c r="A9" s="8" t="inlineStr">
        <is>
          <t xml:space="preserve">    16. Occupancy</t>
        </is>
      </c>
      <c r="B9" s="9" t="n">
        <v>13611</v>
      </c>
      <c r="C9" s="9" t="n">
        <v>14745</v>
      </c>
      <c r="D9" s="9" t="n">
        <v>17002</v>
      </c>
    </row>
    <row r="10">
      <c r="A10" s="8" t="inlineStr">
        <is>
          <t xml:space="preserve">    20. Interest</t>
        </is>
      </c>
      <c r="B10" s="14" t="inlineStr">
        <is>
          <t>not reported</t>
        </is>
      </c>
      <c r="C10" s="14" t="inlineStr">
        <is>
          <t>not reported</t>
        </is>
      </c>
      <c r="D10" s="9" t="n">
        <v>16</v>
      </c>
    </row>
    <row r="11">
      <c r="A11" s="8" t="inlineStr">
        <is>
          <t xml:space="preserve">    22. Depreciation, depletion, and amortization</t>
        </is>
      </c>
      <c r="B11" s="9" t="n">
        <v>43022</v>
      </c>
      <c r="C11" s="9" t="n">
        <v>22603</v>
      </c>
      <c r="D11" s="9" t="n">
        <v>16144</v>
      </c>
    </row>
    <row r="12">
      <c r="A12" s="8" t="inlineStr">
        <is>
          <t xml:space="preserve">    23. Insurance</t>
        </is>
      </c>
      <c r="B12" s="9" t="n">
        <v>2250</v>
      </c>
      <c r="C12" s="9" t="n">
        <v>2580</v>
      </c>
      <c r="D12" s="9" t="n">
        <v>2952</v>
      </c>
    </row>
    <row r="13">
      <c r="A13" s="8" t="inlineStr">
        <is>
          <t xml:space="preserve">    24. WATER SYSTEM MAINTENANCE</t>
        </is>
      </c>
      <c r="B13" s="9" t="n">
        <v>14517</v>
      </c>
      <c r="C13" s="9" t="n">
        <v>19045</v>
      </c>
      <c r="D13" s="9" t="n">
        <v>15595</v>
      </c>
    </row>
    <row r="14">
      <c r="A14" s="8" t="inlineStr">
        <is>
          <t xml:space="preserve">    24. REPAIRS</t>
        </is>
      </c>
      <c r="B14" s="9" t="n">
        <v>2960</v>
      </c>
      <c r="C14" s="9" t="n">
        <v>8850</v>
      </c>
      <c r="D14" s="9" t="n">
        <v>9864</v>
      </c>
    </row>
    <row r="15">
      <c r="A15" s="8" t="inlineStr">
        <is>
          <t xml:space="preserve">    24. ALARM</t>
        </is>
      </c>
      <c r="B15" s="9" t="n">
        <v>831</v>
      </c>
      <c r="C15" s="9" t="n">
        <v>795</v>
      </c>
      <c r="D15" s="9" t="n">
        <v>902</v>
      </c>
    </row>
    <row r="16">
      <c r="A16" s="8" t="inlineStr">
        <is>
          <t xml:space="preserve">    24. FTB TAXES</t>
        </is>
      </c>
      <c r="B16" s="9" t="n">
        <v>800</v>
      </c>
      <c r="C16" s="9" t="n">
        <v>8144</v>
      </c>
      <c r="D16" s="9" t="n">
        <v>17708</v>
      </c>
    </row>
    <row r="17">
      <c r="A17" s="8" t="inlineStr">
        <is>
          <t xml:space="preserve">    24e. All other expenses</t>
        </is>
      </c>
      <c r="B17" s="9" t="n">
        <v>635</v>
      </c>
      <c r="C17" s="9" t="n">
        <v>725</v>
      </c>
      <c r="D17" s="14" t="inlineStr">
        <is>
          <t>not reported</t>
        </is>
      </c>
    </row>
    <row r="18">
      <c r="A18" s="10" t="inlineStr">
        <is>
          <t>25. Total functional expenses</t>
        </is>
      </c>
      <c r="B18" s="11">
        <f>SUM(B7:B17)</f>
        <v/>
      </c>
      <c r="C18" s="11">
        <f>SUM(C7:C17)</f>
        <v/>
      </c>
      <c r="D18" s="11">
        <f>SUM(D7:D17)</f>
        <v/>
      </c>
    </row>
    <row r="20">
      <c r="A20" s="6" t="inlineStr">
        <is>
          <t>Functional column split - FY2024 (col A = B + C + D)</t>
        </is>
      </c>
      <c r="B20" s="7" t="n"/>
      <c r="C20" s="7" t="n"/>
      <c r="D20" s="7" t="n"/>
    </row>
    <row r="21">
      <c r="A21" s="5" t="inlineStr">
        <is>
          <t>Part IX line</t>
        </is>
      </c>
      <c r="B21" s="5" t="inlineStr">
        <is>
          <t>A. Total</t>
        </is>
      </c>
      <c r="C21" s="5" t="inlineStr">
        <is>
          <t>B. Program services</t>
        </is>
      </c>
      <c r="D21" s="5" t="inlineStr">
        <is>
          <t>C. Management &amp; general</t>
        </is>
      </c>
      <c r="E21" s="5" t="inlineStr">
        <is>
          <t>D. Fundraising</t>
        </is>
      </c>
    </row>
    <row r="22">
      <c r="A22" s="18" t="inlineStr">
        <is>
          <t>11g. Fees for services: other</t>
        </is>
      </c>
      <c r="B22" s="9" t="n">
        <v>11231</v>
      </c>
      <c r="C22" s="9" t="n">
        <v>11231</v>
      </c>
      <c r="D22" s="9" t="n"/>
      <c r="E22" s="9" t="n"/>
    </row>
    <row r="23">
      <c r="A23" s="18" t="inlineStr">
        <is>
          <t>13. Office expenses</t>
        </is>
      </c>
      <c r="B23" s="9" t="n">
        <v>299</v>
      </c>
      <c r="C23" s="9" t="n">
        <v>299</v>
      </c>
      <c r="D23" s="9" t="n"/>
      <c r="E23" s="9" t="n"/>
    </row>
    <row r="24">
      <c r="A24" s="18" t="inlineStr">
        <is>
          <t>16. Occupancy</t>
        </is>
      </c>
      <c r="B24" s="9" t="n">
        <v>17002</v>
      </c>
      <c r="C24" s="9" t="n">
        <v>17002</v>
      </c>
      <c r="D24" s="9" t="n"/>
      <c r="E24" s="9" t="n"/>
    </row>
    <row r="25">
      <c r="A25" s="18" t="inlineStr">
        <is>
          <t>20. Interest</t>
        </is>
      </c>
      <c r="B25" s="9" t="n">
        <v>16</v>
      </c>
      <c r="C25" s="9" t="n">
        <v>16</v>
      </c>
      <c r="D25" s="9" t="n"/>
      <c r="E25" s="9" t="n"/>
    </row>
    <row r="26">
      <c r="A26" s="18" t="inlineStr">
        <is>
          <t>22. Depreciation, depletion, and amortization</t>
        </is>
      </c>
      <c r="B26" s="9" t="n">
        <v>16144</v>
      </c>
      <c r="C26" s="9" t="n">
        <v>16144</v>
      </c>
      <c r="D26" s="9" t="n"/>
      <c r="E26" s="9" t="n"/>
    </row>
    <row r="27">
      <c r="A27" s="18" t="inlineStr">
        <is>
          <t>23. Insurance</t>
        </is>
      </c>
      <c r="B27" s="9" t="n">
        <v>2952</v>
      </c>
      <c r="C27" s="9" t="n">
        <v>2952</v>
      </c>
      <c r="D27" s="9" t="n"/>
      <c r="E27" s="9" t="n"/>
    </row>
    <row r="28">
      <c r="A28" s="10" t="inlineStr">
        <is>
          <t>25. Total (filed col A / B / C / D)</t>
        </is>
      </c>
      <c r="B28" s="11" t="n">
        <v>91713</v>
      </c>
      <c r="C28" s="11" t="n">
        <v>91713</v>
      </c>
      <c r="D28" s="11" t="n">
        <v>0</v>
      </c>
      <c r="E28" s="11" t="n">
        <v>0</v>
      </c>
    </row>
    <row r="30" ht="42" customHeight="1">
      <c r="A3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D1"/>
    <mergeCell ref="A30:D30"/>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Prather Water District Inc</t>
        </is>
      </c>
    </row>
    <row r="2">
      <c r="A2" s="2" t="inlineStr">
        <is>
          <t>Balance Sheet - Form 990 Part X (end of year, USD)</t>
        </is>
      </c>
    </row>
    <row r="3">
      <c r="A3" s="2" t="inlineStr">
        <is>
          <t>Entity ID: cawc_0187   |   Fiscal year ends December 31.</t>
        </is>
      </c>
    </row>
    <row r="5">
      <c r="A5" s="4" t="inlineStr">
        <is>
          <t>Part X line (column B, EOY)</t>
        </is>
      </c>
      <c r="B5" s="5" t="inlineStr">
        <is>
          <t>FY2022</t>
        </is>
      </c>
      <c r="C5" s="5" t="inlineStr">
        <is>
          <t>FY2023</t>
        </is>
      </c>
      <c r="D5" s="5" t="inlineStr">
        <is>
          <t>FY2024</t>
        </is>
      </c>
    </row>
    <row r="6">
      <c r="A6" s="6" t="inlineStr">
        <is>
          <t>Assets</t>
        </is>
      </c>
      <c r="B6" s="7" t="n"/>
      <c r="C6" s="7" t="n"/>
      <c r="D6" s="7" t="n"/>
    </row>
    <row r="7">
      <c r="A7" s="8" t="inlineStr">
        <is>
          <t xml:space="preserve">    1. Cash - non-interest-bearing</t>
        </is>
      </c>
      <c r="B7" s="9" t="n">
        <v>337529</v>
      </c>
      <c r="C7" s="9" t="n">
        <v>286300</v>
      </c>
      <c r="D7" s="9" t="n">
        <v>310525</v>
      </c>
    </row>
    <row r="8">
      <c r="A8" s="8" t="inlineStr">
        <is>
          <t xml:space="preserve">    10c. Land, buildings, and equipment, net</t>
        </is>
      </c>
      <c r="B8" s="9" t="n">
        <v>79109</v>
      </c>
      <c r="C8" s="9" t="n">
        <v>56506</v>
      </c>
      <c r="D8" s="9" t="n">
        <v>40362</v>
      </c>
    </row>
    <row r="9">
      <c r="A9" s="10" t="inlineStr">
        <is>
          <t>16. Total assets</t>
        </is>
      </c>
      <c r="B9" s="11">
        <f>SUM(B7:B8)</f>
        <v/>
      </c>
      <c r="C9" s="11">
        <f>SUM(C7:C8)</f>
        <v/>
      </c>
      <c r="D9" s="11">
        <f>SUM(D7:D8)</f>
        <v/>
      </c>
    </row>
    <row r="11">
      <c r="A11" s="6" t="inlineStr">
        <is>
          <t>Liabilities</t>
        </is>
      </c>
      <c r="B11" s="7" t="n"/>
      <c r="C11" s="7" t="n"/>
      <c r="D11" s="7" t="n"/>
    </row>
    <row r="12">
      <c r="A12" s="8" t="inlineStr">
        <is>
          <t xml:space="preserve">    25. Other liabilities</t>
        </is>
      </c>
      <c r="B12" s="9" t="n">
        <v>186181</v>
      </c>
      <c r="C12" s="14" t="inlineStr">
        <is>
          <t>not reported</t>
        </is>
      </c>
      <c r="D12" s="14" t="inlineStr">
        <is>
          <t>not reported</t>
        </is>
      </c>
    </row>
    <row r="13">
      <c r="A13" s="10" t="inlineStr">
        <is>
          <t>26. Total liabilities</t>
        </is>
      </c>
      <c r="B13" s="11">
        <f>SUM(B12:B12)</f>
        <v/>
      </c>
      <c r="C13" s="11">
        <f>SUM(C12:C12)</f>
        <v/>
      </c>
      <c r="D13" s="11">
        <f>SUM(D12:D12)</f>
        <v/>
      </c>
    </row>
    <row r="15">
      <c r="A15" s="6" t="inlineStr">
        <is>
          <t>Net assets / fund balances</t>
        </is>
      </c>
      <c r="B15" s="7" t="n"/>
      <c r="C15" s="7" t="n"/>
      <c r="D15" s="7" t="n"/>
    </row>
    <row r="16">
      <c r="A16" s="8" t="inlineStr">
        <is>
          <t xml:space="preserve">    31. Retained earnings / accumulated funds</t>
        </is>
      </c>
      <c r="B16" s="9" t="n">
        <v>230457</v>
      </c>
      <c r="C16" s="9" t="n">
        <v>342806</v>
      </c>
      <c r="D16" s="9" t="n">
        <v>350887</v>
      </c>
    </row>
    <row r="17">
      <c r="A17" s="10" t="inlineStr">
        <is>
          <t>32. Total net assets / fund balances</t>
        </is>
      </c>
      <c r="B17" s="11">
        <f>SUM(B16:B16)</f>
        <v/>
      </c>
      <c r="C17" s="11">
        <f>SUM(C16:C16)</f>
        <v/>
      </c>
      <c r="D17" s="11">
        <f>SUM(D16:D16)</f>
        <v/>
      </c>
    </row>
    <row r="19" ht="42" customHeight="1">
      <c r="A19"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19:D19"/>
    <mergeCell ref="A3:D3"/>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Prather Water District Inc</t>
        </is>
      </c>
    </row>
    <row r="2">
      <c r="A2" s="2" t="inlineStr">
        <is>
          <t>Reconciliation of Net Assets - Form 990 Part XI (USD)</t>
        </is>
      </c>
    </row>
    <row r="3">
      <c r="A3" s="2" t="inlineStr">
        <is>
          <t>Entity ID: cawc_0187   |   Fiscal year ends December 31.</t>
        </is>
      </c>
    </row>
    <row r="5">
      <c r="A5" s="4" t="inlineStr">
        <is>
          <t>Part XI line</t>
        </is>
      </c>
      <c r="B5" s="5" t="inlineStr">
        <is>
          <t>FY2022</t>
        </is>
      </c>
      <c r="C5" s="5" t="inlineStr">
        <is>
          <t>FY2023</t>
        </is>
      </c>
      <c r="D5" s="5" t="inlineStr">
        <is>
          <t>FY2024</t>
        </is>
      </c>
    </row>
    <row r="6">
      <c r="A6" s="6" t="inlineStr">
        <is>
          <t>Reconciliation</t>
        </is>
      </c>
      <c r="B6" s="7" t="n"/>
      <c r="C6" s="7" t="n"/>
      <c r="D6" s="7" t="n"/>
    </row>
    <row r="7">
      <c r="A7" s="8" t="inlineStr">
        <is>
          <t xml:space="preserve">    4. Net assets, beginning of year</t>
        </is>
      </c>
      <c r="B7" s="9" t="n">
        <v>160356</v>
      </c>
      <c r="C7" s="9" t="n">
        <v>230457</v>
      </c>
      <c r="D7" s="9" t="n">
        <v>342806</v>
      </c>
    </row>
    <row r="8">
      <c r="A8" s="8" t="inlineStr">
        <is>
          <t xml:space="preserve">    3. Revenue less expenses</t>
        </is>
      </c>
      <c r="B8" s="9" t="n">
        <v>70101</v>
      </c>
      <c r="C8" s="9" t="n">
        <v>112349</v>
      </c>
      <c r="D8" s="9" t="n">
        <v>8081</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14" t="inlineStr">
        <is>
          <t>not reported</t>
        </is>
      </c>
      <c r="C10" s="14" t="inlineStr">
        <is>
          <t>not reported</t>
        </is>
      </c>
      <c r="D10" s="14" t="inlineStr">
        <is>
          <t>not reported</t>
        </is>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Prather Water District Inc</t>
        </is>
      </c>
    </row>
    <row r="2">
      <c r="A2" s="2" t="inlineStr">
        <is>
          <t>Cash Flow Proxies - derived (USD)</t>
        </is>
      </c>
    </row>
    <row r="3">
      <c r="A3" s="2" t="inlineStr">
        <is>
          <t>Entity ID: cawc_0187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41606</v>
      </c>
      <c r="C9" s="9" t="n">
        <v>21048</v>
      </c>
      <c r="D9" s="9" t="n">
        <v>70101</v>
      </c>
      <c r="E9" s="9" t="n">
        <v>112349</v>
      </c>
      <c r="F9" s="9" t="n">
        <v>8081</v>
      </c>
    </row>
    <row r="10">
      <c r="A10" s="8" t="inlineStr">
        <is>
          <t xml:space="preserve">    + Depreciation (reported)</t>
        </is>
      </c>
      <c r="B10" s="9" t="n"/>
      <c r="C10" s="9" t="n"/>
      <c r="D10" s="9" t="n">
        <v>43022</v>
      </c>
      <c r="E10" s="9" t="n">
        <v>22603</v>
      </c>
      <c r="F10" s="9" t="n">
        <v>16144</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21048</v>
      </c>
      <c r="D15" s="11" t="n">
        <v>113123</v>
      </c>
      <c r="E15" s="11" t="n">
        <v>134952</v>
      </c>
      <c r="F15" s="11" t="n">
        <v>24225</v>
      </c>
    </row>
    <row r="17">
      <c r="A17" s="6" t="inlineStr">
        <is>
          <t>Investing</t>
        </is>
      </c>
      <c r="B17" s="7" t="n"/>
      <c r="C17" s="7" t="n"/>
      <c r="D17" s="7" t="n"/>
      <c r="E17" s="7" t="n"/>
      <c r="F17" s="7" t="n"/>
    </row>
    <row r="18">
      <c r="A18" s="8" t="inlineStr">
        <is>
          <t xml:space="preserve">    − Δ PP&amp;E gross (capex proxy)</t>
        </is>
      </c>
      <c r="B18" s="9" t="n"/>
      <c r="C18" s="9" t="n"/>
      <c r="D18" s="9" t="n"/>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44335</v>
      </c>
      <c r="D24" s="11" t="n">
        <v>235384</v>
      </c>
      <c r="E24" s="11" t="n">
        <v>-51229</v>
      </c>
      <c r="F24" s="11" t="n">
        <v>24225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Prather Water District Inc</t>
        </is>
      </c>
    </row>
    <row r="2">
      <c r="A2" s="2" t="inlineStr">
        <is>
          <t>Financial Ratios</t>
        </is>
      </c>
    </row>
    <row r="3">
      <c r="A3" s="2" t="inlineStr">
        <is>
          <t>Entity ID: cawc_0187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0.3206208049812356</v>
      </c>
      <c r="C7" s="12" t="n">
        <v>0.1981902241975123</v>
      </c>
      <c r="D7" s="12" t="n">
        <v>0.3432991508242</v>
      </c>
      <c r="E7" s="12" t="n">
        <v>0.5563401553903824</v>
      </c>
      <c r="F7" s="12" t="n">
        <v>0.0809768122332004</v>
      </c>
    </row>
    <row r="8">
      <c r="A8" s="8" t="inlineStr">
        <is>
          <t xml:space="preserve">    Expense ratio (expenses / revenue)</t>
        </is>
      </c>
      <c r="B8" s="12" t="n">
        <v>0.6793791950187644</v>
      </c>
      <c r="C8" s="12" t="n">
        <v>0.8018097758024877</v>
      </c>
      <c r="D8" s="12" t="n">
        <v>0.6567008491758</v>
      </c>
      <c r="E8" s="12" t="n">
        <v>0.4436598446096175</v>
      </c>
      <c r="F8" s="12" t="n">
        <v>0.9190231877667996</v>
      </c>
    </row>
    <row r="9">
      <c r="A9" s="8" t="inlineStr">
        <is>
          <t xml:space="preserve">    Return on assets (NI / assets)</t>
        </is>
      </c>
      <c r="B9" s="12" t="n">
        <v>0.2986619576765153</v>
      </c>
      <c r="C9" s="12" t="n">
        <v>0.131257951058894</v>
      </c>
      <c r="D9" s="12" t="n">
        <v>0.1682539758735401</v>
      </c>
      <c r="E9" s="12" t="n">
        <v>0.3277334702426445</v>
      </c>
      <c r="F9" s="12" t="n">
        <v>0.02303020630573376</v>
      </c>
    </row>
    <row r="10">
      <c r="A10" s="8" t="inlineStr">
        <is>
          <t xml:space="preserve">    Revenue growth (YoY)</t>
        </is>
      </c>
      <c r="B10" s="12" t="n"/>
      <c r="C10" s="12" t="n"/>
      <c r="D10" s="12" t="n"/>
      <c r="E10" s="12" t="n">
        <v>-0.011043203165555</v>
      </c>
      <c r="F10" s="12" t="n">
        <v>-0.5058308532605735</v>
      </c>
    </row>
    <row r="12">
      <c r="A12" s="6" t="inlineStr">
        <is>
          <t>Leverage &amp; solvency</t>
        </is>
      </c>
      <c r="B12" s="7" t="n"/>
      <c r="C12" s="7" t="n"/>
      <c r="D12" s="7" t="n"/>
      <c r="E12" s="7" t="n"/>
      <c r="F12" s="7" t="n"/>
    </row>
    <row r="13">
      <c r="A13" s="8" t="inlineStr">
        <is>
          <t xml:space="preserve">    Debt-to-assets (liab. / assets)</t>
        </is>
      </c>
      <c r="B13" s="12" t="n"/>
      <c r="C13" s="12" t="n"/>
      <c r="D13" s="12" t="n">
        <v>0.4468651443219294</v>
      </c>
      <c r="E13" s="12" t="n">
        <v>0</v>
      </c>
      <c r="F13" s="12" t="n">
        <v>0</v>
      </c>
    </row>
    <row r="14">
      <c r="A14" s="8" t="inlineStr">
        <is>
          <t xml:space="preserve">    Equity ratio (net assets / assets)</t>
        </is>
      </c>
      <c r="B14" s="12" t="n">
        <v>1</v>
      </c>
      <c r="C14" s="12" t="n">
        <v>1</v>
      </c>
      <c r="D14" s="12" t="n">
        <v>0.5531348556780706</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c r="F17" s="19" t="n"/>
    </row>
    <row r="18">
      <c r="A18" s="8" t="inlineStr">
        <is>
          <t xml:space="preserve">    Cash ratio ((cash+temp inv.) / total liab.)</t>
        </is>
      </c>
      <c r="B18" s="19" t="n"/>
      <c r="C18" s="19" t="n"/>
      <c r="D18" s="19" t="n">
        <v>1.812907869224035</v>
      </c>
      <c r="E18" s="19" t="n"/>
      <c r="F18" s="19" t="n"/>
    </row>
    <row r="19">
      <c r="A19" s="8" t="inlineStr">
        <is>
          <t xml:space="preserve">    Asset age proxy (accum. deprec. / gross PP&amp;E)</t>
        </is>
      </c>
      <c r="B19" s="12" t="n"/>
      <c r="C19" s="12" t="n"/>
      <c r="D19" s="12" t="n">
        <v>0.5024778939159529</v>
      </c>
      <c r="E19" s="12" t="n">
        <v>0.6446297623989032</v>
      </c>
      <c r="F19" s="12" t="n">
        <v>0.7461605222444436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Prather Water District Inc</t>
        </is>
      </c>
    </row>
    <row r="2">
      <c r="A2" s="2" t="inlineStr">
        <is>
          <t>Unit economics - per-customer revenue by category (USD)</t>
        </is>
      </c>
    </row>
    <row r="3">
      <c r="A3" s="2" t="inlineStr">
        <is>
          <t>Entity ID: cawc_0187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Prather Water District Inc</t>
        </is>
      </c>
    </row>
    <row r="2">
      <c r="A2" s="2" t="inlineStr">
        <is>
          <t>Rate structure and representative bill - eAR Section 8a</t>
        </is>
      </c>
    </row>
    <row r="3">
      <c r="A3" s="2" t="inlineStr">
        <is>
          <t>Entity ID: cawc_0187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Prather Water District Inc</t>
        </is>
      </c>
    </row>
    <row r="2">
      <c r="A2" s="2" t="inlineStr">
        <is>
          <t>Operational metrics - plant per acre, density, terrain</t>
        </is>
      </c>
    </row>
    <row r="3">
      <c r="A3" s="2" t="inlineStr">
        <is>
          <t>Entity ID: cawc_0187   |   Fiscal year ends December 31.</t>
        </is>
      </c>
    </row>
    <row r="5">
      <c r="A5" s="6" t="inlineStr">
        <is>
          <t>Plant assets per acre</t>
        </is>
      </c>
      <c r="B5" s="7" t="n"/>
      <c r="C5" s="7" t="n"/>
    </row>
    <row r="6">
      <c r="A6" s="20" t="inlineStr">
        <is>
          <t>Service-area acres</t>
        </is>
      </c>
      <c r="B6" s="26" t="n">
        <v>127.3</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c r="C8" s="9" t="n">
        <v>640.2042</v>
      </c>
    </row>
    <row r="9">
      <c r="A9" s="18" t="inlineStr">
        <is>
          <t>FY2021</t>
        </is>
      </c>
      <c r="B9" s="9" t="n"/>
      <c r="C9" s="9" t="n">
        <v>457.2742</v>
      </c>
    </row>
    <row r="10">
      <c r="A10" s="18" t="inlineStr">
        <is>
          <t>FY2022</t>
        </is>
      </c>
      <c r="B10" s="9" t="n">
        <v>1249.0652</v>
      </c>
      <c r="C10" s="9" t="n">
        <v>621.4375</v>
      </c>
    </row>
    <row r="11">
      <c r="A11" s="18" t="inlineStr">
        <is>
          <t>FY2023</t>
        </is>
      </c>
      <c r="B11" s="9" t="n">
        <v>1249.0652</v>
      </c>
      <c r="C11" s="9" t="n">
        <v>443.8806</v>
      </c>
    </row>
    <row r="12">
      <c r="A12" s="18" t="inlineStr">
        <is>
          <t>FY2024</t>
        </is>
      </c>
      <c r="B12" s="9" t="n">
        <v>1249.0652</v>
      </c>
      <c r="C12" s="9" t="n">
        <v>317.0621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0.24</v>
      </c>
      <c r="C19" s="22" t="inlineStr">
        <is>
          <t>30 connections / 127.3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Prather Water District Inc</t>
        </is>
      </c>
    </row>
    <row r="2">
      <c r="A2" s="2" t="inlineStr">
        <is>
          <t>Supply and weather indicators (DWR water year)</t>
        </is>
      </c>
    </row>
    <row r="3">
      <c r="A3" s="2" t="inlineStr">
        <is>
          <t>Entity ID: cawc_0187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7" t="inlineStr">
        <is>
          <t>Dry</t>
        </is>
      </c>
      <c r="C8" s="27" t="inlineStr">
        <is>
          <t>Critical</t>
        </is>
      </c>
      <c r="D8" s="27" t="inlineStr">
        <is>
          <t>Critical</t>
        </is>
      </c>
      <c r="E8" s="27" t="inlineStr">
        <is>
          <t>Wet</t>
        </is>
      </c>
      <c r="F8" s="27" t="inlineStr">
        <is>
          <t>Above Normal</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63</t>
        </is>
      </c>
      <c r="C10" s="27" t="inlineStr">
        <is>
          <t>48</t>
        </is>
      </c>
      <c r="D10" s="27" t="inlineStr">
        <is>
          <t>86</t>
        </is>
      </c>
      <c r="E10" s="27" t="inlineStr">
        <is>
          <t>133</t>
        </is>
      </c>
      <c r="F10" s="27" t="inlineStr">
        <is>
          <t>96</t>
        </is>
      </c>
    </row>
    <row r="11">
      <c r="A11" s="8" t="inlineStr">
        <is>
          <t>Snowpack, April 1 percent of average</t>
        </is>
      </c>
      <c r="B11" s="27" t="inlineStr">
        <is>
          <t>53%</t>
        </is>
      </c>
      <c r="C11" s="27" t="inlineStr">
        <is>
          <t>59%</t>
        </is>
      </c>
      <c r="D11" s="27" t="inlineStr">
        <is>
          <t>38%</t>
        </is>
      </c>
      <c r="E11" s="27" t="inlineStr">
        <is>
          <t>237%</t>
        </is>
      </c>
      <c r="F11" s="27" t="inlineStr">
        <is>
          <t>110%</t>
        </is>
      </c>
    </row>
    <row r="12">
      <c r="A12" s="8" t="inlineStr">
        <is>
          <t>State Water Project allocation</t>
        </is>
      </c>
      <c r="B12" s="27" t="inlineStr">
        <is>
          <t>20%</t>
        </is>
      </c>
      <c r="C12" s="27" t="inlineStr">
        <is>
          <t>5%</t>
        </is>
      </c>
      <c r="D12" s="27" t="inlineStr">
        <is>
          <t>5%</t>
        </is>
      </c>
      <c r="E12" s="27" t="inlineStr">
        <is>
          <t>100%</t>
        </is>
      </c>
      <c r="F12" s="2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Prather Water District Inc</t>
        </is>
      </c>
    </row>
    <row r="2">
      <c r="A2" s="2" t="inlineStr">
        <is>
          <t>How this was built - forensic lineage</t>
        </is>
      </c>
    </row>
    <row r="3">
      <c r="A3" s="2" t="inlineStr">
        <is>
          <t>Entity ID: cawc_0187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Prather Water District Inc</t>
        </is>
      </c>
    </row>
    <row r="2">
      <c r="A2" s="2" t="inlineStr">
        <is>
          <t>Sources &amp; audit - full provenance and tie-outs (kept off the statements so they read clean)</t>
        </is>
      </c>
    </row>
    <row r="3">
      <c r="A3" s="2" t="inlineStr">
        <is>
          <t>Entity ID: cawc_0187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990-EZ</t>
        </is>
      </c>
      <c r="D10" s="8" t="inlineStr">
        <is>
          <t>high</t>
        </is>
      </c>
      <c r="E10" s="8" t="inlineStr">
        <is>
          <t>07dd755e-10cb-4673-b6a2-ef38f845d0f9</t>
        </is>
      </c>
      <c r="F10" s="8" t="inlineStr">
        <is>
          <t>202130789349200513</t>
        </is>
      </c>
      <c r="G10" s="8" t="inlineStr">
        <is>
          <t>claude-opus-5</t>
        </is>
      </c>
      <c r="H10" s="8" t="inlineStr">
        <is>
          <t>2026-10-06T04:30:11+00:00</t>
        </is>
      </c>
      <c r="I10" s="8" t="inlineStr">
        <is>
          <t>https://apps.irs.gov/pub/epostcard/990/xml/2021/2021_TEOS_XML_01A.zip#202130789349200513_public.xml</t>
        </is>
      </c>
    </row>
    <row r="11">
      <c r="A11" s="27" t="inlineStr">
        <is>
          <t>FY2021</t>
        </is>
      </c>
      <c r="B11" s="8" t="inlineStr">
        <is>
          <t>2021-12-31</t>
        </is>
      </c>
      <c r="C11" s="8" t="inlineStr">
        <is>
          <t>990-EZ</t>
        </is>
      </c>
      <c r="D11" s="8" t="inlineStr">
        <is>
          <t>high</t>
        </is>
      </c>
      <c r="E11" s="8" t="inlineStr">
        <is>
          <t>74a60c7c-8274-4bf3-8c5e-665bdd9a6acb</t>
        </is>
      </c>
      <c r="F11" s="8" t="inlineStr">
        <is>
          <t>202231729349200968</t>
        </is>
      </c>
      <c r="G11" s="8" t="inlineStr">
        <is>
          <t>claude-opus-5</t>
        </is>
      </c>
      <c r="H11" s="8" t="inlineStr">
        <is>
          <t>2026-10-06T04:30:12+00:00</t>
        </is>
      </c>
      <c r="I11" s="8" t="inlineStr">
        <is>
          <t>https://apps.irs.gov/pub/epostcard/990/xml/2022/2022_TEOS_XML_01A.zip#202231729349200968_public.xml</t>
        </is>
      </c>
    </row>
    <row r="12">
      <c r="A12" s="27" t="inlineStr">
        <is>
          <t>FY2022</t>
        </is>
      </c>
      <c r="B12" s="8" t="inlineStr">
        <is>
          <t>2022-12-31</t>
        </is>
      </c>
      <c r="C12" s="8" t="inlineStr">
        <is>
          <t>990</t>
        </is>
      </c>
      <c r="D12" s="8" t="inlineStr">
        <is>
          <t>high</t>
        </is>
      </c>
      <c r="E12" s="8" t="inlineStr">
        <is>
          <t>20d693ba-691d-47b8-9496-9f036bfbba6d</t>
        </is>
      </c>
      <c r="F12" s="8" t="inlineStr">
        <is>
          <t>202302859349302205</t>
        </is>
      </c>
      <c r="G12" s="8" t="inlineStr">
        <is>
          <t>claude-opus-5</t>
        </is>
      </c>
      <c r="H12" s="8" t="inlineStr">
        <is>
          <t>2026-10-06T04:30:13+00:00</t>
        </is>
      </c>
      <c r="I12" s="8" t="inlineStr">
        <is>
          <t>https://apps.irs.gov/pub/epostcard/990/xml/2023/2023_TEOS_XML_10A.zip#202302859349302205_public.xml</t>
        </is>
      </c>
    </row>
    <row r="13">
      <c r="A13" s="27" t="inlineStr">
        <is>
          <t>FY2023</t>
        </is>
      </c>
      <c r="B13" s="8" t="inlineStr">
        <is>
          <t>2023-12-31</t>
        </is>
      </c>
      <c r="C13" s="8" t="inlineStr">
        <is>
          <t>990</t>
        </is>
      </c>
      <c r="D13" s="8" t="inlineStr">
        <is>
          <t>high</t>
        </is>
      </c>
      <c r="E13" s="8" t="inlineStr">
        <is>
          <t>0fb704f4-d387-4fe1-bd33-ece2010f9c9f</t>
        </is>
      </c>
      <c r="F13" s="8" t="inlineStr">
        <is>
          <t>202442849349302019</t>
        </is>
      </c>
      <c r="G13" s="8" t="inlineStr">
        <is>
          <t>claude-opus-5</t>
        </is>
      </c>
      <c r="H13" s="8" t="inlineStr">
        <is>
          <t>2026-10-06T04:30:14+00:00</t>
        </is>
      </c>
      <c r="I13" s="8" t="inlineStr">
        <is>
          <t>https://apps.irs.gov/pub/epostcard/990/xml/2024/2024_TEOS_XML_10A.zip#202442849349302019_public.xml</t>
        </is>
      </c>
    </row>
    <row r="14">
      <c r="A14" s="27" t="inlineStr">
        <is>
          <t>FY2024</t>
        </is>
      </c>
      <c r="B14" s="8" t="inlineStr">
        <is>
          <t>2024-12-31</t>
        </is>
      </c>
      <c r="C14" s="8" t="inlineStr">
        <is>
          <t>990</t>
        </is>
      </c>
      <c r="D14" s="8" t="inlineStr">
        <is>
          <t>high</t>
        </is>
      </c>
      <c r="E14" s="8" t="inlineStr">
        <is>
          <t>a7169f65-a152-4803-b0b2-63c8718f6487</t>
        </is>
      </c>
      <c r="F14" s="8" t="inlineStr">
        <is>
          <t>202510729349301021</t>
        </is>
      </c>
      <c r="G14" s="8" t="inlineStr">
        <is>
          <t>claude-opus-5</t>
        </is>
      </c>
      <c r="H14" s="8" t="inlineStr">
        <is>
          <t>2026-10-06T04:30:14+00:00</t>
        </is>
      </c>
      <c r="I14" s="8" t="inlineStr">
        <is>
          <t>https://apps.irs.gov/pub/epostcard/990/xml/2025/2025_TEOS_XML_03A.zip#202510729349301021_public.xml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Revenue (detail)</t>
        </is>
      </c>
      <c r="B18" s="8" t="inlineStr">
        <is>
          <t>B7</t>
        </is>
      </c>
      <c r="C18" s="8" t="inlineStr">
        <is>
          <t>1h. Total contributions, gifts, grants</t>
        </is>
      </c>
      <c r="D18" s="8" t="inlineStr">
        <is>
          <t>1h</t>
        </is>
      </c>
      <c r="E18" s="8" t="inlineStr">
        <is>
          <t>part_viii_revenue.total_contributions</t>
        </is>
      </c>
      <c r="F18" s="8" t="inlineStr">
        <is>
          <t>high</t>
        </is>
      </c>
      <c r="G18" s="9" t="n">
        <v>174744</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179765</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99794</v>
      </c>
    </row>
    <row r="21">
      <c r="A21" s="8" t="inlineStr">
        <is>
          <t>Revenue (detail)</t>
        </is>
      </c>
      <c r="B21" s="8" t="inlineStr">
        <is>
          <t>B8</t>
        </is>
      </c>
      <c r="C21" s="8" t="inlineStr">
        <is>
          <t>2g. Total program service revenue</t>
        </is>
      </c>
      <c r="D21" s="8" t="inlineStr">
        <is>
          <t>2g</t>
        </is>
      </c>
      <c r="E21" s="8" t="inlineStr">
        <is>
          <t>part_viii_revenue.total_program_service_revenue</t>
        </is>
      </c>
      <c r="F21" s="8" t="inlineStr">
        <is>
          <t>high</t>
        </is>
      </c>
      <c r="G21" s="9" t="n">
        <v>29454</v>
      </c>
    </row>
    <row r="22">
      <c r="A22" s="8" t="inlineStr">
        <is>
          <t>Revenue (detail)</t>
        </is>
      </c>
      <c r="B22" s="8" t="inlineStr">
        <is>
          <t>C8</t>
        </is>
      </c>
      <c r="C22" s="8" t="inlineStr">
        <is>
          <t>2g. Total program service revenue</t>
        </is>
      </c>
      <c r="D22" s="8" t="inlineStr">
        <is>
          <t>2g</t>
        </is>
      </c>
      <c r="E22" s="8" t="inlineStr">
        <is>
          <t>part_viii_revenue.total_program_service_revenue</t>
        </is>
      </c>
      <c r="F22" s="8" t="inlineStr">
        <is>
          <t>high</t>
        </is>
      </c>
      <c r="G22" s="9" t="n">
        <v>22178</v>
      </c>
    </row>
    <row r="23">
      <c r="A23" s="8" t="inlineStr">
        <is>
          <t>Operating expenses (detail)</t>
        </is>
      </c>
      <c r="B23" s="8" t="inlineStr">
        <is>
          <t>B7</t>
        </is>
      </c>
      <c r="C23" s="8" t="inlineStr">
        <is>
          <t>11g. Fees for services: other</t>
        </is>
      </c>
      <c r="D23" s="8" t="inlineStr">
        <is>
          <t>11g</t>
        </is>
      </c>
      <c r="E23" s="8" t="inlineStr">
        <is>
          <t>part_ix_expenses.fees_other</t>
        </is>
      </c>
      <c r="F23" s="8" t="inlineStr">
        <is>
          <t>high</t>
        </is>
      </c>
      <c r="G23" s="9" t="n">
        <v>55094</v>
      </c>
    </row>
    <row r="24">
      <c r="A24" s="8" t="inlineStr">
        <is>
          <t>Operating expenses (detail)</t>
        </is>
      </c>
      <c r="B24" s="8" t="inlineStr">
        <is>
          <t>C7</t>
        </is>
      </c>
      <c r="C24" s="8" t="inlineStr">
        <is>
          <t>11g. Fees for services: other</t>
        </is>
      </c>
      <c r="D24" s="8" t="inlineStr">
        <is>
          <t>11g</t>
        </is>
      </c>
      <c r="E24" s="8" t="inlineStr">
        <is>
          <t>part_ix_expenses.fees_other</t>
        </is>
      </c>
      <c r="F24" s="8" t="inlineStr">
        <is>
          <t>high</t>
        </is>
      </c>
      <c r="G24" s="9" t="n">
        <v>11808</v>
      </c>
    </row>
    <row r="25">
      <c r="A25" s="8" t="inlineStr">
        <is>
          <t>Operating expenses (detail)</t>
        </is>
      </c>
      <c r="B25" s="8" t="inlineStr">
        <is>
          <t>D7</t>
        </is>
      </c>
      <c r="C25" s="8" t="inlineStr">
        <is>
          <t>11g. Fees for services: other</t>
        </is>
      </c>
      <c r="D25" s="8" t="inlineStr">
        <is>
          <t>11g</t>
        </is>
      </c>
      <c r="E25" s="8" t="inlineStr">
        <is>
          <t>part_ix_expenses.fees_other</t>
        </is>
      </c>
      <c r="F25" s="8" t="inlineStr">
        <is>
          <t>high</t>
        </is>
      </c>
      <c r="G25" s="9" t="n">
        <v>11231</v>
      </c>
    </row>
    <row r="26">
      <c r="A26" s="8" t="inlineStr">
        <is>
          <t>Operating expenses (detail)</t>
        </is>
      </c>
      <c r="B26" s="8" t="inlineStr">
        <is>
          <t>B8</t>
        </is>
      </c>
      <c r="C26" s="8" t="inlineStr">
        <is>
          <t>13. Office expenses</t>
        </is>
      </c>
      <c r="D26" s="8" t="inlineStr">
        <is>
          <t>13</t>
        </is>
      </c>
      <c r="E26" s="8" t="inlineStr">
        <is>
          <t>part_ix_expenses.office_expenses</t>
        </is>
      </c>
      <c r="F26" s="8" t="inlineStr">
        <is>
          <t>high</t>
        </is>
      </c>
      <c r="G26" s="9" t="n">
        <v>377</v>
      </c>
    </row>
    <row r="27">
      <c r="A27" s="8" t="inlineStr">
        <is>
          <t>Operating expenses (detail)</t>
        </is>
      </c>
      <c r="B27" s="8" t="inlineStr">
        <is>
          <t>C8</t>
        </is>
      </c>
      <c r="C27" s="8" t="inlineStr">
        <is>
          <t>13. Office expenses</t>
        </is>
      </c>
      <c r="D27" s="8" t="inlineStr">
        <is>
          <t>13</t>
        </is>
      </c>
      <c r="E27" s="8" t="inlineStr">
        <is>
          <t>part_ix_expenses.office_expenses</t>
        </is>
      </c>
      <c r="F27" s="8" t="inlineStr">
        <is>
          <t>high</t>
        </is>
      </c>
      <c r="G27" s="9" t="n">
        <v>299</v>
      </c>
    </row>
    <row r="28">
      <c r="A28" s="8" t="inlineStr">
        <is>
          <t>Operating expenses (detail)</t>
        </is>
      </c>
      <c r="B28" s="8" t="inlineStr">
        <is>
          <t>D8</t>
        </is>
      </c>
      <c r="C28" s="8" t="inlineStr">
        <is>
          <t>13. Office expenses</t>
        </is>
      </c>
      <c r="D28" s="8" t="inlineStr">
        <is>
          <t>13</t>
        </is>
      </c>
      <c r="E28" s="8" t="inlineStr">
        <is>
          <t>part_ix_expenses.office_expenses</t>
        </is>
      </c>
      <c r="F28" s="8" t="inlineStr">
        <is>
          <t>high</t>
        </is>
      </c>
      <c r="G28" s="9" t="n">
        <v>299</v>
      </c>
    </row>
    <row r="29">
      <c r="A29" s="8" t="inlineStr">
        <is>
          <t>Operating expenses (detail)</t>
        </is>
      </c>
      <c r="B29" s="8" t="inlineStr">
        <is>
          <t>B9</t>
        </is>
      </c>
      <c r="C29" s="8" t="inlineStr">
        <is>
          <t>16. Occupancy</t>
        </is>
      </c>
      <c r="D29" s="8" t="inlineStr">
        <is>
          <t>16</t>
        </is>
      </c>
      <c r="E29" s="8" t="inlineStr">
        <is>
          <t>part_ix_expenses.occupancy</t>
        </is>
      </c>
      <c r="F29" s="8" t="inlineStr">
        <is>
          <t>high</t>
        </is>
      </c>
      <c r="G29" s="9" t="n">
        <v>13611</v>
      </c>
    </row>
    <row r="30">
      <c r="A30" s="8" t="inlineStr">
        <is>
          <t>Operating expenses (detail)</t>
        </is>
      </c>
      <c r="B30" s="8" t="inlineStr">
        <is>
          <t>C9</t>
        </is>
      </c>
      <c r="C30" s="8" t="inlineStr">
        <is>
          <t>16. Occupancy</t>
        </is>
      </c>
      <c r="D30" s="8" t="inlineStr">
        <is>
          <t>16</t>
        </is>
      </c>
      <c r="E30" s="8" t="inlineStr">
        <is>
          <t>part_ix_expenses.occupancy</t>
        </is>
      </c>
      <c r="F30" s="8" t="inlineStr">
        <is>
          <t>high</t>
        </is>
      </c>
      <c r="G30" s="9" t="n">
        <v>14745</v>
      </c>
    </row>
    <row r="31">
      <c r="A31" s="8" t="inlineStr">
        <is>
          <t>Operating expenses (detail)</t>
        </is>
      </c>
      <c r="B31" s="8" t="inlineStr">
        <is>
          <t>D9</t>
        </is>
      </c>
      <c r="C31" s="8" t="inlineStr">
        <is>
          <t>16. Occupancy</t>
        </is>
      </c>
      <c r="D31" s="8" t="inlineStr">
        <is>
          <t>16</t>
        </is>
      </c>
      <c r="E31" s="8" t="inlineStr">
        <is>
          <t>part_ix_expenses.occupancy</t>
        </is>
      </c>
      <c r="F31" s="8" t="inlineStr">
        <is>
          <t>high</t>
        </is>
      </c>
      <c r="G31" s="9" t="n">
        <v>17002</v>
      </c>
    </row>
    <row r="32">
      <c r="A32" s="8" t="inlineStr">
        <is>
          <t>Operating expenses (detail)</t>
        </is>
      </c>
      <c r="B32" s="8" t="inlineStr">
        <is>
          <t>D10</t>
        </is>
      </c>
      <c r="C32" s="8" t="inlineStr">
        <is>
          <t>20. Interest</t>
        </is>
      </c>
      <c r="D32" s="8" t="inlineStr">
        <is>
          <t>20</t>
        </is>
      </c>
      <c r="E32" s="8" t="inlineStr">
        <is>
          <t>part_ix_expenses.interest</t>
        </is>
      </c>
      <c r="F32" s="8" t="inlineStr">
        <is>
          <t>high</t>
        </is>
      </c>
      <c r="G32" s="9" t="n">
        <v>16</v>
      </c>
    </row>
    <row r="33">
      <c r="A33" s="8" t="inlineStr">
        <is>
          <t>Operating expenses (detail)</t>
        </is>
      </c>
      <c r="B33" s="8" t="inlineStr">
        <is>
          <t>B11</t>
        </is>
      </c>
      <c r="C33" s="8" t="inlineStr">
        <is>
          <t>22. Depreciation, depletion, and amortization</t>
        </is>
      </c>
      <c r="D33" s="8" t="inlineStr">
        <is>
          <t>22</t>
        </is>
      </c>
      <c r="E33" s="8" t="inlineStr">
        <is>
          <t>part_ix_expenses.depreciation</t>
        </is>
      </c>
      <c r="F33" s="8" t="inlineStr">
        <is>
          <t>high</t>
        </is>
      </c>
      <c r="G33" s="9" t="n">
        <v>43022</v>
      </c>
    </row>
    <row r="34">
      <c r="A34" s="8" t="inlineStr">
        <is>
          <t>Operating expenses (detail)</t>
        </is>
      </c>
      <c r="B34" s="8" t="inlineStr">
        <is>
          <t>C11</t>
        </is>
      </c>
      <c r="C34" s="8" t="inlineStr">
        <is>
          <t>22. Depreciation, depletion, and amortization</t>
        </is>
      </c>
      <c r="D34" s="8" t="inlineStr">
        <is>
          <t>22</t>
        </is>
      </c>
      <c r="E34" s="8" t="inlineStr">
        <is>
          <t>part_ix_expenses.depreciation</t>
        </is>
      </c>
      <c r="F34" s="8" t="inlineStr">
        <is>
          <t>high</t>
        </is>
      </c>
      <c r="G34" s="9" t="n">
        <v>22603</v>
      </c>
    </row>
    <row r="35">
      <c r="A35" s="8" t="inlineStr">
        <is>
          <t>Operating expenses (detail)</t>
        </is>
      </c>
      <c r="B35" s="8" t="inlineStr">
        <is>
          <t>D11</t>
        </is>
      </c>
      <c r="C35" s="8" t="inlineStr">
        <is>
          <t>22. Depreciation, depletion, and amortization</t>
        </is>
      </c>
      <c r="D35" s="8" t="inlineStr">
        <is>
          <t>22</t>
        </is>
      </c>
      <c r="E35" s="8" t="inlineStr">
        <is>
          <t>part_ix_expenses.depreciation</t>
        </is>
      </c>
      <c r="F35" s="8" t="inlineStr">
        <is>
          <t>high</t>
        </is>
      </c>
      <c r="G35" s="9" t="n">
        <v>16144</v>
      </c>
    </row>
    <row r="36">
      <c r="A36" s="8" t="inlineStr">
        <is>
          <t>Operating expenses (detail)</t>
        </is>
      </c>
      <c r="B36" s="8" t="inlineStr">
        <is>
          <t>B12</t>
        </is>
      </c>
      <c r="C36" s="8" t="inlineStr">
        <is>
          <t>23. Insurance</t>
        </is>
      </c>
      <c r="D36" s="8" t="inlineStr">
        <is>
          <t>23</t>
        </is>
      </c>
      <c r="E36" s="8" t="inlineStr">
        <is>
          <t>part_ix_expenses.insurance</t>
        </is>
      </c>
      <c r="F36" s="8" t="inlineStr">
        <is>
          <t>high</t>
        </is>
      </c>
      <c r="G36" s="9" t="n">
        <v>2250</v>
      </c>
    </row>
    <row r="37">
      <c r="A37" s="8" t="inlineStr">
        <is>
          <t>Operating expenses (detail)</t>
        </is>
      </c>
      <c r="B37" s="8" t="inlineStr">
        <is>
          <t>C12</t>
        </is>
      </c>
      <c r="C37" s="8" t="inlineStr">
        <is>
          <t>23. Insurance</t>
        </is>
      </c>
      <c r="D37" s="8" t="inlineStr">
        <is>
          <t>23</t>
        </is>
      </c>
      <c r="E37" s="8" t="inlineStr">
        <is>
          <t>part_ix_expenses.insurance</t>
        </is>
      </c>
      <c r="F37" s="8" t="inlineStr">
        <is>
          <t>high</t>
        </is>
      </c>
      <c r="G37" s="9" t="n">
        <v>2580</v>
      </c>
    </row>
    <row r="38">
      <c r="A38" s="8" t="inlineStr">
        <is>
          <t>Operating expenses (detail)</t>
        </is>
      </c>
      <c r="B38" s="8" t="inlineStr">
        <is>
          <t>D12</t>
        </is>
      </c>
      <c r="C38" s="8" t="inlineStr">
        <is>
          <t>23. Insurance</t>
        </is>
      </c>
      <c r="D38" s="8" t="inlineStr">
        <is>
          <t>23</t>
        </is>
      </c>
      <c r="E38" s="8" t="inlineStr">
        <is>
          <t>part_ix_expenses.insurance</t>
        </is>
      </c>
      <c r="F38" s="8" t="inlineStr">
        <is>
          <t>high</t>
        </is>
      </c>
      <c r="G38" s="9" t="n">
        <v>2952</v>
      </c>
    </row>
    <row r="39">
      <c r="A39" s="8" t="inlineStr">
        <is>
          <t>Operating expenses (detail)</t>
        </is>
      </c>
      <c r="B39" s="8" t="inlineStr">
        <is>
          <t>B17</t>
        </is>
      </c>
      <c r="C39" s="8" t="inlineStr">
        <is>
          <t>24e. All other expenses</t>
        </is>
      </c>
      <c r="D39" s="8" t="inlineStr">
        <is>
          <t>24e</t>
        </is>
      </c>
      <c r="E39" s="8" t="inlineStr">
        <is>
          <t>part_ix_expenses.all_other_expenses</t>
        </is>
      </c>
      <c r="F39" s="8" t="inlineStr">
        <is>
          <t>high</t>
        </is>
      </c>
      <c r="G39" s="9" t="n">
        <v>635</v>
      </c>
    </row>
    <row r="40">
      <c r="A40" s="8" t="inlineStr">
        <is>
          <t>Operating expenses (detail)</t>
        </is>
      </c>
      <c r="B40" s="8" t="inlineStr">
        <is>
          <t>C17</t>
        </is>
      </c>
      <c r="C40" s="8" t="inlineStr">
        <is>
          <t>24e. All other expenses</t>
        </is>
      </c>
      <c r="D40" s="8" t="inlineStr">
        <is>
          <t>24e</t>
        </is>
      </c>
      <c r="E40" s="8" t="inlineStr">
        <is>
          <t>part_ix_expenses.all_other_expenses</t>
        </is>
      </c>
      <c r="F40" s="8" t="inlineStr">
        <is>
          <t>high</t>
        </is>
      </c>
      <c r="G40" s="9" t="n">
        <v>725</v>
      </c>
    </row>
    <row r="41">
      <c r="A41" s="8" t="inlineStr">
        <is>
          <t>Balance sheet (detail)</t>
        </is>
      </c>
      <c r="B41" s="8" t="inlineStr">
        <is>
          <t>B7</t>
        </is>
      </c>
      <c r="C41" s="8" t="inlineStr">
        <is>
          <t>1. Cash - non-interest-bearing</t>
        </is>
      </c>
      <c r="D41" s="8" t="inlineStr">
        <is>
          <t>1E</t>
        </is>
      </c>
      <c r="E41" s="8" t="inlineStr">
        <is>
          <t>part_x_balance_sheet.cash_noninterest_eoy</t>
        </is>
      </c>
      <c r="F41" s="8" t="inlineStr">
        <is>
          <t>high</t>
        </is>
      </c>
      <c r="G41" s="9" t="n">
        <v>337529</v>
      </c>
    </row>
    <row r="42">
      <c r="A42" s="8" t="inlineStr">
        <is>
          <t>Balance sheet (detail)</t>
        </is>
      </c>
      <c r="B42" s="8" t="inlineStr">
        <is>
          <t>C7</t>
        </is>
      </c>
      <c r="C42" s="8" t="inlineStr">
        <is>
          <t>1. Cash - non-interest-bearing</t>
        </is>
      </c>
      <c r="D42" s="8" t="inlineStr">
        <is>
          <t>1E</t>
        </is>
      </c>
      <c r="E42" s="8" t="inlineStr">
        <is>
          <t>part_x_balance_sheet.cash_noninterest_eoy</t>
        </is>
      </c>
      <c r="F42" s="8" t="inlineStr">
        <is>
          <t>high</t>
        </is>
      </c>
      <c r="G42" s="9" t="n">
        <v>286300</v>
      </c>
    </row>
    <row r="43">
      <c r="A43" s="8" t="inlineStr">
        <is>
          <t>Balance sheet (detail)</t>
        </is>
      </c>
      <c r="B43" s="8" t="inlineStr">
        <is>
          <t>D7</t>
        </is>
      </c>
      <c r="C43" s="8" t="inlineStr">
        <is>
          <t>1. Cash - non-interest-bearing</t>
        </is>
      </c>
      <c r="D43" s="8" t="inlineStr">
        <is>
          <t>1E</t>
        </is>
      </c>
      <c r="E43" s="8" t="inlineStr">
        <is>
          <t>part_x_balance_sheet.cash_noninterest_eoy</t>
        </is>
      </c>
      <c r="F43" s="8" t="inlineStr">
        <is>
          <t>high</t>
        </is>
      </c>
      <c r="G43" s="9" t="n">
        <v>310525</v>
      </c>
    </row>
    <row r="44">
      <c r="A44" s="8" t="inlineStr">
        <is>
          <t>Balance sheet (detail)</t>
        </is>
      </c>
      <c r="B44" s="8" t="inlineStr">
        <is>
          <t>B8</t>
        </is>
      </c>
      <c r="C44" s="8" t="inlineStr">
        <is>
          <t>10c. Land, buildings, and equipment, net</t>
        </is>
      </c>
      <c r="D44" s="8" t="inlineStr">
        <is>
          <t>10cE</t>
        </is>
      </c>
      <c r="E44" s="8" t="inlineStr">
        <is>
          <t>part_x_balance_sheet.land_bldg_equip_net_eoy</t>
        </is>
      </c>
      <c r="F44" s="8" t="inlineStr">
        <is>
          <t>high</t>
        </is>
      </c>
      <c r="G44" s="9" t="n">
        <v>79109</v>
      </c>
    </row>
    <row r="45">
      <c r="A45" s="8" t="inlineStr">
        <is>
          <t>Balance sheet (detail)</t>
        </is>
      </c>
      <c r="B45" s="8" t="inlineStr">
        <is>
          <t>C8</t>
        </is>
      </c>
      <c r="C45" s="8" t="inlineStr">
        <is>
          <t>10c. Land, buildings, and equipment, net</t>
        </is>
      </c>
      <c r="D45" s="8" t="inlineStr">
        <is>
          <t>10cE</t>
        </is>
      </c>
      <c r="E45" s="8" t="inlineStr">
        <is>
          <t>part_x_balance_sheet.land_bldg_equip_net_eoy</t>
        </is>
      </c>
      <c r="F45" s="8" t="inlineStr">
        <is>
          <t>high</t>
        </is>
      </c>
      <c r="G45" s="9" t="n">
        <v>56506</v>
      </c>
    </row>
    <row r="46">
      <c r="A46" s="8" t="inlineStr">
        <is>
          <t>Balance sheet (detail)</t>
        </is>
      </c>
      <c r="B46" s="8" t="inlineStr">
        <is>
          <t>D8</t>
        </is>
      </c>
      <c r="C46" s="8" t="inlineStr">
        <is>
          <t>10c. Land, buildings, and equipment, net</t>
        </is>
      </c>
      <c r="D46" s="8" t="inlineStr">
        <is>
          <t>10cE</t>
        </is>
      </c>
      <c r="E46" s="8" t="inlineStr">
        <is>
          <t>part_x_balance_sheet.land_bldg_equip_net_eoy</t>
        </is>
      </c>
      <c r="F46" s="8" t="inlineStr">
        <is>
          <t>high</t>
        </is>
      </c>
      <c r="G46" s="9" t="n">
        <v>40362</v>
      </c>
    </row>
    <row r="47">
      <c r="A47" s="8" t="inlineStr">
        <is>
          <t>Balance sheet (detail)</t>
        </is>
      </c>
      <c r="B47" s="8" t="inlineStr">
        <is>
          <t>B12</t>
        </is>
      </c>
      <c r="C47" s="8" t="inlineStr">
        <is>
          <t>25. Other liabilities</t>
        </is>
      </c>
      <c r="D47" s="8" t="inlineStr">
        <is>
          <t>25E</t>
        </is>
      </c>
      <c r="E47" s="8" t="inlineStr">
        <is>
          <t>part_x_balance_sheet.other_liabilities_eoy</t>
        </is>
      </c>
      <c r="F47" s="8" t="inlineStr">
        <is>
          <t>high</t>
        </is>
      </c>
      <c r="G47" s="9" t="n">
        <v>186181</v>
      </c>
    </row>
    <row r="48">
      <c r="A48" s="8" t="inlineStr">
        <is>
          <t>Balance sheet (detail)</t>
        </is>
      </c>
      <c r="B48" s="8" t="inlineStr">
        <is>
          <t>B16</t>
        </is>
      </c>
      <c r="C48" s="8" t="inlineStr">
        <is>
          <t>31. Retained earnings / accumulated funds</t>
        </is>
      </c>
      <c r="D48" s="8" t="inlineStr">
        <is>
          <t>31E</t>
        </is>
      </c>
      <c r="E48" s="8" t="inlineStr">
        <is>
          <t>part_x_balance_sheet.retained_earnings_eoy</t>
        </is>
      </c>
      <c r="F48" s="8" t="inlineStr">
        <is>
          <t>high</t>
        </is>
      </c>
      <c r="G48" s="9" t="n">
        <v>230457</v>
      </c>
    </row>
    <row r="49">
      <c r="A49" s="8" t="inlineStr">
        <is>
          <t>Balance sheet (detail)</t>
        </is>
      </c>
      <c r="B49" s="8" t="inlineStr">
        <is>
          <t>C16</t>
        </is>
      </c>
      <c r="C49" s="8" t="inlineStr">
        <is>
          <t>31. Retained earnings / accumulated funds</t>
        </is>
      </c>
      <c r="D49" s="8" t="inlineStr">
        <is>
          <t>31E</t>
        </is>
      </c>
      <c r="E49" s="8" t="inlineStr">
        <is>
          <t>part_x_balance_sheet.retained_earnings_eoy</t>
        </is>
      </c>
      <c r="F49" s="8" t="inlineStr">
        <is>
          <t>high</t>
        </is>
      </c>
      <c r="G49" s="9" t="n">
        <v>342806</v>
      </c>
    </row>
    <row r="50">
      <c r="A50" s="8" t="inlineStr">
        <is>
          <t>Balance sheet (detail)</t>
        </is>
      </c>
      <c r="B50" s="8" t="inlineStr">
        <is>
          <t>D16</t>
        </is>
      </c>
      <c r="C50" s="8" t="inlineStr">
        <is>
          <t>31. Retained earnings / accumulated funds</t>
        </is>
      </c>
      <c r="D50" s="8" t="inlineStr">
        <is>
          <t>31E</t>
        </is>
      </c>
      <c r="E50" s="8" t="inlineStr">
        <is>
          <t>part_x_balance_sheet.retained_earnings_eoy</t>
        </is>
      </c>
      <c r="F50" s="8" t="inlineStr">
        <is>
          <t>high</t>
        </is>
      </c>
      <c r="G50" s="9" t="n">
        <v>350887</v>
      </c>
    </row>
    <row r="51">
      <c r="A51" s="8" t="inlineStr">
        <is>
          <t>Net-assets reconciliation</t>
        </is>
      </c>
      <c r="B51" s="8" t="inlineStr">
        <is>
          <t>B7</t>
        </is>
      </c>
      <c r="C51" s="8" t="inlineStr">
        <is>
          <t>4. Net assets, beginning of year</t>
        </is>
      </c>
      <c r="D51" s="8" t="inlineStr">
        <is>
          <t>Part XI line 4</t>
        </is>
      </c>
      <c r="E51" s="8" t="inlineStr">
        <is>
          <t>part_xi_reconciliation.net_assets_boy</t>
        </is>
      </c>
      <c r="F51" s="8" t="inlineStr">
        <is>
          <t>high</t>
        </is>
      </c>
      <c r="G51" s="9" t="n">
        <v>160356</v>
      </c>
    </row>
    <row r="52">
      <c r="A52" s="8" t="inlineStr">
        <is>
          <t>Net-assets reconciliation</t>
        </is>
      </c>
      <c r="B52" s="8" t="inlineStr">
        <is>
          <t>C7</t>
        </is>
      </c>
      <c r="C52" s="8" t="inlineStr">
        <is>
          <t>4. Net assets, beginning of year</t>
        </is>
      </c>
      <c r="D52" s="8" t="inlineStr">
        <is>
          <t>Part XI line 4</t>
        </is>
      </c>
      <c r="E52" s="8" t="inlineStr">
        <is>
          <t>part_xi_reconciliation.net_assets_boy</t>
        </is>
      </c>
      <c r="F52" s="8" t="inlineStr">
        <is>
          <t>high</t>
        </is>
      </c>
      <c r="G52" s="9" t="n">
        <v>230457</v>
      </c>
    </row>
    <row r="53">
      <c r="A53" s="8" t="inlineStr">
        <is>
          <t>Net-assets reconciliation</t>
        </is>
      </c>
      <c r="B53" s="8" t="inlineStr">
        <is>
          <t>D7</t>
        </is>
      </c>
      <c r="C53" s="8" t="inlineStr">
        <is>
          <t>4. Net assets, beginning of year</t>
        </is>
      </c>
      <c r="D53" s="8" t="inlineStr">
        <is>
          <t>Part XI line 4</t>
        </is>
      </c>
      <c r="E53" s="8" t="inlineStr">
        <is>
          <t>part_xi_reconciliation.net_assets_boy</t>
        </is>
      </c>
      <c r="F53" s="8" t="inlineStr">
        <is>
          <t>high</t>
        </is>
      </c>
      <c r="G53" s="9" t="n">
        <v>342806</v>
      </c>
    </row>
    <row r="54">
      <c r="A54" s="8" t="inlineStr">
        <is>
          <t>Net-assets reconciliation</t>
        </is>
      </c>
      <c r="B54" s="8" t="inlineStr">
        <is>
          <t>B8</t>
        </is>
      </c>
      <c r="C54" s="8" t="inlineStr">
        <is>
          <t>3. Revenue less expenses</t>
        </is>
      </c>
      <c r="D54" s="8" t="inlineStr">
        <is>
          <t>Part XI line 3</t>
        </is>
      </c>
      <c r="E54" s="8" t="inlineStr">
        <is>
          <t>part_xi_reconciliation.reconciliation_revenue_expenses</t>
        </is>
      </c>
      <c r="F54" s="8" t="inlineStr">
        <is>
          <t>high</t>
        </is>
      </c>
      <c r="G54" s="9" t="n">
        <v>70101</v>
      </c>
    </row>
    <row r="55">
      <c r="A55" s="8" t="inlineStr">
        <is>
          <t>Net-assets reconciliation</t>
        </is>
      </c>
      <c r="B55" s="8" t="inlineStr">
        <is>
          <t>C8</t>
        </is>
      </c>
      <c r="C55" s="8" t="inlineStr">
        <is>
          <t>3. Revenue less expenses</t>
        </is>
      </c>
      <c r="D55" s="8" t="inlineStr">
        <is>
          <t>Part XI line 3</t>
        </is>
      </c>
      <c r="E55" s="8" t="inlineStr">
        <is>
          <t>part_xi_reconciliation.reconciliation_revenue_expenses</t>
        </is>
      </c>
      <c r="F55" s="8" t="inlineStr">
        <is>
          <t>high</t>
        </is>
      </c>
      <c r="G55" s="9" t="n">
        <v>112349</v>
      </c>
    </row>
    <row r="56">
      <c r="A56" s="8" t="inlineStr">
        <is>
          <t>Net-assets reconciliation</t>
        </is>
      </c>
      <c r="B56" s="8" t="inlineStr">
        <is>
          <t>D8</t>
        </is>
      </c>
      <c r="C56" s="8" t="inlineStr">
        <is>
          <t>3. Revenue less expenses</t>
        </is>
      </c>
      <c r="D56" s="8" t="inlineStr">
        <is>
          <t>Part XI line 3</t>
        </is>
      </c>
      <c r="E56" s="8" t="inlineStr">
        <is>
          <t>part_xi_reconciliation.reconciliation_revenue_expenses</t>
        </is>
      </c>
      <c r="F56" s="8" t="inlineStr">
        <is>
          <t>high</t>
        </is>
      </c>
      <c r="G56" s="9" t="n">
        <v>8081</v>
      </c>
    </row>
    <row r="58">
      <c r="A58" s="29" t="inlineStr">
        <is>
          <t>C. Tie-out checks (filed vs computed; any nonzero variance is flagged red)</t>
        </is>
      </c>
      <c r="B58" s="7" t="n"/>
      <c r="C58" s="7" t="n"/>
      <c r="D58" s="7" t="n"/>
      <c r="E58" s="7" t="n"/>
      <c r="F58" s="7" t="n"/>
      <c r="G58" s="7" t="n"/>
      <c r="H58" s="7" t="n"/>
      <c r="I58" s="7" t="n"/>
      <c r="J58" s="7" t="n"/>
      <c r="K58" s="7" t="n"/>
    </row>
    <row r="59">
      <c r="A59" s="5" t="inlineStr">
        <is>
          <t>Tab</t>
        </is>
      </c>
      <c r="B59" s="5" t="inlineStr">
        <is>
          <t>Check</t>
        </is>
      </c>
      <c r="C59" s="5" t="inlineStr">
        <is>
          <t>Fiscal year</t>
        </is>
      </c>
      <c r="D59" s="5" t="inlineStr">
        <is>
          <t>Filed</t>
        </is>
      </c>
      <c r="E59" s="5" t="inlineStr">
        <is>
          <t>Computed</t>
        </is>
      </c>
      <c r="F59" s="5" t="inlineStr">
        <is>
          <t>Variance (computed - filed)</t>
        </is>
      </c>
    </row>
    <row r="60">
      <c r="A60" s="18" t="inlineStr">
        <is>
          <t>Revenue (detail)</t>
        </is>
      </c>
      <c r="B60" s="18" t="inlineStr">
        <is>
          <t>12. Total revenue</t>
        </is>
      </c>
      <c r="C60" s="18" t="inlineStr">
        <is>
          <t>FY2022</t>
        </is>
      </c>
      <c r="D60" s="9" t="n">
        <v>204198</v>
      </c>
      <c r="E60" s="9">
        <f>'Revenue (detail)'!B13</f>
        <v/>
      </c>
      <c r="F60" s="9">
        <f>E60-D60</f>
        <v/>
      </c>
    </row>
    <row r="61">
      <c r="A61" s="18" t="inlineStr">
        <is>
          <t>Revenue (detail)</t>
        </is>
      </c>
      <c r="B61" s="18" t="inlineStr">
        <is>
          <t>12. Total revenue</t>
        </is>
      </c>
      <c r="C61" s="18" t="inlineStr">
        <is>
          <t>FY2023</t>
        </is>
      </c>
      <c r="D61" s="9" t="n">
        <v>201943</v>
      </c>
      <c r="E61" s="9">
        <f>'Revenue (detail)'!C13</f>
        <v/>
      </c>
      <c r="F61" s="9">
        <f>E61-D61</f>
        <v/>
      </c>
    </row>
    <row r="62">
      <c r="A62" s="18" t="inlineStr">
        <is>
          <t>Revenue (detail)</t>
        </is>
      </c>
      <c r="B62" s="18" t="inlineStr">
        <is>
          <t>12. Total revenue</t>
        </is>
      </c>
      <c r="C62" s="18" t="inlineStr">
        <is>
          <t>FY2024</t>
        </is>
      </c>
      <c r="D62" s="9" t="n">
        <v>99794</v>
      </c>
      <c r="E62" s="9">
        <f>'Revenue (detail)'!D13</f>
        <v/>
      </c>
      <c r="F62" s="9">
        <f>E62-D62</f>
        <v/>
      </c>
    </row>
    <row r="63">
      <c r="A63" s="18" t="inlineStr">
        <is>
          <t>Operating expenses (detail)</t>
        </is>
      </c>
      <c r="B63" s="18" t="inlineStr">
        <is>
          <t>25. Total functional expenses</t>
        </is>
      </c>
      <c r="C63" s="18" t="inlineStr">
        <is>
          <t>FY2022</t>
        </is>
      </c>
      <c r="D63" s="9" t="n">
        <v>134097</v>
      </c>
      <c r="E63" s="9">
        <f>'Operating expenses (detail)'!B18</f>
        <v/>
      </c>
      <c r="F63" s="9">
        <f>E63-D63</f>
        <v/>
      </c>
    </row>
    <row r="64">
      <c r="A64" s="18" t="inlineStr">
        <is>
          <t>Operating expenses (detail)</t>
        </is>
      </c>
      <c r="B64" s="18" t="inlineStr">
        <is>
          <t>25. Total functional expenses</t>
        </is>
      </c>
      <c r="C64" s="18" t="inlineStr">
        <is>
          <t>FY2023</t>
        </is>
      </c>
      <c r="D64" s="9" t="n">
        <v>89594</v>
      </c>
      <c r="E64" s="9">
        <f>'Operating expenses (detail)'!C18</f>
        <v/>
      </c>
      <c r="F64" s="9">
        <f>E64-D64</f>
        <v/>
      </c>
    </row>
    <row r="65">
      <c r="A65" s="18" t="inlineStr">
        <is>
          <t>Operating expenses (detail)</t>
        </is>
      </c>
      <c r="B65" s="18" t="inlineStr">
        <is>
          <t>25. Total functional expenses</t>
        </is>
      </c>
      <c r="C65" s="18" t="inlineStr">
        <is>
          <t>FY2024</t>
        </is>
      </c>
      <c r="D65" s="9" t="n">
        <v>91713</v>
      </c>
      <c r="E65" s="9">
        <f>'Operating expenses (detail)'!D18</f>
        <v/>
      </c>
      <c r="F65" s="9">
        <f>E65-D65</f>
        <v/>
      </c>
    </row>
    <row r="66">
      <c r="A66" s="18" t="inlineStr">
        <is>
          <t>Operating expenses (detail)</t>
        </is>
      </c>
      <c r="B66" s="18" t="inlineStr">
        <is>
          <t>Part IX column split: col A = B + C + D (FY2024)</t>
        </is>
      </c>
      <c r="C66" s="18" t="inlineStr">
        <is>
          <t>FY2024</t>
        </is>
      </c>
      <c r="D66" s="9">
        <f>'Operating expenses (detail)'!B28</f>
        <v/>
      </c>
      <c r="E66" s="9">
        <f>'Operating expenses (detail)'!C28+'Operating expenses (detail)'!D28+'Operating expenses (detail)'!E28</f>
        <v/>
      </c>
      <c r="F66" s="9">
        <f>E66-D66</f>
        <v/>
      </c>
    </row>
    <row r="67">
      <c r="A67" s="18" t="inlineStr">
        <is>
          <t>Balance sheet (detail)</t>
        </is>
      </c>
      <c r="B67" s="18" t="inlineStr">
        <is>
          <t>16. Total assets</t>
        </is>
      </c>
      <c r="C67" s="18" t="inlineStr">
        <is>
          <t>FY2022</t>
        </is>
      </c>
      <c r="D67" s="9" t="n">
        <v>416638</v>
      </c>
      <c r="E67" s="9">
        <f>'Balance sheet (detail)'!B9</f>
        <v/>
      </c>
      <c r="F67" s="9">
        <f>E67-D67</f>
        <v/>
      </c>
    </row>
    <row r="68">
      <c r="A68" s="18" t="inlineStr">
        <is>
          <t>Balance sheet (detail)</t>
        </is>
      </c>
      <c r="B68" s="18" t="inlineStr">
        <is>
          <t>16. Total assets</t>
        </is>
      </c>
      <c r="C68" s="18" t="inlineStr">
        <is>
          <t>FY2023</t>
        </is>
      </c>
      <c r="D68" s="9" t="n">
        <v>342806</v>
      </c>
      <c r="E68" s="9">
        <f>'Balance sheet (detail)'!C9</f>
        <v/>
      </c>
      <c r="F68" s="9">
        <f>E68-D68</f>
        <v/>
      </c>
    </row>
    <row r="69">
      <c r="A69" s="18" t="inlineStr">
        <is>
          <t>Balance sheet (detail)</t>
        </is>
      </c>
      <c r="B69" s="18" t="inlineStr">
        <is>
          <t>16. Total assets</t>
        </is>
      </c>
      <c r="C69" s="18" t="inlineStr">
        <is>
          <t>FY2024</t>
        </is>
      </c>
      <c r="D69" s="9" t="n">
        <v>350887</v>
      </c>
      <c r="E69" s="9">
        <f>'Balance sheet (detail)'!D9</f>
        <v/>
      </c>
      <c r="F69" s="9">
        <f>E69-D69</f>
        <v/>
      </c>
    </row>
    <row r="70">
      <c r="A70" s="18" t="inlineStr">
        <is>
          <t>Balance sheet (detail)</t>
        </is>
      </c>
      <c r="B70" s="18" t="inlineStr">
        <is>
          <t>26. Total liabilities</t>
        </is>
      </c>
      <c r="C70" s="18" t="inlineStr">
        <is>
          <t>FY2022</t>
        </is>
      </c>
      <c r="D70" s="9" t="n">
        <v>186181</v>
      </c>
      <c r="E70" s="9">
        <f>'Balance sheet (detail)'!B13</f>
        <v/>
      </c>
      <c r="F70" s="9">
        <f>E70-D70</f>
        <v/>
      </c>
    </row>
    <row r="71">
      <c r="A71" s="18" t="inlineStr">
        <is>
          <t>Balance sheet (detail)</t>
        </is>
      </c>
      <c r="B71" s="18" t="inlineStr">
        <is>
          <t>26. Total liabilities</t>
        </is>
      </c>
      <c r="C71" s="18" t="inlineStr">
        <is>
          <t>FY2023</t>
        </is>
      </c>
      <c r="D71" s="9" t="n">
        <v>0</v>
      </c>
      <c r="E71" s="9">
        <f>'Balance sheet (detail)'!C13</f>
        <v/>
      </c>
      <c r="F71" s="9">
        <f>E71-D71</f>
        <v/>
      </c>
    </row>
    <row r="72">
      <c r="A72" s="18" t="inlineStr">
        <is>
          <t>Balance sheet (detail)</t>
        </is>
      </c>
      <c r="B72" s="18" t="inlineStr">
        <is>
          <t>26. Total liabilities</t>
        </is>
      </c>
      <c r="C72" s="18" t="inlineStr">
        <is>
          <t>FY2024</t>
        </is>
      </c>
      <c r="D72" s="9" t="n">
        <v>0</v>
      </c>
      <c r="E72" s="9">
        <f>'Balance sheet (detail)'!D13</f>
        <v/>
      </c>
      <c r="F72" s="9">
        <f>E72-D72</f>
        <v/>
      </c>
    </row>
    <row r="73">
      <c r="A73" s="18" t="inlineStr">
        <is>
          <t>Balance sheet (detail)</t>
        </is>
      </c>
      <c r="B73" s="18" t="inlineStr">
        <is>
          <t>32. Total net assets / fund balances</t>
        </is>
      </c>
      <c r="C73" s="18" t="inlineStr">
        <is>
          <t>FY2022</t>
        </is>
      </c>
      <c r="D73" s="9" t="n">
        <v>230457</v>
      </c>
      <c r="E73" s="9">
        <f>'Balance sheet (detail)'!B17</f>
        <v/>
      </c>
      <c r="F73" s="9">
        <f>E73-D73</f>
        <v/>
      </c>
    </row>
    <row r="74">
      <c r="A74" s="18" t="inlineStr">
        <is>
          <t>Balance sheet (detail)</t>
        </is>
      </c>
      <c r="B74" s="18" t="inlineStr">
        <is>
          <t>32. Total net assets / fund balances</t>
        </is>
      </c>
      <c r="C74" s="18" t="inlineStr">
        <is>
          <t>FY2023</t>
        </is>
      </c>
      <c r="D74" s="9" t="n">
        <v>342806</v>
      </c>
      <c r="E74" s="9">
        <f>'Balance sheet (detail)'!C17</f>
        <v/>
      </c>
      <c r="F74" s="9">
        <f>E74-D74</f>
        <v/>
      </c>
    </row>
    <row r="75">
      <c r="A75" s="18" t="inlineStr">
        <is>
          <t>Balance sheet (detail)</t>
        </is>
      </c>
      <c r="B75" s="18" t="inlineStr">
        <is>
          <t>32. Total net assets / fund balances</t>
        </is>
      </c>
      <c r="C75" s="18" t="inlineStr">
        <is>
          <t>FY2024</t>
        </is>
      </c>
      <c r="D75" s="9" t="n">
        <v>350887</v>
      </c>
      <c r="E75" s="9">
        <f>'Balance sheet (detail)'!D17</f>
        <v/>
      </c>
      <c r="F75" s="9">
        <f>E75-D75</f>
        <v/>
      </c>
    </row>
    <row r="76">
      <c r="A76" s="18" t="inlineStr">
        <is>
          <t>Balance sheet (detail)</t>
        </is>
      </c>
      <c r="B76" s="18" t="inlineStr">
        <is>
          <t>Balance sheet identity: line 16 = line 26 + line 32 (EOY)</t>
        </is>
      </c>
      <c r="C76" s="18" t="inlineStr">
        <is>
          <t>FY2022</t>
        </is>
      </c>
      <c r="D76" s="9">
        <f>'Balance sheet (detail)'!B9</f>
        <v/>
      </c>
      <c r="E76" s="9">
        <f>SUM('Balance sheet (detail)'!B13,'Balance sheet (detail)'!B17)</f>
        <v/>
      </c>
      <c r="F76" s="9">
        <f>E76-D76</f>
        <v/>
      </c>
    </row>
    <row r="77">
      <c r="A77" s="18" t="inlineStr">
        <is>
          <t>Balance sheet (detail)</t>
        </is>
      </c>
      <c r="B77" s="18" t="inlineStr">
        <is>
          <t>Balance sheet identity: line 16 = line 26 + line 32 (EOY)</t>
        </is>
      </c>
      <c r="C77" s="18" t="inlineStr">
        <is>
          <t>FY2023</t>
        </is>
      </c>
      <c r="D77" s="9">
        <f>'Balance sheet (detail)'!C9</f>
        <v/>
      </c>
      <c r="E77" s="9">
        <f>SUM('Balance sheet (detail)'!C13,'Balance sheet (detail)'!C17)</f>
        <v/>
      </c>
      <c r="F77" s="9">
        <f>E77-D77</f>
        <v/>
      </c>
    </row>
    <row r="78">
      <c r="A78" s="18" t="inlineStr">
        <is>
          <t>Balance sheet (detail)</t>
        </is>
      </c>
      <c r="B78" s="18" t="inlineStr">
        <is>
          <t>Balance sheet identity: line 16 = line 26 + line 32 (EOY)</t>
        </is>
      </c>
      <c r="C78" s="18" t="inlineStr">
        <is>
          <t>FY2024</t>
        </is>
      </c>
      <c r="D78" s="9">
        <f>'Balance sheet (detail)'!D9</f>
        <v/>
      </c>
      <c r="E78" s="9">
        <f>SUM('Balance sheet (detail)'!D13,'Balance sheet (detail)'!D17)</f>
        <v/>
      </c>
      <c r="F78" s="9">
        <f>E78-D78</f>
        <v/>
      </c>
    </row>
    <row r="79">
      <c r="A79" s="18" t="inlineStr">
        <is>
          <t>Net-assets reconciliation</t>
        </is>
      </c>
      <c r="B79" s="18" t="inlineStr">
        <is>
          <t>10. Net assets, end of year</t>
        </is>
      </c>
      <c r="C79" s="18" t="inlineStr">
        <is>
          <t>FY2022</t>
        </is>
      </c>
      <c r="D79" s="9" t="n">
        <v>230457</v>
      </c>
      <c r="E79" s="9">
        <f>'Net-assets reconciliation'!B11</f>
        <v/>
      </c>
      <c r="F79" s="9">
        <f>E79-D79</f>
        <v/>
      </c>
    </row>
    <row r="80">
      <c r="A80" s="18" t="inlineStr">
        <is>
          <t>Net-assets reconciliation</t>
        </is>
      </c>
      <c r="B80" s="18" t="inlineStr">
        <is>
          <t>10. Net assets, end of year</t>
        </is>
      </c>
      <c r="C80" s="18" t="inlineStr">
        <is>
          <t>FY2023</t>
        </is>
      </c>
      <c r="D80" s="9" t="n">
        <v>342806</v>
      </c>
      <c r="E80" s="9">
        <f>'Net-assets reconciliation'!C11</f>
        <v/>
      </c>
      <c r="F80" s="9">
        <f>E80-D80</f>
        <v/>
      </c>
    </row>
    <row r="81">
      <c r="A81" s="18" t="inlineStr">
        <is>
          <t>Net-assets reconciliation</t>
        </is>
      </c>
      <c r="B81" s="18" t="inlineStr">
        <is>
          <t>10. Net assets, end of year</t>
        </is>
      </c>
      <c r="C81" s="18" t="inlineStr">
        <is>
          <t>FY2024</t>
        </is>
      </c>
      <c r="D81" s="9" t="n">
        <v>350887</v>
      </c>
      <c r="E81" s="9">
        <f>'Net-assets reconciliation'!D11</f>
        <v/>
      </c>
      <c r="F81" s="9">
        <f>E81-D81</f>
        <v/>
      </c>
    </row>
    <row r="83">
      <c r="A83" s="29" t="inlineStr">
        <is>
          <t>D. Preparer / auditor trail (one row per fiscal year, as filed)</t>
        </is>
      </c>
      <c r="B83" s="7" t="n"/>
      <c r="C83" s="7" t="n"/>
      <c r="D83" s="7" t="n"/>
      <c r="E83" s="7" t="n"/>
      <c r="F83" s="7" t="n"/>
      <c r="G83" s="7" t="n"/>
      <c r="H83" s="7" t="n"/>
      <c r="I83" s="7" t="n"/>
      <c r="J83" s="7" t="n"/>
      <c r="K83" s="7" t="n"/>
    </row>
    <row r="84">
      <c r="A84" s="5" t="inlineStr">
        <is>
          <t>Fiscal year</t>
        </is>
      </c>
      <c r="B84" s="5" t="inlineStr">
        <is>
          <t>Paid preparer</t>
        </is>
      </c>
      <c r="C84" s="5" t="inlineStr">
        <is>
          <t>Preparer firm</t>
        </is>
      </c>
      <c r="D84" s="5" t="inlineStr">
        <is>
          <t>Independent auditor</t>
        </is>
      </c>
      <c r="E84" s="5" t="inlineStr">
        <is>
          <t>Citation</t>
        </is>
      </c>
    </row>
    <row r="85" ht="42" customHeight="1">
      <c r="A85" s="27" t="inlineStr">
        <is>
          <t>FY2022</t>
        </is>
      </c>
      <c r="B85" s="8" t="inlineStr">
        <is>
          <t>LAUREN E NII CPA</t>
        </is>
      </c>
      <c r="C85" s="8" t="inlineStr">
        <is>
          <t>WALTER WOLFE LEACH &amp; NII LLP</t>
        </is>
      </c>
      <c r="D85" s="30" t="inlineStr">
        <is>
          <t>not reported</t>
        </is>
      </c>
      <c r="E85" s="21" t="inlineStr">
        <is>
          <t>Form 990 Return Header, Paid Preparer block (return_header.preparer_person_name / preparer_firm_name); auditor: Part XII line 2 reports audited financial statements but does not name the firm.</t>
        </is>
      </c>
    </row>
    <row r="86" ht="42" customHeight="1">
      <c r="A86" s="27" t="inlineStr">
        <is>
          <t>FY2023</t>
        </is>
      </c>
      <c r="B86" s="8" t="inlineStr">
        <is>
          <t>LAUREN E NII CPA</t>
        </is>
      </c>
      <c r="C86" s="8" t="inlineStr">
        <is>
          <t>WALTER WOLFE LEACH &amp; NII LLP</t>
        </is>
      </c>
      <c r="D86" s="30" t="inlineStr">
        <is>
          <t>not reported</t>
        </is>
      </c>
      <c r="E86" s="21" t="inlineStr">
        <is>
          <t>Form 990 Return Header, Paid Preparer block (return_header.preparer_person_name / preparer_firm_name); auditor: Part XII line 2 reports audited financial statements but does not name the firm.</t>
        </is>
      </c>
    </row>
    <row r="87" ht="42" customHeight="1">
      <c r="A87" s="27" t="inlineStr">
        <is>
          <t>FY2024</t>
        </is>
      </c>
      <c r="B87" s="8" t="inlineStr">
        <is>
          <t>LAUREN E NII CPA</t>
        </is>
      </c>
      <c r="C87" s="8" t="inlineStr">
        <is>
          <t>WALTER WOLFE LEACH &amp; NII LLP</t>
        </is>
      </c>
      <c r="D87" s="30" t="inlineStr">
        <is>
          <t>not reported</t>
        </is>
      </c>
      <c r="E87" s="21" t="inlineStr">
        <is>
          <t>Form 990 Return Header, Paid Preparer block (return_header.preparer_person_name / preparer_firm_name); auditor: Part XII line 2 reports audited financial statements but does not name the firm.</t>
        </is>
      </c>
    </row>
    <row r="89" ht="42" customHeight="1">
      <c r="A8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89:K89"/>
  </mergeCells>
  <conditionalFormatting sqref="F60:F8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