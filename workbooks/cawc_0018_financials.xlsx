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comments/comment1.xml" ContentType="application/vnd.openxmlformats-officedocument.spreadsheetml.comments+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Notes" sheetId="2" state="visible" r:id="rId2"/>
    <sheet name="Financial Statements" sheetId="3" state="visible" r:id="rId3"/>
    <sheet name="Balance Sheet" sheetId="4" state="visible" r:id="rId4"/>
    <sheet name="Form 990-EZ Parts I &amp; II" sheetId="5" state="visible" r:id="rId5"/>
    <sheet name="Cash flow proxies" sheetId="6" state="visible" r:id="rId6"/>
    <sheet name="Ratios" sheetId="7" state="visible" r:id="rId7"/>
    <sheet name="Unit economics" sheetId="8" state="visible" r:id="rId8"/>
    <sheet name="Rate structure" sheetId="9" state="visible" r:id="rId9"/>
    <sheet name="eAR revenue &amp; expenses" sheetId="10" state="visible" r:id="rId10"/>
    <sheet name="Denominators &amp; alignment" sheetId="11" state="visible" r:id="rId11"/>
    <sheet name="Governance evidence" sheetId="12" state="visible" r:id="rId12"/>
    <sheet name="Operational metrics" sheetId="13" state="visible" r:id="rId13"/>
    <sheet name="Supply &amp; weather" sheetId="14" state="visible" r:id="rId14"/>
    <sheet name="How this was built" sheetId="15" state="visible" r:id="rId15"/>
    <sheet name="Water Operations" sheetId="16" state="visible" r:id="rId16"/>
    <sheet name="Sources &amp; audit" sheetId="17" state="visible" r:id="rId17"/>
    <sheet name="Provenance" sheetId="18" state="visible" r:id="rId18"/>
  </sheets>
  <definedNames/>
  <calcPr calcId="124519" fullCalcOnLoad="1"/>
</workbook>
</file>

<file path=xl/styles.xml><?xml version="1.0" encoding="utf-8"?>
<styleSheet xmlns="http://schemas.openxmlformats.org/spreadsheetml/2006/main">
  <numFmts count="6">
    <numFmt numFmtId="164" formatCode="#,##0;(#,##0)"/>
    <numFmt numFmtId="165" formatCode="0.0%"/>
    <numFmt numFmtId="166" formatCode="$#,##0.00"/>
    <numFmt numFmtId="167" formatCode="#,##0.000"/>
    <numFmt numFmtId="168" formatCode="$#,##0.00###"/>
    <numFmt numFmtId="169" formatCode="#,##0.####"/>
  </numFmts>
  <fonts count="11">
    <font>
      <name val="Calibri"/>
      <family val="2"/>
      <color theme="1"/>
      <sz val="11"/>
      <scheme val="minor"/>
    </font>
    <font>
      <name val="Calibri"/>
      <b val="1"/>
      <color rgb="001F3864"/>
      <sz val="16"/>
    </font>
    <font>
      <name val="Calibri"/>
      <i val="1"/>
      <color rgb="00595959"/>
      <sz val="10"/>
    </font>
    <font>
      <name val="Calibri"/>
      <i val="1"/>
      <color rgb="00808080"/>
      <sz val="9"/>
    </font>
    <font>
      <name val="Calibri"/>
      <b val="1"/>
      <color rgb="00FFFFFF"/>
      <sz val="10"/>
    </font>
    <font>
      <name val="Calibri"/>
      <b val="1"/>
      <color rgb="00FFFFFF"/>
      <sz val="11"/>
    </font>
    <font>
      <name val="Calibri"/>
      <sz val="10"/>
    </font>
    <font>
      <name val="Calibri"/>
      <b val="1"/>
      <sz val="10"/>
    </font>
    <font>
      <name val="Calibri"/>
      <i val="1"/>
      <color rgb="00A6A6A6"/>
      <sz val="10"/>
    </font>
    <font>
      <name val="Calibri"/>
      <b val="1"/>
      <color rgb="001F3864"/>
      <sz val="10"/>
    </font>
    <font>
      <name val="Calibri"/>
      <b val="1"/>
      <color rgb="007F6000"/>
      <sz val="10"/>
    </font>
  </fonts>
  <fills count="7">
    <fill>
      <patternFill/>
    </fill>
    <fill>
      <patternFill patternType="gray125"/>
    </fill>
    <fill>
      <patternFill patternType="solid">
        <fgColor rgb="002E5496"/>
      </patternFill>
    </fill>
    <fill>
      <patternFill patternType="solid">
        <fgColor rgb="001F3864"/>
      </patternFill>
    </fill>
    <fill>
      <patternFill patternType="solid">
        <fgColor rgb="00D9E1F2"/>
      </patternFill>
    </fill>
    <fill>
      <patternFill patternType="solid">
        <fgColor rgb="00E2EFDA"/>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47">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horizontal="left" vertical="top" wrapText="1"/>
    </xf>
    <xf numFmtId="0" fontId="4" fillId="2" borderId="1" applyAlignment="1" pivotButton="0" quotePrefix="0" xfId="0">
      <alignment horizontal="left" vertical="center"/>
    </xf>
    <xf numFmtId="0" fontId="4" fillId="2" borderId="1" applyAlignment="1" pivotButton="0" quotePrefix="0" xfId="0">
      <alignment horizontal="center" vertical="center"/>
    </xf>
    <xf numFmtId="0" fontId="5" fillId="3" borderId="0" pivotButton="0" quotePrefix="0" xfId="0"/>
    <xf numFmtId="0" fontId="0" fillId="3" borderId="0" pivotButton="0" quotePrefix="0" xfId="0"/>
    <xf numFmtId="0" fontId="6" fillId="0" borderId="1" applyAlignment="1" pivotButton="0" quotePrefix="0" xfId="0">
      <alignment horizontal="left" vertical="center"/>
    </xf>
    <xf numFmtId="164" fontId="6" fillId="0" borderId="1" applyAlignment="1" pivotButton="0" quotePrefix="0" xfId="0">
      <alignment horizontal="right"/>
    </xf>
    <xf numFmtId="0" fontId="7" fillId="4" borderId="1" applyAlignment="1" pivotButton="0" quotePrefix="0" xfId="0">
      <alignment horizontal="left" vertical="center"/>
    </xf>
    <xf numFmtId="164" fontId="7" fillId="4" borderId="1" applyAlignment="1" pivotButton="0" quotePrefix="0" xfId="0">
      <alignment horizontal="right"/>
    </xf>
    <xf numFmtId="165" fontId="6" fillId="0" borderId="1" applyAlignment="1" pivotButton="0" quotePrefix="0" xfId="0">
      <alignment horizontal="right"/>
    </xf>
    <xf numFmtId="0" fontId="3" fillId="0" borderId="0" pivotButton="0" quotePrefix="0" xfId="0"/>
    <xf numFmtId="0" fontId="8" fillId="0" borderId="1" applyAlignment="1" pivotButton="0" quotePrefix="0" xfId="0">
      <alignment horizontal="right"/>
    </xf>
    <xf numFmtId="2" fontId="6" fillId="0" borderId="1" applyAlignment="1" pivotButton="0" quotePrefix="0" xfId="0">
      <alignment horizontal="right"/>
    </xf>
    <xf numFmtId="0" fontId="6" fillId="0" borderId="1" applyAlignment="1" pivotButton="0" quotePrefix="0" xfId="0">
      <alignment horizontal="left" vertical="top"/>
    </xf>
    <xf numFmtId="3" fontId="6" fillId="0" borderId="1" applyAlignment="1" pivotButton="0" quotePrefix="0" xfId="0">
      <alignment horizontal="right"/>
    </xf>
    <xf numFmtId="0" fontId="3" fillId="0" borderId="1" applyAlignment="1" pivotButton="0" quotePrefix="0" xfId="0">
      <alignment horizontal="left" vertical="top" wrapText="1"/>
    </xf>
    <xf numFmtId="0" fontId="6" fillId="0" borderId="1" applyAlignment="1" pivotButton="0" quotePrefix="0" xfId="0">
      <alignment horizontal="left" vertical="top" wrapText="1"/>
    </xf>
    <xf numFmtId="0" fontId="9" fillId="0" borderId="1" applyAlignment="1" pivotButton="0" quotePrefix="0" xfId="0">
      <alignment horizontal="center" vertical="center"/>
    </xf>
    <xf numFmtId="166" fontId="6" fillId="0" borderId="1" applyAlignment="1" pivotButton="0" quotePrefix="0" xfId="0">
      <alignment horizontal="right"/>
    </xf>
    <xf numFmtId="10" fontId="6" fillId="0" borderId="1" applyAlignment="1" pivotButton="0" quotePrefix="0" xfId="0">
      <alignment horizontal="right"/>
    </xf>
    <xf numFmtId="0" fontId="6" fillId="0" borderId="1" applyAlignment="1" pivotButton="0" quotePrefix="0" xfId="0">
      <alignment horizontal="right"/>
    </xf>
    <xf numFmtId="0" fontId="9" fillId="5" borderId="1" applyAlignment="1" pivotButton="0" quotePrefix="0" xfId="0">
      <alignment horizontal="left" vertical="center"/>
    </xf>
    <xf numFmtId="164" fontId="9" fillId="5" borderId="1" applyAlignment="1" pivotButton="0" quotePrefix="0" xfId="0">
      <alignment horizontal="right"/>
    </xf>
    <xf numFmtId="0" fontId="2" fillId="0" borderId="0" applyAlignment="1" pivotButton="0" quotePrefix="0" xfId="0">
      <alignment horizontal="left" vertical="top" wrapText="1"/>
    </xf>
    <xf numFmtId="0" fontId="6" fillId="0" borderId="0" applyAlignment="1" pivotButton="0" quotePrefix="0" xfId="0">
      <alignment horizontal="left" vertical="top" wrapText="1"/>
    </xf>
    <xf numFmtId="0" fontId="0" fillId="2" borderId="1" pivotButton="0" quotePrefix="0" xfId="0"/>
    <xf numFmtId="4" fontId="10" fillId="6" borderId="1" applyAlignment="1" pivotButton="0" quotePrefix="0" xfId="0">
      <alignment horizontal="right"/>
    </xf>
    <xf numFmtId="167" fontId="10" fillId="6" borderId="1" applyAlignment="1" pivotButton="0" quotePrefix="0" xfId="0">
      <alignment horizontal="right"/>
    </xf>
    <xf numFmtId="1" fontId="10" fillId="6" borderId="1" applyAlignment="1" pivotButton="0" quotePrefix="0" xfId="0">
      <alignment horizontal="right"/>
    </xf>
    <xf numFmtId="0" fontId="4" fillId="2" borderId="1" applyAlignment="1" pivotButton="0" quotePrefix="0" xfId="0">
      <alignment horizontal="right"/>
    </xf>
    <xf numFmtId="168" fontId="6" fillId="0" borderId="1" applyAlignment="1" pivotButton="0" quotePrefix="0" xfId="0">
      <alignment horizontal="right"/>
    </xf>
    <xf numFmtId="169" fontId="6" fillId="0" borderId="1" applyAlignment="1" pivotButton="0" quotePrefix="0" xfId="0">
      <alignment horizontal="right"/>
    </xf>
    <xf numFmtId="4" fontId="9" fillId="5" borderId="1" applyAlignment="1" pivotButton="0" quotePrefix="0" xfId="0">
      <alignment horizontal="right"/>
    </xf>
    <xf numFmtId="166" fontId="9" fillId="5" borderId="1" applyAlignment="1" pivotButton="0" quotePrefix="0" xfId="0">
      <alignment horizontal="right"/>
    </xf>
    <xf numFmtId="166" fontId="9" fillId="4" borderId="1" applyAlignment="1" pivotButton="0" quotePrefix="0" xfId="0">
      <alignment horizontal="right"/>
    </xf>
    <xf numFmtId="10" fontId="9" fillId="5" borderId="1" applyAlignment="1" pivotButton="0" quotePrefix="0" xfId="0">
      <alignment horizontal="right"/>
    </xf>
    <xf numFmtId="2" fontId="9" fillId="5" borderId="1" applyAlignment="1" pivotButton="0" quotePrefix="0" xfId="0">
      <alignment horizontal="right"/>
    </xf>
    <xf numFmtId="0" fontId="9" fillId="0" borderId="1" applyAlignment="1" pivotButton="0" quotePrefix="0" xfId="0">
      <alignment horizontal="left" vertical="center"/>
    </xf>
    <xf numFmtId="164" fontId="7" fillId="0" borderId="1" applyAlignment="1" pivotButton="0" quotePrefix="0" xfId="0">
      <alignment horizontal="right"/>
    </xf>
    <xf numFmtId="0" fontId="0" fillId="0" borderId="1" pivotButton="0" quotePrefix="0" xfId="0"/>
    <xf numFmtId="0" fontId="5" fillId="3" borderId="0" applyAlignment="1" pivotButton="0" quotePrefix="0" xfId="0">
      <alignment horizontal="left" vertical="center"/>
    </xf>
    <xf numFmtId="0" fontId="6" fillId="0" borderId="1" applyAlignment="1" pivotButton="0" quotePrefix="0" xfId="0">
      <alignment horizontal="center" vertical="center"/>
    </xf>
    <xf numFmtId="0" fontId="6" fillId="0" borderId="1" pivotButton="0" quotePrefix="0" xfId="0"/>
    <xf numFmtId="0" fontId="8" fillId="0" borderId="1" applyAlignment="1" pivotButton="0" quotePrefix="0" xfId="0">
      <alignment horizontal="left" vertical="center"/>
    </xf>
  </cellXfs>
  <cellStyles count="1">
    <cellStyle name="Normal" xfId="0" builtinId="0" hidden="0"/>
  </cellStyles>
  <dxfs count="1">
    <dxf>
      <font>
        <name val="Calibri"/>
        <b val="1"/>
        <color rgb="009C0006"/>
        <sz val="10"/>
      </font>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comments/comment1.xml><?xml version="1.0" encoding="utf-8"?>
<comments xmlns="http://schemas.openxmlformats.org/spreadsheetml/2006/main">
  <authors>
    <author>hydronomics</author>
  </authors>
  <commentList>
    <comment ref="B8" authorId="0" shapeId="0">
      <text>
        <t>Sacramento and San Joaquin Valley index classification</t>
      </text>
    </comment>
    <comment ref="C8" authorId="0" shapeId="0">
      <text>
        <t>Sacramento and San Joaquin Valley index classification</t>
      </text>
    </comment>
    <comment ref="D8" authorId="0" shapeId="0">
      <text>
        <t>Sacramento and San Joaquin Valley index classification</t>
      </text>
    </comment>
    <comment ref="E8" authorId="0" shapeId="0">
      <text>
        <t>Sacramento and San Joaquin Valley index classification</t>
      </text>
    </comment>
    <comment ref="F8" authorId="0" shapeId="0">
      <text>
        <t>Sacramento and San Joaquin Valley index classification</t>
      </text>
    </comment>
    <comment ref="B9" authorId="0" shapeId="0">
      <text>
        <t>peak weekly category over Jul 2019-Jun 2020 (moderate)</t>
      </text>
    </comment>
    <comment ref="C9" authorId="0" shapeId="0">
      <text>
        <t>peak weekly category over Jul 2020-Jun 2021 (exceptional)</t>
      </text>
    </comment>
    <comment ref="D9" authorId="0" shapeId="0">
      <text>
        <t>peak weekly category over Jul 2021-Jun 2022 (exceptional)</t>
      </text>
    </comment>
    <comment ref="E9" authorId="0" shapeId="0">
      <text>
        <t>peak weekly category over Jul 2022-Jun 2023 (extreme)</t>
      </text>
    </comment>
    <comment ref="F9" authorId="0" shapeId="0">
      <text>
        <t>peak weekly category over Jul 2023-Jun 2024 (none)</t>
      </text>
    </comment>
    <comment ref="B10" authorId="0" shapeId="0">
      <text>
        <t>water-year cumulative 31.7 in / 50 in seasonal normal; statewide SWP-supply index, not local precipitation</t>
      </text>
    </comment>
    <comment ref="C10" authorId="0" shapeId="0">
      <text>
        <t>water-year cumulative 24.0 in / 50 in seasonal normal; statewide SWP-supply index, not local precipitation</t>
      </text>
    </comment>
    <comment ref="D10" authorId="0" shapeId="0">
      <text>
        <t>water-year cumulative 43.0 in / 50 in seasonal normal; statewide SWP-supply index, not local precipitation</t>
      </text>
    </comment>
    <comment ref="E10" authorId="0" shapeId="0">
      <text>
        <t>water-year cumulative 66.6 in / 50 in seasonal normal; statewide SWP-supply index, not local precipitation</t>
      </text>
    </comment>
    <comment ref="F10" authorId="0" shapeId="0">
      <text>
        <t>water-year cumulative 48.2 in / 50 in seasonal normal; statewide SWP-supply index, not local precipitation</t>
      </text>
    </comment>
    <comment ref="B11" authorId="0" shapeId="0">
      <text>
        <t>April 1 statewide Sierra snowpack, percent of average; SWP-import indicator (no per-year API)</t>
      </text>
    </comment>
    <comment ref="C11" authorId="0" shapeId="0">
      <text>
        <t>April 1 statewide Sierra snowpack, percent of average; SWP-import indicator (no per-year API)</t>
      </text>
    </comment>
    <comment ref="D11" authorId="0" shapeId="0">
      <text>
        <t>April 1 statewide Sierra snowpack, percent of average; SWP-import indicator (no per-year API)</t>
      </text>
    </comment>
    <comment ref="E11" authorId="0" shapeId="0">
      <text>
        <t>April 1 statewide Sierra snowpack, percent of average; SWP-import indicator (no per-year API)</t>
      </text>
    </comment>
    <comment ref="F11" authorId="0" shapeId="0">
      <text>
        <t>April 1 statewide Sierra snowpack, percent of average; SWP-import indicator (no per-year API)</t>
      </text>
    </comment>
    <comment ref="B12" authorId="0" shapeId="0">
      <text>
        <t>final State Water Project Table A allocation; published DWR notice (no structured API)</t>
      </text>
    </comment>
    <comment ref="C12" authorId="0" shapeId="0">
      <text>
        <t>final State Water Project Table A allocation; published DWR notice (no structured API)</t>
      </text>
    </comment>
    <comment ref="D12" authorId="0" shapeId="0">
      <text>
        <t>final State Water Project Table A allocation; published DWR notice (no structured API)</t>
      </text>
    </comment>
    <comment ref="E12" authorId="0" shapeId="0">
      <text>
        <t>final State Water Project Table A allocation; published DWR notice (no structured API)</t>
      </text>
    </comment>
    <comment ref="F12" authorId="0" shapeId="0">
      <text>
        <t>final State Water Project Table A allocation; published DWR notice (no structured API)</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4.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24"/>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32" customWidth="1" min="1" max="1"/>
    <col width="15" customWidth="1" min="2" max="2"/>
    <col width="15" customWidth="1" min="3" max="3"/>
    <col width="15" customWidth="1" min="4" max="4"/>
    <col width="15" customWidth="1" min="5" max="5"/>
    <col width="15" customWidth="1" min="6" max="6"/>
  </cols>
  <sheetData>
    <row r="1">
      <c r="A1" s="1" t="inlineStr">
        <is>
          <t>Casitas Mutual Water Company</t>
        </is>
      </c>
    </row>
    <row r="2">
      <c r="A2" s="2" t="inlineStr">
        <is>
          <t>Financial Summary - multi-year overview (USD)</t>
        </is>
      </c>
    </row>
    <row r="3">
      <c r="A3" s="2" t="inlineStr">
        <is>
          <t>Entity ID: cawc_0018   |   Fiscal year ends December 31.</t>
        </is>
      </c>
    </row>
    <row r="5" ht="30" customHeight="1">
      <c r="A5" s="3" t="inlineStr">
        <is>
          <t>Presentation standard: every figure on the statement tabs is verified to its source filing and shown clean. A cell the filing does not report reads "not reported" (never estimated, never guessed).</t>
        </is>
      </c>
    </row>
    <row r="6" ht="30" customHeight="1">
      <c r="A6" s="3" t="inlineStr">
        <is>
          <t>Citations, confidence tiers, and the filed-vs-computed tie-out checks live on the "Sources &amp; audit" tab, keyed by cell, so every number is fully traceable without cluttering the statements. These pages are ready to use as filed.</t>
        </is>
      </c>
    </row>
    <row r="8">
      <c r="A8" s="4" t="inlineStr">
        <is>
          <t>Metric</t>
        </is>
      </c>
      <c r="B8" s="5" t="inlineStr">
        <is>
          <t>FY2020</t>
        </is>
      </c>
      <c r="C8" s="5" t="inlineStr">
        <is>
          <t>FY2021</t>
        </is>
      </c>
      <c r="D8" s="5" t="inlineStr">
        <is>
          <t>FY2022</t>
        </is>
      </c>
      <c r="E8" s="5" t="inlineStr">
        <is>
          <t>FY2023</t>
        </is>
      </c>
      <c r="F8" s="5" t="inlineStr">
        <is>
          <t>FY2024</t>
        </is>
      </c>
    </row>
    <row r="9">
      <c r="A9" s="6" t="inlineStr">
        <is>
          <t>Operating results (USD)</t>
        </is>
      </c>
      <c r="B9" s="7" t="n"/>
      <c r="C9" s="7" t="n"/>
      <c r="D9" s="7" t="n"/>
      <c r="E9" s="7" t="n"/>
      <c r="F9" s="7" t="n"/>
    </row>
    <row r="10">
      <c r="A10" s="8" t="inlineStr">
        <is>
          <t xml:space="preserve">    Total revenue</t>
        </is>
      </c>
      <c r="B10" s="9" t="n">
        <v>39438</v>
      </c>
      <c r="C10" s="9" t="n">
        <v>59871</v>
      </c>
      <c r="D10" s="9" t="n">
        <v>82098</v>
      </c>
      <c r="E10" s="9" t="n">
        <v>186156</v>
      </c>
      <c r="F10" s="9" t="n">
        <v>113996</v>
      </c>
    </row>
    <row r="11">
      <c r="A11" s="8" t="inlineStr">
        <is>
          <t xml:space="preserve">    Total expenses</t>
        </is>
      </c>
      <c r="B11" s="9" t="n">
        <v>45082</v>
      </c>
      <c r="C11" s="9" t="n">
        <v>49835</v>
      </c>
      <c r="D11" s="9" t="n">
        <v>62555</v>
      </c>
      <c r="E11" s="9" t="n">
        <v>209808</v>
      </c>
      <c r="F11" s="9" t="n">
        <v>105271</v>
      </c>
    </row>
    <row r="12">
      <c r="A12" s="10" t="inlineStr">
        <is>
          <t xml:space="preserve">    Net income</t>
        </is>
      </c>
      <c r="B12" s="11" t="n">
        <v>-5644</v>
      </c>
      <c r="C12" s="11" t="n">
        <v>10036</v>
      </c>
      <c r="D12" s="11" t="n">
        <v>19543</v>
      </c>
      <c r="E12" s="11" t="n">
        <v>-23652</v>
      </c>
      <c r="F12" s="11" t="n">
        <v>8725</v>
      </c>
    </row>
    <row r="14">
      <c r="A14" s="6" t="inlineStr">
        <is>
          <t>Financial position (USD, end of year)</t>
        </is>
      </c>
      <c r="B14" s="7" t="n"/>
      <c r="C14" s="7" t="n"/>
      <c r="D14" s="7" t="n"/>
      <c r="E14" s="7" t="n"/>
      <c r="F14" s="7" t="n"/>
    </row>
    <row r="15">
      <c r="A15" s="8" t="inlineStr">
        <is>
          <t xml:space="preserve">    Total assets</t>
        </is>
      </c>
      <c r="B15" s="9" t="n">
        <v>74072</v>
      </c>
      <c r="C15" s="9" t="n">
        <v>78524</v>
      </c>
      <c r="D15" s="9" t="n">
        <v>97642</v>
      </c>
      <c r="E15" s="9" t="n">
        <v>73990</v>
      </c>
      <c r="F15" s="9" t="n">
        <v>82715</v>
      </c>
    </row>
    <row r="16">
      <c r="A16" s="8" t="inlineStr">
        <is>
          <t xml:space="preserve">    Total liabilities</t>
        </is>
      </c>
      <c r="B16" s="9" t="n">
        <v>236</v>
      </c>
      <c r="C16" s="9" t="n">
        <v>425</v>
      </c>
      <c r="D16" s="9" t="n"/>
      <c r="E16" s="9" t="n"/>
      <c r="F16" s="9" t="n"/>
    </row>
    <row r="17">
      <c r="A17" s="10" t="inlineStr">
        <is>
          <t xml:space="preserve">    Net assets</t>
        </is>
      </c>
      <c r="B17" s="11" t="n">
        <v>73836</v>
      </c>
      <c r="C17" s="11" t="n">
        <v>78099</v>
      </c>
      <c r="D17" s="11" t="n">
        <v>97642</v>
      </c>
      <c r="E17" s="11" t="n">
        <v>73990</v>
      </c>
      <c r="F17" s="11" t="n">
        <v>82715</v>
      </c>
    </row>
    <row r="19">
      <c r="A19" s="6" t="inlineStr">
        <is>
          <t>Headline ratios</t>
        </is>
      </c>
      <c r="B19" s="7" t="n"/>
      <c r="C19" s="7" t="n"/>
      <c r="D19" s="7" t="n"/>
      <c r="E19" s="7" t="n"/>
      <c r="F19" s="7" t="n"/>
    </row>
    <row r="20">
      <c r="A20" s="8" t="inlineStr">
        <is>
          <t xml:space="preserve">    Operating margin</t>
        </is>
      </c>
      <c r="B20" s="12" t="n">
        <v>-0.1431107054110249</v>
      </c>
      <c r="C20" s="12" t="n">
        <v>0.1676270648561073</v>
      </c>
      <c r="D20" s="12" t="n">
        <v>0.238044775755804</v>
      </c>
      <c r="E20" s="12" t="n">
        <v>-0.1270547282923999</v>
      </c>
      <c r="F20" s="12" t="n">
        <v>0.07653777325520193</v>
      </c>
    </row>
    <row r="21">
      <c r="A21" s="8" t="inlineStr">
        <is>
          <t xml:space="preserve">    Revenue growth (YoY)</t>
        </is>
      </c>
      <c r="B21" s="12" t="n"/>
      <c r="C21" s="12" t="n"/>
      <c r="D21" s="12" t="n"/>
      <c r="E21" s="12" t="n"/>
      <c r="F21" s="12" t="n"/>
    </row>
    <row r="22">
      <c r="A22" s="8" t="inlineStr">
        <is>
          <t xml:space="preserve">    Return on assets</t>
        </is>
      </c>
      <c r="B22" s="12" t="n">
        <v>-0.07619613349173777</v>
      </c>
      <c r="C22" s="12" t="n">
        <v>0.1278080586826957</v>
      </c>
      <c r="D22" s="12" t="n">
        <v>0.2001495258188075</v>
      </c>
      <c r="E22" s="12" t="n">
        <v>-0.3196648195702122</v>
      </c>
      <c r="F22" s="12" t="n">
        <v>0.1054826814967056</v>
      </c>
    </row>
    <row r="24" ht="42" customHeight="1">
      <c r="A24" s="3" t="inlineStr">
        <is>
          <t>Figures as reported in source filings (full provenance on the Sources &amp; audit tab). Parentheses denote negatives; ratios are computed upstream in financials_annual.</t>
        </is>
      </c>
    </row>
  </sheetData>
  <mergeCells count="6">
    <mergeCell ref="A24:F24"/>
    <mergeCell ref="A2:F2"/>
    <mergeCell ref="A1:F1"/>
    <mergeCell ref="A5:F5"/>
    <mergeCell ref="A6:F6"/>
    <mergeCell ref="A3:F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
  <sheetViews>
    <sheetView workbookViewId="0">
      <pane ySplit="4" topLeftCell="A5" activePane="bottomLeft" state="frozen"/>
      <selection pane="bottomLeft" activeCell="A1" sqref="A1"/>
    </sheetView>
  </sheetViews>
  <sheetFormatPr baseColWidth="8" defaultRowHeight="15"/>
  <cols>
    <col width="12" customWidth="1" min="1" max="1"/>
    <col width="14" customWidth="1" min="2" max="2"/>
    <col width="16" customWidth="1" min="3" max="3"/>
    <col width="90" customWidth="1" min="4" max="4"/>
  </cols>
  <sheetData>
    <row r="1">
      <c r="A1" s="1" t="inlineStr">
        <is>
          <t>Notes</t>
        </is>
      </c>
    </row>
    <row r="2">
      <c r="A2" s="2" t="inlineStr">
        <is>
          <t>Human annotations from the versioned store (data/notes/). Annotations only: they never change a reported figure or a confidence tier.</t>
        </is>
      </c>
    </row>
    <row r="4">
      <c r="A4" s="4" t="inlineStr">
        <is>
          <t>Date</t>
        </is>
      </c>
      <c r="B4" s="4" t="inlineStr">
        <is>
          <t>Tag</t>
        </is>
      </c>
      <c r="C4" s="4" t="inlineStr">
        <is>
          <t>Author</t>
        </is>
      </c>
      <c r="D4" s="4" t="inlineStr">
        <is>
          <t>Note</t>
        </is>
      </c>
    </row>
    <row r="5">
      <c r="A5" s="13" t="inlineStr">
        <is>
          <t>No notes recorded yet.</t>
        </is>
      </c>
    </row>
  </sheetData>
  <mergeCells count="3">
    <mergeCell ref="A1:D1"/>
    <mergeCell ref="A5:D5"/>
    <mergeCell ref="A2:D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69"/>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 width="15" customWidth="1" min="5" max="5"/>
    <col width="15" customWidth="1" min="6" max="6"/>
  </cols>
  <sheetData>
    <row r="1">
      <c r="A1" s="1" t="inlineStr">
        <is>
          <t>Casitas Mutual Water Company</t>
        </is>
      </c>
    </row>
    <row r="2">
      <c r="A2" s="2" t="inlineStr">
        <is>
          <t>Financial Statements - income statement, balance sheet, cash flow, member income test (USD)</t>
        </is>
      </c>
    </row>
    <row r="3">
      <c r="A3" s="2" t="inlineStr">
        <is>
          <t>Entity ID: cawc_0018   |   Fiscal year ends December 31.</t>
        </is>
      </c>
    </row>
    <row r="5">
      <c r="A5" s="6" t="inlineStr">
        <is>
          <t>INCOME STATEMENT - as reported (USD)</t>
        </is>
      </c>
      <c r="B5" s="7" t="n"/>
      <c r="C5" s="7" t="n"/>
      <c r="D5" s="7" t="n"/>
      <c r="E5" s="7" t="n"/>
      <c r="F5" s="7" t="n"/>
    </row>
    <row r="6">
      <c r="A6" s="4" t="inlineStr">
        <is>
          <t>Line item</t>
        </is>
      </c>
      <c r="B6" s="5" t="inlineStr">
        <is>
          <t>FY2020</t>
        </is>
      </c>
      <c r="C6" s="5" t="inlineStr">
        <is>
          <t>FY2021</t>
        </is>
      </c>
      <c r="D6" s="5" t="inlineStr">
        <is>
          <t>FY2022</t>
        </is>
      </c>
      <c r="E6" s="5" t="inlineStr">
        <is>
          <t>FY2023</t>
        </is>
      </c>
      <c r="F6" s="5" t="inlineStr">
        <is>
          <t>FY2024</t>
        </is>
      </c>
    </row>
    <row r="7">
      <c r="A7" s="6" t="inlineStr">
        <is>
          <t>Revenue</t>
        </is>
      </c>
      <c r="B7" s="7" t="n"/>
      <c r="C7" s="7" t="n"/>
      <c r="D7" s="7" t="n"/>
      <c r="E7" s="7" t="n"/>
      <c r="F7" s="7" t="n"/>
    </row>
    <row r="8">
      <c r="A8" s="8" t="inlineStr">
        <is>
          <t xml:space="preserve">    Program service revenue</t>
        </is>
      </c>
      <c r="B8" s="9" t="n"/>
      <c r="C8" s="9" t="n"/>
      <c r="D8" s="9" t="n"/>
      <c r="E8" s="9" t="n"/>
      <c r="F8" s="9" t="n"/>
    </row>
    <row r="9">
      <c r="A9" s="8" t="inlineStr">
        <is>
          <t xml:space="preserve">    Investment income</t>
        </is>
      </c>
      <c r="B9" s="9" t="n"/>
      <c r="C9" s="9" t="n"/>
      <c r="D9" s="9" t="n"/>
      <c r="E9" s="9" t="n"/>
      <c r="F9" s="9" t="n"/>
    </row>
    <row r="10">
      <c r="A10" s="8" t="inlineStr">
        <is>
          <t xml:space="preserve">    Net rental income</t>
        </is>
      </c>
      <c r="B10" s="9" t="n"/>
      <c r="C10" s="9" t="n"/>
      <c r="D10" s="9" t="n"/>
      <c r="E10" s="9" t="n"/>
      <c r="F10" s="9" t="n"/>
    </row>
    <row r="11">
      <c r="A11" s="8" t="inlineStr">
        <is>
          <t xml:space="preserve">    Net gain/(loss) on investment sales</t>
        </is>
      </c>
      <c r="B11" s="9" t="n"/>
      <c r="C11" s="9" t="n"/>
      <c r="D11" s="9" t="n"/>
      <c r="E11" s="9" t="n"/>
      <c r="F11" s="9" t="n"/>
    </row>
    <row r="12">
      <c r="A12" s="8" t="inlineStr">
        <is>
          <t xml:space="preserve">    Other revenue</t>
        </is>
      </c>
      <c r="B12" s="9" t="n"/>
      <c r="C12" s="9" t="n"/>
      <c r="D12" s="9" t="n"/>
      <c r="E12" s="9" t="n"/>
      <c r="F12" s="9" t="n"/>
    </row>
    <row r="13">
      <c r="A13" s="8" t="inlineStr">
        <is>
          <t xml:space="preserve">    Contributions &amp; grants</t>
        </is>
      </c>
      <c r="B13" s="9" t="n"/>
      <c r="C13" s="9" t="n"/>
      <c r="D13" s="9" t="n"/>
      <c r="E13" s="9" t="n"/>
      <c r="F13" s="9" t="n"/>
    </row>
    <row r="14">
      <c r="A14" s="10" t="inlineStr">
        <is>
          <t>Total revenue</t>
        </is>
      </c>
      <c r="B14" s="11" t="n"/>
      <c r="C14" s="11" t="n"/>
      <c r="D14" s="11" t="n"/>
      <c r="E14" s="11" t="n"/>
      <c r="F14" s="11" t="n"/>
    </row>
    <row r="16">
      <c r="A16" s="6" t="inlineStr">
        <is>
          <t>Expenses</t>
        </is>
      </c>
      <c r="B16" s="7" t="n"/>
      <c r="C16" s="7" t="n"/>
      <c r="D16" s="7" t="n"/>
      <c r="E16" s="7" t="n"/>
      <c r="F16" s="7" t="n"/>
    </row>
    <row r="17">
      <c r="A17" s="8" t="inlineStr">
        <is>
          <t xml:space="preserve">    Depreciation</t>
        </is>
      </c>
      <c r="B17" s="9" t="n"/>
      <c r="C17" s="9" t="n"/>
      <c r="D17" s="9" t="n"/>
      <c r="E17" s="9" t="n"/>
      <c r="F17" s="9" t="n"/>
    </row>
    <row r="18">
      <c r="A18" s="8" t="inlineStr">
        <is>
          <t xml:space="preserve">    Interest expense</t>
        </is>
      </c>
      <c r="B18" s="9" t="n"/>
      <c r="C18" s="9" t="n"/>
      <c r="D18" s="9" t="n"/>
      <c r="E18" s="9" t="n"/>
      <c r="F18" s="9" t="n"/>
    </row>
    <row r="19">
      <c r="A19" s="10" t="inlineStr">
        <is>
          <t>Total expenses</t>
        </is>
      </c>
      <c r="B19" s="11" t="n">
        <v>45082</v>
      </c>
      <c r="C19" s="11" t="n">
        <v>49835</v>
      </c>
      <c r="D19" s="11" t="n">
        <v>62555</v>
      </c>
      <c r="E19" s="11" t="n">
        <v>209808</v>
      </c>
      <c r="F19" s="11" t="n">
        <v>105271</v>
      </c>
    </row>
    <row r="21">
      <c r="A21" s="10" t="inlineStr">
        <is>
          <t>Net income</t>
        </is>
      </c>
      <c r="B21" s="11" t="n">
        <v>-5644</v>
      </c>
      <c r="C21" s="11" t="n">
        <v>10036</v>
      </c>
      <c r="D21" s="11" t="n">
        <v>19543</v>
      </c>
      <c r="E21" s="11" t="n">
        <v>-23652</v>
      </c>
      <c r="F21" s="11" t="n">
        <v>8725</v>
      </c>
    </row>
    <row r="24">
      <c r="A24" s="6" t="inlineStr">
        <is>
          <t>BALANCE SHEET - as reported (USD, end of year)</t>
        </is>
      </c>
      <c r="B24" s="7" t="n"/>
      <c r="C24" s="7" t="n"/>
      <c r="D24" s="7" t="n"/>
      <c r="E24" s="7" t="n"/>
      <c r="F24" s="7" t="n"/>
    </row>
    <row r="25">
      <c r="A25" s="4" t="inlineStr">
        <is>
          <t>Line item</t>
        </is>
      </c>
      <c r="B25" s="5" t="inlineStr">
        <is>
          <t>FY2020</t>
        </is>
      </c>
      <c r="C25" s="5" t="inlineStr">
        <is>
          <t>FY2021</t>
        </is>
      </c>
      <c r="D25" s="5" t="inlineStr">
        <is>
          <t>FY2022</t>
        </is>
      </c>
      <c r="E25" s="5" t="inlineStr">
        <is>
          <t>FY2023</t>
        </is>
      </c>
      <c r="F25" s="5" t="inlineStr">
        <is>
          <t>FY2024</t>
        </is>
      </c>
    </row>
    <row r="26">
      <c r="A26" s="6" t="inlineStr">
        <is>
          <t>Assets</t>
        </is>
      </c>
      <c r="B26" s="7" t="n"/>
      <c r="C26" s="7" t="n"/>
      <c r="D26" s="7" t="n"/>
      <c r="E26" s="7" t="n"/>
      <c r="F26" s="7" t="n"/>
    </row>
    <row r="27">
      <c r="A27" s="8" t="inlineStr">
        <is>
          <t xml:space="preserve">    Cash</t>
        </is>
      </c>
      <c r="B27" s="9" t="n">
        <v>68298</v>
      </c>
      <c r="C27" s="9" t="n">
        <v>70807</v>
      </c>
      <c r="D27" s="9" t="n">
        <v>69229</v>
      </c>
      <c r="E27" s="9" t="n">
        <v>48420</v>
      </c>
      <c r="F27" s="9" t="n">
        <v>59702</v>
      </c>
    </row>
    <row r="28">
      <c r="A28" s="8" t="inlineStr">
        <is>
          <t xml:space="preserve">    Savings &amp; temporary investments</t>
        </is>
      </c>
      <c r="B28" s="9" t="n"/>
      <c r="C28" s="9" t="n"/>
      <c r="D28" s="9" t="n"/>
      <c r="E28" s="9" t="n"/>
      <c r="F28" s="9" t="n"/>
    </row>
    <row r="29">
      <c r="A29" s="8" t="inlineStr">
        <is>
          <t xml:space="preserve">    Accounts receivable</t>
        </is>
      </c>
      <c r="B29" s="9" t="n"/>
      <c r="C29" s="9" t="n"/>
      <c r="D29" s="9" t="n"/>
      <c r="E29" s="9" t="n"/>
      <c r="F29" s="9" t="n"/>
    </row>
    <row r="30">
      <c r="A30" s="8" t="inlineStr">
        <is>
          <t xml:space="preserve">    Inventories</t>
        </is>
      </c>
      <c r="B30" s="9" t="n"/>
      <c r="C30" s="9" t="n"/>
      <c r="D30" s="9" t="n"/>
      <c r="E30" s="9" t="n"/>
      <c r="F30" s="9" t="n"/>
    </row>
    <row r="31">
      <c r="A31" s="8" t="inlineStr">
        <is>
          <t xml:space="preserve">    Prepaid expenses</t>
        </is>
      </c>
      <c r="B31" s="9" t="n"/>
      <c r="C31" s="9" t="n"/>
      <c r="D31" s="9" t="n"/>
      <c r="E31" s="9" t="n"/>
      <c r="F31" s="9" t="n"/>
    </row>
    <row r="32">
      <c r="A32" s="8" t="inlineStr">
        <is>
          <t xml:space="preserve">    Property, plant &amp; equipment (gross)</t>
        </is>
      </c>
      <c r="B32" s="9" t="n"/>
      <c r="C32" s="9" t="n"/>
      <c r="D32" s="9" t="n"/>
      <c r="E32" s="9" t="n"/>
      <c r="F32" s="9" t="n"/>
    </row>
    <row r="33">
      <c r="A33" s="8" t="inlineStr">
        <is>
          <t xml:space="preserve">    Less: accumulated depreciation</t>
        </is>
      </c>
      <c r="B33" s="9" t="n"/>
      <c r="C33" s="9" t="n"/>
      <c r="D33" s="9" t="n"/>
      <c r="E33" s="9" t="n"/>
      <c r="F33" s="9" t="n"/>
    </row>
    <row r="34">
      <c r="A34" s="10" t="inlineStr">
        <is>
          <t xml:space="preserve">    Net property, plant &amp; equipment</t>
        </is>
      </c>
      <c r="B34" s="11" t="n">
        <v>5774</v>
      </c>
      <c r="C34" s="11" t="n">
        <v>7717</v>
      </c>
      <c r="D34" s="11" t="n">
        <v>28413</v>
      </c>
      <c r="E34" s="11" t="n">
        <v>25570</v>
      </c>
      <c r="F34" s="11" t="n">
        <v>23013</v>
      </c>
    </row>
    <row r="35">
      <c r="A35" s="10" t="inlineStr">
        <is>
          <t>Total assets</t>
        </is>
      </c>
      <c r="B35" s="11" t="n">
        <v>74072</v>
      </c>
      <c r="C35" s="11" t="n">
        <v>78524</v>
      </c>
      <c r="D35" s="11" t="n">
        <v>97642</v>
      </c>
      <c r="E35" s="11" t="n">
        <v>73990</v>
      </c>
      <c r="F35" s="11" t="n">
        <v>82715</v>
      </c>
    </row>
    <row r="37">
      <c r="A37" s="6" t="inlineStr">
        <is>
          <t>Liabilities</t>
        </is>
      </c>
      <c r="B37" s="7" t="n"/>
      <c r="C37" s="7" t="n"/>
      <c r="D37" s="7" t="n"/>
      <c r="E37" s="7" t="n"/>
      <c r="F37" s="7" t="n"/>
    </row>
    <row r="38">
      <c r="A38" s="8" t="inlineStr">
        <is>
          <t xml:space="preserve">    Accounts payable</t>
        </is>
      </c>
      <c r="B38" s="9" t="n"/>
      <c r="C38" s="9" t="n"/>
      <c r="D38" s="9" t="n"/>
      <c r="E38" s="9" t="n"/>
      <c r="F38" s="9" t="n"/>
    </row>
    <row r="39">
      <c r="A39" s="8" t="inlineStr">
        <is>
          <t xml:space="preserve">    Mortgages &amp; notes payable</t>
        </is>
      </c>
      <c r="B39" s="9" t="n"/>
      <c r="C39" s="9" t="n"/>
      <c r="D39" s="9" t="n"/>
      <c r="E39" s="9" t="n"/>
      <c r="F39" s="9" t="n"/>
    </row>
    <row r="40">
      <c r="A40" s="10" t="inlineStr">
        <is>
          <t>Total liabilities</t>
        </is>
      </c>
      <c r="B40" s="11" t="n">
        <v>236</v>
      </c>
      <c r="C40" s="11" t="n">
        <v>425</v>
      </c>
      <c r="D40" s="11" t="n"/>
      <c r="E40" s="11" t="n"/>
      <c r="F40" s="11" t="n"/>
    </row>
    <row r="42">
      <c r="A42" s="6" t="inlineStr">
        <is>
          <t>Net Assets / Equity</t>
        </is>
      </c>
      <c r="B42" s="7" t="n"/>
      <c r="C42" s="7" t="n"/>
      <c r="D42" s="7" t="n"/>
      <c r="E42" s="7" t="n"/>
      <c r="F42" s="7" t="n"/>
    </row>
    <row r="43">
      <c r="A43" s="8" t="inlineStr">
        <is>
          <t xml:space="preserve">    Capital stock</t>
        </is>
      </c>
      <c r="B43" s="9" t="n"/>
      <c r="C43" s="9" t="n"/>
      <c r="D43" s="9" t="n"/>
      <c r="E43" s="9" t="n"/>
      <c r="F43" s="9" t="n"/>
    </row>
    <row r="44">
      <c r="A44" s="8" t="inlineStr">
        <is>
          <t xml:space="preserve">    Paid-in capital</t>
        </is>
      </c>
      <c r="B44" s="9" t="n"/>
      <c r="C44" s="9" t="n"/>
      <c r="D44" s="9" t="n"/>
      <c r="E44" s="9" t="n"/>
      <c r="F44" s="9" t="n"/>
    </row>
    <row r="45">
      <c r="A45" s="8" t="inlineStr">
        <is>
          <t xml:space="preserve">    Retained earnings</t>
        </is>
      </c>
      <c r="B45" s="9" t="n"/>
      <c r="C45" s="9" t="n"/>
      <c r="D45" s="9" t="n"/>
      <c r="E45" s="9" t="n"/>
      <c r="F45" s="9" t="n"/>
    </row>
    <row r="46">
      <c r="A46" s="10" t="inlineStr">
        <is>
          <t>Net assets</t>
        </is>
      </c>
      <c r="B46" s="11" t="n">
        <v>73836</v>
      </c>
      <c r="C46" s="11" t="n">
        <v>78099</v>
      </c>
      <c r="D46" s="11" t="n">
        <v>97642</v>
      </c>
      <c r="E46" s="11" t="n">
        <v>73990</v>
      </c>
      <c r="F46" s="11" t="n">
        <v>82715</v>
      </c>
    </row>
    <row r="49">
      <c r="A49" s="6" t="inlineStr">
        <is>
          <t>CASH FLOW - derived proxy (USD)</t>
        </is>
      </c>
      <c r="B49" s="7" t="n"/>
      <c r="C49" s="7" t="n"/>
      <c r="D49" s="7" t="n"/>
      <c r="E49" s="7" t="n"/>
      <c r="F49" s="7" t="n"/>
    </row>
    <row r="50">
      <c r="A50" s="4" t="inlineStr">
        <is>
          <t>Proxy line</t>
        </is>
      </c>
      <c r="B50" s="5" t="inlineStr">
        <is>
          <t>FY2020</t>
        </is>
      </c>
      <c r="C50" s="5" t="inlineStr">
        <is>
          <t>FY2021</t>
        </is>
      </c>
      <c r="D50" s="5" t="inlineStr">
        <is>
          <t>FY2022</t>
        </is>
      </c>
      <c r="E50" s="5" t="inlineStr">
        <is>
          <t>FY2023</t>
        </is>
      </c>
      <c r="F50" s="5" t="inlineStr">
        <is>
          <t>FY2024</t>
        </is>
      </c>
    </row>
    <row r="51">
      <c r="A51" s="6" t="inlineStr">
        <is>
          <t>Operating</t>
        </is>
      </c>
      <c r="B51" s="7" t="n"/>
      <c r="C51" s="7" t="n"/>
      <c r="D51" s="7" t="n"/>
      <c r="E51" s="7" t="n"/>
      <c r="F51" s="7" t="n"/>
    </row>
    <row r="52">
      <c r="A52" s="8" t="inlineStr">
        <is>
          <t xml:space="preserve">    Net income</t>
        </is>
      </c>
      <c r="B52" s="9" t="n">
        <v>-5644</v>
      </c>
      <c r="C52" s="9" t="n">
        <v>10036</v>
      </c>
      <c r="D52" s="9" t="n">
        <v>19543</v>
      </c>
      <c r="E52" s="9" t="n">
        <v>-23652</v>
      </c>
      <c r="F52" s="9" t="n">
        <v>8725</v>
      </c>
    </row>
    <row r="53">
      <c r="A53" s="8" t="inlineStr">
        <is>
          <t xml:space="preserve">    + Depreciation (reported)</t>
        </is>
      </c>
      <c r="B53" s="9" t="n"/>
      <c r="C53" s="9" t="n"/>
      <c r="D53" s="9" t="n"/>
      <c r="E53" s="9" t="n"/>
      <c r="F53" s="9" t="n"/>
    </row>
    <row r="54">
      <c r="A54" s="8" t="inlineStr">
        <is>
          <t xml:space="preserve">    − Δ Accounts receivable</t>
        </is>
      </c>
      <c r="B54" s="9" t="n"/>
      <c r="C54" s="9" t="n"/>
      <c r="D54" s="9" t="n"/>
      <c r="E54" s="9" t="n"/>
      <c r="F54" s="9" t="n"/>
    </row>
    <row r="55">
      <c r="A55" s="8" t="inlineStr">
        <is>
          <t xml:space="preserve">    − Δ Inventories</t>
        </is>
      </c>
      <c r="B55" s="9" t="n"/>
      <c r="C55" s="9" t="n"/>
      <c r="D55" s="9" t="n"/>
      <c r="E55" s="9" t="n"/>
      <c r="F55" s="9" t="n"/>
    </row>
    <row r="56">
      <c r="A56" s="8" t="inlineStr">
        <is>
          <t xml:space="preserve">    − Δ Prepaid expenses</t>
        </is>
      </c>
      <c r="B56" s="9" t="n"/>
      <c r="C56" s="9" t="n"/>
      <c r="D56" s="9" t="n"/>
      <c r="E56" s="9" t="n"/>
      <c r="F56" s="9" t="n"/>
    </row>
    <row r="57">
      <c r="A57" s="8" t="inlineStr">
        <is>
          <t xml:space="preserve">    + Δ Accounts payable</t>
        </is>
      </c>
      <c r="B57" s="9" t="n"/>
      <c r="C57" s="9" t="n"/>
      <c r="D57" s="9" t="n"/>
      <c r="E57" s="9" t="n"/>
      <c r="F57" s="9" t="n"/>
    </row>
    <row r="58">
      <c r="A58" s="10" t="inlineStr">
        <is>
          <t xml:space="preserve">    Operating cash flow proxy</t>
        </is>
      </c>
      <c r="B58" s="11" t="n"/>
      <c r="C58" s="11" t="n">
        <v>10036</v>
      </c>
      <c r="D58" s="11" t="n">
        <v>19543</v>
      </c>
      <c r="E58" s="11" t="n">
        <v>-23652</v>
      </c>
      <c r="F58" s="11" t="n">
        <v>8725</v>
      </c>
    </row>
    <row r="60">
      <c r="A60" s="6" t="inlineStr">
        <is>
          <t>Investing</t>
        </is>
      </c>
      <c r="B60" s="7" t="n"/>
      <c r="C60" s="7" t="n"/>
      <c r="D60" s="7" t="n"/>
      <c r="E60" s="7" t="n"/>
      <c r="F60" s="7" t="n"/>
    </row>
    <row r="61">
      <c r="A61" s="8" t="inlineStr">
        <is>
          <t xml:space="preserve">    − Δ PP&amp;E gross (capex proxy)</t>
        </is>
      </c>
      <c r="B61" s="9" t="n"/>
      <c r="C61" s="9" t="n"/>
      <c r="D61" s="9" t="n"/>
      <c r="E61" s="9" t="n"/>
      <c r="F61" s="9" t="n"/>
    </row>
    <row r="63">
      <c r="A63" s="6" t="inlineStr">
        <is>
          <t>Financing</t>
        </is>
      </c>
      <c r="B63" s="7" t="n"/>
      <c r="C63" s="7" t="n"/>
      <c r="D63" s="7" t="n"/>
      <c r="E63" s="7" t="n"/>
      <c r="F63" s="7" t="n"/>
    </row>
    <row r="64">
      <c r="A64" s="8" t="inlineStr">
        <is>
          <t xml:space="preserve">    Δ Mortgages &amp; notes payable</t>
        </is>
      </c>
      <c r="B64" s="9" t="n"/>
      <c r="C64" s="9" t="n"/>
      <c r="D64" s="9" t="n"/>
      <c r="E64" s="9" t="n"/>
      <c r="F64" s="9" t="n"/>
    </row>
    <row r="66">
      <c r="A66" s="6" t="inlineStr">
        <is>
          <t>Reconciliation</t>
        </is>
      </c>
      <c r="B66" s="7" t="n"/>
      <c r="C66" s="7" t="n"/>
      <c r="D66" s="7" t="n"/>
      <c r="E66" s="7" t="n"/>
      <c r="F66" s="7" t="n"/>
    </row>
    <row r="67">
      <c r="A67" s="10" t="inlineStr">
        <is>
          <t xml:space="preserve">    Δ Cash + temp. investments (actual)</t>
        </is>
      </c>
      <c r="B67" s="11" t="n"/>
      <c r="C67" s="11" t="n">
        <v>2509</v>
      </c>
      <c r="D67" s="11" t="n">
        <v>-1578</v>
      </c>
      <c r="E67" s="11" t="n">
        <v>-20809</v>
      </c>
      <c r="F67" s="11" t="n">
        <v>11282</v>
      </c>
    </row>
    <row r="69" ht="42" customHeight="1">
      <c r="A69" s="3" t="inlineStr">
        <is>
          <t>Income statement and balance sheet are as reported in source filings (full provenance on the Sources &amp; audit tab). The cash flow block is a PROXY: the filings contain no statement of cash flows, so it is derived from net income, reported depreciation, and year-over-year balance-sheet changes - treat as directional. The earliest year has no prior period, so its delta cells are blank. Parentheses denote negatives.</t>
        </is>
      </c>
    </row>
  </sheetData>
  <mergeCells count="4">
    <mergeCell ref="A3:F3"/>
    <mergeCell ref="A2:F2"/>
    <mergeCell ref="A69:F69"/>
    <mergeCell ref="A1:F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0"/>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38" customWidth="1" min="1" max="1"/>
    <col width="15" customWidth="1" min="2" max="2"/>
    <col width="15" customWidth="1" min="3" max="3"/>
    <col width="15" customWidth="1" min="4" max="4"/>
    <col width="15" customWidth="1" min="5" max="5"/>
    <col width="15" customWidth="1" min="6" max="6"/>
  </cols>
  <sheetData>
    <row r="1">
      <c r="A1" s="1" t="inlineStr">
        <is>
          <t>Casitas Mutual Water Company</t>
        </is>
      </c>
    </row>
    <row r="2">
      <c r="A2" s="2" t="inlineStr">
        <is>
          <t>Balance Sheet - as reported (USD, end of year)</t>
        </is>
      </c>
    </row>
    <row r="3">
      <c r="A3" s="2" t="inlineStr">
        <is>
          <t>Entity ID: cawc_0018   |   Fiscal year ends December 31.</t>
        </is>
      </c>
    </row>
    <row r="5">
      <c r="A5" s="4" t="inlineStr">
        <is>
          <t>Line item</t>
        </is>
      </c>
      <c r="B5" s="5" t="inlineStr">
        <is>
          <t>FY2020</t>
        </is>
      </c>
      <c r="C5" s="5" t="inlineStr">
        <is>
          <t>FY2021</t>
        </is>
      </c>
      <c r="D5" s="5" t="inlineStr">
        <is>
          <t>FY2022</t>
        </is>
      </c>
      <c r="E5" s="5" t="inlineStr">
        <is>
          <t>FY2023</t>
        </is>
      </c>
      <c r="F5" s="5" t="inlineStr">
        <is>
          <t>FY2024</t>
        </is>
      </c>
    </row>
    <row r="6">
      <c r="A6" s="6" t="inlineStr">
        <is>
          <t>Assets</t>
        </is>
      </c>
      <c r="B6" s="7" t="n"/>
      <c r="C6" s="7" t="n"/>
      <c r="D6" s="7" t="n"/>
      <c r="E6" s="7" t="n"/>
      <c r="F6" s="7" t="n"/>
    </row>
    <row r="7">
      <c r="A7" s="8" t="inlineStr">
        <is>
          <t xml:space="preserve">    Cash</t>
        </is>
      </c>
      <c r="B7" s="9" t="n">
        <v>68298</v>
      </c>
      <c r="C7" s="9" t="n">
        <v>70807</v>
      </c>
      <c r="D7" s="9" t="n">
        <v>69229</v>
      </c>
      <c r="E7" s="9" t="n">
        <v>48420</v>
      </c>
      <c r="F7" s="9" t="n">
        <v>59702</v>
      </c>
    </row>
    <row r="8">
      <c r="A8" s="8" t="inlineStr">
        <is>
          <t xml:space="preserve">    Savings &amp; temporary investments</t>
        </is>
      </c>
      <c r="B8" s="9" t="n"/>
      <c r="C8" s="9" t="n"/>
      <c r="D8" s="9" t="n"/>
      <c r="E8" s="9" t="n"/>
      <c r="F8" s="9" t="n"/>
    </row>
    <row r="9">
      <c r="A9" s="8" t="inlineStr">
        <is>
          <t xml:space="preserve">    Accounts receivable</t>
        </is>
      </c>
      <c r="B9" s="9" t="n"/>
      <c r="C9" s="9" t="n"/>
      <c r="D9" s="9" t="n"/>
      <c r="E9" s="9" t="n"/>
      <c r="F9" s="9" t="n"/>
    </row>
    <row r="10">
      <c r="A10" s="8" t="inlineStr">
        <is>
          <t xml:space="preserve">    Inventories</t>
        </is>
      </c>
      <c r="B10" s="9" t="n"/>
      <c r="C10" s="9" t="n"/>
      <c r="D10" s="9" t="n"/>
      <c r="E10" s="9" t="n"/>
      <c r="F10" s="9" t="n"/>
    </row>
    <row r="11">
      <c r="A11" s="8" t="inlineStr">
        <is>
          <t xml:space="preserve">    Prepaid expenses</t>
        </is>
      </c>
      <c r="B11" s="9" t="n"/>
      <c r="C11" s="9" t="n"/>
      <c r="D11" s="9" t="n"/>
      <c r="E11" s="9" t="n"/>
      <c r="F11" s="9" t="n"/>
    </row>
    <row r="12">
      <c r="A12" s="8" t="inlineStr">
        <is>
          <t xml:space="preserve">    Property, plant &amp; equipment (gross)</t>
        </is>
      </c>
      <c r="B12" s="9" t="n"/>
      <c r="C12" s="9" t="n"/>
      <c r="D12" s="9" t="n"/>
      <c r="E12" s="9" t="n"/>
      <c r="F12" s="9" t="n"/>
    </row>
    <row r="13">
      <c r="A13" s="8" t="inlineStr">
        <is>
          <t xml:space="preserve">    Less: accumulated depreciation</t>
        </is>
      </c>
      <c r="B13" s="9" t="n"/>
      <c r="C13" s="9" t="n"/>
      <c r="D13" s="9" t="n"/>
      <c r="E13" s="9" t="n"/>
      <c r="F13" s="9" t="n"/>
    </row>
    <row r="14">
      <c r="A14" s="10" t="inlineStr">
        <is>
          <t xml:space="preserve">    Net property, plant &amp; equipment</t>
        </is>
      </c>
      <c r="B14" s="11" t="n">
        <v>5774</v>
      </c>
      <c r="C14" s="11" t="n">
        <v>7717</v>
      </c>
      <c r="D14" s="11" t="n">
        <v>28413</v>
      </c>
      <c r="E14" s="11" t="n">
        <v>25570</v>
      </c>
      <c r="F14" s="11" t="n">
        <v>23013</v>
      </c>
    </row>
    <row r="15">
      <c r="A15" s="10" t="inlineStr">
        <is>
          <t>Total assets</t>
        </is>
      </c>
      <c r="B15" s="11" t="n">
        <v>74072</v>
      </c>
      <c r="C15" s="11" t="n">
        <v>78524</v>
      </c>
      <c r="D15" s="11" t="n">
        <v>97642</v>
      </c>
      <c r="E15" s="11" t="n">
        <v>73990</v>
      </c>
      <c r="F15" s="11" t="n">
        <v>82715</v>
      </c>
    </row>
    <row r="17">
      <c r="A17" s="6" t="inlineStr">
        <is>
          <t>Liabilities</t>
        </is>
      </c>
      <c r="B17" s="7" t="n"/>
      <c r="C17" s="7" t="n"/>
      <c r="D17" s="7" t="n"/>
      <c r="E17" s="7" t="n"/>
      <c r="F17" s="7" t="n"/>
    </row>
    <row r="18">
      <c r="A18" s="8" t="inlineStr">
        <is>
          <t xml:space="preserve">    Accounts payable</t>
        </is>
      </c>
      <c r="B18" s="9" t="n"/>
      <c r="C18" s="9" t="n"/>
      <c r="D18" s="9" t="n"/>
      <c r="E18" s="9" t="n"/>
      <c r="F18" s="9" t="n"/>
    </row>
    <row r="19">
      <c r="A19" s="8" t="inlineStr">
        <is>
          <t xml:space="preserve">    Mortgages &amp; notes payable</t>
        </is>
      </c>
      <c r="B19" s="9" t="n"/>
      <c r="C19" s="9" t="n"/>
      <c r="D19" s="9" t="n"/>
      <c r="E19" s="9" t="n"/>
      <c r="F19" s="9" t="n"/>
    </row>
    <row r="20">
      <c r="A20" s="10" t="inlineStr">
        <is>
          <t>Total liabilities</t>
        </is>
      </c>
      <c r="B20" s="11" t="n">
        <v>236</v>
      </c>
      <c r="C20" s="11" t="n">
        <v>425</v>
      </c>
      <c r="D20" s="11" t="n"/>
      <c r="E20" s="11" t="n"/>
      <c r="F20" s="11" t="n"/>
    </row>
    <row r="22">
      <c r="A22" s="6" t="inlineStr">
        <is>
          <t>Net Assets / Equity</t>
        </is>
      </c>
      <c r="B22" s="7" t="n"/>
      <c r="C22" s="7" t="n"/>
      <c r="D22" s="7" t="n"/>
      <c r="E22" s="7" t="n"/>
      <c r="F22" s="7" t="n"/>
    </row>
    <row r="23">
      <c r="A23" s="8" t="inlineStr">
        <is>
          <t xml:space="preserve">    Capital stock</t>
        </is>
      </c>
      <c r="B23" s="9" t="n"/>
      <c r="C23" s="9" t="n"/>
      <c r="D23" s="9" t="n"/>
      <c r="E23" s="9" t="n"/>
      <c r="F23" s="9" t="n"/>
    </row>
    <row r="24">
      <c r="A24" s="8" t="inlineStr">
        <is>
          <t xml:space="preserve">    Paid-in capital</t>
        </is>
      </c>
      <c r="B24" s="9" t="n"/>
      <c r="C24" s="9" t="n"/>
      <c r="D24" s="9" t="n"/>
      <c r="E24" s="9" t="n"/>
      <c r="F24" s="9" t="n"/>
    </row>
    <row r="25">
      <c r="A25" s="8" t="inlineStr">
        <is>
          <t xml:space="preserve">    Retained earnings</t>
        </is>
      </c>
      <c r="B25" s="9" t="n"/>
      <c r="C25" s="9" t="n"/>
      <c r="D25" s="9" t="n"/>
      <c r="E25" s="9" t="n"/>
      <c r="F25" s="9" t="n"/>
    </row>
    <row r="26">
      <c r="A26" s="10" t="inlineStr">
        <is>
          <t>Net assets</t>
        </is>
      </c>
      <c r="B26" s="11" t="n">
        <v>73836</v>
      </c>
      <c r="C26" s="11" t="n">
        <v>78099</v>
      </c>
      <c r="D26" s="11" t="n">
        <v>97642</v>
      </c>
      <c r="E26" s="11" t="n">
        <v>73990</v>
      </c>
      <c r="F26" s="11" t="n">
        <v>82715</v>
      </c>
    </row>
    <row r="28">
      <c r="A28" s="8" t="inlineStr">
        <is>
          <t>Balance check (assets − liab. − net assets)</t>
        </is>
      </c>
      <c r="B28" s="9" t="n">
        <v>0</v>
      </c>
      <c r="C28" s="9" t="n">
        <v>0</v>
      </c>
      <c r="D28" s="9" t="n">
        <v>0</v>
      </c>
      <c r="E28" s="9" t="n">
        <v>0</v>
      </c>
      <c r="F28" s="9" t="n">
        <v>0</v>
      </c>
    </row>
    <row r="30" ht="42" customHeight="1">
      <c r="A30" s="3" t="inlineStr">
        <is>
          <t>Net PP&amp;E is the reported ppe_net column (gross less accumulated depreciation). The balance check should be ~0 where all three totals are reported; a non-zero value flags a reporting or extraction discrepancy worth reviewing.</t>
        </is>
      </c>
    </row>
  </sheetData>
  <mergeCells count="4">
    <mergeCell ref="A3:F3"/>
    <mergeCell ref="A2:F2"/>
    <mergeCell ref="A1:F1"/>
    <mergeCell ref="A30:F30"/>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31"/>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s>
  <sheetData>
    <row r="1">
      <c r="A1" s="1" t="inlineStr">
        <is>
          <t>Casitas Mutual Water Company</t>
        </is>
      </c>
    </row>
    <row r="2">
      <c r="A2" s="2" t="inlineStr">
        <is>
          <t>Form 990-EZ - Part I (revenue, expenses, net assets) and Part II (balance sheet), as filed (USD)</t>
        </is>
      </c>
    </row>
    <row r="3">
      <c r="A3" s="2" t="inlineStr">
        <is>
          <t>Entity ID: cawc_0018   |   Fiscal year ends December 31.</t>
        </is>
      </c>
    </row>
    <row r="5">
      <c r="A5" s="4" t="inlineStr">
        <is>
          <t>Form 990-EZ line</t>
        </is>
      </c>
      <c r="B5" s="5" t="inlineStr">
        <is>
          <t>FY2020</t>
        </is>
      </c>
      <c r="C5" s="5" t="inlineStr">
        <is>
          <t>FY2021</t>
        </is>
      </c>
      <c r="D5" s="5" t="inlineStr">
        <is>
          <t>FY2022</t>
        </is>
      </c>
      <c r="E5" s="5" t="inlineStr">
        <is>
          <t>FY2023</t>
        </is>
      </c>
      <c r="F5" s="5" t="inlineStr">
        <is>
          <t>FY2024</t>
        </is>
      </c>
    </row>
    <row r="6">
      <c r="A6" s="6" t="inlineStr">
        <is>
          <t>Revenue (Part I)</t>
        </is>
      </c>
      <c r="B6" s="7" t="n"/>
      <c r="C6" s="7" t="n"/>
      <c r="D6" s="7" t="n"/>
      <c r="E6" s="7" t="n"/>
      <c r="F6" s="7" t="n"/>
    </row>
    <row r="7">
      <c r="A7" s="8" t="inlineStr">
        <is>
          <t xml:space="preserve">    1. Contributions, gifts, grants</t>
        </is>
      </c>
      <c r="B7" s="14" t="inlineStr">
        <is>
          <t>not reported</t>
        </is>
      </c>
      <c r="C7" s="14" t="inlineStr">
        <is>
          <t>not reported</t>
        </is>
      </c>
      <c r="D7" s="14" t="inlineStr">
        <is>
          <t>not reported</t>
        </is>
      </c>
      <c r="E7" s="9" t="n">
        <v>142847</v>
      </c>
      <c r="F7" s="9" t="n">
        <v>15872</v>
      </c>
    </row>
    <row r="8">
      <c r="A8" s="8" t="inlineStr">
        <is>
          <t xml:space="preserve">    2. Program service revenue</t>
        </is>
      </c>
      <c r="B8" s="9" t="n">
        <v>39358</v>
      </c>
      <c r="C8" s="9" t="n">
        <v>59854</v>
      </c>
      <c r="D8" s="9" t="n">
        <v>82087</v>
      </c>
      <c r="E8" s="9" t="n">
        <v>43307</v>
      </c>
      <c r="F8" s="9" t="n">
        <v>96924</v>
      </c>
    </row>
    <row r="9">
      <c r="A9" s="8" t="inlineStr">
        <is>
          <t xml:space="preserve">    4. Investment income</t>
        </is>
      </c>
      <c r="B9" s="9" t="n">
        <v>80</v>
      </c>
      <c r="C9" s="9" t="n">
        <v>17</v>
      </c>
      <c r="D9" s="9" t="n">
        <v>11</v>
      </c>
      <c r="E9" s="9" t="n">
        <v>2</v>
      </c>
      <c r="F9" s="9" t="n">
        <v>1200</v>
      </c>
    </row>
    <row r="10">
      <c r="A10" s="10" t="inlineStr">
        <is>
          <t>9. Total revenue</t>
        </is>
      </c>
      <c r="B10" s="11" t="n">
        <v>39438</v>
      </c>
      <c r="C10" s="11" t="n">
        <v>59871</v>
      </c>
      <c r="D10" s="11" t="n">
        <v>82098</v>
      </c>
      <c r="E10" s="11" t="n">
        <v>186156</v>
      </c>
      <c r="F10" s="11" t="n">
        <v>113996</v>
      </c>
    </row>
    <row r="12">
      <c r="A12" s="6" t="inlineStr">
        <is>
          <t>Expenses (Part I)</t>
        </is>
      </c>
      <c r="B12" s="7" t="n"/>
      <c r="C12" s="7" t="n"/>
      <c r="D12" s="7" t="n"/>
      <c r="E12" s="7" t="n"/>
      <c r="F12" s="7" t="n"/>
    </row>
    <row r="13">
      <c r="A13" s="8" t="inlineStr">
        <is>
          <t xml:space="preserve">    12. Salaries, other compensation, benefits</t>
        </is>
      </c>
      <c r="B13" s="9" t="n">
        <v>11516</v>
      </c>
      <c r="C13" s="9" t="n">
        <v>10817</v>
      </c>
      <c r="D13" s="9" t="n">
        <v>14053</v>
      </c>
      <c r="E13" s="9" t="n">
        <v>15961</v>
      </c>
      <c r="F13" s="9" t="n">
        <v>7909</v>
      </c>
    </row>
    <row r="14">
      <c r="A14" s="8" t="inlineStr">
        <is>
          <t xml:space="preserve">    13. Fees for services (independent contractors)</t>
        </is>
      </c>
      <c r="B14" s="9" t="n">
        <v>3083</v>
      </c>
      <c r="C14" s="9" t="n">
        <v>2681</v>
      </c>
      <c r="D14" s="9" t="n">
        <v>5266</v>
      </c>
      <c r="E14" s="9" t="n">
        <v>5948</v>
      </c>
      <c r="F14" s="9" t="n">
        <v>5236</v>
      </c>
    </row>
    <row r="15">
      <c r="A15" s="8" t="inlineStr">
        <is>
          <t xml:space="preserve">    15. Printing, publications, postage</t>
        </is>
      </c>
      <c r="B15" s="9" t="n">
        <v>388</v>
      </c>
      <c r="C15" s="9" t="n">
        <v>533</v>
      </c>
      <c r="D15" s="9" t="n">
        <v>926</v>
      </c>
      <c r="E15" s="9" t="n">
        <v>352</v>
      </c>
      <c r="F15" s="9" t="n">
        <v>592</v>
      </c>
    </row>
    <row r="16">
      <c r="A16" s="8" t="inlineStr">
        <is>
          <t xml:space="preserve">    16. Other expenses</t>
        </is>
      </c>
      <c r="B16" s="9" t="n">
        <v>30095</v>
      </c>
      <c r="C16" s="9" t="n">
        <v>35804</v>
      </c>
      <c r="D16" s="9" t="n">
        <v>42310</v>
      </c>
      <c r="E16" s="9" t="n">
        <v>187547</v>
      </c>
      <c r="F16" s="9" t="n">
        <v>91534</v>
      </c>
    </row>
    <row r="17">
      <c r="A17" s="10" t="inlineStr">
        <is>
          <t>17. Total expenses</t>
        </is>
      </c>
      <c r="B17" s="11">
        <f>SUM(B13:B16)</f>
        <v/>
      </c>
      <c r="C17" s="11">
        <f>SUM(C13:C16)</f>
        <v/>
      </c>
      <c r="D17" s="11">
        <f>SUM(D13:D16)</f>
        <v/>
      </c>
      <c r="E17" s="11">
        <f>SUM(E13:E16)</f>
        <v/>
      </c>
      <c r="F17" s="11">
        <f>SUM(F13:F16)</f>
        <v/>
      </c>
    </row>
    <row r="19">
      <c r="A19" s="6" t="inlineStr">
        <is>
          <t>Net-assets reconciliation (Part I)</t>
        </is>
      </c>
      <c r="B19" s="7" t="n"/>
      <c r="C19" s="7" t="n"/>
      <c r="D19" s="7" t="n"/>
      <c r="E19" s="7" t="n"/>
      <c r="F19" s="7" t="n"/>
    </row>
    <row r="20">
      <c r="A20" s="8" t="inlineStr">
        <is>
          <t xml:space="preserve">    19. Net assets or fund balances, beginning of year</t>
        </is>
      </c>
      <c r="B20" s="9" t="n">
        <v>79480</v>
      </c>
      <c r="C20" s="9" t="n">
        <v>73836</v>
      </c>
      <c r="D20" s="9" t="n">
        <v>78099</v>
      </c>
      <c r="E20" s="9" t="n">
        <v>97642</v>
      </c>
      <c r="F20" s="9" t="n">
        <v>73990</v>
      </c>
    </row>
    <row r="21">
      <c r="A21" s="8" t="inlineStr">
        <is>
          <t xml:space="preserve">    18. Excess or (deficit) for the year</t>
        </is>
      </c>
      <c r="B21" s="9" t="n">
        <v>-5644</v>
      </c>
      <c r="C21" s="9" t="n">
        <v>10036</v>
      </c>
      <c r="D21" s="9" t="n">
        <v>19543</v>
      </c>
      <c r="E21" s="9" t="n">
        <v>-23652</v>
      </c>
      <c r="F21" s="9" t="n">
        <v>8725</v>
      </c>
    </row>
    <row r="22">
      <c r="A22" s="10" t="inlineStr">
        <is>
          <t>21. Net assets or fund balances, end of year</t>
        </is>
      </c>
      <c r="B22" s="11">
        <f>SUM(B20,B21)</f>
        <v/>
      </c>
      <c r="C22" s="11">
        <f>SUM(C20,C21)</f>
        <v/>
      </c>
      <c r="D22" s="11">
        <f>SUM(D20,D21)</f>
        <v/>
      </c>
      <c r="E22" s="11">
        <f>SUM(E20,E21)</f>
        <v/>
      </c>
      <c r="F22" s="11">
        <f>SUM(F20,F21)</f>
        <v/>
      </c>
    </row>
    <row r="24">
      <c r="A24" s="6" t="inlineStr">
        <is>
          <t>Balance sheet (Part II, end of year - column B)</t>
        </is>
      </c>
      <c r="B24" s="7" t="n"/>
      <c r="C24" s="7" t="n"/>
      <c r="D24" s="7" t="n"/>
      <c r="E24" s="7" t="n"/>
      <c r="F24" s="7" t="n"/>
    </row>
    <row r="25">
      <c r="A25" s="8" t="inlineStr">
        <is>
          <t xml:space="preserve">    22. Cash, savings, and investments</t>
        </is>
      </c>
      <c r="B25" s="9" t="n">
        <v>68298</v>
      </c>
      <c r="C25" s="9" t="n">
        <v>70807</v>
      </c>
      <c r="D25" s="9" t="n">
        <v>69229</v>
      </c>
      <c r="E25" s="9" t="n">
        <v>48420</v>
      </c>
      <c r="F25" s="9" t="n">
        <v>59702</v>
      </c>
    </row>
    <row r="26">
      <c r="A26" s="8" t="inlineStr">
        <is>
          <t xml:space="preserve">    23. Land and buildings</t>
        </is>
      </c>
      <c r="B26" s="9" t="n">
        <v>5774</v>
      </c>
      <c r="C26" s="9" t="n">
        <v>7717</v>
      </c>
      <c r="D26" s="9" t="n">
        <v>28413</v>
      </c>
      <c r="E26" s="9" t="n">
        <v>25570</v>
      </c>
      <c r="F26" s="9" t="n">
        <v>23013</v>
      </c>
    </row>
    <row r="27">
      <c r="A27" s="10" t="inlineStr">
        <is>
          <t>25. Total assets</t>
        </is>
      </c>
      <c r="B27" s="11">
        <f>SUM(B25:B26)</f>
        <v/>
      </c>
      <c r="C27" s="11">
        <f>SUM(C25:C26)</f>
        <v/>
      </c>
      <c r="D27" s="11">
        <f>SUM(D25:D26)</f>
        <v/>
      </c>
      <c r="E27" s="11">
        <f>SUM(E25:E26)</f>
        <v/>
      </c>
      <c r="F27" s="11">
        <f>SUM(F25:F26)</f>
        <v/>
      </c>
    </row>
    <row r="28">
      <c r="A28" s="10" t="inlineStr">
        <is>
          <t>26. Total liabilities</t>
        </is>
      </c>
      <c r="B28" s="11" t="n">
        <v>236</v>
      </c>
      <c r="C28" s="11" t="n">
        <v>425</v>
      </c>
      <c r="D28" s="14" t="inlineStr">
        <is>
          <t>not reported</t>
        </is>
      </c>
      <c r="E28" s="14" t="inlineStr">
        <is>
          <t>not reported</t>
        </is>
      </c>
      <c r="F28" s="14" t="inlineStr">
        <is>
          <t>not reported</t>
        </is>
      </c>
    </row>
    <row r="29">
      <c r="A29" s="10" t="inlineStr">
        <is>
          <t>27. Net assets or fund balances</t>
        </is>
      </c>
      <c r="B29" s="11" t="n">
        <v>73836</v>
      </c>
      <c r="C29" s="11" t="n">
        <v>78099</v>
      </c>
      <c r="D29" s="11" t="n">
        <v>97642</v>
      </c>
      <c r="E29" s="11" t="n">
        <v>73990</v>
      </c>
      <c r="F29" s="11" t="n">
        <v>82715</v>
      </c>
    </row>
    <row r="31" ht="42" customHeight="1">
      <c r="A31" s="3" t="inlineStr">
        <is>
          <t>Form 990-EZ is the short form: revenue and expenses are on Part I and the balance sheet is the six-line Part II (no full-990 Parts VII-XI). Total expenses (line 17) and Total assets (line 25) are live SUMs of the lines above; Total revenue (line 9) is shown as filed because the EZ nets its lines 5-7 (sales of assets, gaming, inventory) into line 9 without itemizing them. Ending net assets (line 21) is recomputed live as beginning net assets (line 19) plus the excess or deficit (line 18); where the filer's own line 21 does not equal that sum, the variance is flagged red on the Sources &amp; audit tab and carried exactly as filed, not reconciled. Every figure's citation and confidence are on the Sources &amp; audit tab.</t>
        </is>
      </c>
    </row>
  </sheetData>
  <mergeCells count="4">
    <mergeCell ref="A3:F3"/>
    <mergeCell ref="A2:F2"/>
    <mergeCell ref="A31:F31"/>
    <mergeCell ref="A1:F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26"/>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 width="15" customWidth="1" min="5" max="5"/>
    <col width="15" customWidth="1" min="6" max="6"/>
  </cols>
  <sheetData>
    <row r="1">
      <c r="A1" s="1" t="inlineStr">
        <is>
          <t>Casitas Mutual Water Company</t>
        </is>
      </c>
    </row>
    <row r="2">
      <c r="A2" s="2" t="inlineStr">
        <is>
          <t>Cash Flow Proxies - derived (USD)</t>
        </is>
      </c>
    </row>
    <row r="3">
      <c r="A3" s="2" t="inlineStr">
        <is>
          <t>Entity ID: cawc_0018   |   Fiscal year ends December 31.</t>
        </is>
      </c>
    </row>
    <row r="5" ht="42" customHeight="1">
      <c r="A5" s="3" t="inlineStr">
        <is>
          <t>PROXY ONLY. The source filings contain no statement of cash flows. Lines below are derived from the reported income statement and year-over-year balance-sheet changes; treat as directional estimates, not GAAP cash flows. The earliest year has no prior period, so its delta cells are blank.</t>
        </is>
      </c>
    </row>
    <row r="7">
      <c r="A7" s="4" t="inlineStr">
        <is>
          <t>Proxy line (USD)</t>
        </is>
      </c>
      <c r="B7" s="5" t="inlineStr">
        <is>
          <t>FY2020</t>
        </is>
      </c>
      <c r="C7" s="5" t="inlineStr">
        <is>
          <t>FY2021</t>
        </is>
      </c>
      <c r="D7" s="5" t="inlineStr">
        <is>
          <t>FY2022</t>
        </is>
      </c>
      <c r="E7" s="5" t="inlineStr">
        <is>
          <t>FY2023</t>
        </is>
      </c>
      <c r="F7" s="5" t="inlineStr">
        <is>
          <t>FY2024</t>
        </is>
      </c>
    </row>
    <row r="8">
      <c r="A8" s="6" t="inlineStr">
        <is>
          <t>Operating</t>
        </is>
      </c>
      <c r="B8" s="7" t="n"/>
      <c r="C8" s="7" t="n"/>
      <c r="D8" s="7" t="n"/>
      <c r="E8" s="7" t="n"/>
      <c r="F8" s="7" t="n"/>
    </row>
    <row r="9">
      <c r="A9" s="8" t="inlineStr">
        <is>
          <t xml:space="preserve">    Net income</t>
        </is>
      </c>
      <c r="B9" s="9" t="n">
        <v>-5644</v>
      </c>
      <c r="C9" s="9" t="n">
        <v>10036</v>
      </c>
      <c r="D9" s="9" t="n">
        <v>19543</v>
      </c>
      <c r="E9" s="9" t="n">
        <v>-23652</v>
      </c>
      <c r="F9" s="9" t="n">
        <v>8725</v>
      </c>
    </row>
    <row r="10">
      <c r="A10" s="8" t="inlineStr">
        <is>
          <t xml:space="preserve">    + Depreciation (reported)</t>
        </is>
      </c>
      <c r="B10" s="9" t="n"/>
      <c r="C10" s="9" t="n"/>
      <c r="D10" s="9" t="n"/>
      <c r="E10" s="9" t="n"/>
      <c r="F10" s="9" t="n"/>
    </row>
    <row r="11">
      <c r="A11" s="8" t="inlineStr">
        <is>
          <t xml:space="preserve">    − Δ Accounts receivable</t>
        </is>
      </c>
      <c r="B11" s="9" t="n"/>
      <c r="C11" s="9" t="n"/>
      <c r="D11" s="9" t="n"/>
      <c r="E11" s="9" t="n"/>
      <c r="F11" s="9" t="n"/>
    </row>
    <row r="12">
      <c r="A12" s="8" t="inlineStr">
        <is>
          <t xml:space="preserve">    − Δ Inventories</t>
        </is>
      </c>
      <c r="B12" s="9" t="n"/>
      <c r="C12" s="9" t="n"/>
      <c r="D12" s="9" t="n"/>
      <c r="E12" s="9" t="n"/>
      <c r="F12" s="9" t="n"/>
    </row>
    <row r="13">
      <c r="A13" s="8" t="inlineStr">
        <is>
          <t xml:space="preserve">    − Δ Prepaid expenses</t>
        </is>
      </c>
      <c r="B13" s="9" t="n"/>
      <c r="C13" s="9" t="n"/>
      <c r="D13" s="9" t="n"/>
      <c r="E13" s="9" t="n"/>
      <c r="F13" s="9" t="n"/>
    </row>
    <row r="14">
      <c r="A14" s="8" t="inlineStr">
        <is>
          <t xml:space="preserve">    + Δ Accounts payable</t>
        </is>
      </c>
      <c r="B14" s="9" t="n"/>
      <c r="C14" s="9" t="n"/>
      <c r="D14" s="9" t="n"/>
      <c r="E14" s="9" t="n"/>
      <c r="F14" s="9" t="n"/>
    </row>
    <row r="15">
      <c r="A15" s="10" t="inlineStr">
        <is>
          <t xml:space="preserve">    Operating cash flow proxy</t>
        </is>
      </c>
      <c r="B15" s="11" t="n"/>
      <c r="C15" s="11" t="n">
        <v>10036</v>
      </c>
      <c r="D15" s="11" t="n">
        <v>19543</v>
      </c>
      <c r="E15" s="11" t="n">
        <v>-23652</v>
      </c>
      <c r="F15" s="11" t="n">
        <v>8725</v>
      </c>
    </row>
    <row r="17">
      <c r="A17" s="6" t="inlineStr">
        <is>
          <t>Investing</t>
        </is>
      </c>
      <c r="B17" s="7" t="n"/>
      <c r="C17" s="7" t="n"/>
      <c r="D17" s="7" t="n"/>
      <c r="E17" s="7" t="n"/>
      <c r="F17" s="7" t="n"/>
    </row>
    <row r="18">
      <c r="A18" s="8" t="inlineStr">
        <is>
          <t xml:space="preserve">    − Δ PP&amp;E gross (capex proxy)</t>
        </is>
      </c>
      <c r="B18" s="9" t="n"/>
      <c r="C18" s="9" t="n"/>
      <c r="D18" s="9" t="n"/>
      <c r="E18" s="9" t="n"/>
      <c r="F18" s="9" t="n"/>
    </row>
    <row r="20">
      <c r="A20" s="6" t="inlineStr">
        <is>
          <t>Financing</t>
        </is>
      </c>
      <c r="B20" s="7" t="n"/>
      <c r="C20" s="7" t="n"/>
      <c r="D20" s="7" t="n"/>
      <c r="E20" s="7" t="n"/>
      <c r="F20" s="7" t="n"/>
    </row>
    <row r="21">
      <c r="A21" s="8" t="inlineStr">
        <is>
          <t xml:space="preserve">    Δ Mortgages &amp; notes payable</t>
        </is>
      </c>
      <c r="B21" s="9" t="n"/>
      <c r="C21" s="9" t="n"/>
      <c r="D21" s="9" t="n"/>
      <c r="E21" s="9" t="n"/>
      <c r="F21" s="9" t="n"/>
    </row>
    <row r="23">
      <c r="A23" s="6" t="inlineStr">
        <is>
          <t>Reconciliation</t>
        </is>
      </c>
      <c r="B23" s="7" t="n"/>
      <c r="C23" s="7" t="n"/>
      <c r="D23" s="7" t="n"/>
      <c r="E23" s="7" t="n"/>
      <c r="F23" s="7" t="n"/>
    </row>
    <row r="24">
      <c r="A24" s="10" t="inlineStr">
        <is>
          <t xml:space="preserve">    Δ Cash + temp. investments (actual)</t>
        </is>
      </c>
      <c r="B24" s="11" t="n"/>
      <c r="C24" s="11" t="n">
        <v>2509</v>
      </c>
      <c r="D24" s="11" t="n">
        <v>-1578</v>
      </c>
      <c r="E24" s="11" t="n">
        <v>-20809</v>
      </c>
      <c r="F24" s="11" t="n">
        <v>11282</v>
      </c>
    </row>
    <row r="26" ht="42" customHeight="1">
      <c r="A26" s="3" t="inlineStr">
        <is>
          <t>The capex proxy assumes gross PP&amp;E rises only via capital spending (it ignores disposals). 'Δ Cash + temp. investments (actual)' is the real reported change in liquid funds and is the most reliable line here; the operating/investing/financing proxies will not perfectly reconcile to it.</t>
        </is>
      </c>
    </row>
  </sheetData>
  <mergeCells count="5">
    <mergeCell ref="A2:F2"/>
    <mergeCell ref="A1:F1"/>
    <mergeCell ref="A5:F5"/>
    <mergeCell ref="A26:F26"/>
    <mergeCell ref="A3:F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21"/>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2" customWidth="1" min="1" max="1"/>
    <col width="15" customWidth="1" min="2" max="2"/>
    <col width="15" customWidth="1" min="3" max="3"/>
    <col width="15" customWidth="1" min="4" max="4"/>
    <col width="15" customWidth="1" min="5" max="5"/>
    <col width="15" customWidth="1" min="6" max="6"/>
  </cols>
  <sheetData>
    <row r="1">
      <c r="A1" s="1" t="inlineStr">
        <is>
          <t>Casitas Mutual Water Company</t>
        </is>
      </c>
    </row>
    <row r="2">
      <c r="A2" s="2" t="inlineStr">
        <is>
          <t>Financial Ratios</t>
        </is>
      </c>
    </row>
    <row r="3">
      <c r="A3" s="2" t="inlineStr">
        <is>
          <t>Entity ID: cawc_0018   |   Fiscal year ends December 31.</t>
        </is>
      </c>
    </row>
    <row r="5">
      <c r="A5" s="4" t="inlineStr">
        <is>
          <t>Ratio</t>
        </is>
      </c>
      <c r="B5" s="5" t="inlineStr">
        <is>
          <t>FY2020</t>
        </is>
      </c>
      <c r="C5" s="5" t="inlineStr">
        <is>
          <t>FY2021</t>
        </is>
      </c>
      <c r="D5" s="5" t="inlineStr">
        <is>
          <t>FY2022</t>
        </is>
      </c>
      <c r="E5" s="5" t="inlineStr">
        <is>
          <t>FY2023</t>
        </is>
      </c>
      <c r="F5" s="5" t="inlineStr">
        <is>
          <t>FY2024</t>
        </is>
      </c>
    </row>
    <row r="6">
      <c r="A6" s="6" t="inlineStr">
        <is>
          <t>Profitability (computed upstream)</t>
        </is>
      </c>
      <c r="B6" s="7" t="n"/>
      <c r="C6" s="7" t="n"/>
      <c r="D6" s="7" t="n"/>
      <c r="E6" s="7" t="n"/>
      <c r="F6" s="7" t="n"/>
    </row>
    <row r="7">
      <c r="A7" s="8" t="inlineStr">
        <is>
          <t xml:space="preserve">    Operating margin (NI / revenue)</t>
        </is>
      </c>
      <c r="B7" s="12" t="n">
        <v>-0.1431107054110249</v>
      </c>
      <c r="C7" s="12" t="n">
        <v>0.1676270648561073</v>
      </c>
      <c r="D7" s="12" t="n">
        <v>0.238044775755804</v>
      </c>
      <c r="E7" s="12" t="n">
        <v>-0.1270547282923999</v>
      </c>
      <c r="F7" s="12" t="n">
        <v>0.07653777325520193</v>
      </c>
    </row>
    <row r="8">
      <c r="A8" s="8" t="inlineStr">
        <is>
          <t xml:space="preserve">    Expense ratio (expenses / revenue)</t>
        </is>
      </c>
      <c r="B8" s="12" t="n">
        <v>1.143110705411025</v>
      </c>
      <c r="C8" s="12" t="n">
        <v>0.8323729351438927</v>
      </c>
      <c r="D8" s="12" t="n">
        <v>0.7619552242441959</v>
      </c>
      <c r="E8" s="12" t="n">
        <v>1.1270547282924</v>
      </c>
      <c r="F8" s="12" t="n">
        <v>0.9234622267447981</v>
      </c>
    </row>
    <row r="9">
      <c r="A9" s="8" t="inlineStr">
        <is>
          <t xml:space="preserve">    Return on assets (NI / assets)</t>
        </is>
      </c>
      <c r="B9" s="12" t="n">
        <v>-0.07619613349173777</v>
      </c>
      <c r="C9" s="12" t="n">
        <v>0.1278080586826957</v>
      </c>
      <c r="D9" s="12" t="n">
        <v>0.2001495258188075</v>
      </c>
      <c r="E9" s="12" t="n">
        <v>-0.3196648195702122</v>
      </c>
      <c r="F9" s="12" t="n">
        <v>0.1054826814967056</v>
      </c>
    </row>
    <row r="10">
      <c r="A10" s="8" t="inlineStr">
        <is>
          <t xml:space="preserve">    Revenue growth (YoY)</t>
        </is>
      </c>
      <c r="B10" s="12" t="n"/>
      <c r="C10" s="12" t="n"/>
      <c r="D10" s="12" t="n"/>
      <c r="E10" s="12" t="n"/>
      <c r="F10" s="12" t="n"/>
    </row>
    <row r="12">
      <c r="A12" s="6" t="inlineStr">
        <is>
          <t>Leverage &amp; solvency</t>
        </is>
      </c>
      <c r="B12" s="7" t="n"/>
      <c r="C12" s="7" t="n"/>
      <c r="D12" s="7" t="n"/>
      <c r="E12" s="7" t="n"/>
      <c r="F12" s="7" t="n"/>
    </row>
    <row r="13">
      <c r="A13" s="8" t="inlineStr">
        <is>
          <t xml:space="preserve">    Debt-to-assets (liab. / assets)</t>
        </is>
      </c>
      <c r="B13" s="12" t="n">
        <v>0.003186089210497894</v>
      </c>
      <c r="C13" s="12" t="n">
        <v>0.005412358005195864</v>
      </c>
      <c r="D13" s="12" t="n"/>
      <c r="E13" s="12" t="n"/>
      <c r="F13" s="12" t="n"/>
    </row>
    <row r="14">
      <c r="A14" s="8" t="inlineStr">
        <is>
          <t xml:space="preserve">    Equity ratio (net assets / assets)</t>
        </is>
      </c>
      <c r="B14" s="12" t="n">
        <v>0.9968139107895021</v>
      </c>
      <c r="C14" s="12" t="n">
        <v>0.9945876419948041</v>
      </c>
      <c r="D14" s="12" t="n">
        <v>1</v>
      </c>
      <c r="E14" s="12" t="n">
        <v>1</v>
      </c>
      <c r="F14" s="12" t="n">
        <v>1</v>
      </c>
    </row>
    <row r="16">
      <c r="A16" s="6" t="inlineStr">
        <is>
          <t>Liquidity &amp; asset profile (derived here)</t>
        </is>
      </c>
      <c r="B16" s="7" t="n"/>
      <c r="C16" s="7" t="n"/>
      <c r="D16" s="7" t="n"/>
      <c r="E16" s="7" t="n"/>
      <c r="F16" s="7" t="n"/>
    </row>
    <row r="17">
      <c r="A17" s="8" t="inlineStr">
        <is>
          <t xml:space="preserve">    Current ratio (current assets / AP)</t>
        </is>
      </c>
      <c r="B17" s="15" t="n"/>
      <c r="C17" s="15" t="n"/>
      <c r="D17" s="15" t="n"/>
      <c r="E17" s="15" t="n"/>
      <c r="F17" s="15" t="n"/>
    </row>
    <row r="18">
      <c r="A18" s="8" t="inlineStr">
        <is>
          <t xml:space="preserve">    Cash ratio ((cash+temp inv.) / total liab.)</t>
        </is>
      </c>
      <c r="B18" s="15" t="n">
        <v>289.3983050847457</v>
      </c>
      <c r="C18" s="15" t="n">
        <v>166.6047058823529</v>
      </c>
      <c r="D18" s="15" t="n"/>
      <c r="E18" s="15" t="n"/>
      <c r="F18" s="15" t="n"/>
    </row>
    <row r="19">
      <c r="A19" s="8" t="inlineStr">
        <is>
          <t xml:space="preserve">    Asset age proxy (accum. deprec. / gross PP&amp;E)</t>
        </is>
      </c>
      <c r="B19" s="12" t="n"/>
      <c r="C19" s="12" t="n"/>
      <c r="D19" s="12" t="n"/>
      <c r="E19" s="12" t="n"/>
      <c r="F19" s="12" t="n"/>
    </row>
    <row r="21" ht="42" customHeight="1">
      <c r="A21" s="3" t="inlineStr">
        <is>
          <t>Upstream ratios are read from financials_annual; derived ratios are computed only where inputs are reported. Current ratio uses accounts payable as the current-liability proxy (the filings do not split current vs. long-term liabilities). Asset age proxy: a higher % implies older / more depreciated infrastructure.</t>
        </is>
      </c>
    </row>
  </sheetData>
  <mergeCells count="4">
    <mergeCell ref="A3:F3"/>
    <mergeCell ref="A2:F2"/>
    <mergeCell ref="A21:F21"/>
    <mergeCell ref="A1:F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44"/>
  <sheetViews>
    <sheetView workbookViewId="0">
      <pane ySplit="4" topLeftCell="A5" activePane="bottomLeft" state="frozen"/>
      <selection pane="bottomLeft" activeCell="A1" sqref="A1"/>
    </sheetView>
  </sheetViews>
  <sheetFormatPr baseColWidth="8" defaultRowHeight="15"/>
  <cols>
    <col width="42" customWidth="1" min="1" max="1"/>
    <col width="18" customWidth="1" min="2" max="2"/>
    <col width="20" customWidth="1" min="3" max="3"/>
    <col width="16" customWidth="1" min="4" max="4"/>
    <col width="60" customWidth="1" min="5" max="5"/>
  </cols>
  <sheetData>
    <row r="1">
      <c r="A1" s="1" t="inlineStr">
        <is>
          <t>Casitas Mutual Water Company</t>
        </is>
      </c>
    </row>
    <row r="2">
      <c r="A2" s="2" t="inlineStr">
        <is>
          <t>Unit economics - per-customer revenue by category (USD)</t>
        </is>
      </c>
    </row>
    <row r="3">
      <c r="A3" s="2" t="inlineStr">
        <is>
          <t>Entity ID: cawc_0018   |   Fiscal year ends December 31.</t>
        </is>
      </c>
    </row>
    <row r="5" ht="96" customHeight="1">
      <c r="A5" s="3" t="inlineStr">
        <is>
          <t>Every metric here is PER CUSTOMER (a metered service connection). It is not a per-member figure; the member (shareholder) count is a different denominator, shown in the denominator block. The visible cell shows the value and its classification; the numerator, denominator, formula, and rationale are in each metric's LOGIC popup.</t>
        </is>
      </c>
    </row>
    <row r="6">
      <c r="A6" s="16" t="inlineStr">
        <is>
          <t>Per-customer denominator (service connections)</t>
        </is>
      </c>
      <c r="B6" s="17" t="n">
        <v>83</v>
      </c>
      <c r="C6" s="18" t="inlineStr">
        <is>
          <t>State Water Board eAR Section 4 (CurTotalConnections), reporting year 2023</t>
        </is>
      </c>
    </row>
    <row r="7">
      <c r="A7" s="16" t="inlineStr">
        <is>
          <t>Total annual revenue (eAR Section 8b B1.8)</t>
        </is>
      </c>
      <c r="B7" s="9" t="n">
        <v>43308</v>
      </c>
      <c r="C7" s="18" t="inlineStr">
        <is>
          <t>State Water Board eAR Section 8b, question B1.8 (total annual revenue), reporting year 2023</t>
        </is>
      </c>
    </row>
    <row r="8">
      <c r="A8" s="16" t="inlineStr">
        <is>
          <t>Primary source</t>
        </is>
      </c>
      <c r="B8" s="19" t="inlineStr"/>
      <c r="C8" s="18" t="inlineStr">
        <is>
          <t>State Water Board eAR Section 8b (revenue by rate/fee), reporting year 2023</t>
        </is>
      </c>
    </row>
    <row r="10">
      <c r="A10" s="6" t="inlineStr">
        <is>
          <t>Revenue categories (value, classification, per customer, share)</t>
        </is>
      </c>
      <c r="B10" s="7" t="n"/>
      <c r="C10" s="7" t="n"/>
      <c r="D10" s="7" t="n"/>
      <c r="E10" s="7" t="n"/>
    </row>
    <row r="11">
      <c r="A11" s="5" t="inlineStr">
        <is>
          <t>Revenue category</t>
        </is>
      </c>
      <c r="B11" s="5" t="inlineStr">
        <is>
          <t>Classification</t>
        </is>
      </c>
      <c r="C11" s="5" t="inlineStr">
        <is>
          <t>Value (USD)</t>
        </is>
      </c>
      <c r="D11" s="5" t="inlineStr">
        <is>
          <t>Per customer</t>
        </is>
      </c>
      <c r="E11" s="5" t="inlineStr">
        <is>
          <t>Share of revenue</t>
        </is>
      </c>
    </row>
    <row r="12">
      <c r="A12" s="8" t="inlineStr">
        <is>
          <t>Water sales revenue</t>
        </is>
      </c>
      <c r="B12" s="20" t="inlineStr">
        <is>
          <t>DIRECT</t>
        </is>
      </c>
      <c r="C12" s="9" t="n">
        <v>43307</v>
      </c>
      <c r="D12" s="21" t="n">
        <v>521.77</v>
      </c>
      <c r="E12" s="22" t="n">
        <v>1</v>
      </c>
    </row>
    <row r="13">
      <c r="A13" s="8" t="inlineStr">
        <is>
          <t>Assessment revenue (990 program-service revenue not matched to eAR water-rate revenue)</t>
        </is>
      </c>
      <c r="B13" s="20" t="inlineStr">
        <is>
          <t>DERIVED</t>
        </is>
      </c>
      <c r="C13" s="9" t="n">
        <v>0</v>
      </c>
      <c r="D13" s="21" t="n">
        <v>0</v>
      </c>
      <c r="E13" s="22" t="n">
        <v>0</v>
      </c>
    </row>
    <row r="14">
      <c r="A14" s="8" t="inlineStr">
        <is>
          <t>Meter revenue</t>
        </is>
      </c>
      <c r="B14" s="20" t="inlineStr">
        <is>
          <t>not reported</t>
        </is>
      </c>
      <c r="C14" s="23" t="inlineStr">
        <is>
          <t>not reported</t>
        </is>
      </c>
      <c r="D14" s="23" t="inlineStr">
        <is>
          <t>not reported</t>
        </is>
      </c>
      <c r="E14" s="23" t="inlineStr">
        <is>
          <t>not reported</t>
        </is>
      </c>
    </row>
    <row r="15">
      <c r="A15" s="8" t="inlineStr">
        <is>
          <t>Overage or tiered penalty revenue</t>
        </is>
      </c>
      <c r="B15" s="20" t="inlineStr">
        <is>
          <t>not reported</t>
        </is>
      </c>
      <c r="C15" s="23" t="inlineStr">
        <is>
          <t>not reported</t>
        </is>
      </c>
      <c r="D15" s="23" t="inlineStr">
        <is>
          <t>not reported</t>
        </is>
      </c>
      <c r="E15" s="23" t="inlineStr">
        <is>
          <t>not reported</t>
        </is>
      </c>
    </row>
    <row r="17">
      <c r="A17" s="6" t="inlineStr">
        <is>
          <t>Water sales revenue - DIRECT</t>
        </is>
      </c>
      <c r="B17" s="7" t="n"/>
      <c r="C17" s="7" t="n"/>
      <c r="D17" s="7" t="n"/>
      <c r="E17" s="7" t="n"/>
    </row>
    <row r="18" ht="51" customHeight="1">
      <c r="A18" s="3" t="inlineStr">
        <is>
          <t>Revenue customers paid for water service, read straight off the filed eAR Section 8b water-rate line. A DIRECT filed figure, not computed by us.</t>
        </is>
      </c>
    </row>
    <row r="19">
      <c r="A19" s="16" t="inlineStr">
        <is>
          <t>Numerator: Water rate revenue</t>
        </is>
      </c>
      <c r="B19" s="9" t="n">
        <v>43307</v>
      </c>
      <c r="C19" s="18" t="inlineStr">
        <is>
          <t>eAR Section 8b field B1.1 (residential water rates) only (this filer reported no non-residential water-rate revenue). State Water Board eAR Section 8b, question B1.1 + B1.2 (revenue from water rates), reporting year 2023</t>
        </is>
      </c>
    </row>
    <row r="20">
      <c r="A20" s="16" t="inlineStr">
        <is>
          <t>Denominator: Total service connections</t>
        </is>
      </c>
      <c r="B20" s="17" t="n">
        <v>83</v>
      </c>
      <c r="C20" s="18" t="inlineStr">
        <is>
          <t>eAR Section 4 CurTotalConnections, reporting year 2023. State Water Board eAR Section 4 (CurTotalConnections), reporting year 2023</t>
        </is>
      </c>
    </row>
    <row r="21" ht="36" customHeight="1">
      <c r="A21" s="3" t="inlineStr">
        <is>
          <t>Per customer: water rate revenue $43,307 / 83 connections = $521.77 per connection</t>
        </is>
      </c>
    </row>
    <row r="22" ht="36" customHeight="1">
      <c r="A22" s="3" t="inlineStr">
        <is>
          <t>Share of revenue: water rate revenue $43,307 / total annual revenue (eAR Section 8b B1.8) $43,308 = 100.00%</t>
        </is>
      </c>
    </row>
    <row r="23" ht="66" customHeight="1">
      <c r="A23" s="3" t="inlineStr">
        <is>
          <t>Period treatment: Numerator (eAR Section 8b, the calendar year 2023) and denominator (eAR Section 4 connections reported in the same eAR filing) are both the eAR reporting year 2023, so the two sides are bound to the same reporting year.</t>
        </is>
      </c>
    </row>
    <row r="24" ht="66" customHeight="1">
      <c r="A24" s="3" t="inlineStr">
        <is>
          <t>Rationale: Dividing water-rate revenue by the number of metered service connections gives the average revenue per customer; dividing by total annual revenue shows how much of the system's income comes from water rates.</t>
        </is>
      </c>
    </row>
    <row r="26">
      <c r="A26" s="6" t="inlineStr">
        <is>
          <t>Assessment revenue (990 program-service revenue not matched to eAR water-rate revenue) - DERIVED</t>
        </is>
      </c>
      <c r="B26" s="7" t="n"/>
      <c r="C26" s="7" t="n"/>
      <c r="D26" s="7" t="n"/>
      <c r="E26" s="7" t="n"/>
    </row>
    <row r="27" ht="66" customHeight="1">
      <c r="A27" s="3" t="inlineStr">
        <is>
          <t>A DERIVED residual (medium confidence): the part of the Form 990 program-service revenue that is not matched by the eAR water-rate revenue for the same period. Computed by us, not a filed line.</t>
        </is>
      </c>
    </row>
    <row r="28">
      <c r="A28" s="16" t="inlineStr">
        <is>
          <t>Input A: Form 990 program-service revenue</t>
        </is>
      </c>
      <c r="B28" s="9" t="n">
        <v>43307</v>
      </c>
      <c r="C28" s="18" t="inlineStr">
        <is>
          <t>Form 990 Part VIII line 2 (total program-service revenue), fiscal year 2023 ending December 31, 2023</t>
        </is>
      </c>
    </row>
    <row r="29">
      <c r="A29" s="16" t="inlineStr">
        <is>
          <t>Input B: eAR water-rate revenue</t>
        </is>
      </c>
      <c r="B29" s="9" t="n">
        <v>43307</v>
      </c>
      <c r="C29" s="18" t="inlineStr">
        <is>
          <t>State Water Board eAR Section 8b, question B1.1 + B1.2 (revenue from water rates), reporting year 2023</t>
        </is>
      </c>
    </row>
    <row r="30">
      <c r="A30" s="24" t="inlineStr">
        <is>
          <t>Residual (A minus B) = assessment revenue</t>
        </is>
      </c>
      <c r="B30" s="25">
        <f>B28-B29</f>
        <v/>
      </c>
      <c r="C30" s="18" t="inlineStr">
        <is>
          <t>$43,307 (990 program-service revenue) minus $43,307 (eAR water-rate revenue) = $0</t>
        </is>
      </c>
    </row>
    <row r="31" ht="66" customHeight="1">
      <c r="A31" s="3" t="inlineStr">
        <is>
          <t>Period alignment: Both inputs cover the same period: the eAR Section 8b is the calendar year 2023 and the Form 990 fiscal year 2023 ends December 31, 2023, so the residual is period-aligned.</t>
        </is>
      </c>
    </row>
    <row r="32" ht="51" customHeight="1">
      <c r="A32" s="3" t="inlineStr">
        <is>
          <t>What it IS: revenue the system booked as program service on its 990 that is not accounted for by the eAR water-rate line, plausibly member assessments and other service revenue.</t>
        </is>
      </c>
    </row>
    <row r="33" ht="51" customHeight="1">
      <c r="A33" s="3" t="inlineStr">
        <is>
          <t>This residual is a difference between two sources for the same period; it is not a separately filed assessment line and may include other unmatched revenue.</t>
        </is>
      </c>
    </row>
    <row r="34">
      <c r="A34" s="16" t="inlineStr">
        <is>
          <t>Denominator: Total service connections</t>
        </is>
      </c>
      <c r="B34" s="17" t="n">
        <v>83</v>
      </c>
      <c r="C34" s="18" t="inlineStr">
        <is>
          <t>eAR Section 4 CurTotalConnections, reporting year 2023. State Water Board eAR Section 4 (CurTotalConnections), reporting year 2023</t>
        </is>
      </c>
    </row>
    <row r="35" ht="36" customHeight="1">
      <c r="A35" s="3" t="inlineStr">
        <is>
          <t>Per customer: residual $0 / 83 connections = $0.00 per connection</t>
        </is>
      </c>
    </row>
    <row r="36" ht="36" customHeight="1">
      <c r="A36" s="3" t="inlineStr">
        <is>
          <t>Share of revenue: residual $0 / 990 program-service revenue $43,307 = 0.00%</t>
        </is>
      </c>
    </row>
    <row r="38">
      <c r="A38" s="6" t="inlineStr">
        <is>
          <t>Meter revenue - not reported</t>
        </is>
      </c>
      <c r="B38" s="7" t="n"/>
      <c r="C38" s="7" t="n"/>
      <c r="D38" s="7" t="n"/>
      <c r="E38" s="7" t="n"/>
    </row>
    <row r="39" ht="36" customHeight="1">
      <c r="A39" s="3" t="inlineStr">
        <is>
          <t>Not reported. This category is not built because doing so would double-count.</t>
        </is>
      </c>
    </row>
    <row r="40" ht="81" customHeight="1">
      <c r="A40" s="3" t="inlineStr">
        <is>
          <t>Reason: The eAR Section 8a reports a base/meter rate PRICE, but the filing carries no meter revenue line and no tier volume, and the base charge is already inside the water-sales revenue (eAR Section 8b water rates). Building a separate meter figure would double-count. Not backed into from a total.</t>
        </is>
      </c>
    </row>
    <row r="42">
      <c r="A42" s="6" t="inlineStr">
        <is>
          <t>Overage or tiered penalty revenue - not reported</t>
        </is>
      </c>
      <c r="B42" s="7" t="n"/>
      <c r="C42" s="7" t="n"/>
      <c r="D42" s="7" t="n"/>
      <c r="E42" s="7" t="n"/>
    </row>
    <row r="43" ht="36" customHeight="1">
      <c r="A43" s="3" t="inlineStr">
        <is>
          <t>Not reported. This category is not built because doing so would double-count.</t>
        </is>
      </c>
    </row>
    <row r="44" ht="81" customHeight="1">
      <c r="A44" s="3" t="inlineStr">
        <is>
          <t>Reason: The eAR Section 8a reports tiered/overage rate PRICES, but the filing carries no overage revenue and no tier consumption volume, and any overage billed is already inside the water-sales revenue. Building it would double-count. Not backed into from a total.</t>
        </is>
      </c>
    </row>
  </sheetData>
  <mergeCells count="19">
    <mergeCell ref="A39:E39"/>
    <mergeCell ref="A24:E24"/>
    <mergeCell ref="A1:E1"/>
    <mergeCell ref="A36:E36"/>
    <mergeCell ref="A18:E18"/>
    <mergeCell ref="A27:E27"/>
    <mergeCell ref="A3:E3"/>
    <mergeCell ref="A21:E21"/>
    <mergeCell ref="A2:E2"/>
    <mergeCell ref="A33:E33"/>
    <mergeCell ref="A5:E5"/>
    <mergeCell ref="A23:E23"/>
    <mergeCell ref="A32:E32"/>
    <mergeCell ref="A22:E22"/>
    <mergeCell ref="A35:E35"/>
    <mergeCell ref="A43:E43"/>
    <mergeCell ref="A31:E31"/>
    <mergeCell ref="A44:E44"/>
    <mergeCell ref="A40:E40"/>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38"/>
  <sheetViews>
    <sheetView workbookViewId="0">
      <pane ySplit="4" topLeftCell="A5" activePane="bottomLeft" state="frozen"/>
      <selection pane="bottomLeft" activeCell="A1" sqref="A1"/>
    </sheetView>
  </sheetViews>
  <sheetFormatPr baseColWidth="8" defaultRowHeight="15"/>
  <cols>
    <col width="46" customWidth="1" min="1" max="1"/>
    <col width="16" customWidth="1" min="2" max="2"/>
    <col width="16" customWidth="1" min="3" max="3"/>
    <col width="16" customWidth="1" min="4" max="4"/>
  </cols>
  <sheetData>
    <row r="1">
      <c r="A1" s="1" t="inlineStr">
        <is>
          <t>Casitas Mutual Water Company</t>
        </is>
      </c>
    </row>
    <row r="2">
      <c r="A2" s="2" t="inlineStr">
        <is>
          <t>Rate structure and representative bill - eAR Section 8a (RY2024)</t>
        </is>
      </c>
    </row>
    <row r="3">
      <c r="A3" s="2" t="inlineStr">
        <is>
          <t>Entity ID: cawc_0018   |   Fiscal year ends December 31.</t>
        </is>
      </c>
    </row>
    <row r="5" ht="81" customHeight="1">
      <c r="A5" s="26" t="inlineStr">
        <is>
          <t>This block is a rate-schedule illustration at defined usage levels. It is NOT billed revenue and not a claim about any real customer's usage. The revenue side of unit economics is the separate Unit Economics block.</t>
        </is>
      </c>
    </row>
    <row r="6" ht="51" customHeight="1">
      <c r="A6" s="27" t="inlineStr">
        <is>
          <t>Structure: Uniform: fixed base plus a single volumetric rate, billed bimonthly, priced per Gallons.</t>
        </is>
      </c>
    </row>
    <row r="7" ht="216" customHeight="1">
      <c r="A7" s="3" t="inlineStr">
        <is>
          <t>Defined single-family usage levels, identical for every company so the bill is comparable: Low = 5 HCF/month (~125 gallons/day); Median = 10 HCF/month (~249 gallons/day); High = 25 HCF/month (~623 gallons/day). 1 HCF = 748 gallons, and 1 thousand gallons = 1,000 gallons. The usage is converted into the company's own filed unit before the filed tiers are applied, and the bill is stated as a monthly equivalent: a bimonthly structure is computed at twice the monthly usage and divided by two, and any other billing period the same way with its factor stated. These are an illustration, not a measured usage for any real customer.</t>
        </is>
      </c>
    </row>
    <row r="9">
      <c r="A9" s="6" t="inlineStr">
        <is>
          <t>Defined usage levels (EDITABLE - change a yellow cell to move the bill)</t>
        </is>
      </c>
      <c r="B9" s="7" t="n"/>
      <c r="C9" s="7" t="n"/>
      <c r="D9" s="7" t="n"/>
    </row>
    <row r="10">
      <c r="A10" s="28" t="inlineStr"/>
      <c r="B10" s="5" t="inlineStr">
        <is>
          <t>Low</t>
        </is>
      </c>
      <c r="C10" s="5" t="inlineStr">
        <is>
          <t>Median</t>
        </is>
      </c>
      <c r="D10" s="5" t="inlineStr">
        <is>
          <t>High</t>
        </is>
      </c>
    </row>
    <row r="11">
      <c r="A11" s="8" t="inlineStr">
        <is>
          <t>Defined usage level (HCF per month)</t>
        </is>
      </c>
      <c r="B11" s="29" t="n">
        <v>5</v>
      </c>
      <c r="C11" s="29" t="n">
        <v>10</v>
      </c>
      <c r="D11" s="29" t="n">
        <v>25</v>
      </c>
    </row>
    <row r="12">
      <c r="A12" s="8" t="inlineStr">
        <is>
          <t>Conversion: one HCF is this many Gallons</t>
        </is>
      </c>
      <c r="B12" s="30" t="n">
        <v>748</v>
      </c>
      <c r="C12" s="13" t="inlineStr">
        <is>
          <t>1 HCF = 748 gallons</t>
        </is>
      </c>
    </row>
    <row r="13">
      <c r="A13" s="8" t="inlineStr">
        <is>
          <t>Monthly usage (Gallons)</t>
        </is>
      </c>
      <c r="B13" s="29">
        <f>B11*$B$12</f>
        <v/>
      </c>
      <c r="C13" s="29">
        <f>C11*$B$12</f>
        <v/>
      </c>
      <c r="D13" s="29">
        <f>D11*$B$12</f>
        <v/>
      </c>
    </row>
    <row r="14">
      <c r="A14" s="8" t="inlineStr">
        <is>
          <t>Months per bill (from filed billing frequency)</t>
        </is>
      </c>
      <c r="B14" s="31" t="n">
        <v>2</v>
      </c>
      <c r="C14" s="13" t="inlineStr">
        <is>
          <t>bimonthly biller</t>
        </is>
      </c>
    </row>
    <row r="16">
      <c r="A16" s="6" t="inlineStr">
        <is>
          <t>Filed rate table - single-family residential (as filed, eAR Section 8a)</t>
        </is>
      </c>
      <c r="B16" s="7" t="n"/>
      <c r="C16" s="7" t="n"/>
      <c r="D16" s="7" t="n"/>
    </row>
    <row r="17">
      <c r="A17" s="8" t="inlineStr">
        <is>
          <t>Base / fixed charge per bimonthly bill ($)</t>
        </is>
      </c>
      <c r="B17" s="21" t="n">
        <v>80</v>
      </c>
    </row>
    <row r="18">
      <c r="A18" s="4" t="inlineStr">
        <is>
          <t>Tier</t>
        </is>
      </c>
      <c r="B18" s="4" t="inlineStr">
        <is>
          <t>Range (Gallons)</t>
        </is>
      </c>
      <c r="C18" s="32" t="inlineStr">
        <is>
          <t>Price ($/Gallons)</t>
        </is>
      </c>
      <c r="D18" s="32" t="inlineStr">
        <is>
          <t>Upper limit (Gallons)</t>
        </is>
      </c>
    </row>
    <row r="19">
      <c r="A19" s="8" t="inlineStr">
        <is>
          <t>Tier 1</t>
        </is>
      </c>
      <c r="B19" s="8" t="inlineStr">
        <is>
          <t>all usage (Gallons)</t>
        </is>
      </c>
      <c r="C19" s="33" t="n">
        <v>0.00208</v>
      </c>
      <c r="D19" s="34" t="inlineStr">
        <is>
          <t>no limit</t>
        </is>
      </c>
    </row>
    <row r="21">
      <c r="A21" s="6" t="inlineStr">
        <is>
          <t>Representative monthly bill - LIVE (edit a yellow usage cell to recompute)</t>
        </is>
      </c>
      <c r="B21" s="7" t="n"/>
      <c r="C21" s="7" t="n"/>
      <c r="D21" s="7" t="n"/>
    </row>
    <row r="22">
      <c r="A22" s="28" t="inlineStr"/>
      <c r="B22" s="5" t="inlineStr">
        <is>
          <t>Low</t>
        </is>
      </c>
      <c r="C22" s="5" t="inlineStr">
        <is>
          <t>Median</t>
        </is>
      </c>
      <c r="D22" s="5" t="inlineStr">
        <is>
          <t>High</t>
        </is>
      </c>
    </row>
    <row r="23">
      <c r="A23" s="8" t="inlineStr">
        <is>
          <t>Usage per bill (Gallons)</t>
        </is>
      </c>
      <c r="B23" s="35">
        <f>B13*$B$14</f>
        <v/>
      </c>
      <c r="C23" s="35">
        <f>C13*$B$14</f>
        <v/>
      </c>
      <c r="D23" s="35">
        <f>D13*$B$14</f>
        <v/>
      </c>
    </row>
    <row r="24">
      <c r="A24" s="8" t="inlineStr">
        <is>
          <t xml:space="preserve">    Tier 1 charge per bill ($)</t>
        </is>
      </c>
      <c r="B24" s="36">
        <f>$C$19*MAX(0,B23-0)</f>
        <v/>
      </c>
      <c r="C24" s="36">
        <f>$C$19*MAX(0,C23-0)</f>
        <v/>
      </c>
      <c r="D24" s="36">
        <f>$C$19*MAX(0,D23-0)</f>
        <v/>
      </c>
    </row>
    <row r="25">
      <c r="A25" s="8" t="inlineStr">
        <is>
          <t>Volumetric charge per bill ($)</t>
        </is>
      </c>
      <c r="B25" s="36">
        <f>SUM(B24)</f>
        <v/>
      </c>
      <c r="C25" s="36">
        <f>SUM(C24)</f>
        <v/>
      </c>
      <c r="D25" s="36">
        <f>SUM(D24)</f>
        <v/>
      </c>
    </row>
    <row r="26">
      <c r="A26" s="8" t="inlineStr">
        <is>
          <t>Base charge per bill ($)</t>
        </is>
      </c>
      <c r="B26" s="36">
        <f>$B$17</f>
        <v/>
      </c>
      <c r="C26" s="36">
        <f>$B$17</f>
        <v/>
      </c>
      <c r="D26" s="36">
        <f>$B$17</f>
        <v/>
      </c>
    </row>
    <row r="27">
      <c r="A27" s="8" t="inlineStr">
        <is>
          <t>Total per bill ($)</t>
        </is>
      </c>
      <c r="B27" s="36">
        <f>B26+B25</f>
        <v/>
      </c>
      <c r="C27" s="36">
        <f>C26+C25</f>
        <v/>
      </c>
      <c r="D27" s="36">
        <f>D26+D25</f>
        <v/>
      </c>
    </row>
    <row r="28">
      <c r="A28" s="10" t="inlineStr">
        <is>
          <t>Total per MONTH ($)</t>
        </is>
      </c>
      <c r="B28" s="37">
        <f>B27/$B$14</f>
        <v/>
      </c>
      <c r="C28" s="37">
        <f>C27/$B$14</f>
        <v/>
      </c>
      <c r="D28" s="37">
        <f>D27/$B$14</f>
        <v/>
      </c>
    </row>
    <row r="29">
      <c r="A29" s="8" t="inlineStr">
        <is>
          <t xml:space="preserve">    Fixed per month ($)</t>
        </is>
      </c>
      <c r="B29" s="36">
        <f>$B$17/$B$14</f>
        <v/>
      </c>
      <c r="C29" s="36">
        <f>$B$17/$B$14</f>
        <v/>
      </c>
      <c r="D29" s="36">
        <f>$B$17/$B$14</f>
        <v/>
      </c>
    </row>
    <row r="30">
      <c r="A30" s="8" t="inlineStr">
        <is>
          <t xml:space="preserve">    Volumetric per month ($)</t>
        </is>
      </c>
      <c r="B30" s="36">
        <f>B25/$B$14</f>
        <v/>
      </c>
      <c r="C30" s="36">
        <f>C25/$B$14</f>
        <v/>
      </c>
      <c r="D30" s="36">
        <f>D25/$B$14</f>
        <v/>
      </c>
    </row>
    <row r="31">
      <c r="A31" s="8" t="inlineStr">
        <is>
          <t>Effective price ($/HCF)</t>
        </is>
      </c>
      <c r="B31" s="36">
        <f>IF(B11=0,"",B28/B11)</f>
        <v/>
      </c>
      <c r="C31" s="36">
        <f>IF(C11=0,"",C28/C11)</f>
        <v/>
      </c>
      <c r="D31" s="36">
        <f>IF(D11=0,"",D28/D11)</f>
        <v/>
      </c>
    </row>
    <row r="33">
      <c r="A33" s="6" t="inlineStr">
        <is>
          <t>Rate-structure comparison metrics</t>
        </is>
      </c>
      <c r="B33" s="7" t="n"/>
      <c r="C33" s="7" t="n"/>
      <c r="D33" s="7" t="n"/>
    </row>
    <row r="34">
      <c r="A34" s="8" t="inlineStr">
        <is>
          <t>Fixed share of the bill at median usage</t>
        </is>
      </c>
      <c r="B34" s="38">
        <f>C29/C28</f>
        <v/>
      </c>
      <c r="C34" s="13" t="inlineStr">
        <is>
          <t>fixed / total at 10 HCF/month</t>
        </is>
      </c>
    </row>
    <row r="35">
      <c r="A35" s="8" t="inlineStr">
        <is>
          <t>Tier price ratio (highest to lowest positive tier)</t>
        </is>
      </c>
      <c r="B35" s="39">
        <f>$C$19/$C$19</f>
        <v/>
      </c>
      <c r="C35" s="13" t="inlineStr">
        <is>
          <t>uniform structure: a single volumetric rate, so the ratio is 1.00 (flat).</t>
        </is>
      </c>
    </row>
    <row r="36">
      <c r="A36" s="8" t="inlineStr">
        <is>
          <t>Rate structure (as filed)</t>
        </is>
      </c>
      <c r="B36" s="40" t="inlineStr">
        <is>
          <t>uniform (Uniform Usage)</t>
        </is>
      </c>
    </row>
    <row r="38" ht="66" customHeight="1">
      <c r="A38" s="3" t="inlineStr">
        <is>
          <t>State Water Board eAR Section 8a (Customer Charges), single- and multi-family residential charges grid, reporting year 2024. Rate structure only; no revenue.</t>
        </is>
      </c>
    </row>
  </sheetData>
  <mergeCells count="7">
    <mergeCell ref="A1:D1"/>
    <mergeCell ref="A5:D5"/>
    <mergeCell ref="A6:D6"/>
    <mergeCell ref="A3:D3"/>
    <mergeCell ref="A38:D38"/>
    <mergeCell ref="A7:D7"/>
    <mergeCell ref="A2:D2"/>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30"/>
  <sheetViews>
    <sheetView workbookViewId="0">
      <pane ySplit="4" topLeftCell="A5" activePane="bottomLeft" state="frozen"/>
      <selection pane="bottomLeft" activeCell="A1" sqref="A1"/>
    </sheetView>
  </sheetViews>
  <sheetFormatPr baseColWidth="8" defaultRowHeight="15"/>
  <cols>
    <col width="44" customWidth="1" min="1" max="1"/>
    <col width="20" customWidth="1" min="2" max="2"/>
    <col width="20" customWidth="1" min="3" max="3"/>
  </cols>
  <sheetData>
    <row r="1">
      <c r="A1" s="1" t="inlineStr">
        <is>
          <t>Casitas Mutual Water Company</t>
        </is>
      </c>
    </row>
    <row r="2">
      <c r="A2" s="2" t="inlineStr">
        <is>
          <t>eAR annual revenue and expenses - State Water Board eAR Section 8b (USD)</t>
        </is>
      </c>
    </row>
    <row r="3">
      <c r="A3" s="2" t="inlineStr">
        <is>
          <t>Entity ID: cawc_0018   |   Fiscal year ends December 31.</t>
        </is>
      </c>
    </row>
    <row r="5" ht="141" customHeight="1">
      <c r="A5" s="3" t="inlineStr">
        <is>
          <t>The water system's own annual figures from the public eAR Section 8b, on the calendar year 2023 the filer self-reported (B0.1/B0.2). Shown beside the period-aligned Form 990 with the variance flagged: a different source (a State Water Board self-report vs an IRS filing). Preserved as filed, never reconciled.</t>
        </is>
      </c>
    </row>
    <row r="6">
      <c r="A6" s="16" t="inlineStr">
        <is>
          <t>Reporting period basis (self-reported)</t>
        </is>
      </c>
      <c r="B6" s="19" t="inlineStr">
        <is>
          <t>calendar year 2023</t>
        </is>
      </c>
      <c r="C6" s="18" t="inlineStr">
        <is>
          <t>eAR Section 8b B0.1 (WRFinancialReportingPeriod)</t>
        </is>
      </c>
    </row>
    <row r="8">
      <c r="A8" s="6" t="inlineStr">
        <is>
          <t>Revenue (eAR Section 8b, questions B1.x)</t>
        </is>
      </c>
      <c r="B8" s="7" t="n"/>
      <c r="C8" s="7" t="n"/>
    </row>
    <row r="9">
      <c r="A9" s="5" t="inlineStr">
        <is>
          <t>Line</t>
        </is>
      </c>
      <c r="B9" s="5" t="inlineStr">
        <is>
          <t>Amount (USD)</t>
        </is>
      </c>
      <c r="C9" s="5" t="inlineStr">
        <is>
          <t>Citation</t>
        </is>
      </c>
    </row>
    <row r="10">
      <c r="A10" s="16" t="inlineStr">
        <is>
          <t>Water rate revenue</t>
        </is>
      </c>
      <c r="B10" s="9" t="n">
        <v>43307</v>
      </c>
      <c r="C10" s="18" t="inlineStr">
        <is>
          <t>State Water Board eAR Section 8b, question B1.1 + B1.2 (revenue from water rates), reporting year 2023</t>
        </is>
      </c>
    </row>
    <row r="11">
      <c r="A11" s="16" t="inlineStr">
        <is>
          <t>Other fees and charges</t>
        </is>
      </c>
      <c r="B11" s="9" t="n">
        <v>1</v>
      </c>
      <c r="C11" s="18" t="inlineStr">
        <is>
          <t>State Water Board eAR Section 8b, question B1.3 + B1.4 (revenue from other fees), reporting year 2023</t>
        </is>
      </c>
    </row>
    <row r="12">
      <c r="A12" s="16" t="inlineStr">
        <is>
          <t>Non-customer revenue</t>
        </is>
      </c>
      <c r="B12" s="9" t="n">
        <v>0</v>
      </c>
      <c r="C12" s="18" t="inlineStr">
        <is>
          <t>State Water Board eAR Section 8b, question B1.7 (grants, interest, and other non-customer), reporting year 2023</t>
        </is>
      </c>
    </row>
    <row r="13">
      <c r="A13" s="16" t="inlineStr">
        <is>
          <t>Total annual revenue</t>
        </is>
      </c>
      <c r="B13" s="41" t="n">
        <v>43308</v>
      </c>
      <c r="C13" s="18" t="inlineStr">
        <is>
          <t>State Water Board eAR Section 8b, question B1.8 (total annual revenue for the reporting year), reporting year 2023</t>
        </is>
      </c>
    </row>
    <row r="15">
      <c r="A15" s="6" t="inlineStr">
        <is>
          <t>Expenses (eAR Section 8b, questions B2.x)</t>
        </is>
      </c>
      <c r="B15" s="7" t="n"/>
      <c r="C15" s="7" t="n"/>
    </row>
    <row r="16">
      <c r="A16" s="5" t="inlineStr">
        <is>
          <t>Line</t>
        </is>
      </c>
      <c r="B16" s="5" t="inlineStr">
        <is>
          <t>Amount (USD)</t>
        </is>
      </c>
      <c r="C16" s="5" t="inlineStr">
        <is>
          <t>Citation</t>
        </is>
      </c>
    </row>
    <row r="17">
      <c r="A17" s="16" t="inlineStr">
        <is>
          <t>Operations and maintenance</t>
        </is>
      </c>
      <c r="B17" s="9" t="n">
        <v>63967</v>
      </c>
      <c r="C17" s="18" t="inlineStr">
        <is>
          <t>State Water Board eAR Section 8b, question B2.1 (annual O and M expense), reporting year 2023</t>
        </is>
      </c>
    </row>
    <row r="18">
      <c r="A18" s="16" t="inlineStr">
        <is>
          <t>Capital</t>
        </is>
      </c>
      <c r="B18" s="9" t="n">
        <v>0</v>
      </c>
      <c r="C18" s="18" t="inlineStr">
        <is>
          <t>State Water Board eAR Section 8b, question B2.2 (annual expenses from investing or capital), reporting year 2023</t>
        </is>
      </c>
    </row>
    <row r="19">
      <c r="A19" s="16" t="inlineStr">
        <is>
          <t>Financing</t>
        </is>
      </c>
      <c r="B19" s="9" t="n">
        <v>0</v>
      </c>
      <c r="C19" s="18" t="inlineStr">
        <is>
          <t>State Water Board eAR Section 8b, question B2.3 (annual expenses from financing), reporting year 2023</t>
        </is>
      </c>
    </row>
    <row r="20">
      <c r="A20" s="16" t="inlineStr">
        <is>
          <t>Other</t>
        </is>
      </c>
      <c r="B20" s="9" t="n">
        <v>0</v>
      </c>
      <c r="C20" s="18" t="inlineStr">
        <is>
          <t>State Water Board eAR Section 8b, question B2.4 (total other annual expenses), reporting year 2023</t>
        </is>
      </c>
    </row>
    <row r="21">
      <c r="A21" s="16" t="inlineStr">
        <is>
          <t>Total annual expenses</t>
        </is>
      </c>
      <c r="B21" s="41" t="n">
        <v>63967</v>
      </c>
      <c r="C21" s="18" t="inlineStr">
        <is>
          <t>State Water Board eAR Section 8b, question B2.5 (total annual expenses), reporting year 2023</t>
        </is>
      </c>
    </row>
    <row r="23">
      <c r="A23" s="6" t="inlineStr">
        <is>
          <t>Period-aligned Form 990 comparison (variance surfaced, never reconciled)</t>
        </is>
      </c>
      <c r="B23" s="7" t="n"/>
      <c r="C23" s="7" t="n"/>
    </row>
    <row r="24">
      <c r="A24" s="5" t="inlineStr">
        <is>
          <t>Measure</t>
        </is>
      </c>
      <c r="B24" s="5" t="inlineStr">
        <is>
          <t>eAR Section 8b</t>
        </is>
      </c>
      <c r="C24" s="5" t="inlineStr">
        <is>
          <t>Form 990</t>
        </is>
      </c>
    </row>
    <row r="25">
      <c r="A25" s="8" t="inlineStr">
        <is>
          <t>total revenue</t>
        </is>
      </c>
      <c r="B25" s="9" t="n">
        <v>43308</v>
      </c>
      <c r="C25" s="9" t="n">
        <v>186156</v>
      </c>
    </row>
    <row r="26">
      <c r="A26" s="24" t="inlineStr">
        <is>
          <t>Variance (eAR minus Form 990)</t>
        </is>
      </c>
      <c r="B26" s="25">
        <f>B25-C25</f>
        <v/>
      </c>
      <c r="C26" s="42" t="n"/>
    </row>
    <row r="27" ht="126" customHeight="1">
      <c r="A27" s="3" t="inlineStr">
        <is>
          <t>The eAR Section 8b total revenue (State Water Board self-report, calendar year 2023) and the Form 990 total revenue (IRS filing) are a different source and cover the same calendar year 2023. Both are carried as filed; the variance is surfaced, never reconciled.</t>
        </is>
      </c>
    </row>
    <row r="28">
      <c r="A28" s="8" t="inlineStr">
        <is>
          <t>total expenses</t>
        </is>
      </c>
      <c r="B28" s="9" t="n">
        <v>63967</v>
      </c>
      <c r="C28" s="9" t="n">
        <v>209808</v>
      </c>
    </row>
    <row r="29">
      <c r="A29" s="24" t="inlineStr">
        <is>
          <t>Variance (eAR minus Form 990)</t>
        </is>
      </c>
      <c r="B29" s="25">
        <f>B28-C28</f>
        <v/>
      </c>
      <c r="C29" s="42" t="n"/>
    </row>
    <row r="30" ht="126" customHeight="1">
      <c r="A30" s="3" t="inlineStr">
        <is>
          <t>The eAR Section 8b total expenses (State Water Board self-report, calendar year 2023) and the Form 990 total expenses (IRS filing) are a different source and cover the same calendar year 2023. Both are carried as filed; the variance is surfaced, never reconciled.</t>
        </is>
      </c>
    </row>
  </sheetData>
  <mergeCells count="6">
    <mergeCell ref="A1:C1"/>
    <mergeCell ref="A5:C5"/>
    <mergeCell ref="A27:C27"/>
    <mergeCell ref="A3:C3"/>
    <mergeCell ref="A30:C30"/>
    <mergeCell ref="A2:C2"/>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24"/>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22" customWidth="1" min="1" max="1"/>
    <col width="14" customWidth="1" min="2" max="2"/>
    <col width="14" customWidth="1" min="3" max="3"/>
    <col width="16" customWidth="1" min="4" max="4"/>
    <col width="16" customWidth="1" min="5" max="5"/>
    <col width="16" customWidth="1" min="6" max="6"/>
    <col width="48" customWidth="1" min="7" max="7"/>
  </cols>
  <sheetData>
    <row r="1">
      <c r="A1" s="1" t="inlineStr">
        <is>
          <t>Casitas Mutual Water Company</t>
        </is>
      </c>
    </row>
    <row r="2">
      <c r="A2" s="2" t="inlineStr">
        <is>
          <t>Denominators and calendar alignment</t>
        </is>
      </c>
    </row>
    <row r="3">
      <c r="A3" s="2" t="inlineStr">
        <is>
          <t>Entity ID: cawc_0018   |   Fiscal year ends December 31.</t>
        </is>
      </c>
    </row>
    <row r="5" ht="126" customHeight="1">
      <c r="A5" s="3" t="inlineStr">
        <is>
          <t>System size and water use per fiscal year (the operating denominators that per-customer and per-acre metrics divide by), each cited to file and field. The eAR is reported on the calendar year; the 990 fiscal year differs by company. A calendar-year filer's volume is the eAR annual total (fiscal year = calendar year); an offset filer's is recast by a true monthly sum of the covered calendar months, or read not reported naming the missing months. Point-in-time counts (connections, population) are matched to the closest eAR year and never summed. Every derived figure states its formula and accounting rationale.</t>
        </is>
      </c>
    </row>
    <row r="6">
      <c r="A6" s="6" t="inlineStr">
        <is>
          <t>Member vs customer (two different denominators, both preserved)</t>
        </is>
      </c>
      <c r="B6" s="7" t="n"/>
      <c r="C6" s="7" t="n"/>
      <c r="D6" s="7" t="n"/>
      <c r="E6" s="7" t="n"/>
      <c r="F6" s="7" t="n"/>
      <c r="G6" s="7" t="n"/>
    </row>
    <row r="7">
      <c r="A7" s="16" t="inlineStr">
        <is>
          <t>Customer (service connection)</t>
        </is>
      </c>
      <c r="B7" s="17" t="n">
        <v>83</v>
      </c>
      <c r="C7" s="18" t="inlineStr">
        <is>
          <t>State Water Board eAR Section 4 (CurTotalConnections), reporting year 2024</t>
        </is>
      </c>
    </row>
    <row r="8">
      <c r="A8" s="16" t="inlineStr">
        <is>
          <t>SDWIS service-connection count (different registry)</t>
        </is>
      </c>
      <c r="B8" s="17" t="n">
        <v>83</v>
      </c>
      <c r="C8" s="18" t="inlineStr"/>
    </row>
    <row r="9">
      <c r="A9" s="16" t="inlineStr">
        <is>
          <t>Member (shareholder)</t>
        </is>
      </c>
      <c r="B9" s="19" t="n"/>
      <c r="C9" s="18" t="inlineStr">
        <is>
          <t>No published shareholder count</t>
        </is>
      </c>
    </row>
    <row r="10" ht="96" customHeight="1">
      <c r="A10" s="3" t="inlineStr">
        <is>
          <t>In a mutual water company a MEMBER is a shareholder who owns part of the system; a CUSTOMER is a metered service connection that receives water. The two diverge because one owner can hold several connections, a connection can serve people who are not owners, and some mutuals attach shares to land by acreage rather than counting heads. Per-customer metrics divide by service connections; per-member metrics divide by shareholders; the two counts are never used interchangeably.</t>
        </is>
      </c>
    </row>
    <row r="12">
      <c r="A12" s="6" t="inlineStr">
        <is>
          <t>Denominator layer by fiscal year</t>
        </is>
      </c>
      <c r="B12" s="7" t="n"/>
      <c r="C12" s="7" t="n"/>
      <c r="D12" s="7" t="n"/>
      <c r="E12" s="7" t="n"/>
      <c r="F12" s="7" t="n"/>
      <c r="G12" s="7" t="n"/>
    </row>
    <row r="13">
      <c r="A13" s="5" t="inlineStr">
        <is>
          <t>Fiscal year (end)</t>
        </is>
      </c>
      <c r="B13" s="5" t="inlineStr">
        <is>
          <t>Connections</t>
        </is>
      </c>
      <c r="C13" s="5" t="inlineStr">
        <is>
          <t>Population</t>
        </is>
      </c>
      <c r="D13" s="5" t="inlineStr">
        <is>
          <t>Service-area acres</t>
        </is>
      </c>
      <c r="E13" s="5" t="inlineStr">
        <is>
          <t>Water produced (AF)</t>
        </is>
      </c>
      <c r="F13" s="5" t="inlineStr">
        <is>
          <t>Water delivered (AF)</t>
        </is>
      </c>
      <c r="G13" s="5" t="inlineStr">
        <is>
          <t>Alignment method</t>
        </is>
      </c>
    </row>
    <row r="14" ht="40" customHeight="1">
      <c r="A14" s="8" t="inlineStr">
        <is>
          <t>FY2020 (2020-12-31)</t>
        </is>
      </c>
      <c r="B14" s="17" t="n">
        <v>85</v>
      </c>
      <c r="C14" s="14" t="inlineStr">
        <is>
          <t>not reported</t>
        </is>
      </c>
      <c r="D14" s="17" t="n">
        <v>33.7</v>
      </c>
      <c r="E14" s="17" t="n">
        <v>25.8</v>
      </c>
      <c r="F14" s="17" t="n">
        <v>0</v>
      </c>
      <c r="G14" s="19" t="inlineStr">
        <is>
          <t>eAR annual total, calendar filer, equals fiscal year (not a monthly recast)</t>
        </is>
      </c>
    </row>
    <row r="15" ht="40" customHeight="1">
      <c r="A15" s="8" t="inlineStr">
        <is>
          <t>FY2021 (2021-12-31)</t>
        </is>
      </c>
      <c r="B15" s="17" t="n">
        <v>83</v>
      </c>
      <c r="C15" s="14" t="inlineStr">
        <is>
          <t>not reported</t>
        </is>
      </c>
      <c r="D15" s="17" t="n">
        <v>33.7</v>
      </c>
      <c r="E15" s="17" t="n">
        <v>25.2</v>
      </c>
      <c r="F15" s="17" t="n">
        <v>0</v>
      </c>
      <c r="G15" s="19" t="inlineStr">
        <is>
          <t>eAR annual total, calendar filer, equals fiscal year (not a monthly recast)</t>
        </is>
      </c>
    </row>
    <row r="16" ht="40" customHeight="1">
      <c r="A16" s="8" t="inlineStr">
        <is>
          <t>FY2022 (2022-12-31)</t>
        </is>
      </c>
      <c r="B16" s="17" t="n">
        <v>83</v>
      </c>
      <c r="C16" s="14" t="inlineStr">
        <is>
          <t>not reported</t>
        </is>
      </c>
      <c r="D16" s="17" t="n">
        <v>33.7</v>
      </c>
      <c r="E16" s="17" t="n">
        <v>24.4</v>
      </c>
      <c r="F16" s="17" t="n">
        <v>0</v>
      </c>
      <c r="G16" s="19" t="inlineStr">
        <is>
          <t>eAR annual total, calendar filer, equals fiscal year (not a monthly recast)</t>
        </is>
      </c>
    </row>
    <row r="17" ht="40" customHeight="1">
      <c r="A17" s="8" t="inlineStr">
        <is>
          <t>FY2023 (2023-12-31)</t>
        </is>
      </c>
      <c r="B17" s="17" t="n">
        <v>83</v>
      </c>
      <c r="C17" s="17" t="n">
        <v>238</v>
      </c>
      <c r="D17" s="17" t="n">
        <v>33.7</v>
      </c>
      <c r="E17" s="14" t="inlineStr">
        <is>
          <t>not reported</t>
        </is>
      </c>
      <c r="F17" s="14" t="inlineStr">
        <is>
          <t>not reported</t>
        </is>
      </c>
      <c r="G17" s="19" t="inlineStr">
        <is>
          <t>eAR annual total, calendar filer, equals fiscal year (not a monthly recast)</t>
        </is>
      </c>
    </row>
    <row r="18" ht="40" customHeight="1">
      <c r="A18" s="8" t="inlineStr">
        <is>
          <t>FY2024 (2024-12-31)</t>
        </is>
      </c>
      <c r="B18" s="17" t="n">
        <v>83</v>
      </c>
      <c r="C18" s="17" t="n">
        <v>238</v>
      </c>
      <c r="D18" s="17" t="n">
        <v>33.7</v>
      </c>
      <c r="E18" s="14" t="inlineStr">
        <is>
          <t>not reported</t>
        </is>
      </c>
      <c r="F18" s="14" t="inlineStr">
        <is>
          <t>not reported</t>
        </is>
      </c>
      <c r="G18" s="19" t="inlineStr">
        <is>
          <t>eAR annual total, calendar filer, equals fiscal year (not a monthly recast)</t>
        </is>
      </c>
    </row>
    <row r="20">
      <c r="A20" s="6" t="inlineStr">
        <is>
          <t>Connections by class - FY2024 (eAR Section 4)</t>
        </is>
      </c>
      <c r="B20" s="7" t="n"/>
      <c r="C20" s="7" t="n"/>
      <c r="D20" s="7" t="n"/>
      <c r="E20" s="7" t="n"/>
      <c r="F20" s="7" t="n"/>
      <c r="G20" s="7" t="n"/>
    </row>
    <row r="21">
      <c r="A21" s="16" t="inlineStr">
        <is>
          <t>Single-family residential</t>
        </is>
      </c>
      <c r="B21" s="17" t="n">
        <v>83</v>
      </c>
      <c r="C21" s="18" t="inlineStr"/>
    </row>
    <row r="22">
      <c r="A22" s="16" t="inlineStr">
        <is>
          <t>Multi-family residential</t>
        </is>
      </c>
      <c r="B22" s="17" t="n">
        <v>4</v>
      </c>
      <c r="C22" s="18" t="inlineStr"/>
    </row>
    <row r="23">
      <c r="A23" s="16" t="inlineStr">
        <is>
          <t>Commercial and institutional</t>
        </is>
      </c>
      <c r="B23" s="17" t="n">
        <v>2</v>
      </c>
      <c r="C23" s="18" t="inlineStr"/>
    </row>
    <row r="24" ht="81" customHeight="1">
      <c r="A24" s="3" t="inlineStr">
        <is>
          <t>Monthly-volume source: California open-data portal (data.ca.gov): the separate Produced Water (by month and source) and Delivered Water (by month and connection type) resources, which cover every public water system (not only urban suppliers), one resource per reporting year, matched by exact PWSID. This is the aggregate publication of eAR Section 6.</t>
        </is>
      </c>
    </row>
  </sheetData>
  <mergeCells count="6">
    <mergeCell ref="A1:G1"/>
    <mergeCell ref="A3:G3"/>
    <mergeCell ref="A24:G24"/>
    <mergeCell ref="A2:G2"/>
    <mergeCell ref="A10:G10"/>
    <mergeCell ref="A5:G5"/>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25"/>
  <sheetViews>
    <sheetView workbookViewId="0">
      <pane ySplit="4" topLeftCell="A5" activePane="bottomLeft" state="frozen"/>
      <selection pane="bottomLeft" activeCell="A1" sqref="A1"/>
    </sheetView>
  </sheetViews>
  <sheetFormatPr baseColWidth="8" defaultRowHeight="15"/>
  <cols>
    <col width="26" customWidth="1" min="1" max="1"/>
    <col width="16" customWidth="1" min="2" max="2"/>
    <col width="40" customWidth="1" min="3" max="3"/>
    <col width="40" customWidth="1" min="4" max="4"/>
    <col width="12" customWidth="1" min="5" max="5"/>
  </cols>
  <sheetData>
    <row r="1">
      <c r="A1" s="1" t="inlineStr">
        <is>
          <t>Casitas Mutual Water Company</t>
        </is>
      </c>
    </row>
    <row r="2">
      <c r="A2" s="2" t="inlineStr">
        <is>
          <t>Governance evidence status - Ostrom's eight design principles</t>
        </is>
      </c>
    </row>
    <row r="3">
      <c r="A3" s="2" t="inlineStr">
        <is>
          <t>Entity ID: cawc_0018   |   Fiscal year ends December 31.</t>
        </is>
      </c>
    </row>
    <row r="5">
      <c r="A5" s="43" t="inlineStr">
        <is>
          <t>Evidence summary: 6 documented, 0 partial, 2 not documented of eight principles.</t>
        </is>
      </c>
      <c r="B5" s="7" t="n"/>
      <c r="C5" s="7" t="n"/>
      <c r="D5" s="7" t="n"/>
      <c r="E5" s="7" t="n"/>
    </row>
    <row r="6" ht="81" customHeight="1">
      <c r="A6" s="3" t="inlineStr">
        <is>
          <t>A count of how many of Elinor Ostrom's eight design principles have a supporting record on file, not a grade. NOT DOCUMENTED means the supporting record was not found, not that the company governs badly. It marks a gap in the documentary record, an evidence gap to close, never a governance failing.</t>
        </is>
      </c>
    </row>
    <row r="7" ht="201" customHeight="1">
      <c r="A7" s="3" t="inlineStr">
        <is>
          <t>Each mutual is read against Elinor Ostrom's eight design principles for institutions that govern a shared resource durably. Per principle: a one-line finding, the observable signal, a citation, and an evidence status stating whether the supporting record exists: DOCUMENTED (a cited record supports alignment), PARTIAL (some evidence exists but it is incomplete), or NOT DOCUMENTED (no supporting record was found). This is an evidence-status read, not a grade: the principles are never ranked, weighted, or given a letter, consistent with reporting as filed and not grading companies. NOT DOCUMENTED means the supporting record was not found, not that the company governs badly. It marks a gap in the documentary record, an evidence gap to close, never a governance failing.</t>
        </is>
      </c>
    </row>
    <row r="9">
      <c r="A9" s="5" t="inlineStr">
        <is>
          <t>Principle</t>
        </is>
      </c>
      <c r="B9" s="5" t="inlineStr">
        <is>
          <t>Evidence status</t>
        </is>
      </c>
      <c r="C9" s="5" t="inlineStr">
        <is>
          <t>Finding</t>
        </is>
      </c>
      <c r="D9" s="5" t="inlineStr">
        <is>
          <t>Signal</t>
        </is>
      </c>
      <c r="E9" s="5" t="inlineStr">
        <is>
          <t>Citation</t>
        </is>
      </c>
    </row>
    <row r="10" ht="46" customHeight="1">
      <c r="A10" s="8" t="inlineStr">
        <is>
          <t>Clearly defined boundaries</t>
        </is>
      </c>
      <c r="B10" s="20" t="inlineStr">
        <is>
          <t>DOCUMENTED</t>
        </is>
      </c>
      <c r="C10" s="19" t="inlineStr">
        <is>
          <t>The system is a defined public water system: 83 service connections over a State-published service-area boundary.</t>
        </is>
      </c>
      <c r="D10" s="19" t="inlineStr">
        <is>
          <t>SDWIS Community water system; SABL service-area boundary (not verified (sabl)); connections defined.</t>
        </is>
      </c>
      <c r="E10" s="44" t="inlineStr">
        <is>
          <t>[C][G]</t>
        </is>
      </c>
    </row>
    <row r="11" ht="81" customHeight="1">
      <c r="A11" s="3" t="inlineStr">
        <is>
          <t>What the record shows: SDWIS defines the membership as a fixed set of service connections and the State Water Board publishes a SABL service-area polygon, so who is inside and outside the system is documented. The boundary is Not Verified (SABL), so its outer edge rests on that State layer.</t>
        </is>
      </c>
    </row>
    <row r="12" ht="46" customHeight="1">
      <c r="A12" s="8" t="inlineStr">
        <is>
          <t>Rules fit local conditions</t>
        </is>
      </c>
      <c r="B12" s="20" t="inlineStr">
        <is>
          <t>DOCUMENTED</t>
        </is>
      </c>
      <c r="C12" s="19" t="inlineStr">
        <is>
          <t>Charges are tied to service under a documented rate or share-based allocation rule reported to the State or set in the company's structure.</t>
        </is>
      </c>
      <c r="D12" s="19" t="inlineStr">
        <is>
          <t>eAR Section 8a customer charges; documented rate or share-allocation rule.</t>
        </is>
      </c>
      <c r="E12" s="44" t="inlineStr">
        <is>
          <t>[E][r1]</t>
        </is>
      </c>
    </row>
    <row r="13" ht="81" customHeight="1">
      <c r="A13" s="3" t="inlineStr">
        <is>
          <t>What the record shows: The record documents how charges are set, whether a filed metered rate schedule or a share-and-acreage allocation, so cost tracks service. Whether every tier scales precisely with use is only partially visible at this scale, but a real cost-to-service rule is on record.</t>
        </is>
      </c>
    </row>
    <row r="14" ht="46" customHeight="1">
      <c r="A14" s="8" t="inlineStr">
        <is>
          <t>Collective-choice arrangements</t>
        </is>
      </c>
      <c r="B14" s="20" t="inlineStr">
        <is>
          <t>DOCUMENTED</t>
        </is>
      </c>
      <c r="C14" s="19" t="inlineStr">
        <is>
          <t>The company is owned by its customer-shareholders and run by a named board they elect, documented in its Form 990 governance section.</t>
        </is>
      </c>
      <c r="D14" s="19" t="inlineStr">
        <is>
          <t>Mutual ownership; named elected board of directors (Form 990).</t>
        </is>
      </c>
      <c r="E14" s="44" t="inlineStr">
        <is>
          <t>[990][r1]</t>
        </is>
      </c>
    </row>
    <row r="15" ht="81" customHeight="1">
      <c r="A15" s="3" t="inlineStr">
        <is>
          <t>What the record shows: The record documents a collective-choice mechanism: customers are shareholders who elect a named board that governs the company. Turnout and specific member votes on major decisions are not documented, but the elected-board structure and its membership are on record.</t>
        </is>
      </c>
    </row>
    <row r="16" ht="46" customHeight="1">
      <c r="A16" s="8" t="inlineStr">
        <is>
          <t>Monitoring</t>
        </is>
      </c>
      <c r="B16" s="20" t="inlineStr">
        <is>
          <t>DOCUMENTED</t>
        </is>
      </c>
      <c r="C16" s="19" t="inlineStr">
        <is>
          <t>The system is metered and monitored: the State SAFER risk assessment shows it Not Failing, and it files an annual eAR.</t>
        </is>
      </c>
      <c r="D16" s="19" t="inlineStr">
        <is>
          <t>SAFER Not Failing; annual eAR reporting; metered connections.</t>
        </is>
      </c>
      <c r="E16" s="44" t="inlineStr">
        <is>
          <t>[S][E]</t>
        </is>
      </c>
    </row>
    <row r="17" ht="81" customHeight="1">
      <c r="A17" s="3" t="inlineStr">
        <is>
          <t>What the record shows: Operational monitoring is documented: the State rates the system Not Failing on its drinking-water risk assessment and the system files an annual eAR. No independent audited financial statement is published, so financial monitoring is weaker, but the operational record is present.</t>
        </is>
      </c>
    </row>
    <row r="18" ht="46" customHeight="1">
      <c r="A18" s="8" t="inlineStr">
        <is>
          <t>Graduated sanctions</t>
        </is>
      </c>
      <c r="B18" s="20" t="inlineStr">
        <is>
          <t>NOT DOCUMENTED</t>
        </is>
      </c>
      <c r="C18" s="19" t="inlineStr">
        <is>
          <t>No published shut-off, penalty, or delinquency policy was found for this system.</t>
        </is>
      </c>
      <c r="D18" s="19" t="inlineStr">
        <is>
          <t>No sourced sanctions policy.</t>
        </is>
      </c>
      <c r="E18" s="44" t="inlineStr">
        <is>
          <t>not reported</t>
        </is>
      </c>
    </row>
    <row r="19" ht="81" customHeight="1">
      <c r="A19" s="3" t="inlineStr">
        <is>
          <t>What the record shows: No public record of a graduated shut-off or penalty policy was found for a system this small. NOT DOCUMENTED means the supporting record was not found, not that the company governs badly. It marks a gap in the documentary record, an evidence gap to close, never a governance failing.</t>
        </is>
      </c>
    </row>
    <row r="20" ht="46" customHeight="1">
      <c r="A20" s="8" t="inlineStr">
        <is>
          <t>Conflict-resolution mechanisms</t>
        </is>
      </c>
      <c r="B20" s="20" t="inlineStr">
        <is>
          <t>NOT DOCUMENTED</t>
        </is>
      </c>
      <c r="C20" s="19" t="inlineStr">
        <is>
          <t>No published bylaws, dispute procedure, or grievance mechanism was found for this system.</t>
        </is>
      </c>
      <c r="D20" s="19" t="inlineStr">
        <is>
          <t>No sourced conflict-resolution record.</t>
        </is>
      </c>
      <c r="E20" s="44" t="inlineStr">
        <is>
          <t>not reported</t>
        </is>
      </c>
    </row>
    <row r="21" ht="81" customHeight="1">
      <c r="A21" s="3" t="inlineStr">
        <is>
          <t>What the record shows: No public record of a member dispute or conflict-resolution procedure was found. NOT DOCUMENTED means the supporting record was not found, not that the company governs badly. It marks a gap in the documentary record, an evidence gap to close, never a governance failing.</t>
        </is>
      </c>
    </row>
    <row r="22" ht="46" customHeight="1">
      <c r="A22" s="8" t="inlineStr">
        <is>
          <t>Recognized right to organize</t>
        </is>
      </c>
      <c r="B22" s="20" t="inlineStr">
        <is>
          <t>DOCUMENTED</t>
        </is>
      </c>
      <c r="C22" s="19" t="inlineStr">
        <is>
          <t>An incorporated California mutual water company recognized by the IRS (501(c)(12)) and by the State Water Board as a public water system.</t>
        </is>
      </c>
      <c r="D22" s="19" t="inlineStr">
        <is>
          <t>IRS 501(c)(12) exempt filer (Form 990); SDWIS public water system.</t>
        </is>
      </c>
      <c r="E22" s="44" t="inlineStr">
        <is>
          <t>[990][C][SOS]</t>
        </is>
      </c>
    </row>
    <row r="23" ht="150" customHeight="1">
      <c r="A23" s="3" t="inlineStr">
        <is>
          <t>What the record shows: Baseline legal standing is documented: the company is an incorporated mutual recognized by the IRS as a tax-exempt filer and by the State Water Board as a regulated water system. This records the right to organize as a member entity, not a documented instance of exercising it. The California Secretary of State holds the company as a registered corporation, entity number 0149752, first registered 06/08/1932, status as filed "Active", with a governing body named in the Statement of Information filed 8/8/2022. That is a direct state record of the right to organize being recognized, so the evidence behind this status is now a filed corporate record rather than an inference from the company's tax form. The status was already DOCUMENTED and does not move.</t>
        </is>
      </c>
    </row>
    <row r="24" ht="46" customHeight="1">
      <c r="A24" s="8" t="inlineStr">
        <is>
          <t>Nested enterprises</t>
        </is>
      </c>
      <c r="B24" s="20" t="inlineStr">
        <is>
          <t>DOCUMENTED</t>
        </is>
      </c>
      <c r="C24" s="19" t="inlineStr">
        <is>
          <t>The system buys treated water wholesale from a larger supplier, so it is nested inside a regional water enterprise.</t>
        </is>
      </c>
      <c r="D24" s="19" t="inlineStr">
        <is>
          <t>SDWIS Primary Water Source Type: purchased surface water.</t>
        </is>
      </c>
      <c r="E24" s="44" t="inlineStr">
        <is>
          <t>[C][r1]</t>
        </is>
      </c>
    </row>
    <row r="25" ht="81" customHeight="1">
      <c r="A25" s="3" t="inlineStr">
        <is>
          <t>What the record shows: Nesting is documented on the supply side: SDWIS records the system as buying treated surface water wholesale, so it sits inside a larger regional supplier's system. Its role in basin or regional governance is not documented, so the nesting on record is physical rather than a governed layer.</t>
        </is>
      </c>
    </row>
  </sheetData>
  <mergeCells count="13">
    <mergeCell ref="A21:E21"/>
    <mergeCell ref="A2:E2"/>
    <mergeCell ref="A15:E15"/>
    <mergeCell ref="A7:E7"/>
    <mergeCell ref="A25:E25"/>
    <mergeCell ref="A19:E19"/>
    <mergeCell ref="A11:E11"/>
    <mergeCell ref="A1:E1"/>
    <mergeCell ref="A23:E23"/>
    <mergeCell ref="A13:E13"/>
    <mergeCell ref="A6:E6"/>
    <mergeCell ref="A17:E17"/>
    <mergeCell ref="A3:E3"/>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10"/>
  <sheetViews>
    <sheetView workbookViewId="0">
      <pane ySplit="4" topLeftCell="A5" activePane="bottomLeft" state="frozen"/>
      <selection pane="bottomLeft" activeCell="A1" sqref="A1"/>
    </sheetView>
  </sheetViews>
  <sheetFormatPr baseColWidth="8" defaultRowHeight="15"/>
  <cols>
    <col width="30" customWidth="1" min="1" max="1"/>
    <col width="26" customWidth="1" min="2" max="2"/>
    <col width="60" customWidth="1" min="3" max="3"/>
  </cols>
  <sheetData>
    <row r="1">
      <c r="A1" s="1" t="inlineStr">
        <is>
          <t>Casitas Mutual Water Company</t>
        </is>
      </c>
    </row>
    <row r="2">
      <c r="A2" s="2" t="inlineStr">
        <is>
          <t>Operational metrics - plant per acre, density, terrain</t>
        </is>
      </c>
    </row>
    <row r="3">
      <c r="A3" s="2" t="inlineStr">
        <is>
          <t>Entity ID: cawc_0018   |   Fiscal year ends December 31.</t>
        </is>
      </c>
    </row>
    <row r="5">
      <c r="A5" s="6" t="inlineStr">
        <is>
          <t>Connections per acre</t>
        </is>
      </c>
      <c r="B5" s="7" t="n"/>
      <c r="C5" s="7" t="n"/>
    </row>
    <row r="6">
      <c r="A6" s="16" t="inlineStr">
        <is>
          <t>Connections per acre</t>
        </is>
      </c>
      <c r="B6" s="15" t="n">
        <v>2.64</v>
      </c>
      <c r="C6" s="18" t="inlineStr">
        <is>
          <t>89 connections / 33.7 acres. CA State Water Board SABL SERVICE_CONNECTIONS; Geodesic area (WGS84 spherical excess) of the SABL service-area polygon.</t>
        </is>
      </c>
    </row>
    <row r="8">
      <c r="A8" s="6" t="inlineStr">
        <is>
          <t>Who they are</t>
        </is>
      </c>
      <c r="B8" s="7" t="n"/>
      <c r="C8" s="7" t="n"/>
    </row>
    <row r="9">
      <c r="A9" s="16" t="inlineStr">
        <is>
          <t>Terrain class</t>
        </is>
      </c>
      <c r="B9" s="19" t="inlineStr">
        <is>
          <t>other</t>
        </is>
      </c>
      <c r="C9" s="18" t="inlineStr">
        <is>
          <t>Company context page (BLUEPRINT 5B)</t>
        </is>
      </c>
    </row>
    <row r="10" ht="96" customHeight="1">
      <c r="A10" s="3" t="inlineStr">
        <is>
          <t>A small domestic mutual water company (501(c)(12)) serving about 83 service connections and roughly 238 residents in the Oak View area of western Ventura County, near the Ventura River.</t>
        </is>
      </c>
    </row>
  </sheetData>
  <mergeCells count="4">
    <mergeCell ref="A1:C1"/>
    <mergeCell ref="A3:C3"/>
    <mergeCell ref="A2:C2"/>
    <mergeCell ref="A10:C10"/>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12"/>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40" customWidth="1" min="1" max="1"/>
    <col width="14" customWidth="1" min="2" max="2"/>
    <col width="14" customWidth="1" min="3" max="3"/>
    <col width="14" customWidth="1" min="4" max="4"/>
    <col width="14" customWidth="1" min="5" max="5"/>
    <col width="14" customWidth="1" min="6" max="6"/>
  </cols>
  <sheetData>
    <row r="1">
      <c r="A1" s="1" t="inlineStr">
        <is>
          <t>Casitas Mutual Water Company</t>
        </is>
      </c>
    </row>
    <row r="2">
      <c r="A2" s="2" t="inlineStr">
        <is>
          <t>Supply and weather indicators (DWR water year)</t>
        </is>
      </c>
    </row>
    <row r="3">
      <c r="A3" s="2" t="inlineStr">
        <is>
          <t>Entity ID: cawc_0018   |   Fiscal year ends December 31.</t>
        </is>
      </c>
    </row>
    <row r="5" ht="96" customHeight="1">
      <c r="A5" s="3" t="inlineStr">
        <is>
          <t>Reporting calendar: Different reporting periods. The DWR water year runs October 1 to September 30; this system's fiscal year ends December 31, so the two period ends are three months apart. Read the two side by side with that in mind. Neither series is recast: both are reported as filed. A water year is named for the calendar year it ends in, so WY2024 and FY2024 share a number without covering the same twelve months.</t>
        </is>
      </c>
    </row>
    <row r="7">
      <c r="A7" s="4" t="inlineStr">
        <is>
          <t>Indicator</t>
        </is>
      </c>
      <c r="B7" s="5" t="inlineStr">
        <is>
          <t>WY2020</t>
        </is>
      </c>
      <c r="C7" s="5" t="inlineStr">
        <is>
          <t>WY2021</t>
        </is>
      </c>
      <c r="D7" s="5" t="inlineStr">
        <is>
          <t>WY2022</t>
        </is>
      </c>
      <c r="E7" s="5" t="inlineStr">
        <is>
          <t>WY2023</t>
        </is>
      </c>
      <c r="F7" s="5" t="inlineStr">
        <is>
          <t>WY2024</t>
        </is>
      </c>
    </row>
    <row r="8">
      <c r="A8" s="8" t="inlineStr">
        <is>
          <t>Water-year type (Sacramento Valley)</t>
        </is>
      </c>
      <c r="B8" s="44" t="inlineStr">
        <is>
          <t>Dry</t>
        </is>
      </c>
      <c r="C8" s="44" t="inlineStr">
        <is>
          <t>Critical</t>
        </is>
      </c>
      <c r="D8" s="44" t="inlineStr">
        <is>
          <t>Critical</t>
        </is>
      </c>
      <c r="E8" s="44" t="inlineStr">
        <is>
          <t>Wet</t>
        </is>
      </c>
      <c r="F8" s="44" t="inlineStr">
        <is>
          <t>Above Normal</t>
        </is>
      </c>
    </row>
    <row r="9">
      <c r="A9" s="8" t="inlineStr">
        <is>
          <t>Peak drought, Ventura County</t>
        </is>
      </c>
      <c r="B9" s="44" t="inlineStr">
        <is>
          <t>D1</t>
        </is>
      </c>
      <c r="C9" s="44" t="inlineStr">
        <is>
          <t>D4</t>
        </is>
      </c>
      <c r="D9" s="44" t="inlineStr">
        <is>
          <t>D4</t>
        </is>
      </c>
      <c r="E9" s="44" t="inlineStr">
        <is>
          <t>D3</t>
        </is>
      </c>
      <c r="F9" s="44" t="inlineStr">
        <is>
          <t>None (no D0-D4 during the fiscal year)</t>
        </is>
      </c>
    </row>
    <row r="10">
      <c r="A10" s="8" t="inlineStr">
        <is>
          <t>Precip, percent of normal (8-Station Index)</t>
        </is>
      </c>
      <c r="B10" s="44" t="inlineStr">
        <is>
          <t>63</t>
        </is>
      </c>
      <c r="C10" s="44" t="inlineStr">
        <is>
          <t>48</t>
        </is>
      </c>
      <c r="D10" s="44" t="inlineStr">
        <is>
          <t>86</t>
        </is>
      </c>
      <c r="E10" s="44" t="inlineStr">
        <is>
          <t>133</t>
        </is>
      </c>
      <c r="F10" s="44" t="inlineStr">
        <is>
          <t>96</t>
        </is>
      </c>
    </row>
    <row r="11">
      <c r="A11" s="8" t="inlineStr">
        <is>
          <t>Snowpack, April 1 percent of average</t>
        </is>
      </c>
      <c r="B11" s="44" t="inlineStr">
        <is>
          <t>53%</t>
        </is>
      </c>
      <c r="C11" s="44" t="inlineStr">
        <is>
          <t>59%</t>
        </is>
      </c>
      <c r="D11" s="44" t="inlineStr">
        <is>
          <t>38%</t>
        </is>
      </c>
      <c r="E11" s="44" t="inlineStr">
        <is>
          <t>237%</t>
        </is>
      </c>
      <c r="F11" s="44" t="inlineStr">
        <is>
          <t>110%</t>
        </is>
      </c>
    </row>
    <row r="12">
      <c r="A12" s="8" t="inlineStr">
        <is>
          <t>State Water Project allocation</t>
        </is>
      </c>
      <c r="B12" s="44" t="inlineStr">
        <is>
          <t>20%</t>
        </is>
      </c>
      <c r="C12" s="44" t="inlineStr">
        <is>
          <t>5%</t>
        </is>
      </c>
      <c r="D12" s="44" t="inlineStr">
        <is>
          <t>5%</t>
        </is>
      </c>
      <c r="E12" s="44" t="inlineStr">
        <is>
          <t>100%</t>
        </is>
      </c>
      <c r="F12" s="44" t="inlineStr">
        <is>
          <t>40%</t>
        </is>
      </c>
    </row>
  </sheetData>
  <mergeCells count="4">
    <mergeCell ref="A3:F3"/>
    <mergeCell ref="A2:F2"/>
    <mergeCell ref="A1:F1"/>
    <mergeCell ref="A5:F5"/>
  </mergeCells>
  <pageMargins left="0.75" right="0.75" top="1" bottom="1" header="0.5" footer="0.5"/>
  <legacyDrawing xmlns:r="http://schemas.openxmlformats.org/officeDocument/2006/relationships" r:id="anysvml"/>
</worksheet>
</file>

<file path=xl/worksheets/sheet15.xml><?xml version="1.0" encoding="utf-8"?>
<worksheet xmlns="http://schemas.openxmlformats.org/spreadsheetml/2006/main">
  <sheetPr>
    <outlinePr summaryBelow="1" summaryRight="1"/>
    <pageSetUpPr/>
  </sheetPr>
  <dimension ref="A1:B36"/>
  <sheetViews>
    <sheetView workbookViewId="0">
      <pane ySplit="4" topLeftCell="A5" activePane="bottomLeft" state="frozen"/>
      <selection pane="bottomLeft" activeCell="A1" sqref="A1"/>
    </sheetView>
  </sheetViews>
  <sheetFormatPr baseColWidth="8" defaultRowHeight="15"/>
  <cols>
    <col width="26" customWidth="1" min="1" max="1"/>
    <col width="104" customWidth="1" min="2" max="2"/>
  </cols>
  <sheetData>
    <row r="1">
      <c r="A1" s="1" t="inlineStr">
        <is>
          <t>Casitas Mutual Water Company</t>
        </is>
      </c>
    </row>
    <row r="2">
      <c r="A2" s="2" t="inlineStr">
        <is>
          <t>How this was built - forensic lineage</t>
        </is>
      </c>
    </row>
    <row r="3">
      <c r="A3" s="2" t="inlineStr">
        <is>
          <t>Entity ID: cawc_0018   |   Fiscal year ends December 31.</t>
        </is>
      </c>
    </row>
    <row r="5" ht="171" customHeight="1">
      <c r="A5" s="3" t="inlineStr">
        <is>
          <t>A plain account of the forensic lineage behind the hard-to-source metrics: what sources were checked, what was found, what was derived, and what could not be built and why. Every figure marked DERIVED or IMPOSSIBLE above is traceable to a line here.</t>
        </is>
      </c>
    </row>
    <row r="7">
      <c r="A7" s="6" t="inlineStr">
        <is>
          <t>Water-sales revenue per customer - DIRECT</t>
        </is>
      </c>
      <c r="B7" s="7" t="n"/>
    </row>
    <row r="8" ht="72" customHeight="1">
      <c r="A8" s="16" t="inlineStr">
        <is>
          <t>Sources checked</t>
        </is>
      </c>
      <c r="B8" s="18" t="inlineStr">
        <is>
          <t>State Water Board eAR Section 8b (water-rate revenue B1.1/B1.2); State Water Board eAR Section 4 (connection count, same reporting year); audited financial statement (secondary cross-check, where published)</t>
        </is>
      </c>
    </row>
    <row r="9" ht="72" customHeight="1">
      <c r="A9" s="16" t="inlineStr">
        <is>
          <t>What was found</t>
        </is>
      </c>
      <c r="B9" s="18" t="inlineStr">
        <is>
          <t>The eAR Section 8b reports water-rate revenue for reporting year 2023, so this is a DIRECT filed figure; per customer it is divided by the eAR Section 4 connection count for the same reporting year, so numerator and denominator share the year.</t>
        </is>
      </c>
    </row>
    <row r="11">
      <c r="A11" s="6" t="inlineStr">
        <is>
          <t>Assessment revenue (residual) - DERIVED</t>
        </is>
      </c>
      <c r="B11" s="7" t="n"/>
    </row>
    <row r="12" ht="72" customHeight="1">
      <c r="A12" s="16" t="inlineStr">
        <is>
          <t>Sources checked</t>
        </is>
      </c>
      <c r="B12" s="18" t="inlineStr">
        <is>
          <t>Form 990 Part VIII line 2 (program-service revenue); State Water Board eAR Section 8b (water-rate revenue B1.1/B1.2)</t>
        </is>
      </c>
    </row>
    <row r="13" ht="72" customHeight="1">
      <c r="A13" s="16" t="inlineStr">
        <is>
          <t>What was found</t>
        </is>
      </c>
      <c r="B13" s="18" t="inlineStr">
        <is>
          <t>No source separately reports a member assessment, so it is DERIVED as a residual: $43,307 (990 program-service revenue) minus $43,307 (eAR water-rate revenue) = $0. Period-aligned; medium confidence.</t>
        </is>
      </c>
    </row>
    <row r="14" ht="72" customHeight="1">
      <c r="A14" s="16" t="inlineStr">
        <is>
          <t>Caveat</t>
        </is>
      </c>
      <c r="B14" s="18" t="inlineStr">
        <is>
          <t>This residual is a difference between two sources for the same period; it is not a separately filed assessment line and may include other unmatched revenue.</t>
        </is>
      </c>
    </row>
    <row r="16">
      <c r="A16" s="6" t="inlineStr">
        <is>
          <t>Meter revenue - not reported</t>
        </is>
      </c>
      <c r="B16" s="7" t="n"/>
    </row>
    <row r="17" ht="72" customHeight="1">
      <c r="A17" s="16" t="inlineStr">
        <is>
          <t>Sources checked</t>
        </is>
      </c>
      <c r="B17" s="18" t="inlineStr">
        <is>
          <t>State Water Board eAR Section 8a (rate prices); State Water Board eAR Section 8b (revenue lines); audited financial statement</t>
        </is>
      </c>
    </row>
    <row r="18" ht="72" customHeight="1">
      <c r="A18" s="16" t="inlineStr">
        <is>
          <t>What was found</t>
        </is>
      </c>
      <c r="B18" s="18" t="inlineStr">
        <is>
          <t>The rate price exists in Section 8a but no revenue or tier volume is reported, and the base charge is already inside water sales.</t>
        </is>
      </c>
    </row>
    <row r="19" ht="72" customHeight="1">
      <c r="A19" s="16" t="inlineStr">
        <is>
          <t>Caveat</t>
        </is>
      </c>
      <c r="B19" s="18" t="inlineStr">
        <is>
          <t>The eAR Section 8a reports a base/meter rate PRICE, but the filing carries no meter revenue line and no tier volume, and the base charge is already inside the water-sales revenue (eAR Section 8b water rates). Building a separate meter figure would double-count. Not backed into from a total.</t>
        </is>
      </c>
    </row>
    <row r="21">
      <c r="A21" s="6" t="inlineStr">
        <is>
          <t>Overage / tiered-penalty revenue - not reported</t>
        </is>
      </c>
      <c r="B21" s="7" t="n"/>
    </row>
    <row r="22" ht="72" customHeight="1">
      <c r="A22" s="16" t="inlineStr">
        <is>
          <t>Sources checked</t>
        </is>
      </c>
      <c r="B22" s="18" t="inlineStr">
        <is>
          <t>State Water Board eAR Section 8a (rate prices); State Water Board eAR Section 8b (revenue lines); audited financial statement</t>
        </is>
      </c>
    </row>
    <row r="23" ht="72" customHeight="1">
      <c r="A23" s="16" t="inlineStr">
        <is>
          <t>What was found</t>
        </is>
      </c>
      <c r="B23" s="18" t="inlineStr">
        <is>
          <t>The rate price exists in Section 8a but no revenue or tier volume is reported, and the base charge is already inside water sales.</t>
        </is>
      </c>
    </row>
    <row r="24" ht="72" customHeight="1">
      <c r="A24" s="16" t="inlineStr">
        <is>
          <t>Caveat</t>
        </is>
      </c>
      <c r="B24" s="18" t="inlineStr">
        <is>
          <t>The eAR Section 8a reports tiered/overage rate PRICES, but the filing carries no overage revenue and no tier consumption volume, and any overage billed is already inside the water-sales revenue. Building it would double-count. Not backed into from a total.</t>
        </is>
      </c>
    </row>
    <row r="26">
      <c r="A26" s="6" t="inlineStr">
        <is>
          <t>eAR Section 8b reporting-period basis - sourced</t>
        </is>
      </c>
      <c r="B26" s="7" t="n"/>
    </row>
    <row r="27" ht="72" customHeight="1">
      <c r="A27" s="16" t="inlineStr">
        <is>
          <t>Sources checked</t>
        </is>
      </c>
      <c r="B27" s="18" t="inlineStr">
        <is>
          <t>eAR Section 8b B0.1 (WRFinancialReportingPeriod); eAR Section 8b B0.2 (WRFiscalYearStartDate)</t>
        </is>
      </c>
    </row>
    <row r="28" ht="72" customHeight="1">
      <c r="A28" s="16" t="inlineStr">
        <is>
          <t>What was found</t>
        </is>
      </c>
      <c r="B28" s="18" t="inlineStr">
        <is>
          <t>The reporting basis (fiscal vs calendar year) is read from the filer's own B0.1/B0.2 answer and staged verbatim, never hardcoded, so the 990 comparison and the residual are period-aligned.</t>
        </is>
      </c>
    </row>
    <row r="30">
      <c r="A30" s="6" t="inlineStr">
        <is>
          <t>Member (shareholder) count denominator - not reported</t>
        </is>
      </c>
      <c r="B30" s="7" t="n"/>
    </row>
    <row r="31" ht="72" customHeight="1">
      <c r="A31" s="16" t="inlineStr">
        <is>
          <t>Sources checked</t>
        </is>
      </c>
      <c r="B31" s="18" t="inlineStr">
        <is>
          <t>Form 990 (no member count stated); company website</t>
        </is>
      </c>
    </row>
    <row r="32" ht="72" customHeight="1">
      <c r="A32" s="16" t="inlineStr">
        <is>
          <t>What was found</t>
        </is>
      </c>
      <c r="B32" s="18" t="inlineStr">
        <is>
          <t>No filing states a member/shareholder count, so the per-member unit economics read not reported rather than borrowing the connection count.</t>
        </is>
      </c>
    </row>
    <row r="34">
      <c r="A34" s="6" t="inlineStr">
        <is>
          <t>Water volume delivered (acre-feet) - not reported</t>
        </is>
      </c>
      <c r="B34" s="7" t="n"/>
    </row>
    <row r="35" ht="72" customHeight="1">
      <c r="A35" s="16" t="inlineStr">
        <is>
          <t>Sources checked</t>
        </is>
      </c>
      <c r="B35" s="18" t="inlineStr">
        <is>
          <t>Form 990 (not in the filing); Consumer Confidence Report; eAR Section 6 (PRA-gated)</t>
        </is>
      </c>
    </row>
    <row r="36" ht="72" customHeight="1">
      <c r="A36" s="16" t="inlineStr">
        <is>
          <t>What was found</t>
        </is>
      </c>
      <c r="B36" s="18" t="inlineStr">
        <is>
          <t>Volume delivered in acre-feet is not in the Form 990 and the CCR states only a source mix, so the per-acre-foot metrics read not reported; the eAR Section 6 is named as the source still needed.</t>
        </is>
      </c>
    </row>
  </sheetData>
  <mergeCells count="4">
    <mergeCell ref="A3:B3"/>
    <mergeCell ref="A2:B2"/>
    <mergeCell ref="A1:B1"/>
    <mergeCell ref="A5:B5"/>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F17"/>
  <sheetViews>
    <sheetView workbookViewId="0">
      <pane ySplit="7" topLeftCell="A8" activePane="bottomLeft" state="frozen"/>
      <selection pane="bottomLeft" activeCell="A1" sqref="A1"/>
    </sheetView>
  </sheetViews>
  <sheetFormatPr baseColWidth="8" defaultRowHeight="15"/>
  <cols>
    <col width="30" customWidth="1" min="1" max="1"/>
    <col width="46" customWidth="1" min="2" max="2"/>
    <col width="30" customWidth="1" min="3" max="3"/>
    <col width="10" customWidth="1" min="4" max="4"/>
    <col width="12" customWidth="1" min="5" max="5"/>
    <col width="60" customWidth="1" min="6" max="6"/>
  </cols>
  <sheetData>
    <row r="1">
      <c r="A1" s="1" t="inlineStr">
        <is>
          <t>Casitas Mutual Water Company</t>
        </is>
      </c>
    </row>
    <row r="2">
      <c r="A2" s="2" t="inlineStr">
        <is>
          <t>Water Operations (sourced outside the financial filings)</t>
        </is>
      </c>
    </row>
    <row r="3">
      <c r="A3" s="2" t="inlineStr">
        <is>
          <t>Entity ID: cawc_0018   |   Fiscal year ends December 31.</t>
        </is>
      </c>
    </row>
    <row r="5" ht="42" customHeight="1">
      <c r="A5" s="3" t="inlineStr">
        <is>
          <t>A separate dialect of data from the financial statements: the system's water supply, from the California State Water Board records (the Consumer Confidence Report served by the eAR portal, and SDWIS Drinking Water Watch). Each field carries its source, year, and confidence the same way a financial line item does; a field the source does not state reads 'not reported' with the source still needed. Figures are as reported, never estimated or reconciled across sources.</t>
        </is>
      </c>
    </row>
    <row r="7">
      <c r="A7" s="5" t="inlineStr">
        <is>
          <t>Field</t>
        </is>
      </c>
      <c r="B7" s="5" t="inlineStr">
        <is>
          <t>Value</t>
        </is>
      </c>
      <c r="C7" s="5" t="inlineStr">
        <is>
          <t>Source</t>
        </is>
      </c>
      <c r="D7" s="5" t="inlineStr">
        <is>
          <t>Year</t>
        </is>
      </c>
      <c r="E7" s="5" t="inlineStr">
        <is>
          <t>Confidence</t>
        </is>
      </c>
      <c r="F7" s="5" t="inlineStr">
        <is>
          <t>Source excerpt / cross-source note</t>
        </is>
      </c>
    </row>
    <row r="8" ht="42" customHeight="1">
      <c r="A8" s="8" t="inlineStr">
        <is>
          <t>Water type</t>
        </is>
      </c>
      <c r="B8" s="19" t="inlineStr">
        <is>
          <t>Potable (community drinking water)</t>
        </is>
      </c>
      <c r="C8" s="8" t="inlineStr">
        <is>
          <t>SDWIS Drinking Water Watch (State Water Board)</t>
        </is>
      </c>
      <c r="D8" s="44" t="n">
        <v>2024</v>
      </c>
      <c r="E8" s="8" t="inlineStr">
        <is>
          <t>high</t>
        </is>
      </c>
      <c r="F8" s="19" t="inlineStr">
        <is>
          <t>CASITAS MUTUAL WATER COMPANY: State Water System Type = Community.</t>
        </is>
      </c>
    </row>
    <row r="9" ht="42" customHeight="1">
      <c r="A9" s="8" t="inlineStr">
        <is>
          <t>Source mix</t>
        </is>
      </c>
      <c r="B9" s="19" t="inlineStr">
        <is>
          <t>Primary source: purchased treated surface water from a wholesale supplier (SDWIS Primary Water Source Type: Surface Water Purchased). SDWIS classifies the primary supply type; it states no acre-foot volume by source.</t>
        </is>
      </c>
      <c r="C9" s="8" t="inlineStr">
        <is>
          <t>SDWIS Drinking Water Watch (State Water Board)</t>
        </is>
      </c>
      <c r="D9" s="44" t="n">
        <v>2024</v>
      </c>
      <c r="E9" s="8" t="inlineStr">
        <is>
          <t>high</t>
        </is>
      </c>
      <c r="F9" s="19" t="inlineStr">
        <is>
          <t>CASITAS MUTUAL WATER COMPANY: Primary Water Source Type = Surface Water Purchased.</t>
        </is>
      </c>
    </row>
    <row r="10" ht="42" customHeight="1">
      <c r="A10" s="8" t="inlineStr">
        <is>
          <t>Service connections (total)</t>
        </is>
      </c>
      <c r="B10" s="19" t="inlineStr">
        <is>
          <t>83 connections</t>
        </is>
      </c>
      <c r="C10" s="8" t="inlineStr">
        <is>
          <t>SDWIS Drinking Water Watch (State Water Board)</t>
        </is>
      </c>
      <c r="D10" s="44" t="n">
        <v>2024</v>
      </c>
      <c r="E10" s="8" t="inlineStr">
        <is>
          <t>high</t>
        </is>
      </c>
      <c r="F10" s="19" t="inlineStr">
        <is>
          <t>CASITAS MUTUAL WATER COMPANY: Total Number of Service Connections = 83.  [cross-source: SDWIS connection snapshot; the eAR reports active service connections on its own basis and per reporting year. Both preserved, not reconciled.]</t>
        </is>
      </c>
    </row>
    <row r="11" ht="42" customHeight="1">
      <c r="A11" s="8" t="inlineStr">
        <is>
          <t>Connections by class</t>
        </is>
      </c>
      <c r="B11" s="19" t="inlineStr">
        <is>
          <t>Service connections by type (SDWIS snapshot): Residential 81; Commercial 2; Total 83.</t>
        </is>
      </c>
      <c r="C11" s="8" t="inlineStr">
        <is>
          <t>SDWIS Drinking Water Watch (State Water Board)</t>
        </is>
      </c>
      <c r="D11" s="44" t="n">
        <v>2024</v>
      </c>
      <c r="E11" s="8" t="inlineStr">
        <is>
          <t>high</t>
        </is>
      </c>
      <c r="F11" s="19" t="inlineStr">
        <is>
          <t>CASITAS MUTUAL WATER COMPANY: connections by type - Residential 81; Commercial 2; Total 83.</t>
        </is>
      </c>
    </row>
    <row r="12" ht="42" customHeight="1">
      <c r="A12" s="8" t="inlineStr">
        <is>
          <t>Population served</t>
        </is>
      </c>
      <c r="B12" s="19" t="inlineStr">
        <is>
          <t>238 residents</t>
        </is>
      </c>
      <c r="C12" s="8" t="inlineStr">
        <is>
          <t>SDWIS Drinking Water Watch (State Water Board)</t>
        </is>
      </c>
      <c r="D12" s="44" t="n">
        <v>2024</v>
      </c>
      <c r="E12" s="8" t="inlineStr">
        <is>
          <t>high</t>
        </is>
      </c>
      <c r="F12" s="19" t="inlineStr">
        <is>
          <t>CASITAS MUTUAL WATER COMPANY: Total Population = 238.</t>
        </is>
      </c>
    </row>
    <row r="13" ht="42" customHeight="1">
      <c r="A13" s="8" t="inlineStr">
        <is>
          <t>Treatment and water quality</t>
        </is>
      </c>
      <c r="B13" s="19" t="inlineStr">
        <is>
          <t>Operator certification on file: Treatment or distribution operator of any grade; Distribution Operator Level 1. SDWIS states operator grades, not the treatment process detail.</t>
        </is>
      </c>
      <c r="C13" s="8" t="inlineStr">
        <is>
          <t>SDWIS Drinking Water Watch (State Water Board)</t>
        </is>
      </c>
      <c r="D13" s="44" t="n">
        <v>2024</v>
      </c>
      <c r="E13" s="8" t="inlineStr">
        <is>
          <t>high</t>
        </is>
      </c>
      <c r="F13" s="19" t="inlineStr">
        <is>
          <t>CASITAS MUTUAL WATER COMPANY: Treatment Plant Class = Treatment or distribution operator of any grade; Distribution System Class = Distribution Operator Level 1.</t>
        </is>
      </c>
    </row>
    <row r="15">
      <c r="A15" s="6" t="inlineStr">
        <is>
          <t>Not reported (source still needed)</t>
        </is>
      </c>
      <c r="B15" s="7" t="n"/>
      <c r="C15" s="7" t="n"/>
      <c r="D15" s="7" t="n"/>
      <c r="E15" s="7" t="n"/>
      <c r="F15" s="7" t="n"/>
    </row>
    <row r="16" ht="30" customHeight="1">
      <c r="A16" s="8" t="inlineStr">
        <is>
          <t>Annual volume delivered (acre-feet)</t>
        </is>
      </c>
      <c r="B16" s="18" t="inlineStr">
        <is>
          <t>not reported - needs annual volume in acre-feet (State Water Board eAR Section 6 or company production records); the CCR states only a percentage mix</t>
        </is>
      </c>
      <c r="C16" s="42" t="n"/>
      <c r="D16" s="42" t="n"/>
      <c r="E16" s="42" t="n"/>
      <c r="F16" s="42" t="n"/>
    </row>
    <row r="17" ht="30" customHeight="1">
      <c r="A17" s="8" t="inlineStr">
        <is>
          <t>Customer classes served</t>
        </is>
      </c>
      <c r="B17" s="18" t="inlineStr">
        <is>
          <t>not reported - needs the State Water Board eAR or the system CCR</t>
        </is>
      </c>
      <c r="C17" s="42" t="n"/>
      <c r="D17" s="42" t="n"/>
      <c r="E17" s="42" t="n"/>
      <c r="F17" s="42" t="n"/>
    </row>
  </sheetData>
  <mergeCells count="4">
    <mergeCell ref="A3:F3"/>
    <mergeCell ref="A2:F2"/>
    <mergeCell ref="A1:F1"/>
    <mergeCell ref="A5:F5"/>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K114"/>
  <sheetViews>
    <sheetView workbookViewId="0">
      <pane ySplit="5" topLeftCell="A6" activePane="bottomLeft" state="frozen"/>
      <selection pane="bottomLeft" activeCell="A1" sqref="A1"/>
    </sheetView>
  </sheetViews>
  <sheetFormatPr baseColWidth="8" defaultRowHeight="15"/>
  <cols>
    <col width="22" customWidth="1" min="1" max="1"/>
    <col width="10" customWidth="1" min="2" max="2"/>
    <col width="40" customWidth="1" min="3" max="3"/>
    <col width="16" customWidth="1" min="4" max="4"/>
    <col width="46" customWidth="1" min="5" max="5"/>
    <col width="12" customWidth="1" min="6" max="6"/>
    <col width="18" customWidth="1" min="7" max="7"/>
  </cols>
  <sheetData>
    <row r="1">
      <c r="A1" s="1" t="inlineStr">
        <is>
          <t>Casitas Mutual Water Company</t>
        </is>
      </c>
    </row>
    <row r="2">
      <c r="A2" s="2" t="inlineStr">
        <is>
          <t>Sources &amp; audit - full provenance and tie-outs (kept off the statements so they read clean)</t>
        </is>
      </c>
    </row>
    <row r="3">
      <c r="A3" s="2" t="inlineStr">
        <is>
          <t>Entity ID: cawc_0018   |   Fiscal year ends December 31.</t>
        </is>
      </c>
    </row>
    <row r="5" ht="30" customHeight="1">
      <c r="A5" s="3" t="inlineStr">
        <is>
          <t>Presentation standard: every figure on the statement tabs is verified to its source filing and shown clean. A cell the filing does not report reads "not reported" (never estimated, never guessed).</t>
        </is>
      </c>
    </row>
    <row r="6" ht="30" customHeight="1">
      <c r="A6" s="3" t="inlineStr">
        <is>
          <t>Citations, confidence tiers, and the filed-vs-computed tie-out checks live on the "Sources &amp; audit" tab, keyed by cell, so every number is fully traceable without cluttering the statements. These pages are ready to use as filed.</t>
        </is>
      </c>
    </row>
    <row r="8">
      <c r="A8" s="43" t="inlineStr">
        <is>
          <t>A. Filing provenance (one row per staged extraction)</t>
        </is>
      </c>
      <c r="B8" s="7" t="n"/>
      <c r="C8" s="7" t="n"/>
      <c r="D8" s="7" t="n"/>
      <c r="E8" s="7" t="n"/>
      <c r="F8" s="7" t="n"/>
      <c r="G8" s="7" t="n"/>
      <c r="H8" s="7" t="n"/>
      <c r="I8" s="7" t="n"/>
      <c r="J8" s="7" t="n"/>
      <c r="K8" s="7" t="n"/>
    </row>
    <row r="9">
      <c r="A9" s="5" t="inlineStr">
        <is>
          <t>Fiscal year</t>
        </is>
      </c>
      <c r="B9" s="5" t="inlineStr">
        <is>
          <t>Period end</t>
        </is>
      </c>
      <c r="C9" s="5" t="inlineStr">
        <is>
          <t>Filing type</t>
        </is>
      </c>
      <c r="D9" s="5" t="inlineStr">
        <is>
          <t>Confidence</t>
        </is>
      </c>
      <c r="E9" s="5" t="inlineStr">
        <is>
          <t>Extraction ID</t>
        </is>
      </c>
      <c r="F9" s="5" t="inlineStr">
        <is>
          <t>Object ID</t>
        </is>
      </c>
      <c r="G9" s="5" t="inlineStr">
        <is>
          <t>Extracted by</t>
        </is>
      </c>
      <c r="H9" s="5" t="inlineStr">
        <is>
          <t>Extracted at</t>
        </is>
      </c>
      <c r="I9" s="5" t="inlineStr">
        <is>
          <t>Source URL</t>
        </is>
      </c>
    </row>
    <row r="10">
      <c r="A10" s="44" t="inlineStr">
        <is>
          <t>FY2020</t>
        </is>
      </c>
      <c r="B10" s="8" t="inlineStr">
        <is>
          <t>2020-12-31</t>
        </is>
      </c>
      <c r="C10" s="8" t="inlineStr">
        <is>
          <t>990-EZ</t>
        </is>
      </c>
      <c r="D10" s="8" t="inlineStr">
        <is>
          <t>high</t>
        </is>
      </c>
      <c r="E10" s="8" t="inlineStr">
        <is>
          <t>edea145d-5720-4a4e-b557-6e523593b27d</t>
        </is>
      </c>
      <c r="F10" s="8" t="inlineStr">
        <is>
          <t>202141329349201774</t>
        </is>
      </c>
      <c r="G10" s="8" t="inlineStr">
        <is>
          <t>claude-opus-5</t>
        </is>
      </c>
      <c r="H10" s="8" t="inlineStr">
        <is>
          <t>2026-09-14T20:40:23+00:00</t>
        </is>
      </c>
      <c r="I10" s="8" t="inlineStr">
        <is>
          <t>https://apps.irs.gov/pub/epostcard/990/xml/2021/2021_TEOS_XML_01A.zip#202141329349201774_public.xml</t>
        </is>
      </c>
    </row>
    <row r="11">
      <c r="A11" s="44" t="inlineStr">
        <is>
          <t>FY2021</t>
        </is>
      </c>
      <c r="B11" s="8" t="inlineStr">
        <is>
          <t>2021-12-31</t>
        </is>
      </c>
      <c r="C11" s="8" t="inlineStr">
        <is>
          <t>990-EZ</t>
        </is>
      </c>
      <c r="D11" s="8" t="inlineStr">
        <is>
          <t>high</t>
        </is>
      </c>
      <c r="E11" s="8" t="inlineStr">
        <is>
          <t>b3956851-71d1-4b9a-bdaa-2395eb26b5dd</t>
        </is>
      </c>
      <c r="F11" s="8" t="inlineStr">
        <is>
          <t>202221119349200907</t>
        </is>
      </c>
      <c r="G11" s="8" t="inlineStr">
        <is>
          <t>claude-opus-5</t>
        </is>
      </c>
      <c r="H11" s="8" t="inlineStr">
        <is>
          <t>2026-09-14T20:40:23+00:00</t>
        </is>
      </c>
      <c r="I11" s="8" t="inlineStr">
        <is>
          <t>https://apps.irs.gov/pub/epostcard/990/xml/2022/2022_TEOS_XML_01A.zip#202221119349200907_public.xml</t>
        </is>
      </c>
    </row>
    <row r="12">
      <c r="A12" s="44" t="inlineStr">
        <is>
          <t>FY2022</t>
        </is>
      </c>
      <c r="B12" s="8" t="inlineStr">
        <is>
          <t>2022-12-31</t>
        </is>
      </c>
      <c r="C12" s="8" t="inlineStr">
        <is>
          <t>990-EZ</t>
        </is>
      </c>
      <c r="D12" s="8" t="inlineStr">
        <is>
          <t>high</t>
        </is>
      </c>
      <c r="E12" s="8" t="inlineStr">
        <is>
          <t>7675e475-65fa-4849-8ab6-db3e230f2ee7</t>
        </is>
      </c>
      <c r="F12" s="8" t="inlineStr">
        <is>
          <t>202331639349200433</t>
        </is>
      </c>
      <c r="G12" s="8" t="inlineStr">
        <is>
          <t>claude-opus-5</t>
        </is>
      </c>
      <c r="H12" s="8" t="inlineStr">
        <is>
          <t>2026-09-14T20:40:23+00:00</t>
        </is>
      </c>
      <c r="I12" s="8" t="inlineStr">
        <is>
          <t>https://apps.irs.gov/pub/epostcard/990/xml/2023/2023_TEOS_XML_06A.zip#202331639349200433_public.xml</t>
        </is>
      </c>
    </row>
    <row r="13">
      <c r="A13" s="44" t="inlineStr">
        <is>
          <t>FY2023</t>
        </is>
      </c>
      <c r="B13" s="8" t="inlineStr">
        <is>
          <t>2023-12-31</t>
        </is>
      </c>
      <c r="C13" s="8" t="inlineStr">
        <is>
          <t>990-EZ</t>
        </is>
      </c>
      <c r="D13" s="8" t="inlineStr">
        <is>
          <t>high</t>
        </is>
      </c>
      <c r="E13" s="8" t="inlineStr">
        <is>
          <t>195dc69d-aabc-4885-a97e-307bcbd81acd</t>
        </is>
      </c>
      <c r="F13" s="8" t="inlineStr">
        <is>
          <t>202441629349200429</t>
        </is>
      </c>
      <c r="G13" s="8" t="inlineStr">
        <is>
          <t>claude-opus-5</t>
        </is>
      </c>
      <c r="H13" s="8" t="inlineStr">
        <is>
          <t>2026-09-14T20:40:23+00:00</t>
        </is>
      </c>
      <c r="I13" s="8" t="inlineStr">
        <is>
          <t>https://apps.irs.gov/pub/epostcard/990/xml/2024/2024_TEOS_XML_06A.zip#202441629349200429_public.xml</t>
        </is>
      </c>
    </row>
    <row r="14">
      <c r="A14" s="44" t="inlineStr">
        <is>
          <t>FY2024</t>
        </is>
      </c>
      <c r="B14" s="8" t="inlineStr">
        <is>
          <t>2024-12-31</t>
        </is>
      </c>
      <c r="C14" s="8" t="inlineStr">
        <is>
          <t>990-EZ</t>
        </is>
      </c>
      <c r="D14" s="8" t="inlineStr">
        <is>
          <t>high</t>
        </is>
      </c>
      <c r="E14" s="8" t="inlineStr">
        <is>
          <t>cc650c6c-eded-4436-be03-038aed53115a</t>
        </is>
      </c>
      <c r="F14" s="8" t="inlineStr">
        <is>
          <t>202501069349201045</t>
        </is>
      </c>
      <c r="G14" s="8" t="inlineStr">
        <is>
          <t>claude-opus-5</t>
        </is>
      </c>
      <c r="H14" s="8" t="inlineStr">
        <is>
          <t>2026-09-14T20:40:23+00:00</t>
        </is>
      </c>
      <c r="I14" s="8" t="inlineStr">
        <is>
          <t>https://apps.irs.gov/pub/epostcard/990/xml/2025/2025_TEOS_XML_04A.zip#202501069349201045_public.xml</t>
        </is>
      </c>
    </row>
    <row r="16">
      <c r="A16" s="43" t="inlineStr">
        <is>
          <t>B. Figure citations (every figure on the statement tabs, keyed by cell)</t>
        </is>
      </c>
      <c r="B16" s="7" t="n"/>
      <c r="C16" s="7" t="n"/>
      <c r="D16" s="7" t="n"/>
      <c r="E16" s="7" t="n"/>
      <c r="F16" s="7" t="n"/>
      <c r="G16" s="7" t="n"/>
      <c r="H16" s="7" t="n"/>
      <c r="I16" s="7" t="n"/>
      <c r="J16" s="7" t="n"/>
      <c r="K16" s="7" t="n"/>
    </row>
    <row r="17">
      <c r="A17" s="5" t="inlineStr">
        <is>
          <t>Tab</t>
        </is>
      </c>
      <c r="B17" s="5" t="inlineStr">
        <is>
          <t>Cell</t>
        </is>
      </c>
      <c r="C17" s="5" t="inlineStr">
        <is>
          <t>Line item</t>
        </is>
      </c>
      <c r="D17" s="5" t="inlineStr">
        <is>
          <t>Form 990 line</t>
        </is>
      </c>
      <c r="E17" s="5" t="inlineStr">
        <is>
          <t>Key path</t>
        </is>
      </c>
      <c r="F17" s="5" t="inlineStr">
        <is>
          <t>Confidence</t>
        </is>
      </c>
      <c r="G17" s="5" t="inlineStr">
        <is>
          <t>As filed</t>
        </is>
      </c>
    </row>
    <row r="18">
      <c r="A18" s="8" t="inlineStr">
        <is>
          <t>Form 990-EZ Parts I &amp; II</t>
        </is>
      </c>
      <c r="B18" s="8" t="inlineStr">
        <is>
          <t>E7</t>
        </is>
      </c>
      <c r="C18" s="8" t="inlineStr">
        <is>
          <t>1. Contributions, gifts, grants</t>
        </is>
      </c>
      <c r="D18" s="8" t="inlineStr">
        <is>
          <t>Part I line 1</t>
        </is>
      </c>
      <c r="E18" s="8" t="inlineStr">
        <is>
          <t>part_i_revenue_expenses.contributions_grants</t>
        </is>
      </c>
      <c r="F18" s="8" t="inlineStr">
        <is>
          <t>high</t>
        </is>
      </c>
      <c r="G18" s="9" t="n">
        <v>142847</v>
      </c>
    </row>
    <row r="19">
      <c r="A19" s="8" t="inlineStr">
        <is>
          <t>Form 990-EZ Parts I &amp; II</t>
        </is>
      </c>
      <c r="B19" s="8" t="inlineStr">
        <is>
          <t>F7</t>
        </is>
      </c>
      <c r="C19" s="8" t="inlineStr">
        <is>
          <t>1. Contributions, gifts, grants</t>
        </is>
      </c>
      <c r="D19" s="8" t="inlineStr">
        <is>
          <t>Part I line 1</t>
        </is>
      </c>
      <c r="E19" s="8" t="inlineStr">
        <is>
          <t>part_i_revenue_expenses.contributions_grants</t>
        </is>
      </c>
      <c r="F19" s="8" t="inlineStr">
        <is>
          <t>high</t>
        </is>
      </c>
      <c r="G19" s="9" t="n">
        <v>15872</v>
      </c>
    </row>
    <row r="20">
      <c r="A20" s="8" t="inlineStr">
        <is>
          <t>Form 990-EZ Parts I &amp; II</t>
        </is>
      </c>
      <c r="B20" s="8" t="inlineStr">
        <is>
          <t>B8</t>
        </is>
      </c>
      <c r="C20" s="8" t="inlineStr">
        <is>
          <t>2. Program service revenue</t>
        </is>
      </c>
      <c r="D20" s="8" t="inlineStr">
        <is>
          <t>Part I line 2</t>
        </is>
      </c>
      <c r="E20" s="8" t="inlineStr">
        <is>
          <t>part_i_revenue_expenses.program_service_revenue</t>
        </is>
      </c>
      <c r="F20" s="8" t="inlineStr">
        <is>
          <t>high</t>
        </is>
      </c>
      <c r="G20" s="9" t="n">
        <v>39358</v>
      </c>
    </row>
    <row r="21">
      <c r="A21" s="8" t="inlineStr">
        <is>
          <t>Form 990-EZ Parts I &amp; II</t>
        </is>
      </c>
      <c r="B21" s="8" t="inlineStr">
        <is>
          <t>C8</t>
        </is>
      </c>
      <c r="C21" s="8" t="inlineStr">
        <is>
          <t>2. Program service revenue</t>
        </is>
      </c>
      <c r="D21" s="8" t="inlineStr">
        <is>
          <t>Part I line 2</t>
        </is>
      </c>
      <c r="E21" s="8" t="inlineStr">
        <is>
          <t>part_i_revenue_expenses.program_service_revenue</t>
        </is>
      </c>
      <c r="F21" s="8" t="inlineStr">
        <is>
          <t>high</t>
        </is>
      </c>
      <c r="G21" s="9" t="n">
        <v>59854</v>
      </c>
    </row>
    <row r="22">
      <c r="A22" s="8" t="inlineStr">
        <is>
          <t>Form 990-EZ Parts I &amp; II</t>
        </is>
      </c>
      <c r="B22" s="8" t="inlineStr">
        <is>
          <t>D8</t>
        </is>
      </c>
      <c r="C22" s="8" t="inlineStr">
        <is>
          <t>2. Program service revenue</t>
        </is>
      </c>
      <c r="D22" s="8" t="inlineStr">
        <is>
          <t>Part I line 2</t>
        </is>
      </c>
      <c r="E22" s="8" t="inlineStr">
        <is>
          <t>part_i_revenue_expenses.program_service_revenue</t>
        </is>
      </c>
      <c r="F22" s="8" t="inlineStr">
        <is>
          <t>high</t>
        </is>
      </c>
      <c r="G22" s="9" t="n">
        <v>82087</v>
      </c>
    </row>
    <row r="23">
      <c r="A23" s="8" t="inlineStr">
        <is>
          <t>Form 990-EZ Parts I &amp; II</t>
        </is>
      </c>
      <c r="B23" s="8" t="inlineStr">
        <is>
          <t>E8</t>
        </is>
      </c>
      <c r="C23" s="8" t="inlineStr">
        <is>
          <t>2. Program service revenue</t>
        </is>
      </c>
      <c r="D23" s="8" t="inlineStr">
        <is>
          <t>Part I line 2</t>
        </is>
      </c>
      <c r="E23" s="8" t="inlineStr">
        <is>
          <t>part_i_revenue_expenses.program_service_revenue</t>
        </is>
      </c>
      <c r="F23" s="8" t="inlineStr">
        <is>
          <t>high</t>
        </is>
      </c>
      <c r="G23" s="9" t="n">
        <v>43307</v>
      </c>
    </row>
    <row r="24">
      <c r="A24" s="8" t="inlineStr">
        <is>
          <t>Form 990-EZ Parts I &amp; II</t>
        </is>
      </c>
      <c r="B24" s="8" t="inlineStr">
        <is>
          <t>F8</t>
        </is>
      </c>
      <c r="C24" s="8" t="inlineStr">
        <is>
          <t>2. Program service revenue</t>
        </is>
      </c>
      <c r="D24" s="8" t="inlineStr">
        <is>
          <t>Part I line 2</t>
        </is>
      </c>
      <c r="E24" s="8" t="inlineStr">
        <is>
          <t>part_i_revenue_expenses.program_service_revenue</t>
        </is>
      </c>
      <c r="F24" s="8" t="inlineStr">
        <is>
          <t>high</t>
        </is>
      </c>
      <c r="G24" s="9" t="n">
        <v>96924</v>
      </c>
    </row>
    <row r="25">
      <c r="A25" s="8" t="inlineStr">
        <is>
          <t>Form 990-EZ Parts I &amp; II</t>
        </is>
      </c>
      <c r="B25" s="8" t="inlineStr">
        <is>
          <t>B9</t>
        </is>
      </c>
      <c r="C25" s="8" t="inlineStr">
        <is>
          <t>4. Investment income</t>
        </is>
      </c>
      <c r="D25" s="8" t="inlineStr">
        <is>
          <t>Part I line 4</t>
        </is>
      </c>
      <c r="E25" s="8" t="inlineStr">
        <is>
          <t>part_i_revenue_expenses.investment_income</t>
        </is>
      </c>
      <c r="F25" s="8" t="inlineStr">
        <is>
          <t>high</t>
        </is>
      </c>
      <c r="G25" s="9" t="n">
        <v>80</v>
      </c>
    </row>
    <row r="26">
      <c r="A26" s="8" t="inlineStr">
        <is>
          <t>Form 990-EZ Parts I &amp; II</t>
        </is>
      </c>
      <c r="B26" s="8" t="inlineStr">
        <is>
          <t>C9</t>
        </is>
      </c>
      <c r="C26" s="8" t="inlineStr">
        <is>
          <t>4. Investment income</t>
        </is>
      </c>
      <c r="D26" s="8" t="inlineStr">
        <is>
          <t>Part I line 4</t>
        </is>
      </c>
      <c r="E26" s="8" t="inlineStr">
        <is>
          <t>part_i_revenue_expenses.investment_income</t>
        </is>
      </c>
      <c r="F26" s="8" t="inlineStr">
        <is>
          <t>high</t>
        </is>
      </c>
      <c r="G26" s="9" t="n">
        <v>17</v>
      </c>
    </row>
    <row r="27">
      <c r="A27" s="8" t="inlineStr">
        <is>
          <t>Form 990-EZ Parts I &amp; II</t>
        </is>
      </c>
      <c r="B27" s="8" t="inlineStr">
        <is>
          <t>D9</t>
        </is>
      </c>
      <c r="C27" s="8" t="inlineStr">
        <is>
          <t>4. Investment income</t>
        </is>
      </c>
      <c r="D27" s="8" t="inlineStr">
        <is>
          <t>Part I line 4</t>
        </is>
      </c>
      <c r="E27" s="8" t="inlineStr">
        <is>
          <t>part_i_revenue_expenses.investment_income</t>
        </is>
      </c>
      <c r="F27" s="8" t="inlineStr">
        <is>
          <t>high</t>
        </is>
      </c>
      <c r="G27" s="9" t="n">
        <v>11</v>
      </c>
    </row>
    <row r="28">
      <c r="A28" s="8" t="inlineStr">
        <is>
          <t>Form 990-EZ Parts I &amp; II</t>
        </is>
      </c>
      <c r="B28" s="8" t="inlineStr">
        <is>
          <t>E9</t>
        </is>
      </c>
      <c r="C28" s="8" t="inlineStr">
        <is>
          <t>4. Investment income</t>
        </is>
      </c>
      <c r="D28" s="8" t="inlineStr">
        <is>
          <t>Part I line 4</t>
        </is>
      </c>
      <c r="E28" s="8" t="inlineStr">
        <is>
          <t>part_i_revenue_expenses.investment_income</t>
        </is>
      </c>
      <c r="F28" s="8" t="inlineStr">
        <is>
          <t>high</t>
        </is>
      </c>
      <c r="G28" s="9" t="n">
        <v>2</v>
      </c>
    </row>
    <row r="29">
      <c r="A29" s="8" t="inlineStr">
        <is>
          <t>Form 990-EZ Parts I &amp; II</t>
        </is>
      </c>
      <c r="B29" s="8" t="inlineStr">
        <is>
          <t>F9</t>
        </is>
      </c>
      <c r="C29" s="8" t="inlineStr">
        <is>
          <t>4. Investment income</t>
        </is>
      </c>
      <c r="D29" s="8" t="inlineStr">
        <is>
          <t>Part I line 4</t>
        </is>
      </c>
      <c r="E29" s="8" t="inlineStr">
        <is>
          <t>part_i_revenue_expenses.investment_income</t>
        </is>
      </c>
      <c r="F29" s="8" t="inlineStr">
        <is>
          <t>high</t>
        </is>
      </c>
      <c r="G29" s="9" t="n">
        <v>1200</v>
      </c>
    </row>
    <row r="30">
      <c r="A30" s="8" t="inlineStr">
        <is>
          <t>Form 990-EZ Parts I &amp; II</t>
        </is>
      </c>
      <c r="B30" s="8" t="inlineStr">
        <is>
          <t>B10</t>
        </is>
      </c>
      <c r="C30" s="8" t="inlineStr">
        <is>
          <t>9. Total revenue</t>
        </is>
      </c>
      <c r="D30" s="8" t="inlineStr">
        <is>
          <t>Part I line 9</t>
        </is>
      </c>
      <c r="E30" s="8" t="inlineStr">
        <is>
          <t>part_i_revenue_expenses.total_revenue</t>
        </is>
      </c>
      <c r="F30" s="8" t="inlineStr">
        <is>
          <t>high</t>
        </is>
      </c>
      <c r="G30" s="9" t="n">
        <v>39438</v>
      </c>
    </row>
    <row r="31">
      <c r="A31" s="8" t="inlineStr">
        <is>
          <t>Form 990-EZ Parts I &amp; II</t>
        </is>
      </c>
      <c r="B31" s="8" t="inlineStr">
        <is>
          <t>C10</t>
        </is>
      </c>
      <c r="C31" s="8" t="inlineStr">
        <is>
          <t>9. Total revenue</t>
        </is>
      </c>
      <c r="D31" s="8" t="inlineStr">
        <is>
          <t>Part I line 9</t>
        </is>
      </c>
      <c r="E31" s="8" t="inlineStr">
        <is>
          <t>part_i_revenue_expenses.total_revenue</t>
        </is>
      </c>
      <c r="F31" s="8" t="inlineStr">
        <is>
          <t>high</t>
        </is>
      </c>
      <c r="G31" s="9" t="n">
        <v>59871</v>
      </c>
    </row>
    <row r="32">
      <c r="A32" s="8" t="inlineStr">
        <is>
          <t>Form 990-EZ Parts I &amp; II</t>
        </is>
      </c>
      <c r="B32" s="8" t="inlineStr">
        <is>
          <t>D10</t>
        </is>
      </c>
      <c r="C32" s="8" t="inlineStr">
        <is>
          <t>9. Total revenue</t>
        </is>
      </c>
      <c r="D32" s="8" t="inlineStr">
        <is>
          <t>Part I line 9</t>
        </is>
      </c>
      <c r="E32" s="8" t="inlineStr">
        <is>
          <t>part_i_revenue_expenses.total_revenue</t>
        </is>
      </c>
      <c r="F32" s="8" t="inlineStr">
        <is>
          <t>high</t>
        </is>
      </c>
      <c r="G32" s="9" t="n">
        <v>82098</v>
      </c>
    </row>
    <row r="33">
      <c r="A33" s="8" t="inlineStr">
        <is>
          <t>Form 990-EZ Parts I &amp; II</t>
        </is>
      </c>
      <c r="B33" s="8" t="inlineStr">
        <is>
          <t>E10</t>
        </is>
      </c>
      <c r="C33" s="8" t="inlineStr">
        <is>
          <t>9. Total revenue</t>
        </is>
      </c>
      <c r="D33" s="8" t="inlineStr">
        <is>
          <t>Part I line 9</t>
        </is>
      </c>
      <c r="E33" s="8" t="inlineStr">
        <is>
          <t>part_i_revenue_expenses.total_revenue</t>
        </is>
      </c>
      <c r="F33" s="8" t="inlineStr">
        <is>
          <t>high</t>
        </is>
      </c>
      <c r="G33" s="9" t="n">
        <v>186156</v>
      </c>
    </row>
    <row r="34">
      <c r="A34" s="8" t="inlineStr">
        <is>
          <t>Form 990-EZ Parts I &amp; II</t>
        </is>
      </c>
      <c r="B34" s="8" t="inlineStr">
        <is>
          <t>F10</t>
        </is>
      </c>
      <c r="C34" s="8" t="inlineStr">
        <is>
          <t>9. Total revenue</t>
        </is>
      </c>
      <c r="D34" s="8" t="inlineStr">
        <is>
          <t>Part I line 9</t>
        </is>
      </c>
      <c r="E34" s="8" t="inlineStr">
        <is>
          <t>part_i_revenue_expenses.total_revenue</t>
        </is>
      </c>
      <c r="F34" s="8" t="inlineStr">
        <is>
          <t>high</t>
        </is>
      </c>
      <c r="G34" s="9" t="n">
        <v>113996</v>
      </c>
    </row>
    <row r="35">
      <c r="A35" s="8" t="inlineStr">
        <is>
          <t>Form 990-EZ Parts I &amp; II</t>
        </is>
      </c>
      <c r="B35" s="8" t="inlineStr">
        <is>
          <t>B13</t>
        </is>
      </c>
      <c r="C35" s="8" t="inlineStr">
        <is>
          <t>12. Salaries, other compensation, benefits</t>
        </is>
      </c>
      <c r="D35" s="8" t="inlineStr">
        <is>
          <t>Part I line 12</t>
        </is>
      </c>
      <c r="E35" s="8" t="inlineStr">
        <is>
          <t>part_i_revenue_expenses.salaries_other_comp_benefits</t>
        </is>
      </c>
      <c r="F35" s="8" t="inlineStr">
        <is>
          <t>high</t>
        </is>
      </c>
      <c r="G35" s="9" t="n">
        <v>11516</v>
      </c>
    </row>
    <row r="36">
      <c r="A36" s="8" t="inlineStr">
        <is>
          <t>Form 990-EZ Parts I &amp; II</t>
        </is>
      </c>
      <c r="B36" s="8" t="inlineStr">
        <is>
          <t>C13</t>
        </is>
      </c>
      <c r="C36" s="8" t="inlineStr">
        <is>
          <t>12. Salaries, other compensation, benefits</t>
        </is>
      </c>
      <c r="D36" s="8" t="inlineStr">
        <is>
          <t>Part I line 12</t>
        </is>
      </c>
      <c r="E36" s="8" t="inlineStr">
        <is>
          <t>part_i_revenue_expenses.salaries_other_comp_benefits</t>
        </is>
      </c>
      <c r="F36" s="8" t="inlineStr">
        <is>
          <t>high</t>
        </is>
      </c>
      <c r="G36" s="9" t="n">
        <v>10817</v>
      </c>
    </row>
    <row r="37">
      <c r="A37" s="8" t="inlineStr">
        <is>
          <t>Form 990-EZ Parts I &amp; II</t>
        </is>
      </c>
      <c r="B37" s="8" t="inlineStr">
        <is>
          <t>D13</t>
        </is>
      </c>
      <c r="C37" s="8" t="inlineStr">
        <is>
          <t>12. Salaries, other compensation, benefits</t>
        </is>
      </c>
      <c r="D37" s="8" t="inlineStr">
        <is>
          <t>Part I line 12</t>
        </is>
      </c>
      <c r="E37" s="8" t="inlineStr">
        <is>
          <t>part_i_revenue_expenses.salaries_other_comp_benefits</t>
        </is>
      </c>
      <c r="F37" s="8" t="inlineStr">
        <is>
          <t>high</t>
        </is>
      </c>
      <c r="G37" s="9" t="n">
        <v>14053</v>
      </c>
    </row>
    <row r="38">
      <c r="A38" s="8" t="inlineStr">
        <is>
          <t>Form 990-EZ Parts I &amp; II</t>
        </is>
      </c>
      <c r="B38" s="8" t="inlineStr">
        <is>
          <t>E13</t>
        </is>
      </c>
      <c r="C38" s="8" t="inlineStr">
        <is>
          <t>12. Salaries, other compensation, benefits</t>
        </is>
      </c>
      <c r="D38" s="8" t="inlineStr">
        <is>
          <t>Part I line 12</t>
        </is>
      </c>
      <c r="E38" s="8" t="inlineStr">
        <is>
          <t>part_i_revenue_expenses.salaries_other_comp_benefits</t>
        </is>
      </c>
      <c r="F38" s="8" t="inlineStr">
        <is>
          <t>high</t>
        </is>
      </c>
      <c r="G38" s="9" t="n">
        <v>15961</v>
      </c>
    </row>
    <row r="39">
      <c r="A39" s="8" t="inlineStr">
        <is>
          <t>Form 990-EZ Parts I &amp; II</t>
        </is>
      </c>
      <c r="B39" s="8" t="inlineStr">
        <is>
          <t>F13</t>
        </is>
      </c>
      <c r="C39" s="8" t="inlineStr">
        <is>
          <t>12. Salaries, other compensation, benefits</t>
        </is>
      </c>
      <c r="D39" s="8" t="inlineStr">
        <is>
          <t>Part I line 12</t>
        </is>
      </c>
      <c r="E39" s="8" t="inlineStr">
        <is>
          <t>part_i_revenue_expenses.salaries_other_comp_benefits</t>
        </is>
      </c>
      <c r="F39" s="8" t="inlineStr">
        <is>
          <t>high</t>
        </is>
      </c>
      <c r="G39" s="9" t="n">
        <v>7909</v>
      </c>
    </row>
    <row r="40">
      <c r="A40" s="8" t="inlineStr">
        <is>
          <t>Form 990-EZ Parts I &amp; II</t>
        </is>
      </c>
      <c r="B40" s="8" t="inlineStr">
        <is>
          <t>B14</t>
        </is>
      </c>
      <c r="C40" s="8" t="inlineStr">
        <is>
          <t>13. Fees for services (independent contractors)</t>
        </is>
      </c>
      <c r="D40" s="8" t="inlineStr">
        <is>
          <t>Part I line 13</t>
        </is>
      </c>
      <c r="E40" s="8" t="inlineStr">
        <is>
          <t>part_i_revenue_expenses.fees_ind_contractors</t>
        </is>
      </c>
      <c r="F40" s="8" t="inlineStr">
        <is>
          <t>high</t>
        </is>
      </c>
      <c r="G40" s="9" t="n">
        <v>3083</v>
      </c>
    </row>
    <row r="41">
      <c r="A41" s="8" t="inlineStr">
        <is>
          <t>Form 990-EZ Parts I &amp; II</t>
        </is>
      </c>
      <c r="B41" s="8" t="inlineStr">
        <is>
          <t>C14</t>
        </is>
      </c>
      <c r="C41" s="8" t="inlineStr">
        <is>
          <t>13. Fees for services (independent contractors)</t>
        </is>
      </c>
      <c r="D41" s="8" t="inlineStr">
        <is>
          <t>Part I line 13</t>
        </is>
      </c>
      <c r="E41" s="8" t="inlineStr">
        <is>
          <t>part_i_revenue_expenses.fees_ind_contractors</t>
        </is>
      </c>
      <c r="F41" s="8" t="inlineStr">
        <is>
          <t>high</t>
        </is>
      </c>
      <c r="G41" s="9" t="n">
        <v>2681</v>
      </c>
    </row>
    <row r="42">
      <c r="A42" s="8" t="inlineStr">
        <is>
          <t>Form 990-EZ Parts I &amp; II</t>
        </is>
      </c>
      <c r="B42" s="8" t="inlineStr">
        <is>
          <t>D14</t>
        </is>
      </c>
      <c r="C42" s="8" t="inlineStr">
        <is>
          <t>13. Fees for services (independent contractors)</t>
        </is>
      </c>
      <c r="D42" s="8" t="inlineStr">
        <is>
          <t>Part I line 13</t>
        </is>
      </c>
      <c r="E42" s="8" t="inlineStr">
        <is>
          <t>part_i_revenue_expenses.fees_ind_contractors</t>
        </is>
      </c>
      <c r="F42" s="8" t="inlineStr">
        <is>
          <t>high</t>
        </is>
      </c>
      <c r="G42" s="9" t="n">
        <v>5266</v>
      </c>
    </row>
    <row r="43">
      <c r="A43" s="8" t="inlineStr">
        <is>
          <t>Form 990-EZ Parts I &amp; II</t>
        </is>
      </c>
      <c r="B43" s="8" t="inlineStr">
        <is>
          <t>E14</t>
        </is>
      </c>
      <c r="C43" s="8" t="inlineStr">
        <is>
          <t>13. Fees for services (independent contractors)</t>
        </is>
      </c>
      <c r="D43" s="8" t="inlineStr">
        <is>
          <t>Part I line 13</t>
        </is>
      </c>
      <c r="E43" s="8" t="inlineStr">
        <is>
          <t>part_i_revenue_expenses.fees_ind_contractors</t>
        </is>
      </c>
      <c r="F43" s="8" t="inlineStr">
        <is>
          <t>high</t>
        </is>
      </c>
      <c r="G43" s="9" t="n">
        <v>5948</v>
      </c>
    </row>
    <row r="44">
      <c r="A44" s="8" t="inlineStr">
        <is>
          <t>Form 990-EZ Parts I &amp; II</t>
        </is>
      </c>
      <c r="B44" s="8" t="inlineStr">
        <is>
          <t>F14</t>
        </is>
      </c>
      <c r="C44" s="8" t="inlineStr">
        <is>
          <t>13. Fees for services (independent contractors)</t>
        </is>
      </c>
      <c r="D44" s="8" t="inlineStr">
        <is>
          <t>Part I line 13</t>
        </is>
      </c>
      <c r="E44" s="8" t="inlineStr">
        <is>
          <t>part_i_revenue_expenses.fees_ind_contractors</t>
        </is>
      </c>
      <c r="F44" s="8" t="inlineStr">
        <is>
          <t>high</t>
        </is>
      </c>
      <c r="G44" s="9" t="n">
        <v>5236</v>
      </c>
    </row>
    <row r="45">
      <c r="A45" s="8" t="inlineStr">
        <is>
          <t>Form 990-EZ Parts I &amp; II</t>
        </is>
      </c>
      <c r="B45" s="8" t="inlineStr">
        <is>
          <t>B15</t>
        </is>
      </c>
      <c r="C45" s="8" t="inlineStr">
        <is>
          <t>15. Printing, publications, postage</t>
        </is>
      </c>
      <c r="D45" s="8" t="inlineStr">
        <is>
          <t>Part I line 15</t>
        </is>
      </c>
      <c r="E45" s="8" t="inlineStr">
        <is>
          <t>part_i_revenue_expenses.printing_publications_postage</t>
        </is>
      </c>
      <c r="F45" s="8" t="inlineStr">
        <is>
          <t>high</t>
        </is>
      </c>
      <c r="G45" s="9" t="n">
        <v>388</v>
      </c>
    </row>
    <row r="46">
      <c r="A46" s="8" t="inlineStr">
        <is>
          <t>Form 990-EZ Parts I &amp; II</t>
        </is>
      </c>
      <c r="B46" s="8" t="inlineStr">
        <is>
          <t>C15</t>
        </is>
      </c>
      <c r="C46" s="8" t="inlineStr">
        <is>
          <t>15. Printing, publications, postage</t>
        </is>
      </c>
      <c r="D46" s="8" t="inlineStr">
        <is>
          <t>Part I line 15</t>
        </is>
      </c>
      <c r="E46" s="8" t="inlineStr">
        <is>
          <t>part_i_revenue_expenses.printing_publications_postage</t>
        </is>
      </c>
      <c r="F46" s="8" t="inlineStr">
        <is>
          <t>high</t>
        </is>
      </c>
      <c r="G46" s="9" t="n">
        <v>533</v>
      </c>
    </row>
    <row r="47">
      <c r="A47" s="8" t="inlineStr">
        <is>
          <t>Form 990-EZ Parts I &amp; II</t>
        </is>
      </c>
      <c r="B47" s="8" t="inlineStr">
        <is>
          <t>D15</t>
        </is>
      </c>
      <c r="C47" s="8" t="inlineStr">
        <is>
          <t>15. Printing, publications, postage</t>
        </is>
      </c>
      <c r="D47" s="8" t="inlineStr">
        <is>
          <t>Part I line 15</t>
        </is>
      </c>
      <c r="E47" s="8" t="inlineStr">
        <is>
          <t>part_i_revenue_expenses.printing_publications_postage</t>
        </is>
      </c>
      <c r="F47" s="8" t="inlineStr">
        <is>
          <t>high</t>
        </is>
      </c>
      <c r="G47" s="9" t="n">
        <v>926</v>
      </c>
    </row>
    <row r="48">
      <c r="A48" s="8" t="inlineStr">
        <is>
          <t>Form 990-EZ Parts I &amp; II</t>
        </is>
      </c>
      <c r="B48" s="8" t="inlineStr">
        <is>
          <t>E15</t>
        </is>
      </c>
      <c r="C48" s="8" t="inlineStr">
        <is>
          <t>15. Printing, publications, postage</t>
        </is>
      </c>
      <c r="D48" s="8" t="inlineStr">
        <is>
          <t>Part I line 15</t>
        </is>
      </c>
      <c r="E48" s="8" t="inlineStr">
        <is>
          <t>part_i_revenue_expenses.printing_publications_postage</t>
        </is>
      </c>
      <c r="F48" s="8" t="inlineStr">
        <is>
          <t>high</t>
        </is>
      </c>
      <c r="G48" s="9" t="n">
        <v>352</v>
      </c>
    </row>
    <row r="49">
      <c r="A49" s="8" t="inlineStr">
        <is>
          <t>Form 990-EZ Parts I &amp; II</t>
        </is>
      </c>
      <c r="B49" s="8" t="inlineStr">
        <is>
          <t>F15</t>
        </is>
      </c>
      <c r="C49" s="8" t="inlineStr">
        <is>
          <t>15. Printing, publications, postage</t>
        </is>
      </c>
      <c r="D49" s="8" t="inlineStr">
        <is>
          <t>Part I line 15</t>
        </is>
      </c>
      <c r="E49" s="8" t="inlineStr">
        <is>
          <t>part_i_revenue_expenses.printing_publications_postage</t>
        </is>
      </c>
      <c r="F49" s="8" t="inlineStr">
        <is>
          <t>high</t>
        </is>
      </c>
      <c r="G49" s="9" t="n">
        <v>592</v>
      </c>
    </row>
    <row r="50">
      <c r="A50" s="8" t="inlineStr">
        <is>
          <t>Form 990-EZ Parts I &amp; II</t>
        </is>
      </c>
      <c r="B50" s="8" t="inlineStr">
        <is>
          <t>B16</t>
        </is>
      </c>
      <c r="C50" s="8" t="inlineStr">
        <is>
          <t>16. Other expenses</t>
        </is>
      </c>
      <c r="D50" s="8" t="inlineStr">
        <is>
          <t>Part I line 16</t>
        </is>
      </c>
      <c r="E50" s="8" t="inlineStr">
        <is>
          <t>part_i_revenue_expenses.other_expenses_total</t>
        </is>
      </c>
      <c r="F50" s="8" t="inlineStr">
        <is>
          <t>high</t>
        </is>
      </c>
      <c r="G50" s="9" t="n">
        <v>30095</v>
      </c>
    </row>
    <row r="51">
      <c r="A51" s="8" t="inlineStr">
        <is>
          <t>Form 990-EZ Parts I &amp; II</t>
        </is>
      </c>
      <c r="B51" s="8" t="inlineStr">
        <is>
          <t>C16</t>
        </is>
      </c>
      <c r="C51" s="8" t="inlineStr">
        <is>
          <t>16. Other expenses</t>
        </is>
      </c>
      <c r="D51" s="8" t="inlineStr">
        <is>
          <t>Part I line 16</t>
        </is>
      </c>
      <c r="E51" s="8" t="inlineStr">
        <is>
          <t>part_i_revenue_expenses.other_expenses_total</t>
        </is>
      </c>
      <c r="F51" s="8" t="inlineStr">
        <is>
          <t>high</t>
        </is>
      </c>
      <c r="G51" s="9" t="n">
        <v>35804</v>
      </c>
    </row>
    <row r="52">
      <c r="A52" s="8" t="inlineStr">
        <is>
          <t>Form 990-EZ Parts I &amp; II</t>
        </is>
      </c>
      <c r="B52" s="8" t="inlineStr">
        <is>
          <t>D16</t>
        </is>
      </c>
      <c r="C52" s="8" t="inlineStr">
        <is>
          <t>16. Other expenses</t>
        </is>
      </c>
      <c r="D52" s="8" t="inlineStr">
        <is>
          <t>Part I line 16</t>
        </is>
      </c>
      <c r="E52" s="8" t="inlineStr">
        <is>
          <t>part_i_revenue_expenses.other_expenses_total</t>
        </is>
      </c>
      <c r="F52" s="8" t="inlineStr">
        <is>
          <t>high</t>
        </is>
      </c>
      <c r="G52" s="9" t="n">
        <v>42310</v>
      </c>
    </row>
    <row r="53">
      <c r="A53" s="8" t="inlineStr">
        <is>
          <t>Form 990-EZ Parts I &amp; II</t>
        </is>
      </c>
      <c r="B53" s="8" t="inlineStr">
        <is>
          <t>E16</t>
        </is>
      </c>
      <c r="C53" s="8" t="inlineStr">
        <is>
          <t>16. Other expenses</t>
        </is>
      </c>
      <c r="D53" s="8" t="inlineStr">
        <is>
          <t>Part I line 16</t>
        </is>
      </c>
      <c r="E53" s="8" t="inlineStr">
        <is>
          <t>part_i_revenue_expenses.other_expenses_total</t>
        </is>
      </c>
      <c r="F53" s="8" t="inlineStr">
        <is>
          <t>high</t>
        </is>
      </c>
      <c r="G53" s="9" t="n">
        <v>187547</v>
      </c>
    </row>
    <row r="54">
      <c r="A54" s="8" t="inlineStr">
        <is>
          <t>Form 990-EZ Parts I &amp; II</t>
        </is>
      </c>
      <c r="B54" s="8" t="inlineStr">
        <is>
          <t>F16</t>
        </is>
      </c>
      <c r="C54" s="8" t="inlineStr">
        <is>
          <t>16. Other expenses</t>
        </is>
      </c>
      <c r="D54" s="8" t="inlineStr">
        <is>
          <t>Part I line 16</t>
        </is>
      </c>
      <c r="E54" s="8" t="inlineStr">
        <is>
          <t>part_i_revenue_expenses.other_expenses_total</t>
        </is>
      </c>
      <c r="F54" s="8" t="inlineStr">
        <is>
          <t>high</t>
        </is>
      </c>
      <c r="G54" s="9" t="n">
        <v>91534</v>
      </c>
    </row>
    <row r="55">
      <c r="A55" s="8" t="inlineStr">
        <is>
          <t>Form 990-EZ Parts I &amp; II</t>
        </is>
      </c>
      <c r="B55" s="8" t="inlineStr">
        <is>
          <t>B20</t>
        </is>
      </c>
      <c r="C55" s="8" t="inlineStr">
        <is>
          <t>19. Net assets or fund balances, beginning of year</t>
        </is>
      </c>
      <c r="D55" s="8" t="inlineStr">
        <is>
          <t>Part I line 19</t>
        </is>
      </c>
      <c r="E55" s="8" t="inlineStr">
        <is>
          <t>part_i_revenue_expenses.net_assets_boy</t>
        </is>
      </c>
      <c r="F55" s="8" t="inlineStr">
        <is>
          <t>high</t>
        </is>
      </c>
      <c r="G55" s="9" t="n">
        <v>79480</v>
      </c>
    </row>
    <row r="56">
      <c r="A56" s="8" t="inlineStr">
        <is>
          <t>Form 990-EZ Parts I &amp; II</t>
        </is>
      </c>
      <c r="B56" s="8" t="inlineStr">
        <is>
          <t>C20</t>
        </is>
      </c>
      <c r="C56" s="8" t="inlineStr">
        <is>
          <t>19. Net assets or fund balances, beginning of year</t>
        </is>
      </c>
      <c r="D56" s="8" t="inlineStr">
        <is>
          <t>Part I line 19</t>
        </is>
      </c>
      <c r="E56" s="8" t="inlineStr">
        <is>
          <t>part_i_revenue_expenses.net_assets_boy</t>
        </is>
      </c>
      <c r="F56" s="8" t="inlineStr">
        <is>
          <t>high</t>
        </is>
      </c>
      <c r="G56" s="9" t="n">
        <v>73836</v>
      </c>
    </row>
    <row r="57">
      <c r="A57" s="8" t="inlineStr">
        <is>
          <t>Form 990-EZ Parts I &amp; II</t>
        </is>
      </c>
      <c r="B57" s="8" t="inlineStr">
        <is>
          <t>D20</t>
        </is>
      </c>
      <c r="C57" s="8" t="inlineStr">
        <is>
          <t>19. Net assets or fund balances, beginning of year</t>
        </is>
      </c>
      <c r="D57" s="8" t="inlineStr">
        <is>
          <t>Part I line 19</t>
        </is>
      </c>
      <c r="E57" s="8" t="inlineStr">
        <is>
          <t>part_i_revenue_expenses.net_assets_boy</t>
        </is>
      </c>
      <c r="F57" s="8" t="inlineStr">
        <is>
          <t>high</t>
        </is>
      </c>
      <c r="G57" s="9" t="n">
        <v>78099</v>
      </c>
    </row>
    <row r="58">
      <c r="A58" s="8" t="inlineStr">
        <is>
          <t>Form 990-EZ Parts I &amp; II</t>
        </is>
      </c>
      <c r="B58" s="8" t="inlineStr">
        <is>
          <t>E20</t>
        </is>
      </c>
      <c r="C58" s="8" t="inlineStr">
        <is>
          <t>19. Net assets or fund balances, beginning of year</t>
        </is>
      </c>
      <c r="D58" s="8" t="inlineStr">
        <is>
          <t>Part I line 19</t>
        </is>
      </c>
      <c r="E58" s="8" t="inlineStr">
        <is>
          <t>part_i_revenue_expenses.net_assets_boy</t>
        </is>
      </c>
      <c r="F58" s="8" t="inlineStr">
        <is>
          <t>high</t>
        </is>
      </c>
      <c r="G58" s="9" t="n">
        <v>97642</v>
      </c>
    </row>
    <row r="59">
      <c r="A59" s="8" t="inlineStr">
        <is>
          <t>Form 990-EZ Parts I &amp; II</t>
        </is>
      </c>
      <c r="B59" s="8" t="inlineStr">
        <is>
          <t>F20</t>
        </is>
      </c>
      <c r="C59" s="8" t="inlineStr">
        <is>
          <t>19. Net assets or fund balances, beginning of year</t>
        </is>
      </c>
      <c r="D59" s="8" t="inlineStr">
        <is>
          <t>Part I line 19</t>
        </is>
      </c>
      <c r="E59" s="8" t="inlineStr">
        <is>
          <t>part_i_revenue_expenses.net_assets_boy</t>
        </is>
      </c>
      <c r="F59" s="8" t="inlineStr">
        <is>
          <t>high</t>
        </is>
      </c>
      <c r="G59" s="9" t="n">
        <v>73990</v>
      </c>
    </row>
    <row r="60">
      <c r="A60" s="8" t="inlineStr">
        <is>
          <t>Form 990-EZ Parts I &amp; II</t>
        </is>
      </c>
      <c r="B60" s="8" t="inlineStr">
        <is>
          <t>B21</t>
        </is>
      </c>
      <c r="C60" s="8" t="inlineStr">
        <is>
          <t>18. Excess or (deficit) for the year</t>
        </is>
      </c>
      <c r="D60" s="8" t="inlineStr">
        <is>
          <t>Part I line 18</t>
        </is>
      </c>
      <c r="E60" s="8" t="inlineStr">
        <is>
          <t>part_i_revenue_expenses.excess_or_deficit</t>
        </is>
      </c>
      <c r="F60" s="8" t="inlineStr">
        <is>
          <t>high</t>
        </is>
      </c>
      <c r="G60" s="9" t="n">
        <v>-5644</v>
      </c>
    </row>
    <row r="61">
      <c r="A61" s="8" t="inlineStr">
        <is>
          <t>Form 990-EZ Parts I &amp; II</t>
        </is>
      </c>
      <c r="B61" s="8" t="inlineStr">
        <is>
          <t>C21</t>
        </is>
      </c>
      <c r="C61" s="8" t="inlineStr">
        <is>
          <t>18. Excess or (deficit) for the year</t>
        </is>
      </c>
      <c r="D61" s="8" t="inlineStr">
        <is>
          <t>Part I line 18</t>
        </is>
      </c>
      <c r="E61" s="8" t="inlineStr">
        <is>
          <t>part_i_revenue_expenses.excess_or_deficit</t>
        </is>
      </c>
      <c r="F61" s="8" t="inlineStr">
        <is>
          <t>high</t>
        </is>
      </c>
      <c r="G61" s="9" t="n">
        <v>10036</v>
      </c>
    </row>
    <row r="62">
      <c r="A62" s="8" t="inlineStr">
        <is>
          <t>Form 990-EZ Parts I &amp; II</t>
        </is>
      </c>
      <c r="B62" s="8" t="inlineStr">
        <is>
          <t>D21</t>
        </is>
      </c>
      <c r="C62" s="8" t="inlineStr">
        <is>
          <t>18. Excess or (deficit) for the year</t>
        </is>
      </c>
      <c r="D62" s="8" t="inlineStr">
        <is>
          <t>Part I line 18</t>
        </is>
      </c>
      <c r="E62" s="8" t="inlineStr">
        <is>
          <t>part_i_revenue_expenses.excess_or_deficit</t>
        </is>
      </c>
      <c r="F62" s="8" t="inlineStr">
        <is>
          <t>high</t>
        </is>
      </c>
      <c r="G62" s="9" t="n">
        <v>19543</v>
      </c>
    </row>
    <row r="63">
      <c r="A63" s="8" t="inlineStr">
        <is>
          <t>Form 990-EZ Parts I &amp; II</t>
        </is>
      </c>
      <c r="B63" s="8" t="inlineStr">
        <is>
          <t>E21</t>
        </is>
      </c>
      <c r="C63" s="8" t="inlineStr">
        <is>
          <t>18. Excess or (deficit) for the year</t>
        </is>
      </c>
      <c r="D63" s="8" t="inlineStr">
        <is>
          <t>Part I line 18</t>
        </is>
      </c>
      <c r="E63" s="8" t="inlineStr">
        <is>
          <t>part_i_revenue_expenses.excess_or_deficit</t>
        </is>
      </c>
      <c r="F63" s="8" t="inlineStr">
        <is>
          <t>high</t>
        </is>
      </c>
      <c r="G63" s="9" t="n">
        <v>-23652</v>
      </c>
    </row>
    <row r="64">
      <c r="A64" s="8" t="inlineStr">
        <is>
          <t>Form 990-EZ Parts I &amp; II</t>
        </is>
      </c>
      <c r="B64" s="8" t="inlineStr">
        <is>
          <t>F21</t>
        </is>
      </c>
      <c r="C64" s="8" t="inlineStr">
        <is>
          <t>18. Excess or (deficit) for the year</t>
        </is>
      </c>
      <c r="D64" s="8" t="inlineStr">
        <is>
          <t>Part I line 18</t>
        </is>
      </c>
      <c r="E64" s="8" t="inlineStr">
        <is>
          <t>part_i_revenue_expenses.excess_or_deficit</t>
        </is>
      </c>
      <c r="F64" s="8" t="inlineStr">
        <is>
          <t>high</t>
        </is>
      </c>
      <c r="G64" s="9" t="n">
        <v>8725</v>
      </c>
    </row>
    <row r="65">
      <c r="A65" s="8" t="inlineStr">
        <is>
          <t>Form 990-EZ Parts I &amp; II</t>
        </is>
      </c>
      <c r="B65" s="8" t="inlineStr">
        <is>
          <t>B25</t>
        </is>
      </c>
      <c r="C65" s="8" t="inlineStr">
        <is>
          <t>22. Cash, savings, and investments</t>
        </is>
      </c>
      <c r="D65" s="8" t="inlineStr">
        <is>
          <t>Part II line 22 col B</t>
        </is>
      </c>
      <c r="E65" s="8" t="inlineStr">
        <is>
          <t>part_ii_balance_sheet.cash_savings_investments_eoy</t>
        </is>
      </c>
      <c r="F65" s="8" t="inlineStr">
        <is>
          <t>high</t>
        </is>
      </c>
      <c r="G65" s="9" t="n">
        <v>68298</v>
      </c>
    </row>
    <row r="66">
      <c r="A66" s="8" t="inlineStr">
        <is>
          <t>Form 990-EZ Parts I &amp; II</t>
        </is>
      </c>
      <c r="B66" s="8" t="inlineStr">
        <is>
          <t>C25</t>
        </is>
      </c>
      <c r="C66" s="8" t="inlineStr">
        <is>
          <t>22. Cash, savings, and investments</t>
        </is>
      </c>
      <c r="D66" s="8" t="inlineStr">
        <is>
          <t>Part II line 22 col B</t>
        </is>
      </c>
      <c r="E66" s="8" t="inlineStr">
        <is>
          <t>part_ii_balance_sheet.cash_savings_investments_eoy</t>
        </is>
      </c>
      <c r="F66" s="8" t="inlineStr">
        <is>
          <t>high</t>
        </is>
      </c>
      <c r="G66" s="9" t="n">
        <v>70807</v>
      </c>
    </row>
    <row r="67">
      <c r="A67" s="8" t="inlineStr">
        <is>
          <t>Form 990-EZ Parts I &amp; II</t>
        </is>
      </c>
      <c r="B67" s="8" t="inlineStr">
        <is>
          <t>D25</t>
        </is>
      </c>
      <c r="C67" s="8" t="inlineStr">
        <is>
          <t>22. Cash, savings, and investments</t>
        </is>
      </c>
      <c r="D67" s="8" t="inlineStr">
        <is>
          <t>Part II line 22 col B</t>
        </is>
      </c>
      <c r="E67" s="8" t="inlineStr">
        <is>
          <t>part_ii_balance_sheet.cash_savings_investments_eoy</t>
        </is>
      </c>
      <c r="F67" s="8" t="inlineStr">
        <is>
          <t>high</t>
        </is>
      </c>
      <c r="G67" s="9" t="n">
        <v>69229</v>
      </c>
    </row>
    <row r="68">
      <c r="A68" s="8" t="inlineStr">
        <is>
          <t>Form 990-EZ Parts I &amp; II</t>
        </is>
      </c>
      <c r="B68" s="8" t="inlineStr">
        <is>
          <t>E25</t>
        </is>
      </c>
      <c r="C68" s="8" t="inlineStr">
        <is>
          <t>22. Cash, savings, and investments</t>
        </is>
      </c>
      <c r="D68" s="8" t="inlineStr">
        <is>
          <t>Part II line 22 col B</t>
        </is>
      </c>
      <c r="E68" s="8" t="inlineStr">
        <is>
          <t>part_ii_balance_sheet.cash_savings_investments_eoy</t>
        </is>
      </c>
      <c r="F68" s="8" t="inlineStr">
        <is>
          <t>high</t>
        </is>
      </c>
      <c r="G68" s="9" t="n">
        <v>48420</v>
      </c>
    </row>
    <row r="69">
      <c r="A69" s="8" t="inlineStr">
        <is>
          <t>Form 990-EZ Parts I &amp; II</t>
        </is>
      </c>
      <c r="B69" s="8" t="inlineStr">
        <is>
          <t>F25</t>
        </is>
      </c>
      <c r="C69" s="8" t="inlineStr">
        <is>
          <t>22. Cash, savings, and investments</t>
        </is>
      </c>
      <c r="D69" s="8" t="inlineStr">
        <is>
          <t>Part II line 22 col B</t>
        </is>
      </c>
      <c r="E69" s="8" t="inlineStr">
        <is>
          <t>part_ii_balance_sheet.cash_savings_investments_eoy</t>
        </is>
      </c>
      <c r="F69" s="8" t="inlineStr">
        <is>
          <t>high</t>
        </is>
      </c>
      <c r="G69" s="9" t="n">
        <v>59702</v>
      </c>
    </row>
    <row r="70">
      <c r="A70" s="8" t="inlineStr">
        <is>
          <t>Form 990-EZ Parts I &amp; II</t>
        </is>
      </c>
      <c r="B70" s="8" t="inlineStr">
        <is>
          <t>B26</t>
        </is>
      </c>
      <c r="C70" s="8" t="inlineStr">
        <is>
          <t>23. Land and buildings</t>
        </is>
      </c>
      <c r="D70" s="8" t="inlineStr">
        <is>
          <t>Part II line 23 col B</t>
        </is>
      </c>
      <c r="E70" s="8" t="inlineStr">
        <is>
          <t>part_ii_balance_sheet.land_and_buildings_eoy</t>
        </is>
      </c>
      <c r="F70" s="8" t="inlineStr">
        <is>
          <t>high</t>
        </is>
      </c>
      <c r="G70" s="9" t="n">
        <v>5774</v>
      </c>
    </row>
    <row r="71">
      <c r="A71" s="8" t="inlineStr">
        <is>
          <t>Form 990-EZ Parts I &amp; II</t>
        </is>
      </c>
      <c r="B71" s="8" t="inlineStr">
        <is>
          <t>C26</t>
        </is>
      </c>
      <c r="C71" s="8" t="inlineStr">
        <is>
          <t>23. Land and buildings</t>
        </is>
      </c>
      <c r="D71" s="8" t="inlineStr">
        <is>
          <t>Part II line 23 col B</t>
        </is>
      </c>
      <c r="E71" s="8" t="inlineStr">
        <is>
          <t>part_ii_balance_sheet.land_and_buildings_eoy</t>
        </is>
      </c>
      <c r="F71" s="8" t="inlineStr">
        <is>
          <t>high</t>
        </is>
      </c>
      <c r="G71" s="9" t="n">
        <v>7717</v>
      </c>
    </row>
    <row r="72">
      <c r="A72" s="8" t="inlineStr">
        <is>
          <t>Form 990-EZ Parts I &amp; II</t>
        </is>
      </c>
      <c r="B72" s="8" t="inlineStr">
        <is>
          <t>D26</t>
        </is>
      </c>
      <c r="C72" s="8" t="inlineStr">
        <is>
          <t>23. Land and buildings</t>
        </is>
      </c>
      <c r="D72" s="8" t="inlineStr">
        <is>
          <t>Part II line 23 col B</t>
        </is>
      </c>
      <c r="E72" s="8" t="inlineStr">
        <is>
          <t>part_ii_balance_sheet.land_and_buildings_eoy</t>
        </is>
      </c>
      <c r="F72" s="8" t="inlineStr">
        <is>
          <t>high</t>
        </is>
      </c>
      <c r="G72" s="9" t="n">
        <v>28413</v>
      </c>
    </row>
    <row r="73">
      <c r="A73" s="8" t="inlineStr">
        <is>
          <t>Form 990-EZ Parts I &amp; II</t>
        </is>
      </c>
      <c r="B73" s="8" t="inlineStr">
        <is>
          <t>E26</t>
        </is>
      </c>
      <c r="C73" s="8" t="inlineStr">
        <is>
          <t>23. Land and buildings</t>
        </is>
      </c>
      <c r="D73" s="8" t="inlineStr">
        <is>
          <t>Part II line 23 col B</t>
        </is>
      </c>
      <c r="E73" s="8" t="inlineStr">
        <is>
          <t>part_ii_balance_sheet.land_and_buildings_eoy</t>
        </is>
      </c>
      <c r="F73" s="8" t="inlineStr">
        <is>
          <t>high</t>
        </is>
      </c>
      <c r="G73" s="9" t="n">
        <v>25570</v>
      </c>
    </row>
    <row r="74">
      <c r="A74" s="8" t="inlineStr">
        <is>
          <t>Form 990-EZ Parts I &amp; II</t>
        </is>
      </c>
      <c r="B74" s="8" t="inlineStr">
        <is>
          <t>F26</t>
        </is>
      </c>
      <c r="C74" s="8" t="inlineStr">
        <is>
          <t>23. Land and buildings</t>
        </is>
      </c>
      <c r="D74" s="8" t="inlineStr">
        <is>
          <t>Part II line 23 col B</t>
        </is>
      </c>
      <c r="E74" s="8" t="inlineStr">
        <is>
          <t>part_ii_balance_sheet.land_and_buildings_eoy</t>
        </is>
      </c>
      <c r="F74" s="8" t="inlineStr">
        <is>
          <t>high</t>
        </is>
      </c>
      <c r="G74" s="9" t="n">
        <v>23013</v>
      </c>
    </row>
    <row r="75">
      <c r="A75" s="8" t="inlineStr">
        <is>
          <t>Form 990-EZ Parts I &amp; II</t>
        </is>
      </c>
      <c r="B75" s="8" t="inlineStr">
        <is>
          <t>B28</t>
        </is>
      </c>
      <c r="C75" s="8" t="inlineStr">
        <is>
          <t>26. Total liabilities</t>
        </is>
      </c>
      <c r="D75" s="8" t="inlineStr">
        <is>
          <t>Part II line 26 col B</t>
        </is>
      </c>
      <c r="E75" s="8" t="inlineStr">
        <is>
          <t>part_ii_balance_sheet.total_liabilities_eoy</t>
        </is>
      </c>
      <c r="F75" s="8" t="inlineStr">
        <is>
          <t>high</t>
        </is>
      </c>
      <c r="G75" s="9" t="n">
        <v>236</v>
      </c>
    </row>
    <row r="76">
      <c r="A76" s="8" t="inlineStr">
        <is>
          <t>Form 990-EZ Parts I &amp; II</t>
        </is>
      </c>
      <c r="B76" s="8" t="inlineStr">
        <is>
          <t>C28</t>
        </is>
      </c>
      <c r="C76" s="8" t="inlineStr">
        <is>
          <t>26. Total liabilities</t>
        </is>
      </c>
      <c r="D76" s="8" t="inlineStr">
        <is>
          <t>Part II line 26 col B</t>
        </is>
      </c>
      <c r="E76" s="8" t="inlineStr">
        <is>
          <t>part_ii_balance_sheet.total_liabilities_eoy</t>
        </is>
      </c>
      <c r="F76" s="8" t="inlineStr">
        <is>
          <t>high</t>
        </is>
      </c>
      <c r="G76" s="9" t="n">
        <v>425</v>
      </c>
    </row>
    <row r="77">
      <c r="A77" s="8" t="inlineStr">
        <is>
          <t>Form 990-EZ Parts I &amp; II</t>
        </is>
      </c>
      <c r="B77" s="8" t="inlineStr">
        <is>
          <t>B29</t>
        </is>
      </c>
      <c r="C77" s="8" t="inlineStr">
        <is>
          <t>27. Net assets or fund balances</t>
        </is>
      </c>
      <c r="D77" s="8" t="inlineStr">
        <is>
          <t>Part II line 27 col B</t>
        </is>
      </c>
      <c r="E77" s="8" t="inlineStr">
        <is>
          <t>part_ii_balance_sheet.net_assets_eoy</t>
        </is>
      </c>
      <c r="F77" s="8" t="inlineStr">
        <is>
          <t>high</t>
        </is>
      </c>
      <c r="G77" s="9" t="n">
        <v>73836</v>
      </c>
    </row>
    <row r="78">
      <c r="A78" s="8" t="inlineStr">
        <is>
          <t>Form 990-EZ Parts I &amp; II</t>
        </is>
      </c>
      <c r="B78" s="8" t="inlineStr">
        <is>
          <t>C29</t>
        </is>
      </c>
      <c r="C78" s="8" t="inlineStr">
        <is>
          <t>27. Net assets or fund balances</t>
        </is>
      </c>
      <c r="D78" s="8" t="inlineStr">
        <is>
          <t>Part II line 27 col B</t>
        </is>
      </c>
      <c r="E78" s="8" t="inlineStr">
        <is>
          <t>part_ii_balance_sheet.net_assets_eoy</t>
        </is>
      </c>
      <c r="F78" s="8" t="inlineStr">
        <is>
          <t>high</t>
        </is>
      </c>
      <c r="G78" s="9" t="n">
        <v>78099</v>
      </c>
    </row>
    <row r="79">
      <c r="A79" s="8" t="inlineStr">
        <is>
          <t>Form 990-EZ Parts I &amp; II</t>
        </is>
      </c>
      <c r="B79" s="8" t="inlineStr">
        <is>
          <t>D29</t>
        </is>
      </c>
      <c r="C79" s="8" t="inlineStr">
        <is>
          <t>27. Net assets or fund balances</t>
        </is>
      </c>
      <c r="D79" s="8" t="inlineStr">
        <is>
          <t>Part II line 27 col B</t>
        </is>
      </c>
      <c r="E79" s="8" t="inlineStr">
        <is>
          <t>part_ii_balance_sheet.net_assets_eoy</t>
        </is>
      </c>
      <c r="F79" s="8" t="inlineStr">
        <is>
          <t>high</t>
        </is>
      </c>
      <c r="G79" s="9" t="n">
        <v>97642</v>
      </c>
    </row>
    <row r="80">
      <c r="A80" s="8" t="inlineStr">
        <is>
          <t>Form 990-EZ Parts I &amp; II</t>
        </is>
      </c>
      <c r="B80" s="8" t="inlineStr">
        <is>
          <t>E29</t>
        </is>
      </c>
      <c r="C80" s="8" t="inlineStr">
        <is>
          <t>27. Net assets or fund balances</t>
        </is>
      </c>
      <c r="D80" s="8" t="inlineStr">
        <is>
          <t>Part II line 27 col B</t>
        </is>
      </c>
      <c r="E80" s="8" t="inlineStr">
        <is>
          <t>part_ii_balance_sheet.net_assets_eoy</t>
        </is>
      </c>
      <c r="F80" s="8" t="inlineStr">
        <is>
          <t>high</t>
        </is>
      </c>
      <c r="G80" s="9" t="n">
        <v>73990</v>
      </c>
    </row>
    <row r="81">
      <c r="A81" s="8" t="inlineStr">
        <is>
          <t>Form 990-EZ Parts I &amp; II</t>
        </is>
      </c>
      <c r="B81" s="8" t="inlineStr">
        <is>
          <t>F29</t>
        </is>
      </c>
      <c r="C81" s="8" t="inlineStr">
        <is>
          <t>27. Net assets or fund balances</t>
        </is>
      </c>
      <c r="D81" s="8" t="inlineStr">
        <is>
          <t>Part II line 27 col B</t>
        </is>
      </c>
      <c r="E81" s="8" t="inlineStr">
        <is>
          <t>part_ii_balance_sheet.net_assets_eoy</t>
        </is>
      </c>
      <c r="F81" s="8" t="inlineStr">
        <is>
          <t>high</t>
        </is>
      </c>
      <c r="G81" s="9" t="n">
        <v>82715</v>
      </c>
    </row>
    <row r="83">
      <c r="A83" s="43" t="inlineStr">
        <is>
          <t>C. Tie-out checks (filed vs computed; any nonzero variance is flagged red)</t>
        </is>
      </c>
      <c r="B83" s="7" t="n"/>
      <c r="C83" s="7" t="n"/>
      <c r="D83" s="7" t="n"/>
      <c r="E83" s="7" t="n"/>
      <c r="F83" s="7" t="n"/>
      <c r="G83" s="7" t="n"/>
      <c r="H83" s="7" t="n"/>
      <c r="I83" s="7" t="n"/>
      <c r="J83" s="7" t="n"/>
      <c r="K83" s="7" t="n"/>
    </row>
    <row r="84">
      <c r="A84" s="5" t="inlineStr">
        <is>
          <t>Tab</t>
        </is>
      </c>
      <c r="B84" s="5" t="inlineStr">
        <is>
          <t>Check</t>
        </is>
      </c>
      <c r="C84" s="5" t="inlineStr">
        <is>
          <t>Fiscal year</t>
        </is>
      </c>
      <c r="D84" s="5" t="inlineStr">
        <is>
          <t>Filed</t>
        </is>
      </c>
      <c r="E84" s="5" t="inlineStr">
        <is>
          <t>Computed</t>
        </is>
      </c>
      <c r="F84" s="5" t="inlineStr">
        <is>
          <t>Variance (computed - filed)</t>
        </is>
      </c>
    </row>
    <row r="85">
      <c r="A85" s="45" t="inlineStr">
        <is>
          <t>Form 990-EZ Parts I &amp; II</t>
        </is>
      </c>
      <c r="B85" s="45" t="inlineStr">
        <is>
          <t>17. Total expenses</t>
        </is>
      </c>
      <c r="C85" s="45" t="inlineStr">
        <is>
          <t>FY2020</t>
        </is>
      </c>
      <c r="D85" s="9" t="n">
        <v>45082</v>
      </c>
      <c r="E85" s="9">
        <f>'Form 990-EZ Parts I &amp; II'!B17</f>
        <v/>
      </c>
      <c r="F85" s="9">
        <f>E85-D85</f>
        <v/>
      </c>
    </row>
    <row r="86">
      <c r="A86" s="45" t="inlineStr">
        <is>
          <t>Form 990-EZ Parts I &amp; II</t>
        </is>
      </c>
      <c r="B86" s="45" t="inlineStr">
        <is>
          <t>17. Total expenses</t>
        </is>
      </c>
      <c r="C86" s="45" t="inlineStr">
        <is>
          <t>FY2021</t>
        </is>
      </c>
      <c r="D86" s="9" t="n">
        <v>49835</v>
      </c>
      <c r="E86" s="9">
        <f>'Form 990-EZ Parts I &amp; II'!C17</f>
        <v/>
      </c>
      <c r="F86" s="9">
        <f>E86-D86</f>
        <v/>
      </c>
    </row>
    <row r="87">
      <c r="A87" s="45" t="inlineStr">
        <is>
          <t>Form 990-EZ Parts I &amp; II</t>
        </is>
      </c>
      <c r="B87" s="45" t="inlineStr">
        <is>
          <t>17. Total expenses</t>
        </is>
      </c>
      <c r="C87" s="45" t="inlineStr">
        <is>
          <t>FY2022</t>
        </is>
      </c>
      <c r="D87" s="9" t="n">
        <v>62555</v>
      </c>
      <c r="E87" s="9">
        <f>'Form 990-EZ Parts I &amp; II'!D17</f>
        <v/>
      </c>
      <c r="F87" s="9">
        <f>E87-D87</f>
        <v/>
      </c>
    </row>
    <row r="88">
      <c r="A88" s="45" t="inlineStr">
        <is>
          <t>Form 990-EZ Parts I &amp; II</t>
        </is>
      </c>
      <c r="B88" s="45" t="inlineStr">
        <is>
          <t>17. Total expenses</t>
        </is>
      </c>
      <c r="C88" s="45" t="inlineStr">
        <is>
          <t>FY2023</t>
        </is>
      </c>
      <c r="D88" s="9" t="n">
        <v>209808</v>
      </c>
      <c r="E88" s="9">
        <f>'Form 990-EZ Parts I &amp; II'!E17</f>
        <v/>
      </c>
      <c r="F88" s="9">
        <f>E88-D88</f>
        <v/>
      </c>
    </row>
    <row r="89">
      <c r="A89" s="45" t="inlineStr">
        <is>
          <t>Form 990-EZ Parts I &amp; II</t>
        </is>
      </c>
      <c r="B89" s="45" t="inlineStr">
        <is>
          <t>17. Total expenses</t>
        </is>
      </c>
      <c r="C89" s="45" t="inlineStr">
        <is>
          <t>FY2024</t>
        </is>
      </c>
      <c r="D89" s="9" t="n">
        <v>105271</v>
      </c>
      <c r="E89" s="9">
        <f>'Form 990-EZ Parts I &amp; II'!F17</f>
        <v/>
      </c>
      <c r="F89" s="9">
        <f>E89-D89</f>
        <v/>
      </c>
    </row>
    <row r="90">
      <c r="A90" s="45" t="inlineStr">
        <is>
          <t>Form 990-EZ Parts I &amp; II</t>
        </is>
      </c>
      <c r="B90" s="45" t="inlineStr">
        <is>
          <t>21. Net assets or fund balances, end of year</t>
        </is>
      </c>
      <c r="C90" s="45" t="inlineStr">
        <is>
          <t>FY2020</t>
        </is>
      </c>
      <c r="D90" s="9" t="n">
        <v>73836</v>
      </c>
      <c r="E90" s="9">
        <f>'Form 990-EZ Parts I &amp; II'!B22</f>
        <v/>
      </c>
      <c r="F90" s="9">
        <f>E90-D90</f>
        <v/>
      </c>
    </row>
    <row r="91">
      <c r="A91" s="45" t="inlineStr">
        <is>
          <t>Form 990-EZ Parts I &amp; II</t>
        </is>
      </c>
      <c r="B91" s="45" t="inlineStr">
        <is>
          <t>21. Net assets or fund balances, end of year</t>
        </is>
      </c>
      <c r="C91" s="45" t="inlineStr">
        <is>
          <t>FY2021</t>
        </is>
      </c>
      <c r="D91" s="9" t="n">
        <v>78099</v>
      </c>
      <c r="E91" s="9">
        <f>'Form 990-EZ Parts I &amp; II'!C22</f>
        <v/>
      </c>
      <c r="F91" s="9">
        <f>E91-D91</f>
        <v/>
      </c>
    </row>
    <row r="92">
      <c r="A92" s="45" t="inlineStr">
        <is>
          <t>Form 990-EZ Parts I &amp; II</t>
        </is>
      </c>
      <c r="B92" s="45" t="inlineStr">
        <is>
          <t>21. Net assets or fund balances, end of year</t>
        </is>
      </c>
      <c r="C92" s="45" t="inlineStr">
        <is>
          <t>FY2022</t>
        </is>
      </c>
      <c r="D92" s="9" t="n">
        <v>97642</v>
      </c>
      <c r="E92" s="9">
        <f>'Form 990-EZ Parts I &amp; II'!D22</f>
        <v/>
      </c>
      <c r="F92" s="9">
        <f>E92-D92</f>
        <v/>
      </c>
    </row>
    <row r="93">
      <c r="A93" s="45" t="inlineStr">
        <is>
          <t>Form 990-EZ Parts I &amp; II</t>
        </is>
      </c>
      <c r="B93" s="45" t="inlineStr">
        <is>
          <t>21. Net assets or fund balances, end of year</t>
        </is>
      </c>
      <c r="C93" s="45" t="inlineStr">
        <is>
          <t>FY2023</t>
        </is>
      </c>
      <c r="D93" s="9" t="n">
        <v>73990</v>
      </c>
      <c r="E93" s="9">
        <f>'Form 990-EZ Parts I &amp; II'!E22</f>
        <v/>
      </c>
      <c r="F93" s="9">
        <f>E93-D93</f>
        <v/>
      </c>
    </row>
    <row r="94">
      <c r="A94" s="45" t="inlineStr">
        <is>
          <t>Form 990-EZ Parts I &amp; II</t>
        </is>
      </c>
      <c r="B94" s="45" t="inlineStr">
        <is>
          <t>21. Net assets or fund balances, end of year</t>
        </is>
      </c>
      <c r="C94" s="45" t="inlineStr">
        <is>
          <t>FY2024</t>
        </is>
      </c>
      <c r="D94" s="9" t="n">
        <v>82715</v>
      </c>
      <c r="E94" s="9">
        <f>'Form 990-EZ Parts I &amp; II'!F22</f>
        <v/>
      </c>
      <c r="F94" s="9">
        <f>E94-D94</f>
        <v/>
      </c>
    </row>
    <row r="95">
      <c r="A95" s="45" t="inlineStr">
        <is>
          <t>Form 990-EZ Parts I &amp; II</t>
        </is>
      </c>
      <c r="B95" s="45" t="inlineStr">
        <is>
          <t>25. Total assets</t>
        </is>
      </c>
      <c r="C95" s="45" t="inlineStr">
        <is>
          <t>FY2020</t>
        </is>
      </c>
      <c r="D95" s="9" t="n">
        <v>74072</v>
      </c>
      <c r="E95" s="9">
        <f>'Form 990-EZ Parts I &amp; II'!B27</f>
        <v/>
      </c>
      <c r="F95" s="9">
        <f>E95-D95</f>
        <v/>
      </c>
    </row>
    <row r="96">
      <c r="A96" s="45" t="inlineStr">
        <is>
          <t>Form 990-EZ Parts I &amp; II</t>
        </is>
      </c>
      <c r="B96" s="45" t="inlineStr">
        <is>
          <t>25. Total assets</t>
        </is>
      </c>
      <c r="C96" s="45" t="inlineStr">
        <is>
          <t>FY2021</t>
        </is>
      </c>
      <c r="D96" s="9" t="n">
        <v>78524</v>
      </c>
      <c r="E96" s="9">
        <f>'Form 990-EZ Parts I &amp; II'!C27</f>
        <v/>
      </c>
      <c r="F96" s="9">
        <f>E96-D96</f>
        <v/>
      </c>
    </row>
    <row r="97">
      <c r="A97" s="45" t="inlineStr">
        <is>
          <t>Form 990-EZ Parts I &amp; II</t>
        </is>
      </c>
      <c r="B97" s="45" t="inlineStr">
        <is>
          <t>25. Total assets</t>
        </is>
      </c>
      <c r="C97" s="45" t="inlineStr">
        <is>
          <t>FY2022</t>
        </is>
      </c>
      <c r="D97" s="9" t="n">
        <v>97642</v>
      </c>
      <c r="E97" s="9">
        <f>'Form 990-EZ Parts I &amp; II'!D27</f>
        <v/>
      </c>
      <c r="F97" s="9">
        <f>E97-D97</f>
        <v/>
      </c>
    </row>
    <row r="98">
      <c r="A98" s="45" t="inlineStr">
        <is>
          <t>Form 990-EZ Parts I &amp; II</t>
        </is>
      </c>
      <c r="B98" s="45" t="inlineStr">
        <is>
          <t>25. Total assets</t>
        </is>
      </c>
      <c r="C98" s="45" t="inlineStr">
        <is>
          <t>FY2023</t>
        </is>
      </c>
      <c r="D98" s="9" t="n">
        <v>73990</v>
      </c>
      <c r="E98" s="9">
        <f>'Form 990-EZ Parts I &amp; II'!E27</f>
        <v/>
      </c>
      <c r="F98" s="9">
        <f>E98-D98</f>
        <v/>
      </c>
    </row>
    <row r="99">
      <c r="A99" s="45" t="inlineStr">
        <is>
          <t>Form 990-EZ Parts I &amp; II</t>
        </is>
      </c>
      <c r="B99" s="45" t="inlineStr">
        <is>
          <t>25. Total assets</t>
        </is>
      </c>
      <c r="C99" s="45" t="inlineStr">
        <is>
          <t>FY2024</t>
        </is>
      </c>
      <c r="D99" s="9" t="n">
        <v>82715</v>
      </c>
      <c r="E99" s="9">
        <f>'Form 990-EZ Parts I &amp; II'!F27</f>
        <v/>
      </c>
      <c r="F99" s="9">
        <f>E99-D99</f>
        <v/>
      </c>
    </row>
    <row r="100">
      <c r="A100" s="45" t="inlineStr">
        <is>
          <t>Form 990-EZ Parts I &amp; II</t>
        </is>
      </c>
      <c r="B100" s="45" t="inlineStr">
        <is>
          <t>Balance sheet identity: line 25 = line 26 + line 27 (EOY)</t>
        </is>
      </c>
      <c r="C100" s="45" t="inlineStr">
        <is>
          <t>FY2020</t>
        </is>
      </c>
      <c r="D100" s="9">
        <f>'Form 990-EZ Parts I &amp; II'!B27</f>
        <v/>
      </c>
      <c r="E100" s="9">
        <f>SUM('Form 990-EZ Parts I &amp; II'!B28,'Form 990-EZ Parts I &amp; II'!B29)</f>
        <v/>
      </c>
      <c r="F100" s="9">
        <f>E100-D100</f>
        <v/>
      </c>
    </row>
    <row r="101">
      <c r="A101" s="45" t="inlineStr">
        <is>
          <t>Form 990-EZ Parts I &amp; II</t>
        </is>
      </c>
      <c r="B101" s="45" t="inlineStr">
        <is>
          <t>Balance sheet identity: line 25 = line 26 + line 27 (EOY)</t>
        </is>
      </c>
      <c r="C101" s="45" t="inlineStr">
        <is>
          <t>FY2021</t>
        </is>
      </c>
      <c r="D101" s="9">
        <f>'Form 990-EZ Parts I &amp; II'!C27</f>
        <v/>
      </c>
      <c r="E101" s="9">
        <f>SUM('Form 990-EZ Parts I &amp; II'!C28,'Form 990-EZ Parts I &amp; II'!C29)</f>
        <v/>
      </c>
      <c r="F101" s="9">
        <f>E101-D101</f>
        <v/>
      </c>
    </row>
    <row r="102">
      <c r="A102" s="45" t="inlineStr">
        <is>
          <t>Form 990-EZ Parts I &amp; II</t>
        </is>
      </c>
      <c r="B102" s="45" t="inlineStr">
        <is>
          <t>Balance sheet identity: line 25 = line 26 + line 27 (EOY)</t>
        </is>
      </c>
      <c r="C102" s="45" t="inlineStr">
        <is>
          <t>FY2022</t>
        </is>
      </c>
      <c r="D102" s="9">
        <f>'Form 990-EZ Parts I &amp; II'!D27</f>
        <v/>
      </c>
      <c r="E102" s="9">
        <f>SUM('Form 990-EZ Parts I &amp; II'!D28,'Form 990-EZ Parts I &amp; II'!D29)</f>
        <v/>
      </c>
      <c r="F102" s="9">
        <f>E102-D102</f>
        <v/>
      </c>
    </row>
    <row r="103">
      <c r="A103" s="45" t="inlineStr">
        <is>
          <t>Form 990-EZ Parts I &amp; II</t>
        </is>
      </c>
      <c r="B103" s="45" t="inlineStr">
        <is>
          <t>Balance sheet identity: line 25 = line 26 + line 27 (EOY)</t>
        </is>
      </c>
      <c r="C103" s="45" t="inlineStr">
        <is>
          <t>FY2023</t>
        </is>
      </c>
      <c r="D103" s="9">
        <f>'Form 990-EZ Parts I &amp; II'!E27</f>
        <v/>
      </c>
      <c r="E103" s="9">
        <f>SUM('Form 990-EZ Parts I &amp; II'!E28,'Form 990-EZ Parts I &amp; II'!E29)</f>
        <v/>
      </c>
      <c r="F103" s="9">
        <f>E103-D103</f>
        <v/>
      </c>
    </row>
    <row r="104">
      <c r="A104" s="45" t="inlineStr">
        <is>
          <t>Form 990-EZ Parts I &amp; II</t>
        </is>
      </c>
      <c r="B104" s="45" t="inlineStr">
        <is>
          <t>Balance sheet identity: line 25 = line 26 + line 27 (EOY)</t>
        </is>
      </c>
      <c r="C104" s="45" t="inlineStr">
        <is>
          <t>FY2024</t>
        </is>
      </c>
      <c r="D104" s="9">
        <f>'Form 990-EZ Parts I &amp; II'!F27</f>
        <v/>
      </c>
      <c r="E104" s="9">
        <f>SUM('Form 990-EZ Parts I &amp; II'!F28,'Form 990-EZ Parts I &amp; II'!F29)</f>
        <v/>
      </c>
      <c r="F104" s="9">
        <f>E104-D104</f>
        <v/>
      </c>
    </row>
    <row r="106">
      <c r="A106" s="43" t="inlineStr">
        <is>
          <t>D. Preparer / auditor trail (one row per fiscal year, as filed)</t>
        </is>
      </c>
      <c r="B106" s="7" t="n"/>
      <c r="C106" s="7" t="n"/>
      <c r="D106" s="7" t="n"/>
      <c r="E106" s="7" t="n"/>
      <c r="F106" s="7" t="n"/>
      <c r="G106" s="7" t="n"/>
      <c r="H106" s="7" t="n"/>
      <c r="I106" s="7" t="n"/>
      <c r="J106" s="7" t="n"/>
      <c r="K106" s="7" t="n"/>
    </row>
    <row r="107">
      <c r="A107" s="5" t="inlineStr">
        <is>
          <t>Fiscal year</t>
        </is>
      </c>
      <c r="B107" s="5" t="inlineStr">
        <is>
          <t>Paid preparer</t>
        </is>
      </c>
      <c r="C107" s="5" t="inlineStr">
        <is>
          <t>Preparer firm</t>
        </is>
      </c>
      <c r="D107" s="5" t="inlineStr">
        <is>
          <t>Independent auditor</t>
        </is>
      </c>
      <c r="E107" s="5" t="inlineStr">
        <is>
          <t>Citation</t>
        </is>
      </c>
    </row>
    <row r="108" ht="42" customHeight="1">
      <c r="A108" s="44" t="inlineStr">
        <is>
          <t>FY2020</t>
        </is>
      </c>
      <c r="B108" s="8" t="inlineStr">
        <is>
          <t>THOMAS J HANNA CPA</t>
        </is>
      </c>
      <c r="C108" s="8" t="inlineStr">
        <is>
          <t>Carey &amp; Hanna CPAs</t>
        </is>
      </c>
      <c r="D108" s="46" t="inlineStr">
        <is>
          <t>not reported</t>
        </is>
      </c>
      <c r="E108" s="19" t="inlineStr">
        <is>
          <t>Form 990 Return Header, Paid Preparer block (return_header.preparer_person_name / preparer_firm_name); auditor: Part XII line 2 reports audited financial statements but does not name the firm.</t>
        </is>
      </c>
    </row>
    <row r="109" ht="42" customHeight="1">
      <c r="A109" s="44" t="inlineStr">
        <is>
          <t>FY2021</t>
        </is>
      </c>
      <c r="B109" s="8" t="inlineStr">
        <is>
          <t>THOMAS J HANNA CPA</t>
        </is>
      </c>
      <c r="C109" s="8" t="inlineStr">
        <is>
          <t>Carey &amp; Hanna CPAs</t>
        </is>
      </c>
      <c r="D109" s="46" t="inlineStr">
        <is>
          <t>not reported</t>
        </is>
      </c>
      <c r="E109" s="19" t="inlineStr">
        <is>
          <t>Form 990 Return Header, Paid Preparer block (return_header.preparer_person_name / preparer_firm_name); auditor: Part XII line 2 reports audited financial statements but does not name the firm.</t>
        </is>
      </c>
    </row>
    <row r="110" ht="42" customHeight="1">
      <c r="A110" s="44" t="inlineStr">
        <is>
          <t>FY2022</t>
        </is>
      </c>
      <c r="B110" s="8" t="inlineStr">
        <is>
          <t>THOMAS J HANNA CPA</t>
        </is>
      </c>
      <c r="C110" s="8" t="inlineStr">
        <is>
          <t>Carey &amp; Hanna CPAs</t>
        </is>
      </c>
      <c r="D110" s="46" t="inlineStr">
        <is>
          <t>not reported</t>
        </is>
      </c>
      <c r="E110" s="19" t="inlineStr">
        <is>
          <t>Form 990 Return Header, Paid Preparer block (return_header.preparer_person_name / preparer_firm_name); auditor: Part XII line 2 reports audited financial statements but does not name the firm.</t>
        </is>
      </c>
    </row>
    <row r="111" ht="42" customHeight="1">
      <c r="A111" s="44" t="inlineStr">
        <is>
          <t>FY2023</t>
        </is>
      </c>
      <c r="B111" s="8" t="inlineStr">
        <is>
          <t>THOMAS J HANNA CPA</t>
        </is>
      </c>
      <c r="C111" s="8" t="inlineStr">
        <is>
          <t>Carey &amp; Hanna CPAs</t>
        </is>
      </c>
      <c r="D111" s="46" t="inlineStr">
        <is>
          <t>not reported</t>
        </is>
      </c>
      <c r="E111" s="19" t="inlineStr">
        <is>
          <t>Form 990 Return Header, Paid Preparer block (return_header.preparer_person_name / preparer_firm_name); auditor: Part XII line 2 reports audited financial statements but does not name the firm.</t>
        </is>
      </c>
    </row>
    <row r="112" ht="42" customHeight="1">
      <c r="A112" s="44" t="inlineStr">
        <is>
          <t>FY2024</t>
        </is>
      </c>
      <c r="B112" s="8" t="inlineStr">
        <is>
          <t>THOMAS J HANNA CPA</t>
        </is>
      </c>
      <c r="C112" s="8" t="inlineStr">
        <is>
          <t>Carey &amp; Hanna CPAs</t>
        </is>
      </c>
      <c r="D112" s="46" t="inlineStr">
        <is>
          <t>not reported</t>
        </is>
      </c>
      <c r="E112" s="19" t="inlineStr">
        <is>
          <t>Form 990 Return Header, Paid Preparer block (return_header.preparer_person_name / preparer_firm_name); auditor: Part XII line 2 reports audited financial statements but does not name the firm.</t>
        </is>
      </c>
    </row>
    <row r="114" ht="42" customHeight="1">
      <c r="A114" s="3" t="inlineStr">
        <is>
          <t>Section B lists every figure on the statement tabs by its cell, so any number can be traced to its Form 990 line, key path, and confidence without cluttering the statements. Section C recomputes each statutory total live from the statement cells and compares it with the as-filed value; a nonzero variance turns red. A red row is a filer-internal inconsistency (e.g. an ending net-assets figure that does not equal the beginning balance plus the year's surplus or deficit), carried exactly as filed and never reconciled; the statutory totals otherwise tie to zero. Section D records the paid preparer and (where named) the auditor for each year, as filed; the 990 names the preparer but not the auditing firm, so the auditor reads "not reported". Section E lists every as-filed wording variant for Part IX line-24 rows that were consolidated across years because they differed only by capitalization or spacing. IRS efile XML has no page numbers, so 990 figures cite by Part and line (the key path), not a page.</t>
        </is>
      </c>
    </row>
  </sheetData>
  <mergeCells count="6">
    <mergeCell ref="A6:K6"/>
    <mergeCell ref="A114:K114"/>
    <mergeCell ref="A3:K3"/>
    <mergeCell ref="A2:K2"/>
    <mergeCell ref="A5:K5"/>
    <mergeCell ref="A1:K1"/>
  </mergeCells>
  <conditionalFormatting sqref="F85:F104">
    <cfRule type="cellIs" priority="1" operator="notEqual" dxfId="0">
      <formula>0</formula>
    </cfRule>
  </conditionalFormatting>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90" customWidth="1" min="2" max="2"/>
  </cols>
  <sheetData>
    <row r="1">
      <c r="A1" t="inlineStr">
        <is>
          <t>Build provenance</t>
        </is>
      </c>
      <c r="B1" t="inlineStr">
        <is>
          <t>Built from source commit d418ffb17485 (2026-10-06); source fingerprint a75a8eee82c65cf7; 192 companies (179 retail mutual, 4 irrigation mutual, 3 mutual, no PWSID, purpose not stated, 2 frozen non-mutual (special district), 2 wholesale mutual, 1 frozen non-mutual (investor-owned), 1 frozen non-mutual (municipal)); 91 gates; build id 3d08d6d2a855.</t>
        </is>
      </c>
    </row>
    <row r="2">
      <c r="A2" t="inlineStr">
        <is>
          <t>source_commit</t>
        </is>
      </c>
      <c r="B2" t="inlineStr">
        <is>
          <t>d418ffb174855ab78000d391d42f898397b0d8aa</t>
        </is>
      </c>
    </row>
    <row r="3">
      <c r="A3" t="inlineStr">
        <is>
          <t>source_commit_date</t>
        </is>
      </c>
      <c r="B3" t="inlineStr">
        <is>
          <t>2026-10-06</t>
        </is>
      </c>
    </row>
    <row r="4">
      <c r="A4" t="inlineStr">
        <is>
          <t>source_fingerprint</t>
        </is>
      </c>
      <c r="B4" t="inlineStr">
        <is>
          <t>a75a8eee82c65cf7096931f06e18affdc28686a02895b46538e7298b57c04d94</t>
        </is>
      </c>
    </row>
    <row r="5">
      <c r="A5" t="inlineStr">
        <is>
          <t>gate_count</t>
        </is>
      </c>
      <c r="B5" t="n">
        <v>91</v>
      </c>
    </row>
    <row r="6">
      <c r="A6" t="inlineStr">
        <is>
          <t>build_id</t>
        </is>
      </c>
      <c r="B6" t="inlineStr">
        <is>
          <t>3d08d6d2a855</t>
        </is>
      </c>
    </row>
    <row r="7">
      <c r="A7" t="inlineStr">
        <is>
          <t>registry: frozen non-mutual (investor-owned)</t>
        </is>
      </c>
      <c r="B7" t="n">
        <v>1</v>
      </c>
    </row>
    <row r="8">
      <c r="A8" t="inlineStr">
        <is>
          <t>registry: frozen non-mutual (municipal)</t>
        </is>
      </c>
      <c r="B8" t="n">
        <v>1</v>
      </c>
    </row>
    <row r="9">
      <c r="A9" t="inlineStr">
        <is>
          <t>registry: frozen non-mutual (special district)</t>
        </is>
      </c>
      <c r="B9" t="n">
        <v>2</v>
      </c>
    </row>
    <row r="10">
      <c r="A10" t="inlineStr">
        <is>
          <t>registry: irrigation mutual</t>
        </is>
      </c>
      <c r="B10" t="n">
        <v>4</v>
      </c>
    </row>
    <row r="11">
      <c r="A11" t="inlineStr">
        <is>
          <t>registry: mutual, no PWSID, purpose not stated</t>
        </is>
      </c>
      <c r="B11" t="n">
        <v>3</v>
      </c>
    </row>
    <row r="12">
      <c r="A12" t="inlineStr">
        <is>
          <t>registry: retail mutual</t>
        </is>
      </c>
      <c r="B12" t="n">
        <v>179</v>
      </c>
    </row>
    <row r="13">
      <c r="A13" t="inlineStr">
        <is>
          <t>registry: wholesale mutual</t>
        </is>
      </c>
      <c r="B13"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2020-01-01T00:00:00Z</dcterms:created>
  <dcterms:modified xsi:type="dcterms:W3CDTF">2020-01-01T00:00:00Z</dcterms:modified>
</cp:coreProperties>
</file>