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B9" authorId="0" shapeId="0">
      <text>
        <t>peak weekly category over Jul 2019-Jun 2020 (severe)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2023-Jun 2024 (moderate)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Sheep Creek Water Company</t>
        </is>
      </c>
    </row>
    <row r="2">
      <c r="A2" s="2" t="inlineStr">
        <is>
          <t>Financial Summary - multi-year overview (USD)</t>
        </is>
      </c>
    </row>
    <row r="3">
      <c r="A3" s="2" t="inlineStr">
        <is>
          <t>Entity ID: cawc_0056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FY2024</t>
        </is>
      </c>
    </row>
    <row r="9">
      <c r="A9" s="6" t="inlineStr">
        <is>
          <t>Operating results (USD)</t>
        </is>
      </c>
      <c r="B9" s="7" t="n"/>
      <c r="C9" s="7" t="n"/>
      <c r="D9" s="7" t="n"/>
      <c r="E9" s="7" t="n"/>
    </row>
    <row r="10">
      <c r="A10" s="8" t="inlineStr">
        <is>
          <t xml:space="preserve">    Total revenue</t>
        </is>
      </c>
      <c r="B10" s="9" t="n">
        <v>1356986</v>
      </c>
      <c r="C10" s="9" t="n">
        <v>1454179</v>
      </c>
      <c r="D10" s="9" t="n">
        <v>1474322</v>
      </c>
      <c r="E10" s="9" t="n">
        <v>1719839</v>
      </c>
    </row>
    <row r="11">
      <c r="A11" s="8" t="inlineStr">
        <is>
          <t xml:space="preserve">    Total expenses</t>
        </is>
      </c>
      <c r="B11" s="9" t="n">
        <v>1228756</v>
      </c>
      <c r="C11" s="9" t="n">
        <v>1227501</v>
      </c>
      <c r="D11" s="9" t="n">
        <v>1441849</v>
      </c>
      <c r="E11" s="9" t="n">
        <v>1970627</v>
      </c>
    </row>
    <row r="12">
      <c r="A12" s="10" t="inlineStr">
        <is>
          <t xml:space="preserve">    Net income</t>
        </is>
      </c>
      <c r="B12" s="11" t="n">
        <v>128230</v>
      </c>
      <c r="C12" s="11" t="n">
        <v>226678</v>
      </c>
      <c r="D12" s="11" t="n">
        <v>32473</v>
      </c>
      <c r="E12" s="11" t="n">
        <v>-250788</v>
      </c>
    </row>
    <row r="14">
      <c r="A14" s="6" t="inlineStr">
        <is>
          <t>Financial position (USD, end of year)</t>
        </is>
      </c>
      <c r="B14" s="7" t="n"/>
      <c r="C14" s="7" t="n"/>
      <c r="D14" s="7" t="n"/>
      <c r="E14" s="7" t="n"/>
    </row>
    <row r="15">
      <c r="A15" s="8" t="inlineStr">
        <is>
          <t xml:space="preserve">    Total assets</t>
        </is>
      </c>
      <c r="B15" s="9" t="n">
        <v>6823449</v>
      </c>
      <c r="C15" s="9" t="n">
        <v>6978056</v>
      </c>
      <c r="D15" s="9" t="n">
        <v>7209298</v>
      </c>
      <c r="E15" s="9" t="n">
        <v>10150597</v>
      </c>
    </row>
    <row r="16">
      <c r="A16" s="8" t="inlineStr">
        <is>
          <t xml:space="preserve">    Total liabilities</t>
        </is>
      </c>
      <c r="B16" s="9" t="n">
        <v>451635</v>
      </c>
      <c r="C16" s="9" t="n">
        <v>318399</v>
      </c>
      <c r="D16" s="9" t="n">
        <v>448053</v>
      </c>
      <c r="E16" s="9" t="n">
        <v>3342447</v>
      </c>
    </row>
    <row r="17">
      <c r="A17" s="10" t="inlineStr">
        <is>
          <t xml:space="preserve">    Net assets</t>
        </is>
      </c>
      <c r="B17" s="11" t="n">
        <v>6371814</v>
      </c>
      <c r="C17" s="11" t="n">
        <v>6659657</v>
      </c>
      <c r="D17" s="11" t="n">
        <v>6761245</v>
      </c>
      <c r="E17" s="11" t="n">
        <v>6808150</v>
      </c>
    </row>
    <row r="19">
      <c r="A19" s="6" t="inlineStr">
        <is>
          <t>Headline ratios</t>
        </is>
      </c>
      <c r="B19" s="7" t="n"/>
      <c r="C19" s="7" t="n"/>
      <c r="D19" s="7" t="n"/>
      <c r="E19" s="7" t="n"/>
    </row>
    <row r="20">
      <c r="A20" s="8" t="inlineStr">
        <is>
          <t xml:space="preserve">    Operating margin</t>
        </is>
      </c>
      <c r="B20" s="12" t="n">
        <v>0.09449618492747899</v>
      </c>
      <c r="C20" s="12" t="n">
        <v>0.1558803971175488</v>
      </c>
      <c r="D20" s="12" t="n">
        <v>0.02202571758408272</v>
      </c>
      <c r="E20" s="12" t="n">
        <v>-0.1458206262330369</v>
      </c>
    </row>
    <row r="21">
      <c r="A21" s="8" t="inlineStr">
        <is>
          <t xml:space="preserve">    Revenue growth (YoY)</t>
        </is>
      </c>
      <c r="B21" s="12" t="n">
        <v>0.04827685300488532</v>
      </c>
      <c r="C21" s="12" t="n">
        <v>0.07162417298336166</v>
      </c>
      <c r="D21" s="12" t="n">
        <v>0.01385180228843904</v>
      </c>
      <c r="E21" s="12" t="n">
        <v>0.07989930879974282</v>
      </c>
    </row>
    <row r="22">
      <c r="A22" s="8" t="inlineStr">
        <is>
          <t xml:space="preserve">    Return on assets</t>
        </is>
      </c>
      <c r="B22" s="12" t="n">
        <v>0.01879254904667713</v>
      </c>
      <c r="C22" s="12" t="n">
        <v>0.03248440539886754</v>
      </c>
      <c r="D22" s="12" t="n">
        <v>0.004504322057431944</v>
      </c>
      <c r="E22" s="12" t="n">
        <v>-0.02470672414637287</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Sheep Creek Water Company</t>
        </is>
      </c>
    </row>
    <row r="2">
      <c r="A2" s="2" t="inlineStr">
        <is>
          <t>Financial Statements - income statement, balance sheet, cash flow, member income test (USD)</t>
        </is>
      </c>
    </row>
    <row r="3">
      <c r="A3" s="2" t="inlineStr">
        <is>
          <t>Entity ID: cawc_0056   |   Fiscal year ends December 31.</t>
        </is>
      </c>
    </row>
    <row r="5">
      <c r="A5" s="6" t="inlineStr">
        <is>
          <t>INCOME STATEMENT - as reported (USD)</t>
        </is>
      </c>
      <c r="B5" s="7" t="n"/>
      <c r="C5" s="7" t="n"/>
      <c r="D5" s="7" t="n"/>
      <c r="E5" s="7" t="n"/>
    </row>
    <row r="6">
      <c r="A6" s="4" t="inlineStr">
        <is>
          <t>Line item</t>
        </is>
      </c>
      <c r="B6" s="5" t="inlineStr">
        <is>
          <t>FY2020</t>
        </is>
      </c>
      <c r="C6" s="5" t="inlineStr">
        <is>
          <t>FY2021</t>
        </is>
      </c>
      <c r="D6" s="5" t="inlineStr">
        <is>
          <t>FY2022</t>
        </is>
      </c>
      <c r="E6" s="5" t="inlineStr">
        <is>
          <t>FY2024</t>
        </is>
      </c>
    </row>
    <row r="7">
      <c r="A7" s="6" t="inlineStr">
        <is>
          <t>Revenue</t>
        </is>
      </c>
      <c r="B7" s="7" t="n"/>
      <c r="C7" s="7" t="n"/>
      <c r="D7" s="7" t="n"/>
      <c r="E7" s="7" t="n"/>
    </row>
    <row r="8">
      <c r="A8" s="8" t="inlineStr">
        <is>
          <t xml:space="preserve">    Program service revenue</t>
        </is>
      </c>
      <c r="B8" s="9" t="n">
        <v>0</v>
      </c>
      <c r="C8" s="9" t="n">
        <v>0</v>
      </c>
      <c r="D8" s="9" t="n">
        <v>0</v>
      </c>
      <c r="E8" s="9" t="n">
        <v>1692555</v>
      </c>
    </row>
    <row r="9">
      <c r="A9" s="8" t="inlineStr">
        <is>
          <t xml:space="preserve">    Investment income</t>
        </is>
      </c>
      <c r="B9" s="9" t="n">
        <v>217</v>
      </c>
      <c r="C9" s="9" t="n">
        <v>2162</v>
      </c>
      <c r="D9" s="9" t="n">
        <v>662</v>
      </c>
      <c r="E9" s="9" t="n">
        <v>10870</v>
      </c>
    </row>
    <row r="10">
      <c r="A10" s="8" t="inlineStr">
        <is>
          <t xml:space="preserve">    Net rental income</t>
        </is>
      </c>
      <c r="B10" s="9" t="n">
        <v>0</v>
      </c>
      <c r="C10" s="9" t="n">
        <v>0</v>
      </c>
      <c r="D10" s="9" t="n">
        <v>0</v>
      </c>
      <c r="E10" s="9" t="n">
        <v>0</v>
      </c>
    </row>
    <row r="11">
      <c r="A11" s="8" t="inlineStr">
        <is>
          <t xml:space="preserve">    Net gain/(loss) on investment sales</t>
        </is>
      </c>
      <c r="B11" s="9" t="n">
        <v>0</v>
      </c>
      <c r="C11" s="9" t="n">
        <v>0</v>
      </c>
      <c r="D11" s="9" t="n">
        <v>2091</v>
      </c>
      <c r="E11" s="9" t="n">
        <v>0</v>
      </c>
    </row>
    <row r="12">
      <c r="A12" s="8" t="inlineStr">
        <is>
          <t xml:space="preserve">    Other revenue</t>
        </is>
      </c>
      <c r="B12" s="9" t="n">
        <v>10806</v>
      </c>
      <c r="C12" s="9" t="n">
        <v>12204</v>
      </c>
      <c r="D12" s="9" t="n">
        <v>23455</v>
      </c>
      <c r="E12" s="9" t="n">
        <v>16414</v>
      </c>
    </row>
    <row r="13">
      <c r="A13" s="8" t="inlineStr">
        <is>
          <t xml:space="preserve">    Contributions &amp; grants</t>
        </is>
      </c>
      <c r="B13" s="9" t="n">
        <v>0</v>
      </c>
      <c r="C13" s="9" t="n">
        <v>0</v>
      </c>
      <c r="D13" s="9" t="n">
        <v>27625</v>
      </c>
      <c r="E13" s="9" t="n">
        <v>0</v>
      </c>
    </row>
    <row r="14">
      <c r="A14" s="10" t="inlineStr">
        <is>
          <t>Total revenue</t>
        </is>
      </c>
      <c r="B14" s="11" t="n">
        <v>1356986</v>
      </c>
      <c r="C14" s="11" t="n">
        <v>1454179</v>
      </c>
      <c r="D14" s="11" t="n">
        <v>1474322</v>
      </c>
      <c r="E14" s="11" t="n">
        <v>1719839</v>
      </c>
    </row>
    <row r="16">
      <c r="A16" s="6" t="inlineStr">
        <is>
          <t>Expenses</t>
        </is>
      </c>
      <c r="B16" s="7" t="n"/>
      <c r="C16" s="7" t="n"/>
      <c r="D16" s="7" t="n"/>
      <c r="E16" s="7" t="n"/>
    </row>
    <row r="17">
      <c r="A17" s="8" t="inlineStr">
        <is>
          <t xml:space="preserve">    Depreciation</t>
        </is>
      </c>
      <c r="B17" s="9" t="n">
        <v>278694</v>
      </c>
      <c r="C17" s="9" t="n">
        <v>277105</v>
      </c>
      <c r="D17" s="9" t="n">
        <v>271384</v>
      </c>
      <c r="E17" s="9" t="n">
        <v>278642</v>
      </c>
    </row>
    <row r="18">
      <c r="A18" s="8" t="inlineStr">
        <is>
          <t xml:space="preserve">    Interest expense</t>
        </is>
      </c>
      <c r="B18" s="9" t="n">
        <v>17136</v>
      </c>
      <c r="C18" s="9" t="n">
        <v>8895</v>
      </c>
      <c r="D18" s="9" t="n">
        <v>5453</v>
      </c>
      <c r="E18" s="9" t="n">
        <v>196499</v>
      </c>
    </row>
    <row r="19">
      <c r="A19" s="10" t="inlineStr">
        <is>
          <t>Total expenses</t>
        </is>
      </c>
      <c r="B19" s="11" t="n">
        <v>1228756</v>
      </c>
      <c r="C19" s="11" t="n">
        <v>1227501</v>
      </c>
      <c r="D19" s="11" t="n">
        <v>1441849</v>
      </c>
      <c r="E19" s="11" t="n">
        <v>1970627</v>
      </c>
    </row>
    <row r="21">
      <c r="A21" s="10" t="inlineStr">
        <is>
          <t>Net income</t>
        </is>
      </c>
      <c r="B21" s="11" t="n">
        <v>128230</v>
      </c>
      <c r="C21" s="11" t="n">
        <v>226678</v>
      </c>
      <c r="D21" s="11" t="n">
        <v>32473</v>
      </c>
      <c r="E21" s="11" t="n">
        <v>-250788</v>
      </c>
    </row>
    <row r="24">
      <c r="A24" s="6" t="inlineStr">
        <is>
          <t>BALANCE SHEET - as reported (USD, end of year)</t>
        </is>
      </c>
      <c r="B24" s="7" t="n"/>
      <c r="C24" s="7" t="n"/>
      <c r="D24" s="7" t="n"/>
      <c r="E24" s="7" t="n"/>
    </row>
    <row r="25">
      <c r="A25" s="4" t="inlineStr">
        <is>
          <t>Line item</t>
        </is>
      </c>
      <c r="B25" s="5" t="inlineStr">
        <is>
          <t>FY2020</t>
        </is>
      </c>
      <c r="C25" s="5" t="inlineStr">
        <is>
          <t>FY2021</t>
        </is>
      </c>
      <c r="D25" s="5" t="inlineStr">
        <is>
          <t>FY2022</t>
        </is>
      </c>
      <c r="E25" s="5" t="inlineStr">
        <is>
          <t>FY2024</t>
        </is>
      </c>
    </row>
    <row r="26">
      <c r="A26" s="6" t="inlineStr">
        <is>
          <t>Assets</t>
        </is>
      </c>
      <c r="B26" s="7" t="n"/>
      <c r="C26" s="7" t="n"/>
      <c r="D26" s="7" t="n"/>
      <c r="E26" s="7" t="n"/>
    </row>
    <row r="27">
      <c r="A27" s="8" t="inlineStr">
        <is>
          <t xml:space="preserve">    Cash</t>
        </is>
      </c>
      <c r="B27" s="9" t="n">
        <v>390</v>
      </c>
      <c r="C27" s="9" t="n">
        <v>390</v>
      </c>
      <c r="D27" s="9" t="n">
        <v>590</v>
      </c>
      <c r="E27" s="9" t="n">
        <v>610</v>
      </c>
    </row>
    <row r="28">
      <c r="A28" s="8" t="inlineStr">
        <is>
          <t xml:space="preserve">    Savings &amp; temporary investments</t>
        </is>
      </c>
      <c r="B28" s="9" t="n">
        <v>436201</v>
      </c>
      <c r="C28" s="9" t="n">
        <v>706220</v>
      </c>
      <c r="D28" s="9" t="n">
        <v>825829</v>
      </c>
      <c r="E28" s="9" t="n">
        <v>592947</v>
      </c>
    </row>
    <row r="29">
      <c r="A29" s="8" t="inlineStr">
        <is>
          <t xml:space="preserve">    Accounts receivable</t>
        </is>
      </c>
      <c r="B29" s="9" t="n">
        <v>210488</v>
      </c>
      <c r="C29" s="9" t="n">
        <v>242804</v>
      </c>
      <c r="D29" s="9" t="n">
        <v>172314</v>
      </c>
      <c r="E29" s="9" t="n">
        <v>248186</v>
      </c>
    </row>
    <row r="30">
      <c r="A30" s="8" t="inlineStr">
        <is>
          <t xml:space="preserve">    Inventories</t>
        </is>
      </c>
      <c r="B30" s="9" t="n">
        <v>136268</v>
      </c>
      <c r="C30" s="9" t="n">
        <v>140943</v>
      </c>
      <c r="D30" s="9" t="n">
        <v>157923</v>
      </c>
      <c r="E30" s="9" t="n">
        <v>209296</v>
      </c>
    </row>
    <row r="31">
      <c r="A31" s="8" t="inlineStr">
        <is>
          <t xml:space="preserve">    Prepaid expenses</t>
        </is>
      </c>
      <c r="B31" s="9" t="n">
        <v>0</v>
      </c>
      <c r="C31" s="9" t="n">
        <v>0</v>
      </c>
      <c r="D31" s="9" t="n">
        <v>0</v>
      </c>
      <c r="E31" s="9" t="n">
        <v>11717</v>
      </c>
    </row>
    <row r="32">
      <c r="A32" s="8" t="inlineStr">
        <is>
          <t xml:space="preserve">    Property, plant &amp; equipment (gross)</t>
        </is>
      </c>
      <c r="B32" s="9" t="n">
        <v>12268212</v>
      </c>
      <c r="C32" s="9" t="n">
        <v>12382517</v>
      </c>
      <c r="D32" s="9" t="n">
        <v>12816304</v>
      </c>
      <c r="E32" s="9" t="n">
        <v>16358585</v>
      </c>
    </row>
    <row r="33">
      <c r="A33" s="8" t="inlineStr">
        <is>
          <t xml:space="preserve">    Less: accumulated depreciation</t>
        </is>
      </c>
      <c r="B33" s="9" t="n">
        <v>-6235441</v>
      </c>
      <c r="C33" s="9" t="n">
        <v>-6503512</v>
      </c>
      <c r="D33" s="9" t="n">
        <v>-6772205</v>
      </c>
      <c r="E33" s="9" t="n">
        <v>-7270744</v>
      </c>
    </row>
    <row r="34">
      <c r="A34" s="10" t="inlineStr">
        <is>
          <t xml:space="preserve">    Net property, plant &amp; equipment</t>
        </is>
      </c>
      <c r="B34" s="11" t="n">
        <v>6032771</v>
      </c>
      <c r="C34" s="11" t="n">
        <v>5879005</v>
      </c>
      <c r="D34" s="11" t="n">
        <v>6044099</v>
      </c>
      <c r="E34" s="11" t="n">
        <v>9087841</v>
      </c>
    </row>
    <row r="35">
      <c r="A35" s="10" t="inlineStr">
        <is>
          <t>Total assets</t>
        </is>
      </c>
      <c r="B35" s="11" t="n">
        <v>6823449</v>
      </c>
      <c r="C35" s="11" t="n">
        <v>6978056</v>
      </c>
      <c r="D35" s="11" t="n">
        <v>7209298</v>
      </c>
      <c r="E35" s="11" t="n">
        <v>10150597</v>
      </c>
    </row>
    <row r="37">
      <c r="A37" s="6" t="inlineStr">
        <is>
          <t>Liabilities</t>
        </is>
      </c>
      <c r="B37" s="7" t="n"/>
      <c r="C37" s="7" t="n"/>
      <c r="D37" s="7" t="n"/>
      <c r="E37" s="7" t="n"/>
    </row>
    <row r="38">
      <c r="A38" s="8" t="inlineStr">
        <is>
          <t xml:space="preserve">    Accounts payable</t>
        </is>
      </c>
      <c r="B38" s="9" t="n">
        <v>54492</v>
      </c>
      <c r="C38" s="9" t="n">
        <v>49190</v>
      </c>
      <c r="D38" s="9" t="n">
        <v>153404</v>
      </c>
      <c r="E38" s="9" t="n">
        <v>45646</v>
      </c>
    </row>
    <row r="39">
      <c r="A39" s="8" t="inlineStr">
        <is>
          <t xml:space="preserve">    Mortgages &amp; notes payable</t>
        </is>
      </c>
      <c r="B39" s="9" t="n">
        <v>358092</v>
      </c>
      <c r="C39" s="9" t="n">
        <v>258869</v>
      </c>
      <c r="D39" s="9" t="n">
        <v>294649</v>
      </c>
      <c r="E39" s="9" t="n">
        <v>3296801</v>
      </c>
    </row>
    <row r="40">
      <c r="A40" s="10" t="inlineStr">
        <is>
          <t>Total liabilities</t>
        </is>
      </c>
      <c r="B40" s="11" t="n">
        <v>451635</v>
      </c>
      <c r="C40" s="11" t="n">
        <v>318399</v>
      </c>
      <c r="D40" s="11" t="n">
        <v>448053</v>
      </c>
      <c r="E40" s="11" t="n">
        <v>3342447</v>
      </c>
    </row>
    <row r="42">
      <c r="A42" s="6" t="inlineStr">
        <is>
          <t>Net Assets / Equity</t>
        </is>
      </c>
      <c r="B42" s="7" t="n"/>
      <c r="C42" s="7" t="n"/>
      <c r="D42" s="7" t="n"/>
      <c r="E42" s="7" t="n"/>
    </row>
    <row r="43">
      <c r="A43" s="8" t="inlineStr">
        <is>
          <t xml:space="preserve">    Capital stock</t>
        </is>
      </c>
      <c r="B43" s="9" t="n">
        <v>11417</v>
      </c>
      <c r="C43" s="9" t="n">
        <v>11417</v>
      </c>
      <c r="D43" s="9" t="n">
        <v>18217</v>
      </c>
      <c r="E43" s="9" t="n">
        <v>20192</v>
      </c>
    </row>
    <row r="44">
      <c r="A44" s="8" t="inlineStr">
        <is>
          <t xml:space="preserve">    Paid-in capital</t>
        </is>
      </c>
      <c r="B44" s="9" t="n">
        <v>9752381</v>
      </c>
      <c r="C44" s="9" t="n">
        <v>9763249</v>
      </c>
      <c r="D44" s="9" t="n">
        <v>9811859</v>
      </c>
      <c r="E44" s="9" t="n">
        <v>10236612</v>
      </c>
    </row>
    <row r="45">
      <c r="A45" s="8" t="inlineStr">
        <is>
          <t xml:space="preserve">    Retained earnings</t>
        </is>
      </c>
      <c r="B45" s="9" t="n">
        <v>-3391984</v>
      </c>
      <c r="C45" s="9" t="n">
        <v>-3115009</v>
      </c>
      <c r="D45" s="9" t="n">
        <v>-3068831</v>
      </c>
      <c r="E45" s="9" t="n">
        <v>-3448654</v>
      </c>
    </row>
    <row r="46">
      <c r="A46" s="10" t="inlineStr">
        <is>
          <t>Net assets</t>
        </is>
      </c>
      <c r="B46" s="11" t="n">
        <v>6371814</v>
      </c>
      <c r="C46" s="11" t="n">
        <v>6659657</v>
      </c>
      <c r="D46" s="11" t="n">
        <v>6761245</v>
      </c>
      <c r="E46" s="11" t="n">
        <v>6808150</v>
      </c>
    </row>
    <row r="49">
      <c r="A49" s="6" t="inlineStr">
        <is>
          <t>CASH FLOW - derived proxy (USD)</t>
        </is>
      </c>
      <c r="B49" s="7" t="n"/>
      <c r="C49" s="7" t="n"/>
      <c r="D49" s="7" t="n"/>
      <c r="E49" s="7" t="n"/>
    </row>
    <row r="50">
      <c r="A50" s="4" t="inlineStr">
        <is>
          <t>Proxy line</t>
        </is>
      </c>
      <c r="B50" s="5" t="inlineStr">
        <is>
          <t>FY2020</t>
        </is>
      </c>
      <c r="C50" s="5" t="inlineStr">
        <is>
          <t>FY2021</t>
        </is>
      </c>
      <c r="D50" s="5" t="inlineStr">
        <is>
          <t>FY2022</t>
        </is>
      </c>
      <c r="E50" s="5" t="inlineStr">
        <is>
          <t>FY2024</t>
        </is>
      </c>
    </row>
    <row r="51">
      <c r="A51" s="6" t="inlineStr">
        <is>
          <t>Operating</t>
        </is>
      </c>
      <c r="B51" s="7" t="n"/>
      <c r="C51" s="7" t="n"/>
      <c r="D51" s="7" t="n"/>
      <c r="E51" s="7" t="n"/>
    </row>
    <row r="52">
      <c r="A52" s="8" t="inlineStr">
        <is>
          <t xml:space="preserve">    Net income</t>
        </is>
      </c>
      <c r="B52" s="9" t="n">
        <v>128230</v>
      </c>
      <c r="C52" s="9" t="n">
        <v>226678</v>
      </c>
      <c r="D52" s="9" t="n">
        <v>32473</v>
      </c>
      <c r="E52" s="9" t="n">
        <v>-250788</v>
      </c>
    </row>
    <row r="53">
      <c r="A53" s="8" t="inlineStr">
        <is>
          <t xml:space="preserve">    + Depreciation (reported)</t>
        </is>
      </c>
      <c r="B53" s="9" t="n">
        <v>278694</v>
      </c>
      <c r="C53" s="9" t="n">
        <v>277105</v>
      </c>
      <c r="D53" s="9" t="n">
        <v>271384</v>
      </c>
      <c r="E53" s="9" t="n">
        <v>278642</v>
      </c>
    </row>
    <row r="54">
      <c r="A54" s="8" t="inlineStr">
        <is>
          <t xml:space="preserve">    − Δ Accounts receivable</t>
        </is>
      </c>
      <c r="B54" s="9" t="n"/>
      <c r="C54" s="9" t="n">
        <v>-32316</v>
      </c>
      <c r="D54" s="9" t="n">
        <v>70490</v>
      </c>
      <c r="E54" s="9" t="n">
        <v>-75872</v>
      </c>
    </row>
    <row r="55">
      <c r="A55" s="8" t="inlineStr">
        <is>
          <t xml:space="preserve">    − Δ Inventories</t>
        </is>
      </c>
      <c r="B55" s="9" t="n"/>
      <c r="C55" s="9" t="n">
        <v>-4675</v>
      </c>
      <c r="D55" s="9" t="n">
        <v>-16980</v>
      </c>
      <c r="E55" s="9" t="n">
        <v>-51373</v>
      </c>
    </row>
    <row r="56">
      <c r="A56" s="8" t="inlineStr">
        <is>
          <t xml:space="preserve">    − Δ Prepaid expenses</t>
        </is>
      </c>
      <c r="B56" s="9" t="n"/>
      <c r="C56" s="9" t="n">
        <v>0</v>
      </c>
      <c r="D56" s="9" t="n">
        <v>0</v>
      </c>
      <c r="E56" s="9" t="n">
        <v>-11717</v>
      </c>
    </row>
    <row r="57">
      <c r="A57" s="8" t="inlineStr">
        <is>
          <t xml:space="preserve">    + Δ Accounts payable</t>
        </is>
      </c>
      <c r="B57" s="9" t="n"/>
      <c r="C57" s="9" t="n">
        <v>-5302</v>
      </c>
      <c r="D57" s="9" t="n">
        <v>104214</v>
      </c>
      <c r="E57" s="9" t="n">
        <v>-107758</v>
      </c>
    </row>
    <row r="58">
      <c r="A58" s="10" t="inlineStr">
        <is>
          <t xml:space="preserve">    Operating cash flow proxy</t>
        </is>
      </c>
      <c r="B58" s="11" t="n"/>
      <c r="C58" s="11" t="n">
        <v>461490</v>
      </c>
      <c r="D58" s="11" t="n">
        <v>461581</v>
      </c>
      <c r="E58" s="11" t="n">
        <v>-218866</v>
      </c>
    </row>
    <row r="60">
      <c r="A60" s="6" t="inlineStr">
        <is>
          <t>Investing</t>
        </is>
      </c>
      <c r="B60" s="7" t="n"/>
      <c r="C60" s="7" t="n"/>
      <c r="D60" s="7" t="n"/>
      <c r="E60" s="7" t="n"/>
    </row>
    <row r="61">
      <c r="A61" s="8" t="inlineStr">
        <is>
          <t xml:space="preserve">    − Δ PP&amp;E gross (capex proxy)</t>
        </is>
      </c>
      <c r="B61" s="9" t="n"/>
      <c r="C61" s="9" t="n">
        <v>-114305</v>
      </c>
      <c r="D61" s="9" t="n">
        <v>-433787</v>
      </c>
      <c r="E61" s="9" t="n">
        <v>-3542281</v>
      </c>
    </row>
    <row r="63">
      <c r="A63" s="6" t="inlineStr">
        <is>
          <t>Financing</t>
        </is>
      </c>
      <c r="B63" s="7" t="n"/>
      <c r="C63" s="7" t="n"/>
      <c r="D63" s="7" t="n"/>
      <c r="E63" s="7" t="n"/>
    </row>
    <row r="64">
      <c r="A64" s="8" t="inlineStr">
        <is>
          <t xml:space="preserve">    Δ Mortgages &amp; notes payable</t>
        </is>
      </c>
      <c r="B64" s="9" t="n"/>
      <c r="C64" s="9" t="n">
        <v>-99223</v>
      </c>
      <c r="D64" s="9" t="n">
        <v>35780</v>
      </c>
      <c r="E64" s="9" t="n">
        <v>3002152</v>
      </c>
    </row>
    <row r="66">
      <c r="A66" s="6" t="inlineStr">
        <is>
          <t>Reconciliation</t>
        </is>
      </c>
      <c r="B66" s="7" t="n"/>
      <c r="C66" s="7" t="n"/>
      <c r="D66" s="7" t="n"/>
      <c r="E66" s="7" t="n"/>
    </row>
    <row r="67">
      <c r="A67" s="10" t="inlineStr">
        <is>
          <t xml:space="preserve">    Δ Cash + temp. investments (actual)</t>
        </is>
      </c>
      <c r="B67" s="11" t="n"/>
      <c r="C67" s="11" t="n">
        <v>270019</v>
      </c>
      <c r="D67" s="11" t="n">
        <v>119809</v>
      </c>
      <c r="E67" s="11" t="n">
        <v>-232862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row>
    <row r="72">
      <c r="A72" s="4" t="inlineStr">
        <is>
          <t>Part V line 11</t>
        </is>
      </c>
      <c r="B72" s="5" t="inlineStr">
        <is>
          <t>FY2020</t>
        </is>
      </c>
      <c r="C72" s="5" t="inlineStr">
        <is>
          <t>FY2021</t>
        </is>
      </c>
      <c r="D72" s="5" t="inlineStr">
        <is>
          <t>FY2022</t>
        </is>
      </c>
      <c r="E72" s="5" t="inlineStr">
        <is>
          <t>FY2024</t>
        </is>
      </c>
    </row>
    <row r="73">
      <c r="A73" s="8" t="inlineStr">
        <is>
          <t xml:space="preserve">    11a. Gross income from members or shareholders</t>
        </is>
      </c>
      <c r="B73" s="14" t="inlineStr">
        <is>
          <t>not reported</t>
        </is>
      </c>
      <c r="C73" s="14" t="inlineStr">
        <is>
          <t>not reported</t>
        </is>
      </c>
      <c r="D73" s="14" t="inlineStr">
        <is>
          <t>not reported</t>
        </is>
      </c>
      <c r="E73" s="9" t="n">
        <v>1703978</v>
      </c>
    </row>
    <row r="74">
      <c r="A74" s="8" t="inlineStr">
        <is>
          <t xml:space="preserve">    11b. Gross income from other sources</t>
        </is>
      </c>
      <c r="B74" s="14" t="inlineStr">
        <is>
          <t>not reported</t>
        </is>
      </c>
      <c r="C74" s="14" t="inlineStr">
        <is>
          <t>not reported</t>
        </is>
      </c>
      <c r="D74" s="14" t="inlineStr">
        <is>
          <t>not reported</t>
        </is>
      </c>
      <c r="E74" s="9" t="n">
        <v>15860</v>
      </c>
    </row>
    <row r="75">
      <c r="A75" s="15" t="inlineStr">
        <is>
          <t>Total gross income (11a + 11b)</t>
        </is>
      </c>
      <c r="B75" s="16">
        <f>SUM(B73,B74)</f>
        <v/>
      </c>
      <c r="C75" s="16">
        <f>SUM(C73,C74)</f>
        <v/>
      </c>
      <c r="D75" s="16">
        <f>SUM(D73,D74)</f>
        <v/>
      </c>
      <c r="E75" s="16">
        <f>SUM(E73,E74)</f>
        <v/>
      </c>
    </row>
    <row r="76">
      <c r="A76" s="15" t="inlineStr">
        <is>
          <t>Member income share (11a / total)</t>
        </is>
      </c>
      <c r="B76" s="17">
        <f>IF(B75=0,"",B73/B75)</f>
        <v/>
      </c>
      <c r="C76" s="17">
        <f>IF(C75=0,"",C73/C75)</f>
        <v/>
      </c>
      <c r="D76" s="17">
        <f>IF(D75=0,"",D73/D75)</f>
        <v/>
      </c>
      <c r="E76" s="17">
        <f>IF(E75=0,"",E73/E75)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69:E69"/>
    <mergeCell ref="A78:E78"/>
    <mergeCell ref="A2:E2"/>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Sheep Creek Water Company</t>
        </is>
      </c>
    </row>
    <row r="2">
      <c r="A2" s="2" t="inlineStr">
        <is>
          <t>Balance Sheet - as reported (USD, end of year)</t>
        </is>
      </c>
    </row>
    <row r="3">
      <c r="A3" s="2" t="inlineStr">
        <is>
          <t>Entity ID: cawc_0056   |   Fiscal year ends December 31.</t>
        </is>
      </c>
    </row>
    <row r="5">
      <c r="A5" s="4" t="inlineStr">
        <is>
          <t>Line item</t>
        </is>
      </c>
      <c r="B5" s="5" t="inlineStr">
        <is>
          <t>FY2020</t>
        </is>
      </c>
      <c r="C5" s="5" t="inlineStr">
        <is>
          <t>FY2021</t>
        </is>
      </c>
      <c r="D5" s="5" t="inlineStr">
        <is>
          <t>FY2022</t>
        </is>
      </c>
      <c r="E5" s="5" t="inlineStr">
        <is>
          <t>FY2024</t>
        </is>
      </c>
    </row>
    <row r="6">
      <c r="A6" s="6" t="inlineStr">
        <is>
          <t>Assets</t>
        </is>
      </c>
      <c r="B6" s="7" t="n"/>
      <c r="C6" s="7" t="n"/>
      <c r="D6" s="7" t="n"/>
      <c r="E6" s="7" t="n"/>
    </row>
    <row r="7">
      <c r="A7" s="8" t="inlineStr">
        <is>
          <t xml:space="preserve">    Cash</t>
        </is>
      </c>
      <c r="B7" s="9" t="n">
        <v>390</v>
      </c>
      <c r="C7" s="9" t="n">
        <v>390</v>
      </c>
      <c r="D7" s="9" t="n">
        <v>590</v>
      </c>
      <c r="E7" s="9" t="n">
        <v>610</v>
      </c>
    </row>
    <row r="8">
      <c r="A8" s="8" t="inlineStr">
        <is>
          <t xml:space="preserve">    Savings &amp; temporary investments</t>
        </is>
      </c>
      <c r="B8" s="9" t="n">
        <v>436201</v>
      </c>
      <c r="C8" s="9" t="n">
        <v>706220</v>
      </c>
      <c r="D8" s="9" t="n">
        <v>825829</v>
      </c>
      <c r="E8" s="9" t="n">
        <v>592947</v>
      </c>
    </row>
    <row r="9">
      <c r="A9" s="8" t="inlineStr">
        <is>
          <t xml:space="preserve">    Accounts receivable</t>
        </is>
      </c>
      <c r="B9" s="9" t="n">
        <v>210488</v>
      </c>
      <c r="C9" s="9" t="n">
        <v>242804</v>
      </c>
      <c r="D9" s="9" t="n">
        <v>172314</v>
      </c>
      <c r="E9" s="9" t="n">
        <v>248186</v>
      </c>
    </row>
    <row r="10">
      <c r="A10" s="8" t="inlineStr">
        <is>
          <t xml:space="preserve">    Inventories</t>
        </is>
      </c>
      <c r="B10" s="9" t="n">
        <v>136268</v>
      </c>
      <c r="C10" s="9" t="n">
        <v>140943</v>
      </c>
      <c r="D10" s="9" t="n">
        <v>157923</v>
      </c>
      <c r="E10" s="9" t="n">
        <v>209296</v>
      </c>
    </row>
    <row r="11">
      <c r="A11" s="8" t="inlineStr">
        <is>
          <t xml:space="preserve">    Prepaid expenses</t>
        </is>
      </c>
      <c r="B11" s="9" t="n">
        <v>0</v>
      </c>
      <c r="C11" s="9" t="n">
        <v>0</v>
      </c>
      <c r="D11" s="9" t="n">
        <v>0</v>
      </c>
      <c r="E11" s="9" t="n">
        <v>11717</v>
      </c>
    </row>
    <row r="12">
      <c r="A12" s="8" t="inlineStr">
        <is>
          <t xml:space="preserve">    Property, plant &amp; equipment (gross)</t>
        </is>
      </c>
      <c r="B12" s="9" t="n">
        <v>12268212</v>
      </c>
      <c r="C12" s="9" t="n">
        <v>12382517</v>
      </c>
      <c r="D12" s="9" t="n">
        <v>12816304</v>
      </c>
      <c r="E12" s="9" t="n">
        <v>16358585</v>
      </c>
    </row>
    <row r="13">
      <c r="A13" s="8" t="inlineStr">
        <is>
          <t xml:space="preserve">    Less: accumulated depreciation</t>
        </is>
      </c>
      <c r="B13" s="9" t="n">
        <v>-6235441</v>
      </c>
      <c r="C13" s="9" t="n">
        <v>-6503512</v>
      </c>
      <c r="D13" s="9" t="n">
        <v>-6772205</v>
      </c>
      <c r="E13" s="9" t="n">
        <v>-7270744</v>
      </c>
    </row>
    <row r="14">
      <c r="A14" s="10" t="inlineStr">
        <is>
          <t xml:space="preserve">    Net property, plant &amp; equipment</t>
        </is>
      </c>
      <c r="B14" s="11" t="n">
        <v>6032771</v>
      </c>
      <c r="C14" s="11" t="n">
        <v>5879005</v>
      </c>
      <c r="D14" s="11" t="n">
        <v>6044099</v>
      </c>
      <c r="E14" s="11" t="n">
        <v>9087841</v>
      </c>
    </row>
    <row r="15">
      <c r="A15" s="10" t="inlineStr">
        <is>
          <t>Total assets</t>
        </is>
      </c>
      <c r="B15" s="11" t="n">
        <v>6823449</v>
      </c>
      <c r="C15" s="11" t="n">
        <v>6978056</v>
      </c>
      <c r="D15" s="11" t="n">
        <v>7209298</v>
      </c>
      <c r="E15" s="11" t="n">
        <v>10150597</v>
      </c>
    </row>
    <row r="17">
      <c r="A17" s="6" t="inlineStr">
        <is>
          <t>Liabilities</t>
        </is>
      </c>
      <c r="B17" s="7" t="n"/>
      <c r="C17" s="7" t="n"/>
      <c r="D17" s="7" t="n"/>
      <c r="E17" s="7" t="n"/>
    </row>
    <row r="18">
      <c r="A18" s="8" t="inlineStr">
        <is>
          <t xml:space="preserve">    Accounts payable</t>
        </is>
      </c>
      <c r="B18" s="9" t="n">
        <v>54492</v>
      </c>
      <c r="C18" s="9" t="n">
        <v>49190</v>
      </c>
      <c r="D18" s="9" t="n">
        <v>153404</v>
      </c>
      <c r="E18" s="9" t="n">
        <v>45646</v>
      </c>
    </row>
    <row r="19">
      <c r="A19" s="8" t="inlineStr">
        <is>
          <t xml:space="preserve">    Mortgages &amp; notes payable</t>
        </is>
      </c>
      <c r="B19" s="9" t="n">
        <v>358092</v>
      </c>
      <c r="C19" s="9" t="n">
        <v>258869</v>
      </c>
      <c r="D19" s="9" t="n">
        <v>294649</v>
      </c>
      <c r="E19" s="9" t="n">
        <v>3296801</v>
      </c>
    </row>
    <row r="20">
      <c r="A20" s="10" t="inlineStr">
        <is>
          <t>Total liabilities</t>
        </is>
      </c>
      <c r="B20" s="11" t="n">
        <v>451635</v>
      </c>
      <c r="C20" s="11" t="n">
        <v>318399</v>
      </c>
      <c r="D20" s="11" t="n">
        <v>448053</v>
      </c>
      <c r="E20" s="11" t="n">
        <v>3342447</v>
      </c>
    </row>
    <row r="22">
      <c r="A22" s="6" t="inlineStr">
        <is>
          <t>Net Assets / Equity</t>
        </is>
      </c>
      <c r="B22" s="7" t="n"/>
      <c r="C22" s="7" t="n"/>
      <c r="D22" s="7" t="n"/>
      <c r="E22" s="7" t="n"/>
    </row>
    <row r="23">
      <c r="A23" s="8" t="inlineStr">
        <is>
          <t xml:space="preserve">    Capital stock</t>
        </is>
      </c>
      <c r="B23" s="9" t="n">
        <v>11417</v>
      </c>
      <c r="C23" s="9" t="n">
        <v>11417</v>
      </c>
      <c r="D23" s="9" t="n">
        <v>18217</v>
      </c>
      <c r="E23" s="9" t="n">
        <v>20192</v>
      </c>
    </row>
    <row r="24">
      <c r="A24" s="8" t="inlineStr">
        <is>
          <t xml:space="preserve">    Paid-in capital</t>
        </is>
      </c>
      <c r="B24" s="9" t="n">
        <v>9752381</v>
      </c>
      <c r="C24" s="9" t="n">
        <v>9763249</v>
      </c>
      <c r="D24" s="9" t="n">
        <v>9811859</v>
      </c>
      <c r="E24" s="9" t="n">
        <v>10236612</v>
      </c>
    </row>
    <row r="25">
      <c r="A25" s="8" t="inlineStr">
        <is>
          <t xml:space="preserve">    Retained earnings</t>
        </is>
      </c>
      <c r="B25" s="9" t="n">
        <v>-3391984</v>
      </c>
      <c r="C25" s="9" t="n">
        <v>-3115009</v>
      </c>
      <c r="D25" s="9" t="n">
        <v>-3068831</v>
      </c>
      <c r="E25" s="9" t="n">
        <v>-3448654</v>
      </c>
    </row>
    <row r="26">
      <c r="A26" s="10" t="inlineStr">
        <is>
          <t>Net assets</t>
        </is>
      </c>
      <c r="B26" s="11" t="n">
        <v>6371814</v>
      </c>
      <c r="C26" s="11" t="n">
        <v>6659657</v>
      </c>
      <c r="D26" s="11" t="n">
        <v>6761245</v>
      </c>
      <c r="E26" s="11" t="n">
        <v>6808150</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Sheep Creek Water Company</t>
        </is>
      </c>
    </row>
    <row r="2">
      <c r="A2" s="2" t="inlineStr">
        <is>
          <t>Officers, Directors &amp; Contractors - Form 990 Part VII (FY2024; USD)</t>
        </is>
      </c>
    </row>
    <row r="3">
      <c r="A3" s="2" t="inlineStr">
        <is>
          <t>Entity ID: cawc_0056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William Eric York</t>
        </is>
      </c>
      <c r="B7" s="8" t="inlineStr">
        <is>
          <t>Director</t>
        </is>
      </c>
      <c r="C7" s="9" t="n">
        <v>0</v>
      </c>
      <c r="D7" s="9" t="n">
        <v>0</v>
      </c>
      <c r="E7" s="9" t="n">
        <v>0</v>
      </c>
      <c r="F7" s="9" t="n">
        <v>0</v>
      </c>
    </row>
    <row r="8">
      <c r="A8" s="8" t="inlineStr">
        <is>
          <t>Andy Zody</t>
        </is>
      </c>
      <c r="B8" s="8" t="inlineStr">
        <is>
          <t>President</t>
        </is>
      </c>
      <c r="C8" s="9" t="n">
        <v>0</v>
      </c>
      <c r="D8" s="9" t="n">
        <v>0</v>
      </c>
      <c r="E8" s="9" t="n">
        <v>0</v>
      </c>
      <c r="F8" s="9" t="n">
        <v>0</v>
      </c>
    </row>
    <row r="9">
      <c r="A9" s="8" t="inlineStr">
        <is>
          <t>David Nilsen</t>
        </is>
      </c>
      <c r="B9" s="8" t="inlineStr">
        <is>
          <t>Director</t>
        </is>
      </c>
      <c r="C9" s="9" t="n">
        <v>0</v>
      </c>
      <c r="D9" s="9" t="n">
        <v>0</v>
      </c>
      <c r="E9" s="9" t="n">
        <v>0</v>
      </c>
      <c r="F9" s="9" t="n">
        <v>0</v>
      </c>
    </row>
    <row r="10">
      <c r="A10" s="8" t="inlineStr">
        <is>
          <t>LuAnne Uhl</t>
        </is>
      </c>
      <c r="B10" s="8" t="inlineStr">
        <is>
          <t>Vice President</t>
        </is>
      </c>
      <c r="C10" s="9" t="n">
        <v>0</v>
      </c>
      <c r="D10" s="9" t="n">
        <v>0</v>
      </c>
      <c r="E10" s="9" t="n">
        <v>0</v>
      </c>
      <c r="F10" s="9" t="n">
        <v>0</v>
      </c>
    </row>
    <row r="11">
      <c r="A11" s="8" t="inlineStr">
        <is>
          <t>Kellie Williams</t>
        </is>
      </c>
      <c r="B11" s="8" t="inlineStr">
        <is>
          <t>Secretary</t>
        </is>
      </c>
      <c r="C11" s="9" t="n">
        <v>0</v>
      </c>
      <c r="D11" s="9" t="n">
        <v>0</v>
      </c>
      <c r="E11" s="9" t="n">
        <v>0</v>
      </c>
      <c r="F11" s="9" t="n">
        <v>0</v>
      </c>
    </row>
    <row r="12">
      <c r="A12" s="8" t="inlineStr">
        <is>
          <t>Joseph Tapia</t>
        </is>
      </c>
      <c r="B12" s="8" t="inlineStr">
        <is>
          <t>General Manager</t>
        </is>
      </c>
      <c r="C12" s="9" t="n">
        <v>0</v>
      </c>
      <c r="D12" s="9" t="n">
        <v>0</v>
      </c>
      <c r="E12" s="9" t="n">
        <v>0</v>
      </c>
      <c r="F12" s="9" t="n">
        <v>0</v>
      </c>
    </row>
    <row r="14">
      <c r="A14" s="6" t="inlineStr">
        <is>
          <t>Section B - Independent contractors (over $100,000)</t>
        </is>
      </c>
      <c r="B14" s="7" t="n"/>
      <c r="C14" s="7" t="n"/>
      <c r="D14" s="7" t="n"/>
      <c r="E14" s="7" t="n"/>
      <c r="F14" s="7" t="n"/>
    </row>
    <row r="15">
      <c r="A15" s="5" t="inlineStr">
        <is>
          <t>Contractor</t>
        </is>
      </c>
      <c r="B15" s="5" t="inlineStr">
        <is>
          <t>Services</t>
        </is>
      </c>
      <c r="C15" s="5" t="inlineStr">
        <is>
          <t>Compensation</t>
        </is>
      </c>
    </row>
    <row r="17" ht="42" customHeight="1">
      <c r="A1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Sheep Creek Water Company</t>
        </is>
      </c>
    </row>
    <row r="2">
      <c r="A2" s="2" t="inlineStr">
        <is>
          <t>Revenue - Form 990 Part VIII (USD)</t>
        </is>
      </c>
    </row>
    <row r="3">
      <c r="A3" s="2" t="inlineStr">
        <is>
          <t>Entity ID: cawc_0056   |   Fiscal year ends December 31.</t>
        </is>
      </c>
    </row>
    <row r="5">
      <c r="A5" s="4" t="inlineStr">
        <is>
          <t>Part VIII line</t>
        </is>
      </c>
      <c r="B5" s="5" t="inlineStr">
        <is>
          <t>FY2020</t>
        </is>
      </c>
      <c r="C5" s="5" t="inlineStr">
        <is>
          <t>FY2021</t>
        </is>
      </c>
      <c r="D5" s="5" t="inlineStr">
        <is>
          <t>FY2022</t>
        </is>
      </c>
      <c r="E5" s="5" t="inlineStr">
        <is>
          <t>FY2024</t>
        </is>
      </c>
    </row>
    <row r="6">
      <c r="A6" s="6" t="inlineStr">
        <is>
          <t>Revenue by category</t>
        </is>
      </c>
      <c r="B6" s="7" t="n"/>
      <c r="C6" s="7" t="n"/>
      <c r="D6" s="7" t="n"/>
      <c r="E6" s="7" t="n"/>
    </row>
    <row r="7">
      <c r="A7" s="8" t="inlineStr">
        <is>
          <t xml:space="preserve">    1h. Total contributions, gifts, grants</t>
        </is>
      </c>
      <c r="B7" s="9" t="n">
        <v>0</v>
      </c>
      <c r="C7" s="9" t="n">
        <v>0</v>
      </c>
      <c r="D7" s="9" t="n">
        <v>27625</v>
      </c>
      <c r="E7" s="9" t="n">
        <v>0</v>
      </c>
    </row>
    <row r="8">
      <c r="A8" s="8" t="inlineStr">
        <is>
          <t xml:space="preserve">    2g. Total program service revenue</t>
        </is>
      </c>
      <c r="B8" s="9" t="n">
        <v>0</v>
      </c>
      <c r="C8" s="9" t="n">
        <v>0</v>
      </c>
      <c r="D8" s="9" t="n">
        <v>0</v>
      </c>
      <c r="E8" s="9" t="n">
        <v>1692555</v>
      </c>
    </row>
    <row r="9">
      <c r="A9" s="8" t="inlineStr">
        <is>
          <t xml:space="preserve">    3. Investment income</t>
        </is>
      </c>
      <c r="B9" s="9" t="n">
        <v>217</v>
      </c>
      <c r="C9" s="9" t="n">
        <v>2162</v>
      </c>
      <c r="D9" s="9" t="n">
        <v>662</v>
      </c>
      <c r="E9" s="9" t="n">
        <v>10870</v>
      </c>
    </row>
    <row r="10">
      <c r="A10" s="8" t="inlineStr">
        <is>
          <t xml:space="preserve">    6d. Net rental income</t>
        </is>
      </c>
      <c r="B10" s="9" t="n">
        <v>0</v>
      </c>
      <c r="C10" s="9" t="n">
        <v>0</v>
      </c>
      <c r="D10" s="9" t="n">
        <v>0</v>
      </c>
      <c r="E10" s="9" t="n">
        <v>0</v>
      </c>
    </row>
    <row r="11">
      <c r="A11" s="8" t="inlineStr">
        <is>
          <t xml:space="preserve">    7d. Net gain/(loss) from investment sales</t>
        </is>
      </c>
      <c r="B11" s="9" t="n">
        <v>0</v>
      </c>
      <c r="C11" s="9" t="n">
        <v>0</v>
      </c>
      <c r="D11" s="9" t="n">
        <v>2091</v>
      </c>
      <c r="E11" s="9" t="n">
        <v>0</v>
      </c>
    </row>
    <row r="12">
      <c r="A12" s="8" t="inlineStr">
        <is>
          <t xml:space="preserve">    11e. Other revenue</t>
        </is>
      </c>
      <c r="B12" s="9" t="n">
        <v>10806</v>
      </c>
      <c r="C12" s="9" t="n">
        <v>12204</v>
      </c>
      <c r="D12" s="9" t="n">
        <v>23455</v>
      </c>
      <c r="E12" s="9" t="n">
        <v>16414</v>
      </c>
    </row>
    <row r="13">
      <c r="A13" s="10" t="inlineStr">
        <is>
          <t>12. Total revenue</t>
        </is>
      </c>
      <c r="B13" s="11">
        <f>SUM(B7:B12)</f>
        <v/>
      </c>
      <c r="C13" s="11">
        <f>SUM(C7:C12)</f>
        <v/>
      </c>
      <c r="D13" s="11">
        <f>SUM(D7:D12)</f>
        <v/>
      </c>
      <c r="E13" s="11">
        <f>SUM(E7:E12)</f>
        <v/>
      </c>
    </row>
    <row r="15">
      <c r="A15" s="6" t="inlineStr">
        <is>
          <t>Program service revenue detail - FY2024 (lines 2a-2f)</t>
        </is>
      </c>
      <c r="B15" s="7" t="n"/>
      <c r="C15" s="7" t="n"/>
      <c r="D15" s="7" t="n"/>
      <c r="E15" s="7" t="n"/>
    </row>
    <row r="16">
      <c r="A16" s="5" t="inlineStr">
        <is>
          <t>Description</t>
        </is>
      </c>
      <c r="B16" s="5" t="inlineStr">
        <is>
          <t>Business code</t>
        </is>
      </c>
      <c r="C16" s="5" t="inlineStr">
        <is>
          <t>Total revenue</t>
        </is>
      </c>
    </row>
    <row r="17">
      <c r="A17" s="8" t="inlineStr">
        <is>
          <t>Water Distributions</t>
        </is>
      </c>
      <c r="B17" s="8" t="inlineStr">
        <is>
          <t>221000</t>
        </is>
      </c>
      <c r="C17" s="9" t="n">
        <v>1692555</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E2"/>
    <mergeCell ref="A1:E1"/>
    <mergeCell ref="A18:E18"/>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Sheep Creek Water Company</t>
        </is>
      </c>
    </row>
    <row r="2">
      <c r="A2" s="2" t="inlineStr">
        <is>
          <t>Statement of Functional Expenses - Form 990 Part IX (USD)</t>
        </is>
      </c>
    </row>
    <row r="3">
      <c r="A3" s="2" t="inlineStr">
        <is>
          <t>Entity ID: cawc_0056   |   Fiscal year ends December 31.</t>
        </is>
      </c>
    </row>
    <row r="5">
      <c r="A5" s="4" t="inlineStr">
        <is>
          <t>Part IX line (column A Total)</t>
        </is>
      </c>
      <c r="B5" s="5" t="inlineStr">
        <is>
          <t>FY2020</t>
        </is>
      </c>
      <c r="C5" s="5" t="inlineStr">
        <is>
          <t>FY2021</t>
        </is>
      </c>
      <c r="D5" s="5" t="inlineStr">
        <is>
          <t>FY2022</t>
        </is>
      </c>
      <c r="E5" s="5" t="inlineStr">
        <is>
          <t>FY2024</t>
        </is>
      </c>
    </row>
    <row r="6">
      <c r="A6" s="6" t="inlineStr">
        <is>
          <t>Functional expenses, column A Total - by year</t>
        </is>
      </c>
      <c r="B6" s="7" t="n"/>
      <c r="C6" s="7" t="n"/>
      <c r="D6" s="7" t="n"/>
      <c r="E6" s="7" t="n"/>
    </row>
    <row r="7">
      <c r="A7" s="8" t="inlineStr">
        <is>
          <t xml:space="preserve">    1. Grants to domestic organizations and governments</t>
        </is>
      </c>
      <c r="B7" s="9" t="n">
        <v>0</v>
      </c>
      <c r="C7" s="9" t="n">
        <v>0</v>
      </c>
      <c r="D7" s="9" t="n">
        <v>0</v>
      </c>
      <c r="E7" s="9" t="n">
        <v>0</v>
      </c>
    </row>
    <row r="8">
      <c r="A8" s="8" t="inlineStr">
        <is>
          <t xml:space="preserve">    2. Grants to domestic individuals</t>
        </is>
      </c>
      <c r="B8" s="9" t="n">
        <v>0</v>
      </c>
      <c r="C8" s="9" t="n">
        <v>0</v>
      </c>
      <c r="D8" s="9" t="n">
        <v>0</v>
      </c>
      <c r="E8" s="9" t="n">
        <v>0</v>
      </c>
    </row>
    <row r="9">
      <c r="A9" s="8" t="inlineStr">
        <is>
          <t xml:space="preserve">    3. Grants to foreign organizations and individuals</t>
        </is>
      </c>
      <c r="B9" s="9" t="n">
        <v>0</v>
      </c>
      <c r="C9" s="9" t="n">
        <v>0</v>
      </c>
      <c r="D9" s="9" t="n">
        <v>0</v>
      </c>
      <c r="E9" s="9" t="n">
        <v>0</v>
      </c>
    </row>
    <row r="10">
      <c r="A10" s="8" t="inlineStr">
        <is>
          <t xml:space="preserve">    4. Benefits paid to or for members</t>
        </is>
      </c>
      <c r="B10" s="9" t="n">
        <v>0</v>
      </c>
      <c r="C10" s="9" t="n">
        <v>0</v>
      </c>
      <c r="D10" s="9" t="n">
        <v>0</v>
      </c>
      <c r="E10" s="9" t="n">
        <v>0</v>
      </c>
    </row>
    <row r="11">
      <c r="A11" s="8" t="inlineStr">
        <is>
          <t xml:space="preserve">    5. Compensation of current officers, directors, trustees</t>
        </is>
      </c>
      <c r="B11" s="9" t="n">
        <v>90468</v>
      </c>
      <c r="C11" s="9" t="n">
        <v>90566</v>
      </c>
      <c r="D11" s="9" t="n">
        <v>110725</v>
      </c>
      <c r="E11" s="9" t="n">
        <v>111300</v>
      </c>
    </row>
    <row r="12">
      <c r="A12" s="8" t="inlineStr">
        <is>
          <t xml:space="preserve">    6. Compensation to disqualified persons</t>
        </is>
      </c>
      <c r="B12" s="9" t="n">
        <v>0</v>
      </c>
      <c r="C12" s="9" t="n">
        <v>0</v>
      </c>
      <c r="D12" s="9" t="n">
        <v>0</v>
      </c>
      <c r="E12" s="9" t="n">
        <v>0</v>
      </c>
    </row>
    <row r="13">
      <c r="A13" s="8" t="inlineStr">
        <is>
          <t xml:space="preserve">    7. Other salaries and wages</t>
        </is>
      </c>
      <c r="B13" s="9" t="n">
        <v>296243</v>
      </c>
      <c r="C13" s="9" t="n">
        <v>293430</v>
      </c>
      <c r="D13" s="9" t="n">
        <v>343062</v>
      </c>
      <c r="E13" s="9" t="n">
        <v>460567</v>
      </c>
    </row>
    <row r="14">
      <c r="A14" s="8" t="inlineStr">
        <is>
          <t xml:space="preserve">    8. Pension plan accruals and contributions</t>
        </is>
      </c>
      <c r="B14" s="9" t="n">
        <v>24769</v>
      </c>
      <c r="C14" s="9" t="n">
        <v>26016</v>
      </c>
      <c r="D14" s="9" t="n">
        <v>10096</v>
      </c>
      <c r="E14" s="9" t="n">
        <v>15600</v>
      </c>
    </row>
    <row r="15">
      <c r="A15" s="8" t="inlineStr">
        <is>
          <t xml:space="preserve">    9. Other employee benefits</t>
        </is>
      </c>
      <c r="B15" s="9" t="n">
        <v>487</v>
      </c>
      <c r="C15" s="9" t="n">
        <v>641</v>
      </c>
      <c r="D15" s="9" t="n">
        <v>0</v>
      </c>
      <c r="E15" s="9" t="n">
        <v>0</v>
      </c>
    </row>
    <row r="16">
      <c r="A16" s="8" t="inlineStr">
        <is>
          <t xml:space="preserve">    10. Payroll taxes</t>
        </is>
      </c>
      <c r="B16" s="9" t="n">
        <v>31940</v>
      </c>
      <c r="C16" s="9" t="n">
        <v>31042</v>
      </c>
      <c r="D16" s="9" t="n">
        <v>40163</v>
      </c>
      <c r="E16" s="9" t="n">
        <v>45492</v>
      </c>
    </row>
    <row r="17">
      <c r="A17" s="8" t="inlineStr">
        <is>
          <t xml:space="preserve">    11a. Fees for services: management</t>
        </is>
      </c>
      <c r="B17" s="9" t="n">
        <v>0</v>
      </c>
      <c r="C17" s="9" t="n">
        <v>0</v>
      </c>
      <c r="D17" s="9" t="n">
        <v>5250</v>
      </c>
      <c r="E17" s="9" t="n">
        <v>0</v>
      </c>
    </row>
    <row r="18">
      <c r="A18" s="8" t="inlineStr">
        <is>
          <t xml:space="preserve">    11b. Fees for services: legal</t>
        </is>
      </c>
      <c r="B18" s="9" t="n">
        <v>43116</v>
      </c>
      <c r="C18" s="9" t="n">
        <v>24780</v>
      </c>
      <c r="D18" s="9" t="n">
        <v>52157</v>
      </c>
      <c r="E18" s="9" t="n">
        <v>196556</v>
      </c>
    </row>
    <row r="19">
      <c r="A19" s="8" t="inlineStr">
        <is>
          <t xml:space="preserve">    11c. Fees for services: accounting</t>
        </is>
      </c>
      <c r="B19" s="9" t="n">
        <v>11100</v>
      </c>
      <c r="C19" s="9" t="n">
        <v>7500</v>
      </c>
      <c r="D19" s="9" t="n">
        <v>10600</v>
      </c>
      <c r="E19" s="9" t="n">
        <v>8620</v>
      </c>
    </row>
    <row r="20">
      <c r="A20" s="8" t="inlineStr">
        <is>
          <t xml:space="preserve">    11d. Fees for services: lobbying</t>
        </is>
      </c>
      <c r="B20" s="9" t="n">
        <v>0</v>
      </c>
      <c r="C20" s="9" t="n">
        <v>0</v>
      </c>
      <c r="D20" s="9" t="n">
        <v>0</v>
      </c>
      <c r="E20" s="9" t="n">
        <v>0</v>
      </c>
    </row>
    <row r="21">
      <c r="A21" s="8" t="inlineStr">
        <is>
          <t xml:space="preserve">    11e. Fees for services: professional fundraising</t>
        </is>
      </c>
      <c r="B21" s="9" t="n">
        <v>0</v>
      </c>
      <c r="C21" s="9" t="n">
        <v>0</v>
      </c>
      <c r="D21" s="9" t="n">
        <v>0</v>
      </c>
      <c r="E21" s="9" t="n">
        <v>0</v>
      </c>
    </row>
    <row r="22">
      <c r="A22" s="8" t="inlineStr">
        <is>
          <t xml:space="preserve">    11f. Fees for services: investment management</t>
        </is>
      </c>
      <c r="B22" s="9" t="n">
        <v>0</v>
      </c>
      <c r="C22" s="9" t="n">
        <v>0</v>
      </c>
      <c r="D22" s="9" t="n">
        <v>0</v>
      </c>
      <c r="E22" s="9" t="n">
        <v>0</v>
      </c>
    </row>
    <row r="23">
      <c r="A23" s="8" t="inlineStr">
        <is>
          <t xml:space="preserve">    11g. Fees for services: other</t>
        </is>
      </c>
      <c r="B23" s="9" t="n">
        <v>20260</v>
      </c>
      <c r="C23" s="9" t="n">
        <v>22612</v>
      </c>
      <c r="D23" s="9" t="n">
        <v>56431</v>
      </c>
      <c r="E23" s="9" t="n">
        <v>55785</v>
      </c>
    </row>
    <row r="24">
      <c r="A24" s="8" t="inlineStr">
        <is>
          <t xml:space="preserve">    12. Advertising and promotion</t>
        </is>
      </c>
      <c r="B24" s="9" t="n">
        <v>40</v>
      </c>
      <c r="C24" s="9" t="n">
        <v>564</v>
      </c>
      <c r="D24" s="9" t="n">
        <v>225</v>
      </c>
      <c r="E24" s="9" t="n">
        <v>50</v>
      </c>
    </row>
    <row r="25">
      <c r="A25" s="8" t="inlineStr">
        <is>
          <t xml:space="preserve">    13. Office expenses</t>
        </is>
      </c>
      <c r="B25" s="9" t="n">
        <v>21301</v>
      </c>
      <c r="C25" s="9" t="n">
        <v>17603</v>
      </c>
      <c r="D25" s="9" t="n">
        <v>18727</v>
      </c>
      <c r="E25" s="9" t="n">
        <v>25741</v>
      </c>
    </row>
    <row r="26">
      <c r="A26" s="8" t="inlineStr">
        <is>
          <t xml:space="preserve">    14. Information technology</t>
        </is>
      </c>
      <c r="B26" s="9" t="n">
        <v>0</v>
      </c>
      <c r="C26" s="9" t="n">
        <v>0</v>
      </c>
      <c r="D26" s="9" t="n">
        <v>11880</v>
      </c>
      <c r="E26" s="9" t="n">
        <v>16490</v>
      </c>
    </row>
    <row r="27">
      <c r="A27" s="8" t="inlineStr">
        <is>
          <t xml:space="preserve">    15. Royalties</t>
        </is>
      </c>
      <c r="B27" s="9" t="n">
        <v>0</v>
      </c>
      <c r="C27" s="9" t="n">
        <v>0</v>
      </c>
      <c r="D27" s="9" t="n">
        <v>0</v>
      </c>
      <c r="E27" s="9" t="n">
        <v>0</v>
      </c>
    </row>
    <row r="28">
      <c r="A28" s="8" t="inlineStr">
        <is>
          <t xml:space="preserve">    16. Occupancy</t>
        </is>
      </c>
      <c r="B28" s="9" t="n">
        <v>75286</v>
      </c>
      <c r="C28" s="9" t="n">
        <v>95420</v>
      </c>
      <c r="D28" s="9" t="n">
        <v>108103</v>
      </c>
      <c r="E28" s="9" t="n">
        <v>97688</v>
      </c>
    </row>
    <row r="29">
      <c r="A29" s="8" t="inlineStr">
        <is>
          <t xml:space="preserve">    17. Travel</t>
        </is>
      </c>
      <c r="B29" s="9" t="n">
        <v>0</v>
      </c>
      <c r="C29" s="9" t="n">
        <v>0</v>
      </c>
      <c r="D29" s="9" t="n">
        <v>0</v>
      </c>
      <c r="E29" s="9" t="n">
        <v>0</v>
      </c>
    </row>
    <row r="30">
      <c r="A30" s="8" t="inlineStr">
        <is>
          <t xml:space="preserve">    18. Payments of travel/entertainment for public officials</t>
        </is>
      </c>
      <c r="B30" s="9" t="n">
        <v>0</v>
      </c>
      <c r="C30" s="9" t="n">
        <v>0</v>
      </c>
      <c r="D30" s="9" t="n">
        <v>0</v>
      </c>
      <c r="E30" s="9" t="n">
        <v>0</v>
      </c>
    </row>
    <row r="31">
      <c r="A31" s="8" t="inlineStr">
        <is>
          <t xml:space="preserve">    19. Conferences, conventions, and meetings</t>
        </is>
      </c>
      <c r="B31" s="9" t="n">
        <v>1451</v>
      </c>
      <c r="C31" s="9" t="n">
        <v>575</v>
      </c>
      <c r="D31" s="9" t="n">
        <v>318</v>
      </c>
      <c r="E31" s="9" t="n">
        <v>2337</v>
      </c>
    </row>
    <row r="32">
      <c r="A32" s="8" t="inlineStr">
        <is>
          <t xml:space="preserve">    20. Interest</t>
        </is>
      </c>
      <c r="B32" s="9" t="n">
        <v>17136</v>
      </c>
      <c r="C32" s="9" t="n">
        <v>8895</v>
      </c>
      <c r="D32" s="9" t="n">
        <v>5453</v>
      </c>
      <c r="E32" s="9" t="n">
        <v>196499</v>
      </c>
    </row>
    <row r="33">
      <c r="A33" s="8" t="inlineStr">
        <is>
          <t xml:space="preserve">    21. Payments to affiliates</t>
        </is>
      </c>
      <c r="B33" s="9" t="n">
        <v>0</v>
      </c>
      <c r="C33" s="9" t="n">
        <v>0</v>
      </c>
      <c r="D33" s="9" t="n">
        <v>0</v>
      </c>
      <c r="E33" s="9" t="n">
        <v>0</v>
      </c>
    </row>
    <row r="34">
      <c r="A34" s="8" t="inlineStr">
        <is>
          <t xml:space="preserve">    22. Depreciation, depletion, and amortization</t>
        </is>
      </c>
      <c r="B34" s="9" t="n">
        <v>278694</v>
      </c>
      <c r="C34" s="9" t="n">
        <v>277105</v>
      </c>
      <c r="D34" s="9" t="n">
        <v>271384</v>
      </c>
      <c r="E34" s="9" t="n">
        <v>278642</v>
      </c>
    </row>
    <row r="35">
      <c r="A35" s="8" t="inlineStr">
        <is>
          <t xml:space="preserve">    23. Insurance</t>
        </is>
      </c>
      <c r="B35" s="9" t="n">
        <v>142139</v>
      </c>
      <c r="C35" s="9" t="n">
        <v>146099</v>
      </c>
      <c r="D35" s="9" t="n">
        <v>119988</v>
      </c>
      <c r="E35" s="9" t="n">
        <v>158304</v>
      </c>
    </row>
    <row r="36">
      <c r="A36" s="8" t="inlineStr">
        <is>
          <t xml:space="preserve">    24. Repairs &amp; maintenance</t>
        </is>
      </c>
      <c r="B36" s="9" t="n">
        <v>64614</v>
      </c>
      <c r="C36" s="9" t="n">
        <v>75341</v>
      </c>
      <c r="D36" s="9" t="n">
        <v>109078</v>
      </c>
      <c r="E36" s="9" t="n">
        <v>81830</v>
      </c>
    </row>
    <row r="37">
      <c r="A37" s="8" t="inlineStr">
        <is>
          <t xml:space="preserve">    24. Auto &amp; truck</t>
        </is>
      </c>
      <c r="B37" s="9" t="n">
        <v>17104</v>
      </c>
      <c r="C37" s="9" t="n">
        <v>24675</v>
      </c>
      <c r="D37" s="9" t="n">
        <v>35032</v>
      </c>
      <c r="E37" s="9" t="n">
        <v>33149</v>
      </c>
    </row>
    <row r="38">
      <c r="A38" s="8" t="inlineStr">
        <is>
          <t xml:space="preserve">    24. Tax - property</t>
        </is>
      </c>
      <c r="B38" s="9" t="n">
        <v>16802</v>
      </c>
      <c r="C38" s="9" t="n">
        <v>19269</v>
      </c>
      <c r="D38" s="9" t="n">
        <v>17737</v>
      </c>
      <c r="E38" s="14" t="inlineStr">
        <is>
          <t>not reported</t>
        </is>
      </c>
    </row>
    <row r="39">
      <c r="A39" s="8" t="inlineStr">
        <is>
          <t xml:space="preserve">    24. Lab tests &amp; inspections</t>
        </is>
      </c>
      <c r="B39" s="9" t="n">
        <v>14104</v>
      </c>
      <c r="C39" s="14" t="inlineStr">
        <is>
          <t>not reported</t>
        </is>
      </c>
      <c r="D39" s="14" t="inlineStr">
        <is>
          <t>not reported</t>
        </is>
      </c>
      <c r="E39" s="14" t="inlineStr">
        <is>
          <t>not reported</t>
        </is>
      </c>
    </row>
    <row r="40">
      <c r="A40" s="8" t="inlineStr">
        <is>
          <t xml:space="preserve">    24. Credit card merchant fees</t>
        </is>
      </c>
      <c r="B40" s="14" t="inlineStr">
        <is>
          <t>not reported</t>
        </is>
      </c>
      <c r="C40" s="9" t="n">
        <v>15177</v>
      </c>
      <c r="D40" s="9" t="n">
        <v>20030</v>
      </c>
      <c r="E40" s="9" t="n">
        <v>30055</v>
      </c>
    </row>
    <row r="41">
      <c r="A41" s="8" t="inlineStr">
        <is>
          <t xml:space="preserve">    24. Board Stipends</t>
        </is>
      </c>
      <c r="B41" s="14" t="inlineStr">
        <is>
          <t>not reported</t>
        </is>
      </c>
      <c r="C41" s="14" t="inlineStr">
        <is>
          <t>not reported</t>
        </is>
      </c>
      <c r="D41" s="14" t="inlineStr">
        <is>
          <t>not reported</t>
        </is>
      </c>
      <c r="E41" s="9" t="n">
        <v>23400</v>
      </c>
    </row>
    <row r="42">
      <c r="A42" s="8" t="inlineStr">
        <is>
          <t xml:space="preserve">    24e. All other expenses</t>
        </is>
      </c>
      <c r="B42" s="9" t="n">
        <v>61702</v>
      </c>
      <c r="C42" s="9" t="n">
        <v>50191</v>
      </c>
      <c r="D42" s="9" t="n">
        <v>95410</v>
      </c>
      <c r="E42" s="9" t="n">
        <v>132522</v>
      </c>
    </row>
    <row r="43">
      <c r="A43" s="10" t="inlineStr">
        <is>
          <t>25. Total functional expenses</t>
        </is>
      </c>
      <c r="B43" s="11">
        <f>SUM(B7:B42)</f>
        <v/>
      </c>
      <c r="C43" s="11">
        <f>SUM(C7:C42)</f>
        <v/>
      </c>
      <c r="D43" s="11">
        <f>SUM(D7:D42)</f>
        <v/>
      </c>
      <c r="E43" s="11">
        <f>SUM(E7:E42)</f>
        <v/>
      </c>
    </row>
    <row r="45">
      <c r="A45" s="6" t="inlineStr">
        <is>
          <t>Functional column split - FY2024 (col A = B + C + D)</t>
        </is>
      </c>
      <c r="B45" s="7" t="n"/>
      <c r="C45" s="7" t="n"/>
      <c r="D45" s="7" t="n"/>
      <c r="E45" s="7" t="n"/>
    </row>
    <row r="46">
      <c r="A46" s="5" t="inlineStr">
        <is>
          <t>Part IX line</t>
        </is>
      </c>
      <c r="B46" s="5" t="inlineStr">
        <is>
          <t>A. Total</t>
        </is>
      </c>
      <c r="C46" s="5" t="inlineStr">
        <is>
          <t>B. Program services</t>
        </is>
      </c>
      <c r="D46" s="5" t="inlineStr">
        <is>
          <t>C. Management &amp; general</t>
        </is>
      </c>
      <c r="E46" s="5" t="inlineStr">
        <is>
          <t>D. Fundraising</t>
        </is>
      </c>
    </row>
    <row r="47">
      <c r="A47" s="18" t="inlineStr">
        <is>
          <t>1. Grants to domestic organizations and governments</t>
        </is>
      </c>
      <c r="B47" s="9" t="n">
        <v>0</v>
      </c>
      <c r="C47" s="9" t="n"/>
      <c r="D47" s="9" t="n"/>
      <c r="E47" s="9" t="n"/>
    </row>
    <row r="48">
      <c r="A48" s="18" t="inlineStr">
        <is>
          <t>2. Grants to domestic individuals</t>
        </is>
      </c>
      <c r="B48" s="9" t="n">
        <v>0</v>
      </c>
      <c r="C48" s="9" t="n"/>
      <c r="D48" s="9" t="n"/>
      <c r="E48" s="9" t="n"/>
    </row>
    <row r="49">
      <c r="A49" s="18" t="inlineStr">
        <is>
          <t>3. Grants to foreign organizations and individuals</t>
        </is>
      </c>
      <c r="B49" s="9" t="n">
        <v>0</v>
      </c>
      <c r="C49" s="9" t="n"/>
      <c r="D49" s="9" t="n"/>
      <c r="E49" s="9" t="n"/>
    </row>
    <row r="50">
      <c r="A50" s="18" t="inlineStr">
        <is>
          <t>4. Benefits paid to or for members</t>
        </is>
      </c>
      <c r="B50" s="9" t="n">
        <v>0</v>
      </c>
      <c r="C50" s="9" t="n"/>
      <c r="D50" s="9" t="n"/>
      <c r="E50" s="9" t="n"/>
    </row>
    <row r="51">
      <c r="A51" s="18" t="inlineStr">
        <is>
          <t>5. Compensation of current officers, directors, trustees</t>
        </is>
      </c>
      <c r="B51" s="9" t="n">
        <v>111300</v>
      </c>
      <c r="C51" s="9" t="n">
        <v>27825</v>
      </c>
      <c r="D51" s="9" t="n">
        <v>83475</v>
      </c>
      <c r="E51" s="9" t="n"/>
    </row>
    <row r="52">
      <c r="A52" s="18" t="inlineStr">
        <is>
          <t>6. Compensation to disqualified persons</t>
        </is>
      </c>
      <c r="B52" s="9" t="n">
        <v>0</v>
      </c>
      <c r="C52" s="9" t="n"/>
      <c r="D52" s="9" t="n"/>
      <c r="E52" s="9" t="n"/>
    </row>
    <row r="53">
      <c r="A53" s="18" t="inlineStr">
        <is>
          <t>7. Other salaries and wages</t>
        </is>
      </c>
      <c r="B53" s="9" t="n">
        <v>460567</v>
      </c>
      <c r="C53" s="9" t="n">
        <v>283109</v>
      </c>
      <c r="D53" s="9" t="n">
        <v>177458</v>
      </c>
      <c r="E53" s="9" t="n"/>
    </row>
    <row r="54">
      <c r="A54" s="18" t="inlineStr">
        <is>
          <t>8. Pension plan accruals and contributions</t>
        </is>
      </c>
      <c r="B54" s="9" t="n">
        <v>15600</v>
      </c>
      <c r="C54" s="9" t="n">
        <v>7647</v>
      </c>
      <c r="D54" s="9" t="n">
        <v>7953</v>
      </c>
      <c r="E54" s="9" t="n"/>
    </row>
    <row r="55">
      <c r="A55" s="18" t="inlineStr">
        <is>
          <t>9. Other employee benefits</t>
        </is>
      </c>
      <c r="B55" s="9" t="n">
        <v>0</v>
      </c>
      <c r="C55" s="9" t="n"/>
      <c r="D55" s="9" t="n"/>
      <c r="E55" s="9" t="n"/>
    </row>
    <row r="56">
      <c r="A56" s="18" t="inlineStr">
        <is>
          <t>10. Payroll taxes</t>
        </is>
      </c>
      <c r="B56" s="9" t="n">
        <v>45492</v>
      </c>
      <c r="C56" s="9" t="n">
        <v>22280</v>
      </c>
      <c r="D56" s="9" t="n">
        <v>23212</v>
      </c>
      <c r="E56" s="9" t="n"/>
    </row>
    <row r="57">
      <c r="A57" s="18" t="inlineStr">
        <is>
          <t>11a. Fees for services: management</t>
        </is>
      </c>
      <c r="B57" s="9" t="n">
        <v>0</v>
      </c>
      <c r="C57" s="9" t="n"/>
      <c r="D57" s="9" t="n"/>
      <c r="E57" s="9" t="n"/>
    </row>
    <row r="58">
      <c r="A58" s="18" t="inlineStr">
        <is>
          <t>11b. Fees for services: legal</t>
        </is>
      </c>
      <c r="B58" s="9" t="n">
        <v>196556</v>
      </c>
      <c r="C58" s="9" t="n"/>
      <c r="D58" s="9" t="n">
        <v>196556</v>
      </c>
      <c r="E58" s="9" t="n"/>
    </row>
    <row r="59">
      <c r="A59" s="18" t="inlineStr">
        <is>
          <t>11c. Fees for services: accounting</t>
        </is>
      </c>
      <c r="B59" s="9" t="n">
        <v>8620</v>
      </c>
      <c r="C59" s="9" t="n"/>
      <c r="D59" s="9" t="n">
        <v>8620</v>
      </c>
      <c r="E59" s="9" t="n"/>
    </row>
    <row r="60">
      <c r="A60" s="18" t="inlineStr">
        <is>
          <t>11d. Fees for services: lobbying</t>
        </is>
      </c>
      <c r="B60" s="9" t="n">
        <v>0</v>
      </c>
      <c r="C60" s="9" t="n"/>
      <c r="D60" s="9" t="n"/>
      <c r="E60" s="9" t="n"/>
    </row>
    <row r="61">
      <c r="A61" s="18" t="inlineStr">
        <is>
          <t>11e. Fees for services: professional fundraising</t>
        </is>
      </c>
      <c r="B61" s="9" t="n">
        <v>0</v>
      </c>
      <c r="C61" s="9" t="n"/>
      <c r="D61" s="9" t="n"/>
      <c r="E61" s="9" t="n"/>
    </row>
    <row r="62">
      <c r="A62" s="18" t="inlineStr">
        <is>
          <t>11f. Fees for services: investment management</t>
        </is>
      </c>
      <c r="B62" s="9" t="n">
        <v>0</v>
      </c>
      <c r="C62" s="9" t="n"/>
      <c r="D62" s="9" t="n"/>
      <c r="E62" s="9" t="n"/>
    </row>
    <row r="63">
      <c r="A63" s="18" t="inlineStr">
        <is>
          <t>11g. Fees for services: other</t>
        </is>
      </c>
      <c r="B63" s="9" t="n">
        <v>55785</v>
      </c>
      <c r="C63" s="9" t="n">
        <v>20476</v>
      </c>
      <c r="D63" s="9" t="n">
        <v>35309</v>
      </c>
      <c r="E63" s="9" t="n"/>
    </row>
    <row r="64">
      <c r="A64" s="18" t="inlineStr">
        <is>
          <t>12. Advertising and promotion</t>
        </is>
      </c>
      <c r="B64" s="9" t="n">
        <v>50</v>
      </c>
      <c r="C64" s="9" t="n"/>
      <c r="D64" s="9" t="n">
        <v>50</v>
      </c>
      <c r="E64" s="9" t="n"/>
    </row>
    <row r="65">
      <c r="A65" s="18" t="inlineStr">
        <is>
          <t>13. Office expenses</t>
        </is>
      </c>
      <c r="B65" s="9" t="n">
        <v>25741</v>
      </c>
      <c r="C65" s="9" t="n"/>
      <c r="D65" s="9" t="n">
        <v>25741</v>
      </c>
      <c r="E65" s="9" t="n"/>
    </row>
    <row r="66">
      <c r="A66" s="18" t="inlineStr">
        <is>
          <t>14. Information technology</t>
        </is>
      </c>
      <c r="B66" s="9" t="n">
        <v>16490</v>
      </c>
      <c r="C66" s="9" t="n"/>
      <c r="D66" s="9" t="n">
        <v>16490</v>
      </c>
      <c r="E66" s="9" t="n"/>
    </row>
    <row r="67">
      <c r="A67" s="18" t="inlineStr">
        <is>
          <t>15. Royalties</t>
        </is>
      </c>
      <c r="B67" s="9" t="n">
        <v>0</v>
      </c>
      <c r="C67" s="9" t="n"/>
      <c r="D67" s="9" t="n"/>
      <c r="E67" s="9" t="n"/>
    </row>
    <row r="68">
      <c r="A68" s="18" t="inlineStr">
        <is>
          <t>16. Occupancy</t>
        </is>
      </c>
      <c r="B68" s="9" t="n">
        <v>97688</v>
      </c>
      <c r="C68" s="9" t="n">
        <v>88661</v>
      </c>
      <c r="D68" s="9" t="n">
        <v>9027</v>
      </c>
      <c r="E68" s="9" t="n"/>
    </row>
    <row r="69">
      <c r="A69" s="18" t="inlineStr">
        <is>
          <t>17. Travel</t>
        </is>
      </c>
      <c r="B69" s="9" t="n">
        <v>0</v>
      </c>
      <c r="C69" s="9" t="n"/>
      <c r="D69" s="9" t="n"/>
      <c r="E69" s="9" t="n"/>
    </row>
    <row r="70">
      <c r="A70" s="18" t="inlineStr">
        <is>
          <t>18. Payments of travel/entertainment for public officials</t>
        </is>
      </c>
      <c r="B70" s="9" t="n">
        <v>0</v>
      </c>
      <c r="C70" s="9" t="n"/>
      <c r="D70" s="9" t="n"/>
      <c r="E70" s="9" t="n"/>
    </row>
    <row r="71">
      <c r="A71" s="18" t="inlineStr">
        <is>
          <t>19. Conferences, conventions, and meetings</t>
        </is>
      </c>
      <c r="B71" s="9" t="n">
        <v>2337</v>
      </c>
      <c r="C71" s="9" t="n"/>
      <c r="D71" s="9" t="n">
        <v>2337</v>
      </c>
      <c r="E71" s="9" t="n"/>
    </row>
    <row r="72">
      <c r="A72" s="18" t="inlineStr">
        <is>
          <t>20. Interest</t>
        </is>
      </c>
      <c r="B72" s="9" t="n">
        <v>196499</v>
      </c>
      <c r="C72" s="9" t="n"/>
      <c r="D72" s="9" t="n">
        <v>196499</v>
      </c>
      <c r="E72" s="9" t="n"/>
    </row>
    <row r="73">
      <c r="A73" s="18" t="inlineStr">
        <is>
          <t>21. Payments to affiliates</t>
        </is>
      </c>
      <c r="B73" s="9" t="n">
        <v>0</v>
      </c>
      <c r="C73" s="9" t="n"/>
      <c r="D73" s="9" t="n"/>
      <c r="E73" s="9" t="n"/>
    </row>
    <row r="74">
      <c r="A74" s="18" t="inlineStr">
        <is>
          <t>22. Depreciation, depletion, and amortization</t>
        </is>
      </c>
      <c r="B74" s="9" t="n">
        <v>278642</v>
      </c>
      <c r="C74" s="9" t="n">
        <v>278642</v>
      </c>
      <c r="D74" s="9" t="n"/>
      <c r="E74" s="9" t="n"/>
    </row>
    <row r="75">
      <c r="A75" s="18" t="inlineStr">
        <is>
          <t>23. Insurance</t>
        </is>
      </c>
      <c r="B75" s="9" t="n">
        <v>158304</v>
      </c>
      <c r="C75" s="9" t="n">
        <v>110215</v>
      </c>
      <c r="D75" s="9" t="n">
        <v>48089</v>
      </c>
      <c r="E75" s="9" t="n"/>
    </row>
    <row r="76">
      <c r="A76" s="10" t="inlineStr">
        <is>
          <t>25. Total (filed col A / B / C / D)</t>
        </is>
      </c>
      <c r="B76" s="11" t="n">
        <v>1970627</v>
      </c>
      <c r="C76" s="11" t="n">
        <v>1020834</v>
      </c>
      <c r="D76" s="11" t="n">
        <v>949793</v>
      </c>
      <c r="E76" s="11" t="n">
        <v>0</v>
      </c>
    </row>
    <row r="78" ht="42" customHeight="1">
      <c r="A7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2:E2"/>
    <mergeCell ref="A1:E1"/>
    <mergeCell ref="A78:E78"/>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Sheep Creek Water Company</t>
        </is>
      </c>
    </row>
    <row r="2">
      <c r="A2" s="2" t="inlineStr">
        <is>
          <t>Balance Sheet - Form 990 Part X (end of year, USD)</t>
        </is>
      </c>
    </row>
    <row r="3">
      <c r="A3" s="2" t="inlineStr">
        <is>
          <t>Entity ID: cawc_0056   |   Fiscal year ends December 31.</t>
        </is>
      </c>
    </row>
    <row r="5">
      <c r="A5" s="4" t="inlineStr">
        <is>
          <t>Part X line (column B, EOY)</t>
        </is>
      </c>
      <c r="B5" s="5" t="inlineStr">
        <is>
          <t>FY2020</t>
        </is>
      </c>
      <c r="C5" s="5" t="inlineStr">
        <is>
          <t>FY2021</t>
        </is>
      </c>
      <c r="D5" s="5" t="inlineStr">
        <is>
          <t>FY2022</t>
        </is>
      </c>
      <c r="E5" s="5" t="inlineStr">
        <is>
          <t>FY2024</t>
        </is>
      </c>
    </row>
    <row r="6">
      <c r="A6" s="6" t="inlineStr">
        <is>
          <t>Assets</t>
        </is>
      </c>
      <c r="B6" s="7" t="n"/>
      <c r="C6" s="7" t="n"/>
      <c r="D6" s="7" t="n"/>
      <c r="E6" s="7" t="n"/>
    </row>
    <row r="7">
      <c r="A7" s="8" t="inlineStr">
        <is>
          <t xml:space="preserve">    1. Cash - non-interest-bearing</t>
        </is>
      </c>
      <c r="B7" s="9" t="n">
        <v>390</v>
      </c>
      <c r="C7" s="9" t="n">
        <v>390</v>
      </c>
      <c r="D7" s="9" t="n">
        <v>590</v>
      </c>
      <c r="E7" s="9" t="n">
        <v>610</v>
      </c>
    </row>
    <row r="8">
      <c r="A8" s="8" t="inlineStr">
        <is>
          <t xml:space="preserve">    2. Savings and temporary cash investments</t>
        </is>
      </c>
      <c r="B8" s="9" t="n">
        <v>436201</v>
      </c>
      <c r="C8" s="9" t="n">
        <v>706220</v>
      </c>
      <c r="D8" s="9" t="n">
        <v>825829</v>
      </c>
      <c r="E8" s="9" t="n">
        <v>592947</v>
      </c>
    </row>
    <row r="9">
      <c r="A9" s="8" t="inlineStr">
        <is>
          <t xml:space="preserve">    3. Pledges and grants receivable, net</t>
        </is>
      </c>
      <c r="B9" s="9" t="n">
        <v>0</v>
      </c>
      <c r="C9" s="9" t="n">
        <v>0</v>
      </c>
      <c r="D9" s="9" t="n">
        <v>0</v>
      </c>
      <c r="E9" s="9" t="n">
        <v>0</v>
      </c>
    </row>
    <row r="10">
      <c r="A10" s="8" t="inlineStr">
        <is>
          <t xml:space="preserve">    4. Accounts receivable, net</t>
        </is>
      </c>
      <c r="B10" s="9" t="n">
        <v>210488</v>
      </c>
      <c r="C10" s="9" t="n">
        <v>242804</v>
      </c>
      <c r="D10" s="9" t="n">
        <v>172314</v>
      </c>
      <c r="E10" s="9" t="n">
        <v>248186</v>
      </c>
    </row>
    <row r="11">
      <c r="A11" s="8" t="inlineStr">
        <is>
          <t xml:space="preserve">    5. Receivables from officers/directors/trustees</t>
        </is>
      </c>
      <c r="B11" s="9" t="n">
        <v>0</v>
      </c>
      <c r="C11" s="9" t="n">
        <v>0</v>
      </c>
      <c r="D11" s="9" t="n">
        <v>0</v>
      </c>
      <c r="E11" s="9" t="n">
        <v>0</v>
      </c>
    </row>
    <row r="12">
      <c r="A12" s="8" t="inlineStr">
        <is>
          <t xml:space="preserve">    6. Receivables from disqualified persons</t>
        </is>
      </c>
      <c r="B12" s="9" t="n">
        <v>0</v>
      </c>
      <c r="C12" s="9" t="n">
        <v>0</v>
      </c>
      <c r="D12" s="9" t="n">
        <v>0</v>
      </c>
      <c r="E12" s="9" t="n">
        <v>0</v>
      </c>
    </row>
    <row r="13">
      <c r="A13" s="8" t="inlineStr">
        <is>
          <t xml:space="preserve">    7. Notes and loans receivable, net</t>
        </is>
      </c>
      <c r="B13" s="9" t="n">
        <v>0</v>
      </c>
      <c r="C13" s="9" t="n">
        <v>0</v>
      </c>
      <c r="D13" s="9" t="n">
        <v>0</v>
      </c>
      <c r="E13" s="9" t="n">
        <v>0</v>
      </c>
    </row>
    <row r="14">
      <c r="A14" s="8" t="inlineStr">
        <is>
          <t xml:space="preserve">    8. Inventories for sale or use</t>
        </is>
      </c>
      <c r="B14" s="9" t="n">
        <v>136268</v>
      </c>
      <c r="C14" s="9" t="n">
        <v>140943</v>
      </c>
      <c r="D14" s="9" t="n">
        <v>157923</v>
      </c>
      <c r="E14" s="9" t="n">
        <v>209296</v>
      </c>
    </row>
    <row r="15">
      <c r="A15" s="8" t="inlineStr">
        <is>
          <t xml:space="preserve">    9. Prepaid expenses and deferred charges</t>
        </is>
      </c>
      <c r="B15" s="9" t="n">
        <v>0</v>
      </c>
      <c r="C15" s="9" t="n">
        <v>0</v>
      </c>
      <c r="D15" s="9" t="n">
        <v>0</v>
      </c>
      <c r="E15" s="9" t="n">
        <v>11717</v>
      </c>
    </row>
    <row r="16">
      <c r="A16" s="8" t="inlineStr">
        <is>
          <t xml:space="preserve">    10c. Land, buildings, and equipment, net</t>
        </is>
      </c>
      <c r="B16" s="9" t="n">
        <v>6032771</v>
      </c>
      <c r="C16" s="9" t="n">
        <v>5879005</v>
      </c>
      <c r="D16" s="9" t="n">
        <v>6044099</v>
      </c>
      <c r="E16" s="9" t="n">
        <v>9087841</v>
      </c>
    </row>
    <row r="17">
      <c r="A17" s="8" t="inlineStr">
        <is>
          <t xml:space="preserve">    11. Investments - publicly traded securities</t>
        </is>
      </c>
      <c r="B17" s="9" t="n">
        <v>0</v>
      </c>
      <c r="C17" s="9" t="n">
        <v>0</v>
      </c>
      <c r="D17" s="9" t="n">
        <v>0</v>
      </c>
      <c r="E17" s="9" t="n">
        <v>0</v>
      </c>
    </row>
    <row r="18">
      <c r="A18" s="8" t="inlineStr">
        <is>
          <t xml:space="preserve">    12. Investments - other securities</t>
        </is>
      </c>
      <c r="B18" s="9" t="n">
        <v>0</v>
      </c>
      <c r="C18" s="9" t="n">
        <v>0</v>
      </c>
      <c r="D18" s="9" t="n">
        <v>0</v>
      </c>
      <c r="E18" s="9" t="n">
        <v>0</v>
      </c>
    </row>
    <row r="19">
      <c r="A19" s="8" t="inlineStr">
        <is>
          <t xml:space="preserve">    13. Investments - program-related</t>
        </is>
      </c>
      <c r="B19" s="9" t="n">
        <v>0</v>
      </c>
      <c r="C19" s="9" t="n">
        <v>0</v>
      </c>
      <c r="D19" s="9" t="n">
        <v>0</v>
      </c>
      <c r="E19" s="9" t="n">
        <v>0</v>
      </c>
    </row>
    <row r="20">
      <c r="A20" s="8" t="inlineStr">
        <is>
          <t xml:space="preserve">    14. Intangible assets</t>
        </is>
      </c>
      <c r="B20" s="9" t="n">
        <v>0</v>
      </c>
      <c r="C20" s="9" t="n">
        <v>0</v>
      </c>
      <c r="D20" s="9" t="n">
        <v>0</v>
      </c>
      <c r="E20" s="9" t="n">
        <v>0</v>
      </c>
    </row>
    <row r="21">
      <c r="A21" s="8" t="inlineStr">
        <is>
          <t xml:space="preserve">    15. Other assets</t>
        </is>
      </c>
      <c r="B21" s="9" t="n">
        <v>7331</v>
      </c>
      <c r="C21" s="9" t="n">
        <v>8694</v>
      </c>
      <c r="D21" s="9" t="n">
        <v>8543</v>
      </c>
      <c r="E21" s="9" t="n">
        <v>0</v>
      </c>
    </row>
    <row r="22">
      <c r="A22" s="10" t="inlineStr">
        <is>
          <t>16. Total assets</t>
        </is>
      </c>
      <c r="B22" s="11">
        <f>SUM(B7:B21)</f>
        <v/>
      </c>
      <c r="C22" s="11">
        <f>SUM(C7:C21)</f>
        <v/>
      </c>
      <c r="D22" s="11">
        <f>SUM(D7:D21)</f>
        <v/>
      </c>
      <c r="E22" s="11">
        <f>SUM(E7:E21)</f>
        <v/>
      </c>
    </row>
    <row r="24">
      <c r="A24" s="6" t="inlineStr">
        <is>
          <t>Liabilities</t>
        </is>
      </c>
      <c r="B24" s="7" t="n"/>
      <c r="C24" s="7" t="n"/>
      <c r="D24" s="7" t="n"/>
      <c r="E24" s="7" t="n"/>
    </row>
    <row r="25">
      <c r="A25" s="8" t="inlineStr">
        <is>
          <t xml:space="preserve">    17. Accounts payable and accrued expenses</t>
        </is>
      </c>
      <c r="B25" s="9" t="n">
        <v>54492</v>
      </c>
      <c r="C25" s="9" t="n">
        <v>49190</v>
      </c>
      <c r="D25" s="9" t="n">
        <v>153404</v>
      </c>
      <c r="E25" s="9" t="n">
        <v>45646</v>
      </c>
    </row>
    <row r="26">
      <c r="A26" s="8" t="inlineStr">
        <is>
          <t xml:space="preserve">    23. Secured mortgages and notes payable</t>
        </is>
      </c>
      <c r="B26" s="9" t="n">
        <v>358092</v>
      </c>
      <c r="C26" s="9" t="n">
        <v>258869</v>
      </c>
      <c r="D26" s="9" t="n">
        <v>294649</v>
      </c>
      <c r="E26" s="9" t="n">
        <v>3296801</v>
      </c>
    </row>
    <row r="27">
      <c r="A27" s="8" t="inlineStr">
        <is>
          <t xml:space="preserve">    24. Unsecured notes and loans payable</t>
        </is>
      </c>
      <c r="B27" s="9" t="n">
        <v>39051</v>
      </c>
      <c r="C27" s="9" t="n">
        <v>10340</v>
      </c>
      <c r="D27" s="14" t="inlineStr">
        <is>
          <t>not reported</t>
        </is>
      </c>
      <c r="E27" s="14" t="inlineStr">
        <is>
          <t>not reported</t>
        </is>
      </c>
    </row>
    <row r="28">
      <c r="A28" s="10" t="inlineStr">
        <is>
          <t>26. Total liabilities</t>
        </is>
      </c>
      <c r="B28" s="11">
        <f>SUM(B25:B27)</f>
        <v/>
      </c>
      <c r="C28" s="11">
        <f>SUM(C25:C27)</f>
        <v/>
      </c>
      <c r="D28" s="11">
        <f>SUM(D25:D27)</f>
        <v/>
      </c>
      <c r="E28" s="11">
        <f>SUM(E25:E27)</f>
        <v/>
      </c>
    </row>
    <row r="30">
      <c r="A30" s="6" t="inlineStr">
        <is>
          <t>Net assets / fund balances</t>
        </is>
      </c>
      <c r="B30" s="7" t="n"/>
      <c r="C30" s="7" t="n"/>
      <c r="D30" s="7" t="n"/>
      <c r="E30" s="7" t="n"/>
    </row>
    <row r="31">
      <c r="A31" s="8" t="inlineStr">
        <is>
          <t xml:space="preserve">    29. Capital stock or trust principal</t>
        </is>
      </c>
      <c r="B31" s="9" t="n">
        <v>11417</v>
      </c>
      <c r="C31" s="9" t="n">
        <v>11417</v>
      </c>
      <c r="D31" s="9" t="n">
        <v>18217</v>
      </c>
      <c r="E31" s="9" t="n">
        <v>20192</v>
      </c>
    </row>
    <row r="32">
      <c r="A32" s="8" t="inlineStr">
        <is>
          <t xml:space="preserve">    30. Paid-in or capital surplus</t>
        </is>
      </c>
      <c r="B32" s="9" t="n">
        <v>9752381</v>
      </c>
      <c r="C32" s="9" t="n">
        <v>9763249</v>
      </c>
      <c r="D32" s="9" t="n">
        <v>9811859</v>
      </c>
      <c r="E32" s="9" t="n">
        <v>10236612</v>
      </c>
    </row>
    <row r="33">
      <c r="A33" s="8" t="inlineStr">
        <is>
          <t xml:space="preserve">    31. Retained earnings / accumulated funds</t>
        </is>
      </c>
      <c r="B33" s="9" t="n">
        <v>-3391984</v>
      </c>
      <c r="C33" s="9" t="n">
        <v>-3115009</v>
      </c>
      <c r="D33" s="9" t="n">
        <v>-3068831</v>
      </c>
      <c r="E33" s="9" t="n">
        <v>-3448654</v>
      </c>
    </row>
    <row r="34">
      <c r="A34" s="10" t="inlineStr">
        <is>
          <t>32. Total net assets / fund balances</t>
        </is>
      </c>
      <c r="B34" s="11">
        <f>SUM(B31:B33)</f>
        <v/>
      </c>
      <c r="C34" s="11">
        <f>SUM(C31:C33)</f>
        <v/>
      </c>
      <c r="D34" s="11">
        <f>SUM(D31:D33)</f>
        <v/>
      </c>
      <c r="E34" s="11">
        <f>SUM(E31:E33)</f>
        <v/>
      </c>
    </row>
    <row r="36" ht="42" customHeight="1">
      <c r="A3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E2"/>
    <mergeCell ref="A1:E1"/>
    <mergeCell ref="A36:E36"/>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Sheep Creek Water Company</t>
        </is>
      </c>
    </row>
    <row r="2">
      <c r="A2" s="2" t="inlineStr">
        <is>
          <t>Reconciliation of Net Assets - Form 990 Part XI (USD)</t>
        </is>
      </c>
    </row>
    <row r="3">
      <c r="A3" s="2" t="inlineStr">
        <is>
          <t>Entity ID: cawc_0056   |   Fiscal year ends December 31.</t>
        </is>
      </c>
    </row>
    <row r="5">
      <c r="A5" s="4" t="inlineStr">
        <is>
          <t>Part XI line</t>
        </is>
      </c>
      <c r="B5" s="5" t="inlineStr">
        <is>
          <t>FY2020</t>
        </is>
      </c>
      <c r="C5" s="5" t="inlineStr">
        <is>
          <t>FY2021</t>
        </is>
      </c>
      <c r="D5" s="5" t="inlineStr">
        <is>
          <t>FY2022</t>
        </is>
      </c>
      <c r="E5" s="5" t="inlineStr">
        <is>
          <t>FY2024</t>
        </is>
      </c>
    </row>
    <row r="6">
      <c r="A6" s="6" t="inlineStr">
        <is>
          <t>Reconciliation</t>
        </is>
      </c>
      <c r="B6" s="7" t="n"/>
      <c r="C6" s="7" t="n"/>
      <c r="D6" s="7" t="n"/>
      <c r="E6" s="7" t="n"/>
    </row>
    <row r="7">
      <c r="A7" s="8" t="inlineStr">
        <is>
          <t xml:space="preserve">    4. Net assets, beginning of year</t>
        </is>
      </c>
      <c r="B7" s="9" t="n">
        <v>6188581</v>
      </c>
      <c r="C7" s="9" t="n">
        <v>6371814</v>
      </c>
      <c r="D7" s="9" t="n">
        <v>6659657</v>
      </c>
      <c r="E7" s="9" t="n">
        <v>6522205</v>
      </c>
    </row>
    <row r="8">
      <c r="A8" s="8" t="inlineStr">
        <is>
          <t xml:space="preserve">    3. Revenue less expenses</t>
        </is>
      </c>
      <c r="B8" s="9" t="n">
        <v>128230</v>
      </c>
      <c r="C8" s="9" t="n">
        <v>226678</v>
      </c>
      <c r="D8" s="9" t="n">
        <v>32473</v>
      </c>
      <c r="E8" s="9" t="n">
        <v>-250788</v>
      </c>
    </row>
    <row r="9">
      <c r="A9" s="8" t="inlineStr">
        <is>
          <t xml:space="preserve">    8. Prior period adjustments</t>
        </is>
      </c>
      <c r="B9" s="9" t="n">
        <v>60</v>
      </c>
      <c r="C9" s="14" t="inlineStr">
        <is>
          <t>not reported</t>
        </is>
      </c>
      <c r="D9" s="14" t="inlineStr">
        <is>
          <t>not reported</t>
        </is>
      </c>
      <c r="E9" s="14" t="inlineStr">
        <is>
          <t>not reported</t>
        </is>
      </c>
    </row>
    <row r="10">
      <c r="A10" s="8" t="inlineStr">
        <is>
          <t xml:space="preserve">    9. Other changes in net assets</t>
        </is>
      </c>
      <c r="B10" s="9" t="n">
        <v>54943</v>
      </c>
      <c r="C10" s="9" t="n">
        <v>61165</v>
      </c>
      <c r="D10" s="9" t="n">
        <v>69115</v>
      </c>
      <c r="E10" s="9" t="n">
        <v>536733</v>
      </c>
    </row>
    <row r="11">
      <c r="A11" s="10" t="inlineStr">
        <is>
          <t>10. Net assets, end of year</t>
        </is>
      </c>
      <c r="B11" s="11">
        <f>SUM(B7,B8,B9,B10)</f>
        <v/>
      </c>
      <c r="C11" s="11">
        <f>SUM(C7,C8,C9,C10)</f>
        <v/>
      </c>
      <c r="D11" s="11">
        <f>SUM(D7,D8,D9,D10)</f>
        <v/>
      </c>
      <c r="E11" s="11">
        <f>SUM(E7,E8,E9,E10)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2:E2"/>
    <mergeCell ref="A1:E1"/>
    <mergeCell ref="A13:E13"/>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Sheep Creek Water Company</t>
        </is>
      </c>
    </row>
    <row r="2">
      <c r="A2" s="2" t="inlineStr">
        <is>
          <t>Cash Flow Proxies - derived (USD)</t>
        </is>
      </c>
    </row>
    <row r="3">
      <c r="A3" s="2" t="inlineStr">
        <is>
          <t>Entity ID: cawc_0056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FY2024</t>
        </is>
      </c>
    </row>
    <row r="8">
      <c r="A8" s="6" t="inlineStr">
        <is>
          <t>Operating</t>
        </is>
      </c>
      <c r="B8" s="7" t="n"/>
      <c r="C8" s="7" t="n"/>
      <c r="D8" s="7" t="n"/>
      <c r="E8" s="7" t="n"/>
    </row>
    <row r="9">
      <c r="A9" s="8" t="inlineStr">
        <is>
          <t xml:space="preserve">    Net income</t>
        </is>
      </c>
      <c r="B9" s="9" t="n">
        <v>128230</v>
      </c>
      <c r="C9" s="9" t="n">
        <v>226678</v>
      </c>
      <c r="D9" s="9" t="n">
        <v>32473</v>
      </c>
      <c r="E9" s="9" t="n">
        <v>-250788</v>
      </c>
    </row>
    <row r="10">
      <c r="A10" s="8" t="inlineStr">
        <is>
          <t xml:space="preserve">    + Depreciation (reported)</t>
        </is>
      </c>
      <c r="B10" s="9" t="n">
        <v>278694</v>
      </c>
      <c r="C10" s="9" t="n">
        <v>277105</v>
      </c>
      <c r="D10" s="9" t="n">
        <v>271384</v>
      </c>
      <c r="E10" s="9" t="n">
        <v>278642</v>
      </c>
    </row>
    <row r="11">
      <c r="A11" s="8" t="inlineStr">
        <is>
          <t xml:space="preserve">    − Δ Accounts receivable</t>
        </is>
      </c>
      <c r="B11" s="9" t="n"/>
      <c r="C11" s="9" t="n">
        <v>-32316</v>
      </c>
      <c r="D11" s="9" t="n">
        <v>70490</v>
      </c>
      <c r="E11" s="9" t="n">
        <v>-75872</v>
      </c>
    </row>
    <row r="12">
      <c r="A12" s="8" t="inlineStr">
        <is>
          <t xml:space="preserve">    − Δ Inventories</t>
        </is>
      </c>
      <c r="B12" s="9" t="n"/>
      <c r="C12" s="9" t="n">
        <v>-4675</v>
      </c>
      <c r="D12" s="9" t="n">
        <v>-16980</v>
      </c>
      <c r="E12" s="9" t="n">
        <v>-51373</v>
      </c>
    </row>
    <row r="13">
      <c r="A13" s="8" t="inlineStr">
        <is>
          <t xml:space="preserve">    − Δ Prepaid expenses</t>
        </is>
      </c>
      <c r="B13" s="9" t="n"/>
      <c r="C13" s="9" t="n">
        <v>0</v>
      </c>
      <c r="D13" s="9" t="n">
        <v>0</v>
      </c>
      <c r="E13" s="9" t="n">
        <v>-11717</v>
      </c>
    </row>
    <row r="14">
      <c r="A14" s="8" t="inlineStr">
        <is>
          <t xml:space="preserve">    + Δ Accounts payable</t>
        </is>
      </c>
      <c r="B14" s="9" t="n"/>
      <c r="C14" s="9" t="n">
        <v>-5302</v>
      </c>
      <c r="D14" s="9" t="n">
        <v>104214</v>
      </c>
      <c r="E14" s="9" t="n">
        <v>-107758</v>
      </c>
    </row>
    <row r="15">
      <c r="A15" s="10" t="inlineStr">
        <is>
          <t xml:space="preserve">    Operating cash flow proxy</t>
        </is>
      </c>
      <c r="B15" s="11" t="n"/>
      <c r="C15" s="11" t="n">
        <v>461490</v>
      </c>
      <c r="D15" s="11" t="n">
        <v>461581</v>
      </c>
      <c r="E15" s="11" t="n">
        <v>-218866</v>
      </c>
    </row>
    <row r="17">
      <c r="A17" s="6" t="inlineStr">
        <is>
          <t>Investing</t>
        </is>
      </c>
      <c r="B17" s="7" t="n"/>
      <c r="C17" s="7" t="n"/>
      <c r="D17" s="7" t="n"/>
      <c r="E17" s="7" t="n"/>
    </row>
    <row r="18">
      <c r="A18" s="8" t="inlineStr">
        <is>
          <t xml:space="preserve">    − Δ PP&amp;E gross (capex proxy)</t>
        </is>
      </c>
      <c r="B18" s="9" t="n"/>
      <c r="C18" s="9" t="n">
        <v>-114305</v>
      </c>
      <c r="D18" s="9" t="n">
        <v>-433787</v>
      </c>
      <c r="E18" s="9" t="n">
        <v>-3542281</v>
      </c>
    </row>
    <row r="20">
      <c r="A20" s="6" t="inlineStr">
        <is>
          <t>Financing</t>
        </is>
      </c>
      <c r="B20" s="7" t="n"/>
      <c r="C20" s="7" t="n"/>
      <c r="D20" s="7" t="n"/>
      <c r="E20" s="7" t="n"/>
    </row>
    <row r="21">
      <c r="A21" s="8" t="inlineStr">
        <is>
          <t xml:space="preserve">    Δ Mortgages &amp; notes payable</t>
        </is>
      </c>
      <c r="B21" s="9" t="n"/>
      <c r="C21" s="9" t="n">
        <v>-99223</v>
      </c>
      <c r="D21" s="9" t="n">
        <v>35780</v>
      </c>
      <c r="E21" s="9" t="n">
        <v>3002152</v>
      </c>
    </row>
    <row r="23">
      <c r="A23" s="6" t="inlineStr">
        <is>
          <t>Reconciliation</t>
        </is>
      </c>
      <c r="B23" s="7" t="n"/>
      <c r="C23" s="7" t="n"/>
      <c r="D23" s="7" t="n"/>
      <c r="E23" s="7" t="n"/>
    </row>
    <row r="24">
      <c r="A24" s="10" t="inlineStr">
        <is>
          <t xml:space="preserve">    Δ Cash + temp. investments (actual)</t>
        </is>
      </c>
      <c r="B24" s="11" t="n"/>
      <c r="C24" s="11" t="n">
        <v>270019</v>
      </c>
      <c r="D24" s="11" t="n">
        <v>119809</v>
      </c>
      <c r="E24" s="11" t="n">
        <v>-232862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Sheep Creek Water Company</t>
        </is>
      </c>
    </row>
    <row r="2">
      <c r="A2" s="2" t="inlineStr">
        <is>
          <t>Financial Ratios</t>
        </is>
      </c>
    </row>
    <row r="3">
      <c r="A3" s="2" t="inlineStr">
        <is>
          <t>Entity ID: cawc_0056   |   Fiscal year ends December 31.</t>
        </is>
      </c>
    </row>
    <row r="5">
      <c r="A5" s="4" t="inlineStr">
        <is>
          <t>Ratio</t>
        </is>
      </c>
      <c r="B5" s="5" t="inlineStr">
        <is>
          <t>FY2020</t>
        </is>
      </c>
      <c r="C5" s="5" t="inlineStr">
        <is>
          <t>FY2021</t>
        </is>
      </c>
      <c r="D5" s="5" t="inlineStr">
        <is>
          <t>FY2022</t>
        </is>
      </c>
      <c r="E5" s="5" t="inlineStr">
        <is>
          <t>FY2024</t>
        </is>
      </c>
    </row>
    <row r="6">
      <c r="A6" s="6" t="inlineStr">
        <is>
          <t>Profitability (computed upstream)</t>
        </is>
      </c>
      <c r="B6" s="7" t="n"/>
      <c r="C6" s="7" t="n"/>
      <c r="D6" s="7" t="n"/>
      <c r="E6" s="7" t="n"/>
    </row>
    <row r="7">
      <c r="A7" s="8" t="inlineStr">
        <is>
          <t xml:space="preserve">    Operating margin (NI / revenue)</t>
        </is>
      </c>
      <c r="B7" s="12" t="n">
        <v>0.09449618492747899</v>
      </c>
      <c r="C7" s="12" t="n">
        <v>0.1558803971175488</v>
      </c>
      <c r="D7" s="12" t="n">
        <v>0.02202571758408272</v>
      </c>
      <c r="E7" s="12" t="n">
        <v>-0.1458206262330369</v>
      </c>
    </row>
    <row r="8">
      <c r="A8" s="8" t="inlineStr">
        <is>
          <t xml:space="preserve">    Expense ratio (expenses / revenue)</t>
        </is>
      </c>
      <c r="B8" s="12" t="n">
        <v>0.905503815072521</v>
      </c>
      <c r="C8" s="12" t="n">
        <v>0.8441196028824512</v>
      </c>
      <c r="D8" s="12" t="n">
        <v>0.9779742824159173</v>
      </c>
      <c r="E8" s="12" t="n">
        <v>1.145820626233037</v>
      </c>
    </row>
    <row r="9">
      <c r="A9" s="8" t="inlineStr">
        <is>
          <t xml:space="preserve">    Return on assets (NI / assets)</t>
        </is>
      </c>
      <c r="B9" s="12" t="n">
        <v>0.01879254904667713</v>
      </c>
      <c r="C9" s="12" t="n">
        <v>0.03248440539886754</v>
      </c>
      <c r="D9" s="12" t="n">
        <v>0.004504322057431944</v>
      </c>
      <c r="E9" s="12" t="n">
        <v>-0.02470672414637287</v>
      </c>
    </row>
    <row r="10">
      <c r="A10" s="8" t="inlineStr">
        <is>
          <t xml:space="preserve">    Revenue growth (YoY)</t>
        </is>
      </c>
      <c r="B10" s="12" t="n">
        <v>0.04827685300488532</v>
      </c>
      <c r="C10" s="12" t="n">
        <v>0.07162417298336166</v>
      </c>
      <c r="D10" s="12" t="n">
        <v>0.01385180228843904</v>
      </c>
      <c r="E10" s="12" t="n">
        <v>0.07989930879974282</v>
      </c>
    </row>
    <row r="12">
      <c r="A12" s="6" t="inlineStr">
        <is>
          <t>Leverage &amp; solvency</t>
        </is>
      </c>
      <c r="B12" s="7" t="n"/>
      <c r="C12" s="7" t="n"/>
      <c r="D12" s="7" t="n"/>
      <c r="E12" s="7" t="n"/>
    </row>
    <row r="13">
      <c r="A13" s="8" t="inlineStr">
        <is>
          <t xml:space="preserve">    Debt-to-assets (liab. / assets)</t>
        </is>
      </c>
      <c r="B13" s="12" t="n">
        <v>0.06618866793025052</v>
      </c>
      <c r="C13" s="12" t="n">
        <v>0.04562861060444341</v>
      </c>
      <c r="D13" s="12" t="n">
        <v>0.06214932438636882</v>
      </c>
      <c r="E13" s="12" t="n">
        <v>0.3292857553107468</v>
      </c>
    </row>
    <row r="14">
      <c r="A14" s="8" t="inlineStr">
        <is>
          <t xml:space="preserve">    Equity ratio (net assets / assets)</t>
        </is>
      </c>
      <c r="B14" s="12" t="n">
        <v>0.9338113320697494</v>
      </c>
      <c r="C14" s="12" t="n">
        <v>0.9543713893955565</v>
      </c>
      <c r="D14" s="12" t="n">
        <v>0.9378506756136312</v>
      </c>
      <c r="E14" s="12" t="n">
        <v>0.6707142446892532</v>
      </c>
    </row>
    <row r="16">
      <c r="A16" s="6" t="inlineStr">
        <is>
          <t>Liquidity &amp; asset profile (derived here)</t>
        </is>
      </c>
      <c r="B16" s="7" t="n"/>
      <c r="C16" s="7" t="n"/>
      <c r="D16" s="7" t="n"/>
      <c r="E16" s="7" t="n"/>
    </row>
    <row r="17">
      <c r="A17" s="8" t="inlineStr">
        <is>
          <t xml:space="preserve">    Current ratio (current assets / AP)</t>
        </is>
      </c>
      <c r="B17" s="19" t="n">
        <v>14.3754496072818</v>
      </c>
      <c r="C17" s="19" t="n">
        <v>22.16623297418175</v>
      </c>
      <c r="D17" s="19" t="n">
        <v>7.539933769653985</v>
      </c>
      <c r="E17" s="19" t="n">
        <v>23.28256583271261</v>
      </c>
    </row>
    <row r="18">
      <c r="A18" s="8" t="inlineStr">
        <is>
          <t xml:space="preserve">    Cash ratio ((cash+temp inv.) / total liab.)</t>
        </is>
      </c>
      <c r="B18" s="19" t="n">
        <v>0.9666899155291331</v>
      </c>
      <c r="C18" s="19" t="n">
        <v>2.219259482598877</v>
      </c>
      <c r="D18" s="19" t="n">
        <v>1.844467060816466</v>
      </c>
      <c r="E18" s="19" t="n">
        <v>0.1775815742179307</v>
      </c>
    </row>
    <row r="19">
      <c r="A19" s="8" t="inlineStr">
        <is>
          <t xml:space="preserve">    Asset age proxy (accum. deprec. / gross PP&amp;E)</t>
        </is>
      </c>
      <c r="B19" s="12" t="n">
        <v>0.5082599648587749</v>
      </c>
      <c r="C19" s="12" t="n">
        <v>0.5252172882136967</v>
      </c>
      <c r="D19" s="12" t="n">
        <v>0.5284054591713805</v>
      </c>
      <c r="E19" s="12" t="n">
        <v>0.4444604469151824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Sheep Creek Water Company</t>
        </is>
      </c>
    </row>
    <row r="2">
      <c r="A2" s="2" t="inlineStr">
        <is>
          <t>Unit economics - per-customer revenue by category (USD)</t>
        </is>
      </c>
    </row>
    <row r="3">
      <c r="A3" s="2" t="inlineStr">
        <is>
          <t>Entity ID: cawc_0056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Sheep Creek Water Company</t>
        </is>
      </c>
    </row>
    <row r="2">
      <c r="A2" s="2" t="inlineStr">
        <is>
          <t>Rate structure and representative bill - eAR Section 8a</t>
        </is>
      </c>
    </row>
    <row r="3">
      <c r="A3" s="2" t="inlineStr">
        <is>
          <t>Entity ID: cawc_0056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Sheep Creek Water Company</t>
        </is>
      </c>
    </row>
    <row r="2">
      <c r="A2" s="2" t="inlineStr">
        <is>
          <t>Operational metrics - plant per acre, density, terrain</t>
        </is>
      </c>
    </row>
    <row r="3">
      <c r="A3" s="2" t="inlineStr">
        <is>
          <t>Entity ID: cawc_0056   |   Fiscal year ends December 31.</t>
        </is>
      </c>
    </row>
    <row r="5">
      <c r="A5" s="6" t="inlineStr">
        <is>
          <t>Plant assets per acre</t>
        </is>
      </c>
      <c r="B5" s="7" t="n"/>
      <c r="C5" s="7" t="n"/>
    </row>
    <row r="6">
      <c r="A6" s="20" t="inlineStr">
        <is>
          <t>Service-area acres</t>
        </is>
      </c>
      <c r="B6" s="26" t="n">
        <v>7022.1</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v>1747.0859</v>
      </c>
      <c r="C8" s="9" t="n">
        <v>859.1121000000001</v>
      </c>
    </row>
    <row r="9">
      <c r="A9" s="18" t="inlineStr">
        <is>
          <t>FY2021</t>
        </is>
      </c>
      <c r="B9" s="9" t="n">
        <v>1763.3638</v>
      </c>
      <c r="C9" s="9" t="n">
        <v>837.2147</v>
      </c>
    </row>
    <row r="10">
      <c r="A10" s="18" t="inlineStr">
        <is>
          <t>FY2022</t>
        </is>
      </c>
      <c r="B10" s="9" t="n">
        <v>1825.1383</v>
      </c>
      <c r="C10" s="9" t="n">
        <v>860.7252999999999</v>
      </c>
    </row>
    <row r="11">
      <c r="A11" s="18" t="inlineStr">
        <is>
          <t>FY2024</t>
        </is>
      </c>
      <c r="B11" s="9" t="n">
        <v>2329.5859</v>
      </c>
      <c r="C11" s="9" t="n">
        <v>1294.1771</v>
      </c>
    </row>
    <row r="12" ht="156" customHeight="1">
      <c r="A12"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3" ht="81" customHeight="1">
      <c r="A13" s="3" t="inlineStr">
        <is>
          <t>Formula: gross plant per acre = Form 990 Part X line 10a (land, buildings, and equipment, gross) / SABL service-area acres; net plant per acre uses Part X line 10c (net)</t>
        </is>
      </c>
    </row>
    <row r="14" ht="66" customHeight="1">
      <c r="A14" s="3" t="inlineStr">
        <is>
          <t>Source lines: Form 990 Part X line 10a (gross) and line 10c (net); Geodesic area (WGS84 spherical excess) of the SABL service-area polygon.</t>
        </is>
      </c>
    </row>
    <row r="15" ht="96" customHeight="1">
      <c r="A15" s="3" t="inlineStr">
        <is>
          <t>Confidence: medium. This is worked out from filed figures (a ratio, or a year-to-year change), so it is one step removed from the raw numbers.. Filed gross/net plant over the measured SABL service-area acreage.</t>
        </is>
      </c>
    </row>
    <row r="17">
      <c r="A17" s="6" t="inlineStr">
        <is>
          <t>Connections per acre</t>
        </is>
      </c>
      <c r="B17" s="7" t="n"/>
      <c r="C17" s="7" t="n"/>
    </row>
    <row r="18">
      <c r="A18" s="20" t="inlineStr">
        <is>
          <t>Connections per acre</t>
        </is>
      </c>
      <c r="B18" s="19" t="n">
        <v>0.18</v>
      </c>
      <c r="C18" s="22" t="inlineStr">
        <is>
          <t>1,234 connections / 7,022.1 acres. CA State Water Board SABL SERVICE_CONNECTIONS; Geodesic area (WGS84 spherical excess) of the SABL service-area polygon.</t>
        </is>
      </c>
    </row>
  </sheetData>
  <mergeCells count="7">
    <mergeCell ref="A13:C13"/>
    <mergeCell ref="A1:C1"/>
    <mergeCell ref="A14:C14"/>
    <mergeCell ref="A3:C3"/>
    <mergeCell ref="A12:C12"/>
    <mergeCell ref="A2:C2"/>
    <mergeCell ref="A15:C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Sheep Creek Water Company</t>
        </is>
      </c>
    </row>
    <row r="2">
      <c r="A2" s="2" t="inlineStr">
        <is>
          <t>Supply and weather indicators (DWR water year)</t>
        </is>
      </c>
    </row>
    <row r="3">
      <c r="A3" s="2" t="inlineStr">
        <is>
          <t>Entity ID: cawc_0056   |   Fiscal year ends December 31.</t>
        </is>
      </c>
    </row>
    <row r="5" ht="12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WY2024</t>
        </is>
      </c>
    </row>
    <row r="8">
      <c r="A8" s="8" t="inlineStr">
        <is>
          <t>Water-year type (Sacramento Valley)</t>
        </is>
      </c>
      <c r="B8" s="27" t="inlineStr">
        <is>
          <t>Dry</t>
        </is>
      </c>
      <c r="C8" s="27" t="inlineStr">
        <is>
          <t>Critical</t>
        </is>
      </c>
      <c r="D8" s="27" t="inlineStr">
        <is>
          <t>Critical</t>
        </is>
      </c>
      <c r="E8" s="27" t="inlineStr">
        <is>
          <t>Above Normal</t>
        </is>
      </c>
    </row>
    <row r="9">
      <c r="A9" s="8" t="inlineStr">
        <is>
          <t>Peak drought, San Bernardino County</t>
        </is>
      </c>
      <c r="B9" s="27" t="inlineStr">
        <is>
          <t>D2</t>
        </is>
      </c>
      <c r="C9" s="27" t="inlineStr">
        <is>
          <t>D4</t>
        </is>
      </c>
      <c r="D9" s="27" t="inlineStr">
        <is>
          <t>D4</t>
        </is>
      </c>
      <c r="E9" s="27" t="inlineStr">
        <is>
          <t>D1</t>
        </is>
      </c>
    </row>
    <row r="10">
      <c r="A10" s="8" t="inlineStr">
        <is>
          <t>Precip, percent of normal (8-Station Index)</t>
        </is>
      </c>
      <c r="B10" s="27" t="inlineStr">
        <is>
          <t>63</t>
        </is>
      </c>
      <c r="C10" s="27" t="inlineStr">
        <is>
          <t>48</t>
        </is>
      </c>
      <c r="D10" s="27" t="inlineStr">
        <is>
          <t>86</t>
        </is>
      </c>
      <c r="E10" s="27" t="inlineStr">
        <is>
          <t>96</t>
        </is>
      </c>
    </row>
    <row r="11">
      <c r="A11" s="8" t="inlineStr">
        <is>
          <t>Snowpack, April 1 percent of average</t>
        </is>
      </c>
      <c r="B11" s="27" t="inlineStr">
        <is>
          <t>53%</t>
        </is>
      </c>
      <c r="C11" s="27" t="inlineStr">
        <is>
          <t>59%</t>
        </is>
      </c>
      <c r="D11" s="27" t="inlineStr">
        <is>
          <t>38%</t>
        </is>
      </c>
      <c r="E11" s="27" t="inlineStr">
        <is>
          <t>110%</t>
        </is>
      </c>
    </row>
    <row r="12">
      <c r="A12" s="8" t="inlineStr">
        <is>
          <t>State Water Project allocation</t>
        </is>
      </c>
      <c r="B12" s="27" t="inlineStr">
        <is>
          <t>20%</t>
        </is>
      </c>
      <c r="C12" s="27" t="inlineStr">
        <is>
          <t>5%</t>
        </is>
      </c>
      <c r="D12" s="27" t="inlineStr">
        <is>
          <t>5%</t>
        </is>
      </c>
      <c r="E12" s="27" t="inlineStr">
        <is>
          <t>40%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Sheep Creek Water Company</t>
        </is>
      </c>
    </row>
    <row r="2">
      <c r="A2" s="2" t="inlineStr">
        <is>
          <t>How this was built - forensic lineage</t>
        </is>
      </c>
    </row>
    <row r="3">
      <c r="A3" s="2" t="inlineStr">
        <is>
          <t>Entity ID: cawc_0056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99"/>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Sheep Creek Water Company</t>
        </is>
      </c>
    </row>
    <row r="2">
      <c r="A2" s="2" t="inlineStr">
        <is>
          <t>Sources &amp; audit - full provenance and tie-outs (kept off the statements so they read clean)</t>
        </is>
      </c>
    </row>
    <row r="3">
      <c r="A3" s="2" t="inlineStr">
        <is>
          <t>Entity ID: cawc_0056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8"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f67964bb-b075-4f69-8009-2176c47e2962</t>
        </is>
      </c>
      <c r="F10" s="8" t="inlineStr">
        <is>
          <t>202123469349300202</t>
        </is>
      </c>
      <c r="G10" s="8" t="inlineStr">
        <is>
          <t>claude-opus-5</t>
        </is>
      </c>
      <c r="H10" s="8" t="inlineStr">
        <is>
          <t>2026-09-16T21:34:13+00:00</t>
        </is>
      </c>
      <c r="I10" s="8" t="inlineStr">
        <is>
          <t>https://apps.irs.gov/pub/epostcard/990/xml/2021/2021_TEOS_XML_01A.zip#202123469349300202_public.xml</t>
        </is>
      </c>
    </row>
    <row r="11">
      <c r="A11" s="27" t="inlineStr">
        <is>
          <t>FY2021</t>
        </is>
      </c>
      <c r="B11" s="8" t="inlineStr">
        <is>
          <t>2021-12-31</t>
        </is>
      </c>
      <c r="C11" s="8" t="inlineStr">
        <is>
          <t>990</t>
        </is>
      </c>
      <c r="D11" s="8" t="inlineStr">
        <is>
          <t>high</t>
        </is>
      </c>
      <c r="E11" s="8" t="inlineStr">
        <is>
          <t>888b25bf-b8ce-45fe-82de-d9b7db761e29</t>
        </is>
      </c>
      <c r="F11" s="8" t="inlineStr">
        <is>
          <t>202202699349300200</t>
        </is>
      </c>
      <c r="G11" s="8" t="inlineStr">
        <is>
          <t>claude-opus-5</t>
        </is>
      </c>
      <c r="H11" s="8" t="inlineStr">
        <is>
          <t>2026-09-16T21:34:13+00:00</t>
        </is>
      </c>
      <c r="I11" s="8" t="inlineStr">
        <is>
          <t>https://apps.irs.gov/pub/epostcard/990/xml/2022/2022_TEOS_XML_01A.zip#202202699349300200_public.xml</t>
        </is>
      </c>
    </row>
    <row r="12">
      <c r="A12" s="27" t="inlineStr">
        <is>
          <t>FY2022</t>
        </is>
      </c>
      <c r="B12" s="8" t="inlineStr">
        <is>
          <t>2022-12-31</t>
        </is>
      </c>
      <c r="C12" s="8" t="inlineStr">
        <is>
          <t>990</t>
        </is>
      </c>
      <c r="D12" s="8" t="inlineStr">
        <is>
          <t>high</t>
        </is>
      </c>
      <c r="E12" s="8" t="inlineStr">
        <is>
          <t>cacca6fa-c92c-4f3a-8fb4-e031af42f099</t>
        </is>
      </c>
      <c r="F12" s="8" t="inlineStr">
        <is>
          <t>202323099349300657</t>
        </is>
      </c>
      <c r="G12" s="8" t="inlineStr">
        <is>
          <t>claude-opus-5</t>
        </is>
      </c>
      <c r="H12" s="8" t="inlineStr">
        <is>
          <t>2026-09-16T21:34:13+00:00</t>
        </is>
      </c>
      <c r="I12" s="8" t="inlineStr">
        <is>
          <t>https://apps.irs.gov/pub/epostcard/990/xml/2023/2023_TEOS_XML_11A.zip#202323099349300657_public.xml</t>
        </is>
      </c>
    </row>
    <row r="13">
      <c r="A13" s="27" t="inlineStr">
        <is>
          <t>FY2024</t>
        </is>
      </c>
      <c r="B13" s="8" t="inlineStr">
        <is>
          <t>2024-12-31</t>
        </is>
      </c>
      <c r="C13" s="8" t="inlineStr">
        <is>
          <t>990</t>
        </is>
      </c>
      <c r="D13" s="8" t="inlineStr">
        <is>
          <t>high</t>
        </is>
      </c>
      <c r="E13" s="8" t="inlineStr">
        <is>
          <t>3fe22fc0-a8af-4577-9177-7fd527410744</t>
        </is>
      </c>
      <c r="F13" s="8" t="inlineStr">
        <is>
          <t>202543209349301164</t>
        </is>
      </c>
      <c r="G13" s="8" t="inlineStr">
        <is>
          <t>claude-opus-5</t>
        </is>
      </c>
      <c r="H13" s="8" t="inlineStr">
        <is>
          <t>2026-09-16T21:34:13+00:00</t>
        </is>
      </c>
      <c r="I13" s="8" t="inlineStr">
        <is>
          <t>https://apps.irs.gov/pub/epostcard/990/xml/2025/2025_TEOS_XML_11B.zip#202543209349301164_public.xml</t>
        </is>
      </c>
    </row>
    <row r="15">
      <c r="A15" s="28"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Financial Statements</t>
        </is>
      </c>
      <c r="B17" s="8" t="inlineStr">
        <is>
          <t>E73</t>
        </is>
      </c>
      <c r="C17" s="8" t="inlineStr">
        <is>
          <t>11a. Gross income from members or shareholders</t>
        </is>
      </c>
      <c r="D17" s="8" t="inlineStr">
        <is>
          <t>11a</t>
        </is>
      </c>
      <c r="E17" s="8" t="inlineStr">
        <is>
          <t>part_v_other_irs_filings.members_and_shareholders_gross_income</t>
        </is>
      </c>
      <c r="F17" s="8" t="inlineStr">
        <is>
          <t>high</t>
        </is>
      </c>
      <c r="G17" s="9" t="n">
        <v>1703978</v>
      </c>
    </row>
    <row r="18">
      <c r="A18" s="8" t="inlineStr">
        <is>
          <t>Financial Statements</t>
        </is>
      </c>
      <c r="B18" s="8" t="inlineStr">
        <is>
          <t>E74</t>
        </is>
      </c>
      <c r="C18" s="8" t="inlineStr">
        <is>
          <t>11b. Gross income from other sources</t>
        </is>
      </c>
      <c r="D18" s="8" t="inlineStr">
        <is>
          <t>11b</t>
        </is>
      </c>
      <c r="E18" s="8" t="inlineStr">
        <is>
          <t>part_v_other_irs_filings.other_sources_gross_income</t>
        </is>
      </c>
      <c r="F18" s="8" t="inlineStr">
        <is>
          <t>high</t>
        </is>
      </c>
      <c r="G18" s="9" t="n">
        <v>15860</v>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27625</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B8</t>
        </is>
      </c>
      <c r="C23" s="8" t="inlineStr">
        <is>
          <t>2g. Total program service revenue</t>
        </is>
      </c>
      <c r="D23" s="8" t="inlineStr">
        <is>
          <t>2g</t>
        </is>
      </c>
      <c r="E23" s="8" t="inlineStr">
        <is>
          <t>part_viii_revenue.total_program_service_revenue</t>
        </is>
      </c>
      <c r="F23" s="8" t="inlineStr">
        <is>
          <t>high</t>
        </is>
      </c>
      <c r="G23" s="9" t="n">
        <v>0</v>
      </c>
    </row>
    <row r="24">
      <c r="A24" s="8" t="inlineStr">
        <is>
          <t>Revenue (detail)</t>
        </is>
      </c>
      <c r="B24" s="8" t="inlineStr">
        <is>
          <t>C8</t>
        </is>
      </c>
      <c r="C24" s="8" t="inlineStr">
        <is>
          <t>2g. Total program service revenue</t>
        </is>
      </c>
      <c r="D24" s="8" t="inlineStr">
        <is>
          <t>2g</t>
        </is>
      </c>
      <c r="E24" s="8" t="inlineStr">
        <is>
          <t>part_viii_revenue.total_program_service_revenue</t>
        </is>
      </c>
      <c r="F24" s="8" t="inlineStr">
        <is>
          <t>high</t>
        </is>
      </c>
      <c r="G24" s="9" t="n">
        <v>0</v>
      </c>
    </row>
    <row r="25">
      <c r="A25" s="8" t="inlineStr">
        <is>
          <t>Revenue (detail)</t>
        </is>
      </c>
      <c r="B25" s="8" t="inlineStr">
        <is>
          <t>D8</t>
        </is>
      </c>
      <c r="C25" s="8" t="inlineStr">
        <is>
          <t>2g. Total program service revenue</t>
        </is>
      </c>
      <c r="D25" s="8" t="inlineStr">
        <is>
          <t>2g</t>
        </is>
      </c>
      <c r="E25" s="8" t="inlineStr">
        <is>
          <t>part_viii_revenue.total_program_service_revenue</t>
        </is>
      </c>
      <c r="F25" s="8" t="inlineStr">
        <is>
          <t>high</t>
        </is>
      </c>
      <c r="G25" s="9" t="n">
        <v>0</v>
      </c>
    </row>
    <row r="26">
      <c r="A26" s="8" t="inlineStr">
        <is>
          <t>Revenue (detail)</t>
        </is>
      </c>
      <c r="B26" s="8" t="inlineStr">
        <is>
          <t>E8</t>
        </is>
      </c>
      <c r="C26" s="8" t="inlineStr">
        <is>
          <t>2g. Total program service revenue</t>
        </is>
      </c>
      <c r="D26" s="8" t="inlineStr">
        <is>
          <t>2g</t>
        </is>
      </c>
      <c r="E26" s="8" t="inlineStr">
        <is>
          <t>part_viii_revenue.total_program_service_revenue</t>
        </is>
      </c>
      <c r="F26" s="8" t="inlineStr">
        <is>
          <t>high</t>
        </is>
      </c>
      <c r="G26" s="9" t="n">
        <v>1692555</v>
      </c>
    </row>
    <row r="27">
      <c r="A27" s="8" t="inlineStr">
        <is>
          <t>Revenue (detail)</t>
        </is>
      </c>
      <c r="B27" s="8" t="inlineStr">
        <is>
          <t>B9</t>
        </is>
      </c>
      <c r="C27" s="8" t="inlineStr">
        <is>
          <t>3. Investment income</t>
        </is>
      </c>
      <c r="D27" s="8" t="inlineStr">
        <is>
          <t>3</t>
        </is>
      </c>
      <c r="E27" s="8" t="inlineStr">
        <is>
          <t>part_viii_revenue.investment_income</t>
        </is>
      </c>
      <c r="F27" s="8" t="inlineStr">
        <is>
          <t>high</t>
        </is>
      </c>
      <c r="G27" s="9" t="n">
        <v>217</v>
      </c>
    </row>
    <row r="28">
      <c r="A28" s="8" t="inlineStr">
        <is>
          <t>Revenue (detail)</t>
        </is>
      </c>
      <c r="B28" s="8" t="inlineStr">
        <is>
          <t>C9</t>
        </is>
      </c>
      <c r="C28" s="8" t="inlineStr">
        <is>
          <t>3. Investment income</t>
        </is>
      </c>
      <c r="D28" s="8" t="inlineStr">
        <is>
          <t>3</t>
        </is>
      </c>
      <c r="E28" s="8" t="inlineStr">
        <is>
          <t>part_viii_revenue.investment_income</t>
        </is>
      </c>
      <c r="F28" s="8" t="inlineStr">
        <is>
          <t>high</t>
        </is>
      </c>
      <c r="G28" s="9" t="n">
        <v>2162</v>
      </c>
    </row>
    <row r="29">
      <c r="A29" s="8" t="inlineStr">
        <is>
          <t>Revenue (detail)</t>
        </is>
      </c>
      <c r="B29" s="8" t="inlineStr">
        <is>
          <t>D9</t>
        </is>
      </c>
      <c r="C29" s="8" t="inlineStr">
        <is>
          <t>3. Investment income</t>
        </is>
      </c>
      <c r="D29" s="8" t="inlineStr">
        <is>
          <t>3</t>
        </is>
      </c>
      <c r="E29" s="8" t="inlineStr">
        <is>
          <t>part_viii_revenue.investment_income</t>
        </is>
      </c>
      <c r="F29" s="8" t="inlineStr">
        <is>
          <t>high</t>
        </is>
      </c>
      <c r="G29" s="9" t="n">
        <v>662</v>
      </c>
    </row>
    <row r="30">
      <c r="A30" s="8" t="inlineStr">
        <is>
          <t>Revenue (detail)</t>
        </is>
      </c>
      <c r="B30" s="8" t="inlineStr">
        <is>
          <t>E9</t>
        </is>
      </c>
      <c r="C30" s="8" t="inlineStr">
        <is>
          <t>3. Investment income</t>
        </is>
      </c>
      <c r="D30" s="8" t="inlineStr">
        <is>
          <t>3</t>
        </is>
      </c>
      <c r="E30" s="8" t="inlineStr">
        <is>
          <t>part_viii_revenue.investment_income</t>
        </is>
      </c>
      <c r="F30" s="8" t="inlineStr">
        <is>
          <t>high</t>
        </is>
      </c>
      <c r="G30" s="9" t="n">
        <v>10870</v>
      </c>
    </row>
    <row r="31">
      <c r="A31" s="8" t="inlineStr">
        <is>
          <t>Revenue (detail)</t>
        </is>
      </c>
      <c r="B31" s="8" t="inlineStr">
        <is>
          <t>B10</t>
        </is>
      </c>
      <c r="C31" s="8" t="inlineStr">
        <is>
          <t>6d. Net rental income</t>
        </is>
      </c>
      <c r="D31" s="8" t="inlineStr">
        <is>
          <t>6d</t>
        </is>
      </c>
      <c r="E31" s="8" t="inlineStr">
        <is>
          <t>part_viii_revenue.net_rental_income</t>
        </is>
      </c>
      <c r="F31" s="8" t="inlineStr">
        <is>
          <t>high</t>
        </is>
      </c>
      <c r="G31" s="9" t="n">
        <v>0</v>
      </c>
    </row>
    <row r="32">
      <c r="A32" s="8" t="inlineStr">
        <is>
          <t>Revenue (detail)</t>
        </is>
      </c>
      <c r="B32" s="8" t="inlineStr">
        <is>
          <t>C10</t>
        </is>
      </c>
      <c r="C32" s="8" t="inlineStr">
        <is>
          <t>6d. Net rental income</t>
        </is>
      </c>
      <c r="D32" s="8" t="inlineStr">
        <is>
          <t>6d</t>
        </is>
      </c>
      <c r="E32" s="8" t="inlineStr">
        <is>
          <t>part_viii_revenue.net_rental_income</t>
        </is>
      </c>
      <c r="F32" s="8" t="inlineStr">
        <is>
          <t>high</t>
        </is>
      </c>
      <c r="G32" s="9" t="n">
        <v>0</v>
      </c>
    </row>
    <row r="33">
      <c r="A33" s="8" t="inlineStr">
        <is>
          <t>Revenue (detail)</t>
        </is>
      </c>
      <c r="B33" s="8" t="inlineStr">
        <is>
          <t>D10</t>
        </is>
      </c>
      <c r="C33" s="8" t="inlineStr">
        <is>
          <t>6d. Net rental income</t>
        </is>
      </c>
      <c r="D33" s="8" t="inlineStr">
        <is>
          <t>6d</t>
        </is>
      </c>
      <c r="E33" s="8" t="inlineStr">
        <is>
          <t>part_viii_revenue.net_rental_income</t>
        </is>
      </c>
      <c r="F33" s="8" t="inlineStr">
        <is>
          <t>high</t>
        </is>
      </c>
      <c r="G33" s="9" t="n">
        <v>0</v>
      </c>
    </row>
    <row r="34">
      <c r="A34" s="8" t="inlineStr">
        <is>
          <t>Revenue (detail)</t>
        </is>
      </c>
      <c r="B34" s="8" t="inlineStr">
        <is>
          <t>E10</t>
        </is>
      </c>
      <c r="C34" s="8" t="inlineStr">
        <is>
          <t>6d. Net rental income</t>
        </is>
      </c>
      <c r="D34" s="8" t="inlineStr">
        <is>
          <t>6d</t>
        </is>
      </c>
      <c r="E34" s="8" t="inlineStr">
        <is>
          <t>part_viii_revenue.net_rental_income</t>
        </is>
      </c>
      <c r="F34" s="8" t="inlineStr">
        <is>
          <t>high</t>
        </is>
      </c>
      <c r="G34" s="9" t="n">
        <v>0</v>
      </c>
    </row>
    <row r="35">
      <c r="A35" s="8" t="inlineStr">
        <is>
          <t>Revenue (detail)</t>
        </is>
      </c>
      <c r="B35" s="8" t="inlineStr">
        <is>
          <t>B11</t>
        </is>
      </c>
      <c r="C35" s="8" t="inlineStr">
        <is>
          <t>7d. Net gain/(loss) from investment sales</t>
        </is>
      </c>
      <c r="D35" s="8" t="inlineStr">
        <is>
          <t>7d</t>
        </is>
      </c>
      <c r="E35" s="8" t="inlineStr">
        <is>
          <t>part_viii_revenue.net_gain_or_loss_investments</t>
        </is>
      </c>
      <c r="F35" s="8" t="inlineStr">
        <is>
          <t>high</t>
        </is>
      </c>
      <c r="G35" s="9" t="n">
        <v>0</v>
      </c>
    </row>
    <row r="36">
      <c r="A36" s="8" t="inlineStr">
        <is>
          <t>Revenue (detail)</t>
        </is>
      </c>
      <c r="B36" s="8" t="inlineStr">
        <is>
          <t>C11</t>
        </is>
      </c>
      <c r="C36" s="8" t="inlineStr">
        <is>
          <t>7d. Net gain/(loss) from investment sales</t>
        </is>
      </c>
      <c r="D36" s="8" t="inlineStr">
        <is>
          <t>7d</t>
        </is>
      </c>
      <c r="E36" s="8" t="inlineStr">
        <is>
          <t>part_viii_revenue.net_gain_or_loss_investments</t>
        </is>
      </c>
      <c r="F36" s="8" t="inlineStr">
        <is>
          <t>high</t>
        </is>
      </c>
      <c r="G36" s="9" t="n">
        <v>0</v>
      </c>
    </row>
    <row r="37">
      <c r="A37" s="8" t="inlineStr">
        <is>
          <t>Revenue (detail)</t>
        </is>
      </c>
      <c r="B37" s="8" t="inlineStr">
        <is>
          <t>D11</t>
        </is>
      </c>
      <c r="C37" s="8" t="inlineStr">
        <is>
          <t>7d. Net gain/(loss) from investment sales</t>
        </is>
      </c>
      <c r="D37" s="8" t="inlineStr">
        <is>
          <t>7d</t>
        </is>
      </c>
      <c r="E37" s="8" t="inlineStr">
        <is>
          <t>part_viii_revenue.net_gain_or_loss_investments</t>
        </is>
      </c>
      <c r="F37" s="8" t="inlineStr">
        <is>
          <t>high</t>
        </is>
      </c>
      <c r="G37" s="9" t="n">
        <v>2091</v>
      </c>
    </row>
    <row r="38">
      <c r="A38" s="8" t="inlineStr">
        <is>
          <t>Revenue (detail)</t>
        </is>
      </c>
      <c r="B38" s="8" t="inlineStr">
        <is>
          <t>E11</t>
        </is>
      </c>
      <c r="C38" s="8" t="inlineStr">
        <is>
          <t>7d. Net gain/(loss) from investment sales</t>
        </is>
      </c>
      <c r="D38" s="8" t="inlineStr">
        <is>
          <t>7d</t>
        </is>
      </c>
      <c r="E38" s="8" t="inlineStr">
        <is>
          <t>part_viii_revenue.net_gain_or_loss_investments</t>
        </is>
      </c>
      <c r="F38" s="8" t="inlineStr">
        <is>
          <t>high</t>
        </is>
      </c>
      <c r="G38" s="9" t="n">
        <v>0</v>
      </c>
    </row>
    <row r="39">
      <c r="A39" s="8" t="inlineStr">
        <is>
          <t>Revenue (detail)</t>
        </is>
      </c>
      <c r="B39" s="8" t="inlineStr">
        <is>
          <t>B12</t>
        </is>
      </c>
      <c r="C39" s="8" t="inlineStr">
        <is>
          <t>11e. Other revenue</t>
        </is>
      </c>
      <c r="D39" s="8" t="inlineStr">
        <is>
          <t>11e</t>
        </is>
      </c>
      <c r="E39" s="8" t="inlineStr">
        <is>
          <t>part_viii_revenue.other_revenue_total</t>
        </is>
      </c>
      <c r="F39" s="8" t="inlineStr">
        <is>
          <t>high</t>
        </is>
      </c>
      <c r="G39" s="9" t="n">
        <v>10806</v>
      </c>
    </row>
    <row r="40">
      <c r="A40" s="8" t="inlineStr">
        <is>
          <t>Revenue (detail)</t>
        </is>
      </c>
      <c r="B40" s="8" t="inlineStr">
        <is>
          <t>C12</t>
        </is>
      </c>
      <c r="C40" s="8" t="inlineStr">
        <is>
          <t>11e. Other revenue</t>
        </is>
      </c>
      <c r="D40" s="8" t="inlineStr">
        <is>
          <t>11e</t>
        </is>
      </c>
      <c r="E40" s="8" t="inlineStr">
        <is>
          <t>part_viii_revenue.other_revenue_total</t>
        </is>
      </c>
      <c r="F40" s="8" t="inlineStr">
        <is>
          <t>high</t>
        </is>
      </c>
      <c r="G40" s="9" t="n">
        <v>12204</v>
      </c>
    </row>
    <row r="41">
      <c r="A41" s="8" t="inlineStr">
        <is>
          <t>Revenue (detail)</t>
        </is>
      </c>
      <c r="B41" s="8" t="inlineStr">
        <is>
          <t>D12</t>
        </is>
      </c>
      <c r="C41" s="8" t="inlineStr">
        <is>
          <t>11e. Other revenue</t>
        </is>
      </c>
      <c r="D41" s="8" t="inlineStr">
        <is>
          <t>11e</t>
        </is>
      </c>
      <c r="E41" s="8" t="inlineStr">
        <is>
          <t>part_viii_revenue.other_revenue_total</t>
        </is>
      </c>
      <c r="F41" s="8" t="inlineStr">
        <is>
          <t>high</t>
        </is>
      </c>
      <c r="G41" s="9" t="n">
        <v>23455</v>
      </c>
    </row>
    <row r="42">
      <c r="A42" s="8" t="inlineStr">
        <is>
          <t>Revenue (detail)</t>
        </is>
      </c>
      <c r="B42" s="8" t="inlineStr">
        <is>
          <t>E12</t>
        </is>
      </c>
      <c r="C42" s="8" t="inlineStr">
        <is>
          <t>11e. Other revenue</t>
        </is>
      </c>
      <c r="D42" s="8" t="inlineStr">
        <is>
          <t>11e</t>
        </is>
      </c>
      <c r="E42" s="8" t="inlineStr">
        <is>
          <t>part_viii_revenue.other_revenue_total</t>
        </is>
      </c>
      <c r="F42" s="8" t="inlineStr">
        <is>
          <t>high</t>
        </is>
      </c>
      <c r="G42" s="9" t="n">
        <v>16414</v>
      </c>
    </row>
    <row r="43">
      <c r="A43" s="8" t="inlineStr">
        <is>
          <t>Operating expenses (detail)</t>
        </is>
      </c>
      <c r="B43" s="8" t="inlineStr">
        <is>
          <t>B7</t>
        </is>
      </c>
      <c r="C43" s="8" t="inlineStr">
        <is>
          <t>1. Grants to domestic organizations and governments</t>
        </is>
      </c>
      <c r="D43" s="8" t="inlineStr">
        <is>
          <t>1</t>
        </is>
      </c>
      <c r="E43" s="8" t="inlineStr">
        <is>
          <t>part_ix_expenses.grants_domestic_orgs</t>
        </is>
      </c>
      <c r="F43" s="8" t="inlineStr">
        <is>
          <t>high</t>
        </is>
      </c>
      <c r="G43" s="9" t="n">
        <v>0</v>
      </c>
    </row>
    <row r="44">
      <c r="A44" s="8" t="inlineStr">
        <is>
          <t>Operating expenses (detail)</t>
        </is>
      </c>
      <c r="B44" s="8" t="inlineStr">
        <is>
          <t>C7</t>
        </is>
      </c>
      <c r="C44" s="8" t="inlineStr">
        <is>
          <t>1. Grants to domestic organizations and governments</t>
        </is>
      </c>
      <c r="D44" s="8" t="inlineStr">
        <is>
          <t>1</t>
        </is>
      </c>
      <c r="E44" s="8" t="inlineStr">
        <is>
          <t>part_ix_expenses.grants_domestic_orgs</t>
        </is>
      </c>
      <c r="F44" s="8" t="inlineStr">
        <is>
          <t>high</t>
        </is>
      </c>
      <c r="G44" s="9" t="n">
        <v>0</v>
      </c>
    </row>
    <row r="45">
      <c r="A45" s="8" t="inlineStr">
        <is>
          <t>Operating expenses (detail)</t>
        </is>
      </c>
      <c r="B45" s="8" t="inlineStr">
        <is>
          <t>D7</t>
        </is>
      </c>
      <c r="C45" s="8" t="inlineStr">
        <is>
          <t>1. Grants to domestic organizations and governments</t>
        </is>
      </c>
      <c r="D45" s="8" t="inlineStr">
        <is>
          <t>1</t>
        </is>
      </c>
      <c r="E45" s="8" t="inlineStr">
        <is>
          <t>part_ix_expenses.grants_domestic_orgs</t>
        </is>
      </c>
      <c r="F45" s="8" t="inlineStr">
        <is>
          <t>high</t>
        </is>
      </c>
      <c r="G45" s="9" t="n">
        <v>0</v>
      </c>
    </row>
    <row r="46">
      <c r="A46" s="8" t="inlineStr">
        <is>
          <t>Operating expenses (detail)</t>
        </is>
      </c>
      <c r="B46" s="8" t="inlineStr">
        <is>
          <t>E7</t>
        </is>
      </c>
      <c r="C46" s="8" t="inlineStr">
        <is>
          <t>1. Grants to domestic organizations and governments</t>
        </is>
      </c>
      <c r="D46" s="8" t="inlineStr">
        <is>
          <t>1</t>
        </is>
      </c>
      <c r="E46" s="8" t="inlineStr">
        <is>
          <t>part_ix_expenses.grants_domestic_orgs</t>
        </is>
      </c>
      <c r="F46" s="8" t="inlineStr">
        <is>
          <t>high</t>
        </is>
      </c>
      <c r="G46" s="9" t="n">
        <v>0</v>
      </c>
    </row>
    <row r="47">
      <c r="A47" s="8" t="inlineStr">
        <is>
          <t>Operating expenses (detail)</t>
        </is>
      </c>
      <c r="B47" s="8" t="inlineStr">
        <is>
          <t>B8</t>
        </is>
      </c>
      <c r="C47" s="8" t="inlineStr">
        <is>
          <t>2. Grants to domestic individuals</t>
        </is>
      </c>
      <c r="D47" s="8" t="inlineStr">
        <is>
          <t>2</t>
        </is>
      </c>
      <c r="E47" s="8" t="inlineStr">
        <is>
          <t>part_ix_expenses.grants_domestic_individuals</t>
        </is>
      </c>
      <c r="F47" s="8" t="inlineStr">
        <is>
          <t>high</t>
        </is>
      </c>
      <c r="G47" s="9" t="n">
        <v>0</v>
      </c>
    </row>
    <row r="48">
      <c r="A48" s="8" t="inlineStr">
        <is>
          <t>Operating expenses (detail)</t>
        </is>
      </c>
      <c r="B48" s="8" t="inlineStr">
        <is>
          <t>C8</t>
        </is>
      </c>
      <c r="C48" s="8" t="inlineStr">
        <is>
          <t>2. Grants to domestic individuals</t>
        </is>
      </c>
      <c r="D48" s="8" t="inlineStr">
        <is>
          <t>2</t>
        </is>
      </c>
      <c r="E48" s="8" t="inlineStr">
        <is>
          <t>part_ix_expenses.grants_domestic_individuals</t>
        </is>
      </c>
      <c r="F48" s="8" t="inlineStr">
        <is>
          <t>high</t>
        </is>
      </c>
      <c r="G48" s="9" t="n">
        <v>0</v>
      </c>
    </row>
    <row r="49">
      <c r="A49" s="8" t="inlineStr">
        <is>
          <t>Operating expenses (detail)</t>
        </is>
      </c>
      <c r="B49" s="8" t="inlineStr">
        <is>
          <t>D8</t>
        </is>
      </c>
      <c r="C49" s="8" t="inlineStr">
        <is>
          <t>2. Grants to domestic individuals</t>
        </is>
      </c>
      <c r="D49" s="8" t="inlineStr">
        <is>
          <t>2</t>
        </is>
      </c>
      <c r="E49" s="8" t="inlineStr">
        <is>
          <t>part_ix_expenses.grants_domestic_individuals</t>
        </is>
      </c>
      <c r="F49" s="8" t="inlineStr">
        <is>
          <t>high</t>
        </is>
      </c>
      <c r="G49" s="9" t="n">
        <v>0</v>
      </c>
    </row>
    <row r="50">
      <c r="A50" s="8" t="inlineStr">
        <is>
          <t>Operating expenses (detail)</t>
        </is>
      </c>
      <c r="B50" s="8" t="inlineStr">
        <is>
          <t>E8</t>
        </is>
      </c>
      <c r="C50" s="8" t="inlineStr">
        <is>
          <t>2. Grants to domestic individuals</t>
        </is>
      </c>
      <c r="D50" s="8" t="inlineStr">
        <is>
          <t>2</t>
        </is>
      </c>
      <c r="E50" s="8" t="inlineStr">
        <is>
          <t>part_ix_expenses.grants_domestic_individuals</t>
        </is>
      </c>
      <c r="F50" s="8" t="inlineStr">
        <is>
          <t>high</t>
        </is>
      </c>
      <c r="G50" s="9" t="n">
        <v>0</v>
      </c>
    </row>
    <row r="51">
      <c r="A51" s="8" t="inlineStr">
        <is>
          <t>Operating expenses (detail)</t>
        </is>
      </c>
      <c r="B51" s="8" t="inlineStr">
        <is>
          <t>B9</t>
        </is>
      </c>
      <c r="C51" s="8" t="inlineStr">
        <is>
          <t>3. Grants to foreign organizations and individuals</t>
        </is>
      </c>
      <c r="D51" s="8" t="inlineStr">
        <is>
          <t>3</t>
        </is>
      </c>
      <c r="E51" s="8" t="inlineStr">
        <is>
          <t>part_ix_expenses.foreign_grants</t>
        </is>
      </c>
      <c r="F51" s="8" t="inlineStr">
        <is>
          <t>high</t>
        </is>
      </c>
      <c r="G51" s="9" t="n">
        <v>0</v>
      </c>
    </row>
    <row r="52">
      <c r="A52" s="8" t="inlineStr">
        <is>
          <t>Operating expenses (detail)</t>
        </is>
      </c>
      <c r="B52" s="8" t="inlineStr">
        <is>
          <t>C9</t>
        </is>
      </c>
      <c r="C52" s="8" t="inlineStr">
        <is>
          <t>3. Grants to foreign organizations and individuals</t>
        </is>
      </c>
      <c r="D52" s="8" t="inlineStr">
        <is>
          <t>3</t>
        </is>
      </c>
      <c r="E52" s="8" t="inlineStr">
        <is>
          <t>part_ix_expenses.foreign_grants</t>
        </is>
      </c>
      <c r="F52" s="8" t="inlineStr">
        <is>
          <t>high</t>
        </is>
      </c>
      <c r="G52" s="9" t="n">
        <v>0</v>
      </c>
    </row>
    <row r="53">
      <c r="A53" s="8" t="inlineStr">
        <is>
          <t>Operating expenses (detail)</t>
        </is>
      </c>
      <c r="B53" s="8" t="inlineStr">
        <is>
          <t>D9</t>
        </is>
      </c>
      <c r="C53" s="8" t="inlineStr">
        <is>
          <t>3. Grants to foreign organizations and individuals</t>
        </is>
      </c>
      <c r="D53" s="8" t="inlineStr">
        <is>
          <t>3</t>
        </is>
      </c>
      <c r="E53" s="8" t="inlineStr">
        <is>
          <t>part_ix_expenses.foreign_grants</t>
        </is>
      </c>
      <c r="F53" s="8" t="inlineStr">
        <is>
          <t>high</t>
        </is>
      </c>
      <c r="G53" s="9" t="n">
        <v>0</v>
      </c>
    </row>
    <row r="54">
      <c r="A54" s="8" t="inlineStr">
        <is>
          <t>Operating expenses (detail)</t>
        </is>
      </c>
      <c r="B54" s="8" t="inlineStr">
        <is>
          <t>E9</t>
        </is>
      </c>
      <c r="C54" s="8" t="inlineStr">
        <is>
          <t>3. Grants to foreign organizations and individuals</t>
        </is>
      </c>
      <c r="D54" s="8" t="inlineStr">
        <is>
          <t>3</t>
        </is>
      </c>
      <c r="E54" s="8" t="inlineStr">
        <is>
          <t>part_ix_expenses.foreign_grants</t>
        </is>
      </c>
      <c r="F54" s="8" t="inlineStr">
        <is>
          <t>high</t>
        </is>
      </c>
      <c r="G54" s="9" t="n">
        <v>0</v>
      </c>
    </row>
    <row r="55">
      <c r="A55" s="8" t="inlineStr">
        <is>
          <t>Operating expenses (detail)</t>
        </is>
      </c>
      <c r="B55" s="8" t="inlineStr">
        <is>
          <t>B10</t>
        </is>
      </c>
      <c r="C55" s="8" t="inlineStr">
        <is>
          <t>4. Benefits paid to or for members</t>
        </is>
      </c>
      <c r="D55" s="8" t="inlineStr">
        <is>
          <t>4</t>
        </is>
      </c>
      <c r="E55" s="8" t="inlineStr">
        <is>
          <t>part_ix_expenses.benefits_to_members</t>
        </is>
      </c>
      <c r="F55" s="8" t="inlineStr">
        <is>
          <t>high</t>
        </is>
      </c>
      <c r="G55" s="9" t="n">
        <v>0</v>
      </c>
    </row>
    <row r="56">
      <c r="A56" s="8" t="inlineStr">
        <is>
          <t>Operating expenses (detail)</t>
        </is>
      </c>
      <c r="B56" s="8" t="inlineStr">
        <is>
          <t>C10</t>
        </is>
      </c>
      <c r="C56" s="8" t="inlineStr">
        <is>
          <t>4. Benefits paid to or for members</t>
        </is>
      </c>
      <c r="D56" s="8" t="inlineStr">
        <is>
          <t>4</t>
        </is>
      </c>
      <c r="E56" s="8" t="inlineStr">
        <is>
          <t>part_ix_expenses.benefits_to_members</t>
        </is>
      </c>
      <c r="F56" s="8" t="inlineStr">
        <is>
          <t>high</t>
        </is>
      </c>
      <c r="G56" s="9" t="n">
        <v>0</v>
      </c>
    </row>
    <row r="57">
      <c r="A57" s="8" t="inlineStr">
        <is>
          <t>Operating expenses (detail)</t>
        </is>
      </c>
      <c r="B57" s="8" t="inlineStr">
        <is>
          <t>D10</t>
        </is>
      </c>
      <c r="C57" s="8" t="inlineStr">
        <is>
          <t>4. Benefits paid to or for members</t>
        </is>
      </c>
      <c r="D57" s="8" t="inlineStr">
        <is>
          <t>4</t>
        </is>
      </c>
      <c r="E57" s="8" t="inlineStr">
        <is>
          <t>part_ix_expenses.benefits_to_members</t>
        </is>
      </c>
      <c r="F57" s="8" t="inlineStr">
        <is>
          <t>high</t>
        </is>
      </c>
      <c r="G57" s="9" t="n">
        <v>0</v>
      </c>
    </row>
    <row r="58">
      <c r="A58" s="8" t="inlineStr">
        <is>
          <t>Operating expenses (detail)</t>
        </is>
      </c>
      <c r="B58" s="8" t="inlineStr">
        <is>
          <t>E10</t>
        </is>
      </c>
      <c r="C58" s="8" t="inlineStr">
        <is>
          <t>4. Benefits paid to or for members</t>
        </is>
      </c>
      <c r="D58" s="8" t="inlineStr">
        <is>
          <t>4</t>
        </is>
      </c>
      <c r="E58" s="8" t="inlineStr">
        <is>
          <t>part_ix_expenses.benefits_to_members</t>
        </is>
      </c>
      <c r="F58" s="8" t="inlineStr">
        <is>
          <t>high</t>
        </is>
      </c>
      <c r="G58" s="9" t="n">
        <v>0</v>
      </c>
    </row>
    <row r="59">
      <c r="A59" s="8" t="inlineStr">
        <is>
          <t>Operating expenses (detail)</t>
        </is>
      </c>
      <c r="B59" s="8" t="inlineStr">
        <is>
          <t>B11</t>
        </is>
      </c>
      <c r="C59" s="8" t="inlineStr">
        <is>
          <t>5. Compensation of current officers, directors, trustees</t>
        </is>
      </c>
      <c r="D59" s="8" t="inlineStr">
        <is>
          <t>5</t>
        </is>
      </c>
      <c r="E59" s="8" t="inlineStr">
        <is>
          <t>part_ix_expenses.comp_current_officers</t>
        </is>
      </c>
      <c r="F59" s="8" t="inlineStr">
        <is>
          <t>high</t>
        </is>
      </c>
      <c r="G59" s="9" t="n">
        <v>90468</v>
      </c>
    </row>
    <row r="60">
      <c r="A60" s="8" t="inlineStr">
        <is>
          <t>Operating expenses (detail)</t>
        </is>
      </c>
      <c r="B60" s="8" t="inlineStr">
        <is>
          <t>C11</t>
        </is>
      </c>
      <c r="C60" s="8" t="inlineStr">
        <is>
          <t>5. Compensation of current officers, directors, trustees</t>
        </is>
      </c>
      <c r="D60" s="8" t="inlineStr">
        <is>
          <t>5</t>
        </is>
      </c>
      <c r="E60" s="8" t="inlineStr">
        <is>
          <t>part_ix_expenses.comp_current_officers</t>
        </is>
      </c>
      <c r="F60" s="8" t="inlineStr">
        <is>
          <t>high</t>
        </is>
      </c>
      <c r="G60" s="9" t="n">
        <v>90566</v>
      </c>
    </row>
    <row r="61">
      <c r="A61" s="8" t="inlineStr">
        <is>
          <t>Operating expenses (detail)</t>
        </is>
      </c>
      <c r="B61" s="8" t="inlineStr">
        <is>
          <t>D11</t>
        </is>
      </c>
      <c r="C61" s="8" t="inlineStr">
        <is>
          <t>5. Compensation of current officers, directors, trustees</t>
        </is>
      </c>
      <c r="D61" s="8" t="inlineStr">
        <is>
          <t>5</t>
        </is>
      </c>
      <c r="E61" s="8" t="inlineStr">
        <is>
          <t>part_ix_expenses.comp_current_officers</t>
        </is>
      </c>
      <c r="F61" s="8" t="inlineStr">
        <is>
          <t>high</t>
        </is>
      </c>
      <c r="G61" s="9" t="n">
        <v>110725</v>
      </c>
    </row>
    <row r="62">
      <c r="A62" s="8" t="inlineStr">
        <is>
          <t>Operating expenses (detail)</t>
        </is>
      </c>
      <c r="B62" s="8" t="inlineStr">
        <is>
          <t>E11</t>
        </is>
      </c>
      <c r="C62" s="8" t="inlineStr">
        <is>
          <t>5. Compensation of current officers, directors, trustees</t>
        </is>
      </c>
      <c r="D62" s="8" t="inlineStr">
        <is>
          <t>5</t>
        </is>
      </c>
      <c r="E62" s="8" t="inlineStr">
        <is>
          <t>part_ix_expenses.comp_current_officers</t>
        </is>
      </c>
      <c r="F62" s="8" t="inlineStr">
        <is>
          <t>high</t>
        </is>
      </c>
      <c r="G62" s="9" t="n">
        <v>111300</v>
      </c>
    </row>
    <row r="63">
      <c r="A63" s="8" t="inlineStr">
        <is>
          <t>Operating expenses (detail)</t>
        </is>
      </c>
      <c r="B63" s="8" t="inlineStr">
        <is>
          <t>B12</t>
        </is>
      </c>
      <c r="C63" s="8" t="inlineStr">
        <is>
          <t>6. Compensation to disqualified persons</t>
        </is>
      </c>
      <c r="D63" s="8" t="inlineStr">
        <is>
          <t>6</t>
        </is>
      </c>
      <c r="E63" s="8" t="inlineStr">
        <is>
          <t>part_ix_expenses.comp_disqualified_persons</t>
        </is>
      </c>
      <c r="F63" s="8" t="inlineStr">
        <is>
          <t>high</t>
        </is>
      </c>
      <c r="G63" s="9" t="n">
        <v>0</v>
      </c>
    </row>
    <row r="64">
      <c r="A64" s="8" t="inlineStr">
        <is>
          <t>Operating expenses (detail)</t>
        </is>
      </c>
      <c r="B64" s="8" t="inlineStr">
        <is>
          <t>C12</t>
        </is>
      </c>
      <c r="C64" s="8" t="inlineStr">
        <is>
          <t>6. Compensation to disqualified persons</t>
        </is>
      </c>
      <c r="D64" s="8" t="inlineStr">
        <is>
          <t>6</t>
        </is>
      </c>
      <c r="E64" s="8" t="inlineStr">
        <is>
          <t>part_ix_expenses.comp_disqualified_persons</t>
        </is>
      </c>
      <c r="F64" s="8" t="inlineStr">
        <is>
          <t>high</t>
        </is>
      </c>
      <c r="G64" s="9" t="n">
        <v>0</v>
      </c>
    </row>
    <row r="65">
      <c r="A65" s="8" t="inlineStr">
        <is>
          <t>Operating expenses (detail)</t>
        </is>
      </c>
      <c r="B65" s="8" t="inlineStr">
        <is>
          <t>D12</t>
        </is>
      </c>
      <c r="C65" s="8" t="inlineStr">
        <is>
          <t>6. Compensation to disqualified persons</t>
        </is>
      </c>
      <c r="D65" s="8" t="inlineStr">
        <is>
          <t>6</t>
        </is>
      </c>
      <c r="E65" s="8" t="inlineStr">
        <is>
          <t>part_ix_expenses.comp_disqualified_persons</t>
        </is>
      </c>
      <c r="F65" s="8" t="inlineStr">
        <is>
          <t>high</t>
        </is>
      </c>
      <c r="G65" s="9" t="n">
        <v>0</v>
      </c>
    </row>
    <row r="66">
      <c r="A66" s="8" t="inlineStr">
        <is>
          <t>Operating expenses (detail)</t>
        </is>
      </c>
      <c r="B66" s="8" t="inlineStr">
        <is>
          <t>E12</t>
        </is>
      </c>
      <c r="C66" s="8" t="inlineStr">
        <is>
          <t>6. Compensation to disqualified persons</t>
        </is>
      </c>
      <c r="D66" s="8" t="inlineStr">
        <is>
          <t>6</t>
        </is>
      </c>
      <c r="E66" s="8" t="inlineStr">
        <is>
          <t>part_ix_expenses.comp_disqualified_persons</t>
        </is>
      </c>
      <c r="F66" s="8" t="inlineStr">
        <is>
          <t>high</t>
        </is>
      </c>
      <c r="G66" s="9" t="n">
        <v>0</v>
      </c>
    </row>
    <row r="67">
      <c r="A67" s="8" t="inlineStr">
        <is>
          <t>Operating expenses (detail)</t>
        </is>
      </c>
      <c r="B67" s="8" t="inlineStr">
        <is>
          <t>B13</t>
        </is>
      </c>
      <c r="C67" s="8" t="inlineStr">
        <is>
          <t>7. Other salaries and wages</t>
        </is>
      </c>
      <c r="D67" s="8" t="inlineStr">
        <is>
          <t>7</t>
        </is>
      </c>
      <c r="E67" s="8" t="inlineStr">
        <is>
          <t>part_ix_expenses.other_salaries_and_wages</t>
        </is>
      </c>
      <c r="F67" s="8" t="inlineStr">
        <is>
          <t>high</t>
        </is>
      </c>
      <c r="G67" s="9" t="n">
        <v>296243</v>
      </c>
    </row>
    <row r="68">
      <c r="A68" s="8" t="inlineStr">
        <is>
          <t>Operating expenses (detail)</t>
        </is>
      </c>
      <c r="B68" s="8" t="inlineStr">
        <is>
          <t>C13</t>
        </is>
      </c>
      <c r="C68" s="8" t="inlineStr">
        <is>
          <t>7. Other salaries and wages</t>
        </is>
      </c>
      <c r="D68" s="8" t="inlineStr">
        <is>
          <t>7</t>
        </is>
      </c>
      <c r="E68" s="8" t="inlineStr">
        <is>
          <t>part_ix_expenses.other_salaries_and_wages</t>
        </is>
      </c>
      <c r="F68" s="8" t="inlineStr">
        <is>
          <t>high</t>
        </is>
      </c>
      <c r="G68" s="9" t="n">
        <v>293430</v>
      </c>
    </row>
    <row r="69">
      <c r="A69" s="8" t="inlineStr">
        <is>
          <t>Operating expenses (detail)</t>
        </is>
      </c>
      <c r="B69" s="8" t="inlineStr">
        <is>
          <t>D13</t>
        </is>
      </c>
      <c r="C69" s="8" t="inlineStr">
        <is>
          <t>7. Other salaries and wages</t>
        </is>
      </c>
      <c r="D69" s="8" t="inlineStr">
        <is>
          <t>7</t>
        </is>
      </c>
      <c r="E69" s="8" t="inlineStr">
        <is>
          <t>part_ix_expenses.other_salaries_and_wages</t>
        </is>
      </c>
      <c r="F69" s="8" t="inlineStr">
        <is>
          <t>high</t>
        </is>
      </c>
      <c r="G69" s="9" t="n">
        <v>343062</v>
      </c>
    </row>
    <row r="70">
      <c r="A70" s="8" t="inlineStr">
        <is>
          <t>Operating expenses (detail)</t>
        </is>
      </c>
      <c r="B70" s="8" t="inlineStr">
        <is>
          <t>E13</t>
        </is>
      </c>
      <c r="C70" s="8" t="inlineStr">
        <is>
          <t>7. Other salaries and wages</t>
        </is>
      </c>
      <c r="D70" s="8" t="inlineStr">
        <is>
          <t>7</t>
        </is>
      </c>
      <c r="E70" s="8" t="inlineStr">
        <is>
          <t>part_ix_expenses.other_salaries_and_wages</t>
        </is>
      </c>
      <c r="F70" s="8" t="inlineStr">
        <is>
          <t>high</t>
        </is>
      </c>
      <c r="G70" s="9" t="n">
        <v>460567</v>
      </c>
    </row>
    <row r="71">
      <c r="A71" s="8" t="inlineStr">
        <is>
          <t>Operating expenses (detail)</t>
        </is>
      </c>
      <c r="B71" s="8" t="inlineStr">
        <is>
          <t>B14</t>
        </is>
      </c>
      <c r="C71" s="8" t="inlineStr">
        <is>
          <t>8. Pension plan accruals and contributions</t>
        </is>
      </c>
      <c r="D71" s="8" t="inlineStr">
        <is>
          <t>8</t>
        </is>
      </c>
      <c r="E71" s="8" t="inlineStr">
        <is>
          <t>part_ix_expenses.pension_plan_contributions</t>
        </is>
      </c>
      <c r="F71" s="8" t="inlineStr">
        <is>
          <t>high</t>
        </is>
      </c>
      <c r="G71" s="9" t="n">
        <v>24769</v>
      </c>
    </row>
    <row r="72">
      <c r="A72" s="8" t="inlineStr">
        <is>
          <t>Operating expenses (detail)</t>
        </is>
      </c>
      <c r="B72" s="8" t="inlineStr">
        <is>
          <t>C14</t>
        </is>
      </c>
      <c r="C72" s="8" t="inlineStr">
        <is>
          <t>8. Pension plan accruals and contributions</t>
        </is>
      </c>
      <c r="D72" s="8" t="inlineStr">
        <is>
          <t>8</t>
        </is>
      </c>
      <c r="E72" s="8" t="inlineStr">
        <is>
          <t>part_ix_expenses.pension_plan_contributions</t>
        </is>
      </c>
      <c r="F72" s="8" t="inlineStr">
        <is>
          <t>high</t>
        </is>
      </c>
      <c r="G72" s="9" t="n">
        <v>26016</v>
      </c>
    </row>
    <row r="73">
      <c r="A73" s="8" t="inlineStr">
        <is>
          <t>Operating expenses (detail)</t>
        </is>
      </c>
      <c r="B73" s="8" t="inlineStr">
        <is>
          <t>D14</t>
        </is>
      </c>
      <c r="C73" s="8" t="inlineStr">
        <is>
          <t>8. Pension plan accruals and contributions</t>
        </is>
      </c>
      <c r="D73" s="8" t="inlineStr">
        <is>
          <t>8</t>
        </is>
      </c>
      <c r="E73" s="8" t="inlineStr">
        <is>
          <t>part_ix_expenses.pension_plan_contributions</t>
        </is>
      </c>
      <c r="F73" s="8" t="inlineStr">
        <is>
          <t>high</t>
        </is>
      </c>
      <c r="G73" s="9" t="n">
        <v>10096</v>
      </c>
    </row>
    <row r="74">
      <c r="A74" s="8" t="inlineStr">
        <is>
          <t>Operating expenses (detail)</t>
        </is>
      </c>
      <c r="B74" s="8" t="inlineStr">
        <is>
          <t>E14</t>
        </is>
      </c>
      <c r="C74" s="8" t="inlineStr">
        <is>
          <t>8. Pension plan accruals and contributions</t>
        </is>
      </c>
      <c r="D74" s="8" t="inlineStr">
        <is>
          <t>8</t>
        </is>
      </c>
      <c r="E74" s="8" t="inlineStr">
        <is>
          <t>part_ix_expenses.pension_plan_contributions</t>
        </is>
      </c>
      <c r="F74" s="8" t="inlineStr">
        <is>
          <t>high</t>
        </is>
      </c>
      <c r="G74" s="9" t="n">
        <v>15600</v>
      </c>
    </row>
    <row r="75">
      <c r="A75" s="8" t="inlineStr">
        <is>
          <t>Operating expenses (detail)</t>
        </is>
      </c>
      <c r="B75" s="8" t="inlineStr">
        <is>
          <t>B15</t>
        </is>
      </c>
      <c r="C75" s="8" t="inlineStr">
        <is>
          <t>9. Other employee benefits</t>
        </is>
      </c>
      <c r="D75" s="8" t="inlineStr">
        <is>
          <t>9</t>
        </is>
      </c>
      <c r="E75" s="8" t="inlineStr">
        <is>
          <t>part_ix_expenses.other_employee_benefits</t>
        </is>
      </c>
      <c r="F75" s="8" t="inlineStr">
        <is>
          <t>high</t>
        </is>
      </c>
      <c r="G75" s="9" t="n">
        <v>487</v>
      </c>
    </row>
    <row r="76">
      <c r="A76" s="8" t="inlineStr">
        <is>
          <t>Operating expenses (detail)</t>
        </is>
      </c>
      <c r="B76" s="8" t="inlineStr">
        <is>
          <t>C15</t>
        </is>
      </c>
      <c r="C76" s="8" t="inlineStr">
        <is>
          <t>9. Other employee benefits</t>
        </is>
      </c>
      <c r="D76" s="8" t="inlineStr">
        <is>
          <t>9</t>
        </is>
      </c>
      <c r="E76" s="8" t="inlineStr">
        <is>
          <t>part_ix_expenses.other_employee_benefits</t>
        </is>
      </c>
      <c r="F76" s="8" t="inlineStr">
        <is>
          <t>high</t>
        </is>
      </c>
      <c r="G76" s="9" t="n">
        <v>641</v>
      </c>
    </row>
    <row r="77">
      <c r="A77" s="8" t="inlineStr">
        <is>
          <t>Operating expenses (detail)</t>
        </is>
      </c>
      <c r="B77" s="8" t="inlineStr">
        <is>
          <t>D15</t>
        </is>
      </c>
      <c r="C77" s="8" t="inlineStr">
        <is>
          <t>9. Other employee benefits</t>
        </is>
      </c>
      <c r="D77" s="8" t="inlineStr">
        <is>
          <t>9</t>
        </is>
      </c>
      <c r="E77" s="8" t="inlineStr">
        <is>
          <t>part_ix_expenses.other_employee_benefits</t>
        </is>
      </c>
      <c r="F77" s="8" t="inlineStr">
        <is>
          <t>high</t>
        </is>
      </c>
      <c r="G77" s="9" t="n">
        <v>0</v>
      </c>
    </row>
    <row r="78">
      <c r="A78" s="8" t="inlineStr">
        <is>
          <t>Operating expenses (detail)</t>
        </is>
      </c>
      <c r="B78" s="8" t="inlineStr">
        <is>
          <t>E15</t>
        </is>
      </c>
      <c r="C78" s="8" t="inlineStr">
        <is>
          <t>9. Other employee benefits</t>
        </is>
      </c>
      <c r="D78" s="8" t="inlineStr">
        <is>
          <t>9</t>
        </is>
      </c>
      <c r="E78" s="8" t="inlineStr">
        <is>
          <t>part_ix_expenses.other_employee_benefits</t>
        </is>
      </c>
      <c r="F78" s="8" t="inlineStr">
        <is>
          <t>high</t>
        </is>
      </c>
      <c r="G78" s="9" t="n">
        <v>0</v>
      </c>
    </row>
    <row r="79">
      <c r="A79" s="8" t="inlineStr">
        <is>
          <t>Operating expenses (detail)</t>
        </is>
      </c>
      <c r="B79" s="8" t="inlineStr">
        <is>
          <t>B16</t>
        </is>
      </c>
      <c r="C79" s="8" t="inlineStr">
        <is>
          <t>10. Payroll taxes</t>
        </is>
      </c>
      <c r="D79" s="8" t="inlineStr">
        <is>
          <t>10</t>
        </is>
      </c>
      <c r="E79" s="8" t="inlineStr">
        <is>
          <t>part_ix_expenses.payroll_taxes</t>
        </is>
      </c>
      <c r="F79" s="8" t="inlineStr">
        <is>
          <t>high</t>
        </is>
      </c>
      <c r="G79" s="9" t="n">
        <v>31940</v>
      </c>
    </row>
    <row r="80">
      <c r="A80" s="8" t="inlineStr">
        <is>
          <t>Operating expenses (detail)</t>
        </is>
      </c>
      <c r="B80" s="8" t="inlineStr">
        <is>
          <t>C16</t>
        </is>
      </c>
      <c r="C80" s="8" t="inlineStr">
        <is>
          <t>10. Payroll taxes</t>
        </is>
      </c>
      <c r="D80" s="8" t="inlineStr">
        <is>
          <t>10</t>
        </is>
      </c>
      <c r="E80" s="8" t="inlineStr">
        <is>
          <t>part_ix_expenses.payroll_taxes</t>
        </is>
      </c>
      <c r="F80" s="8" t="inlineStr">
        <is>
          <t>high</t>
        </is>
      </c>
      <c r="G80" s="9" t="n">
        <v>31042</v>
      </c>
    </row>
    <row r="81">
      <c r="A81" s="8" t="inlineStr">
        <is>
          <t>Operating expenses (detail)</t>
        </is>
      </c>
      <c r="B81" s="8" t="inlineStr">
        <is>
          <t>D16</t>
        </is>
      </c>
      <c r="C81" s="8" t="inlineStr">
        <is>
          <t>10. Payroll taxes</t>
        </is>
      </c>
      <c r="D81" s="8" t="inlineStr">
        <is>
          <t>10</t>
        </is>
      </c>
      <c r="E81" s="8" t="inlineStr">
        <is>
          <t>part_ix_expenses.payroll_taxes</t>
        </is>
      </c>
      <c r="F81" s="8" t="inlineStr">
        <is>
          <t>high</t>
        </is>
      </c>
      <c r="G81" s="9" t="n">
        <v>40163</v>
      </c>
    </row>
    <row r="82">
      <c r="A82" s="8" t="inlineStr">
        <is>
          <t>Operating expenses (detail)</t>
        </is>
      </c>
      <c r="B82" s="8" t="inlineStr">
        <is>
          <t>E16</t>
        </is>
      </c>
      <c r="C82" s="8" t="inlineStr">
        <is>
          <t>10. Payroll taxes</t>
        </is>
      </c>
      <c r="D82" s="8" t="inlineStr">
        <is>
          <t>10</t>
        </is>
      </c>
      <c r="E82" s="8" t="inlineStr">
        <is>
          <t>part_ix_expenses.payroll_taxes</t>
        </is>
      </c>
      <c r="F82" s="8" t="inlineStr">
        <is>
          <t>high</t>
        </is>
      </c>
      <c r="G82" s="9" t="n">
        <v>45492</v>
      </c>
    </row>
    <row r="83">
      <c r="A83" s="8" t="inlineStr">
        <is>
          <t>Operating expenses (detail)</t>
        </is>
      </c>
      <c r="B83" s="8" t="inlineStr">
        <is>
          <t>B17</t>
        </is>
      </c>
      <c r="C83" s="8" t="inlineStr">
        <is>
          <t>11a. Fees for services: management</t>
        </is>
      </c>
      <c r="D83" s="8" t="inlineStr">
        <is>
          <t>11a</t>
        </is>
      </c>
      <c r="E83" s="8" t="inlineStr">
        <is>
          <t>part_ix_expenses.fees_management</t>
        </is>
      </c>
      <c r="F83" s="8" t="inlineStr">
        <is>
          <t>high</t>
        </is>
      </c>
      <c r="G83" s="9" t="n">
        <v>0</v>
      </c>
    </row>
    <row r="84">
      <c r="A84" s="8" t="inlineStr">
        <is>
          <t>Operating expenses (detail)</t>
        </is>
      </c>
      <c r="B84" s="8" t="inlineStr">
        <is>
          <t>C17</t>
        </is>
      </c>
      <c r="C84" s="8" t="inlineStr">
        <is>
          <t>11a. Fees for services: management</t>
        </is>
      </c>
      <c r="D84" s="8" t="inlineStr">
        <is>
          <t>11a</t>
        </is>
      </c>
      <c r="E84" s="8" t="inlineStr">
        <is>
          <t>part_ix_expenses.fees_management</t>
        </is>
      </c>
      <c r="F84" s="8" t="inlineStr">
        <is>
          <t>high</t>
        </is>
      </c>
      <c r="G84" s="9" t="n">
        <v>0</v>
      </c>
    </row>
    <row r="85">
      <c r="A85" s="8" t="inlineStr">
        <is>
          <t>Operating expenses (detail)</t>
        </is>
      </c>
      <c r="B85" s="8" t="inlineStr">
        <is>
          <t>D17</t>
        </is>
      </c>
      <c r="C85" s="8" t="inlineStr">
        <is>
          <t>11a. Fees for services: management</t>
        </is>
      </c>
      <c r="D85" s="8" t="inlineStr">
        <is>
          <t>11a</t>
        </is>
      </c>
      <c r="E85" s="8" t="inlineStr">
        <is>
          <t>part_ix_expenses.fees_management</t>
        </is>
      </c>
      <c r="F85" s="8" t="inlineStr">
        <is>
          <t>high</t>
        </is>
      </c>
      <c r="G85" s="9" t="n">
        <v>5250</v>
      </c>
    </row>
    <row r="86">
      <c r="A86" s="8" t="inlineStr">
        <is>
          <t>Operating expenses (detail)</t>
        </is>
      </c>
      <c r="B86" s="8" t="inlineStr">
        <is>
          <t>E17</t>
        </is>
      </c>
      <c r="C86" s="8" t="inlineStr">
        <is>
          <t>11a. Fees for services: management</t>
        </is>
      </c>
      <c r="D86" s="8" t="inlineStr">
        <is>
          <t>11a</t>
        </is>
      </c>
      <c r="E86" s="8" t="inlineStr">
        <is>
          <t>part_ix_expenses.fees_management</t>
        </is>
      </c>
      <c r="F86" s="8" t="inlineStr">
        <is>
          <t>high</t>
        </is>
      </c>
      <c r="G86" s="9" t="n">
        <v>0</v>
      </c>
    </row>
    <row r="87">
      <c r="A87" s="8" t="inlineStr">
        <is>
          <t>Operating expenses (detail)</t>
        </is>
      </c>
      <c r="B87" s="8" t="inlineStr">
        <is>
          <t>B18</t>
        </is>
      </c>
      <c r="C87" s="8" t="inlineStr">
        <is>
          <t>11b. Fees for services: legal</t>
        </is>
      </c>
      <c r="D87" s="8" t="inlineStr">
        <is>
          <t>11b</t>
        </is>
      </c>
      <c r="E87" s="8" t="inlineStr">
        <is>
          <t>part_ix_expenses.fees_legal</t>
        </is>
      </c>
      <c r="F87" s="8" t="inlineStr">
        <is>
          <t>high</t>
        </is>
      </c>
      <c r="G87" s="9" t="n">
        <v>43116</v>
      </c>
    </row>
    <row r="88">
      <c r="A88" s="8" t="inlineStr">
        <is>
          <t>Operating expenses (detail)</t>
        </is>
      </c>
      <c r="B88" s="8" t="inlineStr">
        <is>
          <t>C18</t>
        </is>
      </c>
      <c r="C88" s="8" t="inlineStr">
        <is>
          <t>11b. Fees for services: legal</t>
        </is>
      </c>
      <c r="D88" s="8" t="inlineStr">
        <is>
          <t>11b</t>
        </is>
      </c>
      <c r="E88" s="8" t="inlineStr">
        <is>
          <t>part_ix_expenses.fees_legal</t>
        </is>
      </c>
      <c r="F88" s="8" t="inlineStr">
        <is>
          <t>high</t>
        </is>
      </c>
      <c r="G88" s="9" t="n">
        <v>24780</v>
      </c>
    </row>
    <row r="89">
      <c r="A89" s="8" t="inlineStr">
        <is>
          <t>Operating expenses (detail)</t>
        </is>
      </c>
      <c r="B89" s="8" t="inlineStr">
        <is>
          <t>D18</t>
        </is>
      </c>
      <c r="C89" s="8" t="inlineStr">
        <is>
          <t>11b. Fees for services: legal</t>
        </is>
      </c>
      <c r="D89" s="8" t="inlineStr">
        <is>
          <t>11b</t>
        </is>
      </c>
      <c r="E89" s="8" t="inlineStr">
        <is>
          <t>part_ix_expenses.fees_legal</t>
        </is>
      </c>
      <c r="F89" s="8" t="inlineStr">
        <is>
          <t>high</t>
        </is>
      </c>
      <c r="G89" s="9" t="n">
        <v>52157</v>
      </c>
    </row>
    <row r="90">
      <c r="A90" s="8" t="inlineStr">
        <is>
          <t>Operating expenses (detail)</t>
        </is>
      </c>
      <c r="B90" s="8" t="inlineStr">
        <is>
          <t>E18</t>
        </is>
      </c>
      <c r="C90" s="8" t="inlineStr">
        <is>
          <t>11b. Fees for services: legal</t>
        </is>
      </c>
      <c r="D90" s="8" t="inlineStr">
        <is>
          <t>11b</t>
        </is>
      </c>
      <c r="E90" s="8" t="inlineStr">
        <is>
          <t>part_ix_expenses.fees_legal</t>
        </is>
      </c>
      <c r="F90" s="8" t="inlineStr">
        <is>
          <t>high</t>
        </is>
      </c>
      <c r="G90" s="9" t="n">
        <v>196556</v>
      </c>
    </row>
    <row r="91">
      <c r="A91" s="8" t="inlineStr">
        <is>
          <t>Operating expenses (detail)</t>
        </is>
      </c>
      <c r="B91" s="8" t="inlineStr">
        <is>
          <t>B19</t>
        </is>
      </c>
      <c r="C91" s="8" t="inlineStr">
        <is>
          <t>11c. Fees for services: accounting</t>
        </is>
      </c>
      <c r="D91" s="8" t="inlineStr">
        <is>
          <t>11c</t>
        </is>
      </c>
      <c r="E91" s="8" t="inlineStr">
        <is>
          <t>part_ix_expenses.fees_accounting</t>
        </is>
      </c>
      <c r="F91" s="8" t="inlineStr">
        <is>
          <t>high</t>
        </is>
      </c>
      <c r="G91" s="9" t="n">
        <v>11100</v>
      </c>
    </row>
    <row r="92">
      <c r="A92" s="8" t="inlineStr">
        <is>
          <t>Operating expenses (detail)</t>
        </is>
      </c>
      <c r="B92" s="8" t="inlineStr">
        <is>
          <t>C19</t>
        </is>
      </c>
      <c r="C92" s="8" t="inlineStr">
        <is>
          <t>11c. Fees for services: accounting</t>
        </is>
      </c>
      <c r="D92" s="8" t="inlineStr">
        <is>
          <t>11c</t>
        </is>
      </c>
      <c r="E92" s="8" t="inlineStr">
        <is>
          <t>part_ix_expenses.fees_accounting</t>
        </is>
      </c>
      <c r="F92" s="8" t="inlineStr">
        <is>
          <t>high</t>
        </is>
      </c>
      <c r="G92" s="9" t="n">
        <v>7500</v>
      </c>
    </row>
    <row r="93">
      <c r="A93" s="8" t="inlineStr">
        <is>
          <t>Operating expenses (detail)</t>
        </is>
      </c>
      <c r="B93" s="8" t="inlineStr">
        <is>
          <t>D19</t>
        </is>
      </c>
      <c r="C93" s="8" t="inlineStr">
        <is>
          <t>11c. Fees for services: accounting</t>
        </is>
      </c>
      <c r="D93" s="8" t="inlineStr">
        <is>
          <t>11c</t>
        </is>
      </c>
      <c r="E93" s="8" t="inlineStr">
        <is>
          <t>part_ix_expenses.fees_accounting</t>
        </is>
      </c>
      <c r="F93" s="8" t="inlineStr">
        <is>
          <t>high</t>
        </is>
      </c>
      <c r="G93" s="9" t="n">
        <v>10600</v>
      </c>
    </row>
    <row r="94">
      <c r="A94" s="8" t="inlineStr">
        <is>
          <t>Operating expenses (detail)</t>
        </is>
      </c>
      <c r="B94" s="8" t="inlineStr">
        <is>
          <t>E19</t>
        </is>
      </c>
      <c r="C94" s="8" t="inlineStr">
        <is>
          <t>11c. Fees for services: accounting</t>
        </is>
      </c>
      <c r="D94" s="8" t="inlineStr">
        <is>
          <t>11c</t>
        </is>
      </c>
      <c r="E94" s="8" t="inlineStr">
        <is>
          <t>part_ix_expenses.fees_accounting</t>
        </is>
      </c>
      <c r="F94" s="8" t="inlineStr">
        <is>
          <t>high</t>
        </is>
      </c>
      <c r="G94" s="9" t="n">
        <v>8620</v>
      </c>
    </row>
    <row r="95">
      <c r="A95" s="8" t="inlineStr">
        <is>
          <t>Operating expenses (detail)</t>
        </is>
      </c>
      <c r="B95" s="8" t="inlineStr">
        <is>
          <t>B20</t>
        </is>
      </c>
      <c r="C95" s="8" t="inlineStr">
        <is>
          <t>11d. Fees for services: lobbying</t>
        </is>
      </c>
      <c r="D95" s="8" t="inlineStr">
        <is>
          <t>11d</t>
        </is>
      </c>
      <c r="E95" s="8" t="inlineStr">
        <is>
          <t>part_ix_expenses.fees_lobbying</t>
        </is>
      </c>
      <c r="F95" s="8" t="inlineStr">
        <is>
          <t>high</t>
        </is>
      </c>
      <c r="G95" s="9" t="n">
        <v>0</v>
      </c>
    </row>
    <row r="96">
      <c r="A96" s="8" t="inlineStr">
        <is>
          <t>Operating expenses (detail)</t>
        </is>
      </c>
      <c r="B96" s="8" t="inlineStr">
        <is>
          <t>C20</t>
        </is>
      </c>
      <c r="C96" s="8" t="inlineStr">
        <is>
          <t>11d. Fees for services: lobbying</t>
        </is>
      </c>
      <c r="D96" s="8" t="inlineStr">
        <is>
          <t>11d</t>
        </is>
      </c>
      <c r="E96" s="8" t="inlineStr">
        <is>
          <t>part_ix_expenses.fees_lobbying</t>
        </is>
      </c>
      <c r="F96" s="8" t="inlineStr">
        <is>
          <t>high</t>
        </is>
      </c>
      <c r="G96" s="9" t="n">
        <v>0</v>
      </c>
    </row>
    <row r="97">
      <c r="A97" s="8" t="inlineStr">
        <is>
          <t>Operating expenses (detail)</t>
        </is>
      </c>
      <c r="B97" s="8" t="inlineStr">
        <is>
          <t>D20</t>
        </is>
      </c>
      <c r="C97" s="8" t="inlineStr">
        <is>
          <t>11d. Fees for services: lobbying</t>
        </is>
      </c>
      <c r="D97" s="8" t="inlineStr">
        <is>
          <t>11d</t>
        </is>
      </c>
      <c r="E97" s="8" t="inlineStr">
        <is>
          <t>part_ix_expenses.fees_lobbying</t>
        </is>
      </c>
      <c r="F97" s="8" t="inlineStr">
        <is>
          <t>high</t>
        </is>
      </c>
      <c r="G97" s="9" t="n">
        <v>0</v>
      </c>
    </row>
    <row r="98">
      <c r="A98" s="8" t="inlineStr">
        <is>
          <t>Operating expenses (detail)</t>
        </is>
      </c>
      <c r="B98" s="8" t="inlineStr">
        <is>
          <t>E20</t>
        </is>
      </c>
      <c r="C98" s="8" t="inlineStr">
        <is>
          <t>11d. Fees for services: lobbying</t>
        </is>
      </c>
      <c r="D98" s="8" t="inlineStr">
        <is>
          <t>11d</t>
        </is>
      </c>
      <c r="E98" s="8" t="inlineStr">
        <is>
          <t>part_ix_expenses.fees_lobbying</t>
        </is>
      </c>
      <c r="F98" s="8" t="inlineStr">
        <is>
          <t>high</t>
        </is>
      </c>
      <c r="G98" s="9" t="n">
        <v>0</v>
      </c>
    </row>
    <row r="99">
      <c r="A99" s="8" t="inlineStr">
        <is>
          <t>Operating expenses (detail)</t>
        </is>
      </c>
      <c r="B99" s="8" t="inlineStr">
        <is>
          <t>B21</t>
        </is>
      </c>
      <c r="C99" s="8" t="inlineStr">
        <is>
          <t>11e. Fees for services: professional fundraising</t>
        </is>
      </c>
      <c r="D99" s="8" t="inlineStr">
        <is>
          <t>11e</t>
        </is>
      </c>
      <c r="E99" s="8" t="inlineStr">
        <is>
          <t>part_ix_expenses.fees_prof_fundraising</t>
        </is>
      </c>
      <c r="F99" s="8" t="inlineStr">
        <is>
          <t>high</t>
        </is>
      </c>
      <c r="G99" s="9" t="n">
        <v>0</v>
      </c>
    </row>
    <row r="100">
      <c r="A100" s="8" t="inlineStr">
        <is>
          <t>Operating expenses (detail)</t>
        </is>
      </c>
      <c r="B100" s="8" t="inlineStr">
        <is>
          <t>C21</t>
        </is>
      </c>
      <c r="C100" s="8" t="inlineStr">
        <is>
          <t>11e. Fees for services: professional fundraising</t>
        </is>
      </c>
      <c r="D100" s="8" t="inlineStr">
        <is>
          <t>11e</t>
        </is>
      </c>
      <c r="E100" s="8" t="inlineStr">
        <is>
          <t>part_ix_expenses.fees_prof_fundraising</t>
        </is>
      </c>
      <c r="F100" s="8" t="inlineStr">
        <is>
          <t>high</t>
        </is>
      </c>
      <c r="G100" s="9" t="n">
        <v>0</v>
      </c>
    </row>
    <row r="101">
      <c r="A101" s="8" t="inlineStr">
        <is>
          <t>Operating expenses (detail)</t>
        </is>
      </c>
      <c r="B101" s="8" t="inlineStr">
        <is>
          <t>D21</t>
        </is>
      </c>
      <c r="C101" s="8" t="inlineStr">
        <is>
          <t>11e. Fees for services: professional fundraising</t>
        </is>
      </c>
      <c r="D101" s="8" t="inlineStr">
        <is>
          <t>11e</t>
        </is>
      </c>
      <c r="E101" s="8" t="inlineStr">
        <is>
          <t>part_ix_expenses.fees_prof_fundraising</t>
        </is>
      </c>
      <c r="F101" s="8" t="inlineStr">
        <is>
          <t>high</t>
        </is>
      </c>
      <c r="G101" s="9" t="n">
        <v>0</v>
      </c>
    </row>
    <row r="102">
      <c r="A102" s="8" t="inlineStr">
        <is>
          <t>Operating expenses (detail)</t>
        </is>
      </c>
      <c r="B102" s="8" t="inlineStr">
        <is>
          <t>E21</t>
        </is>
      </c>
      <c r="C102" s="8" t="inlineStr">
        <is>
          <t>11e. Fees for services: professional fundraising</t>
        </is>
      </c>
      <c r="D102" s="8" t="inlineStr">
        <is>
          <t>11e</t>
        </is>
      </c>
      <c r="E102" s="8" t="inlineStr">
        <is>
          <t>part_ix_expenses.fees_prof_fundraising</t>
        </is>
      </c>
      <c r="F102" s="8" t="inlineStr">
        <is>
          <t>high</t>
        </is>
      </c>
      <c r="G102" s="9" t="n">
        <v>0</v>
      </c>
    </row>
    <row r="103">
      <c r="A103" s="8" t="inlineStr">
        <is>
          <t>Operating expenses (detail)</t>
        </is>
      </c>
      <c r="B103" s="8" t="inlineStr">
        <is>
          <t>B22</t>
        </is>
      </c>
      <c r="C103" s="8" t="inlineStr">
        <is>
          <t>11f. Fees for services: investment management</t>
        </is>
      </c>
      <c r="D103" s="8" t="inlineStr">
        <is>
          <t>11f</t>
        </is>
      </c>
      <c r="E103" s="8" t="inlineStr">
        <is>
          <t>part_ix_expenses.fees_investment_mgmt</t>
        </is>
      </c>
      <c r="F103" s="8" t="inlineStr">
        <is>
          <t>high</t>
        </is>
      </c>
      <c r="G103" s="9" t="n">
        <v>0</v>
      </c>
    </row>
    <row r="104">
      <c r="A104" s="8" t="inlineStr">
        <is>
          <t>Operating expenses (detail)</t>
        </is>
      </c>
      <c r="B104" s="8" t="inlineStr">
        <is>
          <t>C22</t>
        </is>
      </c>
      <c r="C104" s="8" t="inlineStr">
        <is>
          <t>11f. Fees for services: investment management</t>
        </is>
      </c>
      <c r="D104" s="8" t="inlineStr">
        <is>
          <t>11f</t>
        </is>
      </c>
      <c r="E104" s="8" t="inlineStr">
        <is>
          <t>part_ix_expenses.fees_investment_mgmt</t>
        </is>
      </c>
      <c r="F104" s="8" t="inlineStr">
        <is>
          <t>high</t>
        </is>
      </c>
      <c r="G104" s="9" t="n">
        <v>0</v>
      </c>
    </row>
    <row r="105">
      <c r="A105" s="8" t="inlineStr">
        <is>
          <t>Operating expenses (detail)</t>
        </is>
      </c>
      <c r="B105" s="8" t="inlineStr">
        <is>
          <t>D22</t>
        </is>
      </c>
      <c r="C105" s="8" t="inlineStr">
        <is>
          <t>11f. Fees for services: investment management</t>
        </is>
      </c>
      <c r="D105" s="8" t="inlineStr">
        <is>
          <t>11f</t>
        </is>
      </c>
      <c r="E105" s="8" t="inlineStr">
        <is>
          <t>part_ix_expenses.fees_investment_mgmt</t>
        </is>
      </c>
      <c r="F105" s="8" t="inlineStr">
        <is>
          <t>high</t>
        </is>
      </c>
      <c r="G105" s="9" t="n">
        <v>0</v>
      </c>
    </row>
    <row r="106">
      <c r="A106" s="8" t="inlineStr">
        <is>
          <t>Operating expenses (detail)</t>
        </is>
      </c>
      <c r="B106" s="8" t="inlineStr">
        <is>
          <t>E22</t>
        </is>
      </c>
      <c r="C106" s="8" t="inlineStr">
        <is>
          <t>11f. Fees for services: investment management</t>
        </is>
      </c>
      <c r="D106" s="8" t="inlineStr">
        <is>
          <t>11f</t>
        </is>
      </c>
      <c r="E106" s="8" t="inlineStr">
        <is>
          <t>part_ix_expenses.fees_investment_mgmt</t>
        </is>
      </c>
      <c r="F106" s="8" t="inlineStr">
        <is>
          <t>high</t>
        </is>
      </c>
      <c r="G106" s="9" t="n">
        <v>0</v>
      </c>
    </row>
    <row r="107">
      <c r="A107" s="8" t="inlineStr">
        <is>
          <t>Operating expenses (detail)</t>
        </is>
      </c>
      <c r="B107" s="8" t="inlineStr">
        <is>
          <t>B23</t>
        </is>
      </c>
      <c r="C107" s="8" t="inlineStr">
        <is>
          <t>11g. Fees for services: other</t>
        </is>
      </c>
      <c r="D107" s="8" t="inlineStr">
        <is>
          <t>11g</t>
        </is>
      </c>
      <c r="E107" s="8" t="inlineStr">
        <is>
          <t>part_ix_expenses.fees_other</t>
        </is>
      </c>
      <c r="F107" s="8" t="inlineStr">
        <is>
          <t>high</t>
        </is>
      </c>
      <c r="G107" s="9" t="n">
        <v>20260</v>
      </c>
    </row>
    <row r="108">
      <c r="A108" s="8" t="inlineStr">
        <is>
          <t>Operating expenses (detail)</t>
        </is>
      </c>
      <c r="B108" s="8" t="inlineStr">
        <is>
          <t>C23</t>
        </is>
      </c>
      <c r="C108" s="8" t="inlineStr">
        <is>
          <t>11g. Fees for services: other</t>
        </is>
      </c>
      <c r="D108" s="8" t="inlineStr">
        <is>
          <t>11g</t>
        </is>
      </c>
      <c r="E108" s="8" t="inlineStr">
        <is>
          <t>part_ix_expenses.fees_other</t>
        </is>
      </c>
      <c r="F108" s="8" t="inlineStr">
        <is>
          <t>high</t>
        </is>
      </c>
      <c r="G108" s="9" t="n">
        <v>22612</v>
      </c>
    </row>
    <row r="109">
      <c r="A109" s="8" t="inlineStr">
        <is>
          <t>Operating expenses (detail)</t>
        </is>
      </c>
      <c r="B109" s="8" t="inlineStr">
        <is>
          <t>D23</t>
        </is>
      </c>
      <c r="C109" s="8" t="inlineStr">
        <is>
          <t>11g. Fees for services: other</t>
        </is>
      </c>
      <c r="D109" s="8" t="inlineStr">
        <is>
          <t>11g</t>
        </is>
      </c>
      <c r="E109" s="8" t="inlineStr">
        <is>
          <t>part_ix_expenses.fees_other</t>
        </is>
      </c>
      <c r="F109" s="8" t="inlineStr">
        <is>
          <t>high</t>
        </is>
      </c>
      <c r="G109" s="9" t="n">
        <v>56431</v>
      </c>
    </row>
    <row r="110">
      <c r="A110" s="8" t="inlineStr">
        <is>
          <t>Operating expenses (detail)</t>
        </is>
      </c>
      <c r="B110" s="8" t="inlineStr">
        <is>
          <t>E23</t>
        </is>
      </c>
      <c r="C110" s="8" t="inlineStr">
        <is>
          <t>11g. Fees for services: other</t>
        </is>
      </c>
      <c r="D110" s="8" t="inlineStr">
        <is>
          <t>11g</t>
        </is>
      </c>
      <c r="E110" s="8" t="inlineStr">
        <is>
          <t>part_ix_expenses.fees_other</t>
        </is>
      </c>
      <c r="F110" s="8" t="inlineStr">
        <is>
          <t>high</t>
        </is>
      </c>
      <c r="G110" s="9" t="n">
        <v>55785</v>
      </c>
    </row>
    <row r="111">
      <c r="A111" s="8" t="inlineStr">
        <is>
          <t>Operating expenses (detail)</t>
        </is>
      </c>
      <c r="B111" s="8" t="inlineStr">
        <is>
          <t>B24</t>
        </is>
      </c>
      <c r="C111" s="8" t="inlineStr">
        <is>
          <t>12. Advertising and promotion</t>
        </is>
      </c>
      <c r="D111" s="8" t="inlineStr">
        <is>
          <t>12</t>
        </is>
      </c>
      <c r="E111" s="8" t="inlineStr">
        <is>
          <t>part_ix_expenses.advertising</t>
        </is>
      </c>
      <c r="F111" s="8" t="inlineStr">
        <is>
          <t>high</t>
        </is>
      </c>
      <c r="G111" s="9" t="n">
        <v>40</v>
      </c>
    </row>
    <row r="112">
      <c r="A112" s="8" t="inlineStr">
        <is>
          <t>Operating expenses (detail)</t>
        </is>
      </c>
      <c r="B112" s="8" t="inlineStr">
        <is>
          <t>C24</t>
        </is>
      </c>
      <c r="C112" s="8" t="inlineStr">
        <is>
          <t>12. Advertising and promotion</t>
        </is>
      </c>
      <c r="D112" s="8" t="inlineStr">
        <is>
          <t>12</t>
        </is>
      </c>
      <c r="E112" s="8" t="inlineStr">
        <is>
          <t>part_ix_expenses.advertising</t>
        </is>
      </c>
      <c r="F112" s="8" t="inlineStr">
        <is>
          <t>high</t>
        </is>
      </c>
      <c r="G112" s="9" t="n">
        <v>564</v>
      </c>
    </row>
    <row r="113">
      <c r="A113" s="8" t="inlineStr">
        <is>
          <t>Operating expenses (detail)</t>
        </is>
      </c>
      <c r="B113" s="8" t="inlineStr">
        <is>
          <t>D24</t>
        </is>
      </c>
      <c r="C113" s="8" t="inlineStr">
        <is>
          <t>12. Advertising and promotion</t>
        </is>
      </c>
      <c r="D113" s="8" t="inlineStr">
        <is>
          <t>12</t>
        </is>
      </c>
      <c r="E113" s="8" t="inlineStr">
        <is>
          <t>part_ix_expenses.advertising</t>
        </is>
      </c>
      <c r="F113" s="8" t="inlineStr">
        <is>
          <t>high</t>
        </is>
      </c>
      <c r="G113" s="9" t="n">
        <v>225</v>
      </c>
    </row>
    <row r="114">
      <c r="A114" s="8" t="inlineStr">
        <is>
          <t>Operating expenses (detail)</t>
        </is>
      </c>
      <c r="B114" s="8" t="inlineStr">
        <is>
          <t>E24</t>
        </is>
      </c>
      <c r="C114" s="8" t="inlineStr">
        <is>
          <t>12. Advertising and promotion</t>
        </is>
      </c>
      <c r="D114" s="8" t="inlineStr">
        <is>
          <t>12</t>
        </is>
      </c>
      <c r="E114" s="8" t="inlineStr">
        <is>
          <t>part_ix_expenses.advertising</t>
        </is>
      </c>
      <c r="F114" s="8" t="inlineStr">
        <is>
          <t>high</t>
        </is>
      </c>
      <c r="G114" s="9" t="n">
        <v>50</v>
      </c>
    </row>
    <row r="115">
      <c r="A115" s="8" t="inlineStr">
        <is>
          <t>Operating expenses (detail)</t>
        </is>
      </c>
      <c r="B115" s="8" t="inlineStr">
        <is>
          <t>B25</t>
        </is>
      </c>
      <c r="C115" s="8" t="inlineStr">
        <is>
          <t>13. Office expenses</t>
        </is>
      </c>
      <c r="D115" s="8" t="inlineStr">
        <is>
          <t>13</t>
        </is>
      </c>
      <c r="E115" s="8" t="inlineStr">
        <is>
          <t>part_ix_expenses.office_expenses</t>
        </is>
      </c>
      <c r="F115" s="8" t="inlineStr">
        <is>
          <t>high</t>
        </is>
      </c>
      <c r="G115" s="9" t="n">
        <v>21301</v>
      </c>
    </row>
    <row r="116">
      <c r="A116" s="8" t="inlineStr">
        <is>
          <t>Operating expenses (detail)</t>
        </is>
      </c>
      <c r="B116" s="8" t="inlineStr">
        <is>
          <t>C25</t>
        </is>
      </c>
      <c r="C116" s="8" t="inlineStr">
        <is>
          <t>13. Office expenses</t>
        </is>
      </c>
      <c r="D116" s="8" t="inlineStr">
        <is>
          <t>13</t>
        </is>
      </c>
      <c r="E116" s="8" t="inlineStr">
        <is>
          <t>part_ix_expenses.office_expenses</t>
        </is>
      </c>
      <c r="F116" s="8" t="inlineStr">
        <is>
          <t>high</t>
        </is>
      </c>
      <c r="G116" s="9" t="n">
        <v>17603</v>
      </c>
    </row>
    <row r="117">
      <c r="A117" s="8" t="inlineStr">
        <is>
          <t>Operating expenses (detail)</t>
        </is>
      </c>
      <c r="B117" s="8" t="inlineStr">
        <is>
          <t>D25</t>
        </is>
      </c>
      <c r="C117" s="8" t="inlineStr">
        <is>
          <t>13. Office expenses</t>
        </is>
      </c>
      <c r="D117" s="8" t="inlineStr">
        <is>
          <t>13</t>
        </is>
      </c>
      <c r="E117" s="8" t="inlineStr">
        <is>
          <t>part_ix_expenses.office_expenses</t>
        </is>
      </c>
      <c r="F117" s="8" t="inlineStr">
        <is>
          <t>high</t>
        </is>
      </c>
      <c r="G117" s="9" t="n">
        <v>18727</v>
      </c>
    </row>
    <row r="118">
      <c r="A118" s="8" t="inlineStr">
        <is>
          <t>Operating expenses (detail)</t>
        </is>
      </c>
      <c r="B118" s="8" t="inlineStr">
        <is>
          <t>E25</t>
        </is>
      </c>
      <c r="C118" s="8" t="inlineStr">
        <is>
          <t>13. Office expenses</t>
        </is>
      </c>
      <c r="D118" s="8" t="inlineStr">
        <is>
          <t>13</t>
        </is>
      </c>
      <c r="E118" s="8" t="inlineStr">
        <is>
          <t>part_ix_expenses.office_expenses</t>
        </is>
      </c>
      <c r="F118" s="8" t="inlineStr">
        <is>
          <t>high</t>
        </is>
      </c>
      <c r="G118" s="9" t="n">
        <v>25741</v>
      </c>
    </row>
    <row r="119">
      <c r="A119" s="8" t="inlineStr">
        <is>
          <t>Operating expenses (detail)</t>
        </is>
      </c>
      <c r="B119" s="8" t="inlineStr">
        <is>
          <t>B26</t>
        </is>
      </c>
      <c r="C119" s="8" t="inlineStr">
        <is>
          <t>14. Information technology</t>
        </is>
      </c>
      <c r="D119" s="8" t="inlineStr">
        <is>
          <t>14</t>
        </is>
      </c>
      <c r="E119" s="8" t="inlineStr">
        <is>
          <t>part_ix_expenses.information_technology</t>
        </is>
      </c>
      <c r="F119" s="8" t="inlineStr">
        <is>
          <t>high</t>
        </is>
      </c>
      <c r="G119" s="9" t="n">
        <v>0</v>
      </c>
    </row>
    <row r="120">
      <c r="A120" s="8" t="inlineStr">
        <is>
          <t>Operating expenses (detail)</t>
        </is>
      </c>
      <c r="B120" s="8" t="inlineStr">
        <is>
          <t>C26</t>
        </is>
      </c>
      <c r="C120" s="8" t="inlineStr">
        <is>
          <t>14. Information technology</t>
        </is>
      </c>
      <c r="D120" s="8" t="inlineStr">
        <is>
          <t>14</t>
        </is>
      </c>
      <c r="E120" s="8" t="inlineStr">
        <is>
          <t>part_ix_expenses.information_technology</t>
        </is>
      </c>
      <c r="F120" s="8" t="inlineStr">
        <is>
          <t>high</t>
        </is>
      </c>
      <c r="G120" s="9" t="n">
        <v>0</v>
      </c>
    </row>
    <row r="121">
      <c r="A121" s="8" t="inlineStr">
        <is>
          <t>Operating expenses (detail)</t>
        </is>
      </c>
      <c r="B121" s="8" t="inlineStr">
        <is>
          <t>D26</t>
        </is>
      </c>
      <c r="C121" s="8" t="inlineStr">
        <is>
          <t>14. Information technology</t>
        </is>
      </c>
      <c r="D121" s="8" t="inlineStr">
        <is>
          <t>14</t>
        </is>
      </c>
      <c r="E121" s="8" t="inlineStr">
        <is>
          <t>part_ix_expenses.information_technology</t>
        </is>
      </c>
      <c r="F121" s="8" t="inlineStr">
        <is>
          <t>high</t>
        </is>
      </c>
      <c r="G121" s="9" t="n">
        <v>11880</v>
      </c>
    </row>
    <row r="122">
      <c r="A122" s="8" t="inlineStr">
        <is>
          <t>Operating expenses (detail)</t>
        </is>
      </c>
      <c r="B122" s="8" t="inlineStr">
        <is>
          <t>E26</t>
        </is>
      </c>
      <c r="C122" s="8" t="inlineStr">
        <is>
          <t>14. Information technology</t>
        </is>
      </c>
      <c r="D122" s="8" t="inlineStr">
        <is>
          <t>14</t>
        </is>
      </c>
      <c r="E122" s="8" t="inlineStr">
        <is>
          <t>part_ix_expenses.information_technology</t>
        </is>
      </c>
      <c r="F122" s="8" t="inlineStr">
        <is>
          <t>high</t>
        </is>
      </c>
      <c r="G122" s="9" t="n">
        <v>16490</v>
      </c>
    </row>
    <row r="123">
      <c r="A123" s="8" t="inlineStr">
        <is>
          <t>Operating expenses (detail)</t>
        </is>
      </c>
      <c r="B123" s="8" t="inlineStr">
        <is>
          <t>B27</t>
        </is>
      </c>
      <c r="C123" s="8" t="inlineStr">
        <is>
          <t>15. Royalties</t>
        </is>
      </c>
      <c r="D123" s="8" t="inlineStr">
        <is>
          <t>15</t>
        </is>
      </c>
      <c r="E123" s="8" t="inlineStr">
        <is>
          <t>part_ix_expenses.royalties</t>
        </is>
      </c>
      <c r="F123" s="8" t="inlineStr">
        <is>
          <t>high</t>
        </is>
      </c>
      <c r="G123" s="9" t="n">
        <v>0</v>
      </c>
    </row>
    <row r="124">
      <c r="A124" s="8" t="inlineStr">
        <is>
          <t>Operating expenses (detail)</t>
        </is>
      </c>
      <c r="B124" s="8" t="inlineStr">
        <is>
          <t>C27</t>
        </is>
      </c>
      <c r="C124" s="8" t="inlineStr">
        <is>
          <t>15. Royalties</t>
        </is>
      </c>
      <c r="D124" s="8" t="inlineStr">
        <is>
          <t>15</t>
        </is>
      </c>
      <c r="E124" s="8" t="inlineStr">
        <is>
          <t>part_ix_expenses.royalties</t>
        </is>
      </c>
      <c r="F124" s="8" t="inlineStr">
        <is>
          <t>high</t>
        </is>
      </c>
      <c r="G124" s="9" t="n">
        <v>0</v>
      </c>
    </row>
    <row r="125">
      <c r="A125" s="8" t="inlineStr">
        <is>
          <t>Operating expenses (detail)</t>
        </is>
      </c>
      <c r="B125" s="8" t="inlineStr">
        <is>
          <t>D27</t>
        </is>
      </c>
      <c r="C125" s="8" t="inlineStr">
        <is>
          <t>15. Royalties</t>
        </is>
      </c>
      <c r="D125" s="8" t="inlineStr">
        <is>
          <t>15</t>
        </is>
      </c>
      <c r="E125" s="8" t="inlineStr">
        <is>
          <t>part_ix_expenses.royalties</t>
        </is>
      </c>
      <c r="F125" s="8" t="inlineStr">
        <is>
          <t>high</t>
        </is>
      </c>
      <c r="G125" s="9" t="n">
        <v>0</v>
      </c>
    </row>
    <row r="126">
      <c r="A126" s="8" t="inlineStr">
        <is>
          <t>Operating expenses (detail)</t>
        </is>
      </c>
      <c r="B126" s="8" t="inlineStr">
        <is>
          <t>E27</t>
        </is>
      </c>
      <c r="C126" s="8" t="inlineStr">
        <is>
          <t>15. Royalties</t>
        </is>
      </c>
      <c r="D126" s="8" t="inlineStr">
        <is>
          <t>15</t>
        </is>
      </c>
      <c r="E126" s="8" t="inlineStr">
        <is>
          <t>part_ix_expenses.royalties</t>
        </is>
      </c>
      <c r="F126" s="8" t="inlineStr">
        <is>
          <t>high</t>
        </is>
      </c>
      <c r="G126" s="9" t="n">
        <v>0</v>
      </c>
    </row>
    <row r="127">
      <c r="A127" s="8" t="inlineStr">
        <is>
          <t>Operating expenses (detail)</t>
        </is>
      </c>
      <c r="B127" s="8" t="inlineStr">
        <is>
          <t>B28</t>
        </is>
      </c>
      <c r="C127" s="8" t="inlineStr">
        <is>
          <t>16. Occupancy</t>
        </is>
      </c>
      <c r="D127" s="8" t="inlineStr">
        <is>
          <t>16</t>
        </is>
      </c>
      <c r="E127" s="8" t="inlineStr">
        <is>
          <t>part_ix_expenses.occupancy</t>
        </is>
      </c>
      <c r="F127" s="8" t="inlineStr">
        <is>
          <t>high</t>
        </is>
      </c>
      <c r="G127" s="9" t="n">
        <v>75286</v>
      </c>
    </row>
    <row r="128">
      <c r="A128" s="8" t="inlineStr">
        <is>
          <t>Operating expenses (detail)</t>
        </is>
      </c>
      <c r="B128" s="8" t="inlineStr">
        <is>
          <t>C28</t>
        </is>
      </c>
      <c r="C128" s="8" t="inlineStr">
        <is>
          <t>16. Occupancy</t>
        </is>
      </c>
      <c r="D128" s="8" t="inlineStr">
        <is>
          <t>16</t>
        </is>
      </c>
      <c r="E128" s="8" t="inlineStr">
        <is>
          <t>part_ix_expenses.occupancy</t>
        </is>
      </c>
      <c r="F128" s="8" t="inlineStr">
        <is>
          <t>high</t>
        </is>
      </c>
      <c r="G128" s="9" t="n">
        <v>95420</v>
      </c>
    </row>
    <row r="129">
      <c r="A129" s="8" t="inlineStr">
        <is>
          <t>Operating expenses (detail)</t>
        </is>
      </c>
      <c r="B129" s="8" t="inlineStr">
        <is>
          <t>D28</t>
        </is>
      </c>
      <c r="C129" s="8" t="inlineStr">
        <is>
          <t>16. Occupancy</t>
        </is>
      </c>
      <c r="D129" s="8" t="inlineStr">
        <is>
          <t>16</t>
        </is>
      </c>
      <c r="E129" s="8" t="inlineStr">
        <is>
          <t>part_ix_expenses.occupancy</t>
        </is>
      </c>
      <c r="F129" s="8" t="inlineStr">
        <is>
          <t>high</t>
        </is>
      </c>
      <c r="G129" s="9" t="n">
        <v>108103</v>
      </c>
    </row>
    <row r="130">
      <c r="A130" s="8" t="inlineStr">
        <is>
          <t>Operating expenses (detail)</t>
        </is>
      </c>
      <c r="B130" s="8" t="inlineStr">
        <is>
          <t>E28</t>
        </is>
      </c>
      <c r="C130" s="8" t="inlineStr">
        <is>
          <t>16. Occupancy</t>
        </is>
      </c>
      <c r="D130" s="8" t="inlineStr">
        <is>
          <t>16</t>
        </is>
      </c>
      <c r="E130" s="8" t="inlineStr">
        <is>
          <t>part_ix_expenses.occupancy</t>
        </is>
      </c>
      <c r="F130" s="8" t="inlineStr">
        <is>
          <t>high</t>
        </is>
      </c>
      <c r="G130" s="9" t="n">
        <v>97688</v>
      </c>
    </row>
    <row r="131">
      <c r="A131" s="8" t="inlineStr">
        <is>
          <t>Operating expenses (detail)</t>
        </is>
      </c>
      <c r="B131" s="8" t="inlineStr">
        <is>
          <t>B29</t>
        </is>
      </c>
      <c r="C131" s="8" t="inlineStr">
        <is>
          <t>17. Travel</t>
        </is>
      </c>
      <c r="D131" s="8" t="inlineStr">
        <is>
          <t>17</t>
        </is>
      </c>
      <c r="E131" s="8" t="inlineStr">
        <is>
          <t>part_ix_expenses.travel</t>
        </is>
      </c>
      <c r="F131" s="8" t="inlineStr">
        <is>
          <t>high</t>
        </is>
      </c>
      <c r="G131" s="9" t="n">
        <v>0</v>
      </c>
    </row>
    <row r="132">
      <c r="A132" s="8" t="inlineStr">
        <is>
          <t>Operating expenses (detail)</t>
        </is>
      </c>
      <c r="B132" s="8" t="inlineStr">
        <is>
          <t>C29</t>
        </is>
      </c>
      <c r="C132" s="8" t="inlineStr">
        <is>
          <t>17. Travel</t>
        </is>
      </c>
      <c r="D132" s="8" t="inlineStr">
        <is>
          <t>17</t>
        </is>
      </c>
      <c r="E132" s="8" t="inlineStr">
        <is>
          <t>part_ix_expenses.travel</t>
        </is>
      </c>
      <c r="F132" s="8" t="inlineStr">
        <is>
          <t>high</t>
        </is>
      </c>
      <c r="G132" s="9" t="n">
        <v>0</v>
      </c>
    </row>
    <row r="133">
      <c r="A133" s="8" t="inlineStr">
        <is>
          <t>Operating expenses (detail)</t>
        </is>
      </c>
      <c r="B133" s="8" t="inlineStr">
        <is>
          <t>D29</t>
        </is>
      </c>
      <c r="C133" s="8" t="inlineStr">
        <is>
          <t>17. Travel</t>
        </is>
      </c>
      <c r="D133" s="8" t="inlineStr">
        <is>
          <t>17</t>
        </is>
      </c>
      <c r="E133" s="8" t="inlineStr">
        <is>
          <t>part_ix_expenses.travel</t>
        </is>
      </c>
      <c r="F133" s="8" t="inlineStr">
        <is>
          <t>high</t>
        </is>
      </c>
      <c r="G133" s="9" t="n">
        <v>0</v>
      </c>
    </row>
    <row r="134">
      <c r="A134" s="8" t="inlineStr">
        <is>
          <t>Operating expenses (detail)</t>
        </is>
      </c>
      <c r="B134" s="8" t="inlineStr">
        <is>
          <t>E29</t>
        </is>
      </c>
      <c r="C134" s="8" t="inlineStr">
        <is>
          <t>17. Travel</t>
        </is>
      </c>
      <c r="D134" s="8" t="inlineStr">
        <is>
          <t>17</t>
        </is>
      </c>
      <c r="E134" s="8" t="inlineStr">
        <is>
          <t>part_ix_expenses.travel</t>
        </is>
      </c>
      <c r="F134" s="8" t="inlineStr">
        <is>
          <t>high</t>
        </is>
      </c>
      <c r="G134" s="9" t="n">
        <v>0</v>
      </c>
    </row>
    <row r="135">
      <c r="A135" s="8" t="inlineStr">
        <is>
          <t>Operating expenses (detail)</t>
        </is>
      </c>
      <c r="B135" s="8" t="inlineStr">
        <is>
          <t>B30</t>
        </is>
      </c>
      <c r="C135" s="8" t="inlineStr">
        <is>
          <t>18. Payments of travel/entertainment for public officials</t>
        </is>
      </c>
      <c r="D135" s="8" t="inlineStr">
        <is>
          <t>18</t>
        </is>
      </c>
      <c r="E135" s="8" t="inlineStr">
        <is>
          <t>part_ix_expenses.travel_entertainment_public_officials</t>
        </is>
      </c>
      <c r="F135" s="8" t="inlineStr">
        <is>
          <t>high</t>
        </is>
      </c>
      <c r="G135" s="9" t="n">
        <v>0</v>
      </c>
    </row>
    <row r="136">
      <c r="A136" s="8" t="inlineStr">
        <is>
          <t>Operating expenses (detail)</t>
        </is>
      </c>
      <c r="B136" s="8" t="inlineStr">
        <is>
          <t>C30</t>
        </is>
      </c>
      <c r="C136" s="8" t="inlineStr">
        <is>
          <t>18. Payments of travel/entertainment for public officials</t>
        </is>
      </c>
      <c r="D136" s="8" t="inlineStr">
        <is>
          <t>18</t>
        </is>
      </c>
      <c r="E136" s="8" t="inlineStr">
        <is>
          <t>part_ix_expenses.travel_entertainment_public_officials</t>
        </is>
      </c>
      <c r="F136" s="8" t="inlineStr">
        <is>
          <t>high</t>
        </is>
      </c>
      <c r="G136" s="9" t="n">
        <v>0</v>
      </c>
    </row>
    <row r="137">
      <c r="A137" s="8" t="inlineStr">
        <is>
          <t>Operating expenses (detail)</t>
        </is>
      </c>
      <c r="B137" s="8" t="inlineStr">
        <is>
          <t>D30</t>
        </is>
      </c>
      <c r="C137" s="8" t="inlineStr">
        <is>
          <t>18. Payments of travel/entertainment for public officials</t>
        </is>
      </c>
      <c r="D137" s="8" t="inlineStr">
        <is>
          <t>18</t>
        </is>
      </c>
      <c r="E137" s="8" t="inlineStr">
        <is>
          <t>part_ix_expenses.travel_entertainment_public_officials</t>
        </is>
      </c>
      <c r="F137" s="8" t="inlineStr">
        <is>
          <t>high</t>
        </is>
      </c>
      <c r="G137" s="9" t="n">
        <v>0</v>
      </c>
    </row>
    <row r="138">
      <c r="A138" s="8" t="inlineStr">
        <is>
          <t>Operating expenses (detail)</t>
        </is>
      </c>
      <c r="B138" s="8" t="inlineStr">
        <is>
          <t>E30</t>
        </is>
      </c>
      <c r="C138" s="8" t="inlineStr">
        <is>
          <t>18. Payments of travel/entertainment for public officials</t>
        </is>
      </c>
      <c r="D138" s="8" t="inlineStr">
        <is>
          <t>18</t>
        </is>
      </c>
      <c r="E138" s="8" t="inlineStr">
        <is>
          <t>part_ix_expenses.travel_entertainment_public_officials</t>
        </is>
      </c>
      <c r="F138" s="8" t="inlineStr">
        <is>
          <t>high</t>
        </is>
      </c>
      <c r="G138" s="9" t="n">
        <v>0</v>
      </c>
    </row>
    <row r="139">
      <c r="A139" s="8" t="inlineStr">
        <is>
          <t>Operating expenses (detail)</t>
        </is>
      </c>
      <c r="B139" s="8" t="inlineStr">
        <is>
          <t>B31</t>
        </is>
      </c>
      <c r="C139" s="8" t="inlineStr">
        <is>
          <t>19. Conferences, conventions, and meetings</t>
        </is>
      </c>
      <c r="D139" s="8" t="inlineStr">
        <is>
          <t>19</t>
        </is>
      </c>
      <c r="E139" s="8" t="inlineStr">
        <is>
          <t>part_ix_expenses.conferences_conventions_meetings</t>
        </is>
      </c>
      <c r="F139" s="8" t="inlineStr">
        <is>
          <t>high</t>
        </is>
      </c>
      <c r="G139" s="9" t="n">
        <v>1451</v>
      </c>
    </row>
    <row r="140">
      <c r="A140" s="8" t="inlineStr">
        <is>
          <t>Operating expenses (detail)</t>
        </is>
      </c>
      <c r="B140" s="8" t="inlineStr">
        <is>
          <t>C31</t>
        </is>
      </c>
      <c r="C140" s="8" t="inlineStr">
        <is>
          <t>19. Conferences, conventions, and meetings</t>
        </is>
      </c>
      <c r="D140" s="8" t="inlineStr">
        <is>
          <t>19</t>
        </is>
      </c>
      <c r="E140" s="8" t="inlineStr">
        <is>
          <t>part_ix_expenses.conferences_conventions_meetings</t>
        </is>
      </c>
      <c r="F140" s="8" t="inlineStr">
        <is>
          <t>high</t>
        </is>
      </c>
      <c r="G140" s="9" t="n">
        <v>575</v>
      </c>
    </row>
    <row r="141">
      <c r="A141" s="8" t="inlineStr">
        <is>
          <t>Operating expenses (detail)</t>
        </is>
      </c>
      <c r="B141" s="8" t="inlineStr">
        <is>
          <t>D31</t>
        </is>
      </c>
      <c r="C141" s="8" t="inlineStr">
        <is>
          <t>19. Conferences, conventions, and meetings</t>
        </is>
      </c>
      <c r="D141" s="8" t="inlineStr">
        <is>
          <t>19</t>
        </is>
      </c>
      <c r="E141" s="8" t="inlineStr">
        <is>
          <t>part_ix_expenses.conferences_conventions_meetings</t>
        </is>
      </c>
      <c r="F141" s="8" t="inlineStr">
        <is>
          <t>high</t>
        </is>
      </c>
      <c r="G141" s="9" t="n">
        <v>318</v>
      </c>
    </row>
    <row r="142">
      <c r="A142" s="8" t="inlineStr">
        <is>
          <t>Operating expenses (detail)</t>
        </is>
      </c>
      <c r="B142" s="8" t="inlineStr">
        <is>
          <t>E31</t>
        </is>
      </c>
      <c r="C142" s="8" t="inlineStr">
        <is>
          <t>19. Conferences, conventions, and meetings</t>
        </is>
      </c>
      <c r="D142" s="8" t="inlineStr">
        <is>
          <t>19</t>
        </is>
      </c>
      <c r="E142" s="8" t="inlineStr">
        <is>
          <t>part_ix_expenses.conferences_conventions_meetings</t>
        </is>
      </c>
      <c r="F142" s="8" t="inlineStr">
        <is>
          <t>high</t>
        </is>
      </c>
      <c r="G142" s="9" t="n">
        <v>2337</v>
      </c>
    </row>
    <row r="143">
      <c r="A143" s="8" t="inlineStr">
        <is>
          <t>Operating expenses (detail)</t>
        </is>
      </c>
      <c r="B143" s="8" t="inlineStr">
        <is>
          <t>B32</t>
        </is>
      </c>
      <c r="C143" s="8" t="inlineStr">
        <is>
          <t>20. Interest</t>
        </is>
      </c>
      <c r="D143" s="8" t="inlineStr">
        <is>
          <t>20</t>
        </is>
      </c>
      <c r="E143" s="8" t="inlineStr">
        <is>
          <t>part_ix_expenses.interest</t>
        </is>
      </c>
      <c r="F143" s="8" t="inlineStr">
        <is>
          <t>high</t>
        </is>
      </c>
      <c r="G143" s="9" t="n">
        <v>17136</v>
      </c>
    </row>
    <row r="144">
      <c r="A144" s="8" t="inlineStr">
        <is>
          <t>Operating expenses (detail)</t>
        </is>
      </c>
      <c r="B144" s="8" t="inlineStr">
        <is>
          <t>C32</t>
        </is>
      </c>
      <c r="C144" s="8" t="inlineStr">
        <is>
          <t>20. Interest</t>
        </is>
      </c>
      <c r="D144" s="8" t="inlineStr">
        <is>
          <t>20</t>
        </is>
      </c>
      <c r="E144" s="8" t="inlineStr">
        <is>
          <t>part_ix_expenses.interest</t>
        </is>
      </c>
      <c r="F144" s="8" t="inlineStr">
        <is>
          <t>high</t>
        </is>
      </c>
      <c r="G144" s="9" t="n">
        <v>8895</v>
      </c>
    </row>
    <row r="145">
      <c r="A145" s="8" t="inlineStr">
        <is>
          <t>Operating expenses (detail)</t>
        </is>
      </c>
      <c r="B145" s="8" t="inlineStr">
        <is>
          <t>D32</t>
        </is>
      </c>
      <c r="C145" s="8" t="inlineStr">
        <is>
          <t>20. Interest</t>
        </is>
      </c>
      <c r="D145" s="8" t="inlineStr">
        <is>
          <t>20</t>
        </is>
      </c>
      <c r="E145" s="8" t="inlineStr">
        <is>
          <t>part_ix_expenses.interest</t>
        </is>
      </c>
      <c r="F145" s="8" t="inlineStr">
        <is>
          <t>high</t>
        </is>
      </c>
      <c r="G145" s="9" t="n">
        <v>5453</v>
      </c>
    </row>
    <row r="146">
      <c r="A146" s="8" t="inlineStr">
        <is>
          <t>Operating expenses (detail)</t>
        </is>
      </c>
      <c r="B146" s="8" t="inlineStr">
        <is>
          <t>E32</t>
        </is>
      </c>
      <c r="C146" s="8" t="inlineStr">
        <is>
          <t>20. Interest</t>
        </is>
      </c>
      <c r="D146" s="8" t="inlineStr">
        <is>
          <t>20</t>
        </is>
      </c>
      <c r="E146" s="8" t="inlineStr">
        <is>
          <t>part_ix_expenses.interest</t>
        </is>
      </c>
      <c r="F146" s="8" t="inlineStr">
        <is>
          <t>high</t>
        </is>
      </c>
      <c r="G146" s="9" t="n">
        <v>196499</v>
      </c>
    </row>
    <row r="147">
      <c r="A147" s="8" t="inlineStr">
        <is>
          <t>Operating expenses (detail)</t>
        </is>
      </c>
      <c r="B147" s="8" t="inlineStr">
        <is>
          <t>B33</t>
        </is>
      </c>
      <c r="C147" s="8" t="inlineStr">
        <is>
          <t>21. Payments to affiliates</t>
        </is>
      </c>
      <c r="D147" s="8" t="inlineStr">
        <is>
          <t>21</t>
        </is>
      </c>
      <c r="E147" s="8" t="inlineStr">
        <is>
          <t>part_ix_expenses.payments_to_affiliates</t>
        </is>
      </c>
      <c r="F147" s="8" t="inlineStr">
        <is>
          <t>high</t>
        </is>
      </c>
      <c r="G147" s="9" t="n">
        <v>0</v>
      </c>
    </row>
    <row r="148">
      <c r="A148" s="8" t="inlineStr">
        <is>
          <t>Operating expenses (detail)</t>
        </is>
      </c>
      <c r="B148" s="8" t="inlineStr">
        <is>
          <t>C33</t>
        </is>
      </c>
      <c r="C148" s="8" t="inlineStr">
        <is>
          <t>21. Payments to affiliates</t>
        </is>
      </c>
      <c r="D148" s="8" t="inlineStr">
        <is>
          <t>21</t>
        </is>
      </c>
      <c r="E148" s="8" t="inlineStr">
        <is>
          <t>part_ix_expenses.payments_to_affiliates</t>
        </is>
      </c>
      <c r="F148" s="8" t="inlineStr">
        <is>
          <t>high</t>
        </is>
      </c>
      <c r="G148" s="9" t="n">
        <v>0</v>
      </c>
    </row>
    <row r="149">
      <c r="A149" s="8" t="inlineStr">
        <is>
          <t>Operating expenses (detail)</t>
        </is>
      </c>
      <c r="B149" s="8" t="inlineStr">
        <is>
          <t>D33</t>
        </is>
      </c>
      <c r="C149" s="8" t="inlineStr">
        <is>
          <t>21. Payments to affiliates</t>
        </is>
      </c>
      <c r="D149" s="8" t="inlineStr">
        <is>
          <t>21</t>
        </is>
      </c>
      <c r="E149" s="8" t="inlineStr">
        <is>
          <t>part_ix_expenses.payments_to_affiliates</t>
        </is>
      </c>
      <c r="F149" s="8" t="inlineStr">
        <is>
          <t>high</t>
        </is>
      </c>
      <c r="G149" s="9" t="n">
        <v>0</v>
      </c>
    </row>
    <row r="150">
      <c r="A150" s="8" t="inlineStr">
        <is>
          <t>Operating expenses (detail)</t>
        </is>
      </c>
      <c r="B150" s="8" t="inlineStr">
        <is>
          <t>E33</t>
        </is>
      </c>
      <c r="C150" s="8" t="inlineStr">
        <is>
          <t>21. Payments to affiliates</t>
        </is>
      </c>
      <c r="D150" s="8" t="inlineStr">
        <is>
          <t>21</t>
        </is>
      </c>
      <c r="E150" s="8" t="inlineStr">
        <is>
          <t>part_ix_expenses.payments_to_affiliates</t>
        </is>
      </c>
      <c r="F150" s="8" t="inlineStr">
        <is>
          <t>high</t>
        </is>
      </c>
      <c r="G150" s="9" t="n">
        <v>0</v>
      </c>
    </row>
    <row r="151">
      <c r="A151" s="8" t="inlineStr">
        <is>
          <t>Operating expenses (detail)</t>
        </is>
      </c>
      <c r="B151" s="8" t="inlineStr">
        <is>
          <t>B34</t>
        </is>
      </c>
      <c r="C151" s="8" t="inlineStr">
        <is>
          <t>22. Depreciation, depletion, and amortization</t>
        </is>
      </c>
      <c r="D151" s="8" t="inlineStr">
        <is>
          <t>22</t>
        </is>
      </c>
      <c r="E151" s="8" t="inlineStr">
        <is>
          <t>part_ix_expenses.depreciation</t>
        </is>
      </c>
      <c r="F151" s="8" t="inlineStr">
        <is>
          <t>high</t>
        </is>
      </c>
      <c r="G151" s="9" t="n">
        <v>278694</v>
      </c>
    </row>
    <row r="152">
      <c r="A152" s="8" t="inlineStr">
        <is>
          <t>Operating expenses (detail)</t>
        </is>
      </c>
      <c r="B152" s="8" t="inlineStr">
        <is>
          <t>C34</t>
        </is>
      </c>
      <c r="C152" s="8" t="inlineStr">
        <is>
          <t>22. Depreciation, depletion, and amortization</t>
        </is>
      </c>
      <c r="D152" s="8" t="inlineStr">
        <is>
          <t>22</t>
        </is>
      </c>
      <c r="E152" s="8" t="inlineStr">
        <is>
          <t>part_ix_expenses.depreciation</t>
        </is>
      </c>
      <c r="F152" s="8" t="inlineStr">
        <is>
          <t>high</t>
        </is>
      </c>
      <c r="G152" s="9" t="n">
        <v>277105</v>
      </c>
    </row>
    <row r="153">
      <c r="A153" s="8" t="inlineStr">
        <is>
          <t>Operating expenses (detail)</t>
        </is>
      </c>
      <c r="B153" s="8" t="inlineStr">
        <is>
          <t>D34</t>
        </is>
      </c>
      <c r="C153" s="8" t="inlineStr">
        <is>
          <t>22. Depreciation, depletion, and amortization</t>
        </is>
      </c>
      <c r="D153" s="8" t="inlineStr">
        <is>
          <t>22</t>
        </is>
      </c>
      <c r="E153" s="8" t="inlineStr">
        <is>
          <t>part_ix_expenses.depreciation</t>
        </is>
      </c>
      <c r="F153" s="8" t="inlineStr">
        <is>
          <t>high</t>
        </is>
      </c>
      <c r="G153" s="9" t="n">
        <v>271384</v>
      </c>
    </row>
    <row r="154">
      <c r="A154" s="8" t="inlineStr">
        <is>
          <t>Operating expenses (detail)</t>
        </is>
      </c>
      <c r="B154" s="8" t="inlineStr">
        <is>
          <t>E34</t>
        </is>
      </c>
      <c r="C154" s="8" t="inlineStr">
        <is>
          <t>22. Depreciation, depletion, and amortization</t>
        </is>
      </c>
      <c r="D154" s="8" t="inlineStr">
        <is>
          <t>22</t>
        </is>
      </c>
      <c r="E154" s="8" t="inlineStr">
        <is>
          <t>part_ix_expenses.depreciation</t>
        </is>
      </c>
      <c r="F154" s="8" t="inlineStr">
        <is>
          <t>high</t>
        </is>
      </c>
      <c r="G154" s="9" t="n">
        <v>278642</v>
      </c>
    </row>
    <row r="155">
      <c r="A155" s="8" t="inlineStr">
        <is>
          <t>Operating expenses (detail)</t>
        </is>
      </c>
      <c r="B155" s="8" t="inlineStr">
        <is>
          <t>B35</t>
        </is>
      </c>
      <c r="C155" s="8" t="inlineStr">
        <is>
          <t>23. Insurance</t>
        </is>
      </c>
      <c r="D155" s="8" t="inlineStr">
        <is>
          <t>23</t>
        </is>
      </c>
      <c r="E155" s="8" t="inlineStr">
        <is>
          <t>part_ix_expenses.insurance</t>
        </is>
      </c>
      <c r="F155" s="8" t="inlineStr">
        <is>
          <t>high</t>
        </is>
      </c>
      <c r="G155" s="9" t="n">
        <v>142139</v>
      </c>
    </row>
    <row r="156">
      <c r="A156" s="8" t="inlineStr">
        <is>
          <t>Operating expenses (detail)</t>
        </is>
      </c>
      <c r="B156" s="8" t="inlineStr">
        <is>
          <t>C35</t>
        </is>
      </c>
      <c r="C156" s="8" t="inlineStr">
        <is>
          <t>23. Insurance</t>
        </is>
      </c>
      <c r="D156" s="8" t="inlineStr">
        <is>
          <t>23</t>
        </is>
      </c>
      <c r="E156" s="8" t="inlineStr">
        <is>
          <t>part_ix_expenses.insurance</t>
        </is>
      </c>
      <c r="F156" s="8" t="inlineStr">
        <is>
          <t>high</t>
        </is>
      </c>
      <c r="G156" s="9" t="n">
        <v>146099</v>
      </c>
    </row>
    <row r="157">
      <c r="A157" s="8" t="inlineStr">
        <is>
          <t>Operating expenses (detail)</t>
        </is>
      </c>
      <c r="B157" s="8" t="inlineStr">
        <is>
          <t>D35</t>
        </is>
      </c>
      <c r="C157" s="8" t="inlineStr">
        <is>
          <t>23. Insurance</t>
        </is>
      </c>
      <c r="D157" s="8" t="inlineStr">
        <is>
          <t>23</t>
        </is>
      </c>
      <c r="E157" s="8" t="inlineStr">
        <is>
          <t>part_ix_expenses.insurance</t>
        </is>
      </c>
      <c r="F157" s="8" t="inlineStr">
        <is>
          <t>high</t>
        </is>
      </c>
      <c r="G157" s="9" t="n">
        <v>119988</v>
      </c>
    </row>
    <row r="158">
      <c r="A158" s="8" t="inlineStr">
        <is>
          <t>Operating expenses (detail)</t>
        </is>
      </c>
      <c r="B158" s="8" t="inlineStr">
        <is>
          <t>E35</t>
        </is>
      </c>
      <c r="C158" s="8" t="inlineStr">
        <is>
          <t>23. Insurance</t>
        </is>
      </c>
      <c r="D158" s="8" t="inlineStr">
        <is>
          <t>23</t>
        </is>
      </c>
      <c r="E158" s="8" t="inlineStr">
        <is>
          <t>part_ix_expenses.insurance</t>
        </is>
      </c>
      <c r="F158" s="8" t="inlineStr">
        <is>
          <t>high</t>
        </is>
      </c>
      <c r="G158" s="9" t="n">
        <v>158304</v>
      </c>
    </row>
    <row r="159">
      <c r="A159" s="8" t="inlineStr">
        <is>
          <t>Operating expenses (detail)</t>
        </is>
      </c>
      <c r="B159" s="8" t="inlineStr">
        <is>
          <t>B42</t>
        </is>
      </c>
      <c r="C159" s="8" t="inlineStr">
        <is>
          <t>24e. All other expenses</t>
        </is>
      </c>
      <c r="D159" s="8" t="inlineStr">
        <is>
          <t>24e</t>
        </is>
      </c>
      <c r="E159" s="8" t="inlineStr">
        <is>
          <t>part_ix_expenses.all_other_expenses</t>
        </is>
      </c>
      <c r="F159" s="8" t="inlineStr">
        <is>
          <t>high</t>
        </is>
      </c>
      <c r="G159" s="9" t="n">
        <v>61702</v>
      </c>
    </row>
    <row r="160">
      <c r="A160" s="8" t="inlineStr">
        <is>
          <t>Operating expenses (detail)</t>
        </is>
      </c>
      <c r="B160" s="8" t="inlineStr">
        <is>
          <t>C42</t>
        </is>
      </c>
      <c r="C160" s="8" t="inlineStr">
        <is>
          <t>24e. All other expenses</t>
        </is>
      </c>
      <c r="D160" s="8" t="inlineStr">
        <is>
          <t>24e</t>
        </is>
      </c>
      <c r="E160" s="8" t="inlineStr">
        <is>
          <t>part_ix_expenses.all_other_expenses</t>
        </is>
      </c>
      <c r="F160" s="8" t="inlineStr">
        <is>
          <t>high</t>
        </is>
      </c>
      <c r="G160" s="9" t="n">
        <v>50191</v>
      </c>
    </row>
    <row r="161">
      <c r="A161" s="8" t="inlineStr">
        <is>
          <t>Operating expenses (detail)</t>
        </is>
      </c>
      <c r="B161" s="8" t="inlineStr">
        <is>
          <t>D42</t>
        </is>
      </c>
      <c r="C161" s="8" t="inlineStr">
        <is>
          <t>24e. All other expenses</t>
        </is>
      </c>
      <c r="D161" s="8" t="inlineStr">
        <is>
          <t>24e</t>
        </is>
      </c>
      <c r="E161" s="8" t="inlineStr">
        <is>
          <t>part_ix_expenses.all_other_expenses</t>
        </is>
      </c>
      <c r="F161" s="8" t="inlineStr">
        <is>
          <t>high</t>
        </is>
      </c>
      <c r="G161" s="9" t="n">
        <v>95410</v>
      </c>
    </row>
    <row r="162">
      <c r="A162" s="8" t="inlineStr">
        <is>
          <t>Operating expenses (detail)</t>
        </is>
      </c>
      <c r="B162" s="8" t="inlineStr">
        <is>
          <t>E42</t>
        </is>
      </c>
      <c r="C162" s="8" t="inlineStr">
        <is>
          <t>24e. All other expenses</t>
        </is>
      </c>
      <c r="D162" s="8" t="inlineStr">
        <is>
          <t>24e</t>
        </is>
      </c>
      <c r="E162" s="8" t="inlineStr">
        <is>
          <t>part_ix_expenses.all_other_expenses</t>
        </is>
      </c>
      <c r="F162" s="8" t="inlineStr">
        <is>
          <t>high</t>
        </is>
      </c>
      <c r="G162" s="9" t="n">
        <v>132522</v>
      </c>
    </row>
    <row r="163">
      <c r="A163" s="8" t="inlineStr">
        <is>
          <t>Balance sheet (detail)</t>
        </is>
      </c>
      <c r="B163" s="8" t="inlineStr">
        <is>
          <t>B7</t>
        </is>
      </c>
      <c r="C163" s="8" t="inlineStr">
        <is>
          <t>1. Cash - non-interest-bearing</t>
        </is>
      </c>
      <c r="D163" s="8" t="inlineStr">
        <is>
          <t>1E</t>
        </is>
      </c>
      <c r="E163" s="8" t="inlineStr">
        <is>
          <t>part_x_balance_sheet.cash_noninterest_eoy</t>
        </is>
      </c>
      <c r="F163" s="8" t="inlineStr">
        <is>
          <t>high</t>
        </is>
      </c>
      <c r="G163" s="9" t="n">
        <v>390</v>
      </c>
    </row>
    <row r="164">
      <c r="A164" s="8" t="inlineStr">
        <is>
          <t>Balance sheet (detail)</t>
        </is>
      </c>
      <c r="B164" s="8" t="inlineStr">
        <is>
          <t>C7</t>
        </is>
      </c>
      <c r="C164" s="8" t="inlineStr">
        <is>
          <t>1. Cash - non-interest-bearing</t>
        </is>
      </c>
      <c r="D164" s="8" t="inlineStr">
        <is>
          <t>1E</t>
        </is>
      </c>
      <c r="E164" s="8" t="inlineStr">
        <is>
          <t>part_x_balance_sheet.cash_noninterest_eoy</t>
        </is>
      </c>
      <c r="F164" s="8" t="inlineStr">
        <is>
          <t>high</t>
        </is>
      </c>
      <c r="G164" s="9" t="n">
        <v>390</v>
      </c>
    </row>
    <row r="165">
      <c r="A165" s="8" t="inlineStr">
        <is>
          <t>Balance sheet (detail)</t>
        </is>
      </c>
      <c r="B165" s="8" t="inlineStr">
        <is>
          <t>D7</t>
        </is>
      </c>
      <c r="C165" s="8" t="inlineStr">
        <is>
          <t>1. Cash - non-interest-bearing</t>
        </is>
      </c>
      <c r="D165" s="8" t="inlineStr">
        <is>
          <t>1E</t>
        </is>
      </c>
      <c r="E165" s="8" t="inlineStr">
        <is>
          <t>part_x_balance_sheet.cash_noninterest_eoy</t>
        </is>
      </c>
      <c r="F165" s="8" t="inlineStr">
        <is>
          <t>high</t>
        </is>
      </c>
      <c r="G165" s="9" t="n">
        <v>590</v>
      </c>
    </row>
    <row r="166">
      <c r="A166" s="8" t="inlineStr">
        <is>
          <t>Balance sheet (detail)</t>
        </is>
      </c>
      <c r="B166" s="8" t="inlineStr">
        <is>
          <t>E7</t>
        </is>
      </c>
      <c r="C166" s="8" t="inlineStr">
        <is>
          <t>1. Cash - non-interest-bearing</t>
        </is>
      </c>
      <c r="D166" s="8" t="inlineStr">
        <is>
          <t>1E</t>
        </is>
      </c>
      <c r="E166" s="8" t="inlineStr">
        <is>
          <t>part_x_balance_sheet.cash_noninterest_eoy</t>
        </is>
      </c>
      <c r="F166" s="8" t="inlineStr">
        <is>
          <t>high</t>
        </is>
      </c>
      <c r="G166" s="9" t="n">
        <v>610</v>
      </c>
    </row>
    <row r="167">
      <c r="A167" s="8" t="inlineStr">
        <is>
          <t>Balance sheet (detail)</t>
        </is>
      </c>
      <c r="B167" s="8" t="inlineStr">
        <is>
          <t>B8</t>
        </is>
      </c>
      <c r="C167" s="8" t="inlineStr">
        <is>
          <t>2. Savings and temporary cash investments</t>
        </is>
      </c>
      <c r="D167" s="8" t="inlineStr">
        <is>
          <t>2E</t>
        </is>
      </c>
      <c r="E167" s="8" t="inlineStr">
        <is>
          <t>part_x_balance_sheet.savings_temp_invest_eoy</t>
        </is>
      </c>
      <c r="F167" s="8" t="inlineStr">
        <is>
          <t>high</t>
        </is>
      </c>
      <c r="G167" s="9" t="n">
        <v>436201</v>
      </c>
    </row>
    <row r="168">
      <c r="A168" s="8" t="inlineStr">
        <is>
          <t>Balance sheet (detail)</t>
        </is>
      </c>
      <c r="B168" s="8" t="inlineStr">
        <is>
          <t>C8</t>
        </is>
      </c>
      <c r="C168" s="8" t="inlineStr">
        <is>
          <t>2. Savings and temporary cash investments</t>
        </is>
      </c>
      <c r="D168" s="8" t="inlineStr">
        <is>
          <t>2E</t>
        </is>
      </c>
      <c r="E168" s="8" t="inlineStr">
        <is>
          <t>part_x_balance_sheet.savings_temp_invest_eoy</t>
        </is>
      </c>
      <c r="F168" s="8" t="inlineStr">
        <is>
          <t>high</t>
        </is>
      </c>
      <c r="G168" s="9" t="n">
        <v>706220</v>
      </c>
    </row>
    <row r="169">
      <c r="A169" s="8" t="inlineStr">
        <is>
          <t>Balance sheet (detail)</t>
        </is>
      </c>
      <c r="B169" s="8" t="inlineStr">
        <is>
          <t>D8</t>
        </is>
      </c>
      <c r="C169" s="8" t="inlineStr">
        <is>
          <t>2. Savings and temporary cash investments</t>
        </is>
      </c>
      <c r="D169" s="8" t="inlineStr">
        <is>
          <t>2E</t>
        </is>
      </c>
      <c r="E169" s="8" t="inlineStr">
        <is>
          <t>part_x_balance_sheet.savings_temp_invest_eoy</t>
        </is>
      </c>
      <c r="F169" s="8" t="inlineStr">
        <is>
          <t>high</t>
        </is>
      </c>
      <c r="G169" s="9" t="n">
        <v>825829</v>
      </c>
    </row>
    <row r="170">
      <c r="A170" s="8" t="inlineStr">
        <is>
          <t>Balance sheet (detail)</t>
        </is>
      </c>
      <c r="B170" s="8" t="inlineStr">
        <is>
          <t>E8</t>
        </is>
      </c>
      <c r="C170" s="8" t="inlineStr">
        <is>
          <t>2. Savings and temporary cash investments</t>
        </is>
      </c>
      <c r="D170" s="8" t="inlineStr">
        <is>
          <t>2E</t>
        </is>
      </c>
      <c r="E170" s="8" t="inlineStr">
        <is>
          <t>part_x_balance_sheet.savings_temp_invest_eoy</t>
        </is>
      </c>
      <c r="F170" s="8" t="inlineStr">
        <is>
          <t>high</t>
        </is>
      </c>
      <c r="G170" s="9" t="n">
        <v>592947</v>
      </c>
    </row>
    <row r="171">
      <c r="A171" s="8" t="inlineStr">
        <is>
          <t>Balance sheet (detail)</t>
        </is>
      </c>
      <c r="B171" s="8" t="inlineStr">
        <is>
          <t>B9</t>
        </is>
      </c>
      <c r="C171" s="8" t="inlineStr">
        <is>
          <t>3. Pledges and grants receivable, net</t>
        </is>
      </c>
      <c r="D171" s="8" t="inlineStr">
        <is>
          <t>3E</t>
        </is>
      </c>
      <c r="E171" s="8" t="inlineStr">
        <is>
          <t>part_x_balance_sheet.pledges_grants_receivable_eoy</t>
        </is>
      </c>
      <c r="F171" s="8" t="inlineStr">
        <is>
          <t>high</t>
        </is>
      </c>
      <c r="G171" s="9" t="n">
        <v>0</v>
      </c>
    </row>
    <row r="172">
      <c r="A172" s="8" t="inlineStr">
        <is>
          <t>Balance sheet (detail)</t>
        </is>
      </c>
      <c r="B172" s="8" t="inlineStr">
        <is>
          <t>C9</t>
        </is>
      </c>
      <c r="C172" s="8" t="inlineStr">
        <is>
          <t>3. Pledges and grants receivable, net</t>
        </is>
      </c>
      <c r="D172" s="8" t="inlineStr">
        <is>
          <t>3E</t>
        </is>
      </c>
      <c r="E172" s="8" t="inlineStr">
        <is>
          <t>part_x_balance_sheet.pledges_grants_receivable_eoy</t>
        </is>
      </c>
      <c r="F172" s="8" t="inlineStr">
        <is>
          <t>high</t>
        </is>
      </c>
      <c r="G172" s="9" t="n">
        <v>0</v>
      </c>
    </row>
    <row r="173">
      <c r="A173" s="8" t="inlineStr">
        <is>
          <t>Balance sheet (detail)</t>
        </is>
      </c>
      <c r="B173" s="8" t="inlineStr">
        <is>
          <t>D9</t>
        </is>
      </c>
      <c r="C173" s="8" t="inlineStr">
        <is>
          <t>3. Pledges and grants receivable, net</t>
        </is>
      </c>
      <c r="D173" s="8" t="inlineStr">
        <is>
          <t>3E</t>
        </is>
      </c>
      <c r="E173" s="8" t="inlineStr">
        <is>
          <t>part_x_balance_sheet.pledges_grants_receivable_eoy</t>
        </is>
      </c>
      <c r="F173" s="8" t="inlineStr">
        <is>
          <t>high</t>
        </is>
      </c>
      <c r="G173" s="9" t="n">
        <v>0</v>
      </c>
    </row>
    <row r="174">
      <c r="A174" s="8" t="inlineStr">
        <is>
          <t>Balance sheet (detail)</t>
        </is>
      </c>
      <c r="B174" s="8" t="inlineStr">
        <is>
          <t>E9</t>
        </is>
      </c>
      <c r="C174" s="8" t="inlineStr">
        <is>
          <t>3. Pledges and grants receivable, net</t>
        </is>
      </c>
      <c r="D174" s="8" t="inlineStr">
        <is>
          <t>3E</t>
        </is>
      </c>
      <c r="E174" s="8" t="inlineStr">
        <is>
          <t>part_x_balance_sheet.pledges_grants_receivable_eoy</t>
        </is>
      </c>
      <c r="F174" s="8" t="inlineStr">
        <is>
          <t>high</t>
        </is>
      </c>
      <c r="G174" s="9" t="n">
        <v>0</v>
      </c>
    </row>
    <row r="175">
      <c r="A175" s="8" t="inlineStr">
        <is>
          <t>Balance sheet (detail)</t>
        </is>
      </c>
      <c r="B175" s="8" t="inlineStr">
        <is>
          <t>B10</t>
        </is>
      </c>
      <c r="C175" s="8" t="inlineStr">
        <is>
          <t>4. Accounts receivable, net</t>
        </is>
      </c>
      <c r="D175" s="8" t="inlineStr">
        <is>
          <t>4E</t>
        </is>
      </c>
      <c r="E175" s="8" t="inlineStr">
        <is>
          <t>part_x_balance_sheet.accounts_receivable_eoy</t>
        </is>
      </c>
      <c r="F175" s="8" t="inlineStr">
        <is>
          <t>high</t>
        </is>
      </c>
      <c r="G175" s="9" t="n">
        <v>210488</v>
      </c>
    </row>
    <row r="176">
      <c r="A176" s="8" t="inlineStr">
        <is>
          <t>Balance sheet (detail)</t>
        </is>
      </c>
      <c r="B176" s="8" t="inlineStr">
        <is>
          <t>C10</t>
        </is>
      </c>
      <c r="C176" s="8" t="inlineStr">
        <is>
          <t>4. Accounts receivable, net</t>
        </is>
      </c>
      <c r="D176" s="8" t="inlineStr">
        <is>
          <t>4E</t>
        </is>
      </c>
      <c r="E176" s="8" t="inlineStr">
        <is>
          <t>part_x_balance_sheet.accounts_receivable_eoy</t>
        </is>
      </c>
      <c r="F176" s="8" t="inlineStr">
        <is>
          <t>high</t>
        </is>
      </c>
      <c r="G176" s="9" t="n">
        <v>242804</v>
      </c>
    </row>
    <row r="177">
      <c r="A177" s="8" t="inlineStr">
        <is>
          <t>Balance sheet (detail)</t>
        </is>
      </c>
      <c r="B177" s="8" t="inlineStr">
        <is>
          <t>D10</t>
        </is>
      </c>
      <c r="C177" s="8" t="inlineStr">
        <is>
          <t>4. Accounts receivable, net</t>
        </is>
      </c>
      <c r="D177" s="8" t="inlineStr">
        <is>
          <t>4E</t>
        </is>
      </c>
      <c r="E177" s="8" t="inlineStr">
        <is>
          <t>part_x_balance_sheet.accounts_receivable_eoy</t>
        </is>
      </c>
      <c r="F177" s="8" t="inlineStr">
        <is>
          <t>high</t>
        </is>
      </c>
      <c r="G177" s="9" t="n">
        <v>172314</v>
      </c>
    </row>
    <row r="178">
      <c r="A178" s="8" t="inlineStr">
        <is>
          <t>Balance sheet (detail)</t>
        </is>
      </c>
      <c r="B178" s="8" t="inlineStr">
        <is>
          <t>E10</t>
        </is>
      </c>
      <c r="C178" s="8" t="inlineStr">
        <is>
          <t>4. Accounts receivable, net</t>
        </is>
      </c>
      <c r="D178" s="8" t="inlineStr">
        <is>
          <t>4E</t>
        </is>
      </c>
      <c r="E178" s="8" t="inlineStr">
        <is>
          <t>part_x_balance_sheet.accounts_receivable_eoy</t>
        </is>
      </c>
      <c r="F178" s="8" t="inlineStr">
        <is>
          <t>high</t>
        </is>
      </c>
      <c r="G178" s="9" t="n">
        <v>248186</v>
      </c>
    </row>
    <row r="179">
      <c r="A179" s="8" t="inlineStr">
        <is>
          <t>Balance sheet (detail)</t>
        </is>
      </c>
      <c r="B179" s="8" t="inlineStr">
        <is>
          <t>B11</t>
        </is>
      </c>
      <c r="C179" s="8" t="inlineStr">
        <is>
          <t>5. Receivables from officers/directors/trustees</t>
        </is>
      </c>
      <c r="D179" s="8" t="inlineStr">
        <is>
          <t>5E</t>
        </is>
      </c>
      <c r="E179" s="8" t="inlineStr">
        <is>
          <t>part_x_balance_sheet.receivables_officers_eoy</t>
        </is>
      </c>
      <c r="F179" s="8" t="inlineStr">
        <is>
          <t>high</t>
        </is>
      </c>
      <c r="G179" s="9" t="n">
        <v>0</v>
      </c>
    </row>
    <row r="180">
      <c r="A180" s="8" t="inlineStr">
        <is>
          <t>Balance sheet (detail)</t>
        </is>
      </c>
      <c r="B180" s="8" t="inlineStr">
        <is>
          <t>C11</t>
        </is>
      </c>
      <c r="C180" s="8" t="inlineStr">
        <is>
          <t>5. Receivables from officers/directors/trustees</t>
        </is>
      </c>
      <c r="D180" s="8" t="inlineStr">
        <is>
          <t>5E</t>
        </is>
      </c>
      <c r="E180" s="8" t="inlineStr">
        <is>
          <t>part_x_balance_sheet.receivables_officers_eoy</t>
        </is>
      </c>
      <c r="F180" s="8" t="inlineStr">
        <is>
          <t>high</t>
        </is>
      </c>
      <c r="G180" s="9" t="n">
        <v>0</v>
      </c>
    </row>
    <row r="181">
      <c r="A181" s="8" t="inlineStr">
        <is>
          <t>Balance sheet (detail)</t>
        </is>
      </c>
      <c r="B181" s="8" t="inlineStr">
        <is>
          <t>D11</t>
        </is>
      </c>
      <c r="C181" s="8" t="inlineStr">
        <is>
          <t>5. Receivables from officers/directors/trustees</t>
        </is>
      </c>
      <c r="D181" s="8" t="inlineStr">
        <is>
          <t>5E</t>
        </is>
      </c>
      <c r="E181" s="8" t="inlineStr">
        <is>
          <t>part_x_balance_sheet.receivables_officers_eoy</t>
        </is>
      </c>
      <c r="F181" s="8" t="inlineStr">
        <is>
          <t>high</t>
        </is>
      </c>
      <c r="G181" s="9" t="n">
        <v>0</v>
      </c>
    </row>
    <row r="182">
      <c r="A182" s="8" t="inlineStr">
        <is>
          <t>Balance sheet (detail)</t>
        </is>
      </c>
      <c r="B182" s="8" t="inlineStr">
        <is>
          <t>E11</t>
        </is>
      </c>
      <c r="C182" s="8" t="inlineStr">
        <is>
          <t>5. Receivables from officers/directors/trustees</t>
        </is>
      </c>
      <c r="D182" s="8" t="inlineStr">
        <is>
          <t>5E</t>
        </is>
      </c>
      <c r="E182" s="8" t="inlineStr">
        <is>
          <t>part_x_balance_sheet.receivables_officers_eoy</t>
        </is>
      </c>
      <c r="F182" s="8" t="inlineStr">
        <is>
          <t>high</t>
        </is>
      </c>
      <c r="G182" s="9" t="n">
        <v>0</v>
      </c>
    </row>
    <row r="183">
      <c r="A183" s="8" t="inlineStr">
        <is>
          <t>Balance sheet (detail)</t>
        </is>
      </c>
      <c r="B183" s="8" t="inlineStr">
        <is>
          <t>B12</t>
        </is>
      </c>
      <c r="C183" s="8" t="inlineStr">
        <is>
          <t>6. Receivables from disqualified persons</t>
        </is>
      </c>
      <c r="D183" s="8" t="inlineStr">
        <is>
          <t>6E</t>
        </is>
      </c>
      <c r="E183" s="8" t="inlineStr">
        <is>
          <t>part_x_balance_sheet.receivables_disqualified_eoy</t>
        </is>
      </c>
      <c r="F183" s="8" t="inlineStr">
        <is>
          <t>high</t>
        </is>
      </c>
      <c r="G183" s="9" t="n">
        <v>0</v>
      </c>
    </row>
    <row r="184">
      <c r="A184" s="8" t="inlineStr">
        <is>
          <t>Balance sheet (detail)</t>
        </is>
      </c>
      <c r="B184" s="8" t="inlineStr">
        <is>
          <t>C12</t>
        </is>
      </c>
      <c r="C184" s="8" t="inlineStr">
        <is>
          <t>6. Receivables from disqualified persons</t>
        </is>
      </c>
      <c r="D184" s="8" t="inlineStr">
        <is>
          <t>6E</t>
        </is>
      </c>
      <c r="E184" s="8" t="inlineStr">
        <is>
          <t>part_x_balance_sheet.receivables_disqualified_eoy</t>
        </is>
      </c>
      <c r="F184" s="8" t="inlineStr">
        <is>
          <t>high</t>
        </is>
      </c>
      <c r="G184" s="9" t="n">
        <v>0</v>
      </c>
    </row>
    <row r="185">
      <c r="A185" s="8" t="inlineStr">
        <is>
          <t>Balance sheet (detail)</t>
        </is>
      </c>
      <c r="B185" s="8" t="inlineStr">
        <is>
          <t>D12</t>
        </is>
      </c>
      <c r="C185" s="8" t="inlineStr">
        <is>
          <t>6. Receivables from disqualified persons</t>
        </is>
      </c>
      <c r="D185" s="8" t="inlineStr">
        <is>
          <t>6E</t>
        </is>
      </c>
      <c r="E185" s="8" t="inlineStr">
        <is>
          <t>part_x_balance_sheet.receivables_disqualified_eoy</t>
        </is>
      </c>
      <c r="F185" s="8" t="inlineStr">
        <is>
          <t>high</t>
        </is>
      </c>
      <c r="G185" s="9" t="n">
        <v>0</v>
      </c>
    </row>
    <row r="186">
      <c r="A186" s="8" t="inlineStr">
        <is>
          <t>Balance sheet (detail)</t>
        </is>
      </c>
      <c r="B186" s="8" t="inlineStr">
        <is>
          <t>E12</t>
        </is>
      </c>
      <c r="C186" s="8" t="inlineStr">
        <is>
          <t>6. Receivables from disqualified persons</t>
        </is>
      </c>
      <c r="D186" s="8" t="inlineStr">
        <is>
          <t>6E</t>
        </is>
      </c>
      <c r="E186" s="8" t="inlineStr">
        <is>
          <t>part_x_balance_sheet.receivables_disqualified_eoy</t>
        </is>
      </c>
      <c r="F186" s="8" t="inlineStr">
        <is>
          <t>high</t>
        </is>
      </c>
      <c r="G186" s="9" t="n">
        <v>0</v>
      </c>
    </row>
    <row r="187">
      <c r="A187" s="8" t="inlineStr">
        <is>
          <t>Balance sheet (detail)</t>
        </is>
      </c>
      <c r="B187" s="8" t="inlineStr">
        <is>
          <t>B13</t>
        </is>
      </c>
      <c r="C187" s="8" t="inlineStr">
        <is>
          <t>7. Notes and loans receivable, net</t>
        </is>
      </c>
      <c r="D187" s="8" t="inlineStr">
        <is>
          <t>7E</t>
        </is>
      </c>
      <c r="E187" s="8" t="inlineStr">
        <is>
          <t>part_x_balance_sheet.notes_loans_receivable_eoy</t>
        </is>
      </c>
      <c r="F187" s="8" t="inlineStr">
        <is>
          <t>high</t>
        </is>
      </c>
      <c r="G187" s="9" t="n">
        <v>0</v>
      </c>
    </row>
    <row r="188">
      <c r="A188" s="8" t="inlineStr">
        <is>
          <t>Balance sheet (detail)</t>
        </is>
      </c>
      <c r="B188" s="8" t="inlineStr">
        <is>
          <t>C13</t>
        </is>
      </c>
      <c r="C188" s="8" t="inlineStr">
        <is>
          <t>7. Notes and loans receivable, net</t>
        </is>
      </c>
      <c r="D188" s="8" t="inlineStr">
        <is>
          <t>7E</t>
        </is>
      </c>
      <c r="E188" s="8" t="inlineStr">
        <is>
          <t>part_x_balance_sheet.notes_loans_receivable_eoy</t>
        </is>
      </c>
      <c r="F188" s="8" t="inlineStr">
        <is>
          <t>high</t>
        </is>
      </c>
      <c r="G188" s="9" t="n">
        <v>0</v>
      </c>
    </row>
    <row r="189">
      <c r="A189" s="8" t="inlineStr">
        <is>
          <t>Balance sheet (detail)</t>
        </is>
      </c>
      <c r="B189" s="8" t="inlineStr">
        <is>
          <t>D13</t>
        </is>
      </c>
      <c r="C189" s="8" t="inlineStr">
        <is>
          <t>7. Notes and loans receivable, net</t>
        </is>
      </c>
      <c r="D189" s="8" t="inlineStr">
        <is>
          <t>7E</t>
        </is>
      </c>
      <c r="E189" s="8" t="inlineStr">
        <is>
          <t>part_x_balance_sheet.notes_loans_receivable_eoy</t>
        </is>
      </c>
      <c r="F189" s="8" t="inlineStr">
        <is>
          <t>high</t>
        </is>
      </c>
      <c r="G189" s="9" t="n">
        <v>0</v>
      </c>
    </row>
    <row r="190">
      <c r="A190" s="8" t="inlineStr">
        <is>
          <t>Balance sheet (detail)</t>
        </is>
      </c>
      <c r="B190" s="8" t="inlineStr">
        <is>
          <t>E13</t>
        </is>
      </c>
      <c r="C190" s="8" t="inlineStr">
        <is>
          <t>7. Notes and loans receivable, net</t>
        </is>
      </c>
      <c r="D190" s="8" t="inlineStr">
        <is>
          <t>7E</t>
        </is>
      </c>
      <c r="E190" s="8" t="inlineStr">
        <is>
          <t>part_x_balance_sheet.notes_loans_receivable_eoy</t>
        </is>
      </c>
      <c r="F190" s="8" t="inlineStr">
        <is>
          <t>high</t>
        </is>
      </c>
      <c r="G190" s="9" t="n">
        <v>0</v>
      </c>
    </row>
    <row r="191">
      <c r="A191" s="8" t="inlineStr">
        <is>
          <t>Balance sheet (detail)</t>
        </is>
      </c>
      <c r="B191" s="8" t="inlineStr">
        <is>
          <t>B14</t>
        </is>
      </c>
      <c r="C191" s="8" t="inlineStr">
        <is>
          <t>8. Inventories for sale or use</t>
        </is>
      </c>
      <c r="D191" s="8" t="inlineStr">
        <is>
          <t>8E</t>
        </is>
      </c>
      <c r="E191" s="8" t="inlineStr">
        <is>
          <t>part_x_balance_sheet.inventories_eoy</t>
        </is>
      </c>
      <c r="F191" s="8" t="inlineStr">
        <is>
          <t>high</t>
        </is>
      </c>
      <c r="G191" s="9" t="n">
        <v>136268</v>
      </c>
    </row>
    <row r="192">
      <c r="A192" s="8" t="inlineStr">
        <is>
          <t>Balance sheet (detail)</t>
        </is>
      </c>
      <c r="B192" s="8" t="inlineStr">
        <is>
          <t>C14</t>
        </is>
      </c>
      <c r="C192" s="8" t="inlineStr">
        <is>
          <t>8. Inventories for sale or use</t>
        </is>
      </c>
      <c r="D192" s="8" t="inlineStr">
        <is>
          <t>8E</t>
        </is>
      </c>
      <c r="E192" s="8" t="inlineStr">
        <is>
          <t>part_x_balance_sheet.inventories_eoy</t>
        </is>
      </c>
      <c r="F192" s="8" t="inlineStr">
        <is>
          <t>high</t>
        </is>
      </c>
      <c r="G192" s="9" t="n">
        <v>140943</v>
      </c>
    </row>
    <row r="193">
      <c r="A193" s="8" t="inlineStr">
        <is>
          <t>Balance sheet (detail)</t>
        </is>
      </c>
      <c r="B193" s="8" t="inlineStr">
        <is>
          <t>D14</t>
        </is>
      </c>
      <c r="C193" s="8" t="inlineStr">
        <is>
          <t>8. Inventories for sale or use</t>
        </is>
      </c>
      <c r="D193" s="8" t="inlineStr">
        <is>
          <t>8E</t>
        </is>
      </c>
      <c r="E193" s="8" t="inlineStr">
        <is>
          <t>part_x_balance_sheet.inventories_eoy</t>
        </is>
      </c>
      <c r="F193" s="8" t="inlineStr">
        <is>
          <t>high</t>
        </is>
      </c>
      <c r="G193" s="9" t="n">
        <v>157923</v>
      </c>
    </row>
    <row r="194">
      <c r="A194" s="8" t="inlineStr">
        <is>
          <t>Balance sheet (detail)</t>
        </is>
      </c>
      <c r="B194" s="8" t="inlineStr">
        <is>
          <t>E14</t>
        </is>
      </c>
      <c r="C194" s="8" t="inlineStr">
        <is>
          <t>8. Inventories for sale or use</t>
        </is>
      </c>
      <c r="D194" s="8" t="inlineStr">
        <is>
          <t>8E</t>
        </is>
      </c>
      <c r="E194" s="8" t="inlineStr">
        <is>
          <t>part_x_balance_sheet.inventories_eoy</t>
        </is>
      </c>
      <c r="F194" s="8" t="inlineStr">
        <is>
          <t>high</t>
        </is>
      </c>
      <c r="G194" s="9" t="n">
        <v>209296</v>
      </c>
    </row>
    <row r="195">
      <c r="A195" s="8" t="inlineStr">
        <is>
          <t>Balance sheet (detail)</t>
        </is>
      </c>
      <c r="B195" s="8" t="inlineStr">
        <is>
          <t>B15</t>
        </is>
      </c>
      <c r="C195" s="8" t="inlineStr">
        <is>
          <t>9. Prepaid expenses and deferred charges</t>
        </is>
      </c>
      <c r="D195" s="8" t="inlineStr">
        <is>
          <t>9E</t>
        </is>
      </c>
      <c r="E195" s="8" t="inlineStr">
        <is>
          <t>part_x_balance_sheet.prepaid_expenses_eoy</t>
        </is>
      </c>
      <c r="F195" s="8" t="inlineStr">
        <is>
          <t>high</t>
        </is>
      </c>
      <c r="G195" s="9" t="n">
        <v>0</v>
      </c>
    </row>
    <row r="196">
      <c r="A196" s="8" t="inlineStr">
        <is>
          <t>Balance sheet (detail)</t>
        </is>
      </c>
      <c r="B196" s="8" t="inlineStr">
        <is>
          <t>C15</t>
        </is>
      </c>
      <c r="C196" s="8" t="inlineStr">
        <is>
          <t>9. Prepaid expenses and deferred charges</t>
        </is>
      </c>
      <c r="D196" s="8" t="inlineStr">
        <is>
          <t>9E</t>
        </is>
      </c>
      <c r="E196" s="8" t="inlineStr">
        <is>
          <t>part_x_balance_sheet.prepaid_expenses_eoy</t>
        </is>
      </c>
      <c r="F196" s="8" t="inlineStr">
        <is>
          <t>high</t>
        </is>
      </c>
      <c r="G196" s="9" t="n">
        <v>0</v>
      </c>
    </row>
    <row r="197">
      <c r="A197" s="8" t="inlineStr">
        <is>
          <t>Balance sheet (detail)</t>
        </is>
      </c>
      <c r="B197" s="8" t="inlineStr">
        <is>
          <t>D15</t>
        </is>
      </c>
      <c r="C197" s="8" t="inlineStr">
        <is>
          <t>9. Prepaid expenses and deferred charges</t>
        </is>
      </c>
      <c r="D197" s="8" t="inlineStr">
        <is>
          <t>9E</t>
        </is>
      </c>
      <c r="E197" s="8" t="inlineStr">
        <is>
          <t>part_x_balance_sheet.prepaid_expenses_eoy</t>
        </is>
      </c>
      <c r="F197" s="8" t="inlineStr">
        <is>
          <t>high</t>
        </is>
      </c>
      <c r="G197" s="9" t="n">
        <v>0</v>
      </c>
    </row>
    <row r="198">
      <c r="A198" s="8" t="inlineStr">
        <is>
          <t>Balance sheet (detail)</t>
        </is>
      </c>
      <c r="B198" s="8" t="inlineStr">
        <is>
          <t>E15</t>
        </is>
      </c>
      <c r="C198" s="8" t="inlineStr">
        <is>
          <t>9. Prepaid expenses and deferred charges</t>
        </is>
      </c>
      <c r="D198" s="8" t="inlineStr">
        <is>
          <t>9E</t>
        </is>
      </c>
      <c r="E198" s="8" t="inlineStr">
        <is>
          <t>part_x_balance_sheet.prepaid_expenses_eoy</t>
        </is>
      </c>
      <c r="F198" s="8" t="inlineStr">
        <is>
          <t>high</t>
        </is>
      </c>
      <c r="G198" s="9" t="n">
        <v>11717</v>
      </c>
    </row>
    <row r="199">
      <c r="A199" s="8" t="inlineStr">
        <is>
          <t>Balance sheet (detail)</t>
        </is>
      </c>
      <c r="B199" s="8" t="inlineStr">
        <is>
          <t>B16</t>
        </is>
      </c>
      <c r="C199" s="8" t="inlineStr">
        <is>
          <t>10c. Land, buildings, and equipment, net</t>
        </is>
      </c>
      <c r="D199" s="8" t="inlineStr">
        <is>
          <t>10cE</t>
        </is>
      </c>
      <c r="E199" s="8" t="inlineStr">
        <is>
          <t>part_x_balance_sheet.land_bldg_equip_net_eoy</t>
        </is>
      </c>
      <c r="F199" s="8" t="inlineStr">
        <is>
          <t>high</t>
        </is>
      </c>
      <c r="G199" s="9" t="n">
        <v>6032771</v>
      </c>
    </row>
    <row r="200">
      <c r="A200" s="8" t="inlineStr">
        <is>
          <t>Balance sheet (detail)</t>
        </is>
      </c>
      <c r="B200" s="8" t="inlineStr">
        <is>
          <t>C16</t>
        </is>
      </c>
      <c r="C200" s="8" t="inlineStr">
        <is>
          <t>10c. Land, buildings, and equipment, net</t>
        </is>
      </c>
      <c r="D200" s="8" t="inlineStr">
        <is>
          <t>10cE</t>
        </is>
      </c>
      <c r="E200" s="8" t="inlineStr">
        <is>
          <t>part_x_balance_sheet.land_bldg_equip_net_eoy</t>
        </is>
      </c>
      <c r="F200" s="8" t="inlineStr">
        <is>
          <t>high</t>
        </is>
      </c>
      <c r="G200" s="9" t="n">
        <v>5879005</v>
      </c>
    </row>
    <row r="201">
      <c r="A201" s="8" t="inlineStr">
        <is>
          <t>Balance sheet (detail)</t>
        </is>
      </c>
      <c r="B201" s="8" t="inlineStr">
        <is>
          <t>D16</t>
        </is>
      </c>
      <c r="C201" s="8" t="inlineStr">
        <is>
          <t>10c. Land, buildings, and equipment, net</t>
        </is>
      </c>
      <c r="D201" s="8" t="inlineStr">
        <is>
          <t>10cE</t>
        </is>
      </c>
      <c r="E201" s="8" t="inlineStr">
        <is>
          <t>part_x_balance_sheet.land_bldg_equip_net_eoy</t>
        </is>
      </c>
      <c r="F201" s="8" t="inlineStr">
        <is>
          <t>high</t>
        </is>
      </c>
      <c r="G201" s="9" t="n">
        <v>6044099</v>
      </c>
    </row>
    <row r="202">
      <c r="A202" s="8" t="inlineStr">
        <is>
          <t>Balance sheet (detail)</t>
        </is>
      </c>
      <c r="B202" s="8" t="inlineStr">
        <is>
          <t>E16</t>
        </is>
      </c>
      <c r="C202" s="8" t="inlineStr">
        <is>
          <t>10c. Land, buildings, and equipment, net</t>
        </is>
      </c>
      <c r="D202" s="8" t="inlineStr">
        <is>
          <t>10cE</t>
        </is>
      </c>
      <c r="E202" s="8" t="inlineStr">
        <is>
          <t>part_x_balance_sheet.land_bldg_equip_net_eoy</t>
        </is>
      </c>
      <c r="F202" s="8" t="inlineStr">
        <is>
          <t>high</t>
        </is>
      </c>
      <c r="G202" s="9" t="n">
        <v>9087841</v>
      </c>
    </row>
    <row r="203">
      <c r="A203" s="8" t="inlineStr">
        <is>
          <t>Balance sheet (detail)</t>
        </is>
      </c>
      <c r="B203" s="8" t="inlineStr">
        <is>
          <t>B17</t>
        </is>
      </c>
      <c r="C203" s="8" t="inlineStr">
        <is>
          <t>11. Investments - publicly traded securities</t>
        </is>
      </c>
      <c r="D203" s="8" t="inlineStr">
        <is>
          <t>11E</t>
        </is>
      </c>
      <c r="E203" s="8" t="inlineStr">
        <is>
          <t>part_x_balance_sheet.investments_public_securities_eoy</t>
        </is>
      </c>
      <c r="F203" s="8" t="inlineStr">
        <is>
          <t>high</t>
        </is>
      </c>
      <c r="G203" s="9" t="n">
        <v>0</v>
      </c>
    </row>
    <row r="204">
      <c r="A204" s="8" t="inlineStr">
        <is>
          <t>Balance sheet (detail)</t>
        </is>
      </c>
      <c r="B204" s="8" t="inlineStr">
        <is>
          <t>C17</t>
        </is>
      </c>
      <c r="C204" s="8" t="inlineStr">
        <is>
          <t>11. Investments - publicly traded securities</t>
        </is>
      </c>
      <c r="D204" s="8" t="inlineStr">
        <is>
          <t>11E</t>
        </is>
      </c>
      <c r="E204" s="8" t="inlineStr">
        <is>
          <t>part_x_balance_sheet.investments_public_securities_eoy</t>
        </is>
      </c>
      <c r="F204" s="8" t="inlineStr">
        <is>
          <t>high</t>
        </is>
      </c>
      <c r="G204" s="9" t="n">
        <v>0</v>
      </c>
    </row>
    <row r="205">
      <c r="A205" s="8" t="inlineStr">
        <is>
          <t>Balance sheet (detail)</t>
        </is>
      </c>
      <c r="B205" s="8" t="inlineStr">
        <is>
          <t>D17</t>
        </is>
      </c>
      <c r="C205" s="8" t="inlineStr">
        <is>
          <t>11. Investments - publicly traded securities</t>
        </is>
      </c>
      <c r="D205" s="8" t="inlineStr">
        <is>
          <t>11E</t>
        </is>
      </c>
      <c r="E205" s="8" t="inlineStr">
        <is>
          <t>part_x_balance_sheet.investments_public_securities_eoy</t>
        </is>
      </c>
      <c r="F205" s="8" t="inlineStr">
        <is>
          <t>high</t>
        </is>
      </c>
      <c r="G205" s="9" t="n">
        <v>0</v>
      </c>
    </row>
    <row r="206">
      <c r="A206" s="8" t="inlineStr">
        <is>
          <t>Balance sheet (detail)</t>
        </is>
      </c>
      <c r="B206" s="8" t="inlineStr">
        <is>
          <t>E17</t>
        </is>
      </c>
      <c r="C206" s="8" t="inlineStr">
        <is>
          <t>11. Investments - publicly traded securities</t>
        </is>
      </c>
      <c r="D206" s="8" t="inlineStr">
        <is>
          <t>11E</t>
        </is>
      </c>
      <c r="E206" s="8" t="inlineStr">
        <is>
          <t>part_x_balance_sheet.investments_public_securities_eoy</t>
        </is>
      </c>
      <c r="F206" s="8" t="inlineStr">
        <is>
          <t>high</t>
        </is>
      </c>
      <c r="G206" s="9" t="n">
        <v>0</v>
      </c>
    </row>
    <row r="207">
      <c r="A207" s="8" t="inlineStr">
        <is>
          <t>Balance sheet (detail)</t>
        </is>
      </c>
      <c r="B207" s="8" t="inlineStr">
        <is>
          <t>B18</t>
        </is>
      </c>
      <c r="C207" s="8" t="inlineStr">
        <is>
          <t>12. Investments - other securities</t>
        </is>
      </c>
      <c r="D207" s="8" t="inlineStr">
        <is>
          <t>12E</t>
        </is>
      </c>
      <c r="E207" s="8" t="inlineStr">
        <is>
          <t>part_x_balance_sheet.investments_other_securities_eoy</t>
        </is>
      </c>
      <c r="F207" s="8" t="inlineStr">
        <is>
          <t>high</t>
        </is>
      </c>
      <c r="G207" s="9" t="n">
        <v>0</v>
      </c>
    </row>
    <row r="208">
      <c r="A208" s="8" t="inlineStr">
        <is>
          <t>Balance sheet (detail)</t>
        </is>
      </c>
      <c r="B208" s="8" t="inlineStr">
        <is>
          <t>C18</t>
        </is>
      </c>
      <c r="C208" s="8" t="inlineStr">
        <is>
          <t>12. Investments - other securities</t>
        </is>
      </c>
      <c r="D208" s="8" t="inlineStr">
        <is>
          <t>12E</t>
        </is>
      </c>
      <c r="E208" s="8" t="inlineStr">
        <is>
          <t>part_x_balance_sheet.investments_other_securities_eoy</t>
        </is>
      </c>
      <c r="F208" s="8" t="inlineStr">
        <is>
          <t>high</t>
        </is>
      </c>
      <c r="G208" s="9" t="n">
        <v>0</v>
      </c>
    </row>
    <row r="209">
      <c r="A209" s="8" t="inlineStr">
        <is>
          <t>Balance sheet (detail)</t>
        </is>
      </c>
      <c r="B209" s="8" t="inlineStr">
        <is>
          <t>D18</t>
        </is>
      </c>
      <c r="C209" s="8" t="inlineStr">
        <is>
          <t>12. Investments - other securities</t>
        </is>
      </c>
      <c r="D209" s="8" t="inlineStr">
        <is>
          <t>12E</t>
        </is>
      </c>
      <c r="E209" s="8" t="inlineStr">
        <is>
          <t>part_x_balance_sheet.investments_other_securities_eoy</t>
        </is>
      </c>
      <c r="F209" s="8" t="inlineStr">
        <is>
          <t>high</t>
        </is>
      </c>
      <c r="G209" s="9" t="n">
        <v>0</v>
      </c>
    </row>
    <row r="210">
      <c r="A210" s="8" t="inlineStr">
        <is>
          <t>Balance sheet (detail)</t>
        </is>
      </c>
      <c r="B210" s="8" t="inlineStr">
        <is>
          <t>E18</t>
        </is>
      </c>
      <c r="C210" s="8" t="inlineStr">
        <is>
          <t>12. Investments - other securities</t>
        </is>
      </c>
      <c r="D210" s="8" t="inlineStr">
        <is>
          <t>12E</t>
        </is>
      </c>
      <c r="E210" s="8" t="inlineStr">
        <is>
          <t>part_x_balance_sheet.investments_other_securities_eoy</t>
        </is>
      </c>
      <c r="F210" s="8" t="inlineStr">
        <is>
          <t>high</t>
        </is>
      </c>
      <c r="G210" s="9" t="n">
        <v>0</v>
      </c>
    </row>
    <row r="211">
      <c r="A211" s="8" t="inlineStr">
        <is>
          <t>Balance sheet (detail)</t>
        </is>
      </c>
      <c r="B211" s="8" t="inlineStr">
        <is>
          <t>B19</t>
        </is>
      </c>
      <c r="C211" s="8" t="inlineStr">
        <is>
          <t>13. Investments - program-related</t>
        </is>
      </c>
      <c r="D211" s="8" t="inlineStr">
        <is>
          <t>13E</t>
        </is>
      </c>
      <c r="E211" s="8" t="inlineStr">
        <is>
          <t>part_x_balance_sheet.investments_program_related_eoy</t>
        </is>
      </c>
      <c r="F211" s="8" t="inlineStr">
        <is>
          <t>high</t>
        </is>
      </c>
      <c r="G211" s="9" t="n">
        <v>0</v>
      </c>
    </row>
    <row r="212">
      <c r="A212" s="8" t="inlineStr">
        <is>
          <t>Balance sheet (detail)</t>
        </is>
      </c>
      <c r="B212" s="8" t="inlineStr">
        <is>
          <t>C19</t>
        </is>
      </c>
      <c r="C212" s="8" t="inlineStr">
        <is>
          <t>13. Investments - program-related</t>
        </is>
      </c>
      <c r="D212" s="8" t="inlineStr">
        <is>
          <t>13E</t>
        </is>
      </c>
      <c r="E212" s="8" t="inlineStr">
        <is>
          <t>part_x_balance_sheet.investments_program_related_eoy</t>
        </is>
      </c>
      <c r="F212" s="8" t="inlineStr">
        <is>
          <t>high</t>
        </is>
      </c>
      <c r="G212" s="9" t="n">
        <v>0</v>
      </c>
    </row>
    <row r="213">
      <c r="A213" s="8" t="inlineStr">
        <is>
          <t>Balance sheet (detail)</t>
        </is>
      </c>
      <c r="B213" s="8" t="inlineStr">
        <is>
          <t>D19</t>
        </is>
      </c>
      <c r="C213" s="8" t="inlineStr">
        <is>
          <t>13. Investments - program-related</t>
        </is>
      </c>
      <c r="D213" s="8" t="inlineStr">
        <is>
          <t>13E</t>
        </is>
      </c>
      <c r="E213" s="8" t="inlineStr">
        <is>
          <t>part_x_balance_sheet.investments_program_related_eoy</t>
        </is>
      </c>
      <c r="F213" s="8" t="inlineStr">
        <is>
          <t>high</t>
        </is>
      </c>
      <c r="G213" s="9" t="n">
        <v>0</v>
      </c>
    </row>
    <row r="214">
      <c r="A214" s="8" t="inlineStr">
        <is>
          <t>Balance sheet (detail)</t>
        </is>
      </c>
      <c r="B214" s="8" t="inlineStr">
        <is>
          <t>E19</t>
        </is>
      </c>
      <c r="C214" s="8" t="inlineStr">
        <is>
          <t>13. Investments - program-related</t>
        </is>
      </c>
      <c r="D214" s="8" t="inlineStr">
        <is>
          <t>13E</t>
        </is>
      </c>
      <c r="E214" s="8" t="inlineStr">
        <is>
          <t>part_x_balance_sheet.investments_program_related_eoy</t>
        </is>
      </c>
      <c r="F214" s="8" t="inlineStr">
        <is>
          <t>high</t>
        </is>
      </c>
      <c r="G214" s="9" t="n">
        <v>0</v>
      </c>
    </row>
    <row r="215">
      <c r="A215" s="8" t="inlineStr">
        <is>
          <t>Balance sheet (detail)</t>
        </is>
      </c>
      <c r="B215" s="8" t="inlineStr">
        <is>
          <t>B20</t>
        </is>
      </c>
      <c r="C215" s="8" t="inlineStr">
        <is>
          <t>14. Intangible assets</t>
        </is>
      </c>
      <c r="D215" s="8" t="inlineStr">
        <is>
          <t>14E</t>
        </is>
      </c>
      <c r="E215" s="8" t="inlineStr">
        <is>
          <t>part_x_balance_sheet.intangible_assets_eoy</t>
        </is>
      </c>
      <c r="F215" s="8" t="inlineStr">
        <is>
          <t>high</t>
        </is>
      </c>
      <c r="G215" s="9" t="n">
        <v>0</v>
      </c>
    </row>
    <row r="216">
      <c r="A216" s="8" t="inlineStr">
        <is>
          <t>Balance sheet (detail)</t>
        </is>
      </c>
      <c r="B216" s="8" t="inlineStr">
        <is>
          <t>C20</t>
        </is>
      </c>
      <c r="C216" s="8" t="inlineStr">
        <is>
          <t>14. Intangible assets</t>
        </is>
      </c>
      <c r="D216" s="8" t="inlineStr">
        <is>
          <t>14E</t>
        </is>
      </c>
      <c r="E216" s="8" t="inlineStr">
        <is>
          <t>part_x_balance_sheet.intangible_assets_eoy</t>
        </is>
      </c>
      <c r="F216" s="8" t="inlineStr">
        <is>
          <t>high</t>
        </is>
      </c>
      <c r="G216" s="9" t="n">
        <v>0</v>
      </c>
    </row>
    <row r="217">
      <c r="A217" s="8" t="inlineStr">
        <is>
          <t>Balance sheet (detail)</t>
        </is>
      </c>
      <c r="B217" s="8" t="inlineStr">
        <is>
          <t>D20</t>
        </is>
      </c>
      <c r="C217" s="8" t="inlineStr">
        <is>
          <t>14. Intangible assets</t>
        </is>
      </c>
      <c r="D217" s="8" t="inlineStr">
        <is>
          <t>14E</t>
        </is>
      </c>
      <c r="E217" s="8" t="inlineStr">
        <is>
          <t>part_x_balance_sheet.intangible_assets_eoy</t>
        </is>
      </c>
      <c r="F217" s="8" t="inlineStr">
        <is>
          <t>high</t>
        </is>
      </c>
      <c r="G217" s="9" t="n">
        <v>0</v>
      </c>
    </row>
    <row r="218">
      <c r="A218" s="8" t="inlineStr">
        <is>
          <t>Balance sheet (detail)</t>
        </is>
      </c>
      <c r="B218" s="8" t="inlineStr">
        <is>
          <t>E20</t>
        </is>
      </c>
      <c r="C218" s="8" t="inlineStr">
        <is>
          <t>14. Intangible assets</t>
        </is>
      </c>
      <c r="D218" s="8" t="inlineStr">
        <is>
          <t>14E</t>
        </is>
      </c>
      <c r="E218" s="8" t="inlineStr">
        <is>
          <t>part_x_balance_sheet.intangible_assets_eoy</t>
        </is>
      </c>
      <c r="F218" s="8" t="inlineStr">
        <is>
          <t>high</t>
        </is>
      </c>
      <c r="G218" s="9" t="n">
        <v>0</v>
      </c>
    </row>
    <row r="219">
      <c r="A219" s="8" t="inlineStr">
        <is>
          <t>Balance sheet (detail)</t>
        </is>
      </c>
      <c r="B219" s="8" t="inlineStr">
        <is>
          <t>B21</t>
        </is>
      </c>
      <c r="C219" s="8" t="inlineStr">
        <is>
          <t>15. Other assets</t>
        </is>
      </c>
      <c r="D219" s="8" t="inlineStr">
        <is>
          <t>15E</t>
        </is>
      </c>
      <c r="E219" s="8" t="inlineStr">
        <is>
          <t>part_x_balance_sheet.other_assets_eoy</t>
        </is>
      </c>
      <c r="F219" s="8" t="inlineStr">
        <is>
          <t>high</t>
        </is>
      </c>
      <c r="G219" s="9" t="n">
        <v>7331</v>
      </c>
    </row>
    <row r="220">
      <c r="A220" s="8" t="inlineStr">
        <is>
          <t>Balance sheet (detail)</t>
        </is>
      </c>
      <c r="B220" s="8" t="inlineStr">
        <is>
          <t>C21</t>
        </is>
      </c>
      <c r="C220" s="8" t="inlineStr">
        <is>
          <t>15. Other assets</t>
        </is>
      </c>
      <c r="D220" s="8" t="inlineStr">
        <is>
          <t>15E</t>
        </is>
      </c>
      <c r="E220" s="8" t="inlineStr">
        <is>
          <t>part_x_balance_sheet.other_assets_eoy</t>
        </is>
      </c>
      <c r="F220" s="8" t="inlineStr">
        <is>
          <t>high</t>
        </is>
      </c>
      <c r="G220" s="9" t="n">
        <v>8694</v>
      </c>
    </row>
    <row r="221">
      <c r="A221" s="8" t="inlineStr">
        <is>
          <t>Balance sheet (detail)</t>
        </is>
      </c>
      <c r="B221" s="8" t="inlineStr">
        <is>
          <t>D21</t>
        </is>
      </c>
      <c r="C221" s="8" t="inlineStr">
        <is>
          <t>15. Other assets</t>
        </is>
      </c>
      <c r="D221" s="8" t="inlineStr">
        <is>
          <t>15E</t>
        </is>
      </c>
      <c r="E221" s="8" t="inlineStr">
        <is>
          <t>part_x_balance_sheet.other_assets_eoy</t>
        </is>
      </c>
      <c r="F221" s="8" t="inlineStr">
        <is>
          <t>high</t>
        </is>
      </c>
      <c r="G221" s="9" t="n">
        <v>8543</v>
      </c>
    </row>
    <row r="222">
      <c r="A222" s="8" t="inlineStr">
        <is>
          <t>Balance sheet (detail)</t>
        </is>
      </c>
      <c r="B222" s="8" t="inlineStr">
        <is>
          <t>E21</t>
        </is>
      </c>
      <c r="C222" s="8" t="inlineStr">
        <is>
          <t>15. Other assets</t>
        </is>
      </c>
      <c r="D222" s="8" t="inlineStr">
        <is>
          <t>15E</t>
        </is>
      </c>
      <c r="E222" s="8" t="inlineStr">
        <is>
          <t>part_x_balance_sheet.other_assets_eoy</t>
        </is>
      </c>
      <c r="F222" s="8" t="inlineStr">
        <is>
          <t>high</t>
        </is>
      </c>
      <c r="G222" s="9" t="n">
        <v>0</v>
      </c>
    </row>
    <row r="223">
      <c r="A223" s="8" t="inlineStr">
        <is>
          <t>Balance sheet (detail)</t>
        </is>
      </c>
      <c r="B223" s="8" t="inlineStr">
        <is>
          <t>B25</t>
        </is>
      </c>
      <c r="C223" s="8" t="inlineStr">
        <is>
          <t>17. Accounts payable and accrued expenses</t>
        </is>
      </c>
      <c r="D223" s="8" t="inlineStr">
        <is>
          <t>17E</t>
        </is>
      </c>
      <c r="E223" s="8" t="inlineStr">
        <is>
          <t>part_x_balance_sheet.accounts_payable_eoy</t>
        </is>
      </c>
      <c r="F223" s="8" t="inlineStr">
        <is>
          <t>high</t>
        </is>
      </c>
      <c r="G223" s="9" t="n">
        <v>54492</v>
      </c>
    </row>
    <row r="224">
      <c r="A224" s="8" t="inlineStr">
        <is>
          <t>Balance sheet (detail)</t>
        </is>
      </c>
      <c r="B224" s="8" t="inlineStr">
        <is>
          <t>C25</t>
        </is>
      </c>
      <c r="C224" s="8" t="inlineStr">
        <is>
          <t>17. Accounts payable and accrued expenses</t>
        </is>
      </c>
      <c r="D224" s="8" t="inlineStr">
        <is>
          <t>17E</t>
        </is>
      </c>
      <c r="E224" s="8" t="inlineStr">
        <is>
          <t>part_x_balance_sheet.accounts_payable_eoy</t>
        </is>
      </c>
      <c r="F224" s="8" t="inlineStr">
        <is>
          <t>high</t>
        </is>
      </c>
      <c r="G224" s="9" t="n">
        <v>49190</v>
      </c>
    </row>
    <row r="225">
      <c r="A225" s="8" t="inlineStr">
        <is>
          <t>Balance sheet (detail)</t>
        </is>
      </c>
      <c r="B225" s="8" t="inlineStr">
        <is>
          <t>D25</t>
        </is>
      </c>
      <c r="C225" s="8" t="inlineStr">
        <is>
          <t>17. Accounts payable and accrued expenses</t>
        </is>
      </c>
      <c r="D225" s="8" t="inlineStr">
        <is>
          <t>17E</t>
        </is>
      </c>
      <c r="E225" s="8" t="inlineStr">
        <is>
          <t>part_x_balance_sheet.accounts_payable_eoy</t>
        </is>
      </c>
      <c r="F225" s="8" t="inlineStr">
        <is>
          <t>high</t>
        </is>
      </c>
      <c r="G225" s="9" t="n">
        <v>153404</v>
      </c>
    </row>
    <row r="226">
      <c r="A226" s="8" t="inlineStr">
        <is>
          <t>Balance sheet (detail)</t>
        </is>
      </c>
      <c r="B226" s="8" t="inlineStr">
        <is>
          <t>E25</t>
        </is>
      </c>
      <c r="C226" s="8" t="inlineStr">
        <is>
          <t>17. Accounts payable and accrued expenses</t>
        </is>
      </c>
      <c r="D226" s="8" t="inlineStr">
        <is>
          <t>17E</t>
        </is>
      </c>
      <c r="E226" s="8" t="inlineStr">
        <is>
          <t>part_x_balance_sheet.accounts_payable_eoy</t>
        </is>
      </c>
      <c r="F226" s="8" t="inlineStr">
        <is>
          <t>high</t>
        </is>
      </c>
      <c r="G226" s="9" t="n">
        <v>45646</v>
      </c>
    </row>
    <row r="227">
      <c r="A227" s="8" t="inlineStr">
        <is>
          <t>Balance sheet (detail)</t>
        </is>
      </c>
      <c r="B227" s="8" t="inlineStr">
        <is>
          <t>B26</t>
        </is>
      </c>
      <c r="C227" s="8" t="inlineStr">
        <is>
          <t>23. Secured mortgages and notes payable</t>
        </is>
      </c>
      <c r="D227" s="8" t="inlineStr">
        <is>
          <t>23E</t>
        </is>
      </c>
      <c r="E227" s="8" t="inlineStr">
        <is>
          <t>part_x_balance_sheet.mortgages_secured_notes_eoy</t>
        </is>
      </c>
      <c r="F227" s="8" t="inlineStr">
        <is>
          <t>high</t>
        </is>
      </c>
      <c r="G227" s="9" t="n">
        <v>358092</v>
      </c>
    </row>
    <row r="228">
      <c r="A228" s="8" t="inlineStr">
        <is>
          <t>Balance sheet (detail)</t>
        </is>
      </c>
      <c r="B228" s="8" t="inlineStr">
        <is>
          <t>C26</t>
        </is>
      </c>
      <c r="C228" s="8" t="inlineStr">
        <is>
          <t>23. Secured mortgages and notes payable</t>
        </is>
      </c>
      <c r="D228" s="8" t="inlineStr">
        <is>
          <t>23E</t>
        </is>
      </c>
      <c r="E228" s="8" t="inlineStr">
        <is>
          <t>part_x_balance_sheet.mortgages_secured_notes_eoy</t>
        </is>
      </c>
      <c r="F228" s="8" t="inlineStr">
        <is>
          <t>high</t>
        </is>
      </c>
      <c r="G228" s="9" t="n">
        <v>258869</v>
      </c>
    </row>
    <row r="229">
      <c r="A229" s="8" t="inlineStr">
        <is>
          <t>Balance sheet (detail)</t>
        </is>
      </c>
      <c r="B229" s="8" t="inlineStr">
        <is>
          <t>D26</t>
        </is>
      </c>
      <c r="C229" s="8" t="inlineStr">
        <is>
          <t>23. Secured mortgages and notes payable</t>
        </is>
      </c>
      <c r="D229" s="8" t="inlineStr">
        <is>
          <t>23E</t>
        </is>
      </c>
      <c r="E229" s="8" t="inlineStr">
        <is>
          <t>part_x_balance_sheet.mortgages_secured_notes_eoy</t>
        </is>
      </c>
      <c r="F229" s="8" t="inlineStr">
        <is>
          <t>high</t>
        </is>
      </c>
      <c r="G229" s="9" t="n">
        <v>294649</v>
      </c>
    </row>
    <row r="230">
      <c r="A230" s="8" t="inlineStr">
        <is>
          <t>Balance sheet (detail)</t>
        </is>
      </c>
      <c r="B230" s="8" t="inlineStr">
        <is>
          <t>E26</t>
        </is>
      </c>
      <c r="C230" s="8" t="inlineStr">
        <is>
          <t>23. Secured mortgages and notes payable</t>
        </is>
      </c>
      <c r="D230" s="8" t="inlineStr">
        <is>
          <t>23E</t>
        </is>
      </c>
      <c r="E230" s="8" t="inlineStr">
        <is>
          <t>part_x_balance_sheet.mortgages_secured_notes_eoy</t>
        </is>
      </c>
      <c r="F230" s="8" t="inlineStr">
        <is>
          <t>high</t>
        </is>
      </c>
      <c r="G230" s="9" t="n">
        <v>3296801</v>
      </c>
    </row>
    <row r="231">
      <c r="A231" s="8" t="inlineStr">
        <is>
          <t>Balance sheet (detail)</t>
        </is>
      </c>
      <c r="B231" s="8" t="inlineStr">
        <is>
          <t>B27</t>
        </is>
      </c>
      <c r="C231" s="8" t="inlineStr">
        <is>
          <t>24. Unsecured notes and loans payable</t>
        </is>
      </c>
      <c r="D231" s="8" t="inlineStr">
        <is>
          <t>24E</t>
        </is>
      </c>
      <c r="E231" s="8" t="inlineStr">
        <is>
          <t>part_x_balance_sheet.unsecured_notes_loans_payable_eoy</t>
        </is>
      </c>
      <c r="F231" s="8" t="inlineStr">
        <is>
          <t>high</t>
        </is>
      </c>
      <c r="G231" s="9" t="n">
        <v>39051</v>
      </c>
    </row>
    <row r="232">
      <c r="A232" s="8" t="inlineStr">
        <is>
          <t>Balance sheet (detail)</t>
        </is>
      </c>
      <c r="B232" s="8" t="inlineStr">
        <is>
          <t>C27</t>
        </is>
      </c>
      <c r="C232" s="8" t="inlineStr">
        <is>
          <t>24. Unsecured notes and loans payable</t>
        </is>
      </c>
      <c r="D232" s="8" t="inlineStr">
        <is>
          <t>24E</t>
        </is>
      </c>
      <c r="E232" s="8" t="inlineStr">
        <is>
          <t>part_x_balance_sheet.unsecured_notes_loans_payable_eoy</t>
        </is>
      </c>
      <c r="F232" s="8" t="inlineStr">
        <is>
          <t>high</t>
        </is>
      </c>
      <c r="G232" s="9" t="n">
        <v>10340</v>
      </c>
    </row>
    <row r="233">
      <c r="A233" s="8" t="inlineStr">
        <is>
          <t>Balance sheet (detail)</t>
        </is>
      </c>
      <c r="B233" s="8" t="inlineStr">
        <is>
          <t>B31</t>
        </is>
      </c>
      <c r="C233" s="8" t="inlineStr">
        <is>
          <t>29. Capital stock or trust principal</t>
        </is>
      </c>
      <c r="D233" s="8" t="inlineStr">
        <is>
          <t>29E</t>
        </is>
      </c>
      <c r="E233" s="8" t="inlineStr">
        <is>
          <t>part_x_balance_sheet.cap_stock_eoy</t>
        </is>
      </c>
      <c r="F233" s="8" t="inlineStr">
        <is>
          <t>high</t>
        </is>
      </c>
      <c r="G233" s="9" t="n">
        <v>11417</v>
      </c>
    </row>
    <row r="234">
      <c r="A234" s="8" t="inlineStr">
        <is>
          <t>Balance sheet (detail)</t>
        </is>
      </c>
      <c r="B234" s="8" t="inlineStr">
        <is>
          <t>C31</t>
        </is>
      </c>
      <c r="C234" s="8" t="inlineStr">
        <is>
          <t>29. Capital stock or trust principal</t>
        </is>
      </c>
      <c r="D234" s="8" t="inlineStr">
        <is>
          <t>29E</t>
        </is>
      </c>
      <c r="E234" s="8" t="inlineStr">
        <is>
          <t>part_x_balance_sheet.cap_stock_eoy</t>
        </is>
      </c>
      <c r="F234" s="8" t="inlineStr">
        <is>
          <t>high</t>
        </is>
      </c>
      <c r="G234" s="9" t="n">
        <v>11417</v>
      </c>
    </row>
    <row r="235">
      <c r="A235" s="8" t="inlineStr">
        <is>
          <t>Balance sheet (detail)</t>
        </is>
      </c>
      <c r="B235" s="8" t="inlineStr">
        <is>
          <t>D31</t>
        </is>
      </c>
      <c r="C235" s="8" t="inlineStr">
        <is>
          <t>29. Capital stock or trust principal</t>
        </is>
      </c>
      <c r="D235" s="8" t="inlineStr">
        <is>
          <t>29E</t>
        </is>
      </c>
      <c r="E235" s="8" t="inlineStr">
        <is>
          <t>part_x_balance_sheet.cap_stock_eoy</t>
        </is>
      </c>
      <c r="F235" s="8" t="inlineStr">
        <is>
          <t>high</t>
        </is>
      </c>
      <c r="G235" s="9" t="n">
        <v>18217</v>
      </c>
    </row>
    <row r="236">
      <c r="A236" s="8" t="inlineStr">
        <is>
          <t>Balance sheet (detail)</t>
        </is>
      </c>
      <c r="B236" s="8" t="inlineStr">
        <is>
          <t>E31</t>
        </is>
      </c>
      <c r="C236" s="8" t="inlineStr">
        <is>
          <t>29. Capital stock or trust principal</t>
        </is>
      </c>
      <c r="D236" s="8" t="inlineStr">
        <is>
          <t>29E</t>
        </is>
      </c>
      <c r="E236" s="8" t="inlineStr">
        <is>
          <t>part_x_balance_sheet.cap_stock_eoy</t>
        </is>
      </c>
      <c r="F236" s="8" t="inlineStr">
        <is>
          <t>high</t>
        </is>
      </c>
      <c r="G236" s="9" t="n">
        <v>20192</v>
      </c>
    </row>
    <row r="237">
      <c r="A237" s="8" t="inlineStr">
        <is>
          <t>Balance sheet (detail)</t>
        </is>
      </c>
      <c r="B237" s="8" t="inlineStr">
        <is>
          <t>B32</t>
        </is>
      </c>
      <c r="C237" s="8" t="inlineStr">
        <is>
          <t>30. Paid-in or capital surplus</t>
        </is>
      </c>
      <c r="D237" s="8" t="inlineStr">
        <is>
          <t>30E</t>
        </is>
      </c>
      <c r="E237" s="8" t="inlineStr">
        <is>
          <t>part_x_balance_sheet.paid_in_capital_eoy</t>
        </is>
      </c>
      <c r="F237" s="8" t="inlineStr">
        <is>
          <t>high</t>
        </is>
      </c>
      <c r="G237" s="9" t="n">
        <v>9752381</v>
      </c>
    </row>
    <row r="238">
      <c r="A238" s="8" t="inlineStr">
        <is>
          <t>Balance sheet (detail)</t>
        </is>
      </c>
      <c r="B238" s="8" t="inlineStr">
        <is>
          <t>C32</t>
        </is>
      </c>
      <c r="C238" s="8" t="inlineStr">
        <is>
          <t>30. Paid-in or capital surplus</t>
        </is>
      </c>
      <c r="D238" s="8" t="inlineStr">
        <is>
          <t>30E</t>
        </is>
      </c>
      <c r="E238" s="8" t="inlineStr">
        <is>
          <t>part_x_balance_sheet.paid_in_capital_eoy</t>
        </is>
      </c>
      <c r="F238" s="8" t="inlineStr">
        <is>
          <t>high</t>
        </is>
      </c>
      <c r="G238" s="9" t="n">
        <v>9763249</v>
      </c>
    </row>
    <row r="239">
      <c r="A239" s="8" t="inlineStr">
        <is>
          <t>Balance sheet (detail)</t>
        </is>
      </c>
      <c r="B239" s="8" t="inlineStr">
        <is>
          <t>D32</t>
        </is>
      </c>
      <c r="C239" s="8" t="inlineStr">
        <is>
          <t>30. Paid-in or capital surplus</t>
        </is>
      </c>
      <c r="D239" s="8" t="inlineStr">
        <is>
          <t>30E</t>
        </is>
      </c>
      <c r="E239" s="8" t="inlineStr">
        <is>
          <t>part_x_balance_sheet.paid_in_capital_eoy</t>
        </is>
      </c>
      <c r="F239" s="8" t="inlineStr">
        <is>
          <t>high</t>
        </is>
      </c>
      <c r="G239" s="9" t="n">
        <v>9811859</v>
      </c>
    </row>
    <row r="240">
      <c r="A240" s="8" t="inlineStr">
        <is>
          <t>Balance sheet (detail)</t>
        </is>
      </c>
      <c r="B240" s="8" t="inlineStr">
        <is>
          <t>E32</t>
        </is>
      </c>
      <c r="C240" s="8" t="inlineStr">
        <is>
          <t>30. Paid-in or capital surplus</t>
        </is>
      </c>
      <c r="D240" s="8" t="inlineStr">
        <is>
          <t>30E</t>
        </is>
      </c>
      <c r="E240" s="8" t="inlineStr">
        <is>
          <t>part_x_balance_sheet.paid_in_capital_eoy</t>
        </is>
      </c>
      <c r="F240" s="8" t="inlineStr">
        <is>
          <t>high</t>
        </is>
      </c>
      <c r="G240" s="9" t="n">
        <v>10236612</v>
      </c>
    </row>
    <row r="241">
      <c r="A241" s="8" t="inlineStr">
        <is>
          <t>Balance sheet (detail)</t>
        </is>
      </c>
      <c r="B241" s="8" t="inlineStr">
        <is>
          <t>B33</t>
        </is>
      </c>
      <c r="C241" s="8" t="inlineStr">
        <is>
          <t>31. Retained earnings / accumulated funds</t>
        </is>
      </c>
      <c r="D241" s="8" t="inlineStr">
        <is>
          <t>31E</t>
        </is>
      </c>
      <c r="E241" s="8" t="inlineStr">
        <is>
          <t>part_x_balance_sheet.retained_earnings_eoy</t>
        </is>
      </c>
      <c r="F241" s="8" t="inlineStr">
        <is>
          <t>high</t>
        </is>
      </c>
      <c r="G241" s="9" t="n">
        <v>-3391984</v>
      </c>
    </row>
    <row r="242">
      <c r="A242" s="8" t="inlineStr">
        <is>
          <t>Balance sheet (detail)</t>
        </is>
      </c>
      <c r="B242" s="8" t="inlineStr">
        <is>
          <t>C33</t>
        </is>
      </c>
      <c r="C242" s="8" t="inlineStr">
        <is>
          <t>31. Retained earnings / accumulated funds</t>
        </is>
      </c>
      <c r="D242" s="8" t="inlineStr">
        <is>
          <t>31E</t>
        </is>
      </c>
      <c r="E242" s="8" t="inlineStr">
        <is>
          <t>part_x_balance_sheet.retained_earnings_eoy</t>
        </is>
      </c>
      <c r="F242" s="8" t="inlineStr">
        <is>
          <t>high</t>
        </is>
      </c>
      <c r="G242" s="9" t="n">
        <v>-3115009</v>
      </c>
    </row>
    <row r="243">
      <c r="A243" s="8" t="inlineStr">
        <is>
          <t>Balance sheet (detail)</t>
        </is>
      </c>
      <c r="B243" s="8" t="inlineStr">
        <is>
          <t>D33</t>
        </is>
      </c>
      <c r="C243" s="8" t="inlineStr">
        <is>
          <t>31. Retained earnings / accumulated funds</t>
        </is>
      </c>
      <c r="D243" s="8" t="inlineStr">
        <is>
          <t>31E</t>
        </is>
      </c>
      <c r="E243" s="8" t="inlineStr">
        <is>
          <t>part_x_balance_sheet.retained_earnings_eoy</t>
        </is>
      </c>
      <c r="F243" s="8" t="inlineStr">
        <is>
          <t>high</t>
        </is>
      </c>
      <c r="G243" s="9" t="n">
        <v>-3068831</v>
      </c>
    </row>
    <row r="244">
      <c r="A244" s="8" t="inlineStr">
        <is>
          <t>Balance sheet (detail)</t>
        </is>
      </c>
      <c r="B244" s="8" t="inlineStr">
        <is>
          <t>E33</t>
        </is>
      </c>
      <c r="C244" s="8" t="inlineStr">
        <is>
          <t>31. Retained earnings / accumulated funds</t>
        </is>
      </c>
      <c r="D244" s="8" t="inlineStr">
        <is>
          <t>31E</t>
        </is>
      </c>
      <c r="E244" s="8" t="inlineStr">
        <is>
          <t>part_x_balance_sheet.retained_earnings_eoy</t>
        </is>
      </c>
      <c r="F244" s="8" t="inlineStr">
        <is>
          <t>high</t>
        </is>
      </c>
      <c r="G244" s="9" t="n">
        <v>-3448654</v>
      </c>
    </row>
    <row r="245">
      <c r="A245" s="8" t="inlineStr">
        <is>
          <t>Net-assets reconciliation</t>
        </is>
      </c>
      <c r="B245" s="8" t="inlineStr">
        <is>
          <t>B7</t>
        </is>
      </c>
      <c r="C245" s="8" t="inlineStr">
        <is>
          <t>4. Net assets, beginning of year</t>
        </is>
      </c>
      <c r="D245" s="8" t="inlineStr">
        <is>
          <t>Part XI line 4</t>
        </is>
      </c>
      <c r="E245" s="8" t="inlineStr">
        <is>
          <t>part_xi_reconciliation.net_assets_boy</t>
        </is>
      </c>
      <c r="F245" s="8" t="inlineStr">
        <is>
          <t>high</t>
        </is>
      </c>
      <c r="G245" s="9" t="n">
        <v>6188581</v>
      </c>
    </row>
    <row r="246">
      <c r="A246" s="8" t="inlineStr">
        <is>
          <t>Net-assets reconciliation</t>
        </is>
      </c>
      <c r="B246" s="8" t="inlineStr">
        <is>
          <t>C7</t>
        </is>
      </c>
      <c r="C246" s="8" t="inlineStr">
        <is>
          <t>4. Net assets, beginning of year</t>
        </is>
      </c>
      <c r="D246" s="8" t="inlineStr">
        <is>
          <t>Part XI line 4</t>
        </is>
      </c>
      <c r="E246" s="8" t="inlineStr">
        <is>
          <t>part_xi_reconciliation.net_assets_boy</t>
        </is>
      </c>
      <c r="F246" s="8" t="inlineStr">
        <is>
          <t>high</t>
        </is>
      </c>
      <c r="G246" s="9" t="n">
        <v>6371814</v>
      </c>
    </row>
    <row r="247">
      <c r="A247" s="8" t="inlineStr">
        <is>
          <t>Net-assets reconciliation</t>
        </is>
      </c>
      <c r="B247" s="8" t="inlineStr">
        <is>
          <t>D7</t>
        </is>
      </c>
      <c r="C247" s="8" t="inlineStr">
        <is>
          <t>4. Net assets, beginning of year</t>
        </is>
      </c>
      <c r="D247" s="8" t="inlineStr">
        <is>
          <t>Part XI line 4</t>
        </is>
      </c>
      <c r="E247" s="8" t="inlineStr">
        <is>
          <t>part_xi_reconciliation.net_assets_boy</t>
        </is>
      </c>
      <c r="F247" s="8" t="inlineStr">
        <is>
          <t>high</t>
        </is>
      </c>
      <c r="G247" s="9" t="n">
        <v>6659657</v>
      </c>
    </row>
    <row r="248">
      <c r="A248" s="8" t="inlineStr">
        <is>
          <t>Net-assets reconciliation</t>
        </is>
      </c>
      <c r="B248" s="8" t="inlineStr">
        <is>
          <t>E7</t>
        </is>
      </c>
      <c r="C248" s="8" t="inlineStr">
        <is>
          <t>4. Net assets, beginning of year</t>
        </is>
      </c>
      <c r="D248" s="8" t="inlineStr">
        <is>
          <t>Part XI line 4</t>
        </is>
      </c>
      <c r="E248" s="8" t="inlineStr">
        <is>
          <t>part_xi_reconciliation.net_assets_boy</t>
        </is>
      </c>
      <c r="F248" s="8" t="inlineStr">
        <is>
          <t>high</t>
        </is>
      </c>
      <c r="G248" s="9" t="n">
        <v>6522205</v>
      </c>
    </row>
    <row r="249">
      <c r="A249" s="8" t="inlineStr">
        <is>
          <t>Net-assets reconciliation</t>
        </is>
      </c>
      <c r="B249" s="8" t="inlineStr">
        <is>
          <t>B8</t>
        </is>
      </c>
      <c r="C249" s="8" t="inlineStr">
        <is>
          <t>3. Revenue less expenses</t>
        </is>
      </c>
      <c r="D249" s="8" t="inlineStr">
        <is>
          <t>Part XI line 3</t>
        </is>
      </c>
      <c r="E249" s="8" t="inlineStr">
        <is>
          <t>part_xi_reconciliation.reconciliation_revenue_expenses</t>
        </is>
      </c>
      <c r="F249" s="8" t="inlineStr">
        <is>
          <t>high</t>
        </is>
      </c>
      <c r="G249" s="9" t="n">
        <v>128230</v>
      </c>
    </row>
    <row r="250">
      <c r="A250" s="8" t="inlineStr">
        <is>
          <t>Net-assets reconciliation</t>
        </is>
      </c>
      <c r="B250" s="8" t="inlineStr">
        <is>
          <t>C8</t>
        </is>
      </c>
      <c r="C250" s="8" t="inlineStr">
        <is>
          <t>3. Revenue less expenses</t>
        </is>
      </c>
      <c r="D250" s="8" t="inlineStr">
        <is>
          <t>Part XI line 3</t>
        </is>
      </c>
      <c r="E250" s="8" t="inlineStr">
        <is>
          <t>part_xi_reconciliation.reconciliation_revenue_expenses</t>
        </is>
      </c>
      <c r="F250" s="8" t="inlineStr">
        <is>
          <t>high</t>
        </is>
      </c>
      <c r="G250" s="9" t="n">
        <v>226678</v>
      </c>
    </row>
    <row r="251">
      <c r="A251" s="8" t="inlineStr">
        <is>
          <t>Net-assets reconciliation</t>
        </is>
      </c>
      <c r="B251" s="8" t="inlineStr">
        <is>
          <t>D8</t>
        </is>
      </c>
      <c r="C251" s="8" t="inlineStr">
        <is>
          <t>3. Revenue less expenses</t>
        </is>
      </c>
      <c r="D251" s="8" t="inlineStr">
        <is>
          <t>Part XI line 3</t>
        </is>
      </c>
      <c r="E251" s="8" t="inlineStr">
        <is>
          <t>part_xi_reconciliation.reconciliation_revenue_expenses</t>
        </is>
      </c>
      <c r="F251" s="8" t="inlineStr">
        <is>
          <t>high</t>
        </is>
      </c>
      <c r="G251" s="9" t="n">
        <v>32473</v>
      </c>
    </row>
    <row r="252">
      <c r="A252" s="8" t="inlineStr">
        <is>
          <t>Net-assets reconciliation</t>
        </is>
      </c>
      <c r="B252" s="8" t="inlineStr">
        <is>
          <t>E8</t>
        </is>
      </c>
      <c r="C252" s="8" t="inlineStr">
        <is>
          <t>3. Revenue less expenses</t>
        </is>
      </c>
      <c r="D252" s="8" t="inlineStr">
        <is>
          <t>Part XI line 3</t>
        </is>
      </c>
      <c r="E252" s="8" t="inlineStr">
        <is>
          <t>part_xi_reconciliation.reconciliation_revenue_expenses</t>
        </is>
      </c>
      <c r="F252" s="8" t="inlineStr">
        <is>
          <t>high</t>
        </is>
      </c>
      <c r="G252" s="9" t="n">
        <v>-250788</v>
      </c>
    </row>
    <row r="253">
      <c r="A253" s="8" t="inlineStr">
        <is>
          <t>Net-assets reconciliation</t>
        </is>
      </c>
      <c r="B253" s="8" t="inlineStr">
        <is>
          <t>B9</t>
        </is>
      </c>
      <c r="C253" s="8" t="inlineStr">
        <is>
          <t>8. Prior period adjustments</t>
        </is>
      </c>
      <c r="D253" s="8" t="inlineStr">
        <is>
          <t>Part XI line 8</t>
        </is>
      </c>
      <c r="E253" s="8" t="inlineStr">
        <is>
          <t>part_xi_reconciliation.prior_period_adjustments</t>
        </is>
      </c>
      <c r="F253" s="8" t="inlineStr">
        <is>
          <t>high</t>
        </is>
      </c>
      <c r="G253" s="9" t="n">
        <v>60</v>
      </c>
    </row>
    <row r="254">
      <c r="A254" s="8" t="inlineStr">
        <is>
          <t>Net-assets reconciliation</t>
        </is>
      </c>
      <c r="B254" s="8" t="inlineStr">
        <is>
          <t>B10</t>
        </is>
      </c>
      <c r="C254" s="8" t="inlineStr">
        <is>
          <t>9. Other changes in net assets</t>
        </is>
      </c>
      <c r="D254" s="8" t="inlineStr">
        <is>
          <t>Part XI line 9</t>
        </is>
      </c>
      <c r="E254" s="8" t="inlineStr">
        <is>
          <t>part_xi_reconciliation.other_changes_net_assets</t>
        </is>
      </c>
      <c r="F254" s="8" t="inlineStr">
        <is>
          <t>high</t>
        </is>
      </c>
      <c r="G254" s="9" t="n">
        <v>54943</v>
      </c>
    </row>
    <row r="255">
      <c r="A255" s="8" t="inlineStr">
        <is>
          <t>Net-assets reconciliation</t>
        </is>
      </c>
      <c r="B255" s="8" t="inlineStr">
        <is>
          <t>C10</t>
        </is>
      </c>
      <c r="C255" s="8" t="inlineStr">
        <is>
          <t>9. Other changes in net assets</t>
        </is>
      </c>
      <c r="D255" s="8" t="inlineStr">
        <is>
          <t>Part XI line 9</t>
        </is>
      </c>
      <c r="E255" s="8" t="inlineStr">
        <is>
          <t>part_xi_reconciliation.other_changes_net_assets</t>
        </is>
      </c>
      <c r="F255" s="8" t="inlineStr">
        <is>
          <t>high</t>
        </is>
      </c>
      <c r="G255" s="9" t="n">
        <v>61165</v>
      </c>
    </row>
    <row r="256">
      <c r="A256" s="8" t="inlineStr">
        <is>
          <t>Net-assets reconciliation</t>
        </is>
      </c>
      <c r="B256" s="8" t="inlineStr">
        <is>
          <t>D10</t>
        </is>
      </c>
      <c r="C256" s="8" t="inlineStr">
        <is>
          <t>9. Other changes in net assets</t>
        </is>
      </c>
      <c r="D256" s="8" t="inlineStr">
        <is>
          <t>Part XI line 9</t>
        </is>
      </c>
      <c r="E256" s="8" t="inlineStr">
        <is>
          <t>part_xi_reconciliation.other_changes_net_assets</t>
        </is>
      </c>
      <c r="F256" s="8" t="inlineStr">
        <is>
          <t>high</t>
        </is>
      </c>
      <c r="G256" s="9" t="n">
        <v>69115</v>
      </c>
    </row>
    <row r="257">
      <c r="A257" s="8" t="inlineStr">
        <is>
          <t>Net-assets reconciliation</t>
        </is>
      </c>
      <c r="B257" s="8" t="inlineStr">
        <is>
          <t>E10</t>
        </is>
      </c>
      <c r="C257" s="8" t="inlineStr">
        <is>
          <t>9. Other changes in net assets</t>
        </is>
      </c>
      <c r="D257" s="8" t="inlineStr">
        <is>
          <t>Part XI line 9</t>
        </is>
      </c>
      <c r="E257" s="8" t="inlineStr">
        <is>
          <t>part_xi_reconciliation.other_changes_net_assets</t>
        </is>
      </c>
      <c r="F257" s="8" t="inlineStr">
        <is>
          <t>high</t>
        </is>
      </c>
      <c r="G257" s="9" t="n">
        <v>536733</v>
      </c>
    </row>
    <row r="259">
      <c r="A259" s="28" t="inlineStr">
        <is>
          <t>C. Tie-out checks (filed vs computed; any nonzero variance is flagged red)</t>
        </is>
      </c>
      <c r="B259" s="7" t="n"/>
      <c r="C259" s="7" t="n"/>
      <c r="D259" s="7" t="n"/>
      <c r="E259" s="7" t="n"/>
      <c r="F259" s="7" t="n"/>
      <c r="G259" s="7" t="n"/>
      <c r="H259" s="7" t="n"/>
      <c r="I259" s="7" t="n"/>
      <c r="J259" s="7" t="n"/>
      <c r="K259" s="7" t="n"/>
    </row>
    <row r="260">
      <c r="A260" s="5" t="inlineStr">
        <is>
          <t>Tab</t>
        </is>
      </c>
      <c r="B260" s="5" t="inlineStr">
        <is>
          <t>Check</t>
        </is>
      </c>
      <c r="C260" s="5" t="inlineStr">
        <is>
          <t>Fiscal year</t>
        </is>
      </c>
      <c r="D260" s="5" t="inlineStr">
        <is>
          <t>Filed</t>
        </is>
      </c>
      <c r="E260" s="5" t="inlineStr">
        <is>
          <t>Computed</t>
        </is>
      </c>
      <c r="F260" s="5" t="inlineStr">
        <is>
          <t>Variance (computed - filed)</t>
        </is>
      </c>
    </row>
    <row r="261">
      <c r="A261" s="18" t="inlineStr">
        <is>
          <t>Revenue (detail)</t>
        </is>
      </c>
      <c r="B261" s="18" t="inlineStr">
        <is>
          <t>12. Total revenue</t>
        </is>
      </c>
      <c r="C261" s="18" t="inlineStr">
        <is>
          <t>FY2020</t>
        </is>
      </c>
      <c r="D261" s="9" t="n">
        <v>1356986</v>
      </c>
      <c r="E261" s="9">
        <f>'Revenue (detail)'!B13</f>
        <v/>
      </c>
      <c r="F261" s="9">
        <f>E261-D261</f>
        <v/>
      </c>
    </row>
    <row r="262">
      <c r="A262" s="18" t="inlineStr">
        <is>
          <t>Revenue (detail)</t>
        </is>
      </c>
      <c r="B262" s="18" t="inlineStr">
        <is>
          <t>12. Total revenue</t>
        </is>
      </c>
      <c r="C262" s="18" t="inlineStr">
        <is>
          <t>FY2021</t>
        </is>
      </c>
      <c r="D262" s="9" t="n">
        <v>1454179</v>
      </c>
      <c r="E262" s="9">
        <f>'Revenue (detail)'!C13</f>
        <v/>
      </c>
      <c r="F262" s="9">
        <f>E262-D262</f>
        <v/>
      </c>
    </row>
    <row r="263">
      <c r="A263" s="18" t="inlineStr">
        <is>
          <t>Revenue (detail)</t>
        </is>
      </c>
      <c r="B263" s="18" t="inlineStr">
        <is>
          <t>12. Total revenue</t>
        </is>
      </c>
      <c r="C263" s="18" t="inlineStr">
        <is>
          <t>FY2022</t>
        </is>
      </c>
      <c r="D263" s="9" t="n">
        <v>1474322</v>
      </c>
      <c r="E263" s="9">
        <f>'Revenue (detail)'!D13</f>
        <v/>
      </c>
      <c r="F263" s="9">
        <f>E263-D263</f>
        <v/>
      </c>
    </row>
    <row r="264">
      <c r="A264" s="18" t="inlineStr">
        <is>
          <t>Revenue (detail)</t>
        </is>
      </c>
      <c r="B264" s="18" t="inlineStr">
        <is>
          <t>12. Total revenue</t>
        </is>
      </c>
      <c r="C264" s="18" t="inlineStr">
        <is>
          <t>FY2024</t>
        </is>
      </c>
      <c r="D264" s="9" t="n">
        <v>1719839</v>
      </c>
      <c r="E264" s="9">
        <f>'Revenue (detail)'!E13</f>
        <v/>
      </c>
      <c r="F264" s="9">
        <f>E264-D264</f>
        <v/>
      </c>
    </row>
    <row r="265">
      <c r="A265" s="18" t="inlineStr">
        <is>
          <t>Revenue (detail)</t>
        </is>
      </c>
      <c r="B265" s="18" t="inlineStr">
        <is>
          <t>2g program service revenue = sum of lines 2a-2f (FY2024)</t>
        </is>
      </c>
      <c r="C265" s="18" t="inlineStr">
        <is>
          <t>FY2024</t>
        </is>
      </c>
      <c r="D265" s="9" t="n">
        <v>1692555</v>
      </c>
      <c r="E265" s="9">
        <f>SUM('Revenue (detail)'!C17:C17)</f>
        <v/>
      </c>
      <c r="F265" s="9">
        <f>E265-D265</f>
        <v/>
      </c>
    </row>
    <row r="266">
      <c r="A266" s="18" t="inlineStr">
        <is>
          <t>Operating expenses (detail)</t>
        </is>
      </c>
      <c r="B266" s="18" t="inlineStr">
        <is>
          <t>25. Total functional expenses</t>
        </is>
      </c>
      <c r="C266" s="18" t="inlineStr">
        <is>
          <t>FY2020</t>
        </is>
      </c>
      <c r="D266" s="9" t="n">
        <v>1228756</v>
      </c>
      <c r="E266" s="9">
        <f>'Operating expenses (detail)'!B43</f>
        <v/>
      </c>
      <c r="F266" s="9">
        <f>E266-D266</f>
        <v/>
      </c>
    </row>
    <row r="267">
      <c r="A267" s="18" t="inlineStr">
        <is>
          <t>Operating expenses (detail)</t>
        </is>
      </c>
      <c r="B267" s="18" t="inlineStr">
        <is>
          <t>25. Total functional expenses</t>
        </is>
      </c>
      <c r="C267" s="18" t="inlineStr">
        <is>
          <t>FY2021</t>
        </is>
      </c>
      <c r="D267" s="9" t="n">
        <v>1227501</v>
      </c>
      <c r="E267" s="9">
        <f>'Operating expenses (detail)'!C43</f>
        <v/>
      </c>
      <c r="F267" s="9">
        <f>E267-D267</f>
        <v/>
      </c>
    </row>
    <row r="268">
      <c r="A268" s="18" t="inlineStr">
        <is>
          <t>Operating expenses (detail)</t>
        </is>
      </c>
      <c r="B268" s="18" t="inlineStr">
        <is>
          <t>25. Total functional expenses</t>
        </is>
      </c>
      <c r="C268" s="18" t="inlineStr">
        <is>
          <t>FY2022</t>
        </is>
      </c>
      <c r="D268" s="9" t="n">
        <v>1441849</v>
      </c>
      <c r="E268" s="9">
        <f>'Operating expenses (detail)'!D43</f>
        <v/>
      </c>
      <c r="F268" s="9">
        <f>E268-D268</f>
        <v/>
      </c>
    </row>
    <row r="269">
      <c r="A269" s="18" t="inlineStr">
        <is>
          <t>Operating expenses (detail)</t>
        </is>
      </c>
      <c r="B269" s="18" t="inlineStr">
        <is>
          <t>25. Total functional expenses</t>
        </is>
      </c>
      <c r="C269" s="18" t="inlineStr">
        <is>
          <t>FY2024</t>
        </is>
      </c>
      <c r="D269" s="9" t="n">
        <v>1970627</v>
      </c>
      <c r="E269" s="9">
        <f>'Operating expenses (detail)'!E43</f>
        <v/>
      </c>
      <c r="F269" s="9">
        <f>E269-D269</f>
        <v/>
      </c>
    </row>
    <row r="270">
      <c r="A270" s="18" t="inlineStr">
        <is>
          <t>Operating expenses (detail)</t>
        </is>
      </c>
      <c r="B270" s="18" t="inlineStr">
        <is>
          <t>Part IX column split: col A = B + C + D (FY2024)</t>
        </is>
      </c>
      <c r="C270" s="18" t="inlineStr">
        <is>
          <t>FY2024</t>
        </is>
      </c>
      <c r="D270" s="9">
        <f>'Operating expenses (detail)'!B76</f>
        <v/>
      </c>
      <c r="E270" s="9">
        <f>'Operating expenses (detail)'!C76+'Operating expenses (detail)'!D76+'Operating expenses (detail)'!E76</f>
        <v/>
      </c>
      <c r="F270" s="9">
        <f>E270-D270</f>
        <v/>
      </c>
    </row>
    <row r="271">
      <c r="A271" s="18" t="inlineStr">
        <is>
          <t>Balance sheet (detail)</t>
        </is>
      </c>
      <c r="B271" s="18" t="inlineStr">
        <is>
          <t>16. Total assets</t>
        </is>
      </c>
      <c r="C271" s="18" t="inlineStr">
        <is>
          <t>FY2020</t>
        </is>
      </c>
      <c r="D271" s="9" t="n">
        <v>6823449</v>
      </c>
      <c r="E271" s="9">
        <f>'Balance sheet (detail)'!B22</f>
        <v/>
      </c>
      <c r="F271" s="9">
        <f>E271-D271</f>
        <v/>
      </c>
    </row>
    <row r="272">
      <c r="A272" s="18" t="inlineStr">
        <is>
          <t>Balance sheet (detail)</t>
        </is>
      </c>
      <c r="B272" s="18" t="inlineStr">
        <is>
          <t>16. Total assets</t>
        </is>
      </c>
      <c r="C272" s="18" t="inlineStr">
        <is>
          <t>FY2021</t>
        </is>
      </c>
      <c r="D272" s="9" t="n">
        <v>6978056</v>
      </c>
      <c r="E272" s="9">
        <f>'Balance sheet (detail)'!C22</f>
        <v/>
      </c>
      <c r="F272" s="9">
        <f>E272-D272</f>
        <v/>
      </c>
    </row>
    <row r="273">
      <c r="A273" s="18" t="inlineStr">
        <is>
          <t>Balance sheet (detail)</t>
        </is>
      </c>
      <c r="B273" s="18" t="inlineStr">
        <is>
          <t>16. Total assets</t>
        </is>
      </c>
      <c r="C273" s="18" t="inlineStr">
        <is>
          <t>FY2022</t>
        </is>
      </c>
      <c r="D273" s="9" t="n">
        <v>7209298</v>
      </c>
      <c r="E273" s="9">
        <f>'Balance sheet (detail)'!D22</f>
        <v/>
      </c>
      <c r="F273" s="9">
        <f>E273-D273</f>
        <v/>
      </c>
    </row>
    <row r="274">
      <c r="A274" s="18" t="inlineStr">
        <is>
          <t>Balance sheet (detail)</t>
        </is>
      </c>
      <c r="B274" s="18" t="inlineStr">
        <is>
          <t>16. Total assets</t>
        </is>
      </c>
      <c r="C274" s="18" t="inlineStr">
        <is>
          <t>FY2024</t>
        </is>
      </c>
      <c r="D274" s="9" t="n">
        <v>10150597</v>
      </c>
      <c r="E274" s="9">
        <f>'Balance sheet (detail)'!E22</f>
        <v/>
      </c>
      <c r="F274" s="9">
        <f>E274-D274</f>
        <v/>
      </c>
    </row>
    <row r="275">
      <c r="A275" s="18" t="inlineStr">
        <is>
          <t>Balance sheet (detail)</t>
        </is>
      </c>
      <c r="B275" s="18" t="inlineStr">
        <is>
          <t>26. Total liabilities</t>
        </is>
      </c>
      <c r="C275" s="18" t="inlineStr">
        <is>
          <t>FY2020</t>
        </is>
      </c>
      <c r="D275" s="9" t="n">
        <v>451635</v>
      </c>
      <c r="E275" s="9">
        <f>'Balance sheet (detail)'!B28</f>
        <v/>
      </c>
      <c r="F275" s="9">
        <f>E275-D275</f>
        <v/>
      </c>
    </row>
    <row r="276">
      <c r="A276" s="18" t="inlineStr">
        <is>
          <t>Balance sheet (detail)</t>
        </is>
      </c>
      <c r="B276" s="18" t="inlineStr">
        <is>
          <t>26. Total liabilities</t>
        </is>
      </c>
      <c r="C276" s="18" t="inlineStr">
        <is>
          <t>FY2021</t>
        </is>
      </c>
      <c r="D276" s="9" t="n">
        <v>318399</v>
      </c>
      <c r="E276" s="9">
        <f>'Balance sheet (detail)'!C28</f>
        <v/>
      </c>
      <c r="F276" s="9">
        <f>E276-D276</f>
        <v/>
      </c>
    </row>
    <row r="277">
      <c r="A277" s="18" t="inlineStr">
        <is>
          <t>Balance sheet (detail)</t>
        </is>
      </c>
      <c r="B277" s="18" t="inlineStr">
        <is>
          <t>26. Total liabilities</t>
        </is>
      </c>
      <c r="C277" s="18" t="inlineStr">
        <is>
          <t>FY2022</t>
        </is>
      </c>
      <c r="D277" s="9" t="n">
        <v>448053</v>
      </c>
      <c r="E277" s="9">
        <f>'Balance sheet (detail)'!D28</f>
        <v/>
      </c>
      <c r="F277" s="9">
        <f>E277-D277</f>
        <v/>
      </c>
    </row>
    <row r="278">
      <c r="A278" s="18" t="inlineStr">
        <is>
          <t>Balance sheet (detail)</t>
        </is>
      </c>
      <c r="B278" s="18" t="inlineStr">
        <is>
          <t>26. Total liabilities</t>
        </is>
      </c>
      <c r="C278" s="18" t="inlineStr">
        <is>
          <t>FY2024</t>
        </is>
      </c>
      <c r="D278" s="9" t="n">
        <v>3342447</v>
      </c>
      <c r="E278" s="9">
        <f>'Balance sheet (detail)'!E28</f>
        <v/>
      </c>
      <c r="F278" s="9">
        <f>E278-D278</f>
        <v/>
      </c>
    </row>
    <row r="279">
      <c r="A279" s="18" t="inlineStr">
        <is>
          <t>Balance sheet (detail)</t>
        </is>
      </c>
      <c r="B279" s="18" t="inlineStr">
        <is>
          <t>32. Total net assets / fund balances</t>
        </is>
      </c>
      <c r="C279" s="18" t="inlineStr">
        <is>
          <t>FY2020</t>
        </is>
      </c>
      <c r="D279" s="9" t="n">
        <v>6371814</v>
      </c>
      <c r="E279" s="9">
        <f>'Balance sheet (detail)'!B34</f>
        <v/>
      </c>
      <c r="F279" s="9">
        <f>E279-D279</f>
        <v/>
      </c>
    </row>
    <row r="280">
      <c r="A280" s="18" t="inlineStr">
        <is>
          <t>Balance sheet (detail)</t>
        </is>
      </c>
      <c r="B280" s="18" t="inlineStr">
        <is>
          <t>32. Total net assets / fund balances</t>
        </is>
      </c>
      <c r="C280" s="18" t="inlineStr">
        <is>
          <t>FY2021</t>
        </is>
      </c>
      <c r="D280" s="9" t="n">
        <v>6659657</v>
      </c>
      <c r="E280" s="9">
        <f>'Balance sheet (detail)'!C34</f>
        <v/>
      </c>
      <c r="F280" s="9">
        <f>E280-D280</f>
        <v/>
      </c>
    </row>
    <row r="281">
      <c r="A281" s="18" t="inlineStr">
        <is>
          <t>Balance sheet (detail)</t>
        </is>
      </c>
      <c r="B281" s="18" t="inlineStr">
        <is>
          <t>32. Total net assets / fund balances</t>
        </is>
      </c>
      <c r="C281" s="18" t="inlineStr">
        <is>
          <t>FY2022</t>
        </is>
      </c>
      <c r="D281" s="9" t="n">
        <v>6761245</v>
      </c>
      <c r="E281" s="9">
        <f>'Balance sheet (detail)'!D34</f>
        <v/>
      </c>
      <c r="F281" s="9">
        <f>E281-D281</f>
        <v/>
      </c>
    </row>
    <row r="282">
      <c r="A282" s="18" t="inlineStr">
        <is>
          <t>Balance sheet (detail)</t>
        </is>
      </c>
      <c r="B282" s="18" t="inlineStr">
        <is>
          <t>32. Total net assets / fund balances</t>
        </is>
      </c>
      <c r="C282" s="18" t="inlineStr">
        <is>
          <t>FY2024</t>
        </is>
      </c>
      <c r="D282" s="9" t="n">
        <v>6808150</v>
      </c>
      <c r="E282" s="9">
        <f>'Balance sheet (detail)'!E34</f>
        <v/>
      </c>
      <c r="F282" s="9">
        <f>E282-D282</f>
        <v/>
      </c>
    </row>
    <row r="283">
      <c r="A283" s="18" t="inlineStr">
        <is>
          <t>Balance sheet (detail)</t>
        </is>
      </c>
      <c r="B283" s="18" t="inlineStr">
        <is>
          <t>Balance sheet identity: line 16 = line 26 + line 32 (EOY)</t>
        </is>
      </c>
      <c r="C283" s="18" t="inlineStr">
        <is>
          <t>FY2020</t>
        </is>
      </c>
      <c r="D283" s="9">
        <f>'Balance sheet (detail)'!B22</f>
        <v/>
      </c>
      <c r="E283" s="9">
        <f>SUM('Balance sheet (detail)'!B28,'Balance sheet (detail)'!B34)</f>
        <v/>
      </c>
      <c r="F283" s="9">
        <f>E283-D283</f>
        <v/>
      </c>
    </row>
    <row r="284">
      <c r="A284" s="18" t="inlineStr">
        <is>
          <t>Balance sheet (detail)</t>
        </is>
      </c>
      <c r="B284" s="18" t="inlineStr">
        <is>
          <t>Balance sheet identity: line 16 = line 26 + line 32 (EOY)</t>
        </is>
      </c>
      <c r="C284" s="18" t="inlineStr">
        <is>
          <t>FY2021</t>
        </is>
      </c>
      <c r="D284" s="9">
        <f>'Balance sheet (detail)'!C22</f>
        <v/>
      </c>
      <c r="E284" s="9">
        <f>SUM('Balance sheet (detail)'!C28,'Balance sheet (detail)'!C34)</f>
        <v/>
      </c>
      <c r="F284" s="9">
        <f>E284-D284</f>
        <v/>
      </c>
    </row>
    <row r="285">
      <c r="A285" s="18" t="inlineStr">
        <is>
          <t>Balance sheet (detail)</t>
        </is>
      </c>
      <c r="B285" s="18" t="inlineStr">
        <is>
          <t>Balance sheet identity: line 16 = line 26 + line 32 (EOY)</t>
        </is>
      </c>
      <c r="C285" s="18" t="inlineStr">
        <is>
          <t>FY2022</t>
        </is>
      </c>
      <c r="D285" s="9">
        <f>'Balance sheet (detail)'!D22</f>
        <v/>
      </c>
      <c r="E285" s="9">
        <f>SUM('Balance sheet (detail)'!D28,'Balance sheet (detail)'!D34)</f>
        <v/>
      </c>
      <c r="F285" s="9">
        <f>E285-D285</f>
        <v/>
      </c>
    </row>
    <row r="286">
      <c r="A286" s="18" t="inlineStr">
        <is>
          <t>Balance sheet (detail)</t>
        </is>
      </c>
      <c r="B286" s="18" t="inlineStr">
        <is>
          <t>Balance sheet identity: line 16 = line 26 + line 32 (EOY)</t>
        </is>
      </c>
      <c r="C286" s="18" t="inlineStr">
        <is>
          <t>FY2024</t>
        </is>
      </c>
      <c r="D286" s="9">
        <f>'Balance sheet (detail)'!E22</f>
        <v/>
      </c>
      <c r="E286" s="9">
        <f>SUM('Balance sheet (detail)'!E28,'Balance sheet (detail)'!E34)</f>
        <v/>
      </c>
      <c r="F286" s="9">
        <f>E286-D286</f>
        <v/>
      </c>
    </row>
    <row r="287">
      <c r="A287" s="18" t="inlineStr">
        <is>
          <t>Net-assets reconciliation</t>
        </is>
      </c>
      <c r="B287" s="18" t="inlineStr">
        <is>
          <t>10. Net assets, end of year</t>
        </is>
      </c>
      <c r="C287" s="18" t="inlineStr">
        <is>
          <t>FY2020</t>
        </is>
      </c>
      <c r="D287" s="9" t="n">
        <v>6371814</v>
      </c>
      <c r="E287" s="9">
        <f>'Net-assets reconciliation'!B11</f>
        <v/>
      </c>
      <c r="F287" s="9">
        <f>E287-D287</f>
        <v/>
      </c>
    </row>
    <row r="288">
      <c r="A288" s="18" t="inlineStr">
        <is>
          <t>Net-assets reconciliation</t>
        </is>
      </c>
      <c r="B288" s="18" t="inlineStr">
        <is>
          <t>10. Net assets, end of year</t>
        </is>
      </c>
      <c r="C288" s="18" t="inlineStr">
        <is>
          <t>FY2021</t>
        </is>
      </c>
      <c r="D288" s="9" t="n">
        <v>6659657</v>
      </c>
      <c r="E288" s="9">
        <f>'Net-assets reconciliation'!C11</f>
        <v/>
      </c>
      <c r="F288" s="9">
        <f>E288-D288</f>
        <v/>
      </c>
    </row>
    <row r="289">
      <c r="A289" s="18" t="inlineStr">
        <is>
          <t>Net-assets reconciliation</t>
        </is>
      </c>
      <c r="B289" s="18" t="inlineStr">
        <is>
          <t>10. Net assets, end of year</t>
        </is>
      </c>
      <c r="C289" s="18" t="inlineStr">
        <is>
          <t>FY2022</t>
        </is>
      </c>
      <c r="D289" s="9" t="n">
        <v>6761245</v>
      </c>
      <c r="E289" s="9">
        <f>'Net-assets reconciliation'!D11</f>
        <v/>
      </c>
      <c r="F289" s="9">
        <f>E289-D289</f>
        <v/>
      </c>
    </row>
    <row r="290">
      <c r="A290" s="18" t="inlineStr">
        <is>
          <t>Net-assets reconciliation</t>
        </is>
      </c>
      <c r="B290" s="18" t="inlineStr">
        <is>
          <t>10. Net assets, end of year</t>
        </is>
      </c>
      <c r="C290" s="18" t="inlineStr">
        <is>
          <t>FY2024</t>
        </is>
      </c>
      <c r="D290" s="9" t="n">
        <v>6808150</v>
      </c>
      <c r="E290" s="9">
        <f>'Net-assets reconciliation'!E11</f>
        <v/>
      </c>
      <c r="F290" s="9">
        <f>E290-D290</f>
        <v/>
      </c>
    </row>
    <row r="292">
      <c r="A292" s="28" t="inlineStr">
        <is>
          <t>D. Preparer / auditor trail (one row per fiscal year, as filed)</t>
        </is>
      </c>
      <c r="B292" s="7" t="n"/>
      <c r="C292" s="7" t="n"/>
      <c r="D292" s="7" t="n"/>
      <c r="E292" s="7" t="n"/>
      <c r="F292" s="7" t="n"/>
      <c r="G292" s="7" t="n"/>
      <c r="H292" s="7" t="n"/>
      <c r="I292" s="7" t="n"/>
      <c r="J292" s="7" t="n"/>
      <c r="K292" s="7" t="n"/>
    </row>
    <row r="293">
      <c r="A293" s="5" t="inlineStr">
        <is>
          <t>Fiscal year</t>
        </is>
      </c>
      <c r="B293" s="5" t="inlineStr">
        <is>
          <t>Paid preparer</t>
        </is>
      </c>
      <c r="C293" s="5" t="inlineStr">
        <is>
          <t>Preparer firm</t>
        </is>
      </c>
      <c r="D293" s="5" t="inlineStr">
        <is>
          <t>Independent auditor</t>
        </is>
      </c>
      <c r="E293" s="5" t="inlineStr">
        <is>
          <t>Citation</t>
        </is>
      </c>
    </row>
    <row r="294" ht="42" customHeight="1">
      <c r="A294" s="27" t="inlineStr">
        <is>
          <t>FY2020</t>
        </is>
      </c>
      <c r="B294" s="8" t="inlineStr">
        <is>
          <t>Cecelia J Cummings</t>
        </is>
      </c>
      <c r="C294" s="8" t="inlineStr">
        <is>
          <t>Cecelia J Cummings CPA</t>
        </is>
      </c>
      <c r="D294" s="29" t="inlineStr">
        <is>
          <t>not reported</t>
        </is>
      </c>
      <c r="E294" s="21" t="inlineStr">
        <is>
          <t>Form 990 Return Header, Paid Preparer block (return_header.preparer_person_name / preparer_firm_name); auditor: Part XII line 2 reports audited financial statements but does not name the firm.</t>
        </is>
      </c>
    </row>
    <row r="295" ht="42" customHeight="1">
      <c r="A295" s="27" t="inlineStr">
        <is>
          <t>FY2021</t>
        </is>
      </c>
      <c r="B295" s="8" t="inlineStr">
        <is>
          <t>Cecelia J Cummings</t>
        </is>
      </c>
      <c r="C295" s="8" t="inlineStr">
        <is>
          <t>Cecelia J Cummings CPA</t>
        </is>
      </c>
      <c r="D295" s="29" t="inlineStr">
        <is>
          <t>not reported</t>
        </is>
      </c>
      <c r="E295" s="21" t="inlineStr">
        <is>
          <t>Form 990 Return Header, Paid Preparer block (return_header.preparer_person_name / preparer_firm_name); auditor: Part XII line 2 reports audited financial statements but does not name the firm.</t>
        </is>
      </c>
    </row>
    <row r="296" ht="42" customHeight="1">
      <c r="A296" s="27" t="inlineStr">
        <is>
          <t>FY2022</t>
        </is>
      </c>
      <c r="B296" s="8" t="inlineStr">
        <is>
          <t>Cecelia J Cummings</t>
        </is>
      </c>
      <c r="C296" s="8" t="inlineStr">
        <is>
          <t>Cecelia J Cummings CPA</t>
        </is>
      </c>
      <c r="D296" s="29" t="inlineStr">
        <is>
          <t>not reported</t>
        </is>
      </c>
      <c r="E296" s="21" t="inlineStr">
        <is>
          <t>Form 990 Return Header, Paid Preparer block (return_header.preparer_person_name / preparer_firm_name); auditor: Part XII line 2 reports audited financial statements but does not name the firm.</t>
        </is>
      </c>
    </row>
    <row r="297" ht="42" customHeight="1">
      <c r="A297" s="27" t="inlineStr">
        <is>
          <t>FY2024</t>
        </is>
      </c>
      <c r="B297" s="8" t="inlineStr">
        <is>
          <t>Cecelia J Cummings</t>
        </is>
      </c>
      <c r="C297" s="8" t="inlineStr">
        <is>
          <t>Cecelia J Cummings CPA</t>
        </is>
      </c>
      <c r="D297" s="29" t="inlineStr">
        <is>
          <t>not reported</t>
        </is>
      </c>
      <c r="E297" s="21" t="inlineStr">
        <is>
          <t>Form 990 Return Header, Paid Preparer block (return_header.preparer_person_name / preparer_firm_name); auditor: Part XII line 2 reports audited financial statements but does not name the firm.</t>
        </is>
      </c>
    </row>
    <row r="299" ht="42" customHeight="1">
      <c r="A299"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99:K299"/>
    <mergeCell ref="A5:K5"/>
    <mergeCell ref="A1:K1"/>
  </mergeCells>
  <conditionalFormatting sqref="F261:F290">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