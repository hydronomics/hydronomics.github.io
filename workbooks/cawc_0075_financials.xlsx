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Deltas Mutual Water Co Inc</t>
        </is>
      </c>
    </row>
    <row r="2">
      <c r="A2" s="2" t="inlineStr">
        <is>
          <t>Financial Summary - multi-year overview (USD)</t>
        </is>
      </c>
    </row>
    <row r="3">
      <c r="A3" s="2" t="inlineStr">
        <is>
          <t>Entity ID: cawc_0075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149882</v>
      </c>
      <c r="C10" s="9" t="n">
        <v>152768</v>
      </c>
      <c r="D10" s="9" t="n">
        <v>156507</v>
      </c>
      <c r="E10" s="9" t="n">
        <v>153262</v>
      </c>
      <c r="F10" s="9" t="n">
        <v>157123</v>
      </c>
      <c r="G10" s="9" t="n">
        <v>374367</v>
      </c>
    </row>
    <row r="11">
      <c r="A11" s="8" t="inlineStr">
        <is>
          <t xml:space="preserve">    Total expenses</t>
        </is>
      </c>
      <c r="B11" s="9" t="n">
        <v>161924</v>
      </c>
      <c r="C11" s="9" t="n">
        <v>164732</v>
      </c>
      <c r="D11" s="9" t="n">
        <v>185167</v>
      </c>
      <c r="E11" s="9" t="n">
        <v>173926</v>
      </c>
      <c r="F11" s="9" t="n">
        <v>190914</v>
      </c>
      <c r="G11" s="9" t="n">
        <v>350530</v>
      </c>
    </row>
    <row r="12">
      <c r="A12" s="10" t="inlineStr">
        <is>
          <t xml:space="preserve">    Net income</t>
        </is>
      </c>
      <c r="B12" s="11" t="n">
        <v>-12042</v>
      </c>
      <c r="C12" s="11" t="n">
        <v>-11964</v>
      </c>
      <c r="D12" s="11" t="n">
        <v>-28660</v>
      </c>
      <c r="E12" s="11" t="n">
        <v>-20664</v>
      </c>
      <c r="F12" s="11" t="n">
        <v>-33791</v>
      </c>
      <c r="G12" s="11" t="n">
        <v>23837</v>
      </c>
    </row>
    <row r="14">
      <c r="A14" s="6" t="inlineStr">
        <is>
          <t>Financial position (USD, end of year)</t>
        </is>
      </c>
      <c r="B14" s="7" t="n"/>
      <c r="C14" s="7" t="n"/>
      <c r="D14" s="7" t="n"/>
      <c r="E14" s="7" t="n"/>
      <c r="F14" s="7" t="n"/>
      <c r="G14" s="7" t="n"/>
    </row>
    <row r="15">
      <c r="A15" s="8" t="inlineStr">
        <is>
          <t xml:space="preserve">    Total assets</t>
        </is>
      </c>
      <c r="B15" s="9" t="n">
        <v>164117</v>
      </c>
      <c r="C15" s="9" t="n">
        <v>154780</v>
      </c>
      <c r="D15" s="9" t="n">
        <v>124420</v>
      </c>
      <c r="E15" s="9" t="n">
        <v>107594</v>
      </c>
      <c r="F15" s="9" t="n">
        <v>64223</v>
      </c>
      <c r="G15" s="9" t="n">
        <v>170815</v>
      </c>
    </row>
    <row r="16">
      <c r="A16" s="8" t="inlineStr">
        <is>
          <t xml:space="preserve">    Total liabilities</t>
        </is>
      </c>
      <c r="B16" s="9" t="n">
        <v>4815</v>
      </c>
      <c r="C16" s="9" t="n">
        <v>7442</v>
      </c>
      <c r="D16" s="9" t="n">
        <v>5742</v>
      </c>
      <c r="E16" s="9" t="n">
        <v>9580</v>
      </c>
      <c r="F16" s="9" t="n"/>
      <c r="G16" s="9" t="n">
        <v>82755</v>
      </c>
    </row>
    <row r="17">
      <c r="A17" s="10" t="inlineStr">
        <is>
          <t xml:space="preserve">    Net assets</t>
        </is>
      </c>
      <c r="B17" s="11" t="n">
        <v>159302</v>
      </c>
      <c r="C17" s="11" t="n">
        <v>147338</v>
      </c>
      <c r="D17" s="11" t="n">
        <v>118678</v>
      </c>
      <c r="E17" s="11" t="n">
        <v>98014</v>
      </c>
      <c r="F17" s="11" t="n">
        <v>64223</v>
      </c>
      <c r="G17" s="11" t="n">
        <v>88060</v>
      </c>
    </row>
    <row r="19">
      <c r="A19" s="6" t="inlineStr">
        <is>
          <t>Headline ratios</t>
        </is>
      </c>
      <c r="B19" s="7" t="n"/>
      <c r="C19" s="7" t="n"/>
      <c r="D19" s="7" t="n"/>
      <c r="E19" s="7" t="n"/>
      <c r="F19" s="7" t="n"/>
      <c r="G19" s="7" t="n"/>
    </row>
    <row r="20">
      <c r="A20" s="8" t="inlineStr">
        <is>
          <t xml:space="preserve">    Operating margin</t>
        </is>
      </c>
      <c r="B20" s="12" t="n">
        <v>-0.08034320331994502</v>
      </c>
      <c r="C20" s="12" t="n">
        <v>-0.07831483033095936</v>
      </c>
      <c r="D20" s="12" t="n">
        <v>-0.1831227996191864</v>
      </c>
      <c r="E20" s="12" t="n">
        <v>-0.1348279416946145</v>
      </c>
      <c r="F20" s="12" t="n">
        <v>-0.2150608122299091</v>
      </c>
      <c r="G20" s="12" t="n">
        <v>0.06367281304174781</v>
      </c>
    </row>
    <row r="21">
      <c r="A21" s="8" t="inlineStr">
        <is>
          <t xml:space="preserve">    Revenue growth (YoY)</t>
        </is>
      </c>
      <c r="B21" s="12" t="n"/>
      <c r="C21" s="12" t="n"/>
      <c r="D21" s="12" t="n"/>
      <c r="E21" s="12" t="n"/>
      <c r="F21" s="12" t="n"/>
      <c r="G21" s="12" t="n"/>
    </row>
    <row r="22">
      <c r="A22" s="8" t="inlineStr">
        <is>
          <t xml:space="preserve">    Return on assets</t>
        </is>
      </c>
      <c r="B22" s="12" t="n">
        <v>-0.0733744828384628</v>
      </c>
      <c r="C22" s="12" t="n">
        <v>-0.07729680837317483</v>
      </c>
      <c r="D22" s="12" t="n">
        <v>-0.2303488185179232</v>
      </c>
      <c r="E22" s="12" t="n">
        <v>-0.1920553190698366</v>
      </c>
      <c r="F22" s="12" t="n">
        <v>-0.5261510673746166</v>
      </c>
      <c r="G22" s="12" t="n">
        <v>0.1395486344876035</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Deltas Mutual Water Co Inc</t>
        </is>
      </c>
    </row>
    <row r="2">
      <c r="A2" s="2" t="inlineStr">
        <is>
          <t>Financial Statements - income statement, balance sheet, cash flow, member income test (USD)</t>
        </is>
      </c>
    </row>
    <row r="3">
      <c r="A3" s="2" t="inlineStr">
        <is>
          <t>Entity ID: cawc_0075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v>109866</v>
      </c>
    </row>
    <row r="9">
      <c r="A9" s="8" t="inlineStr">
        <is>
          <t xml:space="preserve">    Investment income</t>
        </is>
      </c>
      <c r="B9" s="9" t="n"/>
      <c r="C9" s="9" t="n"/>
      <c r="D9" s="9" t="n"/>
      <c r="E9" s="9" t="n"/>
      <c r="F9" s="9" t="n"/>
      <c r="G9" s="9" t="n">
        <v>0</v>
      </c>
    </row>
    <row r="10">
      <c r="A10" s="8" t="inlineStr">
        <is>
          <t xml:space="preserve">    Net rental income</t>
        </is>
      </c>
      <c r="B10" s="9" t="n"/>
      <c r="C10" s="9" t="n"/>
      <c r="D10" s="9" t="n"/>
      <c r="E10" s="9" t="n"/>
      <c r="F10" s="9" t="n"/>
      <c r="G10" s="9" t="n">
        <v>0</v>
      </c>
    </row>
    <row r="11">
      <c r="A11" s="8" t="inlineStr">
        <is>
          <t xml:space="preserve">    Net gain/(loss) on investment sales</t>
        </is>
      </c>
      <c r="B11" s="9" t="n"/>
      <c r="C11" s="9" t="n"/>
      <c r="D11" s="9" t="n"/>
      <c r="E11" s="9" t="n"/>
      <c r="F11" s="9" t="n"/>
      <c r="G11" s="9" t="n">
        <v>0</v>
      </c>
    </row>
    <row r="12">
      <c r="A12" s="8" t="inlineStr">
        <is>
          <t xml:space="preserve">    Other revenue</t>
        </is>
      </c>
      <c r="B12" s="9" t="n"/>
      <c r="C12" s="9" t="n"/>
      <c r="D12" s="9" t="n"/>
      <c r="E12" s="9" t="n"/>
      <c r="F12" s="9" t="n"/>
      <c r="G12" s="9" t="n">
        <v>0</v>
      </c>
    </row>
    <row r="13">
      <c r="A13" s="8" t="inlineStr">
        <is>
          <t xml:space="preserve">    Contributions &amp; grants</t>
        </is>
      </c>
      <c r="B13" s="9" t="n"/>
      <c r="C13" s="9" t="n"/>
      <c r="D13" s="9" t="n"/>
      <c r="E13" s="9" t="n"/>
      <c r="F13" s="9" t="n"/>
      <c r="G13" s="9" t="n">
        <v>264501</v>
      </c>
    </row>
    <row r="14">
      <c r="A14" s="10" t="inlineStr">
        <is>
          <t>Total revenue</t>
        </is>
      </c>
      <c r="B14" s="11" t="n"/>
      <c r="C14" s="11" t="n"/>
      <c r="D14" s="11" t="n"/>
      <c r="E14" s="11" t="n"/>
      <c r="F14" s="11" t="n"/>
      <c r="G14" s="11" t="n">
        <v>374367</v>
      </c>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v>0</v>
      </c>
    </row>
    <row r="18">
      <c r="A18" s="8" t="inlineStr">
        <is>
          <t xml:space="preserve">    Interest expense</t>
        </is>
      </c>
      <c r="B18" s="9" t="n"/>
      <c r="C18" s="9" t="n"/>
      <c r="D18" s="9" t="n"/>
      <c r="E18" s="9" t="n"/>
      <c r="F18" s="9" t="n"/>
      <c r="G18" s="9" t="n">
        <v>0</v>
      </c>
    </row>
    <row r="19">
      <c r="A19" s="10" t="inlineStr">
        <is>
          <t>Total expenses</t>
        </is>
      </c>
      <c r="B19" s="11" t="n">
        <v>161924</v>
      </c>
      <c r="C19" s="11" t="n">
        <v>164732</v>
      </c>
      <c r="D19" s="11" t="n">
        <v>185167</v>
      </c>
      <c r="E19" s="11" t="n">
        <v>173926</v>
      </c>
      <c r="F19" s="11" t="n">
        <v>190914</v>
      </c>
      <c r="G19" s="11" t="n">
        <v>350530</v>
      </c>
    </row>
    <row r="21">
      <c r="A21" s="10" t="inlineStr">
        <is>
          <t>Net income</t>
        </is>
      </c>
      <c r="B21" s="11" t="n">
        <v>-12042</v>
      </c>
      <c r="C21" s="11" t="n">
        <v>-11964</v>
      </c>
      <c r="D21" s="11" t="n">
        <v>-28660</v>
      </c>
      <c r="E21" s="11" t="n">
        <v>-20664</v>
      </c>
      <c r="F21" s="11" t="n">
        <v>-33791</v>
      </c>
      <c r="G21" s="11" t="n">
        <v>23837</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156723</v>
      </c>
      <c r="C27" s="9" t="n">
        <v>142256</v>
      </c>
      <c r="D27" s="9" t="n">
        <v>109171</v>
      </c>
      <c r="E27" s="9" t="n">
        <v>94326</v>
      </c>
      <c r="F27" s="9" t="n">
        <v>36546</v>
      </c>
      <c r="G27" s="9" t="n">
        <v>105901</v>
      </c>
    </row>
    <row r="28">
      <c r="A28" s="8" t="inlineStr">
        <is>
          <t xml:space="preserve">    Savings &amp; temporary investments</t>
        </is>
      </c>
      <c r="B28" s="9" t="n"/>
      <c r="C28" s="9" t="n"/>
      <c r="D28" s="9" t="n"/>
      <c r="E28" s="9" t="n"/>
      <c r="F28" s="9" t="n"/>
      <c r="G28" s="9" t="n">
        <v>0</v>
      </c>
    </row>
    <row r="29">
      <c r="A29" s="8" t="inlineStr">
        <is>
          <t xml:space="preserve">    Accounts receivable</t>
        </is>
      </c>
      <c r="B29" s="9" t="n"/>
      <c r="C29" s="9" t="n"/>
      <c r="D29" s="9" t="n"/>
      <c r="E29" s="9" t="n"/>
      <c r="F29" s="9" t="n"/>
      <c r="G29" s="9" t="n">
        <v>64827</v>
      </c>
    </row>
    <row r="30">
      <c r="A30" s="8" t="inlineStr">
        <is>
          <t xml:space="preserve">    Inventories</t>
        </is>
      </c>
      <c r="B30" s="9" t="n"/>
      <c r="C30" s="9" t="n"/>
      <c r="D30" s="9" t="n"/>
      <c r="E30" s="9" t="n"/>
      <c r="F30" s="9" t="n"/>
      <c r="G30" s="9" t="n">
        <v>0</v>
      </c>
    </row>
    <row r="31">
      <c r="A31" s="8" t="inlineStr">
        <is>
          <t xml:space="preserve">    Prepaid expenses</t>
        </is>
      </c>
      <c r="B31" s="9" t="n"/>
      <c r="C31" s="9" t="n"/>
      <c r="D31" s="9" t="n"/>
      <c r="E31" s="9" t="n"/>
      <c r="F31" s="9" t="n"/>
      <c r="G31" s="9" t="n">
        <v>87</v>
      </c>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c r="C34" s="11" t="n"/>
      <c r="D34" s="11" t="n"/>
      <c r="E34" s="11" t="n"/>
      <c r="F34" s="11" t="n"/>
      <c r="G34" s="11" t="n">
        <v>0</v>
      </c>
    </row>
    <row r="35">
      <c r="A35" s="10" t="inlineStr">
        <is>
          <t>Total assets</t>
        </is>
      </c>
      <c r="B35" s="11" t="n">
        <v>164117</v>
      </c>
      <c r="C35" s="11" t="n">
        <v>154780</v>
      </c>
      <c r="D35" s="11" t="n">
        <v>124420</v>
      </c>
      <c r="E35" s="11" t="n">
        <v>107594</v>
      </c>
      <c r="F35" s="11" t="n">
        <v>64223</v>
      </c>
      <c r="G35" s="11" t="n">
        <v>170815</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v>82755</v>
      </c>
    </row>
    <row r="39">
      <c r="A39" s="8" t="inlineStr">
        <is>
          <t xml:space="preserve">    Mortgages &amp; notes payable</t>
        </is>
      </c>
      <c r="B39" s="9" t="n"/>
      <c r="C39" s="9" t="n"/>
      <c r="D39" s="9" t="n"/>
      <c r="E39" s="9" t="n"/>
      <c r="F39" s="9" t="n"/>
      <c r="G39" s="9" t="n"/>
    </row>
    <row r="40">
      <c r="A40" s="10" t="inlineStr">
        <is>
          <t>Total liabilities</t>
        </is>
      </c>
      <c r="B40" s="11" t="n">
        <v>4815</v>
      </c>
      <c r="C40" s="11" t="n">
        <v>7442</v>
      </c>
      <c r="D40" s="11" t="n">
        <v>5742</v>
      </c>
      <c r="E40" s="11" t="n">
        <v>9580</v>
      </c>
      <c r="F40" s="11" t="n"/>
      <c r="G40" s="11" t="n">
        <v>82755</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159302</v>
      </c>
      <c r="C46" s="11" t="n">
        <v>147338</v>
      </c>
      <c r="D46" s="11" t="n">
        <v>118678</v>
      </c>
      <c r="E46" s="11" t="n">
        <v>98014</v>
      </c>
      <c r="F46" s="11" t="n">
        <v>64223</v>
      </c>
      <c r="G46" s="11" t="n">
        <v>88060</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-12042</v>
      </c>
      <c r="C52" s="9" t="n">
        <v>-11964</v>
      </c>
      <c r="D52" s="9" t="n">
        <v>-28660</v>
      </c>
      <c r="E52" s="9" t="n">
        <v>-20664</v>
      </c>
      <c r="F52" s="9" t="n">
        <v>-33791</v>
      </c>
      <c r="G52" s="9" t="n">
        <v>23837</v>
      </c>
    </row>
    <row r="53">
      <c r="A53" s="8" t="inlineStr">
        <is>
          <t xml:space="preserve">    + Depreciation (reported)</t>
        </is>
      </c>
      <c r="B53" s="9" t="n"/>
      <c r="C53" s="9" t="n"/>
      <c r="D53" s="9" t="n"/>
      <c r="E53" s="9" t="n"/>
      <c r="F53" s="9" t="n"/>
      <c r="G53" s="9" t="n">
        <v>0</v>
      </c>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-11964</v>
      </c>
      <c r="D58" s="11" t="n">
        <v>-28660</v>
      </c>
      <c r="E58" s="11" t="n">
        <v>-20664</v>
      </c>
      <c r="F58" s="11" t="n">
        <v>-33791</v>
      </c>
      <c r="G58" s="11" t="n">
        <v>23837</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-14467</v>
      </c>
      <c r="D67" s="11" t="n">
        <v>-33085</v>
      </c>
      <c r="E67" s="11" t="n">
        <v>-14845</v>
      </c>
      <c r="F67" s="11" t="n">
        <v>-57780</v>
      </c>
      <c r="G67" s="11" t="n">
        <v>69355</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FY2025</t>
        </is>
      </c>
    </row>
    <row r="73">
      <c r="A73" s="8" t="inlineStr">
        <is>
          <t xml:space="preserve">    11a. Gross income from members or shareholders</t>
        </is>
      </c>
      <c r="B73" s="14" t="inlineStr">
        <is>
          <t>not reported</t>
        </is>
      </c>
    </row>
    <row r="74">
      <c r="A74" s="8" t="inlineStr">
        <is>
          <t xml:space="preserve">    11b. Gross income from other sources</t>
        </is>
      </c>
      <c r="B74" s="14" t="inlineStr">
        <is>
          <t>not reported</t>
        </is>
      </c>
    </row>
    <row r="75">
      <c r="A75" s="15" t="inlineStr">
        <is>
          <t>Total gross income (11a + 11b)</t>
        </is>
      </c>
      <c r="B75" s="16">
        <f>SUM(B73,B74)</f>
        <v/>
      </c>
    </row>
    <row r="76">
      <c r="A76" s="15" t="inlineStr">
        <is>
          <t>Member income share (11a / total)</t>
        </is>
      </c>
      <c r="B76" s="17">
        <f>IF(B75=0,"",B73/B75)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Deltas Mutual Water Co Inc</t>
        </is>
      </c>
    </row>
    <row r="2">
      <c r="A2" s="2" t="inlineStr">
        <is>
          <t>Balance Sheet - as reported (USD, end of year)</t>
        </is>
      </c>
    </row>
    <row r="3">
      <c r="A3" s="2" t="inlineStr">
        <is>
          <t>Entity ID: cawc_0075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156723</v>
      </c>
      <c r="C7" s="9" t="n">
        <v>142256</v>
      </c>
      <c r="D7" s="9" t="n">
        <v>109171</v>
      </c>
      <c r="E7" s="9" t="n">
        <v>94326</v>
      </c>
      <c r="F7" s="9" t="n">
        <v>36546</v>
      </c>
      <c r="G7" s="9" t="n">
        <v>105901</v>
      </c>
    </row>
    <row r="8">
      <c r="A8" s="8" t="inlineStr">
        <is>
          <t xml:space="preserve">    Savings &amp; temporary investments</t>
        </is>
      </c>
      <c r="B8" s="9" t="n"/>
      <c r="C8" s="9" t="n"/>
      <c r="D8" s="9" t="n"/>
      <c r="E8" s="9" t="n"/>
      <c r="F8" s="9" t="n"/>
      <c r="G8" s="9" t="n">
        <v>0</v>
      </c>
    </row>
    <row r="9">
      <c r="A9" s="8" t="inlineStr">
        <is>
          <t xml:space="preserve">    Accounts receivable</t>
        </is>
      </c>
      <c r="B9" s="9" t="n"/>
      <c r="C9" s="9" t="n"/>
      <c r="D9" s="9" t="n"/>
      <c r="E9" s="9" t="n"/>
      <c r="F9" s="9" t="n"/>
      <c r="G9" s="9" t="n">
        <v>64827</v>
      </c>
    </row>
    <row r="10">
      <c r="A10" s="8" t="inlineStr">
        <is>
          <t xml:space="preserve">    Inventories</t>
        </is>
      </c>
      <c r="B10" s="9" t="n"/>
      <c r="C10" s="9" t="n"/>
      <c r="D10" s="9" t="n"/>
      <c r="E10" s="9" t="n"/>
      <c r="F10" s="9" t="n"/>
      <c r="G10" s="9" t="n">
        <v>0</v>
      </c>
    </row>
    <row r="11">
      <c r="A11" s="8" t="inlineStr">
        <is>
          <t xml:space="preserve">    Prepaid expenses</t>
        </is>
      </c>
      <c r="B11" s="9" t="n"/>
      <c r="C11" s="9" t="n"/>
      <c r="D11" s="9" t="n"/>
      <c r="E11" s="9" t="n"/>
      <c r="F11" s="9" t="n"/>
      <c r="G11" s="9" t="n">
        <v>87</v>
      </c>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c r="C14" s="11" t="n"/>
      <c r="D14" s="11" t="n"/>
      <c r="E14" s="11" t="n"/>
      <c r="F14" s="11" t="n"/>
      <c r="G14" s="11" t="n">
        <v>0</v>
      </c>
    </row>
    <row r="15">
      <c r="A15" s="10" t="inlineStr">
        <is>
          <t>Total assets</t>
        </is>
      </c>
      <c r="B15" s="11" t="n">
        <v>164117</v>
      </c>
      <c r="C15" s="11" t="n">
        <v>154780</v>
      </c>
      <c r="D15" s="11" t="n">
        <v>124420</v>
      </c>
      <c r="E15" s="11" t="n">
        <v>107594</v>
      </c>
      <c r="F15" s="11" t="n">
        <v>64223</v>
      </c>
      <c r="G15" s="11" t="n">
        <v>170815</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v>82755</v>
      </c>
    </row>
    <row r="19">
      <c r="A19" s="8" t="inlineStr">
        <is>
          <t xml:space="preserve">    Mortgages &amp; notes payable</t>
        </is>
      </c>
      <c r="B19" s="9" t="n"/>
      <c r="C19" s="9" t="n"/>
      <c r="D19" s="9" t="n"/>
      <c r="E19" s="9" t="n"/>
      <c r="F19" s="9" t="n"/>
      <c r="G19" s="9" t="n"/>
    </row>
    <row r="20">
      <c r="A20" s="10" t="inlineStr">
        <is>
          <t>Total liabilities</t>
        </is>
      </c>
      <c r="B20" s="11" t="n">
        <v>4815</v>
      </c>
      <c r="C20" s="11" t="n">
        <v>7442</v>
      </c>
      <c r="D20" s="11" t="n">
        <v>5742</v>
      </c>
      <c r="E20" s="11" t="n">
        <v>9580</v>
      </c>
      <c r="F20" s="11" t="n"/>
      <c r="G20" s="11" t="n">
        <v>82755</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159302</v>
      </c>
      <c r="C26" s="11" t="n">
        <v>147338</v>
      </c>
      <c r="D26" s="11" t="n">
        <v>118678</v>
      </c>
      <c r="E26" s="11" t="n">
        <v>98014</v>
      </c>
      <c r="F26" s="11" t="n">
        <v>64223</v>
      </c>
      <c r="G26" s="11" t="n">
        <v>88060</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Las Deltas Mutual Water Co Inc</t>
        </is>
      </c>
    </row>
    <row r="2">
      <c r="A2" s="2" t="inlineStr">
        <is>
          <t>Officers, Directors &amp; Contractors - Form 990 Part VII (FY2025; USD)</t>
        </is>
      </c>
    </row>
    <row r="3">
      <c r="A3" s="2" t="inlineStr">
        <is>
          <t>Entity ID: cawc_0075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CLARISSA JOHNSON</t>
        </is>
      </c>
      <c r="B7" s="8" t="inlineStr">
        <is>
          <t>Controller</t>
        </is>
      </c>
      <c r="C7" s="9" t="n">
        <v>0</v>
      </c>
      <c r="D7" s="9" t="n">
        <v>0</v>
      </c>
      <c r="E7" s="9" t="n">
        <v>0</v>
      </c>
      <c r="F7" s="9" t="n">
        <v>0</v>
      </c>
    </row>
    <row r="8">
      <c r="A8" s="8" t="inlineStr">
        <is>
          <t>DARRYL SMITH</t>
        </is>
      </c>
      <c r="B8" s="8" t="inlineStr">
        <is>
          <t>Secretary</t>
        </is>
      </c>
      <c r="C8" s="9" t="n">
        <v>0</v>
      </c>
      <c r="D8" s="9" t="n">
        <v>0</v>
      </c>
      <c r="E8" s="9" t="n">
        <v>0</v>
      </c>
      <c r="F8" s="9" t="n">
        <v>0</v>
      </c>
    </row>
    <row r="10">
      <c r="A10" s="6" t="inlineStr">
        <is>
          <t>Section B - Independent contractors (over $100,000)</t>
        </is>
      </c>
      <c r="B10" s="7" t="n"/>
      <c r="C10" s="7" t="n"/>
      <c r="D10" s="7" t="n"/>
      <c r="E10" s="7" t="n"/>
      <c r="F10" s="7" t="n"/>
    </row>
    <row r="11">
      <c r="A11" s="5" t="inlineStr">
        <is>
          <t>Contractor</t>
        </is>
      </c>
      <c r="B11" s="5" t="inlineStr">
        <is>
          <t>Services</t>
        </is>
      </c>
      <c r="C11" s="5" t="inlineStr">
        <is>
          <t>Compensation</t>
        </is>
      </c>
    </row>
    <row r="13" ht="42" customHeight="1">
      <c r="A13"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3:F13"/>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s>
  <sheetData>
    <row r="1">
      <c r="A1" s="1" t="inlineStr">
        <is>
          <t>Las Deltas Mutual Water Co Inc</t>
        </is>
      </c>
    </row>
    <row r="2">
      <c r="A2" s="2" t="inlineStr">
        <is>
          <t>Revenue - Form 990 Part VIII (USD)</t>
        </is>
      </c>
    </row>
    <row r="3">
      <c r="A3" s="2" t="inlineStr">
        <is>
          <t>Entity ID: cawc_0075   |   Fiscal year ends December 31.</t>
        </is>
      </c>
    </row>
    <row r="5">
      <c r="A5" s="4" t="inlineStr">
        <is>
          <t>Part VIII line</t>
        </is>
      </c>
      <c r="B5" s="5" t="inlineStr">
        <is>
          <t>FY2025</t>
        </is>
      </c>
    </row>
    <row r="6">
      <c r="A6" s="6" t="inlineStr">
        <is>
          <t>Revenue by category</t>
        </is>
      </c>
      <c r="B6" s="7" t="n"/>
    </row>
    <row r="7">
      <c r="A7" s="8" t="inlineStr">
        <is>
          <t xml:space="preserve">    1h. Total contributions, gifts, grants</t>
        </is>
      </c>
      <c r="B7" s="9" t="n">
        <v>264501</v>
      </c>
    </row>
    <row r="8">
      <c r="A8" s="8" t="inlineStr">
        <is>
          <t xml:space="preserve">    2g. Total program service revenue</t>
        </is>
      </c>
      <c r="B8" s="9" t="n">
        <v>109866</v>
      </c>
    </row>
    <row r="9">
      <c r="A9" s="8" t="inlineStr">
        <is>
          <t xml:space="preserve">    3. Investment income</t>
        </is>
      </c>
      <c r="B9" s="9" t="n">
        <v>0</v>
      </c>
    </row>
    <row r="10">
      <c r="A10" s="8" t="inlineStr">
        <is>
          <t xml:space="preserve">    6d. Net rental income</t>
        </is>
      </c>
      <c r="B10" s="9" t="n">
        <v>0</v>
      </c>
    </row>
    <row r="11">
      <c r="A11" s="8" t="inlineStr">
        <is>
          <t xml:space="preserve">    7d. Net gain/(loss) from investment sales</t>
        </is>
      </c>
      <c r="B11" s="9" t="n">
        <v>0</v>
      </c>
    </row>
    <row r="12">
      <c r="A12" s="8" t="inlineStr">
        <is>
          <t xml:space="preserve">    11e. Other revenue</t>
        </is>
      </c>
      <c r="B12" s="9" t="n">
        <v>0</v>
      </c>
    </row>
    <row r="13">
      <c r="A13" s="10" t="inlineStr">
        <is>
          <t>12. Total revenue</t>
        </is>
      </c>
      <c r="B13" s="11">
        <f>SUM(B7:B12)</f>
        <v/>
      </c>
    </row>
    <row r="15">
      <c r="A15" s="6" t="inlineStr">
        <is>
          <t>Program service revenue detail - FY2025 (lines 2a-2f)</t>
        </is>
      </c>
      <c r="B15" s="7" t="n"/>
    </row>
    <row r="16">
      <c r="A16" s="5" t="inlineStr">
        <is>
          <t>Description</t>
        </is>
      </c>
      <c r="B16" s="5" t="inlineStr">
        <is>
          <t>Business code</t>
        </is>
      </c>
      <c r="C16" s="5" t="inlineStr">
        <is>
          <t>Total revenue</t>
        </is>
      </c>
    </row>
    <row r="17">
      <c r="A17" s="8" t="inlineStr">
        <is>
          <t>Membership Dues &amp; Assessments</t>
        </is>
      </c>
      <c r="B17" s="8" t="n"/>
      <c r="C17" s="9" t="n">
        <v>109866</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18:B18"/>
    <mergeCell ref="A3:B3"/>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s>
  <sheetData>
    <row r="1">
      <c r="A1" s="1" t="inlineStr">
        <is>
          <t>Las Deltas Mutual Water Co Inc</t>
        </is>
      </c>
    </row>
    <row r="2">
      <c r="A2" s="2" t="inlineStr">
        <is>
          <t>Statement of Functional Expenses - Form 990 Part IX (USD)</t>
        </is>
      </c>
    </row>
    <row r="3">
      <c r="A3" s="2" t="inlineStr">
        <is>
          <t>Entity ID: cawc_0075   |   Fiscal year ends December 31.</t>
        </is>
      </c>
    </row>
    <row r="5">
      <c r="A5" s="4" t="inlineStr">
        <is>
          <t>Part IX line (column A Total)</t>
        </is>
      </c>
      <c r="B5" s="5" t="inlineStr">
        <is>
          <t>FY2025</t>
        </is>
      </c>
    </row>
    <row r="6">
      <c r="A6" s="6" t="inlineStr">
        <is>
          <t>Functional expenses, column A Total - by year</t>
        </is>
      </c>
      <c r="B6" s="7" t="n"/>
    </row>
    <row r="7">
      <c r="A7" s="8" t="inlineStr">
        <is>
          <t xml:space="preserve">    1. Grants to domestic organizations and governments</t>
        </is>
      </c>
      <c r="B7" s="9" t="n">
        <v>0</v>
      </c>
    </row>
    <row r="8">
      <c r="A8" s="8" t="inlineStr">
        <is>
          <t xml:space="preserve">    2. Grants to domestic individuals</t>
        </is>
      </c>
      <c r="B8" s="9" t="n">
        <v>0</v>
      </c>
    </row>
    <row r="9">
      <c r="A9" s="8" t="inlineStr">
        <is>
          <t xml:space="preserve">    3. Grants to foreign organizations and individuals</t>
        </is>
      </c>
      <c r="B9" s="9" t="n">
        <v>0</v>
      </c>
    </row>
    <row r="10">
      <c r="A10" s="8" t="inlineStr">
        <is>
          <t xml:space="preserve">    4. Benefits paid to or for members</t>
        </is>
      </c>
      <c r="B10" s="9" t="n">
        <v>0</v>
      </c>
    </row>
    <row r="11">
      <c r="A11" s="8" t="inlineStr">
        <is>
          <t xml:space="preserve">    5. Compensation of current officers, directors, trustees</t>
        </is>
      </c>
      <c r="B11" s="9" t="n">
        <v>0</v>
      </c>
    </row>
    <row r="12">
      <c r="A12" s="8" t="inlineStr">
        <is>
          <t xml:space="preserve">    6. Compensation to disqualified persons</t>
        </is>
      </c>
      <c r="B12" s="9" t="n">
        <v>0</v>
      </c>
    </row>
    <row r="13">
      <c r="A13" s="8" t="inlineStr">
        <is>
          <t xml:space="preserve">    7. Other salaries and wages</t>
        </is>
      </c>
      <c r="B13" s="9" t="n">
        <v>0</v>
      </c>
    </row>
    <row r="14">
      <c r="A14" s="8" t="inlineStr">
        <is>
          <t xml:space="preserve">    8. Pension plan accruals and contributions</t>
        </is>
      </c>
      <c r="B14" s="9" t="n">
        <v>0</v>
      </c>
    </row>
    <row r="15">
      <c r="A15" s="8" t="inlineStr">
        <is>
          <t xml:space="preserve">    9. Other employee benefits</t>
        </is>
      </c>
      <c r="B15" s="9" t="n">
        <v>0</v>
      </c>
    </row>
    <row r="16">
      <c r="A16" s="8" t="inlineStr">
        <is>
          <t xml:space="preserve">    10. Payroll taxes</t>
        </is>
      </c>
      <c r="B16" s="9" t="n">
        <v>0</v>
      </c>
    </row>
    <row r="17">
      <c r="A17" s="8" t="inlineStr">
        <is>
          <t xml:space="preserve">    11a. Fees for services: management</t>
        </is>
      </c>
      <c r="B17" s="9" t="n">
        <v>0</v>
      </c>
    </row>
    <row r="18">
      <c r="A18" s="8" t="inlineStr">
        <is>
          <t xml:space="preserve">    11b. Fees for services: legal</t>
        </is>
      </c>
      <c r="B18" s="9" t="n">
        <v>0</v>
      </c>
    </row>
    <row r="19">
      <c r="A19" s="8" t="inlineStr">
        <is>
          <t xml:space="preserve">    11c. Fees for services: accounting</t>
        </is>
      </c>
      <c r="B19" s="9" t="n">
        <v>820</v>
      </c>
    </row>
    <row r="20">
      <c r="A20" s="8" t="inlineStr">
        <is>
          <t xml:space="preserve">    11d. Fees for services: lobbying</t>
        </is>
      </c>
      <c r="B20" s="9" t="n">
        <v>0</v>
      </c>
    </row>
    <row r="21">
      <c r="A21" s="8" t="inlineStr">
        <is>
          <t xml:space="preserve">    11e. Fees for services: professional fundraising</t>
        </is>
      </c>
      <c r="B21" s="9" t="n">
        <v>0</v>
      </c>
    </row>
    <row r="22">
      <c r="A22" s="8" t="inlineStr">
        <is>
          <t xml:space="preserve">    11f. Fees for services: investment management</t>
        </is>
      </c>
      <c r="B22" s="9" t="n">
        <v>0</v>
      </c>
    </row>
    <row r="23">
      <c r="A23" s="8" t="inlineStr">
        <is>
          <t xml:space="preserve">    11g. Fees for services: other</t>
        </is>
      </c>
      <c r="B23" s="9" t="n">
        <v>151937</v>
      </c>
    </row>
    <row r="24">
      <c r="A24" s="8" t="inlineStr">
        <is>
          <t xml:space="preserve">    12. Advertising and promotion</t>
        </is>
      </c>
      <c r="B24" s="9" t="n">
        <v>0</v>
      </c>
    </row>
    <row r="25">
      <c r="A25" s="8" t="inlineStr">
        <is>
          <t xml:space="preserve">    13. Office expenses</t>
        </is>
      </c>
      <c r="B25" s="9" t="n">
        <v>297</v>
      </c>
    </row>
    <row r="26">
      <c r="A26" s="8" t="inlineStr">
        <is>
          <t xml:space="preserve">    14. Information technology</t>
        </is>
      </c>
      <c r="B26" s="9" t="n">
        <v>0</v>
      </c>
    </row>
    <row r="27">
      <c r="A27" s="8" t="inlineStr">
        <is>
          <t xml:space="preserve">    15. Royalties</t>
        </is>
      </c>
      <c r="B27" s="9" t="n">
        <v>0</v>
      </c>
    </row>
    <row r="28">
      <c r="A28" s="8" t="inlineStr">
        <is>
          <t xml:space="preserve">    16. Occupancy</t>
        </is>
      </c>
      <c r="B28" s="9" t="n">
        <v>26312</v>
      </c>
    </row>
    <row r="29">
      <c r="A29" s="8" t="inlineStr">
        <is>
          <t xml:space="preserve">    17. Travel</t>
        </is>
      </c>
      <c r="B29" s="9" t="n">
        <v>0</v>
      </c>
    </row>
    <row r="30">
      <c r="A30" s="8" t="inlineStr">
        <is>
          <t xml:space="preserve">    18. Payments of travel/entertainment for public officials</t>
        </is>
      </c>
      <c r="B30" s="9" t="n">
        <v>0</v>
      </c>
    </row>
    <row r="31">
      <c r="A31" s="8" t="inlineStr">
        <is>
          <t xml:space="preserve">    19. Conferences, conventions, and meetings</t>
        </is>
      </c>
      <c r="B31" s="9" t="n">
        <v>0</v>
      </c>
    </row>
    <row r="32">
      <c r="A32" s="8" t="inlineStr">
        <is>
          <t xml:space="preserve">    20. Interest</t>
        </is>
      </c>
      <c r="B32" s="9" t="n">
        <v>0</v>
      </c>
    </row>
    <row r="33">
      <c r="A33" s="8" t="inlineStr">
        <is>
          <t xml:space="preserve">    21. Payments to affiliates</t>
        </is>
      </c>
      <c r="B33" s="9" t="n">
        <v>0</v>
      </c>
    </row>
    <row r="34">
      <c r="A34" s="8" t="inlineStr">
        <is>
          <t xml:space="preserve">    22. Depreciation, depletion, and amortization</t>
        </is>
      </c>
      <c r="B34" s="9" t="n">
        <v>0</v>
      </c>
    </row>
    <row r="35">
      <c r="A35" s="8" t="inlineStr">
        <is>
          <t xml:space="preserve">    23. Insurance</t>
        </is>
      </c>
      <c r="B35" s="9" t="n">
        <v>6259</v>
      </c>
    </row>
    <row r="36">
      <c r="A36" s="8" t="inlineStr">
        <is>
          <t xml:space="preserve">    24. WATER PURCHASED</t>
        </is>
      </c>
      <c r="B36" s="9" t="n">
        <v>162798</v>
      </c>
    </row>
    <row r="37">
      <c r="A37" s="8" t="inlineStr">
        <is>
          <t xml:space="preserve">    24. STATE CORP TAX</t>
        </is>
      </c>
      <c r="B37" s="9" t="n">
        <v>800</v>
      </c>
    </row>
    <row r="38">
      <c r="A38" s="8" t="inlineStr">
        <is>
          <t xml:space="preserve">    24. DUES</t>
        </is>
      </c>
      <c r="B38" s="9" t="n">
        <v>704</v>
      </c>
    </row>
    <row r="39">
      <c r="A39" s="8" t="inlineStr">
        <is>
          <t xml:space="preserve">    24. BANK CHARGES</t>
        </is>
      </c>
      <c r="B39" s="9" t="n">
        <v>603</v>
      </c>
    </row>
    <row r="40">
      <c r="A40" s="8" t="inlineStr">
        <is>
          <t xml:space="preserve">    24e. All other expenses</t>
        </is>
      </c>
      <c r="B40" s="9" t="n">
        <v>0</v>
      </c>
    </row>
    <row r="41">
      <c r="A41" s="10" t="inlineStr">
        <is>
          <t>25. Total functional expenses</t>
        </is>
      </c>
      <c r="B41" s="11">
        <f>SUM(B7:B40)</f>
        <v/>
      </c>
    </row>
    <row r="43">
      <c r="A43" s="6" t="inlineStr">
        <is>
          <t>Functional column split - FY2025 (col A = B + C + D)</t>
        </is>
      </c>
      <c r="B43" s="7" t="n"/>
    </row>
    <row r="44">
      <c r="A44" s="5" t="inlineStr">
        <is>
          <t>Part IX line</t>
        </is>
      </c>
      <c r="B44" s="5" t="inlineStr">
        <is>
          <t>A. Total</t>
        </is>
      </c>
      <c r="C44" s="5" t="inlineStr">
        <is>
          <t>B. Program services</t>
        </is>
      </c>
      <c r="D44" s="5" t="inlineStr">
        <is>
          <t>C. Management &amp; general</t>
        </is>
      </c>
      <c r="E44" s="5" t="inlineStr">
        <is>
          <t>D. Fundraising</t>
        </is>
      </c>
    </row>
    <row r="45">
      <c r="A45" s="18" t="inlineStr">
        <is>
          <t>1. Grants to domestic organizations and governments</t>
        </is>
      </c>
      <c r="B45" s="9" t="n">
        <v>0</v>
      </c>
      <c r="C45" s="9" t="n"/>
      <c r="D45" s="9" t="n"/>
      <c r="E45" s="9" t="n"/>
    </row>
    <row r="46">
      <c r="A46" s="18" t="inlineStr">
        <is>
          <t>2. Grants to domestic individuals</t>
        </is>
      </c>
      <c r="B46" s="9" t="n">
        <v>0</v>
      </c>
      <c r="C46" s="9" t="n"/>
      <c r="D46" s="9" t="n"/>
      <c r="E46" s="9" t="n"/>
    </row>
    <row r="47">
      <c r="A47" s="18" t="inlineStr">
        <is>
          <t>3. Grants to foreign organizations and individuals</t>
        </is>
      </c>
      <c r="B47" s="9" t="n">
        <v>0</v>
      </c>
      <c r="C47" s="9" t="n"/>
      <c r="D47" s="9" t="n"/>
      <c r="E47" s="9" t="n"/>
    </row>
    <row r="48">
      <c r="A48" s="18" t="inlineStr">
        <is>
          <t>4. Benefits paid to or for members</t>
        </is>
      </c>
      <c r="B48" s="9" t="n">
        <v>0</v>
      </c>
      <c r="C48" s="9" t="n"/>
      <c r="D48" s="9" t="n"/>
      <c r="E48" s="9" t="n"/>
    </row>
    <row r="49">
      <c r="A49" s="18" t="inlineStr">
        <is>
          <t>5. Compensation of current officers, directors, trustees</t>
        </is>
      </c>
      <c r="B49" s="9" t="n">
        <v>0</v>
      </c>
      <c r="C49" s="9" t="n"/>
      <c r="D49" s="9" t="n"/>
      <c r="E49" s="9" t="n"/>
    </row>
    <row r="50">
      <c r="A50" s="18" t="inlineStr">
        <is>
          <t>6. Compensation to disqualified persons</t>
        </is>
      </c>
      <c r="B50" s="9" t="n">
        <v>0</v>
      </c>
      <c r="C50" s="9" t="n"/>
      <c r="D50" s="9" t="n"/>
      <c r="E50" s="9" t="n"/>
    </row>
    <row r="51">
      <c r="A51" s="18" t="inlineStr">
        <is>
          <t>7. Other salaries and wages</t>
        </is>
      </c>
      <c r="B51" s="9" t="n">
        <v>0</v>
      </c>
      <c r="C51" s="9" t="n"/>
      <c r="D51" s="9" t="n"/>
      <c r="E51" s="9" t="n"/>
    </row>
    <row r="52">
      <c r="A52" s="18" t="inlineStr">
        <is>
          <t>8. Pension plan accruals and contributions</t>
        </is>
      </c>
      <c r="B52" s="9" t="n">
        <v>0</v>
      </c>
      <c r="C52" s="9" t="n"/>
      <c r="D52" s="9" t="n"/>
      <c r="E52" s="9" t="n"/>
    </row>
    <row r="53">
      <c r="A53" s="18" t="inlineStr">
        <is>
          <t>9. Other employee benefits</t>
        </is>
      </c>
      <c r="B53" s="9" t="n">
        <v>0</v>
      </c>
      <c r="C53" s="9" t="n"/>
      <c r="D53" s="9" t="n"/>
      <c r="E53" s="9" t="n"/>
    </row>
    <row r="54">
      <c r="A54" s="18" t="inlineStr">
        <is>
          <t>10. Payroll taxes</t>
        </is>
      </c>
      <c r="B54" s="9" t="n">
        <v>0</v>
      </c>
      <c r="C54" s="9" t="n"/>
      <c r="D54" s="9" t="n"/>
      <c r="E54" s="9" t="n"/>
    </row>
    <row r="55">
      <c r="A55" s="18" t="inlineStr">
        <is>
          <t>11a. Fees for services: management</t>
        </is>
      </c>
      <c r="B55" s="9" t="n">
        <v>0</v>
      </c>
      <c r="C55" s="9" t="n"/>
      <c r="D55" s="9" t="n"/>
      <c r="E55" s="9" t="n"/>
    </row>
    <row r="56">
      <c r="A56" s="18" t="inlineStr">
        <is>
          <t>11b. Fees for services: legal</t>
        </is>
      </c>
      <c r="B56" s="9" t="n">
        <v>0</v>
      </c>
      <c r="C56" s="9" t="n"/>
      <c r="D56" s="9" t="n"/>
      <c r="E56" s="9" t="n"/>
    </row>
    <row r="57">
      <c r="A57" s="18" t="inlineStr">
        <is>
          <t>11c. Fees for services: accounting</t>
        </is>
      </c>
      <c r="B57" s="9" t="n">
        <v>820</v>
      </c>
      <c r="C57" s="9" t="n"/>
      <c r="D57" s="9" t="n"/>
      <c r="E57" s="9" t="n"/>
    </row>
    <row r="58">
      <c r="A58" s="18" t="inlineStr">
        <is>
          <t>11d. Fees for services: lobbying</t>
        </is>
      </c>
      <c r="B58" s="9" t="n">
        <v>0</v>
      </c>
      <c r="C58" s="9" t="n"/>
      <c r="D58" s="9" t="n"/>
      <c r="E58" s="9" t="n"/>
    </row>
    <row r="59">
      <c r="A59" s="18" t="inlineStr">
        <is>
          <t>11e. Fees for services: professional fundraising</t>
        </is>
      </c>
      <c r="B59" s="9" t="n">
        <v>0</v>
      </c>
      <c r="C59" s="9" t="n"/>
      <c r="D59" s="9" t="n"/>
      <c r="E59" s="9" t="n"/>
    </row>
    <row r="60">
      <c r="A60" s="18" t="inlineStr">
        <is>
          <t>11f. Fees for services: investment management</t>
        </is>
      </c>
      <c r="B60" s="9" t="n">
        <v>0</v>
      </c>
      <c r="C60" s="9" t="n"/>
      <c r="D60" s="9" t="n"/>
      <c r="E60" s="9" t="n"/>
    </row>
    <row r="61">
      <c r="A61" s="18" t="inlineStr">
        <is>
          <t>11g. Fees for services: other</t>
        </is>
      </c>
      <c r="B61" s="9" t="n">
        <v>151937</v>
      </c>
      <c r="C61" s="9" t="n"/>
      <c r="D61" s="9" t="n"/>
      <c r="E61" s="9" t="n"/>
    </row>
    <row r="62">
      <c r="A62" s="18" t="inlineStr">
        <is>
          <t>12. Advertising and promotion</t>
        </is>
      </c>
      <c r="B62" s="9" t="n">
        <v>0</v>
      </c>
      <c r="C62" s="9" t="n"/>
      <c r="D62" s="9" t="n"/>
      <c r="E62" s="9" t="n"/>
    </row>
    <row r="63">
      <c r="A63" s="18" t="inlineStr">
        <is>
          <t>13. Office expenses</t>
        </is>
      </c>
      <c r="B63" s="9" t="n">
        <v>297</v>
      </c>
      <c r="C63" s="9" t="n"/>
      <c r="D63" s="9" t="n"/>
      <c r="E63" s="9" t="n"/>
    </row>
    <row r="64">
      <c r="A64" s="18" t="inlineStr">
        <is>
          <t>14. Information technology</t>
        </is>
      </c>
      <c r="B64" s="9" t="n">
        <v>0</v>
      </c>
      <c r="C64" s="9" t="n"/>
      <c r="D64" s="9" t="n"/>
      <c r="E64" s="9" t="n"/>
    </row>
    <row r="65">
      <c r="A65" s="18" t="inlineStr">
        <is>
          <t>15. Royalties</t>
        </is>
      </c>
      <c r="B65" s="9" t="n">
        <v>0</v>
      </c>
      <c r="C65" s="9" t="n"/>
      <c r="D65" s="9" t="n"/>
      <c r="E65" s="9" t="n"/>
    </row>
    <row r="66">
      <c r="A66" s="18" t="inlineStr">
        <is>
          <t>16. Occupancy</t>
        </is>
      </c>
      <c r="B66" s="9" t="n">
        <v>26312</v>
      </c>
      <c r="C66" s="9" t="n"/>
      <c r="D66" s="9" t="n"/>
      <c r="E66" s="9" t="n"/>
    </row>
    <row r="67">
      <c r="A67" s="18" t="inlineStr">
        <is>
          <t>17. Travel</t>
        </is>
      </c>
      <c r="B67" s="9" t="n">
        <v>0</v>
      </c>
      <c r="C67" s="9" t="n"/>
      <c r="D67" s="9" t="n"/>
      <c r="E67" s="9" t="n"/>
    </row>
    <row r="68">
      <c r="A68" s="18" t="inlineStr">
        <is>
          <t>18. Payments of travel/entertainment for public officials</t>
        </is>
      </c>
      <c r="B68" s="9" t="n">
        <v>0</v>
      </c>
      <c r="C68" s="9" t="n"/>
      <c r="D68" s="9" t="n"/>
      <c r="E68" s="9" t="n"/>
    </row>
    <row r="69">
      <c r="A69" s="18" t="inlineStr">
        <is>
          <t>19. Conferences, conventions, and meetings</t>
        </is>
      </c>
      <c r="B69" s="9" t="n">
        <v>0</v>
      </c>
      <c r="C69" s="9" t="n"/>
      <c r="D69" s="9" t="n"/>
      <c r="E69" s="9" t="n"/>
    </row>
    <row r="70">
      <c r="A70" s="18" t="inlineStr">
        <is>
          <t>20. Interest</t>
        </is>
      </c>
      <c r="B70" s="9" t="n">
        <v>0</v>
      </c>
      <c r="C70" s="9" t="n"/>
      <c r="D70" s="9" t="n"/>
      <c r="E70" s="9" t="n"/>
    </row>
    <row r="71">
      <c r="A71" s="18" t="inlineStr">
        <is>
          <t>21. Payments to affiliates</t>
        </is>
      </c>
      <c r="B71" s="9" t="n">
        <v>0</v>
      </c>
      <c r="C71" s="9" t="n"/>
      <c r="D71" s="9" t="n"/>
      <c r="E71" s="9" t="n"/>
    </row>
    <row r="72">
      <c r="A72" s="18" t="inlineStr">
        <is>
          <t>22. Depreciation, depletion, and amortization</t>
        </is>
      </c>
      <c r="B72" s="9" t="n">
        <v>0</v>
      </c>
      <c r="C72" s="9" t="n"/>
      <c r="D72" s="9" t="n"/>
      <c r="E72" s="9" t="n"/>
    </row>
    <row r="73">
      <c r="A73" s="18" t="inlineStr">
        <is>
          <t>23. Insurance</t>
        </is>
      </c>
      <c r="B73" s="9" t="n">
        <v>6259</v>
      </c>
      <c r="C73" s="9" t="n"/>
      <c r="D73" s="9" t="n"/>
      <c r="E73" s="9" t="n"/>
    </row>
    <row r="74">
      <c r="A74" s="10" t="inlineStr">
        <is>
          <t>25. Total (filed col A / B / C / D)</t>
        </is>
      </c>
      <c r="B74" s="11" t="n">
        <v>350530</v>
      </c>
      <c r="C74" s="11" t="n">
        <v>0</v>
      </c>
      <c r="D74" s="11" t="n">
        <v>0</v>
      </c>
      <c r="E74" s="11" t="n">
        <v>0</v>
      </c>
    </row>
    <row r="76" ht="42" customHeight="1">
      <c r="A76"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76:B76"/>
    <mergeCell ref="A3:B3"/>
    <mergeCell ref="A2:B2"/>
    <mergeCell ref="A1:B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Las Deltas Mutual Water Co Inc</t>
        </is>
      </c>
    </row>
    <row r="2">
      <c r="A2" s="2" t="inlineStr">
        <is>
          <t>Balance Sheet - Form 990 Part X (end of year, USD)</t>
        </is>
      </c>
    </row>
    <row r="3">
      <c r="A3" s="2" t="inlineStr">
        <is>
          <t>Entity ID: cawc_0075   |   Fiscal year ends December 31.</t>
        </is>
      </c>
    </row>
    <row r="5">
      <c r="A5" s="4" t="inlineStr">
        <is>
          <t>Part X line (column B, EOY)</t>
        </is>
      </c>
      <c r="B5" s="5" t="inlineStr">
        <is>
          <t>FY2025</t>
        </is>
      </c>
    </row>
    <row r="6">
      <c r="A6" s="6" t="inlineStr">
        <is>
          <t>Assets</t>
        </is>
      </c>
      <c r="B6" s="7" t="n"/>
    </row>
    <row r="7">
      <c r="A7" s="8" t="inlineStr">
        <is>
          <t xml:space="preserve">    1. Cash - non-interest-bearing</t>
        </is>
      </c>
      <c r="B7" s="9" t="n">
        <v>105901</v>
      </c>
    </row>
    <row r="8">
      <c r="A8" s="8" t="inlineStr">
        <is>
          <t xml:space="preserve">    2. Savings and temporary cash investments</t>
        </is>
      </c>
      <c r="B8" s="9" t="n">
        <v>0</v>
      </c>
    </row>
    <row r="9">
      <c r="A9" s="8" t="inlineStr">
        <is>
          <t xml:space="preserve">    3. Pledges and grants receivable, net</t>
        </is>
      </c>
      <c r="B9" s="9" t="n">
        <v>0</v>
      </c>
    </row>
    <row r="10">
      <c r="A10" s="8" t="inlineStr">
        <is>
          <t xml:space="preserve">    4. Accounts receivable, net</t>
        </is>
      </c>
      <c r="B10" s="9" t="n">
        <v>64827</v>
      </c>
    </row>
    <row r="11">
      <c r="A11" s="8" t="inlineStr">
        <is>
          <t xml:space="preserve">    5. Receivables from officers/directors/trustees</t>
        </is>
      </c>
      <c r="B11" s="9" t="n">
        <v>0</v>
      </c>
    </row>
    <row r="12">
      <c r="A12" s="8" t="inlineStr">
        <is>
          <t xml:space="preserve">    6. Receivables from disqualified persons</t>
        </is>
      </c>
      <c r="B12" s="9" t="n">
        <v>0</v>
      </c>
    </row>
    <row r="13">
      <c r="A13" s="8" t="inlineStr">
        <is>
          <t xml:space="preserve">    7. Notes and loans receivable, net</t>
        </is>
      </c>
      <c r="B13" s="9" t="n">
        <v>0</v>
      </c>
    </row>
    <row r="14">
      <c r="A14" s="8" t="inlineStr">
        <is>
          <t xml:space="preserve">    8. Inventories for sale or use</t>
        </is>
      </c>
      <c r="B14" s="9" t="n">
        <v>0</v>
      </c>
    </row>
    <row r="15">
      <c r="A15" s="8" t="inlineStr">
        <is>
          <t xml:space="preserve">    9. Prepaid expenses and deferred charges</t>
        </is>
      </c>
      <c r="B15" s="9" t="n">
        <v>87</v>
      </c>
    </row>
    <row r="16">
      <c r="A16" s="8" t="inlineStr">
        <is>
          <t xml:space="preserve">    10c. Land, buildings, and equipment, net</t>
        </is>
      </c>
      <c r="B16" s="9" t="n">
        <v>0</v>
      </c>
    </row>
    <row r="17">
      <c r="A17" s="8" t="inlineStr">
        <is>
          <t xml:space="preserve">    11. Investments - publicly traded securities</t>
        </is>
      </c>
      <c r="B17" s="9" t="n">
        <v>0</v>
      </c>
    </row>
    <row r="18">
      <c r="A18" s="8" t="inlineStr">
        <is>
          <t xml:space="preserve">    12. Investments - other securities</t>
        </is>
      </c>
      <c r="B18" s="9" t="n">
        <v>0</v>
      </c>
    </row>
    <row r="19">
      <c r="A19" s="8" t="inlineStr">
        <is>
          <t xml:space="preserve">    13. Investments - program-related</t>
        </is>
      </c>
      <c r="B19" s="9" t="n">
        <v>0</v>
      </c>
    </row>
    <row r="20">
      <c r="A20" s="8" t="inlineStr">
        <is>
          <t xml:space="preserve">    14. Intangible assets</t>
        </is>
      </c>
      <c r="B20" s="9" t="n">
        <v>0</v>
      </c>
    </row>
    <row r="21">
      <c r="A21" s="8" t="inlineStr">
        <is>
          <t xml:space="preserve">    15. Other assets</t>
        </is>
      </c>
      <c r="B21" s="9" t="n">
        <v>0</v>
      </c>
    </row>
    <row r="22">
      <c r="A22" s="10" t="inlineStr">
        <is>
          <t>16. Total assets</t>
        </is>
      </c>
      <c r="B22" s="11">
        <f>SUM(B7:B21)</f>
        <v/>
      </c>
    </row>
    <row r="24">
      <c r="A24" s="6" t="inlineStr">
        <is>
          <t>Liabilities</t>
        </is>
      </c>
      <c r="B24" s="7" t="n"/>
    </row>
    <row r="25">
      <c r="A25" s="8" t="inlineStr">
        <is>
          <t xml:space="preserve">    17. Accounts payable and accrued expenses</t>
        </is>
      </c>
      <c r="B25" s="9" t="n">
        <v>82755</v>
      </c>
    </row>
    <row r="26">
      <c r="A26" s="10" t="inlineStr">
        <is>
          <t>26. Total liabilities</t>
        </is>
      </c>
      <c r="B26" s="11">
        <f>SUM(B25:B25)</f>
        <v/>
      </c>
    </row>
    <row r="28">
      <c r="A28" s="6" t="inlineStr">
        <is>
          <t>Net assets / fund balances</t>
        </is>
      </c>
      <c r="B28" s="7" t="n"/>
    </row>
    <row r="29">
      <c r="A29" s="8" t="inlineStr">
        <is>
          <t xml:space="preserve">    27. Net assets without donor restrictions</t>
        </is>
      </c>
      <c r="B29" s="9" t="n">
        <v>88060</v>
      </c>
    </row>
    <row r="30">
      <c r="A30" s="10" t="inlineStr">
        <is>
          <t>32. Total net assets / fund balances</t>
        </is>
      </c>
      <c r="B30" s="11">
        <f>SUM(B29:B29)</f>
        <v/>
      </c>
    </row>
    <row r="32" ht="42" customHeight="1">
      <c r="A32"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2:B32"/>
    <mergeCell ref="A3:B3"/>
    <mergeCell ref="A2:B2"/>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s>
  <sheetData>
    <row r="1">
      <c r="A1" s="1" t="inlineStr">
        <is>
          <t>Las Deltas Mutual Water Co Inc</t>
        </is>
      </c>
    </row>
    <row r="2">
      <c r="A2" s="2" t="inlineStr">
        <is>
          <t>Reconciliation of Net Assets - Form 990 Part XI (USD)</t>
        </is>
      </c>
    </row>
    <row r="3">
      <c r="A3" s="2" t="inlineStr">
        <is>
          <t>Entity ID: cawc_0075   |   Fiscal year ends December 31.</t>
        </is>
      </c>
    </row>
    <row r="5">
      <c r="A5" s="4" t="inlineStr">
        <is>
          <t>Part XI line</t>
        </is>
      </c>
      <c r="B5" s="5" t="inlineStr">
        <is>
          <t>FY2025</t>
        </is>
      </c>
    </row>
    <row r="6">
      <c r="A6" s="6" t="inlineStr">
        <is>
          <t>Reconciliation</t>
        </is>
      </c>
      <c r="B6" s="7" t="n"/>
    </row>
    <row r="7">
      <c r="A7" s="8" t="inlineStr">
        <is>
          <t xml:space="preserve">    4. Net assets, beginning of year</t>
        </is>
      </c>
      <c r="B7" s="9" t="n">
        <v>64223</v>
      </c>
    </row>
    <row r="8">
      <c r="A8" s="8" t="inlineStr">
        <is>
          <t xml:space="preserve">    3. Revenue less expenses</t>
        </is>
      </c>
      <c r="B8" s="9" t="n">
        <v>23837</v>
      </c>
    </row>
    <row r="9">
      <c r="A9" s="8" t="inlineStr">
        <is>
          <t xml:space="preserve">    8. Prior period adjustments</t>
        </is>
      </c>
      <c r="B9" s="14" t="inlineStr">
        <is>
          <t>not reported</t>
        </is>
      </c>
    </row>
    <row r="10">
      <c r="A10" s="8" t="inlineStr">
        <is>
          <t xml:space="preserve">    9. Other changes in net assets</t>
        </is>
      </c>
      <c r="B10" s="14" t="inlineStr">
        <is>
          <t>not reported</t>
        </is>
      </c>
    </row>
    <row r="11">
      <c r="A11" s="10" t="inlineStr">
        <is>
          <t>10. Net assets, end of year</t>
        </is>
      </c>
      <c r="B11" s="11">
        <f>SUM(B7,B8,B9,B10)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B13"/>
    <mergeCell ref="A3:B3"/>
    <mergeCell ref="A2:B2"/>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Deltas Mutual Water Co Inc</t>
        </is>
      </c>
    </row>
    <row r="2">
      <c r="A2" s="2" t="inlineStr">
        <is>
          <t>Cash Flow Proxies - derived (USD)</t>
        </is>
      </c>
    </row>
    <row r="3">
      <c r="A3" s="2" t="inlineStr">
        <is>
          <t>Entity ID: cawc_0075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-12042</v>
      </c>
      <c r="C9" s="9" t="n">
        <v>-11964</v>
      </c>
      <c r="D9" s="9" t="n">
        <v>-28660</v>
      </c>
      <c r="E9" s="9" t="n">
        <v>-20664</v>
      </c>
      <c r="F9" s="9" t="n">
        <v>-33791</v>
      </c>
      <c r="G9" s="9" t="n">
        <v>23837</v>
      </c>
    </row>
    <row r="10">
      <c r="A10" s="8" t="inlineStr">
        <is>
          <t xml:space="preserve">    + Depreciation (reported)</t>
        </is>
      </c>
      <c r="B10" s="9" t="n"/>
      <c r="C10" s="9" t="n"/>
      <c r="D10" s="9" t="n"/>
      <c r="E10" s="9" t="n"/>
      <c r="F10" s="9" t="n"/>
      <c r="G10" s="9" t="n">
        <v>0</v>
      </c>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-11964</v>
      </c>
      <c r="D15" s="11" t="n">
        <v>-28660</v>
      </c>
      <c r="E15" s="11" t="n">
        <v>-20664</v>
      </c>
      <c r="F15" s="11" t="n">
        <v>-33791</v>
      </c>
      <c r="G15" s="11" t="n">
        <v>23837</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-14467</v>
      </c>
      <c r="D24" s="11" t="n">
        <v>-33085</v>
      </c>
      <c r="E24" s="11" t="n">
        <v>-14845</v>
      </c>
      <c r="F24" s="11" t="n">
        <v>-57780</v>
      </c>
      <c r="G24" s="11" t="n">
        <v>69355</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Deltas Mutual Water Co Inc</t>
        </is>
      </c>
    </row>
    <row r="2">
      <c r="A2" s="2" t="inlineStr">
        <is>
          <t>Financial Ratios</t>
        </is>
      </c>
    </row>
    <row r="3">
      <c r="A3" s="2" t="inlineStr">
        <is>
          <t>Entity ID: cawc_0075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-0.08034320331994502</v>
      </c>
      <c r="C7" s="12" t="n">
        <v>-0.07831483033095936</v>
      </c>
      <c r="D7" s="12" t="n">
        <v>-0.1831227996191864</v>
      </c>
      <c r="E7" s="12" t="n">
        <v>-0.1348279416946145</v>
      </c>
      <c r="F7" s="12" t="n">
        <v>-0.2150608122299091</v>
      </c>
      <c r="G7" s="12" t="n">
        <v>0.06367281304174781</v>
      </c>
    </row>
    <row r="8">
      <c r="A8" s="8" t="inlineStr">
        <is>
          <t xml:space="preserve">    Expense ratio (expenses / revenue)</t>
        </is>
      </c>
      <c r="B8" s="12" t="n">
        <v>1.080343203319945</v>
      </c>
      <c r="C8" s="12" t="n">
        <v>1.078314830330959</v>
      </c>
      <c r="D8" s="12" t="n">
        <v>1.183122799619186</v>
      </c>
      <c r="E8" s="12" t="n">
        <v>1.134827941694615</v>
      </c>
      <c r="F8" s="12" t="n">
        <v>1.215060812229909</v>
      </c>
      <c r="G8" s="12" t="n">
        <v>0.9363271869582522</v>
      </c>
    </row>
    <row r="9">
      <c r="A9" s="8" t="inlineStr">
        <is>
          <t xml:space="preserve">    Return on assets (NI / assets)</t>
        </is>
      </c>
      <c r="B9" s="12" t="n">
        <v>-0.0733744828384628</v>
      </c>
      <c r="C9" s="12" t="n">
        <v>-0.07729680837317483</v>
      </c>
      <c r="D9" s="12" t="n">
        <v>-0.2303488185179232</v>
      </c>
      <c r="E9" s="12" t="n">
        <v>-0.1920553190698366</v>
      </c>
      <c r="F9" s="12" t="n">
        <v>-0.5261510673746166</v>
      </c>
      <c r="G9" s="12" t="n">
        <v>0.1395486344876035</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v>0.02933882535020747</v>
      </c>
      <c r="C13" s="12" t="n">
        <v>0.04808114743506913</v>
      </c>
      <c r="D13" s="12" t="n">
        <v>0.04615013663398167</v>
      </c>
      <c r="E13" s="12" t="n">
        <v>0.08903842221685224</v>
      </c>
      <c r="F13" s="12" t="n"/>
      <c r="G13" s="12" t="n">
        <v>0.4844715042589937</v>
      </c>
    </row>
    <row r="14">
      <c r="A14" s="8" t="inlineStr">
        <is>
          <t xml:space="preserve">    Equity ratio (net assets / assets)</t>
        </is>
      </c>
      <c r="B14" s="12" t="n">
        <v>0.9706611746497925</v>
      </c>
      <c r="C14" s="12" t="n">
        <v>0.9519188525649309</v>
      </c>
      <c r="D14" s="12" t="n">
        <v>0.9538498633660183</v>
      </c>
      <c r="E14" s="12" t="n">
        <v>0.9109615777831478</v>
      </c>
      <c r="F14" s="12" t="n">
        <v>1</v>
      </c>
      <c r="G14" s="12" t="n">
        <v>0.5155284957410063</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v>2.06410488792218</v>
      </c>
    </row>
    <row r="18">
      <c r="A18" s="8" t="inlineStr">
        <is>
          <t xml:space="preserve">    Cash ratio ((cash+temp inv.) / total liab.)</t>
        </is>
      </c>
      <c r="B18" s="19" t="n">
        <v>32.54890965732087</v>
      </c>
      <c r="C18" s="19" t="n">
        <v>19.11529158828272</v>
      </c>
      <c r="D18" s="19" t="n">
        <v>19.01271334029955</v>
      </c>
      <c r="E18" s="19" t="n">
        <v>9.846137787056367</v>
      </c>
      <c r="F18" s="19" t="n"/>
      <c r="G18" s="19" t="n">
        <v>1.279693069905142</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Las Deltas Mutual Water Co Inc</t>
        </is>
      </c>
    </row>
    <row r="2">
      <c r="A2" s="2" t="inlineStr">
        <is>
          <t>Unit economics - per-customer revenue by category (USD)</t>
        </is>
      </c>
    </row>
    <row r="3">
      <c r="A3" s="2" t="inlineStr">
        <is>
          <t>Entity ID: cawc_0075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Las Deltas Mutual Water Co Inc</t>
        </is>
      </c>
    </row>
    <row r="2">
      <c r="A2" s="2" t="inlineStr">
        <is>
          <t>Rate structure and representative bill - eAR Section 8a</t>
        </is>
      </c>
    </row>
    <row r="3">
      <c r="A3" s="2" t="inlineStr">
        <is>
          <t>Entity ID: cawc_0075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Las Deltas Mutual Water Co Inc</t>
        </is>
      </c>
    </row>
    <row r="2">
      <c r="A2" s="2" t="inlineStr">
        <is>
          <t>Operational metrics - plant per acre, density, terrain</t>
        </is>
      </c>
    </row>
    <row r="3">
      <c r="A3" s="2" t="inlineStr">
        <is>
          <t>Entity ID: cawc_0075   |   Fiscal year ends December 31.</t>
        </is>
      </c>
    </row>
    <row r="5">
      <c r="A5" s="6" t="inlineStr">
        <is>
          <t>Connections per acre</t>
        </is>
      </c>
      <c r="B5" s="7" t="n"/>
      <c r="C5" s="7" t="n"/>
    </row>
    <row r="6">
      <c r="A6" s="20" t="inlineStr">
        <is>
          <t>Connections per acre</t>
        </is>
      </c>
      <c r="B6" s="19" t="n">
        <v>0.06</v>
      </c>
      <c r="C6" s="22" t="inlineStr">
        <is>
          <t>75 connections / 1,296.0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Las Deltas Mutual Water Co Inc</t>
        </is>
      </c>
    </row>
    <row r="2">
      <c r="A2" s="2" t="inlineStr">
        <is>
          <t>Supply and weather indicators (DWR water year)</t>
        </is>
      </c>
    </row>
    <row r="3">
      <c r="A3" s="2" t="inlineStr">
        <is>
          <t>Entity ID: cawc_0075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6" t="inlineStr">
        <is>
          <t>Critical</t>
        </is>
      </c>
      <c r="C8" s="26" t="inlineStr">
        <is>
          <t>Critical</t>
        </is>
      </c>
      <c r="D8" s="26" t="inlineStr">
        <is>
          <t>Wet</t>
        </is>
      </c>
      <c r="E8" s="26" t="inlineStr">
        <is>
          <t>Above Normal</t>
        </is>
      </c>
      <c r="F8" s="27" t="inlineStr">
        <is>
          <t>not reported</t>
        </is>
      </c>
    </row>
    <row r="9">
      <c r="A9" s="8" t="inlineStr">
        <is>
          <t>Peak drought, county County</t>
        </is>
      </c>
      <c r="B9" s="27" t="inlineStr">
        <is>
          <t>not reported</t>
        </is>
      </c>
      <c r="C9" s="27" t="inlineStr">
        <is>
          <t>not reported</t>
        </is>
      </c>
      <c r="D9" s="27" t="inlineStr">
        <is>
          <t>not reported</t>
        </is>
      </c>
      <c r="E9" s="27" t="inlineStr">
        <is>
          <t>not reported</t>
        </is>
      </c>
      <c r="F9" s="27" t="inlineStr">
        <is>
          <t>not reported</t>
        </is>
      </c>
    </row>
    <row r="10">
      <c r="A10" s="8" t="inlineStr">
        <is>
          <t>Precip, percent of normal (8-Station Index)</t>
        </is>
      </c>
      <c r="B10" s="26" t="inlineStr">
        <is>
          <t>48</t>
        </is>
      </c>
      <c r="C10" s="26" t="inlineStr">
        <is>
          <t>86</t>
        </is>
      </c>
      <c r="D10" s="26" t="inlineStr">
        <is>
          <t>133</t>
        </is>
      </c>
      <c r="E10" s="26" t="inlineStr">
        <is>
          <t>96</t>
        </is>
      </c>
      <c r="F10" s="26" t="inlineStr">
        <is>
          <t>113</t>
        </is>
      </c>
    </row>
    <row r="11">
      <c r="A11" s="8" t="inlineStr">
        <is>
          <t>Snowpack, April 1 percent of average</t>
        </is>
      </c>
      <c r="B11" s="26" t="inlineStr">
        <is>
          <t>59%</t>
        </is>
      </c>
      <c r="C11" s="26" t="inlineStr">
        <is>
          <t>38%</t>
        </is>
      </c>
      <c r="D11" s="26" t="inlineStr">
        <is>
          <t>237%</t>
        </is>
      </c>
      <c r="E11" s="26" t="inlineStr">
        <is>
          <t>110%</t>
        </is>
      </c>
      <c r="F11" s="26" t="inlineStr">
        <is>
          <t>96%</t>
        </is>
      </c>
    </row>
    <row r="12">
      <c r="A12" s="8" t="inlineStr">
        <is>
          <t>State Water Project allocation</t>
        </is>
      </c>
      <c r="B12" s="26" t="inlineStr">
        <is>
          <t>5%</t>
        </is>
      </c>
      <c r="C12" s="26" t="inlineStr">
        <is>
          <t>5%</t>
        </is>
      </c>
      <c r="D12" s="26" t="inlineStr">
        <is>
          <t>100%</t>
        </is>
      </c>
      <c r="E12" s="26" t="inlineStr">
        <is>
          <t>40%</t>
        </is>
      </c>
      <c r="F12" s="26"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Las Deltas Mutual Water Co Inc</t>
        </is>
      </c>
    </row>
    <row r="2">
      <c r="A2" s="2" t="inlineStr">
        <is>
          <t>How this was built - forensic lineage</t>
        </is>
      </c>
    </row>
    <row r="3">
      <c r="A3" s="2" t="inlineStr">
        <is>
          <t>Entity ID: cawc_0075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91"/>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Las Deltas Mutual Water Co Inc</t>
        </is>
      </c>
    </row>
    <row r="2">
      <c r="A2" s="2" t="inlineStr">
        <is>
          <t>Sources &amp; audit - full provenance and tie-outs (kept off the statements so they read clean)</t>
        </is>
      </c>
    </row>
    <row r="3">
      <c r="A3" s="2" t="inlineStr">
        <is>
          <t>Entity ID: cawc_0075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8"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6" t="inlineStr">
        <is>
          <t>FY2020</t>
        </is>
      </c>
      <c r="B10" s="8" t="inlineStr">
        <is>
          <t>2020-12-31</t>
        </is>
      </c>
      <c r="C10" s="8" t="inlineStr">
        <is>
          <t>990-EZ</t>
        </is>
      </c>
      <c r="D10" s="8" t="inlineStr">
        <is>
          <t>high</t>
        </is>
      </c>
      <c r="E10" s="8" t="inlineStr">
        <is>
          <t>7784c83a-cbc0-4a2d-861d-b9488131c8a2</t>
        </is>
      </c>
      <c r="F10" s="8" t="inlineStr">
        <is>
          <t>202141099349200904</t>
        </is>
      </c>
      <c r="G10" s="8" t="inlineStr">
        <is>
          <t>claude-opus-5</t>
        </is>
      </c>
      <c r="H10" s="8" t="inlineStr">
        <is>
          <t>2026-09-21T02:50:00+00:00</t>
        </is>
      </c>
      <c r="I10" s="8" t="inlineStr">
        <is>
          <t>https://apps.irs.gov/pub/epostcard/990/xml/2021/2021_TEOS_XML_01A.zip#202141099349200904_public.xml</t>
        </is>
      </c>
    </row>
    <row r="11">
      <c r="A11" s="26" t="inlineStr">
        <is>
          <t>FY2021</t>
        </is>
      </c>
      <c r="B11" s="8" t="inlineStr">
        <is>
          <t>2021-12-31</t>
        </is>
      </c>
      <c r="C11" s="8" t="inlineStr">
        <is>
          <t>990-EZ</t>
        </is>
      </c>
      <c r="D11" s="8" t="inlineStr">
        <is>
          <t>high</t>
        </is>
      </c>
      <c r="E11" s="8" t="inlineStr">
        <is>
          <t>466ef5e3-93a6-4228-a847-70e96cff6312</t>
        </is>
      </c>
      <c r="F11" s="8" t="inlineStr">
        <is>
          <t>202240989349200439</t>
        </is>
      </c>
      <c r="G11" s="8" t="inlineStr">
        <is>
          <t>claude-opus-5</t>
        </is>
      </c>
      <c r="H11" s="8" t="inlineStr">
        <is>
          <t>2026-09-21T02:50:00+00:00</t>
        </is>
      </c>
      <c r="I11" s="8" t="inlineStr">
        <is>
          <t>https://apps.irs.gov/pub/epostcard/990/xml/2022/2022_TEOS_XML_01A.zip#202240989349200439_public.xml</t>
        </is>
      </c>
    </row>
    <row r="12">
      <c r="A12" s="26" t="inlineStr">
        <is>
          <t>FY2022</t>
        </is>
      </c>
      <c r="B12" s="8" t="inlineStr">
        <is>
          <t>2022-12-31</t>
        </is>
      </c>
      <c r="C12" s="8" t="inlineStr">
        <is>
          <t>990-EZ</t>
        </is>
      </c>
      <c r="D12" s="8" t="inlineStr">
        <is>
          <t>high</t>
        </is>
      </c>
      <c r="E12" s="8" t="inlineStr">
        <is>
          <t>d4d6fda0-813c-4cb0-af21-73ad68f2c7d7</t>
        </is>
      </c>
      <c r="F12" s="8" t="inlineStr">
        <is>
          <t>202331359349204428</t>
        </is>
      </c>
      <c r="G12" s="8" t="inlineStr">
        <is>
          <t>claude-opus-5</t>
        </is>
      </c>
      <c r="H12" s="8" t="inlineStr">
        <is>
          <t>2026-09-21T02:50:00+00:00</t>
        </is>
      </c>
      <c r="I12" s="8" t="inlineStr">
        <is>
          <t>https://apps.irs.gov/pub/epostcard/990/xml/2023/2023_TEOS_XML_05A.zip#202331359349204428_public.xml</t>
        </is>
      </c>
    </row>
    <row r="13">
      <c r="A13" s="26" t="inlineStr">
        <is>
          <t>FY2023</t>
        </is>
      </c>
      <c r="B13" s="8" t="inlineStr">
        <is>
          <t>2023-12-31</t>
        </is>
      </c>
      <c r="C13" s="8" t="inlineStr">
        <is>
          <t>990-EZ</t>
        </is>
      </c>
      <c r="D13" s="8" t="inlineStr">
        <is>
          <t>high</t>
        </is>
      </c>
      <c r="E13" s="8" t="inlineStr">
        <is>
          <t>e60a268e-bab2-42a3-82a2-c4de6524e082</t>
        </is>
      </c>
      <c r="F13" s="8" t="inlineStr">
        <is>
          <t>202420579349200742</t>
        </is>
      </c>
      <c r="G13" s="8" t="inlineStr">
        <is>
          <t>claude-opus-5</t>
        </is>
      </c>
      <c r="H13" s="8" t="inlineStr">
        <is>
          <t>2026-09-21T02:50:00+00:00</t>
        </is>
      </c>
      <c r="I13" s="8" t="inlineStr">
        <is>
          <t>https://apps.irs.gov/pub/epostcard/990/xml/2024/2024_TEOS_XML_03A.zip#202420579349200742_public.xml</t>
        </is>
      </c>
    </row>
    <row r="14">
      <c r="A14" s="26" t="inlineStr">
        <is>
          <t>FY2024</t>
        </is>
      </c>
      <c r="B14" s="8" t="inlineStr">
        <is>
          <t>2024-12-31</t>
        </is>
      </c>
      <c r="C14" s="8" t="inlineStr">
        <is>
          <t>990-EZ</t>
        </is>
      </c>
      <c r="D14" s="8" t="inlineStr">
        <is>
          <t>high</t>
        </is>
      </c>
      <c r="E14" s="8" t="inlineStr">
        <is>
          <t>8bc69a0c-46bc-4db3-984a-2c5002ccdf9d</t>
        </is>
      </c>
      <c r="F14" s="8" t="inlineStr">
        <is>
          <t>202540919349200934</t>
        </is>
      </c>
      <c r="G14" s="8" t="inlineStr">
        <is>
          <t>claude-opus-5</t>
        </is>
      </c>
      <c r="H14" s="8" t="inlineStr">
        <is>
          <t>2026-09-21T02:50:00+00:00</t>
        </is>
      </c>
      <c r="I14" s="8" t="inlineStr">
        <is>
          <t>https://apps.irs.gov/pub/epostcard/990/xml/2025/2025_TEOS_XML_04A.zip#202540919349200934_public.xml</t>
        </is>
      </c>
    </row>
    <row r="15">
      <c r="A15" s="26" t="inlineStr">
        <is>
          <t>FY2025</t>
        </is>
      </c>
      <c r="B15" s="8" t="inlineStr">
        <is>
          <t>2025-12-31</t>
        </is>
      </c>
      <c r="C15" s="8" t="inlineStr">
        <is>
          <t>990</t>
        </is>
      </c>
      <c r="D15" s="8" t="inlineStr">
        <is>
          <t>high</t>
        </is>
      </c>
      <c r="E15" s="8" t="inlineStr">
        <is>
          <t>26d22102-6c99-40be-b83f-9aff78ba0b9a</t>
        </is>
      </c>
      <c r="F15" s="8" t="inlineStr">
        <is>
          <t>202641319349305534</t>
        </is>
      </c>
      <c r="G15" s="8" t="inlineStr">
        <is>
          <t>claude-opus-5</t>
        </is>
      </c>
      <c r="H15" s="8" t="inlineStr">
        <is>
          <t>2026-09-21T02:50:00+00:00</t>
        </is>
      </c>
      <c r="I15" s="8" t="inlineStr">
        <is>
          <t>https://apps.irs.gov/pub/epostcard/990/xml/2026/2026_TEOS_XML_05B.zip#202641319349305534_public.xml</t>
        </is>
      </c>
    </row>
    <row r="17">
      <c r="A17" s="28"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Revenue (detail)</t>
        </is>
      </c>
      <c r="B19" s="8" t="inlineStr">
        <is>
          <t>B7</t>
        </is>
      </c>
      <c r="C19" s="8" t="inlineStr">
        <is>
          <t>1h. Total contributions, gifts, grants</t>
        </is>
      </c>
      <c r="D19" s="8" t="inlineStr">
        <is>
          <t>1h</t>
        </is>
      </c>
      <c r="E19" s="8" t="inlineStr">
        <is>
          <t>part_viii_revenue.total_contributions</t>
        </is>
      </c>
      <c r="F19" s="8" t="inlineStr">
        <is>
          <t>high</t>
        </is>
      </c>
      <c r="G19" s="9" t="n">
        <v>264501</v>
      </c>
    </row>
    <row r="20">
      <c r="A20" s="8" t="inlineStr">
        <is>
          <t>Revenue (detail)</t>
        </is>
      </c>
      <c r="B20" s="8" t="inlineStr">
        <is>
          <t>B8</t>
        </is>
      </c>
      <c r="C20" s="8" t="inlineStr">
        <is>
          <t>2g. Total program service revenue</t>
        </is>
      </c>
      <c r="D20" s="8" t="inlineStr">
        <is>
          <t>2g</t>
        </is>
      </c>
      <c r="E20" s="8" t="inlineStr">
        <is>
          <t>part_viii_revenue.total_program_service_revenue</t>
        </is>
      </c>
      <c r="F20" s="8" t="inlineStr">
        <is>
          <t>high</t>
        </is>
      </c>
      <c r="G20" s="9" t="n">
        <v>109866</v>
      </c>
    </row>
    <row r="21">
      <c r="A21" s="8" t="inlineStr">
        <is>
          <t>Revenue (detail)</t>
        </is>
      </c>
      <c r="B21" s="8" t="inlineStr">
        <is>
          <t>B9</t>
        </is>
      </c>
      <c r="C21" s="8" t="inlineStr">
        <is>
          <t>3. Investment income</t>
        </is>
      </c>
      <c r="D21" s="8" t="inlineStr">
        <is>
          <t>3</t>
        </is>
      </c>
      <c r="E21" s="8" t="inlineStr">
        <is>
          <t>part_viii_revenue.investment_income</t>
        </is>
      </c>
      <c r="F21" s="8" t="inlineStr">
        <is>
          <t>high</t>
        </is>
      </c>
      <c r="G21" s="9" t="n">
        <v>0</v>
      </c>
    </row>
    <row r="22">
      <c r="A22" s="8" t="inlineStr">
        <is>
          <t>Revenue (detail)</t>
        </is>
      </c>
      <c r="B22" s="8" t="inlineStr">
        <is>
          <t>B10</t>
        </is>
      </c>
      <c r="C22" s="8" t="inlineStr">
        <is>
          <t>6d. Net rental income</t>
        </is>
      </c>
      <c r="D22" s="8" t="inlineStr">
        <is>
          <t>6d</t>
        </is>
      </c>
      <c r="E22" s="8" t="inlineStr">
        <is>
          <t>part_viii_revenue.net_rental_income</t>
        </is>
      </c>
      <c r="F22" s="8" t="inlineStr">
        <is>
          <t>high</t>
        </is>
      </c>
      <c r="G22" s="9" t="n">
        <v>0</v>
      </c>
    </row>
    <row r="23">
      <c r="A23" s="8" t="inlineStr">
        <is>
          <t>Revenue (detail)</t>
        </is>
      </c>
      <c r="B23" s="8" t="inlineStr">
        <is>
          <t>B11</t>
        </is>
      </c>
      <c r="C23" s="8" t="inlineStr">
        <is>
          <t>7d. Net gain/(loss) from investment sales</t>
        </is>
      </c>
      <c r="D23" s="8" t="inlineStr">
        <is>
          <t>7d</t>
        </is>
      </c>
      <c r="E23" s="8" t="inlineStr">
        <is>
          <t>part_viii_revenue.net_gain_or_loss_investments</t>
        </is>
      </c>
      <c r="F23" s="8" t="inlineStr">
        <is>
          <t>high</t>
        </is>
      </c>
      <c r="G23" s="9" t="n">
        <v>0</v>
      </c>
    </row>
    <row r="24">
      <c r="A24" s="8" t="inlineStr">
        <is>
          <t>Revenue (detail)</t>
        </is>
      </c>
      <c r="B24" s="8" t="inlineStr">
        <is>
          <t>B12</t>
        </is>
      </c>
      <c r="C24" s="8" t="inlineStr">
        <is>
          <t>11e. Other revenue</t>
        </is>
      </c>
      <c r="D24" s="8" t="inlineStr">
        <is>
          <t>11e</t>
        </is>
      </c>
      <c r="E24" s="8" t="inlineStr">
        <is>
          <t>part_viii_revenue.other_revenue_total</t>
        </is>
      </c>
      <c r="F24" s="8" t="inlineStr">
        <is>
          <t>high</t>
        </is>
      </c>
      <c r="G24" s="9" t="n">
        <v>0</v>
      </c>
    </row>
    <row r="25">
      <c r="A25" s="8" t="inlineStr">
        <is>
          <t>Operating expenses (detail)</t>
        </is>
      </c>
      <c r="B25" s="8" t="inlineStr">
        <is>
          <t>B7</t>
        </is>
      </c>
      <c r="C25" s="8" t="inlineStr">
        <is>
          <t>1. Grants to domestic organizations and governments</t>
        </is>
      </c>
      <c r="D25" s="8" t="inlineStr">
        <is>
          <t>1</t>
        </is>
      </c>
      <c r="E25" s="8" t="inlineStr">
        <is>
          <t>part_ix_expenses.grants_domestic_orgs</t>
        </is>
      </c>
      <c r="F25" s="8" t="inlineStr">
        <is>
          <t>high</t>
        </is>
      </c>
      <c r="G25" s="9" t="n">
        <v>0</v>
      </c>
    </row>
    <row r="26">
      <c r="A26" s="8" t="inlineStr">
        <is>
          <t>Operating expenses (detail)</t>
        </is>
      </c>
      <c r="B26" s="8" t="inlineStr">
        <is>
          <t>B8</t>
        </is>
      </c>
      <c r="C26" s="8" t="inlineStr">
        <is>
          <t>2. Grants to domestic individuals</t>
        </is>
      </c>
      <c r="D26" s="8" t="inlineStr">
        <is>
          <t>2</t>
        </is>
      </c>
      <c r="E26" s="8" t="inlineStr">
        <is>
          <t>part_ix_expenses.grants_domestic_individuals</t>
        </is>
      </c>
      <c r="F26" s="8" t="inlineStr">
        <is>
          <t>high</t>
        </is>
      </c>
      <c r="G26" s="9" t="n">
        <v>0</v>
      </c>
    </row>
    <row r="27">
      <c r="A27" s="8" t="inlineStr">
        <is>
          <t>Operating expenses (detail)</t>
        </is>
      </c>
      <c r="B27" s="8" t="inlineStr">
        <is>
          <t>B9</t>
        </is>
      </c>
      <c r="C27" s="8" t="inlineStr">
        <is>
          <t>3. Grants to foreign organizations and individuals</t>
        </is>
      </c>
      <c r="D27" s="8" t="inlineStr">
        <is>
          <t>3</t>
        </is>
      </c>
      <c r="E27" s="8" t="inlineStr">
        <is>
          <t>part_ix_expenses.foreign_grants</t>
        </is>
      </c>
      <c r="F27" s="8" t="inlineStr">
        <is>
          <t>high</t>
        </is>
      </c>
      <c r="G27" s="9" t="n">
        <v>0</v>
      </c>
    </row>
    <row r="28">
      <c r="A28" s="8" t="inlineStr">
        <is>
          <t>Operating expenses (detail)</t>
        </is>
      </c>
      <c r="B28" s="8" t="inlineStr">
        <is>
          <t>B10</t>
        </is>
      </c>
      <c r="C28" s="8" t="inlineStr">
        <is>
          <t>4. Benefits paid to or for members</t>
        </is>
      </c>
      <c r="D28" s="8" t="inlineStr">
        <is>
          <t>4</t>
        </is>
      </c>
      <c r="E28" s="8" t="inlineStr">
        <is>
          <t>part_ix_expenses.benefits_to_members</t>
        </is>
      </c>
      <c r="F28" s="8" t="inlineStr">
        <is>
          <t>high</t>
        </is>
      </c>
      <c r="G28" s="9" t="n">
        <v>0</v>
      </c>
    </row>
    <row r="29">
      <c r="A29" s="8" t="inlineStr">
        <is>
          <t>Operating expenses (detail)</t>
        </is>
      </c>
      <c r="B29" s="8" t="inlineStr">
        <is>
          <t>B11</t>
        </is>
      </c>
      <c r="C29" s="8" t="inlineStr">
        <is>
          <t>5. Compensation of current officers, directors, trustees</t>
        </is>
      </c>
      <c r="D29" s="8" t="inlineStr">
        <is>
          <t>5</t>
        </is>
      </c>
      <c r="E29" s="8" t="inlineStr">
        <is>
          <t>part_ix_expenses.comp_current_officers</t>
        </is>
      </c>
      <c r="F29" s="8" t="inlineStr">
        <is>
          <t>high</t>
        </is>
      </c>
      <c r="G29" s="9" t="n">
        <v>0</v>
      </c>
    </row>
    <row r="30">
      <c r="A30" s="8" t="inlineStr">
        <is>
          <t>Operating expenses (detail)</t>
        </is>
      </c>
      <c r="B30" s="8" t="inlineStr">
        <is>
          <t>B12</t>
        </is>
      </c>
      <c r="C30" s="8" t="inlineStr">
        <is>
          <t>6. Compensation to disqualified persons</t>
        </is>
      </c>
      <c r="D30" s="8" t="inlineStr">
        <is>
          <t>6</t>
        </is>
      </c>
      <c r="E30" s="8" t="inlineStr">
        <is>
          <t>part_ix_expenses.comp_disqualified_persons</t>
        </is>
      </c>
      <c r="F30" s="8" t="inlineStr">
        <is>
          <t>high</t>
        </is>
      </c>
      <c r="G30" s="9" t="n">
        <v>0</v>
      </c>
    </row>
    <row r="31">
      <c r="A31" s="8" t="inlineStr">
        <is>
          <t>Operating expenses (detail)</t>
        </is>
      </c>
      <c r="B31" s="8" t="inlineStr">
        <is>
          <t>B13</t>
        </is>
      </c>
      <c r="C31" s="8" t="inlineStr">
        <is>
          <t>7. Other salaries and wages</t>
        </is>
      </c>
      <c r="D31" s="8" t="inlineStr">
        <is>
          <t>7</t>
        </is>
      </c>
      <c r="E31" s="8" t="inlineStr">
        <is>
          <t>part_ix_expenses.other_salaries_and_wages</t>
        </is>
      </c>
      <c r="F31" s="8" t="inlineStr">
        <is>
          <t>high</t>
        </is>
      </c>
      <c r="G31" s="9" t="n">
        <v>0</v>
      </c>
    </row>
    <row r="32">
      <c r="A32" s="8" t="inlineStr">
        <is>
          <t>Operating expenses (detail)</t>
        </is>
      </c>
      <c r="B32" s="8" t="inlineStr">
        <is>
          <t>B14</t>
        </is>
      </c>
      <c r="C32" s="8" t="inlineStr">
        <is>
          <t>8. Pension plan accruals and contributions</t>
        </is>
      </c>
      <c r="D32" s="8" t="inlineStr">
        <is>
          <t>8</t>
        </is>
      </c>
      <c r="E32" s="8" t="inlineStr">
        <is>
          <t>part_ix_expenses.pension_plan_contributions</t>
        </is>
      </c>
      <c r="F32" s="8" t="inlineStr">
        <is>
          <t>high</t>
        </is>
      </c>
      <c r="G32" s="9" t="n">
        <v>0</v>
      </c>
    </row>
    <row r="33">
      <c r="A33" s="8" t="inlineStr">
        <is>
          <t>Operating expenses (detail)</t>
        </is>
      </c>
      <c r="B33" s="8" t="inlineStr">
        <is>
          <t>B15</t>
        </is>
      </c>
      <c r="C33" s="8" t="inlineStr">
        <is>
          <t>9. Other employee benefits</t>
        </is>
      </c>
      <c r="D33" s="8" t="inlineStr">
        <is>
          <t>9</t>
        </is>
      </c>
      <c r="E33" s="8" t="inlineStr">
        <is>
          <t>part_ix_expenses.other_employee_benefits</t>
        </is>
      </c>
      <c r="F33" s="8" t="inlineStr">
        <is>
          <t>high</t>
        </is>
      </c>
      <c r="G33" s="9" t="n">
        <v>0</v>
      </c>
    </row>
    <row r="34">
      <c r="A34" s="8" t="inlineStr">
        <is>
          <t>Operating expenses (detail)</t>
        </is>
      </c>
      <c r="B34" s="8" t="inlineStr">
        <is>
          <t>B16</t>
        </is>
      </c>
      <c r="C34" s="8" t="inlineStr">
        <is>
          <t>10. Payroll taxes</t>
        </is>
      </c>
      <c r="D34" s="8" t="inlineStr">
        <is>
          <t>10</t>
        </is>
      </c>
      <c r="E34" s="8" t="inlineStr">
        <is>
          <t>part_ix_expenses.payroll_taxes</t>
        </is>
      </c>
      <c r="F34" s="8" t="inlineStr">
        <is>
          <t>high</t>
        </is>
      </c>
      <c r="G34" s="9" t="n">
        <v>0</v>
      </c>
    </row>
    <row r="35">
      <c r="A35" s="8" t="inlineStr">
        <is>
          <t>Operating expenses (detail)</t>
        </is>
      </c>
      <c r="B35" s="8" t="inlineStr">
        <is>
          <t>B17</t>
        </is>
      </c>
      <c r="C35" s="8" t="inlineStr">
        <is>
          <t>11a. Fees for services: management</t>
        </is>
      </c>
      <c r="D35" s="8" t="inlineStr">
        <is>
          <t>11a</t>
        </is>
      </c>
      <c r="E35" s="8" t="inlineStr">
        <is>
          <t>part_ix_expenses.fees_management</t>
        </is>
      </c>
      <c r="F35" s="8" t="inlineStr">
        <is>
          <t>high</t>
        </is>
      </c>
      <c r="G35" s="9" t="n">
        <v>0</v>
      </c>
    </row>
    <row r="36">
      <c r="A36" s="8" t="inlineStr">
        <is>
          <t>Operating expenses (detail)</t>
        </is>
      </c>
      <c r="B36" s="8" t="inlineStr">
        <is>
          <t>B18</t>
        </is>
      </c>
      <c r="C36" s="8" t="inlineStr">
        <is>
          <t>11b. Fees for services: legal</t>
        </is>
      </c>
      <c r="D36" s="8" t="inlineStr">
        <is>
          <t>11b</t>
        </is>
      </c>
      <c r="E36" s="8" t="inlineStr">
        <is>
          <t>part_ix_expenses.fees_legal</t>
        </is>
      </c>
      <c r="F36" s="8" t="inlineStr">
        <is>
          <t>high</t>
        </is>
      </c>
      <c r="G36" s="9" t="n">
        <v>0</v>
      </c>
    </row>
    <row r="37">
      <c r="A37" s="8" t="inlineStr">
        <is>
          <t>Operating expenses (detail)</t>
        </is>
      </c>
      <c r="B37" s="8" t="inlineStr">
        <is>
          <t>B19</t>
        </is>
      </c>
      <c r="C37" s="8" t="inlineStr">
        <is>
          <t>11c. Fees for services: accounting</t>
        </is>
      </c>
      <c r="D37" s="8" t="inlineStr">
        <is>
          <t>11c</t>
        </is>
      </c>
      <c r="E37" s="8" t="inlineStr">
        <is>
          <t>part_ix_expenses.fees_accounting</t>
        </is>
      </c>
      <c r="F37" s="8" t="inlineStr">
        <is>
          <t>high</t>
        </is>
      </c>
      <c r="G37" s="9" t="n">
        <v>820</v>
      </c>
    </row>
    <row r="38">
      <c r="A38" s="8" t="inlineStr">
        <is>
          <t>Operating expenses (detail)</t>
        </is>
      </c>
      <c r="B38" s="8" t="inlineStr">
        <is>
          <t>B20</t>
        </is>
      </c>
      <c r="C38" s="8" t="inlineStr">
        <is>
          <t>11d. Fees for services: lobbying</t>
        </is>
      </c>
      <c r="D38" s="8" t="inlineStr">
        <is>
          <t>11d</t>
        </is>
      </c>
      <c r="E38" s="8" t="inlineStr">
        <is>
          <t>part_ix_expenses.fees_lobbying</t>
        </is>
      </c>
      <c r="F38" s="8" t="inlineStr">
        <is>
          <t>high</t>
        </is>
      </c>
      <c r="G38" s="9" t="n">
        <v>0</v>
      </c>
    </row>
    <row r="39">
      <c r="A39" s="8" t="inlineStr">
        <is>
          <t>Operating expenses (detail)</t>
        </is>
      </c>
      <c r="B39" s="8" t="inlineStr">
        <is>
          <t>B21</t>
        </is>
      </c>
      <c r="C39" s="8" t="inlineStr">
        <is>
          <t>11e. Fees for services: professional fundraising</t>
        </is>
      </c>
      <c r="D39" s="8" t="inlineStr">
        <is>
          <t>11e</t>
        </is>
      </c>
      <c r="E39" s="8" t="inlineStr">
        <is>
          <t>part_ix_expenses.fees_prof_fundraising</t>
        </is>
      </c>
      <c r="F39" s="8" t="inlineStr">
        <is>
          <t>high</t>
        </is>
      </c>
      <c r="G39" s="9" t="n">
        <v>0</v>
      </c>
    </row>
    <row r="40">
      <c r="A40" s="8" t="inlineStr">
        <is>
          <t>Operating expenses (detail)</t>
        </is>
      </c>
      <c r="B40" s="8" t="inlineStr">
        <is>
          <t>B22</t>
        </is>
      </c>
      <c r="C40" s="8" t="inlineStr">
        <is>
          <t>11f. Fees for services: investment management</t>
        </is>
      </c>
      <c r="D40" s="8" t="inlineStr">
        <is>
          <t>11f</t>
        </is>
      </c>
      <c r="E40" s="8" t="inlineStr">
        <is>
          <t>part_ix_expenses.fees_investment_mgmt</t>
        </is>
      </c>
      <c r="F40" s="8" t="inlineStr">
        <is>
          <t>high</t>
        </is>
      </c>
      <c r="G40" s="9" t="n">
        <v>0</v>
      </c>
    </row>
    <row r="41">
      <c r="A41" s="8" t="inlineStr">
        <is>
          <t>Operating expenses (detail)</t>
        </is>
      </c>
      <c r="B41" s="8" t="inlineStr">
        <is>
          <t>B23</t>
        </is>
      </c>
      <c r="C41" s="8" t="inlineStr">
        <is>
          <t>11g. Fees for services: other</t>
        </is>
      </c>
      <c r="D41" s="8" t="inlineStr">
        <is>
          <t>11g</t>
        </is>
      </c>
      <c r="E41" s="8" t="inlineStr">
        <is>
          <t>part_ix_expenses.fees_other</t>
        </is>
      </c>
      <c r="F41" s="8" t="inlineStr">
        <is>
          <t>high</t>
        </is>
      </c>
      <c r="G41" s="9" t="n">
        <v>151937</v>
      </c>
    </row>
    <row r="42">
      <c r="A42" s="8" t="inlineStr">
        <is>
          <t>Operating expenses (detail)</t>
        </is>
      </c>
      <c r="B42" s="8" t="inlineStr">
        <is>
          <t>B24</t>
        </is>
      </c>
      <c r="C42" s="8" t="inlineStr">
        <is>
          <t>12. Advertising and promotion</t>
        </is>
      </c>
      <c r="D42" s="8" t="inlineStr">
        <is>
          <t>12</t>
        </is>
      </c>
      <c r="E42" s="8" t="inlineStr">
        <is>
          <t>part_ix_expenses.advertising</t>
        </is>
      </c>
      <c r="F42" s="8" t="inlineStr">
        <is>
          <t>high</t>
        </is>
      </c>
      <c r="G42" s="9" t="n">
        <v>0</v>
      </c>
    </row>
    <row r="43">
      <c r="A43" s="8" t="inlineStr">
        <is>
          <t>Operating expenses (detail)</t>
        </is>
      </c>
      <c r="B43" s="8" t="inlineStr">
        <is>
          <t>B25</t>
        </is>
      </c>
      <c r="C43" s="8" t="inlineStr">
        <is>
          <t>13. Office expenses</t>
        </is>
      </c>
      <c r="D43" s="8" t="inlineStr">
        <is>
          <t>13</t>
        </is>
      </c>
      <c r="E43" s="8" t="inlineStr">
        <is>
          <t>part_ix_expenses.office_expenses</t>
        </is>
      </c>
      <c r="F43" s="8" t="inlineStr">
        <is>
          <t>high</t>
        </is>
      </c>
      <c r="G43" s="9" t="n">
        <v>297</v>
      </c>
    </row>
    <row r="44">
      <c r="A44" s="8" t="inlineStr">
        <is>
          <t>Operating expenses (detail)</t>
        </is>
      </c>
      <c r="B44" s="8" t="inlineStr">
        <is>
          <t>B26</t>
        </is>
      </c>
      <c r="C44" s="8" t="inlineStr">
        <is>
          <t>14. Information technology</t>
        </is>
      </c>
      <c r="D44" s="8" t="inlineStr">
        <is>
          <t>14</t>
        </is>
      </c>
      <c r="E44" s="8" t="inlineStr">
        <is>
          <t>part_ix_expenses.information_technology</t>
        </is>
      </c>
      <c r="F44" s="8" t="inlineStr">
        <is>
          <t>high</t>
        </is>
      </c>
      <c r="G44" s="9" t="n">
        <v>0</v>
      </c>
    </row>
    <row r="45">
      <c r="A45" s="8" t="inlineStr">
        <is>
          <t>Operating expenses (detail)</t>
        </is>
      </c>
      <c r="B45" s="8" t="inlineStr">
        <is>
          <t>B27</t>
        </is>
      </c>
      <c r="C45" s="8" t="inlineStr">
        <is>
          <t>15. Royalties</t>
        </is>
      </c>
      <c r="D45" s="8" t="inlineStr">
        <is>
          <t>15</t>
        </is>
      </c>
      <c r="E45" s="8" t="inlineStr">
        <is>
          <t>part_ix_expenses.royalties</t>
        </is>
      </c>
      <c r="F45" s="8" t="inlineStr">
        <is>
          <t>high</t>
        </is>
      </c>
      <c r="G45" s="9" t="n">
        <v>0</v>
      </c>
    </row>
    <row r="46">
      <c r="A46" s="8" t="inlineStr">
        <is>
          <t>Operating expenses (detail)</t>
        </is>
      </c>
      <c r="B46" s="8" t="inlineStr">
        <is>
          <t>B28</t>
        </is>
      </c>
      <c r="C46" s="8" t="inlineStr">
        <is>
          <t>16. Occupancy</t>
        </is>
      </c>
      <c r="D46" s="8" t="inlineStr">
        <is>
          <t>16</t>
        </is>
      </c>
      <c r="E46" s="8" t="inlineStr">
        <is>
          <t>part_ix_expenses.occupancy</t>
        </is>
      </c>
      <c r="F46" s="8" t="inlineStr">
        <is>
          <t>high</t>
        </is>
      </c>
      <c r="G46" s="9" t="n">
        <v>26312</v>
      </c>
    </row>
    <row r="47">
      <c r="A47" s="8" t="inlineStr">
        <is>
          <t>Operating expenses (detail)</t>
        </is>
      </c>
      <c r="B47" s="8" t="inlineStr">
        <is>
          <t>B29</t>
        </is>
      </c>
      <c r="C47" s="8" t="inlineStr">
        <is>
          <t>17. Travel</t>
        </is>
      </c>
      <c r="D47" s="8" t="inlineStr">
        <is>
          <t>17</t>
        </is>
      </c>
      <c r="E47" s="8" t="inlineStr">
        <is>
          <t>part_ix_expenses.travel</t>
        </is>
      </c>
      <c r="F47" s="8" t="inlineStr">
        <is>
          <t>high</t>
        </is>
      </c>
      <c r="G47" s="9" t="n">
        <v>0</v>
      </c>
    </row>
    <row r="48">
      <c r="A48" s="8" t="inlineStr">
        <is>
          <t>Operating expenses (detail)</t>
        </is>
      </c>
      <c r="B48" s="8" t="inlineStr">
        <is>
          <t>B30</t>
        </is>
      </c>
      <c r="C48" s="8" t="inlineStr">
        <is>
          <t>18. Payments of travel/entertainment for public officials</t>
        </is>
      </c>
      <c r="D48" s="8" t="inlineStr">
        <is>
          <t>18</t>
        </is>
      </c>
      <c r="E48" s="8" t="inlineStr">
        <is>
          <t>part_ix_expenses.travel_entertainment_public_officials</t>
        </is>
      </c>
      <c r="F48" s="8" t="inlineStr">
        <is>
          <t>high</t>
        </is>
      </c>
      <c r="G48" s="9" t="n">
        <v>0</v>
      </c>
    </row>
    <row r="49">
      <c r="A49" s="8" t="inlineStr">
        <is>
          <t>Operating expenses (detail)</t>
        </is>
      </c>
      <c r="B49" s="8" t="inlineStr">
        <is>
          <t>B31</t>
        </is>
      </c>
      <c r="C49" s="8" t="inlineStr">
        <is>
          <t>19. Conferences, conventions, and meetings</t>
        </is>
      </c>
      <c r="D49" s="8" t="inlineStr">
        <is>
          <t>19</t>
        </is>
      </c>
      <c r="E49" s="8" t="inlineStr">
        <is>
          <t>part_ix_expenses.conferences_conventions_meetings</t>
        </is>
      </c>
      <c r="F49" s="8" t="inlineStr">
        <is>
          <t>high</t>
        </is>
      </c>
      <c r="G49" s="9" t="n">
        <v>0</v>
      </c>
    </row>
    <row r="50">
      <c r="A50" s="8" t="inlineStr">
        <is>
          <t>Operating expenses (detail)</t>
        </is>
      </c>
      <c r="B50" s="8" t="inlineStr">
        <is>
          <t>B32</t>
        </is>
      </c>
      <c r="C50" s="8" t="inlineStr">
        <is>
          <t>20. Interest</t>
        </is>
      </c>
      <c r="D50" s="8" t="inlineStr">
        <is>
          <t>20</t>
        </is>
      </c>
      <c r="E50" s="8" t="inlineStr">
        <is>
          <t>part_ix_expenses.interest</t>
        </is>
      </c>
      <c r="F50" s="8" t="inlineStr">
        <is>
          <t>high</t>
        </is>
      </c>
      <c r="G50" s="9" t="n">
        <v>0</v>
      </c>
    </row>
    <row r="51">
      <c r="A51" s="8" t="inlineStr">
        <is>
          <t>Operating expenses (detail)</t>
        </is>
      </c>
      <c r="B51" s="8" t="inlineStr">
        <is>
          <t>B33</t>
        </is>
      </c>
      <c r="C51" s="8" t="inlineStr">
        <is>
          <t>21. Payments to affiliates</t>
        </is>
      </c>
      <c r="D51" s="8" t="inlineStr">
        <is>
          <t>21</t>
        </is>
      </c>
      <c r="E51" s="8" t="inlineStr">
        <is>
          <t>part_ix_expenses.payments_to_affiliates</t>
        </is>
      </c>
      <c r="F51" s="8" t="inlineStr">
        <is>
          <t>high</t>
        </is>
      </c>
      <c r="G51" s="9" t="n">
        <v>0</v>
      </c>
    </row>
    <row r="52">
      <c r="A52" s="8" t="inlineStr">
        <is>
          <t>Operating expenses (detail)</t>
        </is>
      </c>
      <c r="B52" s="8" t="inlineStr">
        <is>
          <t>B34</t>
        </is>
      </c>
      <c r="C52" s="8" t="inlineStr">
        <is>
          <t>22. Depreciation, depletion, and amortization</t>
        </is>
      </c>
      <c r="D52" s="8" t="inlineStr">
        <is>
          <t>22</t>
        </is>
      </c>
      <c r="E52" s="8" t="inlineStr">
        <is>
          <t>part_ix_expenses.depreciation</t>
        </is>
      </c>
      <c r="F52" s="8" t="inlineStr">
        <is>
          <t>high</t>
        </is>
      </c>
      <c r="G52" s="9" t="n">
        <v>0</v>
      </c>
    </row>
    <row r="53">
      <c r="A53" s="8" t="inlineStr">
        <is>
          <t>Operating expenses (detail)</t>
        </is>
      </c>
      <c r="B53" s="8" t="inlineStr">
        <is>
          <t>B35</t>
        </is>
      </c>
      <c r="C53" s="8" t="inlineStr">
        <is>
          <t>23. Insurance</t>
        </is>
      </c>
      <c r="D53" s="8" t="inlineStr">
        <is>
          <t>23</t>
        </is>
      </c>
      <c r="E53" s="8" t="inlineStr">
        <is>
          <t>part_ix_expenses.insurance</t>
        </is>
      </c>
      <c r="F53" s="8" t="inlineStr">
        <is>
          <t>high</t>
        </is>
      </c>
      <c r="G53" s="9" t="n">
        <v>6259</v>
      </c>
    </row>
    <row r="54">
      <c r="A54" s="8" t="inlineStr">
        <is>
          <t>Operating expenses (detail)</t>
        </is>
      </c>
      <c r="B54" s="8" t="inlineStr">
        <is>
          <t>B40</t>
        </is>
      </c>
      <c r="C54" s="8" t="inlineStr">
        <is>
          <t>24e. All other expenses</t>
        </is>
      </c>
      <c r="D54" s="8" t="inlineStr">
        <is>
          <t>24e</t>
        </is>
      </c>
      <c r="E54" s="8" t="inlineStr">
        <is>
          <t>part_ix_expenses.all_other_expenses</t>
        </is>
      </c>
      <c r="F54" s="8" t="inlineStr">
        <is>
          <t>high</t>
        </is>
      </c>
      <c r="G54" s="9" t="n">
        <v>0</v>
      </c>
    </row>
    <row r="55">
      <c r="A55" s="8" t="inlineStr">
        <is>
          <t>Balance sheet (detail)</t>
        </is>
      </c>
      <c r="B55" s="8" t="inlineStr">
        <is>
          <t>B7</t>
        </is>
      </c>
      <c r="C55" s="8" t="inlineStr">
        <is>
          <t>1. Cash - non-interest-bearing</t>
        </is>
      </c>
      <c r="D55" s="8" t="inlineStr">
        <is>
          <t>1E</t>
        </is>
      </c>
      <c r="E55" s="8" t="inlineStr">
        <is>
          <t>part_x_balance_sheet.cash_noninterest_eoy</t>
        </is>
      </c>
      <c r="F55" s="8" t="inlineStr">
        <is>
          <t>high</t>
        </is>
      </c>
      <c r="G55" s="9" t="n">
        <v>105901</v>
      </c>
    </row>
    <row r="56">
      <c r="A56" s="8" t="inlineStr">
        <is>
          <t>Balance sheet (detail)</t>
        </is>
      </c>
      <c r="B56" s="8" t="inlineStr">
        <is>
          <t>B8</t>
        </is>
      </c>
      <c r="C56" s="8" t="inlineStr">
        <is>
          <t>2. Savings and temporary cash investments</t>
        </is>
      </c>
      <c r="D56" s="8" t="inlineStr">
        <is>
          <t>2E</t>
        </is>
      </c>
      <c r="E56" s="8" t="inlineStr">
        <is>
          <t>part_x_balance_sheet.savings_temp_invest_eoy</t>
        </is>
      </c>
      <c r="F56" s="8" t="inlineStr">
        <is>
          <t>high</t>
        </is>
      </c>
      <c r="G56" s="9" t="n">
        <v>0</v>
      </c>
    </row>
    <row r="57">
      <c r="A57" s="8" t="inlineStr">
        <is>
          <t>Balance sheet (detail)</t>
        </is>
      </c>
      <c r="B57" s="8" t="inlineStr">
        <is>
          <t>B9</t>
        </is>
      </c>
      <c r="C57" s="8" t="inlineStr">
        <is>
          <t>3. Pledges and grants receivable, net</t>
        </is>
      </c>
      <c r="D57" s="8" t="inlineStr">
        <is>
          <t>3E</t>
        </is>
      </c>
      <c r="E57" s="8" t="inlineStr">
        <is>
          <t>part_x_balance_sheet.pledges_grants_receivable_eoy</t>
        </is>
      </c>
      <c r="F57" s="8" t="inlineStr">
        <is>
          <t>high</t>
        </is>
      </c>
      <c r="G57" s="9" t="n">
        <v>0</v>
      </c>
    </row>
    <row r="58">
      <c r="A58" s="8" t="inlineStr">
        <is>
          <t>Balance sheet (detail)</t>
        </is>
      </c>
      <c r="B58" s="8" t="inlineStr">
        <is>
          <t>B10</t>
        </is>
      </c>
      <c r="C58" s="8" t="inlineStr">
        <is>
          <t>4. Accounts receivable, net</t>
        </is>
      </c>
      <c r="D58" s="8" t="inlineStr">
        <is>
          <t>4E</t>
        </is>
      </c>
      <c r="E58" s="8" t="inlineStr">
        <is>
          <t>part_x_balance_sheet.accounts_receivable_eoy</t>
        </is>
      </c>
      <c r="F58" s="8" t="inlineStr">
        <is>
          <t>high</t>
        </is>
      </c>
      <c r="G58" s="9" t="n">
        <v>64827</v>
      </c>
    </row>
    <row r="59">
      <c r="A59" s="8" t="inlineStr">
        <is>
          <t>Balance sheet (detail)</t>
        </is>
      </c>
      <c r="B59" s="8" t="inlineStr">
        <is>
          <t>B11</t>
        </is>
      </c>
      <c r="C59" s="8" t="inlineStr">
        <is>
          <t>5. Receivables from officers/directors/trustees</t>
        </is>
      </c>
      <c r="D59" s="8" t="inlineStr">
        <is>
          <t>5E</t>
        </is>
      </c>
      <c r="E59" s="8" t="inlineStr">
        <is>
          <t>part_x_balance_sheet.receivables_officers_eoy</t>
        </is>
      </c>
      <c r="F59" s="8" t="inlineStr">
        <is>
          <t>high</t>
        </is>
      </c>
      <c r="G59" s="9" t="n">
        <v>0</v>
      </c>
    </row>
    <row r="60">
      <c r="A60" s="8" t="inlineStr">
        <is>
          <t>Balance sheet (detail)</t>
        </is>
      </c>
      <c r="B60" s="8" t="inlineStr">
        <is>
          <t>B12</t>
        </is>
      </c>
      <c r="C60" s="8" t="inlineStr">
        <is>
          <t>6. Receivables from disqualified persons</t>
        </is>
      </c>
      <c r="D60" s="8" t="inlineStr">
        <is>
          <t>6E</t>
        </is>
      </c>
      <c r="E60" s="8" t="inlineStr">
        <is>
          <t>part_x_balance_sheet.receivables_disqualified_eoy</t>
        </is>
      </c>
      <c r="F60" s="8" t="inlineStr">
        <is>
          <t>high</t>
        </is>
      </c>
      <c r="G60" s="9" t="n">
        <v>0</v>
      </c>
    </row>
    <row r="61">
      <c r="A61" s="8" t="inlineStr">
        <is>
          <t>Balance sheet (detail)</t>
        </is>
      </c>
      <c r="B61" s="8" t="inlineStr">
        <is>
          <t>B13</t>
        </is>
      </c>
      <c r="C61" s="8" t="inlineStr">
        <is>
          <t>7. Notes and loans receivable, net</t>
        </is>
      </c>
      <c r="D61" s="8" t="inlineStr">
        <is>
          <t>7E</t>
        </is>
      </c>
      <c r="E61" s="8" t="inlineStr">
        <is>
          <t>part_x_balance_sheet.notes_loans_receivable_eoy</t>
        </is>
      </c>
      <c r="F61" s="8" t="inlineStr">
        <is>
          <t>high</t>
        </is>
      </c>
      <c r="G61" s="9" t="n">
        <v>0</v>
      </c>
    </row>
    <row r="62">
      <c r="A62" s="8" t="inlineStr">
        <is>
          <t>Balance sheet (detail)</t>
        </is>
      </c>
      <c r="B62" s="8" t="inlineStr">
        <is>
          <t>B14</t>
        </is>
      </c>
      <c r="C62" s="8" t="inlineStr">
        <is>
          <t>8. Inventories for sale or use</t>
        </is>
      </c>
      <c r="D62" s="8" t="inlineStr">
        <is>
          <t>8E</t>
        </is>
      </c>
      <c r="E62" s="8" t="inlineStr">
        <is>
          <t>part_x_balance_sheet.inventories_eoy</t>
        </is>
      </c>
      <c r="F62" s="8" t="inlineStr">
        <is>
          <t>high</t>
        </is>
      </c>
      <c r="G62" s="9" t="n">
        <v>0</v>
      </c>
    </row>
    <row r="63">
      <c r="A63" s="8" t="inlineStr">
        <is>
          <t>Balance sheet (detail)</t>
        </is>
      </c>
      <c r="B63" s="8" t="inlineStr">
        <is>
          <t>B15</t>
        </is>
      </c>
      <c r="C63" s="8" t="inlineStr">
        <is>
          <t>9. Prepaid expenses and deferred charges</t>
        </is>
      </c>
      <c r="D63" s="8" t="inlineStr">
        <is>
          <t>9E</t>
        </is>
      </c>
      <c r="E63" s="8" t="inlineStr">
        <is>
          <t>part_x_balance_sheet.prepaid_expenses_eoy</t>
        </is>
      </c>
      <c r="F63" s="8" t="inlineStr">
        <is>
          <t>high</t>
        </is>
      </c>
      <c r="G63" s="9" t="n">
        <v>87</v>
      </c>
    </row>
    <row r="64">
      <c r="A64" s="8" t="inlineStr">
        <is>
          <t>Balance sheet (detail)</t>
        </is>
      </c>
      <c r="B64" s="8" t="inlineStr">
        <is>
          <t>B16</t>
        </is>
      </c>
      <c r="C64" s="8" t="inlineStr">
        <is>
          <t>10c. Land, buildings, and equipment, net</t>
        </is>
      </c>
      <c r="D64" s="8" t="inlineStr">
        <is>
          <t>10cE</t>
        </is>
      </c>
      <c r="E64" s="8" t="inlineStr">
        <is>
          <t>part_x_balance_sheet.land_bldg_equip_net_eoy</t>
        </is>
      </c>
      <c r="F64" s="8" t="inlineStr">
        <is>
          <t>high</t>
        </is>
      </c>
      <c r="G64" s="9" t="n">
        <v>0</v>
      </c>
    </row>
    <row r="65">
      <c r="A65" s="8" t="inlineStr">
        <is>
          <t>Balance sheet (detail)</t>
        </is>
      </c>
      <c r="B65" s="8" t="inlineStr">
        <is>
          <t>B17</t>
        </is>
      </c>
      <c r="C65" s="8" t="inlineStr">
        <is>
          <t>11. Investments - publicly traded securities</t>
        </is>
      </c>
      <c r="D65" s="8" t="inlineStr">
        <is>
          <t>11E</t>
        </is>
      </c>
      <c r="E65" s="8" t="inlineStr">
        <is>
          <t>part_x_balance_sheet.investments_public_securities_eoy</t>
        </is>
      </c>
      <c r="F65" s="8" t="inlineStr">
        <is>
          <t>high</t>
        </is>
      </c>
      <c r="G65" s="9" t="n">
        <v>0</v>
      </c>
    </row>
    <row r="66">
      <c r="A66" s="8" t="inlineStr">
        <is>
          <t>Balance sheet (detail)</t>
        </is>
      </c>
      <c r="B66" s="8" t="inlineStr">
        <is>
          <t>B18</t>
        </is>
      </c>
      <c r="C66" s="8" t="inlineStr">
        <is>
          <t>12. Investments - other securities</t>
        </is>
      </c>
      <c r="D66" s="8" t="inlineStr">
        <is>
          <t>12E</t>
        </is>
      </c>
      <c r="E66" s="8" t="inlineStr">
        <is>
          <t>part_x_balance_sheet.investments_other_securities_eoy</t>
        </is>
      </c>
      <c r="F66" s="8" t="inlineStr">
        <is>
          <t>high</t>
        </is>
      </c>
      <c r="G66" s="9" t="n">
        <v>0</v>
      </c>
    </row>
    <row r="67">
      <c r="A67" s="8" t="inlineStr">
        <is>
          <t>Balance sheet (detail)</t>
        </is>
      </c>
      <c r="B67" s="8" t="inlineStr">
        <is>
          <t>B19</t>
        </is>
      </c>
      <c r="C67" s="8" t="inlineStr">
        <is>
          <t>13. Investments - program-related</t>
        </is>
      </c>
      <c r="D67" s="8" t="inlineStr">
        <is>
          <t>13E</t>
        </is>
      </c>
      <c r="E67" s="8" t="inlineStr">
        <is>
          <t>part_x_balance_sheet.investments_program_related_eoy</t>
        </is>
      </c>
      <c r="F67" s="8" t="inlineStr">
        <is>
          <t>high</t>
        </is>
      </c>
      <c r="G67" s="9" t="n">
        <v>0</v>
      </c>
    </row>
    <row r="68">
      <c r="A68" s="8" t="inlineStr">
        <is>
          <t>Balance sheet (detail)</t>
        </is>
      </c>
      <c r="B68" s="8" t="inlineStr">
        <is>
          <t>B20</t>
        </is>
      </c>
      <c r="C68" s="8" t="inlineStr">
        <is>
          <t>14. Intangible assets</t>
        </is>
      </c>
      <c r="D68" s="8" t="inlineStr">
        <is>
          <t>14E</t>
        </is>
      </c>
      <c r="E68" s="8" t="inlineStr">
        <is>
          <t>part_x_balance_sheet.intangible_assets_eoy</t>
        </is>
      </c>
      <c r="F68" s="8" t="inlineStr">
        <is>
          <t>high</t>
        </is>
      </c>
      <c r="G68" s="9" t="n">
        <v>0</v>
      </c>
    </row>
    <row r="69">
      <c r="A69" s="8" t="inlineStr">
        <is>
          <t>Balance sheet (detail)</t>
        </is>
      </c>
      <c r="B69" s="8" t="inlineStr">
        <is>
          <t>B21</t>
        </is>
      </c>
      <c r="C69" s="8" t="inlineStr">
        <is>
          <t>15. Other assets</t>
        </is>
      </c>
      <c r="D69" s="8" t="inlineStr">
        <is>
          <t>15E</t>
        </is>
      </c>
      <c r="E69" s="8" t="inlineStr">
        <is>
          <t>part_x_balance_sheet.other_assets_eoy</t>
        </is>
      </c>
      <c r="F69" s="8" t="inlineStr">
        <is>
          <t>high</t>
        </is>
      </c>
      <c r="G69" s="9" t="n">
        <v>0</v>
      </c>
    </row>
    <row r="70">
      <c r="A70" s="8" t="inlineStr">
        <is>
          <t>Balance sheet (detail)</t>
        </is>
      </c>
      <c r="B70" s="8" t="inlineStr">
        <is>
          <t>B25</t>
        </is>
      </c>
      <c r="C70" s="8" t="inlineStr">
        <is>
          <t>17. Accounts payable and accrued expenses</t>
        </is>
      </c>
      <c r="D70" s="8" t="inlineStr">
        <is>
          <t>17E</t>
        </is>
      </c>
      <c r="E70" s="8" t="inlineStr">
        <is>
          <t>part_x_balance_sheet.accounts_payable_eoy</t>
        </is>
      </c>
      <c r="F70" s="8" t="inlineStr">
        <is>
          <t>high</t>
        </is>
      </c>
      <c r="G70" s="9" t="n">
        <v>82755</v>
      </c>
    </row>
    <row r="71">
      <c r="A71" s="8" t="inlineStr">
        <is>
          <t>Balance sheet (detail)</t>
        </is>
      </c>
      <c r="B71" s="8" t="inlineStr">
        <is>
          <t>B29</t>
        </is>
      </c>
      <c r="C71" s="8" t="inlineStr">
        <is>
          <t>27. Net assets without donor restrictions</t>
        </is>
      </c>
      <c r="D71" s="8" t="inlineStr">
        <is>
          <t>27E</t>
        </is>
      </c>
      <c r="E71" s="8" t="inlineStr">
        <is>
          <t>part_x_balance_sheet.net_assets_no_donor_restriction_eoy</t>
        </is>
      </c>
      <c r="F71" s="8" t="inlineStr">
        <is>
          <t>high</t>
        </is>
      </c>
      <c r="G71" s="9" t="n">
        <v>88060</v>
      </c>
    </row>
    <row r="72">
      <c r="A72" s="8" t="inlineStr">
        <is>
          <t>Net-assets reconciliation</t>
        </is>
      </c>
      <c r="B72" s="8" t="inlineStr">
        <is>
          <t>B7</t>
        </is>
      </c>
      <c r="C72" s="8" t="inlineStr">
        <is>
          <t>4. Net assets, beginning of year</t>
        </is>
      </c>
      <c r="D72" s="8" t="inlineStr">
        <is>
          <t>Part XI line 4</t>
        </is>
      </c>
      <c r="E72" s="8" t="inlineStr">
        <is>
          <t>part_xi_reconciliation.net_assets_boy</t>
        </is>
      </c>
      <c r="F72" s="8" t="inlineStr">
        <is>
          <t>high</t>
        </is>
      </c>
      <c r="G72" s="9" t="n">
        <v>64223</v>
      </c>
    </row>
    <row r="73">
      <c r="A73" s="8" t="inlineStr">
        <is>
          <t>Net-assets reconciliation</t>
        </is>
      </c>
      <c r="B73" s="8" t="inlineStr">
        <is>
          <t>B8</t>
        </is>
      </c>
      <c r="C73" s="8" t="inlineStr">
        <is>
          <t>3. Revenue less expenses</t>
        </is>
      </c>
      <c r="D73" s="8" t="inlineStr">
        <is>
          <t>Part XI line 3</t>
        </is>
      </c>
      <c r="E73" s="8" t="inlineStr">
        <is>
          <t>part_xi_reconciliation.reconciliation_revenue_expenses</t>
        </is>
      </c>
      <c r="F73" s="8" t="inlineStr">
        <is>
          <t>high</t>
        </is>
      </c>
      <c r="G73" s="9" t="n">
        <v>23837</v>
      </c>
    </row>
    <row r="75">
      <c r="A75" s="28" t="inlineStr">
        <is>
          <t>C. Tie-out checks (filed vs computed; any nonzero variance is flagged red)</t>
        </is>
      </c>
      <c r="B75" s="7" t="n"/>
      <c r="C75" s="7" t="n"/>
      <c r="D75" s="7" t="n"/>
      <c r="E75" s="7" t="n"/>
      <c r="F75" s="7" t="n"/>
      <c r="G75" s="7" t="n"/>
      <c r="H75" s="7" t="n"/>
      <c r="I75" s="7" t="n"/>
      <c r="J75" s="7" t="n"/>
      <c r="K75" s="7" t="n"/>
    </row>
    <row r="76">
      <c r="A76" s="5" t="inlineStr">
        <is>
          <t>Tab</t>
        </is>
      </c>
      <c r="B76" s="5" t="inlineStr">
        <is>
          <t>Check</t>
        </is>
      </c>
      <c r="C76" s="5" t="inlineStr">
        <is>
          <t>Fiscal year</t>
        </is>
      </c>
      <c r="D76" s="5" t="inlineStr">
        <is>
          <t>Filed</t>
        </is>
      </c>
      <c r="E76" s="5" t="inlineStr">
        <is>
          <t>Computed</t>
        </is>
      </c>
      <c r="F76" s="5" t="inlineStr">
        <is>
          <t>Variance (computed - filed)</t>
        </is>
      </c>
    </row>
    <row r="77">
      <c r="A77" s="18" t="inlineStr">
        <is>
          <t>Revenue (detail)</t>
        </is>
      </c>
      <c r="B77" s="18" t="inlineStr">
        <is>
          <t>12. Total revenue</t>
        </is>
      </c>
      <c r="C77" s="18" t="inlineStr">
        <is>
          <t>FY2025</t>
        </is>
      </c>
      <c r="D77" s="9" t="n">
        <v>374367</v>
      </c>
      <c r="E77" s="9">
        <f>'Revenue (detail)'!B13</f>
        <v/>
      </c>
      <c r="F77" s="9">
        <f>E77-D77</f>
        <v/>
      </c>
    </row>
    <row r="78">
      <c r="A78" s="18" t="inlineStr">
        <is>
          <t>Revenue (detail)</t>
        </is>
      </c>
      <c r="B78" s="18" t="inlineStr">
        <is>
          <t>2g program service revenue = sum of lines 2a-2f (FY2025)</t>
        </is>
      </c>
      <c r="C78" s="18" t="inlineStr">
        <is>
          <t>FY2025</t>
        </is>
      </c>
      <c r="D78" s="9" t="n">
        <v>109866</v>
      </c>
      <c r="E78" s="9">
        <f>SUM('Revenue (detail)'!C17:C17)</f>
        <v/>
      </c>
      <c r="F78" s="9">
        <f>E78-D78</f>
        <v/>
      </c>
    </row>
    <row r="79">
      <c r="A79" s="18" t="inlineStr">
        <is>
          <t>Operating expenses (detail)</t>
        </is>
      </c>
      <c r="B79" s="18" t="inlineStr">
        <is>
          <t>25. Total functional expenses</t>
        </is>
      </c>
      <c r="C79" s="18" t="inlineStr">
        <is>
          <t>FY2025</t>
        </is>
      </c>
      <c r="D79" s="9" t="n">
        <v>350530</v>
      </c>
      <c r="E79" s="9">
        <f>'Operating expenses (detail)'!B41</f>
        <v/>
      </c>
      <c r="F79" s="9">
        <f>E79-D79</f>
        <v/>
      </c>
    </row>
    <row r="80">
      <c r="A80" s="18" t="inlineStr">
        <is>
          <t>Operating expenses (detail)</t>
        </is>
      </c>
      <c r="B80" s="18" t="inlineStr">
        <is>
          <t>Part IX column split: col A = B + C + D (FY2025)</t>
        </is>
      </c>
      <c r="C80" s="18" t="inlineStr">
        <is>
          <t>FY2025</t>
        </is>
      </c>
      <c r="D80" s="9">
        <f>'Operating expenses (detail)'!B74</f>
        <v/>
      </c>
      <c r="E80" s="9">
        <f>'Operating expenses (detail)'!C74+'Operating expenses (detail)'!D74+'Operating expenses (detail)'!E74</f>
        <v/>
      </c>
      <c r="F80" s="9">
        <f>E80-D80</f>
        <v/>
      </c>
    </row>
    <row r="81">
      <c r="A81" s="18" t="inlineStr">
        <is>
          <t>Balance sheet (detail)</t>
        </is>
      </c>
      <c r="B81" s="18" t="inlineStr">
        <is>
          <t>16. Total assets</t>
        </is>
      </c>
      <c r="C81" s="18" t="inlineStr">
        <is>
          <t>FY2025</t>
        </is>
      </c>
      <c r="D81" s="9" t="n">
        <v>170815</v>
      </c>
      <c r="E81" s="9">
        <f>'Balance sheet (detail)'!B22</f>
        <v/>
      </c>
      <c r="F81" s="9">
        <f>E81-D81</f>
        <v/>
      </c>
    </row>
    <row r="82">
      <c r="A82" s="18" t="inlineStr">
        <is>
          <t>Balance sheet (detail)</t>
        </is>
      </c>
      <c r="B82" s="18" t="inlineStr">
        <is>
          <t>26. Total liabilities</t>
        </is>
      </c>
      <c r="C82" s="18" t="inlineStr">
        <is>
          <t>FY2025</t>
        </is>
      </c>
      <c r="D82" s="9" t="n">
        <v>82755</v>
      </c>
      <c r="E82" s="9">
        <f>'Balance sheet (detail)'!B26</f>
        <v/>
      </c>
      <c r="F82" s="9">
        <f>E82-D82</f>
        <v/>
      </c>
    </row>
    <row r="83">
      <c r="A83" s="18" t="inlineStr">
        <is>
          <t>Balance sheet (detail)</t>
        </is>
      </c>
      <c r="B83" s="18" t="inlineStr">
        <is>
          <t>32. Total net assets / fund balances</t>
        </is>
      </c>
      <c r="C83" s="18" t="inlineStr">
        <is>
          <t>FY2025</t>
        </is>
      </c>
      <c r="D83" s="9" t="n">
        <v>88060</v>
      </c>
      <c r="E83" s="9">
        <f>'Balance sheet (detail)'!B30</f>
        <v/>
      </c>
      <c r="F83" s="9">
        <f>E83-D83</f>
        <v/>
      </c>
    </row>
    <row r="84">
      <c r="A84" s="18" t="inlineStr">
        <is>
          <t>Balance sheet (detail)</t>
        </is>
      </c>
      <c r="B84" s="18" t="inlineStr">
        <is>
          <t>Balance sheet identity: line 16 = line 26 + line 32 (EOY)</t>
        </is>
      </c>
      <c r="C84" s="18" t="inlineStr">
        <is>
          <t>FY2025</t>
        </is>
      </c>
      <c r="D84" s="9">
        <f>'Balance sheet (detail)'!B22</f>
        <v/>
      </c>
      <c r="E84" s="9">
        <f>SUM('Balance sheet (detail)'!B26,'Balance sheet (detail)'!B30)</f>
        <v/>
      </c>
      <c r="F84" s="9">
        <f>E84-D84</f>
        <v/>
      </c>
    </row>
    <row r="85">
      <c r="A85" s="18" t="inlineStr">
        <is>
          <t>Net-assets reconciliation</t>
        </is>
      </c>
      <c r="B85" s="18" t="inlineStr">
        <is>
          <t>10. Net assets, end of year</t>
        </is>
      </c>
      <c r="C85" s="18" t="inlineStr">
        <is>
          <t>FY2025</t>
        </is>
      </c>
      <c r="D85" s="9" t="n">
        <v>88060</v>
      </c>
      <c r="E85" s="9">
        <f>'Net-assets reconciliation'!B11</f>
        <v/>
      </c>
      <c r="F85" s="9">
        <f>E85-D85</f>
        <v/>
      </c>
    </row>
    <row r="87">
      <c r="A87" s="28" t="inlineStr">
        <is>
          <t>D. Preparer / auditor trail (one row per fiscal year, as filed)</t>
        </is>
      </c>
      <c r="B87" s="7" t="n"/>
      <c r="C87" s="7" t="n"/>
      <c r="D87" s="7" t="n"/>
      <c r="E87" s="7" t="n"/>
      <c r="F87" s="7" t="n"/>
      <c r="G87" s="7" t="n"/>
      <c r="H87" s="7" t="n"/>
      <c r="I87" s="7" t="n"/>
      <c r="J87" s="7" t="n"/>
      <c r="K87" s="7" t="n"/>
    </row>
    <row r="88">
      <c r="A88" s="5" t="inlineStr">
        <is>
          <t>Fiscal year</t>
        </is>
      </c>
      <c r="B88" s="5" t="inlineStr">
        <is>
          <t>Paid preparer</t>
        </is>
      </c>
      <c r="C88" s="5" t="inlineStr">
        <is>
          <t>Preparer firm</t>
        </is>
      </c>
      <c r="D88" s="5" t="inlineStr">
        <is>
          <t>Independent auditor</t>
        </is>
      </c>
      <c r="E88" s="5" t="inlineStr">
        <is>
          <t>Citation</t>
        </is>
      </c>
    </row>
    <row r="89" ht="42" customHeight="1">
      <c r="A89" s="26" t="inlineStr">
        <is>
          <t>FY2025</t>
        </is>
      </c>
      <c r="B89" s="8" t="inlineStr">
        <is>
          <t>BRYANT JOLLEY CPA</t>
        </is>
      </c>
      <c r="C89" s="8" t="inlineStr">
        <is>
          <t>Bryant Jolley CPA</t>
        </is>
      </c>
      <c r="D89" s="29" t="inlineStr">
        <is>
          <t>not reported</t>
        </is>
      </c>
      <c r="E89" s="21" t="inlineStr">
        <is>
          <t>Form 990 Return Header, Paid Preparer block (return_header.preparer_person_name / preparer_firm_name); auditor: Part XII line 2 reports audited financial statements but does not name the firm.</t>
        </is>
      </c>
    </row>
    <row r="91" ht="42" customHeight="1">
      <c r="A91"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91:K91"/>
    <mergeCell ref="A3:K3"/>
    <mergeCell ref="A2:K2"/>
    <mergeCell ref="A5:K5"/>
    <mergeCell ref="A1:K1"/>
  </mergeCells>
  <conditionalFormatting sqref="F77:F8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