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1.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eAR revenue &amp; expenses" sheetId="10" state="visible" r:id="rId10"/>
    <sheet name="Denominators &amp; alignment" sheetId="11" state="visible" r:id="rId11"/>
    <sheet name="Governance evidence" sheetId="12" state="visible" r:id="rId12"/>
    <sheet name="Operational metrics" sheetId="13" state="visible" r:id="rId13"/>
    <sheet name="Supply &amp; weather" sheetId="14" state="visible" r:id="rId14"/>
    <sheet name="How this was built" sheetId="15" state="visible" r:id="rId15"/>
    <sheet name="Water Operations"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0"/>
    <numFmt numFmtId="168" formatCode="$#,##0.00###"/>
    <numFmt numFmtId="169" formatCode="#,##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7F60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0" fillId="6" borderId="1" applyAlignment="1" pivotButton="0" quotePrefix="0" xfId="0">
      <alignment horizontal="right"/>
    </xf>
    <xf numFmtId="167" fontId="10" fillId="6" borderId="1" applyAlignment="1" pivotButton="0" quotePrefix="0" xfId="0">
      <alignment horizontal="right"/>
    </xf>
    <xf numFmtId="1" fontId="10" fillId="6" borderId="1" applyAlignment="1" pivotButton="0" quotePrefix="0" xfId="0">
      <alignment horizontal="right"/>
    </xf>
    <xf numFmtId="0" fontId="4" fillId="2" borderId="1" applyAlignment="1" pivotButton="0" quotePrefix="0" xfId="0">
      <alignment horizontal="right"/>
    </xf>
    <xf numFmtId="168" fontId="6" fillId="0" borderId="1" applyAlignment="1" pivotButton="0" quotePrefix="0" xfId="0">
      <alignment horizontal="right"/>
    </xf>
    <xf numFmtId="169"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Santa Anita Mutual Water Company</t>
        </is>
      </c>
    </row>
    <row r="2">
      <c r="A2" s="2" t="inlineStr">
        <is>
          <t>Financial Summary - multi-year overview (USD)</t>
        </is>
      </c>
    </row>
    <row r="3">
      <c r="A3" s="2" t="inlineStr">
        <is>
          <t>Entity ID: cawc_0024   |   Fiscal year ends January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110639</v>
      </c>
      <c r="C10" s="9" t="n">
        <v>95375</v>
      </c>
      <c r="D10" s="9" t="n">
        <v>85351</v>
      </c>
      <c r="E10" s="9" t="n">
        <v>89157</v>
      </c>
      <c r="F10" s="9" t="n">
        <v>81469</v>
      </c>
    </row>
    <row r="11">
      <c r="A11" s="8" t="inlineStr">
        <is>
          <t xml:space="preserve">    Total expenses</t>
        </is>
      </c>
      <c r="B11" s="9" t="n">
        <v>91653</v>
      </c>
      <c r="C11" s="9" t="n">
        <v>84338</v>
      </c>
      <c r="D11" s="9" t="n">
        <v>100365</v>
      </c>
      <c r="E11" s="9" t="n">
        <v>93691</v>
      </c>
      <c r="F11" s="9" t="n">
        <v>92466</v>
      </c>
    </row>
    <row r="12">
      <c r="A12" s="10" t="inlineStr">
        <is>
          <t xml:space="preserve">    Net income</t>
        </is>
      </c>
      <c r="B12" s="11" t="n">
        <v>18986</v>
      </c>
      <c r="C12" s="11" t="n">
        <v>11037</v>
      </c>
      <c r="D12" s="11" t="n">
        <v>-15014</v>
      </c>
      <c r="E12" s="11" t="n">
        <v>-4534</v>
      </c>
      <c r="F12" s="11" t="n">
        <v>-10997</v>
      </c>
    </row>
    <row r="14">
      <c r="A14" s="6" t="inlineStr">
        <is>
          <t>Financial position (USD, end of year)</t>
        </is>
      </c>
      <c r="B14" s="7" t="n"/>
      <c r="C14" s="7" t="n"/>
      <c r="D14" s="7" t="n"/>
      <c r="E14" s="7" t="n"/>
      <c r="F14" s="7" t="n"/>
    </row>
    <row r="15">
      <c r="A15" s="8" t="inlineStr">
        <is>
          <t xml:space="preserve">    Total assets</t>
        </is>
      </c>
      <c r="B15" s="9" t="n">
        <v>79748</v>
      </c>
      <c r="C15" s="9" t="n">
        <v>90785</v>
      </c>
      <c r="D15" s="9" t="n">
        <v>75771</v>
      </c>
      <c r="E15" s="9" t="n">
        <v>71237</v>
      </c>
      <c r="F15" s="9" t="n">
        <v>60240</v>
      </c>
    </row>
    <row r="16">
      <c r="A16" s="8" t="inlineStr">
        <is>
          <t xml:space="preserve">    Total liabilities</t>
        </is>
      </c>
      <c r="B16" s="9" t="n"/>
      <c r="C16" s="9" t="n"/>
      <c r="D16" s="9" t="n"/>
      <c r="E16" s="9" t="n"/>
      <c r="F16" s="9" t="n">
        <v>0</v>
      </c>
    </row>
    <row r="17">
      <c r="A17" s="10" t="inlineStr">
        <is>
          <t xml:space="preserve">    Net assets</t>
        </is>
      </c>
      <c r="B17" s="11" t="n">
        <v>79748</v>
      </c>
      <c r="C17" s="11" t="n">
        <v>90785</v>
      </c>
      <c r="D17" s="11" t="n">
        <v>75771</v>
      </c>
      <c r="E17" s="11" t="n">
        <v>71237</v>
      </c>
      <c r="F17" s="11" t="n">
        <v>60240</v>
      </c>
    </row>
    <row r="19">
      <c r="A19" s="6" t="inlineStr">
        <is>
          <t>Headline ratios</t>
        </is>
      </c>
      <c r="B19" s="7" t="n"/>
      <c r="C19" s="7" t="n"/>
      <c r="D19" s="7" t="n"/>
      <c r="E19" s="7" t="n"/>
      <c r="F19" s="7" t="n"/>
    </row>
    <row r="20">
      <c r="A20" s="8" t="inlineStr">
        <is>
          <t xml:space="preserve">    Operating margin</t>
        </is>
      </c>
      <c r="B20" s="12" t="n">
        <v>0.1716031417492928</v>
      </c>
      <c r="C20" s="12" t="n">
        <v>0.1157221494102228</v>
      </c>
      <c r="D20" s="12" t="n">
        <v>-0.1759088938618177</v>
      </c>
      <c r="E20" s="12" t="n">
        <v>-0.05085411128683109</v>
      </c>
      <c r="F20" s="12" t="n">
        <v>-0.1349838588911119</v>
      </c>
    </row>
    <row r="21">
      <c r="A21" s="8" t="inlineStr">
        <is>
          <t xml:space="preserve">    Revenue growth (YoY)</t>
        </is>
      </c>
      <c r="B21" s="12" t="n"/>
      <c r="C21" s="12" t="n"/>
      <c r="D21" s="12" t="n"/>
      <c r="E21" s="12" t="n"/>
      <c r="F21" s="12" t="n"/>
    </row>
    <row r="22">
      <c r="A22" s="8" t="inlineStr">
        <is>
          <t xml:space="preserve">    Return on assets</t>
        </is>
      </c>
      <c r="B22" s="12" t="n">
        <v>0.238074936048553</v>
      </c>
      <c r="C22" s="12" t="n">
        <v>0.1215729470727543</v>
      </c>
      <c r="D22" s="12" t="n">
        <v>-0.1981496878753085</v>
      </c>
      <c r="E22" s="12" t="n">
        <v>-0.06364670045060854</v>
      </c>
      <c r="F22" s="12" t="n">
        <v>-0.1825531208499336</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Santa Anita Mutual Water Company</t>
        </is>
      </c>
    </row>
    <row r="2">
      <c r="A2" s="2" t="inlineStr">
        <is>
          <t>Financial Statements - income statement, balance sheet, cash flow, member income test (USD)</t>
        </is>
      </c>
    </row>
    <row r="3">
      <c r="A3" s="2" t="inlineStr">
        <is>
          <t>Entity ID: cawc_0024   |   Fiscal year ends January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c r="C8" s="9" t="n"/>
      <c r="D8" s="9" t="n"/>
      <c r="E8" s="9" t="n"/>
      <c r="F8" s="9" t="n"/>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c r="C14" s="11" t="n"/>
      <c r="D14" s="11" t="n"/>
      <c r="E14" s="11" t="n"/>
      <c r="F14" s="11" t="n"/>
    </row>
    <row r="16">
      <c r="A16" s="6" t="inlineStr">
        <is>
          <t>Expenses</t>
        </is>
      </c>
      <c r="B16" s="7" t="n"/>
      <c r="C16" s="7" t="n"/>
      <c r="D16" s="7" t="n"/>
      <c r="E16" s="7" t="n"/>
      <c r="F16" s="7" t="n"/>
    </row>
    <row r="17">
      <c r="A17" s="8" t="inlineStr">
        <is>
          <t xml:space="preserve">    Depreciation</t>
        </is>
      </c>
      <c r="B17" s="9" t="n"/>
      <c r="C17" s="9" t="n"/>
      <c r="D17" s="9" t="n"/>
      <c r="E17" s="9" t="n"/>
      <c r="F17" s="9" t="n"/>
    </row>
    <row r="18">
      <c r="A18" s="8" t="inlineStr">
        <is>
          <t xml:space="preserve">    Interest expense</t>
        </is>
      </c>
      <c r="B18" s="9" t="n"/>
      <c r="C18" s="9" t="n"/>
      <c r="D18" s="9" t="n"/>
      <c r="E18" s="9" t="n"/>
      <c r="F18" s="9" t="n"/>
    </row>
    <row r="19">
      <c r="A19" s="10" t="inlineStr">
        <is>
          <t>Total expenses</t>
        </is>
      </c>
      <c r="B19" s="11" t="n">
        <v>91653</v>
      </c>
      <c r="C19" s="11" t="n">
        <v>84338</v>
      </c>
      <c r="D19" s="11" t="n">
        <v>100365</v>
      </c>
      <c r="E19" s="11" t="n">
        <v>93691</v>
      </c>
      <c r="F19" s="11" t="n">
        <v>92466</v>
      </c>
    </row>
    <row r="21">
      <c r="A21" s="10" t="inlineStr">
        <is>
          <t>Net income</t>
        </is>
      </c>
      <c r="B21" s="11" t="n">
        <v>18986</v>
      </c>
      <c r="C21" s="11" t="n">
        <v>11037</v>
      </c>
      <c r="D21" s="11" t="n">
        <v>-15014</v>
      </c>
      <c r="E21" s="11" t="n">
        <v>-4534</v>
      </c>
      <c r="F21" s="11" t="n">
        <v>-10997</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32163</v>
      </c>
      <c r="C27" s="9" t="n">
        <v>39645</v>
      </c>
      <c r="D27" s="9" t="n">
        <v>23798</v>
      </c>
      <c r="E27" s="9" t="n">
        <v>24490</v>
      </c>
      <c r="F27" s="9" t="n">
        <v>17791</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c r="E32" s="9" t="n"/>
      <c r="F32" s="9" t="n"/>
    </row>
    <row r="33">
      <c r="A33" s="8" t="inlineStr">
        <is>
          <t xml:space="preserve">    Less: accumulated depreciation</t>
        </is>
      </c>
      <c r="B33" s="9" t="n"/>
      <c r="C33" s="9" t="n"/>
      <c r="D33" s="9" t="n"/>
      <c r="E33" s="9" t="n"/>
      <c r="F33" s="9" t="n"/>
    </row>
    <row r="34">
      <c r="A34" s="10" t="inlineStr">
        <is>
          <t xml:space="preserve">    Net property, plant &amp; equipment</t>
        </is>
      </c>
      <c r="B34" s="11" t="n"/>
      <c r="C34" s="11" t="n"/>
      <c r="D34" s="11" t="n"/>
      <c r="E34" s="11" t="n"/>
      <c r="F34" s="11" t="n"/>
    </row>
    <row r="35">
      <c r="A35" s="10" t="inlineStr">
        <is>
          <t>Total assets</t>
        </is>
      </c>
      <c r="B35" s="11" t="n">
        <v>79748</v>
      </c>
      <c r="C35" s="11" t="n">
        <v>90785</v>
      </c>
      <c r="D35" s="11" t="n">
        <v>75771</v>
      </c>
      <c r="E35" s="11" t="n">
        <v>71237</v>
      </c>
      <c r="F35" s="11" t="n">
        <v>60240</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c r="C40" s="11" t="n"/>
      <c r="D40" s="11" t="n"/>
      <c r="E40" s="11" t="n"/>
      <c r="F40" s="11" t="n">
        <v>0</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79748</v>
      </c>
      <c r="C46" s="11" t="n">
        <v>90785</v>
      </c>
      <c r="D46" s="11" t="n">
        <v>75771</v>
      </c>
      <c r="E46" s="11" t="n">
        <v>71237</v>
      </c>
      <c r="F46" s="11" t="n">
        <v>60240</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18986</v>
      </c>
      <c r="C52" s="9" t="n">
        <v>11037</v>
      </c>
      <c r="D52" s="9" t="n">
        <v>-15014</v>
      </c>
      <c r="E52" s="9" t="n">
        <v>-4534</v>
      </c>
      <c r="F52" s="9" t="n">
        <v>-10997</v>
      </c>
    </row>
    <row r="53">
      <c r="A53" s="8" t="inlineStr">
        <is>
          <t xml:space="preserve">    + Depreciation (reported)</t>
        </is>
      </c>
      <c r="B53" s="9" t="n"/>
      <c r="C53" s="9" t="n"/>
      <c r="D53" s="9" t="n"/>
      <c r="E53" s="9" t="n"/>
      <c r="F53" s="9" t="n"/>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11037</v>
      </c>
      <c r="D58" s="11" t="n">
        <v>-15014</v>
      </c>
      <c r="E58" s="11" t="n">
        <v>-4534</v>
      </c>
      <c r="F58" s="11" t="n">
        <v>-10997</v>
      </c>
    </row>
    <row r="60">
      <c r="A60" s="6" t="inlineStr">
        <is>
          <t>Investing</t>
        </is>
      </c>
      <c r="B60" s="7" t="n"/>
      <c r="C60" s="7" t="n"/>
      <c r="D60" s="7" t="n"/>
      <c r="E60" s="7" t="n"/>
      <c r="F60" s="7" t="n"/>
    </row>
    <row r="61">
      <c r="A61" s="8" t="inlineStr">
        <is>
          <t xml:space="preserve">    − Δ PP&amp;E gross (capex proxy)</t>
        </is>
      </c>
      <c r="B61" s="9" t="n"/>
      <c r="C61" s="9" t="n"/>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7482</v>
      </c>
      <c r="D67" s="11" t="n">
        <v>-15847</v>
      </c>
      <c r="E67" s="11" t="n">
        <v>692</v>
      </c>
      <c r="F67" s="11" t="n">
        <v>-6699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3:F3"/>
    <mergeCell ref="A2:F2"/>
    <mergeCell ref="A69:F69"/>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Santa Anita Mutual Water Company</t>
        </is>
      </c>
    </row>
    <row r="2">
      <c r="A2" s="2" t="inlineStr">
        <is>
          <t>Balance Sheet - as reported (USD, end of year)</t>
        </is>
      </c>
    </row>
    <row r="3">
      <c r="A3" s="2" t="inlineStr">
        <is>
          <t>Entity ID: cawc_0024   |   Fiscal year ends January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32163</v>
      </c>
      <c r="C7" s="9" t="n">
        <v>39645</v>
      </c>
      <c r="D7" s="9" t="n">
        <v>23798</v>
      </c>
      <c r="E7" s="9" t="n">
        <v>24490</v>
      </c>
      <c r="F7" s="9" t="n">
        <v>17791</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c r="E12" s="9" t="n"/>
      <c r="F12" s="9" t="n"/>
    </row>
    <row r="13">
      <c r="A13" s="8" t="inlineStr">
        <is>
          <t xml:space="preserve">    Less: accumulated depreciation</t>
        </is>
      </c>
      <c r="B13" s="9" t="n"/>
      <c r="C13" s="9" t="n"/>
      <c r="D13" s="9" t="n"/>
      <c r="E13" s="9" t="n"/>
      <c r="F13" s="9" t="n"/>
    </row>
    <row r="14">
      <c r="A14" s="10" t="inlineStr">
        <is>
          <t xml:space="preserve">    Net property, plant &amp; equipment</t>
        </is>
      </c>
      <c r="B14" s="11" t="n"/>
      <c r="C14" s="11" t="n"/>
      <c r="D14" s="11" t="n"/>
      <c r="E14" s="11" t="n"/>
      <c r="F14" s="11" t="n"/>
    </row>
    <row r="15">
      <c r="A15" s="10" t="inlineStr">
        <is>
          <t>Total assets</t>
        </is>
      </c>
      <c r="B15" s="11" t="n">
        <v>79748</v>
      </c>
      <c r="C15" s="11" t="n">
        <v>90785</v>
      </c>
      <c r="D15" s="11" t="n">
        <v>75771</v>
      </c>
      <c r="E15" s="11" t="n">
        <v>71237</v>
      </c>
      <c r="F15" s="11" t="n">
        <v>60240</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c r="C20" s="11" t="n"/>
      <c r="D20" s="11" t="n"/>
      <c r="E20" s="11" t="n"/>
      <c r="F20" s="11" t="n">
        <v>0</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79748</v>
      </c>
      <c r="C26" s="11" t="n">
        <v>90785</v>
      </c>
      <c r="D26" s="11" t="n">
        <v>75771</v>
      </c>
      <c r="E26" s="11" t="n">
        <v>71237</v>
      </c>
      <c r="F26" s="11" t="n">
        <v>60240</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Santa Anita Mutual Water Company</t>
        </is>
      </c>
    </row>
    <row r="2">
      <c r="A2" s="2" t="inlineStr">
        <is>
          <t>Form 990-EZ - Part I (revenue, expenses, net assets) and Part II (balance sheet), as filed (USD)</t>
        </is>
      </c>
    </row>
    <row r="3">
      <c r="A3" s="2" t="inlineStr">
        <is>
          <t>Entity ID: cawc_0024   |   Fiscal year ends January 31.</t>
        </is>
      </c>
    </row>
    <row r="5">
      <c r="A5" s="4" t="inlineStr">
        <is>
          <t>Form 990-EZ line</t>
        </is>
      </c>
      <c r="B5" s="5" t="inlineStr">
        <is>
          <t>FY2021</t>
        </is>
      </c>
      <c r="C5" s="5" t="inlineStr">
        <is>
          <t>FY2022</t>
        </is>
      </c>
      <c r="D5" s="5" t="inlineStr">
        <is>
          <t>FY2023</t>
        </is>
      </c>
      <c r="E5" s="5" t="inlineStr">
        <is>
          <t>FY2024</t>
        </is>
      </c>
      <c r="F5" s="5" t="inlineStr">
        <is>
          <t>FY2025</t>
        </is>
      </c>
    </row>
    <row r="6">
      <c r="A6" s="6" t="inlineStr">
        <is>
          <t>Revenue (Part I)</t>
        </is>
      </c>
      <c r="B6" s="7" t="n"/>
      <c r="C6" s="7" t="n"/>
      <c r="D6" s="7" t="n"/>
      <c r="E6" s="7" t="n"/>
      <c r="F6" s="7" t="n"/>
    </row>
    <row r="7">
      <c r="A7" s="8" t="inlineStr">
        <is>
          <t xml:space="preserve">    2. Program service revenue</t>
        </is>
      </c>
      <c r="B7" s="9" t="n">
        <v>108926</v>
      </c>
      <c r="C7" s="9" t="n">
        <v>98277</v>
      </c>
      <c r="D7" s="9" t="n">
        <v>85341</v>
      </c>
      <c r="E7" s="9" t="n">
        <v>89148</v>
      </c>
      <c r="F7" s="14" t="inlineStr">
        <is>
          <t>not reported</t>
        </is>
      </c>
    </row>
    <row r="8">
      <c r="A8" s="8" t="inlineStr">
        <is>
          <t xml:space="preserve">    3. Membership dues and assessments</t>
        </is>
      </c>
      <c r="B8" s="14" t="inlineStr">
        <is>
          <t>not reported</t>
        </is>
      </c>
      <c r="C8" s="14" t="inlineStr">
        <is>
          <t>not reported</t>
        </is>
      </c>
      <c r="D8" s="14" t="inlineStr">
        <is>
          <t>not reported</t>
        </is>
      </c>
      <c r="E8" s="14" t="inlineStr">
        <is>
          <t>not reported</t>
        </is>
      </c>
      <c r="F8" s="9" t="n">
        <v>81460</v>
      </c>
    </row>
    <row r="9">
      <c r="A9" s="8" t="inlineStr">
        <is>
          <t xml:space="preserve">    4. Investment income</t>
        </is>
      </c>
      <c r="B9" s="9" t="n">
        <v>27</v>
      </c>
      <c r="C9" s="9" t="n">
        <v>15</v>
      </c>
      <c r="D9" s="9" t="n">
        <v>10</v>
      </c>
      <c r="E9" s="9" t="n">
        <v>9</v>
      </c>
      <c r="F9" s="14" t="inlineStr">
        <is>
          <t>not reported</t>
        </is>
      </c>
    </row>
    <row r="10">
      <c r="A10" s="8" t="inlineStr">
        <is>
          <t xml:space="preserve">    8. Other revenue</t>
        </is>
      </c>
      <c r="B10" s="9" t="n">
        <v>1686</v>
      </c>
      <c r="C10" s="9" t="n">
        <v>225</v>
      </c>
      <c r="D10" s="14" t="inlineStr">
        <is>
          <t>not reported</t>
        </is>
      </c>
      <c r="E10" s="14" t="inlineStr">
        <is>
          <t>not reported</t>
        </is>
      </c>
      <c r="F10" s="9" t="n">
        <v>9</v>
      </c>
    </row>
    <row r="11">
      <c r="A11" s="10" t="inlineStr">
        <is>
          <t>9. Total revenue</t>
        </is>
      </c>
      <c r="B11" s="11" t="n">
        <v>110639</v>
      </c>
      <c r="C11" s="11" t="n">
        <v>95375</v>
      </c>
      <c r="D11" s="11" t="n">
        <v>85351</v>
      </c>
      <c r="E11" s="11" t="n">
        <v>89157</v>
      </c>
      <c r="F11" s="11" t="n">
        <v>81469</v>
      </c>
    </row>
    <row r="13">
      <c r="A13" s="6" t="inlineStr">
        <is>
          <t>Expenses (Part I)</t>
        </is>
      </c>
      <c r="B13" s="7" t="n"/>
      <c r="C13" s="7" t="n"/>
      <c r="D13" s="7" t="n"/>
      <c r="E13" s="7" t="n"/>
      <c r="F13" s="7" t="n"/>
    </row>
    <row r="14">
      <c r="A14" s="8" t="inlineStr">
        <is>
          <t xml:space="preserve">    12. Salaries, other compensation, benefits</t>
        </is>
      </c>
      <c r="B14" s="9" t="n">
        <v>50983</v>
      </c>
      <c r="C14" s="9" t="n">
        <v>43491</v>
      </c>
      <c r="D14" s="9" t="n">
        <v>41944</v>
      </c>
      <c r="E14" s="9" t="n">
        <v>39779</v>
      </c>
      <c r="F14" s="9" t="n">
        <v>48229</v>
      </c>
    </row>
    <row r="15">
      <c r="A15" s="8" t="inlineStr">
        <is>
          <t xml:space="preserve">    13. Fees for services (independent contractors)</t>
        </is>
      </c>
      <c r="B15" s="9" t="n">
        <v>2235</v>
      </c>
      <c r="C15" s="9" t="n">
        <v>2298</v>
      </c>
      <c r="D15" s="9" t="n">
        <v>2400</v>
      </c>
      <c r="E15" s="9" t="n">
        <v>2508</v>
      </c>
      <c r="F15" s="9" t="n">
        <v>2540</v>
      </c>
    </row>
    <row r="16">
      <c r="A16" s="8" t="inlineStr">
        <is>
          <t xml:space="preserve">    16. Other expenses</t>
        </is>
      </c>
      <c r="B16" s="9" t="n">
        <v>38435</v>
      </c>
      <c r="C16" s="9" t="n">
        <v>38549</v>
      </c>
      <c r="D16" s="9" t="n">
        <v>56021</v>
      </c>
      <c r="E16" s="9" t="n">
        <v>51404</v>
      </c>
      <c r="F16" s="9" t="n">
        <v>41697</v>
      </c>
    </row>
    <row r="17">
      <c r="A17" s="10" t="inlineStr">
        <is>
          <t>17. Total expenses</t>
        </is>
      </c>
      <c r="B17" s="11">
        <f>SUM(B14:B16)</f>
        <v/>
      </c>
      <c r="C17" s="11">
        <f>SUM(C14:C16)</f>
        <v/>
      </c>
      <c r="D17" s="11">
        <f>SUM(D14:D16)</f>
        <v/>
      </c>
      <c r="E17" s="11">
        <f>SUM(E14:E16)</f>
        <v/>
      </c>
      <c r="F17" s="11">
        <f>SUM(F14:F16)</f>
        <v/>
      </c>
    </row>
    <row r="19">
      <c r="A19" s="6" t="inlineStr">
        <is>
          <t>Net-assets reconciliation (Part I)</t>
        </is>
      </c>
      <c r="B19" s="7" t="n"/>
      <c r="C19" s="7" t="n"/>
      <c r="D19" s="7" t="n"/>
      <c r="E19" s="7" t="n"/>
      <c r="F19" s="7" t="n"/>
    </row>
    <row r="20">
      <c r="A20" s="8" t="inlineStr">
        <is>
          <t xml:space="preserve">    19. Net assets or fund balances, beginning of year</t>
        </is>
      </c>
      <c r="B20" s="9" t="n">
        <v>60762</v>
      </c>
      <c r="C20" s="9" t="n">
        <v>79748</v>
      </c>
      <c r="D20" s="9" t="n">
        <v>90785</v>
      </c>
      <c r="E20" s="9" t="n">
        <v>75771</v>
      </c>
      <c r="F20" s="9" t="n">
        <v>71237</v>
      </c>
    </row>
    <row r="21">
      <c r="A21" s="8" t="inlineStr">
        <is>
          <t xml:space="preserve">    18. Excess or (deficit) for the year</t>
        </is>
      </c>
      <c r="B21" s="9" t="n">
        <v>18986</v>
      </c>
      <c r="C21" s="9" t="n">
        <v>11037</v>
      </c>
      <c r="D21" s="9" t="n">
        <v>-15014</v>
      </c>
      <c r="E21" s="9" t="n">
        <v>-4534</v>
      </c>
      <c r="F21" s="9" t="n">
        <v>-10997</v>
      </c>
    </row>
    <row r="22">
      <c r="A22" s="10" t="inlineStr">
        <is>
          <t>21. Net assets or fund balances, end of year</t>
        </is>
      </c>
      <c r="B22" s="11">
        <f>SUM(B20,B21)</f>
        <v/>
      </c>
      <c r="C22" s="11">
        <f>SUM(C20,C21)</f>
        <v/>
      </c>
      <c r="D22" s="11">
        <f>SUM(D20,D21)</f>
        <v/>
      </c>
      <c r="E22" s="11">
        <f>SUM(E20,E21)</f>
        <v/>
      </c>
      <c r="F22" s="11">
        <f>SUM(F20,F21)</f>
        <v/>
      </c>
    </row>
    <row r="24">
      <c r="A24" s="6" t="inlineStr">
        <is>
          <t>Balance sheet (Part II, end of year - column B)</t>
        </is>
      </c>
      <c r="B24" s="7" t="n"/>
      <c r="C24" s="7" t="n"/>
      <c r="D24" s="7" t="n"/>
      <c r="E24" s="7" t="n"/>
      <c r="F24" s="7" t="n"/>
    </row>
    <row r="25">
      <c r="A25" s="8" t="inlineStr">
        <is>
          <t xml:space="preserve">    22. Cash, savings, and investments</t>
        </is>
      </c>
      <c r="B25" s="9" t="n">
        <v>32163</v>
      </c>
      <c r="C25" s="9" t="n">
        <v>39645</v>
      </c>
      <c r="D25" s="9" t="n">
        <v>23798</v>
      </c>
      <c r="E25" s="9" t="n">
        <v>24490</v>
      </c>
      <c r="F25" s="9" t="n">
        <v>17791</v>
      </c>
    </row>
    <row r="26">
      <c r="A26" s="8" t="inlineStr">
        <is>
          <t xml:space="preserve">    24. Other assets</t>
        </is>
      </c>
      <c r="B26" s="9" t="n">
        <v>47585</v>
      </c>
      <c r="C26" s="9" t="n">
        <v>51140</v>
      </c>
      <c r="D26" s="9" t="n">
        <v>51973</v>
      </c>
      <c r="E26" s="9" t="n">
        <v>46747</v>
      </c>
      <c r="F26" s="9" t="n">
        <v>42449</v>
      </c>
    </row>
    <row r="27">
      <c r="A27" s="10" t="inlineStr">
        <is>
          <t>25. Total assets</t>
        </is>
      </c>
      <c r="B27" s="11">
        <f>SUM(B25:B26)</f>
        <v/>
      </c>
      <c r="C27" s="11">
        <f>SUM(C25:C26)</f>
        <v/>
      </c>
      <c r="D27" s="11">
        <f>SUM(D25:D26)</f>
        <v/>
      </c>
      <c r="E27" s="11">
        <f>SUM(E25:E26)</f>
        <v/>
      </c>
      <c r="F27" s="11">
        <f>SUM(F25:F26)</f>
        <v/>
      </c>
    </row>
    <row r="28">
      <c r="A28" s="10" t="inlineStr">
        <is>
          <t>26. Total liabilities</t>
        </is>
      </c>
      <c r="B28" s="14" t="inlineStr">
        <is>
          <t>not reported</t>
        </is>
      </c>
      <c r="C28" s="14" t="inlineStr">
        <is>
          <t>not reported</t>
        </is>
      </c>
      <c r="D28" s="14" t="inlineStr">
        <is>
          <t>not reported</t>
        </is>
      </c>
      <c r="E28" s="14" t="inlineStr">
        <is>
          <t>not reported</t>
        </is>
      </c>
      <c r="F28" s="11" t="n">
        <v>0</v>
      </c>
    </row>
    <row r="29">
      <c r="A29" s="10" t="inlineStr">
        <is>
          <t>27. Net assets or fund balances</t>
        </is>
      </c>
      <c r="B29" s="11" t="n">
        <v>79748</v>
      </c>
      <c r="C29" s="11" t="n">
        <v>90785</v>
      </c>
      <c r="D29" s="11" t="n">
        <v>75771</v>
      </c>
      <c r="E29" s="11" t="n">
        <v>71237</v>
      </c>
      <c r="F29" s="11" t="n">
        <v>60240</v>
      </c>
    </row>
    <row r="31" ht="42" customHeight="1">
      <c r="A31"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F3"/>
    <mergeCell ref="A2:F2"/>
    <mergeCell ref="A31:F3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Santa Anita Mutual Water Company</t>
        </is>
      </c>
    </row>
    <row r="2">
      <c r="A2" s="2" t="inlineStr">
        <is>
          <t>Cash Flow Proxies - derived (USD)</t>
        </is>
      </c>
    </row>
    <row r="3">
      <c r="A3" s="2" t="inlineStr">
        <is>
          <t>Entity ID: cawc_0024   |   Fiscal year ends January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18986</v>
      </c>
      <c r="C9" s="9" t="n">
        <v>11037</v>
      </c>
      <c r="D9" s="9" t="n">
        <v>-15014</v>
      </c>
      <c r="E9" s="9" t="n">
        <v>-4534</v>
      </c>
      <c r="F9" s="9" t="n">
        <v>-10997</v>
      </c>
    </row>
    <row r="10">
      <c r="A10" s="8" t="inlineStr">
        <is>
          <t xml:space="preserve">    + Depreciation (reported)</t>
        </is>
      </c>
      <c r="B10" s="9" t="n"/>
      <c r="C10" s="9" t="n"/>
      <c r="D10" s="9" t="n"/>
      <c r="E10" s="9" t="n"/>
      <c r="F10" s="9" t="n"/>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11037</v>
      </c>
      <c r="D15" s="11" t="n">
        <v>-15014</v>
      </c>
      <c r="E15" s="11" t="n">
        <v>-4534</v>
      </c>
      <c r="F15" s="11" t="n">
        <v>-10997</v>
      </c>
    </row>
    <row r="17">
      <c r="A17" s="6" t="inlineStr">
        <is>
          <t>Investing</t>
        </is>
      </c>
      <c r="B17" s="7" t="n"/>
      <c r="C17" s="7" t="n"/>
      <c r="D17" s="7" t="n"/>
      <c r="E17" s="7" t="n"/>
      <c r="F17" s="7" t="n"/>
    </row>
    <row r="18">
      <c r="A18" s="8" t="inlineStr">
        <is>
          <t xml:space="preserve">    − Δ PP&amp;E gross (capex proxy)</t>
        </is>
      </c>
      <c r="B18" s="9" t="n"/>
      <c r="C18" s="9" t="n"/>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7482</v>
      </c>
      <c r="D24" s="11" t="n">
        <v>-15847</v>
      </c>
      <c r="E24" s="11" t="n">
        <v>692</v>
      </c>
      <c r="F24" s="11" t="n">
        <v>-6699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Santa Anita Mutual Water Company</t>
        </is>
      </c>
    </row>
    <row r="2">
      <c r="A2" s="2" t="inlineStr">
        <is>
          <t>Financial Ratios</t>
        </is>
      </c>
    </row>
    <row r="3">
      <c r="A3" s="2" t="inlineStr">
        <is>
          <t>Entity ID: cawc_0024   |   Fiscal year ends January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0.1716031417492928</v>
      </c>
      <c r="C7" s="12" t="n">
        <v>0.1157221494102228</v>
      </c>
      <c r="D7" s="12" t="n">
        <v>-0.1759088938618177</v>
      </c>
      <c r="E7" s="12" t="n">
        <v>-0.05085411128683109</v>
      </c>
      <c r="F7" s="12" t="n">
        <v>-0.1349838588911119</v>
      </c>
    </row>
    <row r="8">
      <c r="A8" s="8" t="inlineStr">
        <is>
          <t xml:space="preserve">    Expense ratio (expenses / revenue)</t>
        </is>
      </c>
      <c r="B8" s="12" t="n">
        <v>0.8283968582507073</v>
      </c>
      <c r="C8" s="12" t="n">
        <v>0.8842778505897771</v>
      </c>
      <c r="D8" s="12" t="n">
        <v>1.175908893861818</v>
      </c>
      <c r="E8" s="12" t="n">
        <v>1.050854111286831</v>
      </c>
      <c r="F8" s="12" t="n">
        <v>1.134983858891112</v>
      </c>
    </row>
    <row r="9">
      <c r="A9" s="8" t="inlineStr">
        <is>
          <t xml:space="preserve">    Return on assets (NI / assets)</t>
        </is>
      </c>
      <c r="B9" s="12" t="n">
        <v>0.238074936048553</v>
      </c>
      <c r="C9" s="12" t="n">
        <v>0.1215729470727543</v>
      </c>
      <c r="D9" s="12" t="n">
        <v>-0.1981496878753085</v>
      </c>
      <c r="E9" s="12" t="n">
        <v>-0.06364670045060854</v>
      </c>
      <c r="F9" s="12" t="n">
        <v>-0.1825531208499336</v>
      </c>
    </row>
    <row r="10">
      <c r="A10" s="8" t="inlineStr">
        <is>
          <t xml:space="preserve">    Revenue growth (YoY)</t>
        </is>
      </c>
      <c r="B10" s="12" t="n"/>
      <c r="C10" s="12" t="n"/>
      <c r="D10" s="12" t="n"/>
      <c r="E10" s="12" t="n"/>
      <c r="F10" s="12" t="n"/>
    </row>
    <row r="12">
      <c r="A12" s="6" t="inlineStr">
        <is>
          <t>Leverage &amp; solvency</t>
        </is>
      </c>
      <c r="B12" s="7" t="n"/>
      <c r="C12" s="7" t="n"/>
      <c r="D12" s="7" t="n"/>
      <c r="E12" s="7" t="n"/>
      <c r="F12" s="7" t="n"/>
    </row>
    <row r="13">
      <c r="A13" s="8" t="inlineStr">
        <is>
          <t xml:space="preserve">    Debt-to-assets (liab. / assets)</t>
        </is>
      </c>
      <c r="B13" s="12" t="n"/>
      <c r="C13" s="12" t="n"/>
      <c r="D13" s="12" t="n"/>
      <c r="E13" s="12" t="n"/>
      <c r="F13" s="12" t="n">
        <v>0</v>
      </c>
    </row>
    <row r="14">
      <c r="A14" s="8" t="inlineStr">
        <is>
          <t xml:space="preserve">    Equity ratio (net assets / assets)</t>
        </is>
      </c>
      <c r="B14" s="12" t="n">
        <v>1</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5" t="n"/>
      <c r="C17" s="15" t="n"/>
      <c r="D17" s="15" t="n"/>
      <c r="E17" s="15" t="n"/>
      <c r="F17" s="15" t="n"/>
    </row>
    <row r="18">
      <c r="A18" s="8" t="inlineStr">
        <is>
          <t xml:space="preserve">    Cash ratio ((cash+temp inv.) / total liab.)</t>
        </is>
      </c>
      <c r="B18" s="15" t="n"/>
      <c r="C18" s="15" t="n"/>
      <c r="D18" s="15" t="n"/>
      <c r="E18" s="15" t="n"/>
      <c r="F18" s="15" t="n"/>
    </row>
    <row r="19">
      <c r="A19" s="8" t="inlineStr">
        <is>
          <t xml:space="preserve">    Asset age proxy (accum. deprec. / gross PP&amp;E)</t>
        </is>
      </c>
      <c r="B19" s="12" t="n"/>
      <c r="C19" s="12" t="n"/>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Santa Anita Mutual Water Company</t>
        </is>
      </c>
    </row>
    <row r="2">
      <c r="A2" s="2" t="inlineStr">
        <is>
          <t>Unit economics - per-customer revenue by category (USD)</t>
        </is>
      </c>
    </row>
    <row r="3">
      <c r="A3" s="2" t="inlineStr">
        <is>
          <t>Entity ID: cawc_0024   |   Fiscal year ends January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v>19</v>
      </c>
      <c r="C6" s="18" t="inlineStr">
        <is>
          <t>State Water Board eAR Section 4 (CurTotalConnections), reporting year 2023</t>
        </is>
      </c>
    </row>
    <row r="7">
      <c r="A7" s="16" t="inlineStr">
        <is>
          <t>Total annual revenue (eAR Section 8b B1.8)</t>
        </is>
      </c>
      <c r="B7" s="9" t="n">
        <v>89148</v>
      </c>
      <c r="C7" s="18" t="inlineStr">
        <is>
          <t>State Water Board eAR Section 8b, question B1.8 (total annual revenue), reporting year 2023</t>
        </is>
      </c>
    </row>
    <row r="8">
      <c r="A8" s="16" t="inlineStr">
        <is>
          <t>Primary source</t>
        </is>
      </c>
      <c r="B8" s="19" t="inlineStr"/>
      <c r="C8" s="18"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0" t="inlineStr">
        <is>
          <t>DIRECT</t>
        </is>
      </c>
      <c r="C12" s="9" t="n">
        <v>56443</v>
      </c>
      <c r="D12" s="21" t="n">
        <v>2970.68</v>
      </c>
      <c r="E12" s="22" t="n">
        <v>0.6331</v>
      </c>
    </row>
    <row r="13">
      <c r="A13" s="8" t="inlineStr">
        <is>
          <t>Assessment revenue (990 program-service revenue not matched to eAR water-rate revenue)</t>
        </is>
      </c>
      <c r="B13" s="20" t="inlineStr">
        <is>
          <t>DERIVED</t>
        </is>
      </c>
      <c r="C13" s="9" t="n">
        <v>32705</v>
      </c>
      <c r="D13" s="21" t="n">
        <v>1721.32</v>
      </c>
      <c r="E13" s="22" t="n">
        <v>0.3669</v>
      </c>
    </row>
    <row r="14">
      <c r="A14" s="8" t="inlineStr">
        <is>
          <t>Meter revenue</t>
        </is>
      </c>
      <c r="B14" s="20" t="inlineStr">
        <is>
          <t>not reported</t>
        </is>
      </c>
      <c r="C14" s="23" t="inlineStr">
        <is>
          <t>not reported</t>
        </is>
      </c>
      <c r="D14" s="23" t="inlineStr">
        <is>
          <t>not reported</t>
        </is>
      </c>
      <c r="E14" s="23" t="inlineStr">
        <is>
          <t>not reported</t>
        </is>
      </c>
    </row>
    <row r="15">
      <c r="A15" s="8" t="inlineStr">
        <is>
          <t>Overage or tiered penalty revenue</t>
        </is>
      </c>
      <c r="B15" s="20" t="inlineStr">
        <is>
          <t>not reported</t>
        </is>
      </c>
      <c r="C15" s="23" t="inlineStr">
        <is>
          <t>not reported</t>
        </is>
      </c>
      <c r="D15" s="23" t="inlineStr">
        <is>
          <t>not reported</t>
        </is>
      </c>
      <c r="E15" s="23"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16" t="inlineStr">
        <is>
          <t>Numerator: Water rate revenue</t>
        </is>
      </c>
      <c r="B19" s="9" t="n">
        <v>56443</v>
      </c>
      <c r="C19" s="18" t="inlineStr">
        <is>
          <t>eAR Section 8b field B1.1 (residential water rates) only (this filer reported no non-residential water-rate revenue). State Water Board eAR Section 8b, question B1.1 + B1.2 (revenue from water rates), reporting year 2023</t>
        </is>
      </c>
    </row>
    <row r="20">
      <c r="A20" s="16" t="inlineStr">
        <is>
          <t>Denominator: Total service connections</t>
        </is>
      </c>
      <c r="B20" s="17" t="n">
        <v>19</v>
      </c>
      <c r="C20" s="18" t="inlineStr">
        <is>
          <t>eAR Section 4 CurTotalConnections, reporting year 2023. State Water Board eAR Section 4 (CurTotalConnections), reporting year 2023</t>
        </is>
      </c>
    </row>
    <row r="21" ht="36" customHeight="1">
      <c r="A21" s="3" t="inlineStr">
        <is>
          <t>Per customer: water rate revenue $56,443 / 19 connections = $2,970.68 per connection</t>
        </is>
      </c>
    </row>
    <row r="22" ht="36" customHeight="1">
      <c r="A22" s="3" t="inlineStr">
        <is>
          <t>Share of revenue: water rate revenue $56,443 / total annual revenue (eAR Section 8b B1.8) $89,148 = 63.31%</t>
        </is>
      </c>
    </row>
    <row r="23" ht="81" customHeight="1">
      <c r="A23" s="3" t="inlineStr">
        <is>
          <t>Period treatment: Numerator (eAR Section 8b, the fiscal year ending January 31, 2024)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16" t="inlineStr">
        <is>
          <t>Input A: Form 990 program-service revenue</t>
        </is>
      </c>
      <c r="B28" s="9" t="n">
        <v>89148</v>
      </c>
      <c r="C28" s="18" t="inlineStr">
        <is>
          <t>Form 990 Part VIII line 2 (total program-service revenue), fiscal year 2024 ending January 31, 2024</t>
        </is>
      </c>
    </row>
    <row r="29">
      <c r="A29" s="16" t="inlineStr">
        <is>
          <t>Input B: eAR water-rate revenue</t>
        </is>
      </c>
      <c r="B29" s="9" t="n">
        <v>56443</v>
      </c>
      <c r="C29" s="18" t="inlineStr">
        <is>
          <t>State Water Board eAR Section 8b, question B1.1 + B1.2 (revenue from water rates), reporting year 2023</t>
        </is>
      </c>
    </row>
    <row r="30">
      <c r="A30" s="24" t="inlineStr">
        <is>
          <t>Residual (A minus B) = assessment revenue</t>
        </is>
      </c>
      <c r="B30" s="25">
        <f>B28-B29</f>
        <v/>
      </c>
      <c r="C30" s="18" t="inlineStr">
        <is>
          <t>$89,148 (990 program-service revenue) minus $56,443 (eAR water-rate revenue) = $32,705</t>
        </is>
      </c>
    </row>
    <row r="31" ht="66" customHeight="1">
      <c r="A31" s="3" t="inlineStr">
        <is>
          <t>Period alignment: Both inputs cover the same period: the eAR Section 8b is the fiscal year ending January 31, 2024 and the Form 990 fiscal year 2024 ends January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16" t="inlineStr">
        <is>
          <t>Denominator: Total service connections</t>
        </is>
      </c>
      <c r="B34" s="17" t="n">
        <v>19</v>
      </c>
      <c r="C34" s="18" t="inlineStr">
        <is>
          <t>eAR Section 4 CurTotalConnections, reporting year 2023. State Water Board eAR Section 4 (CurTotalConnections), reporting year 2023</t>
        </is>
      </c>
    </row>
    <row r="35" ht="36" customHeight="1">
      <c r="A35" s="3" t="inlineStr">
        <is>
          <t>Per customer: residual $32,705 / 19 connections = $1,721.32 per connection</t>
        </is>
      </c>
    </row>
    <row r="36" ht="36" customHeight="1">
      <c r="A36" s="3" t="inlineStr">
        <is>
          <t>Share of revenue: residual $32,705 / 990 program-service revenue $89,148 = 36.69%</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9"/>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Santa Anita Mutual Water Company</t>
        </is>
      </c>
    </row>
    <row r="2">
      <c r="A2" s="2" t="inlineStr">
        <is>
          <t>Rate structure and representative bill - eAR Section 8a (RY2024)</t>
        </is>
      </c>
    </row>
    <row r="3">
      <c r="A3" s="2" t="inlineStr">
        <is>
          <t>Entity ID: cawc_0024   |   Fiscal year ends January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51" customHeight="1">
      <c r="A6" s="27" t="inlineStr">
        <is>
          <t>Structure: Tiered increasing-block with a fixed base, billed monthly, priced per Gallons. Rate schedule last updated 09/07/2024.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28" t="inlineStr"/>
      <c r="B10" s="5" t="inlineStr">
        <is>
          <t>Low</t>
        </is>
      </c>
      <c r="C10" s="5" t="inlineStr">
        <is>
          <t>Median</t>
        </is>
      </c>
      <c r="D10" s="5" t="inlineStr">
        <is>
          <t>High</t>
        </is>
      </c>
    </row>
    <row r="11">
      <c r="A11" s="8" t="inlineStr">
        <is>
          <t>Defined usage level (HCF per month)</t>
        </is>
      </c>
      <c r="B11" s="29" t="n">
        <v>5</v>
      </c>
      <c r="C11" s="29" t="n">
        <v>10</v>
      </c>
      <c r="D11" s="29" t="n">
        <v>25</v>
      </c>
    </row>
    <row r="12">
      <c r="A12" s="8" t="inlineStr">
        <is>
          <t>Conversion: one HCF is this many Gallons</t>
        </is>
      </c>
      <c r="B12" s="30" t="n">
        <v>748</v>
      </c>
      <c r="C12" s="13" t="inlineStr">
        <is>
          <t>1 HCF = 748 gallons</t>
        </is>
      </c>
    </row>
    <row r="13">
      <c r="A13" s="8" t="inlineStr">
        <is>
          <t>Monthly usage (Gallons)</t>
        </is>
      </c>
      <c r="B13" s="29">
        <f>B11*$B$12</f>
        <v/>
      </c>
      <c r="C13" s="29">
        <f>C11*$B$12</f>
        <v/>
      </c>
      <c r="D13" s="29">
        <f>D11*$B$12</f>
        <v/>
      </c>
    </row>
    <row r="14">
      <c r="A14" s="8" t="inlineStr">
        <is>
          <t>Months per bill (from filed billing frequency)</t>
        </is>
      </c>
      <c r="B14" s="31" t="n">
        <v>1</v>
      </c>
      <c r="C14" s="13" t="inlineStr">
        <is>
          <t>monthly biller</t>
        </is>
      </c>
    </row>
    <row r="16">
      <c r="A16" s="6" t="inlineStr">
        <is>
          <t>Filed rate table - single-family residential (as filed, eAR Section 8a)</t>
        </is>
      </c>
      <c r="B16" s="7" t="n"/>
      <c r="C16" s="7" t="n"/>
      <c r="D16" s="7" t="n"/>
    </row>
    <row r="17">
      <c r="A17" s="8" t="inlineStr">
        <is>
          <t>Base / fixed charge per monthly bill ($)</t>
        </is>
      </c>
      <c r="B17" s="21" t="n">
        <v>0</v>
      </c>
    </row>
    <row r="18">
      <c r="A18" s="4" t="inlineStr">
        <is>
          <t>Tier</t>
        </is>
      </c>
      <c r="B18" s="4" t="inlineStr">
        <is>
          <t>Range (Gallons)</t>
        </is>
      </c>
      <c r="C18" s="32" t="inlineStr">
        <is>
          <t>Price ($/Gallons)</t>
        </is>
      </c>
      <c r="D18" s="32" t="inlineStr">
        <is>
          <t>Upper limit (Gallons)</t>
        </is>
      </c>
    </row>
    <row r="19">
      <c r="A19" s="8" t="inlineStr">
        <is>
          <t>Tier 1</t>
        </is>
      </c>
      <c r="B19" s="8" t="inlineStr">
        <is>
          <t>0 to 650 Gallons</t>
        </is>
      </c>
      <c r="C19" s="33" t="n">
        <v>0.015</v>
      </c>
      <c r="D19" s="34" t="n">
        <v>650</v>
      </c>
    </row>
    <row r="20">
      <c r="A20" s="8" t="inlineStr">
        <is>
          <t>Tier 2</t>
        </is>
      </c>
      <c r="B20" s="8" t="inlineStr">
        <is>
          <t>650 to 1150 Gallons</t>
        </is>
      </c>
      <c r="C20" s="33" t="n">
        <v>0.045</v>
      </c>
      <c r="D20" s="34" t="n">
        <v>1150</v>
      </c>
    </row>
    <row r="21">
      <c r="A21" s="8" t="inlineStr">
        <is>
          <t>Tier 3</t>
        </is>
      </c>
      <c r="B21" s="8" t="inlineStr">
        <is>
          <t>1150 to 1650 Gallons</t>
        </is>
      </c>
      <c r="C21" s="33" t="n">
        <v>0.0675</v>
      </c>
      <c r="D21" s="34" t="n">
        <v>1650</v>
      </c>
    </row>
    <row r="22">
      <c r="A22" s="8" t="inlineStr">
        <is>
          <t>Tier 4</t>
        </is>
      </c>
      <c r="B22" s="8" t="inlineStr">
        <is>
          <t>over 1650 Gallons</t>
        </is>
      </c>
      <c r="C22" s="33" t="n">
        <v>0.09</v>
      </c>
      <c r="D22" s="34" t="inlineStr">
        <is>
          <t>no limit</t>
        </is>
      </c>
    </row>
    <row r="24">
      <c r="A24" s="6" t="inlineStr">
        <is>
          <t>Flags on the filed rate table (nothing below is corrected)</t>
        </is>
      </c>
      <c r="B24" s="7" t="n"/>
      <c r="C24" s="7" t="n"/>
      <c r="D24" s="7" t="n"/>
    </row>
    <row r="25" ht="111" customHeight="1">
      <c r="A25" s="3" t="inlineStr">
        <is>
          <t>Tier 3 price: implausible as filed; checked against source. The filed tier 3 price of $0.07 per unit implies $50.49 per HCF, outside the $0.50 to $50.00 per HCF range a residential water rate plausibly takes. Carried exactly as filed and not corrected. Source: State Water Board eAR Section 8 / WRSFUsageCost3</t>
        </is>
      </c>
    </row>
    <row r="26" ht="111" customHeight="1">
      <c r="A26" s="3" t="inlineStr">
        <is>
          <t>Tier 4 price: implausible as filed; checked against source. The filed tier 4 price of $0.09 per unit implies $67.32 per HCF, outside the $0.50 to $50.00 per HCF range a residential water rate plausibly takes. Carried exactly as filed and not corrected. Source: State Water Board eAR Section 8 / WRSFUsageCost4</t>
        </is>
      </c>
    </row>
    <row r="27" ht="126" customHeight="1">
      <c r="A27" s="3" t="inlineStr">
        <is>
          <t>Fixed charge: implausible as filed; checked against source. The filed base charge of $0.00 per bill is $0.00 per month, outside the $5.00 to $500.00 per month range a residential fixed charge plausibly takes. A filed $0.00 can simply mean the company charges no fixed charge. Carried exactly as filed and not corrected. Source: State Water Board eAR Section 8 / WRSFCostPerUOM1</t>
        </is>
      </c>
    </row>
    <row r="29">
      <c r="A29" s="6" t="inlineStr">
        <is>
          <t>Representative monthly bill - LIVE (edit a yellow usage cell to recompute)</t>
        </is>
      </c>
      <c r="B29" s="7" t="n"/>
      <c r="C29" s="7" t="n"/>
      <c r="D29" s="7" t="n"/>
    </row>
    <row r="30">
      <c r="A30" s="28" t="inlineStr"/>
      <c r="B30" s="5" t="inlineStr">
        <is>
          <t>Low</t>
        </is>
      </c>
      <c r="C30" s="5" t="inlineStr">
        <is>
          <t>Median</t>
        </is>
      </c>
      <c r="D30" s="5" t="inlineStr">
        <is>
          <t>High</t>
        </is>
      </c>
    </row>
    <row r="31">
      <c r="A31" s="8" t="inlineStr">
        <is>
          <t>Usage per bill (Gallons)</t>
        </is>
      </c>
      <c r="B31" s="35">
        <f>B13*$B$14</f>
        <v/>
      </c>
      <c r="C31" s="35">
        <f>C13*$B$14</f>
        <v/>
      </c>
      <c r="D31" s="35">
        <f>D13*$B$14</f>
        <v/>
      </c>
    </row>
    <row r="32">
      <c r="A32" s="8" t="inlineStr">
        <is>
          <t xml:space="preserve">    Tier 1 charge per bill ($)</t>
        </is>
      </c>
      <c r="B32" s="36">
        <f>$C$19*MAX(0,MIN(B31,$D$19)-0)</f>
        <v/>
      </c>
      <c r="C32" s="36">
        <f>$C$19*MAX(0,MIN(C31,$D$19)-0)</f>
        <v/>
      </c>
      <c r="D32" s="36">
        <f>$C$19*MAX(0,MIN(D31,$D$19)-0)</f>
        <v/>
      </c>
    </row>
    <row r="33">
      <c r="A33" s="8" t="inlineStr">
        <is>
          <t xml:space="preserve">    Tier 2 charge per bill ($)</t>
        </is>
      </c>
      <c r="B33" s="36">
        <f>$C$20*MAX(0,MIN(B31,$D$20)-$D$19)</f>
        <v/>
      </c>
      <c r="C33" s="36">
        <f>$C$20*MAX(0,MIN(C31,$D$20)-$D$19)</f>
        <v/>
      </c>
      <c r="D33" s="36">
        <f>$C$20*MAX(0,MIN(D31,$D$20)-$D$19)</f>
        <v/>
      </c>
    </row>
    <row r="34">
      <c r="A34" s="8" t="inlineStr">
        <is>
          <t xml:space="preserve">    Tier 3 charge per bill ($)</t>
        </is>
      </c>
      <c r="B34" s="36">
        <f>$C$21*MAX(0,MIN(B31,$D$21)-$D$20)</f>
        <v/>
      </c>
      <c r="C34" s="36">
        <f>$C$21*MAX(0,MIN(C31,$D$21)-$D$20)</f>
        <v/>
      </c>
      <c r="D34" s="36">
        <f>$C$21*MAX(0,MIN(D31,$D$21)-$D$20)</f>
        <v/>
      </c>
    </row>
    <row r="35">
      <c r="A35" s="8" t="inlineStr">
        <is>
          <t xml:space="preserve">    Tier 4 charge per bill ($)</t>
        </is>
      </c>
      <c r="B35" s="36">
        <f>$C$22*MAX(0,B31-$D$21)</f>
        <v/>
      </c>
      <c r="C35" s="36">
        <f>$C$22*MAX(0,C31-$D$21)</f>
        <v/>
      </c>
      <c r="D35" s="36">
        <f>$C$22*MAX(0,D31-$D$21)</f>
        <v/>
      </c>
    </row>
    <row r="36">
      <c r="A36" s="8" t="inlineStr">
        <is>
          <t>Volumetric charge per bill ($)</t>
        </is>
      </c>
      <c r="B36" s="36">
        <f>SUM(B32,B33,B34,B35)</f>
        <v/>
      </c>
      <c r="C36" s="36">
        <f>SUM(C32,C33,C34,C35)</f>
        <v/>
      </c>
      <c r="D36" s="36">
        <f>SUM(D32,D33,D34,D35)</f>
        <v/>
      </c>
    </row>
    <row r="37">
      <c r="A37" s="8" t="inlineStr">
        <is>
          <t>Base charge per bill ($)</t>
        </is>
      </c>
      <c r="B37" s="36">
        <f>$B$17</f>
        <v/>
      </c>
      <c r="C37" s="36">
        <f>$B$17</f>
        <v/>
      </c>
      <c r="D37" s="36">
        <f>$B$17</f>
        <v/>
      </c>
    </row>
    <row r="38">
      <c r="A38" s="8" t="inlineStr">
        <is>
          <t>Total per bill ($)</t>
        </is>
      </c>
      <c r="B38" s="36">
        <f>B37+B36</f>
        <v/>
      </c>
      <c r="C38" s="36">
        <f>C37+C36</f>
        <v/>
      </c>
      <c r="D38" s="36">
        <f>D37+D36</f>
        <v/>
      </c>
    </row>
    <row r="39">
      <c r="A39" s="10" t="inlineStr">
        <is>
          <t>Total per MONTH ($)</t>
        </is>
      </c>
      <c r="B39" s="37">
        <f>B38/$B$14</f>
        <v/>
      </c>
      <c r="C39" s="37">
        <f>C38/$B$14</f>
        <v/>
      </c>
      <c r="D39" s="37">
        <f>D38/$B$14</f>
        <v/>
      </c>
    </row>
    <row r="40">
      <c r="A40" s="8" t="inlineStr">
        <is>
          <t xml:space="preserve">    Fixed per month ($)</t>
        </is>
      </c>
      <c r="B40" s="36">
        <f>$B$17/$B$14</f>
        <v/>
      </c>
      <c r="C40" s="36">
        <f>$B$17/$B$14</f>
        <v/>
      </c>
      <c r="D40" s="36">
        <f>$B$17/$B$14</f>
        <v/>
      </c>
    </row>
    <row r="41">
      <c r="A41" s="8" t="inlineStr">
        <is>
          <t xml:space="preserve">    Volumetric per month ($)</t>
        </is>
      </c>
      <c r="B41" s="36">
        <f>B36/$B$14</f>
        <v/>
      </c>
      <c r="C41" s="36">
        <f>C36/$B$14</f>
        <v/>
      </c>
      <c r="D41" s="36">
        <f>D36/$B$14</f>
        <v/>
      </c>
    </row>
    <row r="42">
      <c r="A42" s="8" t="inlineStr">
        <is>
          <t>Effective price ($/HCF)</t>
        </is>
      </c>
      <c r="B42" s="36">
        <f>IF(B11=0,"",B39/B11)</f>
        <v/>
      </c>
      <c r="C42" s="36">
        <f>IF(C11=0,"",C39/C11)</f>
        <v/>
      </c>
      <c r="D42" s="36">
        <f>IF(D11=0,"",D39/D11)</f>
        <v/>
      </c>
    </row>
    <row r="44">
      <c r="A44" s="6" t="inlineStr">
        <is>
          <t>Rate-structure comparison metrics</t>
        </is>
      </c>
      <c r="B44" s="7" t="n"/>
      <c r="C44" s="7" t="n"/>
      <c r="D44" s="7" t="n"/>
    </row>
    <row r="45">
      <c r="A45" s="8" t="inlineStr">
        <is>
          <t>Fixed share of the bill at median usage</t>
        </is>
      </c>
      <c r="B45" s="38">
        <f>C40/C39</f>
        <v/>
      </c>
      <c r="C45" s="13" t="inlineStr">
        <is>
          <t>fixed / total at 10 HCF/month</t>
        </is>
      </c>
    </row>
    <row r="46">
      <c r="A46" s="8" t="inlineStr">
        <is>
          <t>Tier price ratio (highest to lowest positive tier)</t>
        </is>
      </c>
      <c r="B46" s="39">
        <f>$C$22/$C$19</f>
        <v/>
      </c>
      <c r="C46" s="13" t="inlineStr">
        <is>
          <t>highest filed tier price divided by lowest filed tier price.</t>
        </is>
      </c>
    </row>
    <row r="47">
      <c r="A47" s="8" t="inlineStr">
        <is>
          <t>Rate structure (as filed)</t>
        </is>
      </c>
      <c r="B47" s="40" t="inlineStr">
        <is>
          <t>tiered (Variable Base)</t>
        </is>
      </c>
    </row>
    <row r="49" ht="66" customHeight="1">
      <c r="A49" s="3" t="inlineStr">
        <is>
          <t>State Water Board eAR Section 8a (Customer Charges), single- and multi-family residential charges grid, reporting year 2024. Rate structure only; no revenue.</t>
        </is>
      </c>
    </row>
  </sheetData>
  <mergeCells count="10">
    <mergeCell ref="A1:D1"/>
    <mergeCell ref="A5:D5"/>
    <mergeCell ref="A27:D27"/>
    <mergeCell ref="A6:D6"/>
    <mergeCell ref="A3:D3"/>
    <mergeCell ref="A26:D26"/>
    <mergeCell ref="A7:D7"/>
    <mergeCell ref="A25:D25"/>
    <mergeCell ref="A2:D2"/>
    <mergeCell ref="A49:D4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Santa Anita Mutual Water Company</t>
        </is>
      </c>
    </row>
    <row r="2">
      <c r="A2" s="2" t="inlineStr">
        <is>
          <t>eAR annual revenue and expenses - State Water Board eAR Section 8b (USD)</t>
        </is>
      </c>
    </row>
    <row r="3">
      <c r="A3" s="2" t="inlineStr">
        <is>
          <t>Entity ID: cawc_0024   |   Fiscal year ends January 31.</t>
        </is>
      </c>
    </row>
    <row r="5" ht="156" customHeight="1">
      <c r="A5" s="3" t="inlineStr">
        <is>
          <t>The water system's own annual figures from the public eAR Section 8b, on the fiscal year ending January 31, 2024 the filer self-reported (B0.1/B0.2). Shown beside the period-aligned Form 990 with the variance flagged: a different source (a State Water Board self-report vs an IRS filing). Preserved as filed, never reconciled.</t>
        </is>
      </c>
    </row>
    <row r="6">
      <c r="A6" s="16" t="inlineStr">
        <is>
          <t>Reporting period basis (self-reported)</t>
        </is>
      </c>
      <c r="B6" s="19" t="inlineStr">
        <is>
          <t>fiscal year ending January 31, 2024</t>
        </is>
      </c>
      <c r="C6" s="18" t="inlineStr">
        <is>
          <t>eAR Section 8b B0.1 (WRFinancialReportingPeriod) / B0.2 start 02/01/2023</t>
        </is>
      </c>
    </row>
    <row r="8">
      <c r="A8" s="6" t="inlineStr">
        <is>
          <t>Revenue (eAR Section 8b, questions B1.x)</t>
        </is>
      </c>
      <c r="B8" s="7" t="n"/>
      <c r="C8" s="7" t="n"/>
    </row>
    <row r="9">
      <c r="A9" s="5" t="inlineStr">
        <is>
          <t>Line</t>
        </is>
      </c>
      <c r="B9" s="5" t="inlineStr">
        <is>
          <t>Amount (USD)</t>
        </is>
      </c>
      <c r="C9" s="5" t="inlineStr">
        <is>
          <t>Citation</t>
        </is>
      </c>
    </row>
    <row r="10">
      <c r="A10" s="16" t="inlineStr">
        <is>
          <t>Water rate revenue</t>
        </is>
      </c>
      <c r="B10" s="9" t="n">
        <v>56443</v>
      </c>
      <c r="C10" s="18" t="inlineStr">
        <is>
          <t>State Water Board eAR Section 8b, question B1.1 + B1.2 (revenue from water rates), reporting year 2023</t>
        </is>
      </c>
    </row>
    <row r="11">
      <c r="A11" s="16" t="inlineStr">
        <is>
          <t>Other fees and charges</t>
        </is>
      </c>
      <c r="B11" s="9" t="n">
        <v>32705</v>
      </c>
      <c r="C11" s="18" t="inlineStr">
        <is>
          <t>State Water Board eAR Section 8b, question B1.3 + B1.4 (revenue from other fees), reporting year 2023</t>
        </is>
      </c>
    </row>
    <row r="12">
      <c r="A12" s="16" t="inlineStr">
        <is>
          <t>Non-customer revenue</t>
        </is>
      </c>
      <c r="B12" s="9" t="n">
        <v>0</v>
      </c>
      <c r="C12" s="18" t="inlineStr">
        <is>
          <t>State Water Board eAR Section 8b, question B1.7 (grants, interest, and other non-customer), reporting year 2023</t>
        </is>
      </c>
    </row>
    <row r="13">
      <c r="A13" s="16" t="inlineStr">
        <is>
          <t>Total annual revenue</t>
        </is>
      </c>
      <c r="B13" s="41" t="n">
        <v>89148</v>
      </c>
      <c r="C13" s="18"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16" t="inlineStr">
        <is>
          <t>Operations and maintenance</t>
        </is>
      </c>
      <c r="B17" s="9" t="n">
        <v>93362</v>
      </c>
      <c r="C17" s="18" t="inlineStr">
        <is>
          <t>State Water Board eAR Section 8b, question B2.1 (annual O and M expense), reporting year 2023</t>
        </is>
      </c>
    </row>
    <row r="18">
      <c r="A18" s="16" t="inlineStr">
        <is>
          <t>Capital</t>
        </is>
      </c>
      <c r="B18" s="9" t="n">
        <v>0</v>
      </c>
      <c r="C18" s="18" t="inlineStr">
        <is>
          <t>State Water Board eAR Section 8b, question B2.2 (annual expenses from investing or capital), reporting year 2023</t>
        </is>
      </c>
    </row>
    <row r="19">
      <c r="A19" s="16" t="inlineStr">
        <is>
          <t>Financing</t>
        </is>
      </c>
      <c r="B19" s="9" t="n">
        <v>0</v>
      </c>
      <c r="C19" s="18" t="inlineStr">
        <is>
          <t>State Water Board eAR Section 8b, question B2.3 (annual expenses from financing), reporting year 2023</t>
        </is>
      </c>
    </row>
    <row r="20">
      <c r="A20" s="16" t="inlineStr">
        <is>
          <t>Other</t>
        </is>
      </c>
      <c r="B20" s="9" t="n">
        <v>0</v>
      </c>
      <c r="C20" s="18" t="inlineStr">
        <is>
          <t>State Water Board eAR Section 8b, question B2.4 (total other annual expenses), reporting year 2023</t>
        </is>
      </c>
    </row>
    <row r="21">
      <c r="A21" s="16" t="inlineStr">
        <is>
          <t>Total annual expenses</t>
        </is>
      </c>
      <c r="B21" s="41" t="n">
        <v>93362</v>
      </c>
      <c r="C21" s="18"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89148</v>
      </c>
      <c r="C25" s="9" t="n">
        <v>89157</v>
      </c>
    </row>
    <row r="26">
      <c r="A26" s="24" t="inlineStr">
        <is>
          <t>Variance (eAR minus Form 990)</t>
        </is>
      </c>
      <c r="B26" s="25">
        <f>B25-C25</f>
        <v/>
      </c>
      <c r="C26" s="42" t="n"/>
    </row>
    <row r="27" ht="201" customHeight="1">
      <c r="A27" s="3" t="inlineStr">
        <is>
          <t>The eAR Section 8b total revenue (State Water Board self-report, fiscal year ending January 31, 2024) and the Form 990 total revenue (IRS filing) are a different source and cover the same fiscal year (February 1, 2023 to January 31, 2024): the water system self-reported the eAR Section 8b on a fiscal year (B0.1 Fiscal, B0.2 start 02/01/2023), which matches the Form 990 fiscal year. Both are carried as filed; the variance is surfaced, never reconciled.</t>
        </is>
      </c>
    </row>
    <row r="28">
      <c r="A28" s="8" t="inlineStr">
        <is>
          <t>total expenses</t>
        </is>
      </c>
      <c r="B28" s="9" t="n">
        <v>93362</v>
      </c>
      <c r="C28" s="9" t="n">
        <v>93691</v>
      </c>
    </row>
    <row r="29">
      <c r="A29" s="24" t="inlineStr">
        <is>
          <t>Variance (eAR minus Form 990)</t>
        </is>
      </c>
      <c r="B29" s="25">
        <f>B28-C28</f>
        <v/>
      </c>
      <c r="C29" s="42" t="n"/>
    </row>
    <row r="30" ht="201" customHeight="1">
      <c r="A30" s="3" t="inlineStr">
        <is>
          <t>The eAR Section 8b total expenses (State Water Board self-report, fiscal year ending January 31, 2024) and the Form 990 total expenses (IRS filing) are a different source and cover the same fiscal year (February 1, 2023 to January 31, 2024): the water system self-reported the eAR Section 8b on a fiscal year (B0.1 Fiscal, B0.2 start 02/01/2023), which matches the Form 990 fiscal year.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Santa Anita Mutual Water Company</t>
        </is>
      </c>
    </row>
    <row r="2">
      <c r="A2" s="2" t="inlineStr">
        <is>
          <t>Denominators and calendar alignment</t>
        </is>
      </c>
    </row>
    <row r="3">
      <c r="A3" s="2" t="inlineStr">
        <is>
          <t>Entity ID: cawc_0024   |   Fiscal year ends January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16" t="inlineStr">
        <is>
          <t>Customer (service connection)</t>
        </is>
      </c>
      <c r="B7" s="17" t="n">
        <v>19</v>
      </c>
      <c r="C7" s="18" t="inlineStr">
        <is>
          <t>State Water Board eAR Section 4 (CurTotalConnections), reporting year 2024</t>
        </is>
      </c>
    </row>
    <row r="8">
      <c r="A8" s="16" t="inlineStr">
        <is>
          <t>SDWIS service-connection count (different registry)</t>
        </is>
      </c>
      <c r="B8" s="17" t="n">
        <v>19</v>
      </c>
      <c r="C8" s="18" t="inlineStr"/>
    </row>
    <row r="9">
      <c r="A9" s="16" t="inlineStr">
        <is>
          <t>Member (shareholder)</t>
        </is>
      </c>
      <c r="B9" s="19" t="n"/>
      <c r="C9" s="18"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FY2021 (2021-01-31)</t>
        </is>
      </c>
      <c r="B14" s="17" t="n">
        <v>19</v>
      </c>
      <c r="C14" s="14" t="inlineStr">
        <is>
          <t>not reported</t>
        </is>
      </c>
      <c r="D14" s="17" t="n">
        <v>1242.2</v>
      </c>
      <c r="E14" s="17" t="n">
        <v>11.9</v>
      </c>
      <c r="F14" s="17" t="n">
        <v>8.9</v>
      </c>
      <c r="G14" s="19" t="inlineStr">
        <is>
          <t>recast from monthly eAR data to fiscal year ending January 31, 2021</t>
        </is>
      </c>
    </row>
    <row r="15" ht="40" customHeight="1">
      <c r="A15" s="8" t="inlineStr">
        <is>
          <t>FY2022 (2022-01-31)</t>
        </is>
      </c>
      <c r="B15" s="17" t="n">
        <v>19</v>
      </c>
      <c r="C15" s="14" t="inlineStr">
        <is>
          <t>not reported</t>
        </is>
      </c>
      <c r="D15" s="17" t="n">
        <v>1242.2</v>
      </c>
      <c r="E15" s="17" t="n">
        <v>16.8</v>
      </c>
      <c r="F15" s="17" t="n">
        <v>7.1</v>
      </c>
      <c r="G15" s="19" t="inlineStr">
        <is>
          <t>recast from monthly eAR data to fiscal year ending January 31, 2022</t>
        </is>
      </c>
    </row>
    <row r="16" ht="40" customHeight="1">
      <c r="A16" s="8" t="inlineStr">
        <is>
          <t>FY2023 (2023-01-31)</t>
        </is>
      </c>
      <c r="B16" s="17" t="n">
        <v>19</v>
      </c>
      <c r="C16" s="14" t="inlineStr">
        <is>
          <t>not reported</t>
        </is>
      </c>
      <c r="D16" s="17" t="n">
        <v>1242.2</v>
      </c>
      <c r="E16" s="14" t="inlineStr">
        <is>
          <t>not reported</t>
        </is>
      </c>
      <c r="F16" s="14" t="inlineStr">
        <is>
          <t>not reported</t>
        </is>
      </c>
      <c r="G16" s="19" t="inlineStr">
        <is>
          <t>recast from monthly eAR data to fiscal year ending January 31, 2023</t>
        </is>
      </c>
    </row>
    <row r="17" ht="40" customHeight="1">
      <c r="A17" s="8" t="inlineStr">
        <is>
          <t>FY2024 (2024-01-31)</t>
        </is>
      </c>
      <c r="B17" s="17" t="n">
        <v>19</v>
      </c>
      <c r="C17" s="17" t="n">
        <v>38</v>
      </c>
      <c r="D17" s="17" t="n">
        <v>1242.2</v>
      </c>
      <c r="E17" s="14" t="inlineStr">
        <is>
          <t>not reported</t>
        </is>
      </c>
      <c r="F17" s="14" t="inlineStr">
        <is>
          <t>not reported</t>
        </is>
      </c>
      <c r="G17" s="19" t="inlineStr">
        <is>
          <t>recast from monthly eAR data to fiscal year ending January 31, 2024</t>
        </is>
      </c>
    </row>
    <row r="18" ht="40" customHeight="1">
      <c r="A18" s="8" t="inlineStr">
        <is>
          <t>FY2025 (2025-01-31)</t>
        </is>
      </c>
      <c r="B18" s="17" t="n">
        <v>19</v>
      </c>
      <c r="C18" s="17" t="n">
        <v>38</v>
      </c>
      <c r="D18" s="17" t="n">
        <v>1242.2</v>
      </c>
      <c r="E18" s="14" t="inlineStr">
        <is>
          <t>not reported</t>
        </is>
      </c>
      <c r="F18" s="14" t="inlineStr">
        <is>
          <t>not reported</t>
        </is>
      </c>
      <c r="G18" s="19" t="inlineStr">
        <is>
          <t>recast from monthly eAR data to fiscal year ending January 31, 2025</t>
        </is>
      </c>
    </row>
    <row r="20">
      <c r="A20" s="6" t="inlineStr">
        <is>
          <t>Connections by class - FY2025 (eAR Section 4)</t>
        </is>
      </c>
      <c r="B20" s="7" t="n"/>
      <c r="C20" s="7" t="n"/>
      <c r="D20" s="7" t="n"/>
      <c r="E20" s="7" t="n"/>
      <c r="F20" s="7" t="n"/>
      <c r="G20" s="7" t="n"/>
    </row>
    <row r="21">
      <c r="A21" s="16" t="inlineStr">
        <is>
          <t>Single-family residential</t>
        </is>
      </c>
      <c r="B21" s="17" t="n">
        <v>19</v>
      </c>
      <c r="C21" s="18" t="inlineStr"/>
    </row>
    <row r="22" ht="81" customHeight="1">
      <c r="A22"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2:G22"/>
    <mergeCell ref="A2:G2"/>
    <mergeCell ref="A10:G10"/>
    <mergeCell ref="A5: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Santa Anita Mutual Water Company</t>
        </is>
      </c>
    </row>
    <row r="2">
      <c r="A2" s="2" t="inlineStr">
        <is>
          <t>Governance evidence status - Ostrom's eight design principles</t>
        </is>
      </c>
    </row>
    <row r="3">
      <c r="A3" s="2" t="inlineStr">
        <is>
          <t>Entity ID: cawc_0024   |   Fiscal year ends January 31.</t>
        </is>
      </c>
    </row>
    <row r="5">
      <c r="A5" s="43" t="inlineStr">
        <is>
          <t>Evidence summary: 4 documented, 2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0" t="inlineStr">
        <is>
          <t>DOCUMENTED</t>
        </is>
      </c>
      <c r="C10" s="19" t="inlineStr">
        <is>
          <t>The system is a defined public water system: 19 service connections over a State-published service-area boundary.</t>
        </is>
      </c>
      <c r="D10" s="19" t="inlineStr">
        <is>
          <t>SDWIS Community water system; SABL service-area boundary (not verified (sabl)); connections defined.</t>
        </is>
      </c>
      <c r="E10" s="44"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Not Verified (SABL), so its outer edge rests on that State layer.</t>
        </is>
      </c>
    </row>
    <row r="12" ht="46" customHeight="1">
      <c r="A12" s="8" t="inlineStr">
        <is>
          <t>Rules fit local conditions</t>
        </is>
      </c>
      <c r="B12" s="20" t="inlineStr">
        <is>
          <t>DOCUMENTED</t>
        </is>
      </c>
      <c r="C12" s="19" t="inlineStr">
        <is>
          <t>Charges are tied to service under a documented rate or share-based allocation rule reported to the State or set in the company's structure.</t>
        </is>
      </c>
      <c r="D12" s="19" t="inlineStr">
        <is>
          <t>eAR Section 8a customer charges; documented rate or share-allocation rule.</t>
        </is>
      </c>
      <c r="E12" s="44"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0" t="inlineStr">
        <is>
          <t>PARTIAL</t>
        </is>
      </c>
      <c r="C14" s="19" t="inlineStr">
        <is>
          <t>As a mutual it is owned by its customer-shareholders who elect the board, but specific board membership and votes are not documented.</t>
        </is>
      </c>
      <c r="D14" s="19" t="inlineStr">
        <is>
          <t>Mutual (501(c)(12)) ownership structure; Form 990 governance section.</t>
        </is>
      </c>
      <c r="E14" s="44" t="inlineStr">
        <is>
          <t>[990][SOS]</t>
        </is>
      </c>
    </row>
    <row r="15" ht="150" customHeight="1">
      <c r="A15" s="3" t="inlineStr">
        <is>
          <t>What the record shows: The mutual-company form documents that customers are shareholders who elect the directors, so a collective-choice mechanism exists on paper. No record of the specific board, elections, or member votes was found, so the evidence is partial. The specific board is now on the record: the Statement of Information filed 5/12/2026 names 8 directors and 4 officers, transcribed as filed. That closes one of the gaps named above. It does NOT close the others: a filed roster shows who governs, not how members choose them, and carries no election, turnout or member vote. The evidence status therefore stays PARTIAL, because what this principle asks about is member participation and that remains undocumented.</t>
        </is>
      </c>
    </row>
    <row r="16" ht="46" customHeight="1">
      <c r="A16" s="8" t="inlineStr">
        <is>
          <t>Monitoring</t>
        </is>
      </c>
      <c r="B16" s="20" t="inlineStr">
        <is>
          <t>DOCUMENTED</t>
        </is>
      </c>
      <c r="C16" s="19" t="inlineStr">
        <is>
          <t>The system is metered and monitored: the State SAFER risk assessment shows it Not Failing, and it files an annual eAR.</t>
        </is>
      </c>
      <c r="D16" s="19" t="inlineStr">
        <is>
          <t>SAFER Not Failing; annual eAR reporting; metered connections.</t>
        </is>
      </c>
      <c r="E16" s="44"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0" t="inlineStr">
        <is>
          <t>NOT DOCUMENTED</t>
        </is>
      </c>
      <c r="C18" s="19" t="inlineStr">
        <is>
          <t>No published shut-off, penalty, or delinquency policy was found for this system.</t>
        </is>
      </c>
      <c r="D18" s="19" t="inlineStr">
        <is>
          <t>No sourced sanctions policy.</t>
        </is>
      </c>
      <c r="E18" s="44"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0" t="inlineStr">
        <is>
          <t>NOT DOCUMENTED</t>
        </is>
      </c>
      <c r="C20" s="19" t="inlineStr">
        <is>
          <t>No published bylaws, dispute procedure, or grievance mechanism was found for this system.</t>
        </is>
      </c>
      <c r="D20" s="19" t="inlineStr">
        <is>
          <t>No sourced conflict-resolution record.</t>
        </is>
      </c>
      <c r="E20" s="44"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0" t="inlineStr">
        <is>
          <t>DOCUMENTED</t>
        </is>
      </c>
      <c r="C22" s="19" t="inlineStr">
        <is>
          <t>An incorporated California mutual water company recognized by the IRS (501(c)(12)) and by the State Water Board as a public water system.</t>
        </is>
      </c>
      <c r="D22" s="19" t="inlineStr">
        <is>
          <t>IRS 501(c)(12) exempt filer (Form 990); SDWIS public water system.</t>
        </is>
      </c>
      <c r="E22" s="44"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0981449, first registered 04/25/1980, status as filed "Active", with a governing body named in the Statement of Information filed 5/12/2026.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0" t="inlineStr">
        <is>
          <t>PARTIAL</t>
        </is>
      </c>
      <c r="C24" s="19" t="inlineStr">
        <is>
          <t>The system draws on a shared local groundwater basin, embedding it in a larger physical water system, though its role in basin governance is not documented.</t>
        </is>
      </c>
      <c r="D24" s="19" t="inlineStr">
        <is>
          <t>SDWIS Primary Water Source Type: groundwater (shared basin).</t>
        </is>
      </c>
      <c r="E24" s="44" t="inlineStr">
        <is>
          <t>[C]</t>
        </is>
      </c>
    </row>
    <row r="25" ht="66" customHeight="1">
      <c r="A25" s="3" t="inlineStr">
        <is>
          <t>What the record shows: The system relies on a shared groundwater basin, so it is physically nested in a larger hydrologic system. Its participation in a groundwater sustainability agency or basin governance is not documented, so the nesting evidence is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Santa Anita Mutual Water Company</t>
        </is>
      </c>
    </row>
    <row r="2">
      <c r="A2" s="2" t="inlineStr">
        <is>
          <t>Operational metrics - plant per acre, density, terrain</t>
        </is>
      </c>
    </row>
    <row r="3">
      <c r="A3" s="2" t="inlineStr">
        <is>
          <t>Entity ID: cawc_0024   |   Fiscal year ends January 31.</t>
        </is>
      </c>
    </row>
    <row r="5">
      <c r="A5" s="6" t="inlineStr">
        <is>
          <t>Connections per acre</t>
        </is>
      </c>
      <c r="B5" s="7" t="n"/>
      <c r="C5" s="7" t="n"/>
    </row>
    <row r="6">
      <c r="A6" s="16" t="inlineStr">
        <is>
          <t>Connections per acre</t>
        </is>
      </c>
      <c r="B6" s="15" t="n">
        <v>0.02</v>
      </c>
      <c r="C6" s="18" t="inlineStr">
        <is>
          <t>20 connections / 1,242.2 acres. CA State Water Board SABL SERVICE_CONNECTIONS; Geodesic area (WGS84 spherical excess) of the SABL service-area polygon.</t>
        </is>
      </c>
    </row>
    <row r="8">
      <c r="A8" s="6" t="inlineStr">
        <is>
          <t>Who they are</t>
        </is>
      </c>
      <c r="B8" s="7" t="n"/>
      <c r="C8" s="7" t="n"/>
    </row>
    <row r="9">
      <c r="A9" s="16" t="inlineStr">
        <is>
          <t>Terrain class</t>
        </is>
      </c>
      <c r="B9" s="19" t="inlineStr">
        <is>
          <t>coastal terrace</t>
        </is>
      </c>
      <c r="C9" s="18" t="inlineStr">
        <is>
          <t>Company context page (BLUEPRINT 5B)</t>
        </is>
      </c>
    </row>
    <row r="10" ht="111" customHeight="1">
      <c r="A10" s="3" t="inlineStr">
        <is>
          <t>A small domestic mutual water company (501(c)(12)) serving about 19 service connections and roughly 38 residents in the Hollister Ranch and Gaviota coast area of Santa Barbara County, on coastal terrace and rural ranch terrain.</t>
        </is>
      </c>
    </row>
  </sheetData>
  <mergeCells count="4">
    <mergeCell ref="A1:C1"/>
    <mergeCell ref="A3:C3"/>
    <mergeCell ref="A2:C2"/>
    <mergeCell ref="A10:C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Santa Anita Mutual Water Company</t>
        </is>
      </c>
    </row>
    <row r="2">
      <c r="A2" s="2" t="inlineStr">
        <is>
          <t>Supply and weather indicators (DWR water year)</t>
        </is>
      </c>
    </row>
    <row r="3">
      <c r="A3" s="2" t="inlineStr">
        <is>
          <t>Entity ID: cawc_0024   |   Fiscal year ends January 31.</t>
        </is>
      </c>
    </row>
    <row r="5" ht="96" customHeight="1">
      <c r="A5" s="3" t="inlineStr">
        <is>
          <t>Reporting calendar: Different reporting periods. The DWR water year runs October 1 to September 30; this system's fiscal year ends January 31, so the two period ends are four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44" t="inlineStr">
        <is>
          <t>Critical</t>
        </is>
      </c>
      <c r="C8" s="44" t="inlineStr">
        <is>
          <t>Critical</t>
        </is>
      </c>
      <c r="D8" s="44" t="inlineStr">
        <is>
          <t>Wet</t>
        </is>
      </c>
      <c r="E8" s="44" t="inlineStr">
        <is>
          <t>Above Normal</t>
        </is>
      </c>
      <c r="F8" s="45" t="inlineStr">
        <is>
          <t>not reported</t>
        </is>
      </c>
    </row>
    <row r="9">
      <c r="A9" s="8" t="inlineStr">
        <is>
          <t>Peak drought, Santa Barbara County</t>
        </is>
      </c>
      <c r="B9" s="44" t="inlineStr">
        <is>
          <t>D4</t>
        </is>
      </c>
      <c r="C9" s="44" t="inlineStr">
        <is>
          <t>D4</t>
        </is>
      </c>
      <c r="D9" s="44" t="inlineStr">
        <is>
          <t>D3</t>
        </is>
      </c>
      <c r="E9" s="44" t="inlineStr">
        <is>
          <t>None (no D0-D4 during the fiscal year)</t>
        </is>
      </c>
      <c r="F9" s="44" t="inlineStr">
        <is>
          <t>D3</t>
        </is>
      </c>
    </row>
    <row r="10">
      <c r="A10" s="8" t="inlineStr">
        <is>
          <t>Precip, percent of normal (8-Station Index)</t>
        </is>
      </c>
      <c r="B10" s="44" t="inlineStr">
        <is>
          <t>48</t>
        </is>
      </c>
      <c r="C10" s="44" t="inlineStr">
        <is>
          <t>86</t>
        </is>
      </c>
      <c r="D10" s="44" t="inlineStr">
        <is>
          <t>133</t>
        </is>
      </c>
      <c r="E10" s="44" t="inlineStr">
        <is>
          <t>96</t>
        </is>
      </c>
      <c r="F10" s="44" t="inlineStr">
        <is>
          <t>113</t>
        </is>
      </c>
    </row>
    <row r="11">
      <c r="A11" s="8" t="inlineStr">
        <is>
          <t>Snowpack, April 1 percent of average</t>
        </is>
      </c>
      <c r="B11" s="44" t="inlineStr">
        <is>
          <t>59%</t>
        </is>
      </c>
      <c r="C11" s="44" t="inlineStr">
        <is>
          <t>38%</t>
        </is>
      </c>
      <c r="D11" s="44" t="inlineStr">
        <is>
          <t>237%</t>
        </is>
      </c>
      <c r="E11" s="44" t="inlineStr">
        <is>
          <t>110%</t>
        </is>
      </c>
      <c r="F11" s="44" t="inlineStr">
        <is>
          <t>96%</t>
        </is>
      </c>
    </row>
    <row r="12">
      <c r="A12" s="8" t="inlineStr">
        <is>
          <t>State Water Project allocation</t>
        </is>
      </c>
      <c r="B12" s="44" t="inlineStr">
        <is>
          <t>5%</t>
        </is>
      </c>
      <c r="C12" s="44" t="inlineStr">
        <is>
          <t>5%</t>
        </is>
      </c>
      <c r="D12" s="44" t="inlineStr">
        <is>
          <t>100%</t>
        </is>
      </c>
      <c r="E12" s="44" t="inlineStr">
        <is>
          <t>40%</t>
        </is>
      </c>
      <c r="F12" s="44"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Santa Anita Mutual Water Company</t>
        </is>
      </c>
    </row>
    <row r="2">
      <c r="A2" s="2" t="inlineStr">
        <is>
          <t>How this was built - forensic lineage</t>
        </is>
      </c>
    </row>
    <row r="3">
      <c r="A3" s="2" t="inlineStr">
        <is>
          <t>Entity ID: cawc_0024   |   Fiscal year ends January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16" t="inlineStr">
        <is>
          <t>Sources checked</t>
        </is>
      </c>
      <c r="B12" s="18" t="inlineStr">
        <is>
          <t>Form 990 Part VIII line 2 (program-service revenue); State Water Board eAR Section 8b (water-rate revenue B1.1/B1.2)</t>
        </is>
      </c>
    </row>
    <row r="13" ht="72" customHeight="1">
      <c r="A13" s="16" t="inlineStr">
        <is>
          <t>What was found</t>
        </is>
      </c>
      <c r="B13" s="18" t="inlineStr">
        <is>
          <t>No source separately reports a member assessment, so it is DERIVED as a residual: $89,148 (990 program-service revenue) minus $56,443 (eAR water-rate revenue) = $32,705. Period-aligned; medium confidence.</t>
        </is>
      </c>
    </row>
    <row r="14" ht="72" customHeight="1">
      <c r="A14" s="16" t="inlineStr">
        <is>
          <t>Caveat</t>
        </is>
      </c>
      <c r="B14" s="18"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Santa Anita Mutual Water Company</t>
        </is>
      </c>
    </row>
    <row r="2">
      <c r="A2" s="2" t="inlineStr">
        <is>
          <t>Water Operations (sourced outside the financial filings)</t>
        </is>
      </c>
    </row>
    <row r="3">
      <c r="A3" s="2" t="inlineStr">
        <is>
          <t>Entity ID: cawc_0024   |   Fiscal year ends January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19" t="inlineStr">
        <is>
          <t>Potable (community drinking water)</t>
        </is>
      </c>
      <c r="C8" s="8" t="inlineStr">
        <is>
          <t>SDWIS Drinking Water Watch (State Water Board)</t>
        </is>
      </c>
      <c r="D8" s="44" t="n">
        <v>2024</v>
      </c>
      <c r="E8" s="8" t="inlineStr">
        <is>
          <t>high</t>
        </is>
      </c>
      <c r="F8" s="19" t="inlineStr">
        <is>
          <t>SANTA ANITA MUTUAL WATER COMPANY: State Water System Type = Community.</t>
        </is>
      </c>
    </row>
    <row r="9" ht="42" customHeight="1">
      <c r="A9" s="8" t="inlineStr">
        <is>
          <t>Source mix</t>
        </is>
      </c>
      <c r="B9" s="19" t="inlineStr">
        <is>
          <t>Primary source: local groundwater wells (SDWIS Primary Water Source Type: Groundwater). SDWIS classifies the primary supply type; it states no acre-foot volume by source.</t>
        </is>
      </c>
      <c r="C9" s="8" t="inlineStr">
        <is>
          <t>SDWIS Drinking Water Watch (State Water Board)</t>
        </is>
      </c>
      <c r="D9" s="44" t="n">
        <v>2024</v>
      </c>
      <c r="E9" s="8" t="inlineStr">
        <is>
          <t>high</t>
        </is>
      </c>
      <c r="F9" s="19" t="inlineStr">
        <is>
          <t>SANTA ANITA MUTUAL WATER COMPANY: Primary Water Source Type = Groundwater.</t>
        </is>
      </c>
    </row>
    <row r="10" ht="42" customHeight="1">
      <c r="A10" s="8" t="inlineStr">
        <is>
          <t>Service connections (total)</t>
        </is>
      </c>
      <c r="B10" s="19" t="inlineStr">
        <is>
          <t>19 connections</t>
        </is>
      </c>
      <c r="C10" s="8" t="inlineStr">
        <is>
          <t>SDWIS Drinking Water Watch (State Water Board)</t>
        </is>
      </c>
      <c r="D10" s="44" t="n">
        <v>2024</v>
      </c>
      <c r="E10" s="8" t="inlineStr">
        <is>
          <t>high</t>
        </is>
      </c>
      <c r="F10" s="19" t="inlineStr">
        <is>
          <t>SANTA ANITA MUTUAL WATER COMPANY: Total Number of Service Connections = 19.  [cross-source: SDWIS connection snapshot; the eAR reports active service connections on its own basis and per reporting year. Both preserved, not reconciled.]</t>
        </is>
      </c>
    </row>
    <row r="11" ht="42" customHeight="1">
      <c r="A11" s="8" t="inlineStr">
        <is>
          <t>Connections by class</t>
        </is>
      </c>
      <c r="B11" s="19" t="inlineStr">
        <is>
          <t>Service connections by type (SDWIS snapshot): Residential 19; Total 19.</t>
        </is>
      </c>
      <c r="C11" s="8" t="inlineStr">
        <is>
          <t>SDWIS Drinking Water Watch (State Water Board)</t>
        </is>
      </c>
      <c r="D11" s="44" t="n">
        <v>2024</v>
      </c>
      <c r="E11" s="8" t="inlineStr">
        <is>
          <t>high</t>
        </is>
      </c>
      <c r="F11" s="19" t="inlineStr">
        <is>
          <t>SANTA ANITA MUTUAL WATER COMPANY: connections by type - Residential 19; Total 19.</t>
        </is>
      </c>
    </row>
    <row r="12" ht="42" customHeight="1">
      <c r="A12" s="8" t="inlineStr">
        <is>
          <t>Population served</t>
        </is>
      </c>
      <c r="B12" s="19" t="inlineStr">
        <is>
          <t>38 residents</t>
        </is>
      </c>
      <c r="C12" s="8" t="inlineStr">
        <is>
          <t>SDWIS Drinking Water Watch (State Water Board)</t>
        </is>
      </c>
      <c r="D12" s="44" t="n">
        <v>2024</v>
      </c>
      <c r="E12" s="8" t="inlineStr">
        <is>
          <t>high</t>
        </is>
      </c>
      <c r="F12" s="19" t="inlineStr">
        <is>
          <t>SANTA ANITA MUTUAL WATER COMPANY: Total Population = 38.</t>
        </is>
      </c>
    </row>
    <row r="13" ht="42" customHeight="1">
      <c r="A13" s="8" t="inlineStr">
        <is>
          <t>Treatment and water quality</t>
        </is>
      </c>
      <c r="B13" s="19" t="inlineStr">
        <is>
          <t>Operator certification on file: Treatment or distribution operator of any grade; Distribution Operator Level 1. SDWIS states operator grades, not the treatment process detail.</t>
        </is>
      </c>
      <c r="C13" s="8" t="inlineStr">
        <is>
          <t>SDWIS Drinking Water Watch (State Water Board)</t>
        </is>
      </c>
      <c r="D13" s="44" t="n">
        <v>2024</v>
      </c>
      <c r="E13" s="8" t="inlineStr">
        <is>
          <t>high</t>
        </is>
      </c>
      <c r="F13" s="19" t="inlineStr">
        <is>
          <t>SANTA ANITA MUTUAL WATER COMPANY: Treatment Plant Class = Treatment or distribution operator of any grade; Distribution System Class = Distribution Operator Level 1.</t>
        </is>
      </c>
    </row>
    <row r="15">
      <c r="A15" s="6" t="inlineStr">
        <is>
          <t>Not reported (source still needed)</t>
        </is>
      </c>
      <c r="B15" s="7" t="n"/>
      <c r="C15" s="7" t="n"/>
      <c r="D15" s="7" t="n"/>
      <c r="E15" s="7" t="n"/>
      <c r="F15" s="7" t="n"/>
    </row>
    <row r="16" ht="30" customHeight="1">
      <c r="A16" s="8" t="inlineStr">
        <is>
          <t>Annual volume delivered (acre-feet)</t>
        </is>
      </c>
      <c r="B16" s="18" t="inlineStr">
        <is>
          <t>not reported - needs annual volume in acre-feet (State Water Board eAR Section 6 or company production records); the CCR states only a percentage mix</t>
        </is>
      </c>
      <c r="C16" s="42" t="n"/>
      <c r="D16" s="42" t="n"/>
      <c r="E16" s="42" t="n"/>
      <c r="F16" s="42" t="n"/>
    </row>
    <row r="17" ht="30" customHeight="1">
      <c r="A17" s="8" t="inlineStr">
        <is>
          <t>Customer classes served</t>
        </is>
      </c>
      <c r="B17" s="18" t="inlineStr">
        <is>
          <t>not reported - needs the State Water Board eAR or the system CCR</t>
        </is>
      </c>
      <c r="C17" s="42" t="n"/>
      <c r="D17" s="42" t="n"/>
      <c r="E17" s="42" t="n"/>
      <c r="F17" s="42" t="n"/>
    </row>
  </sheetData>
  <mergeCells count="4">
    <mergeCell ref="A3:F3"/>
    <mergeCell ref="A2:F2"/>
    <mergeCell ref="A1:F1"/>
    <mergeCell ref="A5:F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0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Santa Anita Mutual Water Company</t>
        </is>
      </c>
    </row>
    <row r="2">
      <c r="A2" s="2" t="inlineStr">
        <is>
          <t>Sources &amp; audit - full provenance and tie-outs (kept off the statements so they read clean)</t>
        </is>
      </c>
    </row>
    <row r="3">
      <c r="A3" s="2" t="inlineStr">
        <is>
          <t>Entity ID: cawc_0024   |   Fiscal year ends January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3"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4" t="inlineStr">
        <is>
          <t>FY2021</t>
        </is>
      </c>
      <c r="B10" s="8" t="inlineStr">
        <is>
          <t>2021-01-31</t>
        </is>
      </c>
      <c r="C10" s="8" t="inlineStr">
        <is>
          <t>990-EZ</t>
        </is>
      </c>
      <c r="D10" s="8" t="inlineStr">
        <is>
          <t>high</t>
        </is>
      </c>
      <c r="E10" s="8" t="inlineStr">
        <is>
          <t>f0ae169b-26ab-4132-bc10-f68bd6eb5c50</t>
        </is>
      </c>
      <c r="F10" s="8" t="inlineStr">
        <is>
          <t>202111399349200631</t>
        </is>
      </c>
      <c r="G10" s="8" t="inlineStr">
        <is>
          <t>claude-opus-5</t>
        </is>
      </c>
      <c r="H10" s="8" t="inlineStr">
        <is>
          <t>2026-09-14T20:40:24+00:00</t>
        </is>
      </c>
      <c r="I10" s="8" t="inlineStr">
        <is>
          <t>https://apps.irs.gov/pub/epostcard/990/xml/2021/2021_TEOS_XML_01A.zip#202111399349200631_public.xml</t>
        </is>
      </c>
    </row>
    <row r="11">
      <c r="A11" s="44" t="inlineStr">
        <is>
          <t>FY2022</t>
        </is>
      </c>
      <c r="B11" s="8" t="inlineStr">
        <is>
          <t>2022-01-31</t>
        </is>
      </c>
      <c r="C11" s="8" t="inlineStr">
        <is>
          <t>990-EZ</t>
        </is>
      </c>
      <c r="D11" s="8" t="inlineStr">
        <is>
          <t>high</t>
        </is>
      </c>
      <c r="E11" s="8" t="inlineStr">
        <is>
          <t>606b2fd5-df0b-42ff-b8a0-4f2dcd504c18</t>
        </is>
      </c>
      <c r="F11" s="8" t="inlineStr">
        <is>
          <t>202201239349201580</t>
        </is>
      </c>
      <c r="G11" s="8" t="inlineStr">
        <is>
          <t>claude-opus-5</t>
        </is>
      </c>
      <c r="H11" s="8" t="inlineStr">
        <is>
          <t>2026-09-14T20:40:24+00:00</t>
        </is>
      </c>
      <c r="I11" s="8" t="inlineStr">
        <is>
          <t>https://apps.irs.gov/pub/epostcard/990/xml/2022/2022_TEOS_XML_01A.zip#202201239349201580_public.xml</t>
        </is>
      </c>
    </row>
    <row r="12">
      <c r="A12" s="44" t="inlineStr">
        <is>
          <t>FY2023</t>
        </is>
      </c>
      <c r="B12" s="8" t="inlineStr">
        <is>
          <t>2023-01-31</t>
        </is>
      </c>
      <c r="C12" s="8" t="inlineStr">
        <is>
          <t>990-EZ</t>
        </is>
      </c>
      <c r="D12" s="8" t="inlineStr">
        <is>
          <t>high</t>
        </is>
      </c>
      <c r="E12" s="8" t="inlineStr">
        <is>
          <t>62f502be-48a7-440a-838a-958d5c873a19</t>
        </is>
      </c>
      <c r="F12" s="8" t="inlineStr">
        <is>
          <t>202301359349205400</t>
        </is>
      </c>
      <c r="G12" s="8" t="inlineStr">
        <is>
          <t>claude-opus-5</t>
        </is>
      </c>
      <c r="H12" s="8" t="inlineStr">
        <is>
          <t>2026-09-14T20:40:24+00:00</t>
        </is>
      </c>
      <c r="I12" s="8" t="inlineStr">
        <is>
          <t>https://apps.irs.gov/pub/epostcard/990/xml/2023/2023_TEOS_XML_05A.zip#202301359349205400_public.xml</t>
        </is>
      </c>
    </row>
    <row r="13">
      <c r="A13" s="44" t="inlineStr">
        <is>
          <t>FY2024</t>
        </is>
      </c>
      <c r="B13" s="8" t="inlineStr">
        <is>
          <t>2024-01-31</t>
        </is>
      </c>
      <c r="C13" s="8" t="inlineStr">
        <is>
          <t>990-EZ</t>
        </is>
      </c>
      <c r="D13" s="8" t="inlineStr">
        <is>
          <t>high</t>
        </is>
      </c>
      <c r="E13" s="8" t="inlineStr">
        <is>
          <t>f7bf6d9c-9094-4f1a-8e46-73544e02b28a</t>
        </is>
      </c>
      <c r="F13" s="8" t="inlineStr">
        <is>
          <t>202400889349200335</t>
        </is>
      </c>
      <c r="G13" s="8" t="inlineStr">
        <is>
          <t>claude-opus-5</t>
        </is>
      </c>
      <c r="H13" s="8" t="inlineStr">
        <is>
          <t>2026-09-14T20:40:24+00:00</t>
        </is>
      </c>
      <c r="I13" s="8" t="inlineStr">
        <is>
          <t>https://apps.irs.gov/pub/epostcard/990/xml/2024/2024_TEOS_XML_04A.zip#202400889349200335_public.xml</t>
        </is>
      </c>
    </row>
    <row r="14">
      <c r="A14" s="44" t="inlineStr">
        <is>
          <t>FY2025</t>
        </is>
      </c>
      <c r="B14" s="8" t="inlineStr">
        <is>
          <t>2025-01-31</t>
        </is>
      </c>
      <c r="C14" s="8" t="inlineStr">
        <is>
          <t>990-EZ</t>
        </is>
      </c>
      <c r="D14" s="8" t="inlineStr">
        <is>
          <t>high</t>
        </is>
      </c>
      <c r="E14" s="8" t="inlineStr">
        <is>
          <t>fcf68488-69c6-474e-9639-f95bf646abef</t>
        </is>
      </c>
      <c r="F14" s="8" t="inlineStr">
        <is>
          <t>202501349349202495</t>
        </is>
      </c>
      <c r="G14" s="8" t="inlineStr">
        <is>
          <t>claude-opus-5</t>
        </is>
      </c>
      <c r="H14" s="8" t="inlineStr">
        <is>
          <t>2026-09-14T20:40:24+00:00</t>
        </is>
      </c>
      <c r="I14" s="8" t="inlineStr">
        <is>
          <t>https://apps.irs.gov/pub/epostcard/990/xml/2025/2025_TEOS_XML_05A.zip#202501349349202495_public.xml</t>
        </is>
      </c>
    </row>
    <row r="16">
      <c r="A16" s="43"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Form 990-EZ Parts I &amp; II</t>
        </is>
      </c>
      <c r="B18" s="8" t="inlineStr">
        <is>
          <t>B7</t>
        </is>
      </c>
      <c r="C18" s="8" t="inlineStr">
        <is>
          <t>2. Program service revenue</t>
        </is>
      </c>
      <c r="D18" s="8" t="inlineStr">
        <is>
          <t>Part I line 2</t>
        </is>
      </c>
      <c r="E18" s="8" t="inlineStr">
        <is>
          <t>part_i_revenue_expenses.program_service_revenue</t>
        </is>
      </c>
      <c r="F18" s="8" t="inlineStr">
        <is>
          <t>high</t>
        </is>
      </c>
      <c r="G18" s="9" t="n">
        <v>108926</v>
      </c>
    </row>
    <row r="19">
      <c r="A19" s="8" t="inlineStr">
        <is>
          <t>Form 990-EZ Parts I &amp; II</t>
        </is>
      </c>
      <c r="B19" s="8" t="inlineStr">
        <is>
          <t>C7</t>
        </is>
      </c>
      <c r="C19" s="8" t="inlineStr">
        <is>
          <t>2. Program service revenue</t>
        </is>
      </c>
      <c r="D19" s="8" t="inlineStr">
        <is>
          <t>Part I line 2</t>
        </is>
      </c>
      <c r="E19" s="8" t="inlineStr">
        <is>
          <t>part_i_revenue_expenses.program_service_revenue</t>
        </is>
      </c>
      <c r="F19" s="8" t="inlineStr">
        <is>
          <t>high</t>
        </is>
      </c>
      <c r="G19" s="9" t="n">
        <v>98277</v>
      </c>
    </row>
    <row r="20">
      <c r="A20" s="8" t="inlineStr">
        <is>
          <t>Form 990-EZ Parts I &amp; II</t>
        </is>
      </c>
      <c r="B20" s="8" t="inlineStr">
        <is>
          <t>D7</t>
        </is>
      </c>
      <c r="C20" s="8" t="inlineStr">
        <is>
          <t>2. Program service revenue</t>
        </is>
      </c>
      <c r="D20" s="8" t="inlineStr">
        <is>
          <t>Part I line 2</t>
        </is>
      </c>
      <c r="E20" s="8" t="inlineStr">
        <is>
          <t>part_i_revenue_expenses.program_service_revenue</t>
        </is>
      </c>
      <c r="F20" s="8" t="inlineStr">
        <is>
          <t>high</t>
        </is>
      </c>
      <c r="G20" s="9" t="n">
        <v>85341</v>
      </c>
    </row>
    <row r="21">
      <c r="A21" s="8" t="inlineStr">
        <is>
          <t>Form 990-EZ Parts I &amp; II</t>
        </is>
      </c>
      <c r="B21" s="8" t="inlineStr">
        <is>
          <t>E7</t>
        </is>
      </c>
      <c r="C21" s="8" t="inlineStr">
        <is>
          <t>2. Program service revenue</t>
        </is>
      </c>
      <c r="D21" s="8" t="inlineStr">
        <is>
          <t>Part I line 2</t>
        </is>
      </c>
      <c r="E21" s="8" t="inlineStr">
        <is>
          <t>part_i_revenue_expenses.program_service_revenue</t>
        </is>
      </c>
      <c r="F21" s="8" t="inlineStr">
        <is>
          <t>high</t>
        </is>
      </c>
      <c r="G21" s="9" t="n">
        <v>89148</v>
      </c>
    </row>
    <row r="22">
      <c r="A22" s="8" t="inlineStr">
        <is>
          <t>Form 990-EZ Parts I &amp; II</t>
        </is>
      </c>
      <c r="B22" s="8" t="inlineStr">
        <is>
          <t>F8</t>
        </is>
      </c>
      <c r="C22" s="8" t="inlineStr">
        <is>
          <t>3. Membership dues and assessments</t>
        </is>
      </c>
      <c r="D22" s="8" t="inlineStr">
        <is>
          <t>Part I line 3</t>
        </is>
      </c>
      <c r="E22" s="8" t="inlineStr">
        <is>
          <t>part_i_revenue_expenses.membership_dues</t>
        </is>
      </c>
      <c r="F22" s="8" t="inlineStr">
        <is>
          <t>high</t>
        </is>
      </c>
      <c r="G22" s="9" t="n">
        <v>81460</v>
      </c>
    </row>
    <row r="23">
      <c r="A23" s="8" t="inlineStr">
        <is>
          <t>Form 990-EZ Parts I &amp; II</t>
        </is>
      </c>
      <c r="B23" s="8" t="inlineStr">
        <is>
          <t>B9</t>
        </is>
      </c>
      <c r="C23" s="8" t="inlineStr">
        <is>
          <t>4. Investment income</t>
        </is>
      </c>
      <c r="D23" s="8" t="inlineStr">
        <is>
          <t>Part I line 4</t>
        </is>
      </c>
      <c r="E23" s="8" t="inlineStr">
        <is>
          <t>part_i_revenue_expenses.investment_income</t>
        </is>
      </c>
      <c r="F23" s="8" t="inlineStr">
        <is>
          <t>high</t>
        </is>
      </c>
      <c r="G23" s="9" t="n">
        <v>27</v>
      </c>
    </row>
    <row r="24">
      <c r="A24" s="8" t="inlineStr">
        <is>
          <t>Form 990-EZ Parts I &amp; II</t>
        </is>
      </c>
      <c r="B24" s="8" t="inlineStr">
        <is>
          <t>C9</t>
        </is>
      </c>
      <c r="C24" s="8" t="inlineStr">
        <is>
          <t>4. Investment income</t>
        </is>
      </c>
      <c r="D24" s="8" t="inlineStr">
        <is>
          <t>Part I line 4</t>
        </is>
      </c>
      <c r="E24" s="8" t="inlineStr">
        <is>
          <t>part_i_revenue_expenses.investment_income</t>
        </is>
      </c>
      <c r="F24" s="8" t="inlineStr">
        <is>
          <t>high</t>
        </is>
      </c>
      <c r="G24" s="9" t="n">
        <v>15</v>
      </c>
    </row>
    <row r="25">
      <c r="A25" s="8" t="inlineStr">
        <is>
          <t>Form 990-EZ Parts I &amp; II</t>
        </is>
      </c>
      <c r="B25" s="8" t="inlineStr">
        <is>
          <t>D9</t>
        </is>
      </c>
      <c r="C25" s="8" t="inlineStr">
        <is>
          <t>4. Investment income</t>
        </is>
      </c>
      <c r="D25" s="8" t="inlineStr">
        <is>
          <t>Part I line 4</t>
        </is>
      </c>
      <c r="E25" s="8" t="inlineStr">
        <is>
          <t>part_i_revenue_expenses.investment_income</t>
        </is>
      </c>
      <c r="F25" s="8" t="inlineStr">
        <is>
          <t>high</t>
        </is>
      </c>
      <c r="G25" s="9" t="n">
        <v>10</v>
      </c>
    </row>
    <row r="26">
      <c r="A26" s="8" t="inlineStr">
        <is>
          <t>Form 990-EZ Parts I &amp; II</t>
        </is>
      </c>
      <c r="B26" s="8" t="inlineStr">
        <is>
          <t>E9</t>
        </is>
      </c>
      <c r="C26" s="8" t="inlineStr">
        <is>
          <t>4. Investment income</t>
        </is>
      </c>
      <c r="D26" s="8" t="inlineStr">
        <is>
          <t>Part I line 4</t>
        </is>
      </c>
      <c r="E26" s="8" t="inlineStr">
        <is>
          <t>part_i_revenue_expenses.investment_income</t>
        </is>
      </c>
      <c r="F26" s="8" t="inlineStr">
        <is>
          <t>high</t>
        </is>
      </c>
      <c r="G26" s="9" t="n">
        <v>9</v>
      </c>
    </row>
    <row r="27">
      <c r="A27" s="8" t="inlineStr">
        <is>
          <t>Form 990-EZ Parts I &amp; II</t>
        </is>
      </c>
      <c r="B27" s="8" t="inlineStr">
        <is>
          <t>B10</t>
        </is>
      </c>
      <c r="C27" s="8" t="inlineStr">
        <is>
          <t>8. Other revenue</t>
        </is>
      </c>
      <c r="D27" s="8" t="inlineStr">
        <is>
          <t>Part I line 8</t>
        </is>
      </c>
      <c r="E27" s="8" t="inlineStr">
        <is>
          <t>part_i_revenue_expenses.other_revenue_total</t>
        </is>
      </c>
      <c r="F27" s="8" t="inlineStr">
        <is>
          <t>high</t>
        </is>
      </c>
      <c r="G27" s="9" t="n">
        <v>1686</v>
      </c>
    </row>
    <row r="28">
      <c r="A28" s="8" t="inlineStr">
        <is>
          <t>Form 990-EZ Parts I &amp; II</t>
        </is>
      </c>
      <c r="B28" s="8" t="inlineStr">
        <is>
          <t>C10</t>
        </is>
      </c>
      <c r="C28" s="8" t="inlineStr">
        <is>
          <t>8. Other revenue</t>
        </is>
      </c>
      <c r="D28" s="8" t="inlineStr">
        <is>
          <t>Part I line 8</t>
        </is>
      </c>
      <c r="E28" s="8" t="inlineStr">
        <is>
          <t>part_i_revenue_expenses.other_revenue_total</t>
        </is>
      </c>
      <c r="F28" s="8" t="inlineStr">
        <is>
          <t>high</t>
        </is>
      </c>
      <c r="G28" s="9" t="n">
        <v>225</v>
      </c>
    </row>
    <row r="29">
      <c r="A29" s="8" t="inlineStr">
        <is>
          <t>Form 990-EZ Parts I &amp; II</t>
        </is>
      </c>
      <c r="B29" s="8" t="inlineStr">
        <is>
          <t>F10</t>
        </is>
      </c>
      <c r="C29" s="8" t="inlineStr">
        <is>
          <t>8. Other revenue</t>
        </is>
      </c>
      <c r="D29" s="8" t="inlineStr">
        <is>
          <t>Part I line 8</t>
        </is>
      </c>
      <c r="E29" s="8" t="inlineStr">
        <is>
          <t>part_i_revenue_expenses.other_revenue_total</t>
        </is>
      </c>
      <c r="F29" s="8" t="inlineStr">
        <is>
          <t>high</t>
        </is>
      </c>
      <c r="G29" s="9" t="n">
        <v>9</v>
      </c>
    </row>
    <row r="30">
      <c r="A30" s="8" t="inlineStr">
        <is>
          <t>Form 990-EZ Parts I &amp; II</t>
        </is>
      </c>
      <c r="B30" s="8" t="inlineStr">
        <is>
          <t>B11</t>
        </is>
      </c>
      <c r="C30" s="8" t="inlineStr">
        <is>
          <t>9. Total revenue</t>
        </is>
      </c>
      <c r="D30" s="8" t="inlineStr">
        <is>
          <t>Part I line 9</t>
        </is>
      </c>
      <c r="E30" s="8" t="inlineStr">
        <is>
          <t>part_i_revenue_expenses.total_revenue</t>
        </is>
      </c>
      <c r="F30" s="8" t="inlineStr">
        <is>
          <t>high</t>
        </is>
      </c>
      <c r="G30" s="9" t="n">
        <v>110639</v>
      </c>
    </row>
    <row r="31">
      <c r="A31" s="8" t="inlineStr">
        <is>
          <t>Form 990-EZ Parts I &amp; II</t>
        </is>
      </c>
      <c r="B31" s="8" t="inlineStr">
        <is>
          <t>C11</t>
        </is>
      </c>
      <c r="C31" s="8" t="inlineStr">
        <is>
          <t>9. Total revenue</t>
        </is>
      </c>
      <c r="D31" s="8" t="inlineStr">
        <is>
          <t>Part I line 9</t>
        </is>
      </c>
      <c r="E31" s="8" t="inlineStr">
        <is>
          <t>part_i_revenue_expenses.total_revenue</t>
        </is>
      </c>
      <c r="F31" s="8" t="inlineStr">
        <is>
          <t>high</t>
        </is>
      </c>
      <c r="G31" s="9" t="n">
        <v>95375</v>
      </c>
    </row>
    <row r="32">
      <c r="A32" s="8" t="inlineStr">
        <is>
          <t>Form 990-EZ Parts I &amp; II</t>
        </is>
      </c>
      <c r="B32" s="8" t="inlineStr">
        <is>
          <t>D11</t>
        </is>
      </c>
      <c r="C32" s="8" t="inlineStr">
        <is>
          <t>9. Total revenue</t>
        </is>
      </c>
      <c r="D32" s="8" t="inlineStr">
        <is>
          <t>Part I line 9</t>
        </is>
      </c>
      <c r="E32" s="8" t="inlineStr">
        <is>
          <t>part_i_revenue_expenses.total_revenue</t>
        </is>
      </c>
      <c r="F32" s="8" t="inlineStr">
        <is>
          <t>high</t>
        </is>
      </c>
      <c r="G32" s="9" t="n">
        <v>85351</v>
      </c>
    </row>
    <row r="33">
      <c r="A33" s="8" t="inlineStr">
        <is>
          <t>Form 990-EZ Parts I &amp; II</t>
        </is>
      </c>
      <c r="B33" s="8" t="inlineStr">
        <is>
          <t>E11</t>
        </is>
      </c>
      <c r="C33" s="8" t="inlineStr">
        <is>
          <t>9. Total revenue</t>
        </is>
      </c>
      <c r="D33" s="8" t="inlineStr">
        <is>
          <t>Part I line 9</t>
        </is>
      </c>
      <c r="E33" s="8" t="inlineStr">
        <is>
          <t>part_i_revenue_expenses.total_revenue</t>
        </is>
      </c>
      <c r="F33" s="8" t="inlineStr">
        <is>
          <t>high</t>
        </is>
      </c>
      <c r="G33" s="9" t="n">
        <v>89157</v>
      </c>
    </row>
    <row r="34">
      <c r="A34" s="8" t="inlineStr">
        <is>
          <t>Form 990-EZ Parts I &amp; II</t>
        </is>
      </c>
      <c r="B34" s="8" t="inlineStr">
        <is>
          <t>F11</t>
        </is>
      </c>
      <c r="C34" s="8" t="inlineStr">
        <is>
          <t>9. Total revenue</t>
        </is>
      </c>
      <c r="D34" s="8" t="inlineStr">
        <is>
          <t>Part I line 9</t>
        </is>
      </c>
      <c r="E34" s="8" t="inlineStr">
        <is>
          <t>part_i_revenue_expenses.total_revenue</t>
        </is>
      </c>
      <c r="F34" s="8" t="inlineStr">
        <is>
          <t>high</t>
        </is>
      </c>
      <c r="G34" s="9" t="n">
        <v>81469</v>
      </c>
    </row>
    <row r="35">
      <c r="A35" s="8" t="inlineStr">
        <is>
          <t>Form 990-EZ Parts I &amp; II</t>
        </is>
      </c>
      <c r="B35" s="8" t="inlineStr">
        <is>
          <t>B14</t>
        </is>
      </c>
      <c r="C35" s="8" t="inlineStr">
        <is>
          <t>12. Salaries, other compensation, benefits</t>
        </is>
      </c>
      <c r="D35" s="8" t="inlineStr">
        <is>
          <t>Part I line 12</t>
        </is>
      </c>
      <c r="E35" s="8" t="inlineStr">
        <is>
          <t>part_i_revenue_expenses.salaries_other_comp_benefits</t>
        </is>
      </c>
      <c r="F35" s="8" t="inlineStr">
        <is>
          <t>high</t>
        </is>
      </c>
      <c r="G35" s="9" t="n">
        <v>50983</v>
      </c>
    </row>
    <row r="36">
      <c r="A36" s="8" t="inlineStr">
        <is>
          <t>Form 990-EZ Parts I &amp; II</t>
        </is>
      </c>
      <c r="B36" s="8" t="inlineStr">
        <is>
          <t>C14</t>
        </is>
      </c>
      <c r="C36" s="8" t="inlineStr">
        <is>
          <t>12. Salaries, other compensation, benefits</t>
        </is>
      </c>
      <c r="D36" s="8" t="inlineStr">
        <is>
          <t>Part I line 12</t>
        </is>
      </c>
      <c r="E36" s="8" t="inlineStr">
        <is>
          <t>part_i_revenue_expenses.salaries_other_comp_benefits</t>
        </is>
      </c>
      <c r="F36" s="8" t="inlineStr">
        <is>
          <t>high</t>
        </is>
      </c>
      <c r="G36" s="9" t="n">
        <v>43491</v>
      </c>
    </row>
    <row r="37">
      <c r="A37" s="8" t="inlineStr">
        <is>
          <t>Form 990-EZ Parts I &amp; II</t>
        </is>
      </c>
      <c r="B37" s="8" t="inlineStr">
        <is>
          <t>D14</t>
        </is>
      </c>
      <c r="C37" s="8" t="inlineStr">
        <is>
          <t>12. Salaries, other compensation, benefits</t>
        </is>
      </c>
      <c r="D37" s="8" t="inlineStr">
        <is>
          <t>Part I line 12</t>
        </is>
      </c>
      <c r="E37" s="8" t="inlineStr">
        <is>
          <t>part_i_revenue_expenses.salaries_other_comp_benefits</t>
        </is>
      </c>
      <c r="F37" s="8" t="inlineStr">
        <is>
          <t>high</t>
        </is>
      </c>
      <c r="G37" s="9" t="n">
        <v>41944</v>
      </c>
    </row>
    <row r="38">
      <c r="A38" s="8" t="inlineStr">
        <is>
          <t>Form 990-EZ Parts I &amp; II</t>
        </is>
      </c>
      <c r="B38" s="8" t="inlineStr">
        <is>
          <t>E14</t>
        </is>
      </c>
      <c r="C38" s="8" t="inlineStr">
        <is>
          <t>12. Salaries, other compensation, benefits</t>
        </is>
      </c>
      <c r="D38" s="8" t="inlineStr">
        <is>
          <t>Part I line 12</t>
        </is>
      </c>
      <c r="E38" s="8" t="inlineStr">
        <is>
          <t>part_i_revenue_expenses.salaries_other_comp_benefits</t>
        </is>
      </c>
      <c r="F38" s="8" t="inlineStr">
        <is>
          <t>high</t>
        </is>
      </c>
      <c r="G38" s="9" t="n">
        <v>39779</v>
      </c>
    </row>
    <row r="39">
      <c r="A39" s="8" t="inlineStr">
        <is>
          <t>Form 990-EZ Parts I &amp; II</t>
        </is>
      </c>
      <c r="B39" s="8" t="inlineStr">
        <is>
          <t>F14</t>
        </is>
      </c>
      <c r="C39" s="8" t="inlineStr">
        <is>
          <t>12. Salaries, other compensation, benefits</t>
        </is>
      </c>
      <c r="D39" s="8" t="inlineStr">
        <is>
          <t>Part I line 12</t>
        </is>
      </c>
      <c r="E39" s="8" t="inlineStr">
        <is>
          <t>part_i_revenue_expenses.salaries_other_comp_benefits</t>
        </is>
      </c>
      <c r="F39" s="8" t="inlineStr">
        <is>
          <t>high</t>
        </is>
      </c>
      <c r="G39" s="9" t="n">
        <v>48229</v>
      </c>
    </row>
    <row r="40">
      <c r="A40" s="8" t="inlineStr">
        <is>
          <t>Form 990-EZ Parts I &amp; II</t>
        </is>
      </c>
      <c r="B40" s="8" t="inlineStr">
        <is>
          <t>B15</t>
        </is>
      </c>
      <c r="C40" s="8" t="inlineStr">
        <is>
          <t>13. Fees for services (independent contractors)</t>
        </is>
      </c>
      <c r="D40" s="8" t="inlineStr">
        <is>
          <t>Part I line 13</t>
        </is>
      </c>
      <c r="E40" s="8" t="inlineStr">
        <is>
          <t>part_i_revenue_expenses.fees_ind_contractors</t>
        </is>
      </c>
      <c r="F40" s="8" t="inlineStr">
        <is>
          <t>high</t>
        </is>
      </c>
      <c r="G40" s="9" t="n">
        <v>2235</v>
      </c>
    </row>
    <row r="41">
      <c r="A41" s="8" t="inlineStr">
        <is>
          <t>Form 990-EZ Parts I &amp; II</t>
        </is>
      </c>
      <c r="B41" s="8" t="inlineStr">
        <is>
          <t>C15</t>
        </is>
      </c>
      <c r="C41" s="8" t="inlineStr">
        <is>
          <t>13. Fees for services (independent contractors)</t>
        </is>
      </c>
      <c r="D41" s="8" t="inlineStr">
        <is>
          <t>Part I line 13</t>
        </is>
      </c>
      <c r="E41" s="8" t="inlineStr">
        <is>
          <t>part_i_revenue_expenses.fees_ind_contractors</t>
        </is>
      </c>
      <c r="F41" s="8" t="inlineStr">
        <is>
          <t>high</t>
        </is>
      </c>
      <c r="G41" s="9" t="n">
        <v>2298</v>
      </c>
    </row>
    <row r="42">
      <c r="A42" s="8" t="inlineStr">
        <is>
          <t>Form 990-EZ Parts I &amp; II</t>
        </is>
      </c>
      <c r="B42" s="8" t="inlineStr">
        <is>
          <t>D15</t>
        </is>
      </c>
      <c r="C42" s="8" t="inlineStr">
        <is>
          <t>13. Fees for services (independent contractors)</t>
        </is>
      </c>
      <c r="D42" s="8" t="inlineStr">
        <is>
          <t>Part I line 13</t>
        </is>
      </c>
      <c r="E42" s="8" t="inlineStr">
        <is>
          <t>part_i_revenue_expenses.fees_ind_contractors</t>
        </is>
      </c>
      <c r="F42" s="8" t="inlineStr">
        <is>
          <t>high</t>
        </is>
      </c>
      <c r="G42" s="9" t="n">
        <v>2400</v>
      </c>
    </row>
    <row r="43">
      <c r="A43" s="8" t="inlineStr">
        <is>
          <t>Form 990-EZ Parts I &amp; II</t>
        </is>
      </c>
      <c r="B43" s="8" t="inlineStr">
        <is>
          <t>E15</t>
        </is>
      </c>
      <c r="C43" s="8" t="inlineStr">
        <is>
          <t>13. Fees for services (independent contractors)</t>
        </is>
      </c>
      <c r="D43" s="8" t="inlineStr">
        <is>
          <t>Part I line 13</t>
        </is>
      </c>
      <c r="E43" s="8" t="inlineStr">
        <is>
          <t>part_i_revenue_expenses.fees_ind_contractors</t>
        </is>
      </c>
      <c r="F43" s="8" t="inlineStr">
        <is>
          <t>high</t>
        </is>
      </c>
      <c r="G43" s="9" t="n">
        <v>2508</v>
      </c>
    </row>
    <row r="44">
      <c r="A44" s="8" t="inlineStr">
        <is>
          <t>Form 990-EZ Parts I &amp; II</t>
        </is>
      </c>
      <c r="B44" s="8" t="inlineStr">
        <is>
          <t>F15</t>
        </is>
      </c>
      <c r="C44" s="8" t="inlineStr">
        <is>
          <t>13. Fees for services (independent contractors)</t>
        </is>
      </c>
      <c r="D44" s="8" t="inlineStr">
        <is>
          <t>Part I line 13</t>
        </is>
      </c>
      <c r="E44" s="8" t="inlineStr">
        <is>
          <t>part_i_revenue_expenses.fees_ind_contractors</t>
        </is>
      </c>
      <c r="F44" s="8" t="inlineStr">
        <is>
          <t>high</t>
        </is>
      </c>
      <c r="G44" s="9" t="n">
        <v>2540</v>
      </c>
    </row>
    <row r="45">
      <c r="A45" s="8" t="inlineStr">
        <is>
          <t>Form 990-EZ Parts I &amp; II</t>
        </is>
      </c>
      <c r="B45" s="8" t="inlineStr">
        <is>
          <t>B16</t>
        </is>
      </c>
      <c r="C45" s="8" t="inlineStr">
        <is>
          <t>16. Other expenses</t>
        </is>
      </c>
      <c r="D45" s="8" t="inlineStr">
        <is>
          <t>Part I line 16</t>
        </is>
      </c>
      <c r="E45" s="8" t="inlineStr">
        <is>
          <t>part_i_revenue_expenses.other_expenses_total</t>
        </is>
      </c>
      <c r="F45" s="8" t="inlineStr">
        <is>
          <t>high</t>
        </is>
      </c>
      <c r="G45" s="9" t="n">
        <v>38435</v>
      </c>
    </row>
    <row r="46">
      <c r="A46" s="8" t="inlineStr">
        <is>
          <t>Form 990-EZ Parts I &amp; II</t>
        </is>
      </c>
      <c r="B46" s="8" t="inlineStr">
        <is>
          <t>C16</t>
        </is>
      </c>
      <c r="C46" s="8" t="inlineStr">
        <is>
          <t>16. Other expenses</t>
        </is>
      </c>
      <c r="D46" s="8" t="inlineStr">
        <is>
          <t>Part I line 16</t>
        </is>
      </c>
      <c r="E46" s="8" t="inlineStr">
        <is>
          <t>part_i_revenue_expenses.other_expenses_total</t>
        </is>
      </c>
      <c r="F46" s="8" t="inlineStr">
        <is>
          <t>high</t>
        </is>
      </c>
      <c r="G46" s="9" t="n">
        <v>38549</v>
      </c>
    </row>
    <row r="47">
      <c r="A47" s="8" t="inlineStr">
        <is>
          <t>Form 990-EZ Parts I &amp; II</t>
        </is>
      </c>
      <c r="B47" s="8" t="inlineStr">
        <is>
          <t>D16</t>
        </is>
      </c>
      <c r="C47" s="8" t="inlineStr">
        <is>
          <t>16. Other expenses</t>
        </is>
      </c>
      <c r="D47" s="8" t="inlineStr">
        <is>
          <t>Part I line 16</t>
        </is>
      </c>
      <c r="E47" s="8" t="inlineStr">
        <is>
          <t>part_i_revenue_expenses.other_expenses_total</t>
        </is>
      </c>
      <c r="F47" s="8" t="inlineStr">
        <is>
          <t>high</t>
        </is>
      </c>
      <c r="G47" s="9" t="n">
        <v>56021</v>
      </c>
    </row>
    <row r="48">
      <c r="A48" s="8" t="inlineStr">
        <is>
          <t>Form 990-EZ Parts I &amp; II</t>
        </is>
      </c>
      <c r="B48" s="8" t="inlineStr">
        <is>
          <t>E16</t>
        </is>
      </c>
      <c r="C48" s="8" t="inlineStr">
        <is>
          <t>16. Other expenses</t>
        </is>
      </c>
      <c r="D48" s="8" t="inlineStr">
        <is>
          <t>Part I line 16</t>
        </is>
      </c>
      <c r="E48" s="8" t="inlineStr">
        <is>
          <t>part_i_revenue_expenses.other_expenses_total</t>
        </is>
      </c>
      <c r="F48" s="8" t="inlineStr">
        <is>
          <t>high</t>
        </is>
      </c>
      <c r="G48" s="9" t="n">
        <v>51404</v>
      </c>
    </row>
    <row r="49">
      <c r="A49" s="8" t="inlineStr">
        <is>
          <t>Form 990-EZ Parts I &amp; II</t>
        </is>
      </c>
      <c r="B49" s="8" t="inlineStr">
        <is>
          <t>F16</t>
        </is>
      </c>
      <c r="C49" s="8" t="inlineStr">
        <is>
          <t>16. Other expenses</t>
        </is>
      </c>
      <c r="D49" s="8" t="inlineStr">
        <is>
          <t>Part I line 16</t>
        </is>
      </c>
      <c r="E49" s="8" t="inlineStr">
        <is>
          <t>part_i_revenue_expenses.other_expenses_total</t>
        </is>
      </c>
      <c r="F49" s="8" t="inlineStr">
        <is>
          <t>high</t>
        </is>
      </c>
      <c r="G49" s="9" t="n">
        <v>41697</v>
      </c>
    </row>
    <row r="50">
      <c r="A50" s="8" t="inlineStr">
        <is>
          <t>Form 990-EZ Parts I &amp; II</t>
        </is>
      </c>
      <c r="B50" s="8" t="inlineStr">
        <is>
          <t>B20</t>
        </is>
      </c>
      <c r="C50" s="8" t="inlineStr">
        <is>
          <t>19. Net assets or fund balances, beginning of year</t>
        </is>
      </c>
      <c r="D50" s="8" t="inlineStr">
        <is>
          <t>Part I line 19</t>
        </is>
      </c>
      <c r="E50" s="8" t="inlineStr">
        <is>
          <t>part_i_revenue_expenses.net_assets_boy</t>
        </is>
      </c>
      <c r="F50" s="8" t="inlineStr">
        <is>
          <t>high</t>
        </is>
      </c>
      <c r="G50" s="9" t="n">
        <v>60762</v>
      </c>
    </row>
    <row r="51">
      <c r="A51" s="8" t="inlineStr">
        <is>
          <t>Form 990-EZ Parts I &amp; II</t>
        </is>
      </c>
      <c r="B51" s="8" t="inlineStr">
        <is>
          <t>C20</t>
        </is>
      </c>
      <c r="C51" s="8" t="inlineStr">
        <is>
          <t>19. Net assets or fund balances, beginning of year</t>
        </is>
      </c>
      <c r="D51" s="8" t="inlineStr">
        <is>
          <t>Part I line 19</t>
        </is>
      </c>
      <c r="E51" s="8" t="inlineStr">
        <is>
          <t>part_i_revenue_expenses.net_assets_boy</t>
        </is>
      </c>
      <c r="F51" s="8" t="inlineStr">
        <is>
          <t>high</t>
        </is>
      </c>
      <c r="G51" s="9" t="n">
        <v>79748</v>
      </c>
    </row>
    <row r="52">
      <c r="A52" s="8" t="inlineStr">
        <is>
          <t>Form 990-EZ Parts I &amp; II</t>
        </is>
      </c>
      <c r="B52" s="8" t="inlineStr">
        <is>
          <t>D20</t>
        </is>
      </c>
      <c r="C52" s="8" t="inlineStr">
        <is>
          <t>19. Net assets or fund balances, beginning of year</t>
        </is>
      </c>
      <c r="D52" s="8" t="inlineStr">
        <is>
          <t>Part I line 19</t>
        </is>
      </c>
      <c r="E52" s="8" t="inlineStr">
        <is>
          <t>part_i_revenue_expenses.net_assets_boy</t>
        </is>
      </c>
      <c r="F52" s="8" t="inlineStr">
        <is>
          <t>high</t>
        </is>
      </c>
      <c r="G52" s="9" t="n">
        <v>90785</v>
      </c>
    </row>
    <row r="53">
      <c r="A53" s="8" t="inlineStr">
        <is>
          <t>Form 990-EZ Parts I &amp; II</t>
        </is>
      </c>
      <c r="B53" s="8" t="inlineStr">
        <is>
          <t>E20</t>
        </is>
      </c>
      <c r="C53" s="8" t="inlineStr">
        <is>
          <t>19. Net assets or fund balances, beginning of year</t>
        </is>
      </c>
      <c r="D53" s="8" t="inlineStr">
        <is>
          <t>Part I line 19</t>
        </is>
      </c>
      <c r="E53" s="8" t="inlineStr">
        <is>
          <t>part_i_revenue_expenses.net_assets_boy</t>
        </is>
      </c>
      <c r="F53" s="8" t="inlineStr">
        <is>
          <t>high</t>
        </is>
      </c>
      <c r="G53" s="9" t="n">
        <v>75771</v>
      </c>
    </row>
    <row r="54">
      <c r="A54" s="8" t="inlineStr">
        <is>
          <t>Form 990-EZ Parts I &amp; II</t>
        </is>
      </c>
      <c r="B54" s="8" t="inlineStr">
        <is>
          <t>F20</t>
        </is>
      </c>
      <c r="C54" s="8" t="inlineStr">
        <is>
          <t>19. Net assets or fund balances, beginning of year</t>
        </is>
      </c>
      <c r="D54" s="8" t="inlineStr">
        <is>
          <t>Part I line 19</t>
        </is>
      </c>
      <c r="E54" s="8" t="inlineStr">
        <is>
          <t>part_i_revenue_expenses.net_assets_boy</t>
        </is>
      </c>
      <c r="F54" s="8" t="inlineStr">
        <is>
          <t>high</t>
        </is>
      </c>
      <c r="G54" s="9" t="n">
        <v>71237</v>
      </c>
    </row>
    <row r="55">
      <c r="A55" s="8" t="inlineStr">
        <is>
          <t>Form 990-EZ Parts I &amp; II</t>
        </is>
      </c>
      <c r="B55" s="8" t="inlineStr">
        <is>
          <t>B21</t>
        </is>
      </c>
      <c r="C55" s="8" t="inlineStr">
        <is>
          <t>18. Excess or (deficit) for the year</t>
        </is>
      </c>
      <c r="D55" s="8" t="inlineStr">
        <is>
          <t>Part I line 18</t>
        </is>
      </c>
      <c r="E55" s="8" t="inlineStr">
        <is>
          <t>part_i_revenue_expenses.excess_or_deficit</t>
        </is>
      </c>
      <c r="F55" s="8" t="inlineStr">
        <is>
          <t>high</t>
        </is>
      </c>
      <c r="G55" s="9" t="n">
        <v>18986</v>
      </c>
    </row>
    <row r="56">
      <c r="A56" s="8" t="inlineStr">
        <is>
          <t>Form 990-EZ Parts I &amp; II</t>
        </is>
      </c>
      <c r="B56" s="8" t="inlineStr">
        <is>
          <t>C21</t>
        </is>
      </c>
      <c r="C56" s="8" t="inlineStr">
        <is>
          <t>18. Excess or (deficit) for the year</t>
        </is>
      </c>
      <c r="D56" s="8" t="inlineStr">
        <is>
          <t>Part I line 18</t>
        </is>
      </c>
      <c r="E56" s="8" t="inlineStr">
        <is>
          <t>part_i_revenue_expenses.excess_or_deficit</t>
        </is>
      </c>
      <c r="F56" s="8" t="inlineStr">
        <is>
          <t>high</t>
        </is>
      </c>
      <c r="G56" s="9" t="n">
        <v>11037</v>
      </c>
    </row>
    <row r="57">
      <c r="A57" s="8" t="inlineStr">
        <is>
          <t>Form 990-EZ Parts I &amp; II</t>
        </is>
      </c>
      <c r="B57" s="8" t="inlineStr">
        <is>
          <t>D21</t>
        </is>
      </c>
      <c r="C57" s="8" t="inlineStr">
        <is>
          <t>18. Excess or (deficit) for the year</t>
        </is>
      </c>
      <c r="D57" s="8" t="inlineStr">
        <is>
          <t>Part I line 18</t>
        </is>
      </c>
      <c r="E57" s="8" t="inlineStr">
        <is>
          <t>part_i_revenue_expenses.excess_or_deficit</t>
        </is>
      </c>
      <c r="F57" s="8" t="inlineStr">
        <is>
          <t>high</t>
        </is>
      </c>
      <c r="G57" s="9" t="n">
        <v>-15014</v>
      </c>
    </row>
    <row r="58">
      <c r="A58" s="8" t="inlineStr">
        <is>
          <t>Form 990-EZ Parts I &amp; II</t>
        </is>
      </c>
      <c r="B58" s="8" t="inlineStr">
        <is>
          <t>E21</t>
        </is>
      </c>
      <c r="C58" s="8" t="inlineStr">
        <is>
          <t>18. Excess or (deficit) for the year</t>
        </is>
      </c>
      <c r="D58" s="8" t="inlineStr">
        <is>
          <t>Part I line 18</t>
        </is>
      </c>
      <c r="E58" s="8" t="inlineStr">
        <is>
          <t>part_i_revenue_expenses.excess_or_deficit</t>
        </is>
      </c>
      <c r="F58" s="8" t="inlineStr">
        <is>
          <t>high</t>
        </is>
      </c>
      <c r="G58" s="9" t="n">
        <v>-4534</v>
      </c>
    </row>
    <row r="59">
      <c r="A59" s="8" t="inlineStr">
        <is>
          <t>Form 990-EZ Parts I &amp; II</t>
        </is>
      </c>
      <c r="B59" s="8" t="inlineStr">
        <is>
          <t>F21</t>
        </is>
      </c>
      <c r="C59" s="8" t="inlineStr">
        <is>
          <t>18. Excess or (deficit) for the year</t>
        </is>
      </c>
      <c r="D59" s="8" t="inlineStr">
        <is>
          <t>Part I line 18</t>
        </is>
      </c>
      <c r="E59" s="8" t="inlineStr">
        <is>
          <t>part_i_revenue_expenses.excess_or_deficit</t>
        </is>
      </c>
      <c r="F59" s="8" t="inlineStr">
        <is>
          <t>high</t>
        </is>
      </c>
      <c r="G59" s="9" t="n">
        <v>-10997</v>
      </c>
    </row>
    <row r="60">
      <c r="A60" s="8" t="inlineStr">
        <is>
          <t>Form 990-EZ Parts I &amp; II</t>
        </is>
      </c>
      <c r="B60" s="8" t="inlineStr">
        <is>
          <t>B25</t>
        </is>
      </c>
      <c r="C60" s="8" t="inlineStr">
        <is>
          <t>22. Cash, savings, and investments</t>
        </is>
      </c>
      <c r="D60" s="8" t="inlineStr">
        <is>
          <t>Part II line 22 col B</t>
        </is>
      </c>
      <c r="E60" s="8" t="inlineStr">
        <is>
          <t>part_ii_balance_sheet.cash_savings_investments_eoy</t>
        </is>
      </c>
      <c r="F60" s="8" t="inlineStr">
        <is>
          <t>high</t>
        </is>
      </c>
      <c r="G60" s="9" t="n">
        <v>32163</v>
      </c>
    </row>
    <row r="61">
      <c r="A61" s="8" t="inlineStr">
        <is>
          <t>Form 990-EZ Parts I &amp; II</t>
        </is>
      </c>
      <c r="B61" s="8" t="inlineStr">
        <is>
          <t>C25</t>
        </is>
      </c>
      <c r="C61" s="8" t="inlineStr">
        <is>
          <t>22. Cash, savings, and investments</t>
        </is>
      </c>
      <c r="D61" s="8" t="inlineStr">
        <is>
          <t>Part II line 22 col B</t>
        </is>
      </c>
      <c r="E61" s="8" t="inlineStr">
        <is>
          <t>part_ii_balance_sheet.cash_savings_investments_eoy</t>
        </is>
      </c>
      <c r="F61" s="8" t="inlineStr">
        <is>
          <t>high</t>
        </is>
      </c>
      <c r="G61" s="9" t="n">
        <v>39645</v>
      </c>
    </row>
    <row r="62">
      <c r="A62" s="8" t="inlineStr">
        <is>
          <t>Form 990-EZ Parts I &amp; II</t>
        </is>
      </c>
      <c r="B62" s="8" t="inlineStr">
        <is>
          <t>D25</t>
        </is>
      </c>
      <c r="C62" s="8" t="inlineStr">
        <is>
          <t>22. Cash, savings, and investments</t>
        </is>
      </c>
      <c r="D62" s="8" t="inlineStr">
        <is>
          <t>Part II line 22 col B</t>
        </is>
      </c>
      <c r="E62" s="8" t="inlineStr">
        <is>
          <t>part_ii_balance_sheet.cash_savings_investments_eoy</t>
        </is>
      </c>
      <c r="F62" s="8" t="inlineStr">
        <is>
          <t>high</t>
        </is>
      </c>
      <c r="G62" s="9" t="n">
        <v>23798</v>
      </c>
    </row>
    <row r="63">
      <c r="A63" s="8" t="inlineStr">
        <is>
          <t>Form 990-EZ Parts I &amp; II</t>
        </is>
      </c>
      <c r="B63" s="8" t="inlineStr">
        <is>
          <t>E25</t>
        </is>
      </c>
      <c r="C63" s="8" t="inlineStr">
        <is>
          <t>22. Cash, savings, and investments</t>
        </is>
      </c>
      <c r="D63" s="8" t="inlineStr">
        <is>
          <t>Part II line 22 col B</t>
        </is>
      </c>
      <c r="E63" s="8" t="inlineStr">
        <is>
          <t>part_ii_balance_sheet.cash_savings_investments_eoy</t>
        </is>
      </c>
      <c r="F63" s="8" t="inlineStr">
        <is>
          <t>high</t>
        </is>
      </c>
      <c r="G63" s="9" t="n">
        <v>24490</v>
      </c>
    </row>
    <row r="64">
      <c r="A64" s="8" t="inlineStr">
        <is>
          <t>Form 990-EZ Parts I &amp; II</t>
        </is>
      </c>
      <c r="B64" s="8" t="inlineStr">
        <is>
          <t>F25</t>
        </is>
      </c>
      <c r="C64" s="8" t="inlineStr">
        <is>
          <t>22. Cash, savings, and investments</t>
        </is>
      </c>
      <c r="D64" s="8" t="inlineStr">
        <is>
          <t>Part II line 22 col B</t>
        </is>
      </c>
      <c r="E64" s="8" t="inlineStr">
        <is>
          <t>part_ii_balance_sheet.cash_savings_investments_eoy</t>
        </is>
      </c>
      <c r="F64" s="8" t="inlineStr">
        <is>
          <t>high</t>
        </is>
      </c>
      <c r="G64" s="9" t="n">
        <v>17791</v>
      </c>
    </row>
    <row r="65">
      <c r="A65" s="8" t="inlineStr">
        <is>
          <t>Form 990-EZ Parts I &amp; II</t>
        </is>
      </c>
      <c r="B65" s="8" t="inlineStr">
        <is>
          <t>B26</t>
        </is>
      </c>
      <c r="C65" s="8" t="inlineStr">
        <is>
          <t>24. Other assets</t>
        </is>
      </c>
      <c r="D65" s="8" t="inlineStr">
        <is>
          <t>Part II line 24 col B</t>
        </is>
      </c>
      <c r="E65" s="8" t="inlineStr">
        <is>
          <t>part_ii_balance_sheet.other_assets_eoy</t>
        </is>
      </c>
      <c r="F65" s="8" t="inlineStr">
        <is>
          <t>high</t>
        </is>
      </c>
      <c r="G65" s="9" t="n">
        <v>47585</v>
      </c>
    </row>
    <row r="66">
      <c r="A66" s="8" t="inlineStr">
        <is>
          <t>Form 990-EZ Parts I &amp; II</t>
        </is>
      </c>
      <c r="B66" s="8" t="inlineStr">
        <is>
          <t>C26</t>
        </is>
      </c>
      <c r="C66" s="8" t="inlineStr">
        <is>
          <t>24. Other assets</t>
        </is>
      </c>
      <c r="D66" s="8" t="inlineStr">
        <is>
          <t>Part II line 24 col B</t>
        </is>
      </c>
      <c r="E66" s="8" t="inlineStr">
        <is>
          <t>part_ii_balance_sheet.other_assets_eoy</t>
        </is>
      </c>
      <c r="F66" s="8" t="inlineStr">
        <is>
          <t>high</t>
        </is>
      </c>
      <c r="G66" s="9" t="n">
        <v>51140</v>
      </c>
    </row>
    <row r="67">
      <c r="A67" s="8" t="inlineStr">
        <is>
          <t>Form 990-EZ Parts I &amp; II</t>
        </is>
      </c>
      <c r="B67" s="8" t="inlineStr">
        <is>
          <t>D26</t>
        </is>
      </c>
      <c r="C67" s="8" t="inlineStr">
        <is>
          <t>24. Other assets</t>
        </is>
      </c>
      <c r="D67" s="8" t="inlineStr">
        <is>
          <t>Part II line 24 col B</t>
        </is>
      </c>
      <c r="E67" s="8" t="inlineStr">
        <is>
          <t>part_ii_balance_sheet.other_assets_eoy</t>
        </is>
      </c>
      <c r="F67" s="8" t="inlineStr">
        <is>
          <t>high</t>
        </is>
      </c>
      <c r="G67" s="9" t="n">
        <v>51973</v>
      </c>
    </row>
    <row r="68">
      <c r="A68" s="8" t="inlineStr">
        <is>
          <t>Form 990-EZ Parts I &amp; II</t>
        </is>
      </c>
      <c r="B68" s="8" t="inlineStr">
        <is>
          <t>E26</t>
        </is>
      </c>
      <c r="C68" s="8" t="inlineStr">
        <is>
          <t>24. Other assets</t>
        </is>
      </c>
      <c r="D68" s="8" t="inlineStr">
        <is>
          <t>Part II line 24 col B</t>
        </is>
      </c>
      <c r="E68" s="8" t="inlineStr">
        <is>
          <t>part_ii_balance_sheet.other_assets_eoy</t>
        </is>
      </c>
      <c r="F68" s="8" t="inlineStr">
        <is>
          <t>high</t>
        </is>
      </c>
      <c r="G68" s="9" t="n">
        <v>46747</v>
      </c>
    </row>
    <row r="69">
      <c r="A69" s="8" t="inlineStr">
        <is>
          <t>Form 990-EZ Parts I &amp; II</t>
        </is>
      </c>
      <c r="B69" s="8" t="inlineStr">
        <is>
          <t>F26</t>
        </is>
      </c>
      <c r="C69" s="8" t="inlineStr">
        <is>
          <t>24. Other assets</t>
        </is>
      </c>
      <c r="D69" s="8" t="inlineStr">
        <is>
          <t>Part II line 24 col B</t>
        </is>
      </c>
      <c r="E69" s="8" t="inlineStr">
        <is>
          <t>part_ii_balance_sheet.other_assets_eoy</t>
        </is>
      </c>
      <c r="F69" s="8" t="inlineStr">
        <is>
          <t>high</t>
        </is>
      </c>
      <c r="G69" s="9" t="n">
        <v>42449</v>
      </c>
    </row>
    <row r="70">
      <c r="A70" s="8" t="inlineStr">
        <is>
          <t>Form 990-EZ Parts I &amp; II</t>
        </is>
      </c>
      <c r="B70" s="8" t="inlineStr">
        <is>
          <t>F28</t>
        </is>
      </c>
      <c r="C70" s="8" t="inlineStr">
        <is>
          <t>26. Total liabilities</t>
        </is>
      </c>
      <c r="D70" s="8" t="inlineStr">
        <is>
          <t>Part II line 26 col B</t>
        </is>
      </c>
      <c r="E70" s="8" t="inlineStr">
        <is>
          <t>part_ii_balance_sheet.total_liabilities_eoy</t>
        </is>
      </c>
      <c r="F70" s="8" t="inlineStr">
        <is>
          <t>high</t>
        </is>
      </c>
      <c r="G70" s="9" t="n">
        <v>0</v>
      </c>
    </row>
    <row r="71">
      <c r="A71" s="8" t="inlineStr">
        <is>
          <t>Form 990-EZ Parts I &amp; II</t>
        </is>
      </c>
      <c r="B71" s="8" t="inlineStr">
        <is>
          <t>B29</t>
        </is>
      </c>
      <c r="C71" s="8" t="inlineStr">
        <is>
          <t>27. Net assets or fund balances</t>
        </is>
      </c>
      <c r="D71" s="8" t="inlineStr">
        <is>
          <t>Part II line 27 col B</t>
        </is>
      </c>
      <c r="E71" s="8" t="inlineStr">
        <is>
          <t>part_ii_balance_sheet.net_assets_eoy</t>
        </is>
      </c>
      <c r="F71" s="8" t="inlineStr">
        <is>
          <t>high</t>
        </is>
      </c>
      <c r="G71" s="9" t="n">
        <v>79748</v>
      </c>
    </row>
    <row r="72">
      <c r="A72" s="8" t="inlineStr">
        <is>
          <t>Form 990-EZ Parts I &amp; II</t>
        </is>
      </c>
      <c r="B72" s="8" t="inlineStr">
        <is>
          <t>C29</t>
        </is>
      </c>
      <c r="C72" s="8" t="inlineStr">
        <is>
          <t>27. Net assets or fund balances</t>
        </is>
      </c>
      <c r="D72" s="8" t="inlineStr">
        <is>
          <t>Part II line 27 col B</t>
        </is>
      </c>
      <c r="E72" s="8" t="inlineStr">
        <is>
          <t>part_ii_balance_sheet.net_assets_eoy</t>
        </is>
      </c>
      <c r="F72" s="8" t="inlineStr">
        <is>
          <t>high</t>
        </is>
      </c>
      <c r="G72" s="9" t="n">
        <v>90785</v>
      </c>
    </row>
    <row r="73">
      <c r="A73" s="8" t="inlineStr">
        <is>
          <t>Form 990-EZ Parts I &amp; II</t>
        </is>
      </c>
      <c r="B73" s="8" t="inlineStr">
        <is>
          <t>D29</t>
        </is>
      </c>
      <c r="C73" s="8" t="inlineStr">
        <is>
          <t>27. Net assets or fund balances</t>
        </is>
      </c>
      <c r="D73" s="8" t="inlineStr">
        <is>
          <t>Part II line 27 col B</t>
        </is>
      </c>
      <c r="E73" s="8" t="inlineStr">
        <is>
          <t>part_ii_balance_sheet.net_assets_eoy</t>
        </is>
      </c>
      <c r="F73" s="8" t="inlineStr">
        <is>
          <t>high</t>
        </is>
      </c>
      <c r="G73" s="9" t="n">
        <v>75771</v>
      </c>
    </row>
    <row r="74">
      <c r="A74" s="8" t="inlineStr">
        <is>
          <t>Form 990-EZ Parts I &amp; II</t>
        </is>
      </c>
      <c r="B74" s="8" t="inlineStr">
        <is>
          <t>E29</t>
        </is>
      </c>
      <c r="C74" s="8" t="inlineStr">
        <is>
          <t>27. Net assets or fund balances</t>
        </is>
      </c>
      <c r="D74" s="8" t="inlineStr">
        <is>
          <t>Part II line 27 col B</t>
        </is>
      </c>
      <c r="E74" s="8" t="inlineStr">
        <is>
          <t>part_ii_balance_sheet.net_assets_eoy</t>
        </is>
      </c>
      <c r="F74" s="8" t="inlineStr">
        <is>
          <t>high</t>
        </is>
      </c>
      <c r="G74" s="9" t="n">
        <v>71237</v>
      </c>
    </row>
    <row r="75">
      <c r="A75" s="8" t="inlineStr">
        <is>
          <t>Form 990-EZ Parts I &amp; II</t>
        </is>
      </c>
      <c r="B75" s="8" t="inlineStr">
        <is>
          <t>F29</t>
        </is>
      </c>
      <c r="C75" s="8" t="inlineStr">
        <is>
          <t>27. Net assets or fund balances</t>
        </is>
      </c>
      <c r="D75" s="8" t="inlineStr">
        <is>
          <t>Part II line 27 col B</t>
        </is>
      </c>
      <c r="E75" s="8" t="inlineStr">
        <is>
          <t>part_ii_balance_sheet.net_assets_eoy</t>
        </is>
      </c>
      <c r="F75" s="8" t="inlineStr">
        <is>
          <t>high</t>
        </is>
      </c>
      <c r="G75" s="9" t="n">
        <v>60240</v>
      </c>
    </row>
    <row r="77">
      <c r="A77" s="43" t="inlineStr">
        <is>
          <t>C. Tie-out checks (filed vs computed; any nonzero variance is flagged red)</t>
        </is>
      </c>
      <c r="B77" s="7" t="n"/>
      <c r="C77" s="7" t="n"/>
      <c r="D77" s="7" t="n"/>
      <c r="E77" s="7" t="n"/>
      <c r="F77" s="7" t="n"/>
      <c r="G77" s="7" t="n"/>
      <c r="H77" s="7" t="n"/>
      <c r="I77" s="7" t="n"/>
      <c r="J77" s="7" t="n"/>
      <c r="K77" s="7" t="n"/>
    </row>
    <row r="78">
      <c r="A78" s="5" t="inlineStr">
        <is>
          <t>Tab</t>
        </is>
      </c>
      <c r="B78" s="5" t="inlineStr">
        <is>
          <t>Check</t>
        </is>
      </c>
      <c r="C78" s="5" t="inlineStr">
        <is>
          <t>Fiscal year</t>
        </is>
      </c>
      <c r="D78" s="5" t="inlineStr">
        <is>
          <t>Filed</t>
        </is>
      </c>
      <c r="E78" s="5" t="inlineStr">
        <is>
          <t>Computed</t>
        </is>
      </c>
      <c r="F78" s="5" t="inlineStr">
        <is>
          <t>Variance (computed - filed)</t>
        </is>
      </c>
    </row>
    <row r="79">
      <c r="A79" s="46" t="inlineStr">
        <is>
          <t>Form 990-EZ Parts I &amp; II</t>
        </is>
      </c>
      <c r="B79" s="46" t="inlineStr">
        <is>
          <t>17. Total expenses</t>
        </is>
      </c>
      <c r="C79" s="46" t="inlineStr">
        <is>
          <t>FY2021</t>
        </is>
      </c>
      <c r="D79" s="9" t="n">
        <v>91653</v>
      </c>
      <c r="E79" s="9">
        <f>'Form 990-EZ Parts I &amp; II'!B17</f>
        <v/>
      </c>
      <c r="F79" s="9">
        <f>E79-D79</f>
        <v/>
      </c>
    </row>
    <row r="80">
      <c r="A80" s="46" t="inlineStr">
        <is>
          <t>Form 990-EZ Parts I &amp; II</t>
        </is>
      </c>
      <c r="B80" s="46" t="inlineStr">
        <is>
          <t>17. Total expenses</t>
        </is>
      </c>
      <c r="C80" s="46" t="inlineStr">
        <is>
          <t>FY2022</t>
        </is>
      </c>
      <c r="D80" s="9" t="n">
        <v>84338</v>
      </c>
      <c r="E80" s="9">
        <f>'Form 990-EZ Parts I &amp; II'!C17</f>
        <v/>
      </c>
      <c r="F80" s="9">
        <f>E80-D80</f>
        <v/>
      </c>
    </row>
    <row r="81">
      <c r="A81" s="46" t="inlineStr">
        <is>
          <t>Form 990-EZ Parts I &amp; II</t>
        </is>
      </c>
      <c r="B81" s="46" t="inlineStr">
        <is>
          <t>17. Total expenses</t>
        </is>
      </c>
      <c r="C81" s="46" t="inlineStr">
        <is>
          <t>FY2023</t>
        </is>
      </c>
      <c r="D81" s="9" t="n">
        <v>100365</v>
      </c>
      <c r="E81" s="9">
        <f>'Form 990-EZ Parts I &amp; II'!D17</f>
        <v/>
      </c>
      <c r="F81" s="9">
        <f>E81-D81</f>
        <v/>
      </c>
    </row>
    <row r="82">
      <c r="A82" s="46" t="inlineStr">
        <is>
          <t>Form 990-EZ Parts I &amp; II</t>
        </is>
      </c>
      <c r="B82" s="46" t="inlineStr">
        <is>
          <t>17. Total expenses</t>
        </is>
      </c>
      <c r="C82" s="46" t="inlineStr">
        <is>
          <t>FY2024</t>
        </is>
      </c>
      <c r="D82" s="9" t="n">
        <v>93691</v>
      </c>
      <c r="E82" s="9">
        <f>'Form 990-EZ Parts I &amp; II'!E17</f>
        <v/>
      </c>
      <c r="F82" s="9">
        <f>E82-D82</f>
        <v/>
      </c>
    </row>
    <row r="83">
      <c r="A83" s="46" t="inlineStr">
        <is>
          <t>Form 990-EZ Parts I &amp; II</t>
        </is>
      </c>
      <c r="B83" s="46" t="inlineStr">
        <is>
          <t>17. Total expenses</t>
        </is>
      </c>
      <c r="C83" s="46" t="inlineStr">
        <is>
          <t>FY2025</t>
        </is>
      </c>
      <c r="D83" s="9" t="n">
        <v>92466</v>
      </c>
      <c r="E83" s="9">
        <f>'Form 990-EZ Parts I &amp; II'!F17</f>
        <v/>
      </c>
      <c r="F83" s="9">
        <f>E83-D83</f>
        <v/>
      </c>
    </row>
    <row r="84">
      <c r="A84" s="46" t="inlineStr">
        <is>
          <t>Form 990-EZ Parts I &amp; II</t>
        </is>
      </c>
      <c r="B84" s="46" t="inlineStr">
        <is>
          <t>21. Net assets or fund balances, end of year</t>
        </is>
      </c>
      <c r="C84" s="46" t="inlineStr">
        <is>
          <t>FY2021</t>
        </is>
      </c>
      <c r="D84" s="9" t="n">
        <v>79748</v>
      </c>
      <c r="E84" s="9">
        <f>'Form 990-EZ Parts I &amp; II'!B22</f>
        <v/>
      </c>
      <c r="F84" s="9">
        <f>E84-D84</f>
        <v/>
      </c>
    </row>
    <row r="85">
      <c r="A85" s="46" t="inlineStr">
        <is>
          <t>Form 990-EZ Parts I &amp; II</t>
        </is>
      </c>
      <c r="B85" s="46" t="inlineStr">
        <is>
          <t>21. Net assets or fund balances, end of year</t>
        </is>
      </c>
      <c r="C85" s="46" t="inlineStr">
        <is>
          <t>FY2022</t>
        </is>
      </c>
      <c r="D85" s="9" t="n">
        <v>90785</v>
      </c>
      <c r="E85" s="9">
        <f>'Form 990-EZ Parts I &amp; II'!C22</f>
        <v/>
      </c>
      <c r="F85" s="9">
        <f>E85-D85</f>
        <v/>
      </c>
    </row>
    <row r="86">
      <c r="A86" s="46" t="inlineStr">
        <is>
          <t>Form 990-EZ Parts I &amp; II</t>
        </is>
      </c>
      <c r="B86" s="46" t="inlineStr">
        <is>
          <t>21. Net assets or fund balances, end of year</t>
        </is>
      </c>
      <c r="C86" s="46" t="inlineStr">
        <is>
          <t>FY2023</t>
        </is>
      </c>
      <c r="D86" s="9" t="n">
        <v>75771</v>
      </c>
      <c r="E86" s="9">
        <f>'Form 990-EZ Parts I &amp; II'!D22</f>
        <v/>
      </c>
      <c r="F86" s="9">
        <f>E86-D86</f>
        <v/>
      </c>
    </row>
    <row r="87">
      <c r="A87" s="46" t="inlineStr">
        <is>
          <t>Form 990-EZ Parts I &amp; II</t>
        </is>
      </c>
      <c r="B87" s="46" t="inlineStr">
        <is>
          <t>21. Net assets or fund balances, end of year</t>
        </is>
      </c>
      <c r="C87" s="46" t="inlineStr">
        <is>
          <t>FY2024</t>
        </is>
      </c>
      <c r="D87" s="9" t="n">
        <v>71237</v>
      </c>
      <c r="E87" s="9">
        <f>'Form 990-EZ Parts I &amp; II'!E22</f>
        <v/>
      </c>
      <c r="F87" s="9">
        <f>E87-D87</f>
        <v/>
      </c>
    </row>
    <row r="88">
      <c r="A88" s="46" t="inlineStr">
        <is>
          <t>Form 990-EZ Parts I &amp; II</t>
        </is>
      </c>
      <c r="B88" s="46" t="inlineStr">
        <is>
          <t>21. Net assets or fund balances, end of year</t>
        </is>
      </c>
      <c r="C88" s="46" t="inlineStr">
        <is>
          <t>FY2025</t>
        </is>
      </c>
      <c r="D88" s="9" t="n">
        <v>60240</v>
      </c>
      <c r="E88" s="9">
        <f>'Form 990-EZ Parts I &amp; II'!F22</f>
        <v/>
      </c>
      <c r="F88" s="9">
        <f>E88-D88</f>
        <v/>
      </c>
    </row>
    <row r="89">
      <c r="A89" s="46" t="inlineStr">
        <is>
          <t>Form 990-EZ Parts I &amp; II</t>
        </is>
      </c>
      <c r="B89" s="46" t="inlineStr">
        <is>
          <t>25. Total assets</t>
        </is>
      </c>
      <c r="C89" s="46" t="inlineStr">
        <is>
          <t>FY2021</t>
        </is>
      </c>
      <c r="D89" s="9" t="n">
        <v>79748</v>
      </c>
      <c r="E89" s="9">
        <f>'Form 990-EZ Parts I &amp; II'!B27</f>
        <v/>
      </c>
      <c r="F89" s="9">
        <f>E89-D89</f>
        <v/>
      </c>
    </row>
    <row r="90">
      <c r="A90" s="46" t="inlineStr">
        <is>
          <t>Form 990-EZ Parts I &amp; II</t>
        </is>
      </c>
      <c r="B90" s="46" t="inlineStr">
        <is>
          <t>25. Total assets</t>
        </is>
      </c>
      <c r="C90" s="46" t="inlineStr">
        <is>
          <t>FY2022</t>
        </is>
      </c>
      <c r="D90" s="9" t="n">
        <v>90785</v>
      </c>
      <c r="E90" s="9">
        <f>'Form 990-EZ Parts I &amp; II'!C27</f>
        <v/>
      </c>
      <c r="F90" s="9">
        <f>E90-D90</f>
        <v/>
      </c>
    </row>
    <row r="91">
      <c r="A91" s="46" t="inlineStr">
        <is>
          <t>Form 990-EZ Parts I &amp; II</t>
        </is>
      </c>
      <c r="B91" s="46" t="inlineStr">
        <is>
          <t>25. Total assets</t>
        </is>
      </c>
      <c r="C91" s="46" t="inlineStr">
        <is>
          <t>FY2023</t>
        </is>
      </c>
      <c r="D91" s="9" t="n">
        <v>75771</v>
      </c>
      <c r="E91" s="9">
        <f>'Form 990-EZ Parts I &amp; II'!D27</f>
        <v/>
      </c>
      <c r="F91" s="9">
        <f>E91-D91</f>
        <v/>
      </c>
    </row>
    <row r="92">
      <c r="A92" s="46" t="inlineStr">
        <is>
          <t>Form 990-EZ Parts I &amp; II</t>
        </is>
      </c>
      <c r="B92" s="46" t="inlineStr">
        <is>
          <t>25. Total assets</t>
        </is>
      </c>
      <c r="C92" s="46" t="inlineStr">
        <is>
          <t>FY2024</t>
        </is>
      </c>
      <c r="D92" s="9" t="n">
        <v>71237</v>
      </c>
      <c r="E92" s="9">
        <f>'Form 990-EZ Parts I &amp; II'!E27</f>
        <v/>
      </c>
      <c r="F92" s="9">
        <f>E92-D92</f>
        <v/>
      </c>
    </row>
    <row r="93">
      <c r="A93" s="46" t="inlineStr">
        <is>
          <t>Form 990-EZ Parts I &amp; II</t>
        </is>
      </c>
      <c r="B93" s="46" t="inlineStr">
        <is>
          <t>25. Total assets</t>
        </is>
      </c>
      <c r="C93" s="46" t="inlineStr">
        <is>
          <t>FY2025</t>
        </is>
      </c>
      <c r="D93" s="9" t="n">
        <v>60240</v>
      </c>
      <c r="E93" s="9">
        <f>'Form 990-EZ Parts I &amp; II'!F27</f>
        <v/>
      </c>
      <c r="F93" s="9">
        <f>E93-D93</f>
        <v/>
      </c>
    </row>
    <row r="94">
      <c r="A94" s="46" t="inlineStr">
        <is>
          <t>Form 990-EZ Parts I &amp; II</t>
        </is>
      </c>
      <c r="B94" s="46" t="inlineStr">
        <is>
          <t>Balance sheet identity: line 25 = line 26 + line 27 (EOY)</t>
        </is>
      </c>
      <c r="C94" s="46" t="inlineStr">
        <is>
          <t>FY2021</t>
        </is>
      </c>
      <c r="D94" s="9">
        <f>'Form 990-EZ Parts I &amp; II'!B27</f>
        <v/>
      </c>
      <c r="E94" s="9">
        <f>SUM('Form 990-EZ Parts I &amp; II'!B28,'Form 990-EZ Parts I &amp; II'!B29)</f>
        <v/>
      </c>
      <c r="F94" s="9">
        <f>E94-D94</f>
        <v/>
      </c>
    </row>
    <row r="95">
      <c r="A95" s="46" t="inlineStr">
        <is>
          <t>Form 990-EZ Parts I &amp; II</t>
        </is>
      </c>
      <c r="B95" s="46" t="inlineStr">
        <is>
          <t>Balance sheet identity: line 25 = line 26 + line 27 (EOY)</t>
        </is>
      </c>
      <c r="C95" s="46" t="inlineStr">
        <is>
          <t>FY2022</t>
        </is>
      </c>
      <c r="D95" s="9">
        <f>'Form 990-EZ Parts I &amp; II'!C27</f>
        <v/>
      </c>
      <c r="E95" s="9">
        <f>SUM('Form 990-EZ Parts I &amp; II'!C28,'Form 990-EZ Parts I &amp; II'!C29)</f>
        <v/>
      </c>
      <c r="F95" s="9">
        <f>E95-D95</f>
        <v/>
      </c>
    </row>
    <row r="96">
      <c r="A96" s="46" t="inlineStr">
        <is>
          <t>Form 990-EZ Parts I &amp; II</t>
        </is>
      </c>
      <c r="B96" s="46" t="inlineStr">
        <is>
          <t>Balance sheet identity: line 25 = line 26 + line 27 (EOY)</t>
        </is>
      </c>
      <c r="C96" s="46" t="inlineStr">
        <is>
          <t>FY2023</t>
        </is>
      </c>
      <c r="D96" s="9">
        <f>'Form 990-EZ Parts I &amp; II'!D27</f>
        <v/>
      </c>
      <c r="E96" s="9">
        <f>SUM('Form 990-EZ Parts I &amp; II'!D28,'Form 990-EZ Parts I &amp; II'!D29)</f>
        <v/>
      </c>
      <c r="F96" s="9">
        <f>E96-D96</f>
        <v/>
      </c>
    </row>
    <row r="97">
      <c r="A97" s="46" t="inlineStr">
        <is>
          <t>Form 990-EZ Parts I &amp; II</t>
        </is>
      </c>
      <c r="B97" s="46" t="inlineStr">
        <is>
          <t>Balance sheet identity: line 25 = line 26 + line 27 (EOY)</t>
        </is>
      </c>
      <c r="C97" s="46" t="inlineStr">
        <is>
          <t>FY2024</t>
        </is>
      </c>
      <c r="D97" s="9">
        <f>'Form 990-EZ Parts I &amp; II'!E27</f>
        <v/>
      </c>
      <c r="E97" s="9">
        <f>SUM('Form 990-EZ Parts I &amp; II'!E28,'Form 990-EZ Parts I &amp; II'!E29)</f>
        <v/>
      </c>
      <c r="F97" s="9">
        <f>E97-D97</f>
        <v/>
      </c>
    </row>
    <row r="98">
      <c r="A98" s="46" t="inlineStr">
        <is>
          <t>Form 990-EZ Parts I &amp; II</t>
        </is>
      </c>
      <c r="B98" s="46" t="inlineStr">
        <is>
          <t>Balance sheet identity: line 25 = line 26 + line 27 (EOY)</t>
        </is>
      </c>
      <c r="C98" s="46" t="inlineStr">
        <is>
          <t>FY2025</t>
        </is>
      </c>
      <c r="D98" s="9">
        <f>'Form 990-EZ Parts I &amp; II'!F27</f>
        <v/>
      </c>
      <c r="E98" s="9">
        <f>SUM('Form 990-EZ Parts I &amp; II'!F28,'Form 990-EZ Parts I &amp; II'!F29)</f>
        <v/>
      </c>
      <c r="F98" s="9">
        <f>E98-D98</f>
        <v/>
      </c>
    </row>
    <row r="100">
      <c r="A100" s="43" t="inlineStr">
        <is>
          <t>D. Preparer / auditor trail (one row per fiscal year, as filed)</t>
        </is>
      </c>
      <c r="B100" s="7" t="n"/>
      <c r="C100" s="7" t="n"/>
      <c r="D100" s="7" t="n"/>
      <c r="E100" s="7" t="n"/>
      <c r="F100" s="7" t="n"/>
      <c r="G100" s="7" t="n"/>
      <c r="H100" s="7" t="n"/>
      <c r="I100" s="7" t="n"/>
      <c r="J100" s="7" t="n"/>
      <c r="K100" s="7" t="n"/>
    </row>
    <row r="101">
      <c r="A101" s="5" t="inlineStr">
        <is>
          <t>Fiscal year</t>
        </is>
      </c>
      <c r="B101" s="5" t="inlineStr">
        <is>
          <t>Paid preparer</t>
        </is>
      </c>
      <c r="C101" s="5" t="inlineStr">
        <is>
          <t>Preparer firm</t>
        </is>
      </c>
      <c r="D101" s="5" t="inlineStr">
        <is>
          <t>Independent auditor</t>
        </is>
      </c>
      <c r="E101" s="5" t="inlineStr">
        <is>
          <t>Citation</t>
        </is>
      </c>
    </row>
    <row r="102" ht="42" customHeight="1">
      <c r="A102" s="44" t="inlineStr">
        <is>
          <t>FY2021</t>
        </is>
      </c>
      <c r="B102" s="8" t="inlineStr">
        <is>
          <t>Gary A Smith</t>
        </is>
      </c>
      <c r="C102" s="8" t="inlineStr">
        <is>
          <t>Gary A Smith</t>
        </is>
      </c>
      <c r="D102" s="47" t="inlineStr">
        <is>
          <t>not reported</t>
        </is>
      </c>
      <c r="E102" s="19" t="inlineStr">
        <is>
          <t>Form 990 Return Header, Paid Preparer block (return_header.preparer_person_name / preparer_firm_name); auditor: Part XII line 2 reports audited financial statements but does not name the firm.</t>
        </is>
      </c>
    </row>
    <row r="103" ht="42" customHeight="1">
      <c r="A103" s="44" t="inlineStr">
        <is>
          <t>FY2022</t>
        </is>
      </c>
      <c r="B103" s="8" t="inlineStr">
        <is>
          <t>Gary A Smith</t>
        </is>
      </c>
      <c r="C103" s="8" t="inlineStr">
        <is>
          <t>Gary A Smith</t>
        </is>
      </c>
      <c r="D103" s="47" t="inlineStr">
        <is>
          <t>not reported</t>
        </is>
      </c>
      <c r="E103" s="19" t="inlineStr">
        <is>
          <t>Form 990 Return Header, Paid Preparer block (return_header.preparer_person_name / preparer_firm_name); auditor: Part XII line 2 reports audited financial statements but does not name the firm.</t>
        </is>
      </c>
    </row>
    <row r="104" ht="42" customHeight="1">
      <c r="A104" s="44" t="inlineStr">
        <is>
          <t>FY2023</t>
        </is>
      </c>
      <c r="B104" s="8" t="inlineStr">
        <is>
          <t>Gary A Smith</t>
        </is>
      </c>
      <c r="C104" s="8" t="inlineStr">
        <is>
          <t>Gary A Smith</t>
        </is>
      </c>
      <c r="D104" s="47" t="inlineStr">
        <is>
          <t>not reported</t>
        </is>
      </c>
      <c r="E104" s="19" t="inlineStr">
        <is>
          <t>Form 990 Return Header, Paid Preparer block (return_header.preparer_person_name / preparer_firm_name); auditor: Part XII line 2 reports audited financial statements but does not name the firm.</t>
        </is>
      </c>
    </row>
    <row r="105" ht="42" customHeight="1">
      <c r="A105" s="44" t="inlineStr">
        <is>
          <t>FY2024</t>
        </is>
      </c>
      <c r="B105" s="8" t="inlineStr">
        <is>
          <t>Gary A Smith</t>
        </is>
      </c>
      <c r="C105" s="8" t="inlineStr">
        <is>
          <t>Gary A Smith</t>
        </is>
      </c>
      <c r="D105" s="47" t="inlineStr">
        <is>
          <t>not reported</t>
        </is>
      </c>
      <c r="E105" s="19" t="inlineStr">
        <is>
          <t>Form 990 Return Header, Paid Preparer block (return_header.preparer_person_name / preparer_firm_name); auditor: Part XII line 2 reports audited financial statements but does not name the firm.</t>
        </is>
      </c>
    </row>
    <row r="106" ht="42" customHeight="1">
      <c r="A106" s="44" t="inlineStr">
        <is>
          <t>FY2025</t>
        </is>
      </c>
      <c r="B106" s="47" t="inlineStr">
        <is>
          <t>not reported</t>
        </is>
      </c>
      <c r="C106" s="8" t="inlineStr">
        <is>
          <t>Michael J Gartzke CPA</t>
        </is>
      </c>
      <c r="D106" s="47" t="inlineStr">
        <is>
          <t>not reported</t>
        </is>
      </c>
      <c r="E106" s="19" t="inlineStr">
        <is>
          <t>Form 990 Return Header, Paid Preparer block (return_header.preparer_person_name / preparer_firm_name); auditor: Part XII line 2 reports audited financial statements but does not name the firm.</t>
        </is>
      </c>
    </row>
    <row r="108" ht="42" customHeight="1">
      <c r="A10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08:K108"/>
    <mergeCell ref="A1:K1"/>
  </mergeCells>
  <conditionalFormatting sqref="F79:F98">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