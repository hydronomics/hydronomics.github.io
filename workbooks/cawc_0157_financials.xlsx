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Financial Summary - multi-year overview (USD)</t>
        </is>
      </c>
    </row>
    <row r="3">
      <c r="A3" s="2" t="inlineStr">
        <is>
          <t>Entity ID: cawc_0157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133472</v>
      </c>
      <c r="C10" s="9" t="n">
        <v>141201</v>
      </c>
      <c r="D10" s="9" t="n">
        <v>155997</v>
      </c>
      <c r="E10" s="9" t="n">
        <v>150476</v>
      </c>
      <c r="F10" s="9" t="n">
        <v>178674</v>
      </c>
      <c r="G10" s="9" t="n">
        <v>192220</v>
      </c>
    </row>
    <row r="11">
      <c r="A11" s="8" t="inlineStr">
        <is>
          <t xml:space="preserve">    Total expenses</t>
        </is>
      </c>
      <c r="B11" s="9" t="n">
        <v>130365</v>
      </c>
      <c r="C11" s="9" t="n">
        <v>150929</v>
      </c>
      <c r="D11" s="9" t="n">
        <v>172330</v>
      </c>
      <c r="E11" s="9" t="n">
        <v>141865</v>
      </c>
      <c r="F11" s="9" t="n">
        <v>205485</v>
      </c>
      <c r="G11" s="9" t="n">
        <v>185932</v>
      </c>
    </row>
    <row r="12">
      <c r="A12" s="10" t="inlineStr">
        <is>
          <t xml:space="preserve">    Net income</t>
        </is>
      </c>
      <c r="B12" s="11" t="n">
        <v>3107</v>
      </c>
      <c r="C12" s="11" t="n">
        <v>-9728</v>
      </c>
      <c r="D12" s="11" t="n">
        <v>-16333</v>
      </c>
      <c r="E12" s="11" t="n">
        <v>8611</v>
      </c>
      <c r="F12" s="11" t="n">
        <v>-26811</v>
      </c>
      <c r="G12" s="11" t="n">
        <v>6288</v>
      </c>
    </row>
    <row r="14">
      <c r="A14" s="6" t="inlineStr">
        <is>
          <t>Financial position (USD, end of year)</t>
        </is>
      </c>
      <c r="B14" s="7" t="n"/>
      <c r="C14" s="7" t="n"/>
      <c r="D14" s="7" t="n"/>
      <c r="E14" s="7" t="n"/>
      <c r="F14" s="7" t="n"/>
      <c r="G14" s="7" t="n"/>
    </row>
    <row r="15">
      <c r="A15" s="8" t="inlineStr">
        <is>
          <t xml:space="preserve">    Total assets</t>
        </is>
      </c>
      <c r="B15" s="9" t="n">
        <v>744720</v>
      </c>
      <c r="C15" s="9" t="n">
        <v>762992</v>
      </c>
      <c r="D15" s="9" t="n">
        <v>766881</v>
      </c>
      <c r="E15" s="9" t="n">
        <v>795560</v>
      </c>
      <c r="F15" s="9" t="n">
        <v>797312</v>
      </c>
      <c r="G15" s="9" t="n">
        <v>821657</v>
      </c>
    </row>
    <row r="16">
      <c r="A16" s="8" t="inlineStr">
        <is>
          <t xml:space="preserve">    Total liabilities</t>
        </is>
      </c>
      <c r="B16" s="9" t="n">
        <v>1804</v>
      </c>
      <c r="C16" s="9" t="n">
        <v>3263</v>
      </c>
      <c r="D16" s="9" t="n">
        <v>1890</v>
      </c>
      <c r="E16" s="9" t="n">
        <v>2401</v>
      </c>
      <c r="F16" s="9" t="n">
        <v>7564</v>
      </c>
      <c r="G16" s="9" t="n">
        <v>2200</v>
      </c>
    </row>
    <row r="17">
      <c r="A17" s="10" t="inlineStr">
        <is>
          <t xml:space="preserve">    Net assets</t>
        </is>
      </c>
      <c r="B17" s="11" t="n">
        <v>742916</v>
      </c>
      <c r="C17" s="11" t="n">
        <v>759729</v>
      </c>
      <c r="D17" s="11" t="n">
        <v>764991</v>
      </c>
      <c r="E17" s="11" t="n">
        <v>793159</v>
      </c>
      <c r="F17" s="11" t="n">
        <v>789748</v>
      </c>
      <c r="G17" s="11" t="n">
        <v>819457</v>
      </c>
    </row>
    <row r="19">
      <c r="A19" s="6" t="inlineStr">
        <is>
          <t>Headline ratios</t>
        </is>
      </c>
      <c r="B19" s="7" t="n"/>
      <c r="C19" s="7" t="n"/>
      <c r="D19" s="7" t="n"/>
      <c r="E19" s="7" t="n"/>
      <c r="F19" s="7" t="n"/>
      <c r="G19" s="7" t="n"/>
    </row>
    <row r="20">
      <c r="A20" s="8" t="inlineStr">
        <is>
          <t xml:space="preserve">    Operating margin</t>
        </is>
      </c>
      <c r="B20" s="12" t="n">
        <v>0.02327829057779909</v>
      </c>
      <c r="C20" s="12" t="n">
        <v>-0.06889469621319963</v>
      </c>
      <c r="D20" s="12" t="n">
        <v>-0.1047007314243223</v>
      </c>
      <c r="E20" s="12" t="n">
        <v>0.05722507243680056</v>
      </c>
      <c r="F20" s="12" t="n">
        <v>-0.1500554081735451</v>
      </c>
      <c r="G20" s="12" t="n">
        <v>0.03271251690770992</v>
      </c>
    </row>
    <row r="21">
      <c r="A21" s="8" t="inlineStr">
        <is>
          <t xml:space="preserve">    Revenue growth (YoY)</t>
        </is>
      </c>
      <c r="B21" s="12" t="n">
        <v>0.009904436188645839</v>
      </c>
      <c r="C21" s="12" t="n">
        <v>0.05790727643251019</v>
      </c>
      <c r="D21" s="12" t="n">
        <v>0.104786793294665</v>
      </c>
      <c r="E21" s="12" t="n">
        <v>-0.03539170625076123</v>
      </c>
      <c r="F21" s="12" t="n">
        <v>0.1873920093569739</v>
      </c>
      <c r="G21" s="12" t="n">
        <v>0.07581405240829668</v>
      </c>
    </row>
    <row r="22">
      <c r="A22" s="8" t="inlineStr">
        <is>
          <t xml:space="preserve">    Return on assets</t>
        </is>
      </c>
      <c r="B22" s="12" t="n">
        <v>0.004172037812869267</v>
      </c>
      <c r="C22" s="12" t="n">
        <v>-0.01274980602679976</v>
      </c>
      <c r="D22" s="12" t="n">
        <v>-0.02129795887497539</v>
      </c>
      <c r="E22" s="12" t="n">
        <v>0.01082382221328372</v>
      </c>
      <c r="F22" s="12" t="n">
        <v>-0.03362673583239685</v>
      </c>
      <c r="G22" s="12" t="n">
        <v>0.007652828369988937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Financial Statements - income statement, balance sheet, cash flow, member income test (USD)</t>
        </is>
      </c>
    </row>
    <row r="3">
      <c r="A3" s="2" t="inlineStr">
        <is>
          <t>Entity ID: cawc_0157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133290</v>
      </c>
      <c r="C8" s="9" t="n">
        <v>140221</v>
      </c>
      <c r="D8" s="9" t="n">
        <v>155185</v>
      </c>
      <c r="E8" s="9" t="n">
        <v>146799</v>
      </c>
      <c r="F8" s="9" t="n">
        <v>169318</v>
      </c>
      <c r="G8" s="9" t="n">
        <v>179825</v>
      </c>
    </row>
    <row r="9">
      <c r="A9" s="8" t="inlineStr">
        <is>
          <t xml:space="preserve">    Investment income</t>
        </is>
      </c>
      <c r="B9" s="9" t="n">
        <v>182</v>
      </c>
      <c r="C9" s="9" t="n">
        <v>980</v>
      </c>
      <c r="D9" s="9" t="n">
        <v>0</v>
      </c>
      <c r="E9" s="9" t="n">
        <v>3677</v>
      </c>
      <c r="F9" s="9" t="n">
        <v>6884</v>
      </c>
      <c r="G9" s="9" t="n">
        <v>5117</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0</v>
      </c>
      <c r="C12" s="9" t="n">
        <v>0</v>
      </c>
      <c r="D12" s="9" t="n">
        <v>812</v>
      </c>
      <c r="E12" s="9" t="n">
        <v>0</v>
      </c>
      <c r="F12" s="9" t="n">
        <v>2472</v>
      </c>
      <c r="G12" s="9" t="n">
        <v>7278</v>
      </c>
    </row>
    <row r="13">
      <c r="A13" s="8" t="inlineStr">
        <is>
          <t xml:space="preserve">    Contributions &amp; grants</t>
        </is>
      </c>
      <c r="B13" s="9" t="n">
        <v>0</v>
      </c>
      <c r="C13" s="9" t="n">
        <v>0</v>
      </c>
      <c r="D13" s="9" t="n">
        <v>0</v>
      </c>
      <c r="E13" s="9" t="n">
        <v>0</v>
      </c>
      <c r="F13" s="9" t="n">
        <v>0</v>
      </c>
      <c r="G13" s="9" t="n">
        <v>0</v>
      </c>
    </row>
    <row r="14">
      <c r="A14" s="10" t="inlineStr">
        <is>
          <t>Total revenue</t>
        </is>
      </c>
      <c r="B14" s="11" t="n">
        <v>133472</v>
      </c>
      <c r="C14" s="11" t="n">
        <v>141201</v>
      </c>
      <c r="D14" s="11" t="n">
        <v>155997</v>
      </c>
      <c r="E14" s="11" t="n">
        <v>150476</v>
      </c>
      <c r="F14" s="11" t="n">
        <v>178674</v>
      </c>
      <c r="G14" s="11" t="n">
        <v>192220</v>
      </c>
    </row>
    <row r="16">
      <c r="A16" s="6" t="inlineStr">
        <is>
          <t>Expenses</t>
        </is>
      </c>
      <c r="B16" s="7" t="n"/>
      <c r="C16" s="7" t="n"/>
      <c r="D16" s="7" t="n"/>
      <c r="E16" s="7" t="n"/>
      <c r="F16" s="7" t="n"/>
      <c r="G16" s="7" t="n"/>
    </row>
    <row r="17">
      <c r="A17" s="8" t="inlineStr">
        <is>
          <t xml:space="preserve">    Depreciation</t>
        </is>
      </c>
      <c r="B17" s="9" t="n">
        <v>37237</v>
      </c>
      <c r="C17" s="9" t="n">
        <v>49235</v>
      </c>
      <c r="D17" s="9" t="n">
        <v>53408</v>
      </c>
      <c r="E17" s="9" t="n">
        <v>55601</v>
      </c>
      <c r="F17" s="9" t="n">
        <v>60312</v>
      </c>
      <c r="G17" s="9" t="n">
        <v>65694</v>
      </c>
    </row>
    <row r="18">
      <c r="A18" s="8" t="inlineStr">
        <is>
          <t xml:space="preserve">    Interest expense</t>
        </is>
      </c>
      <c r="B18" s="9" t="n">
        <v>0</v>
      </c>
      <c r="C18" s="9" t="n">
        <v>0</v>
      </c>
      <c r="D18" s="9" t="n">
        <v>0</v>
      </c>
      <c r="E18" s="9" t="n">
        <v>0</v>
      </c>
      <c r="F18" s="9" t="n">
        <v>0</v>
      </c>
      <c r="G18" s="9" t="n">
        <v>0</v>
      </c>
    </row>
    <row r="19">
      <c r="A19" s="10" t="inlineStr">
        <is>
          <t>Total expenses</t>
        </is>
      </c>
      <c r="B19" s="11" t="n">
        <v>130365</v>
      </c>
      <c r="C19" s="11" t="n">
        <v>150929</v>
      </c>
      <c r="D19" s="11" t="n">
        <v>172330</v>
      </c>
      <c r="E19" s="11" t="n">
        <v>141865</v>
      </c>
      <c r="F19" s="11" t="n">
        <v>205485</v>
      </c>
      <c r="G19" s="11" t="n">
        <v>185932</v>
      </c>
    </row>
    <row r="21">
      <c r="A21" s="10" t="inlineStr">
        <is>
          <t>Net income</t>
        </is>
      </c>
      <c r="B21" s="11" t="n">
        <v>3107</v>
      </c>
      <c r="C21" s="11" t="n">
        <v>-9728</v>
      </c>
      <c r="D21" s="11" t="n">
        <v>-16333</v>
      </c>
      <c r="E21" s="11" t="n">
        <v>8611</v>
      </c>
      <c r="F21" s="11" t="n">
        <v>-26811</v>
      </c>
      <c r="G21" s="11" t="n">
        <v>6288</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267006</v>
      </c>
      <c r="C27" s="9" t="n">
        <v>134977</v>
      </c>
      <c r="D27" s="9" t="n">
        <v>171913</v>
      </c>
      <c r="E27" s="9" t="n">
        <v>223009</v>
      </c>
      <c r="F27" s="9" t="n">
        <v>103817</v>
      </c>
      <c r="G27" s="9" t="n">
        <v>99372</v>
      </c>
    </row>
    <row r="28">
      <c r="A28" s="8" t="inlineStr">
        <is>
          <t xml:space="preserve">    Savings &amp; temporary investments</t>
        </is>
      </c>
      <c r="B28" s="9" t="n">
        <v>0</v>
      </c>
      <c r="C28" s="9" t="n">
        <v>0</v>
      </c>
      <c r="D28" s="9" t="n">
        <v>0</v>
      </c>
      <c r="E28" s="9" t="n">
        <v>0</v>
      </c>
      <c r="F28" s="9" t="n">
        <v>131046</v>
      </c>
      <c r="G28" s="9" t="n">
        <v>67817</v>
      </c>
    </row>
    <row r="29">
      <c r="A29" s="8" t="inlineStr">
        <is>
          <t xml:space="preserve">    Accounts receivable</t>
        </is>
      </c>
      <c r="B29" s="9" t="n">
        <v>0</v>
      </c>
      <c r="C29" s="9" t="n">
        <v>902</v>
      </c>
      <c r="D29" s="9" t="n">
        <v>3056</v>
      </c>
      <c r="E29" s="9" t="n">
        <v>-777</v>
      </c>
      <c r="F29" s="9" t="n">
        <v>703</v>
      </c>
      <c r="G29" s="9" t="n">
        <v>4103</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947318</v>
      </c>
      <c r="C32" s="9" t="n">
        <v>1131168</v>
      </c>
      <c r="D32" s="9" t="n">
        <v>1154485</v>
      </c>
      <c r="E32" s="9" t="n">
        <v>1195754</v>
      </c>
      <c r="F32" s="9" t="n">
        <v>1244484</v>
      </c>
      <c r="G32" s="9" t="n">
        <v>1402006</v>
      </c>
    </row>
    <row r="33">
      <c r="A33" s="8" t="inlineStr">
        <is>
          <t xml:space="preserve">    Less: accumulated depreciation</t>
        </is>
      </c>
      <c r="B33" s="9" t="n">
        <v>-471859</v>
      </c>
      <c r="C33" s="9" t="n">
        <v>-521094</v>
      </c>
      <c r="D33" s="9" t="n">
        <v>-574502</v>
      </c>
      <c r="E33" s="9" t="n">
        <v>-630103</v>
      </c>
      <c r="F33" s="9" t="n">
        <v>-690415</v>
      </c>
      <c r="G33" s="9" t="n">
        <v>-756109</v>
      </c>
    </row>
    <row r="34">
      <c r="A34" s="10" t="inlineStr">
        <is>
          <t xml:space="preserve">    Net property, plant &amp; equipment</t>
        </is>
      </c>
      <c r="B34" s="11" t="n">
        <v>475459</v>
      </c>
      <c r="C34" s="11" t="n">
        <v>610074</v>
      </c>
      <c r="D34" s="11" t="n">
        <v>579983</v>
      </c>
      <c r="E34" s="11" t="n">
        <v>565651</v>
      </c>
      <c r="F34" s="11" t="n">
        <v>554069</v>
      </c>
      <c r="G34" s="11" t="n">
        <v>645897</v>
      </c>
    </row>
    <row r="35">
      <c r="A35" s="10" t="inlineStr">
        <is>
          <t>Total assets</t>
        </is>
      </c>
      <c r="B35" s="11" t="n">
        <v>744720</v>
      </c>
      <c r="C35" s="11" t="n">
        <v>762992</v>
      </c>
      <c r="D35" s="11" t="n">
        <v>766881</v>
      </c>
      <c r="E35" s="11" t="n">
        <v>795560</v>
      </c>
      <c r="F35" s="11" t="n">
        <v>797312</v>
      </c>
      <c r="G35" s="11" t="n">
        <v>821657</v>
      </c>
    </row>
    <row r="37">
      <c r="A37" s="6" t="inlineStr">
        <is>
          <t>Liabilities</t>
        </is>
      </c>
      <c r="B37" s="7" t="n"/>
      <c r="C37" s="7" t="n"/>
      <c r="D37" s="7" t="n"/>
      <c r="E37" s="7" t="n"/>
      <c r="F37" s="7" t="n"/>
      <c r="G37" s="7" t="n"/>
    </row>
    <row r="38">
      <c r="A38" s="8" t="inlineStr">
        <is>
          <t xml:space="preserve">    Accounts payable</t>
        </is>
      </c>
      <c r="B38" s="9" t="n"/>
      <c r="C38" s="9" t="n">
        <v>1463</v>
      </c>
      <c r="D38" s="9" t="n">
        <v>90</v>
      </c>
      <c r="E38" s="9" t="n">
        <v>601</v>
      </c>
      <c r="F38" s="9" t="n">
        <v>5763</v>
      </c>
      <c r="G38" s="9" t="n">
        <v>400</v>
      </c>
    </row>
    <row r="39">
      <c r="A39" s="8" t="inlineStr">
        <is>
          <t xml:space="preserve">    Mortgages &amp; notes payable</t>
        </is>
      </c>
      <c r="B39" s="9" t="n"/>
      <c r="C39" s="9" t="n"/>
      <c r="D39" s="9" t="n"/>
      <c r="E39" s="9" t="n"/>
      <c r="F39" s="9" t="n"/>
      <c r="G39" s="9" t="n"/>
    </row>
    <row r="40">
      <c r="A40" s="10" t="inlineStr">
        <is>
          <t>Total liabilities</t>
        </is>
      </c>
      <c r="B40" s="11" t="n">
        <v>1804</v>
      </c>
      <c r="C40" s="11" t="n">
        <v>3263</v>
      </c>
      <c r="D40" s="11" t="n">
        <v>1890</v>
      </c>
      <c r="E40" s="11" t="n">
        <v>2401</v>
      </c>
      <c r="F40" s="11" t="n">
        <v>7564</v>
      </c>
      <c r="G40" s="11" t="n">
        <v>2200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v>651305</v>
      </c>
      <c r="C44" s="9" t="n">
        <v>674705</v>
      </c>
      <c r="D44" s="9" t="n">
        <v>698105</v>
      </c>
      <c r="E44" s="9" t="n">
        <v>721505</v>
      </c>
      <c r="F44" s="9" t="n">
        <v>744905</v>
      </c>
      <c r="G44" s="9" t="n">
        <v>768336</v>
      </c>
    </row>
    <row r="45">
      <c r="A45" s="8" t="inlineStr">
        <is>
          <t xml:space="preserve">    Retained earnings</t>
        </is>
      </c>
      <c r="B45" s="9" t="n">
        <v>91611</v>
      </c>
      <c r="C45" s="9" t="n">
        <v>85024</v>
      </c>
      <c r="D45" s="9" t="n">
        <v>66886</v>
      </c>
      <c r="E45" s="9" t="n">
        <v>71654</v>
      </c>
      <c r="F45" s="9" t="n">
        <v>44843</v>
      </c>
      <c r="G45" s="9" t="n">
        <v>51121</v>
      </c>
    </row>
    <row r="46">
      <c r="A46" s="10" t="inlineStr">
        <is>
          <t>Net assets</t>
        </is>
      </c>
      <c r="B46" s="11" t="n">
        <v>742916</v>
      </c>
      <c r="C46" s="11" t="n">
        <v>759729</v>
      </c>
      <c r="D46" s="11" t="n">
        <v>764991</v>
      </c>
      <c r="E46" s="11" t="n">
        <v>793159</v>
      </c>
      <c r="F46" s="11" t="n">
        <v>789748</v>
      </c>
      <c r="G46" s="11" t="n">
        <v>819457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3107</v>
      </c>
      <c r="C52" s="9" t="n">
        <v>-9728</v>
      </c>
      <c r="D52" s="9" t="n">
        <v>-16333</v>
      </c>
      <c r="E52" s="9" t="n">
        <v>8611</v>
      </c>
      <c r="F52" s="9" t="n">
        <v>-26811</v>
      </c>
      <c r="G52" s="9" t="n">
        <v>6288</v>
      </c>
    </row>
    <row r="53">
      <c r="A53" s="8" t="inlineStr">
        <is>
          <t xml:space="preserve">    + Depreciation (reported)</t>
        </is>
      </c>
      <c r="B53" s="9" t="n">
        <v>37237</v>
      </c>
      <c r="C53" s="9" t="n">
        <v>49235</v>
      </c>
      <c r="D53" s="9" t="n">
        <v>53408</v>
      </c>
      <c r="E53" s="9" t="n">
        <v>55601</v>
      </c>
      <c r="F53" s="9" t="n">
        <v>60312</v>
      </c>
      <c r="G53" s="9" t="n">
        <v>65694</v>
      </c>
    </row>
    <row r="54">
      <c r="A54" s="8" t="inlineStr">
        <is>
          <t xml:space="preserve">    − Δ Accounts receivable</t>
        </is>
      </c>
      <c r="B54" s="9" t="n"/>
      <c r="C54" s="9" t="n">
        <v>-902</v>
      </c>
      <c r="D54" s="9" t="n">
        <v>-2154</v>
      </c>
      <c r="E54" s="9" t="n">
        <v>3833</v>
      </c>
      <c r="F54" s="9" t="n">
        <v>-1480</v>
      </c>
      <c r="G54" s="9" t="n">
        <v>-3400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v>-1373</v>
      </c>
      <c r="E57" s="9" t="n">
        <v>511</v>
      </c>
      <c r="F57" s="9" t="n">
        <v>5162</v>
      </c>
      <c r="G57" s="9" t="n">
        <v>-5363</v>
      </c>
    </row>
    <row r="58">
      <c r="A58" s="10" t="inlineStr">
        <is>
          <t xml:space="preserve">    Operating cash flow proxy</t>
        </is>
      </c>
      <c r="B58" s="11" t="n"/>
      <c r="C58" s="11" t="n">
        <v>38605</v>
      </c>
      <c r="D58" s="11" t="n">
        <v>33548</v>
      </c>
      <c r="E58" s="11" t="n">
        <v>68556</v>
      </c>
      <c r="F58" s="11" t="n">
        <v>37183</v>
      </c>
      <c r="G58" s="11" t="n">
        <v>63219</v>
      </c>
    </row>
    <row r="60">
      <c r="A60" s="6" t="inlineStr">
        <is>
          <t>Investing</t>
        </is>
      </c>
      <c r="B60" s="7" t="n"/>
      <c r="C60" s="7" t="n"/>
      <c r="D60" s="7" t="n"/>
      <c r="E60" s="7" t="n"/>
      <c r="F60" s="7" t="n"/>
      <c r="G60" s="7" t="n"/>
    </row>
    <row r="61">
      <c r="A61" s="8" t="inlineStr">
        <is>
          <t xml:space="preserve">    − Δ PP&amp;E gross (capex proxy)</t>
        </is>
      </c>
      <c r="B61" s="9" t="n"/>
      <c r="C61" s="9" t="n">
        <v>-183850</v>
      </c>
      <c r="D61" s="9" t="n">
        <v>-23317</v>
      </c>
      <c r="E61" s="9" t="n">
        <v>-41269</v>
      </c>
      <c r="F61" s="9" t="n">
        <v>-48730</v>
      </c>
      <c r="G61" s="9" t="n">
        <v>-157522</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-132029</v>
      </c>
      <c r="D67" s="11" t="n">
        <v>36936</v>
      </c>
      <c r="E67" s="11" t="n">
        <v>51096</v>
      </c>
      <c r="F67" s="11" t="n">
        <v>11854</v>
      </c>
      <c r="G67" s="11" t="n">
        <v>-67674</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Balance Sheet - as reported (USD, end of year)</t>
        </is>
      </c>
    </row>
    <row r="3">
      <c r="A3" s="2" t="inlineStr">
        <is>
          <t>Entity ID: cawc_0157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267006</v>
      </c>
      <c r="C7" s="9" t="n">
        <v>134977</v>
      </c>
      <c r="D7" s="9" t="n">
        <v>171913</v>
      </c>
      <c r="E7" s="9" t="n">
        <v>223009</v>
      </c>
      <c r="F7" s="9" t="n">
        <v>103817</v>
      </c>
      <c r="G7" s="9" t="n">
        <v>99372</v>
      </c>
    </row>
    <row r="8">
      <c r="A8" s="8" t="inlineStr">
        <is>
          <t xml:space="preserve">    Savings &amp; temporary investments</t>
        </is>
      </c>
      <c r="B8" s="9" t="n">
        <v>0</v>
      </c>
      <c r="C8" s="9" t="n">
        <v>0</v>
      </c>
      <c r="D8" s="9" t="n">
        <v>0</v>
      </c>
      <c r="E8" s="9" t="n">
        <v>0</v>
      </c>
      <c r="F8" s="9" t="n">
        <v>131046</v>
      </c>
      <c r="G8" s="9" t="n">
        <v>67817</v>
      </c>
    </row>
    <row r="9">
      <c r="A9" s="8" t="inlineStr">
        <is>
          <t xml:space="preserve">    Accounts receivable</t>
        </is>
      </c>
      <c r="B9" s="9" t="n">
        <v>0</v>
      </c>
      <c r="C9" s="9" t="n">
        <v>902</v>
      </c>
      <c r="D9" s="9" t="n">
        <v>3056</v>
      </c>
      <c r="E9" s="9" t="n">
        <v>-777</v>
      </c>
      <c r="F9" s="9" t="n">
        <v>703</v>
      </c>
      <c r="G9" s="9" t="n">
        <v>4103</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947318</v>
      </c>
      <c r="C12" s="9" t="n">
        <v>1131168</v>
      </c>
      <c r="D12" s="9" t="n">
        <v>1154485</v>
      </c>
      <c r="E12" s="9" t="n">
        <v>1195754</v>
      </c>
      <c r="F12" s="9" t="n">
        <v>1244484</v>
      </c>
      <c r="G12" s="9" t="n">
        <v>1402006</v>
      </c>
    </row>
    <row r="13">
      <c r="A13" s="8" t="inlineStr">
        <is>
          <t xml:space="preserve">    Less: accumulated depreciation</t>
        </is>
      </c>
      <c r="B13" s="9" t="n">
        <v>-471859</v>
      </c>
      <c r="C13" s="9" t="n">
        <v>-521094</v>
      </c>
      <c r="D13" s="9" t="n">
        <v>-574502</v>
      </c>
      <c r="E13" s="9" t="n">
        <v>-630103</v>
      </c>
      <c r="F13" s="9" t="n">
        <v>-690415</v>
      </c>
      <c r="G13" s="9" t="n">
        <v>-756109</v>
      </c>
    </row>
    <row r="14">
      <c r="A14" s="10" t="inlineStr">
        <is>
          <t xml:space="preserve">    Net property, plant &amp; equipment</t>
        </is>
      </c>
      <c r="B14" s="11" t="n">
        <v>475459</v>
      </c>
      <c r="C14" s="11" t="n">
        <v>610074</v>
      </c>
      <c r="D14" s="11" t="n">
        <v>579983</v>
      </c>
      <c r="E14" s="11" t="n">
        <v>565651</v>
      </c>
      <c r="F14" s="11" t="n">
        <v>554069</v>
      </c>
      <c r="G14" s="11" t="n">
        <v>645897</v>
      </c>
    </row>
    <row r="15">
      <c r="A15" s="10" t="inlineStr">
        <is>
          <t>Total assets</t>
        </is>
      </c>
      <c r="B15" s="11" t="n">
        <v>744720</v>
      </c>
      <c r="C15" s="11" t="n">
        <v>762992</v>
      </c>
      <c r="D15" s="11" t="n">
        <v>766881</v>
      </c>
      <c r="E15" s="11" t="n">
        <v>795560</v>
      </c>
      <c r="F15" s="11" t="n">
        <v>797312</v>
      </c>
      <c r="G15" s="11" t="n">
        <v>821657</v>
      </c>
    </row>
    <row r="17">
      <c r="A17" s="6" t="inlineStr">
        <is>
          <t>Liabilities</t>
        </is>
      </c>
      <c r="B17" s="7" t="n"/>
      <c r="C17" s="7" t="n"/>
      <c r="D17" s="7" t="n"/>
      <c r="E17" s="7" t="n"/>
      <c r="F17" s="7" t="n"/>
      <c r="G17" s="7" t="n"/>
    </row>
    <row r="18">
      <c r="A18" s="8" t="inlineStr">
        <is>
          <t xml:space="preserve">    Accounts payable</t>
        </is>
      </c>
      <c r="B18" s="9" t="n"/>
      <c r="C18" s="9" t="n">
        <v>1463</v>
      </c>
      <c r="D18" s="9" t="n">
        <v>90</v>
      </c>
      <c r="E18" s="9" t="n">
        <v>601</v>
      </c>
      <c r="F18" s="9" t="n">
        <v>5763</v>
      </c>
      <c r="G18" s="9" t="n">
        <v>400</v>
      </c>
    </row>
    <row r="19">
      <c r="A19" s="8" t="inlineStr">
        <is>
          <t xml:space="preserve">    Mortgages &amp; notes payable</t>
        </is>
      </c>
      <c r="B19" s="9" t="n"/>
      <c r="C19" s="9" t="n"/>
      <c r="D19" s="9" t="n"/>
      <c r="E19" s="9" t="n"/>
      <c r="F19" s="9" t="n"/>
      <c r="G19" s="9" t="n"/>
    </row>
    <row r="20">
      <c r="A20" s="10" t="inlineStr">
        <is>
          <t>Total liabilities</t>
        </is>
      </c>
      <c r="B20" s="11" t="n">
        <v>1804</v>
      </c>
      <c r="C20" s="11" t="n">
        <v>3263</v>
      </c>
      <c r="D20" s="11" t="n">
        <v>1890</v>
      </c>
      <c r="E20" s="11" t="n">
        <v>2401</v>
      </c>
      <c r="F20" s="11" t="n">
        <v>7564</v>
      </c>
      <c r="G20" s="11" t="n">
        <v>2200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v>651305</v>
      </c>
      <c r="C24" s="9" t="n">
        <v>674705</v>
      </c>
      <c r="D24" s="9" t="n">
        <v>698105</v>
      </c>
      <c r="E24" s="9" t="n">
        <v>721505</v>
      </c>
      <c r="F24" s="9" t="n">
        <v>744905</v>
      </c>
      <c r="G24" s="9" t="n">
        <v>768336</v>
      </c>
    </row>
    <row r="25">
      <c r="A25" s="8" t="inlineStr">
        <is>
          <t xml:space="preserve">    Retained earnings</t>
        </is>
      </c>
      <c r="B25" s="9" t="n">
        <v>91611</v>
      </c>
      <c r="C25" s="9" t="n">
        <v>85024</v>
      </c>
      <c r="D25" s="9" t="n">
        <v>66886</v>
      </c>
      <c r="E25" s="9" t="n">
        <v>71654</v>
      </c>
      <c r="F25" s="9" t="n">
        <v>44843</v>
      </c>
      <c r="G25" s="9" t="n">
        <v>51121</v>
      </c>
    </row>
    <row r="26">
      <c r="A26" s="10" t="inlineStr">
        <is>
          <t>Net assets</t>
        </is>
      </c>
      <c r="B26" s="11" t="n">
        <v>742916</v>
      </c>
      <c r="C26" s="11" t="n">
        <v>759729</v>
      </c>
      <c r="D26" s="11" t="n">
        <v>764991</v>
      </c>
      <c r="E26" s="11" t="n">
        <v>793159</v>
      </c>
      <c r="F26" s="11" t="n">
        <v>789748</v>
      </c>
      <c r="G26" s="11" t="n">
        <v>819457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Rancho Robles Mutual Water &amp; Road Co</t>
        </is>
      </c>
    </row>
    <row r="2">
      <c r="A2" s="2" t="inlineStr">
        <is>
          <t>Officers, Directors &amp; Contractors - Form 990 Part VII (FY2025; USD)</t>
        </is>
      </c>
    </row>
    <row r="3">
      <c r="A3" s="2" t="inlineStr">
        <is>
          <t>Entity ID: cawc_0157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BRANDON MERRILL</t>
        </is>
      </c>
      <c r="B7" s="8" t="inlineStr">
        <is>
          <t>President</t>
        </is>
      </c>
      <c r="C7" s="9" t="n">
        <v>0</v>
      </c>
      <c r="D7" s="9" t="n">
        <v>0</v>
      </c>
      <c r="E7" s="9" t="n">
        <v>0</v>
      </c>
      <c r="F7" s="9" t="n">
        <v>0</v>
      </c>
    </row>
    <row r="8">
      <c r="A8" s="8" t="inlineStr">
        <is>
          <t>AYHAN MENEKSHE</t>
        </is>
      </c>
      <c r="B8" s="8" t="inlineStr">
        <is>
          <t>Vice President</t>
        </is>
      </c>
      <c r="C8" s="9" t="n">
        <v>0</v>
      </c>
      <c r="D8" s="9" t="n">
        <v>0</v>
      </c>
      <c r="E8" s="9" t="n">
        <v>0</v>
      </c>
      <c r="F8" s="9" t="n">
        <v>0</v>
      </c>
    </row>
    <row r="9">
      <c r="A9" s="8" t="inlineStr">
        <is>
          <t>ROBERT STRICKLAND</t>
        </is>
      </c>
      <c r="B9" s="8" t="inlineStr">
        <is>
          <t>Treasurer</t>
        </is>
      </c>
      <c r="C9" s="9" t="n">
        <v>0</v>
      </c>
      <c r="D9" s="9" t="n">
        <v>0</v>
      </c>
      <c r="E9" s="9" t="n">
        <v>0</v>
      </c>
      <c r="F9" s="9" t="n">
        <v>0</v>
      </c>
    </row>
    <row r="10">
      <c r="A10" s="8" t="inlineStr">
        <is>
          <t>Larry Carr</t>
        </is>
      </c>
      <c r="B10" s="8" t="inlineStr">
        <is>
          <t>Member at Large</t>
        </is>
      </c>
      <c r="C10" s="9" t="n">
        <v>0</v>
      </c>
      <c r="D10" s="9" t="n">
        <v>0</v>
      </c>
      <c r="E10" s="9" t="n">
        <v>0</v>
      </c>
      <c r="F10" s="9" t="n">
        <v>0</v>
      </c>
    </row>
    <row r="11">
      <c r="A11" s="8" t="inlineStr">
        <is>
          <t>LAURA LUNDY</t>
        </is>
      </c>
      <c r="B11" s="8" t="inlineStr">
        <is>
          <t>Secretary</t>
        </is>
      </c>
      <c r="C11" s="9" t="n">
        <v>0</v>
      </c>
      <c r="D11" s="9" t="n">
        <v>0</v>
      </c>
      <c r="E11" s="9" t="n">
        <v>0</v>
      </c>
      <c r="F11" s="9" t="n">
        <v>0</v>
      </c>
    </row>
    <row r="12">
      <c r="A12" s="8" t="inlineStr">
        <is>
          <t>Robert Fernandez</t>
        </is>
      </c>
      <c r="B12" s="8" t="inlineStr">
        <is>
          <t>Member at Large</t>
        </is>
      </c>
      <c r="C12" s="9" t="n">
        <v>0</v>
      </c>
      <c r="D12" s="9" t="n">
        <v>0</v>
      </c>
      <c r="E12" s="9" t="n">
        <v>0</v>
      </c>
      <c r="F12" s="9" t="n">
        <v>0</v>
      </c>
    </row>
    <row r="13">
      <c r="A13" s="8" t="inlineStr">
        <is>
          <t>Scott Mackenzie</t>
        </is>
      </c>
      <c r="B13" s="8" t="inlineStr">
        <is>
          <t>Member at Large</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Revenue - Form 990 Part VIII (USD)</t>
        </is>
      </c>
    </row>
    <row r="3">
      <c r="A3" s="2" t="inlineStr">
        <is>
          <t>Entity ID: cawc_0157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133290</v>
      </c>
      <c r="C8" s="9" t="n">
        <v>140221</v>
      </c>
      <c r="D8" s="9" t="n">
        <v>155185</v>
      </c>
      <c r="E8" s="9" t="n">
        <v>146799</v>
      </c>
      <c r="F8" s="9" t="n">
        <v>169318</v>
      </c>
      <c r="G8" s="9" t="n">
        <v>179825</v>
      </c>
    </row>
    <row r="9">
      <c r="A9" s="8" t="inlineStr">
        <is>
          <t xml:space="preserve">    3. Investment income</t>
        </is>
      </c>
      <c r="B9" s="9" t="n">
        <v>182</v>
      </c>
      <c r="C9" s="9" t="n">
        <v>980</v>
      </c>
      <c r="D9" s="9" t="n">
        <v>0</v>
      </c>
      <c r="E9" s="9" t="n">
        <v>3677</v>
      </c>
      <c r="F9" s="9" t="n">
        <v>6884</v>
      </c>
      <c r="G9" s="9" t="n">
        <v>5117</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0</v>
      </c>
      <c r="C12" s="9" t="n">
        <v>0</v>
      </c>
      <c r="D12" s="9" t="n">
        <v>812</v>
      </c>
      <c r="E12" s="9" t="n">
        <v>0</v>
      </c>
      <c r="F12" s="9" t="n">
        <v>2472</v>
      </c>
      <c r="G12" s="9" t="n">
        <v>7278</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 CHARGES</t>
        </is>
      </c>
      <c r="B17" s="8" t="inlineStr">
        <is>
          <t>900099</t>
        </is>
      </c>
      <c r="C17" s="9" t="n">
        <v>179825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Rancho Robles Mutual Water &amp; Road Co</t>
        </is>
      </c>
    </row>
    <row r="2">
      <c r="A2" s="2" t="inlineStr">
        <is>
          <t>Statement of Functional Expenses - Form 990 Part IX (USD)</t>
        </is>
      </c>
    </row>
    <row r="3">
      <c r="A3" s="2" t="inlineStr">
        <is>
          <t>Entity ID: cawc_0157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0</v>
      </c>
      <c r="G16" s="9" t="n">
        <v>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6395</v>
      </c>
      <c r="C19" s="9" t="n">
        <v>6800</v>
      </c>
      <c r="D19" s="9" t="n">
        <v>6000</v>
      </c>
      <c r="E19" s="9" t="n">
        <v>7900</v>
      </c>
      <c r="F19" s="9" t="n">
        <v>7200</v>
      </c>
      <c r="G19" s="9" t="n">
        <v>7260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690</v>
      </c>
      <c r="C23" s="9" t="n">
        <v>1424</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1234</v>
      </c>
      <c r="C25" s="9" t="n">
        <v>1371</v>
      </c>
      <c r="D25" s="9" t="n">
        <v>1689</v>
      </c>
      <c r="E25" s="9" t="n">
        <v>1294</v>
      </c>
      <c r="F25" s="9" t="n">
        <v>1412</v>
      </c>
      <c r="G25" s="9" t="n">
        <v>1719</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37237</v>
      </c>
      <c r="C34" s="9" t="n">
        <v>49235</v>
      </c>
      <c r="D34" s="9" t="n">
        <v>53408</v>
      </c>
      <c r="E34" s="9" t="n">
        <v>55601</v>
      </c>
      <c r="F34" s="9" t="n">
        <v>60312</v>
      </c>
      <c r="G34" s="9" t="n">
        <v>65694</v>
      </c>
    </row>
    <row r="35">
      <c r="A35" s="8" t="inlineStr">
        <is>
          <t xml:space="preserve">    23. Insurance</t>
        </is>
      </c>
      <c r="B35" s="9" t="n">
        <v>4125</v>
      </c>
      <c r="C35" s="9" t="n">
        <v>4017</v>
      </c>
      <c r="D35" s="9" t="n">
        <v>4529</v>
      </c>
      <c r="E35" s="9" t="n">
        <v>5088</v>
      </c>
      <c r="F35" s="9" t="n">
        <v>5457</v>
      </c>
      <c r="G35" s="9" t="n">
        <v>5626</v>
      </c>
    </row>
    <row r="36">
      <c r="A36" s="8" t="inlineStr">
        <is>
          <t xml:space="preserve">    24. Utilities</t>
        </is>
      </c>
      <c r="B36" s="9" t="n">
        <v>35938</v>
      </c>
      <c r="C36" s="9" t="n">
        <v>45895</v>
      </c>
      <c r="D36" s="9" t="n">
        <v>28162</v>
      </c>
      <c r="E36" s="9" t="n">
        <v>34791</v>
      </c>
      <c r="F36" s="9" t="n">
        <v>36374</v>
      </c>
      <c r="G36" s="9" t="n">
        <v>63494</v>
      </c>
    </row>
    <row r="37">
      <c r="A37" s="8" t="inlineStr">
        <is>
          <t xml:space="preserve">    24. Lancscape services</t>
        </is>
      </c>
      <c r="B37" s="9" t="n">
        <v>12067</v>
      </c>
      <c r="C37" s="14" t="inlineStr">
        <is>
          <t>not reported</t>
        </is>
      </c>
      <c r="D37" s="9" t="n">
        <v>8885</v>
      </c>
      <c r="E37" s="9" t="n">
        <v>11330</v>
      </c>
      <c r="F37" s="14" t="inlineStr">
        <is>
          <t>not reported</t>
        </is>
      </c>
      <c r="G37" s="9" t="n">
        <v>9163</v>
      </c>
    </row>
    <row r="38">
      <c r="A38" s="8" t="inlineStr">
        <is>
          <t xml:space="preserve">    24. Water repairs and maintenance</t>
        </is>
      </c>
      <c r="B38" s="9" t="n">
        <v>9836</v>
      </c>
      <c r="C38" s="9" t="n">
        <v>10509</v>
      </c>
      <c r="D38" s="9" t="n">
        <v>13275</v>
      </c>
      <c r="E38" s="9" t="n">
        <v>3173</v>
      </c>
      <c r="F38" s="14" t="inlineStr">
        <is>
          <t>not reported</t>
        </is>
      </c>
      <c r="G38" s="9" t="n">
        <v>5743</v>
      </c>
    </row>
    <row r="39">
      <c r="A39" s="8" t="inlineStr">
        <is>
          <t xml:space="preserve">    24. Treatment/Distribution Operato</t>
        </is>
      </c>
      <c r="B39" s="9" t="n">
        <v>8700</v>
      </c>
      <c r="C39" s="9" t="n">
        <v>8700</v>
      </c>
      <c r="D39" s="14" t="inlineStr">
        <is>
          <t>not reported</t>
        </is>
      </c>
      <c r="E39" s="9" t="n">
        <v>10910</v>
      </c>
      <c r="F39" s="9" t="n">
        <v>10808</v>
      </c>
      <c r="G39" s="9" t="n">
        <v>8811</v>
      </c>
    </row>
    <row r="40">
      <c r="A40" s="8" t="inlineStr">
        <is>
          <t xml:space="preserve">    24. Laboratory testing</t>
        </is>
      </c>
      <c r="B40" s="14" t="inlineStr">
        <is>
          <t>not reported</t>
        </is>
      </c>
      <c r="C40" s="9" t="n">
        <v>8744</v>
      </c>
      <c r="D40" s="14" t="inlineStr">
        <is>
          <t>not reported</t>
        </is>
      </c>
      <c r="E40" s="14" t="inlineStr">
        <is>
          <t>not reported</t>
        </is>
      </c>
      <c r="F40" s="14" t="inlineStr">
        <is>
          <t>not reported</t>
        </is>
      </c>
      <c r="G40" s="14" t="inlineStr">
        <is>
          <t>not reported</t>
        </is>
      </c>
    </row>
    <row r="41">
      <c r="A41" s="8" t="inlineStr">
        <is>
          <t xml:space="preserve">    24. WELL TAX</t>
        </is>
      </c>
      <c r="B41" s="14" t="inlineStr">
        <is>
          <t>not reported</t>
        </is>
      </c>
      <c r="C41" s="14" t="inlineStr">
        <is>
          <t>not reported</t>
        </is>
      </c>
      <c r="D41" s="9" t="n">
        <v>35111</v>
      </c>
      <c r="E41" s="14" t="inlineStr">
        <is>
          <t>not reported</t>
        </is>
      </c>
      <c r="F41" s="9" t="n">
        <v>21778</v>
      </c>
      <c r="G41" s="14" t="inlineStr">
        <is>
          <t>not reported</t>
        </is>
      </c>
    </row>
    <row r="42">
      <c r="A42" s="8" t="inlineStr">
        <is>
          <t xml:space="preserve">    24. Road repairs &amp; maneteance</t>
        </is>
      </c>
      <c r="B42" s="14" t="inlineStr">
        <is>
          <t>not reported</t>
        </is>
      </c>
      <c r="C42" s="14" t="inlineStr">
        <is>
          <t>not reported</t>
        </is>
      </c>
      <c r="D42" s="14" t="inlineStr">
        <is>
          <t>not reported</t>
        </is>
      </c>
      <c r="E42" s="14" t="inlineStr">
        <is>
          <t>not reported</t>
        </is>
      </c>
      <c r="F42" s="9" t="n">
        <v>20289</v>
      </c>
      <c r="G42" s="14" t="inlineStr">
        <is>
          <t>not reported</t>
        </is>
      </c>
    </row>
    <row r="43">
      <c r="A43" s="8" t="inlineStr">
        <is>
          <t xml:space="preserve">    24e. All other expenses</t>
        </is>
      </c>
      <c r="B43" s="9" t="n">
        <v>14143</v>
      </c>
      <c r="C43" s="9" t="n">
        <v>14234</v>
      </c>
      <c r="D43" s="9" t="n">
        <v>21271</v>
      </c>
      <c r="E43" s="9" t="n">
        <v>11778</v>
      </c>
      <c r="F43" s="9" t="n">
        <v>41855</v>
      </c>
      <c r="G43" s="9" t="n">
        <v>18422</v>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 Grants to domestic organizations and governments</t>
        </is>
      </c>
      <c r="B48" s="9" t="n">
        <v>0</v>
      </c>
      <c r="C48" s="9" t="n"/>
      <c r="D48" s="9" t="n"/>
      <c r="E48" s="9" t="n"/>
    </row>
    <row r="49">
      <c r="A49" s="18" t="inlineStr">
        <is>
          <t>2. Grants to domestic individuals</t>
        </is>
      </c>
      <c r="B49" s="9" t="n">
        <v>0</v>
      </c>
      <c r="C49" s="9" t="n"/>
      <c r="D49" s="9" t="n"/>
      <c r="E49" s="9" t="n"/>
    </row>
    <row r="50">
      <c r="A50" s="18" t="inlineStr">
        <is>
          <t>3. Grants to foreign organizations and individuals</t>
        </is>
      </c>
      <c r="B50" s="9" t="n">
        <v>0</v>
      </c>
      <c r="C50" s="9" t="n"/>
      <c r="D50" s="9" t="n"/>
      <c r="E50" s="9" t="n"/>
    </row>
    <row r="51">
      <c r="A51" s="18" t="inlineStr">
        <is>
          <t>4. Benefits paid to or for members</t>
        </is>
      </c>
      <c r="B51" s="9" t="n">
        <v>0</v>
      </c>
      <c r="C51" s="9" t="n"/>
      <c r="D51" s="9" t="n"/>
      <c r="E51" s="9" t="n"/>
    </row>
    <row r="52">
      <c r="A52" s="18" t="inlineStr">
        <is>
          <t>5. Compensation of current officers, directors, trustees</t>
        </is>
      </c>
      <c r="B52" s="9" t="n">
        <v>0</v>
      </c>
      <c r="C52" s="9" t="n"/>
      <c r="D52" s="9" t="n"/>
      <c r="E52" s="9" t="n"/>
    </row>
    <row r="53">
      <c r="A53" s="18" t="inlineStr">
        <is>
          <t>6. Compensation to disqualified persons</t>
        </is>
      </c>
      <c r="B53" s="9" t="n">
        <v>0</v>
      </c>
      <c r="C53" s="9" t="n"/>
      <c r="D53" s="9" t="n"/>
      <c r="E53" s="9" t="n"/>
    </row>
    <row r="54">
      <c r="A54" s="18" t="inlineStr">
        <is>
          <t>7. Other salaries and wages</t>
        </is>
      </c>
      <c r="B54" s="9" t="n">
        <v>0</v>
      </c>
      <c r="C54" s="9" t="n"/>
      <c r="D54" s="9" t="n"/>
      <c r="E54" s="9" t="n"/>
    </row>
    <row r="55">
      <c r="A55" s="18" t="inlineStr">
        <is>
          <t>8. Pension plan accruals and contributions</t>
        </is>
      </c>
      <c r="B55" s="9" t="n">
        <v>0</v>
      </c>
      <c r="C55" s="9" t="n"/>
      <c r="D55" s="9" t="n"/>
      <c r="E55" s="9" t="n"/>
    </row>
    <row r="56">
      <c r="A56" s="18" t="inlineStr">
        <is>
          <t>9. Other employee benefits</t>
        </is>
      </c>
      <c r="B56" s="9" t="n">
        <v>0</v>
      </c>
      <c r="C56" s="9" t="n"/>
      <c r="D56" s="9" t="n"/>
      <c r="E56" s="9" t="n"/>
    </row>
    <row r="57">
      <c r="A57" s="18" t="inlineStr">
        <is>
          <t>10. Payroll taxes</t>
        </is>
      </c>
      <c r="B57" s="9" t="n">
        <v>0</v>
      </c>
      <c r="C57" s="9" t="n"/>
      <c r="D57" s="9" t="n"/>
      <c r="E57" s="9" t="n"/>
    </row>
    <row r="58">
      <c r="A58" s="18" t="inlineStr">
        <is>
          <t>11a. Fees for services: management</t>
        </is>
      </c>
      <c r="B58" s="9" t="n">
        <v>0</v>
      </c>
      <c r="C58" s="9" t="n"/>
      <c r="D58" s="9" t="n"/>
      <c r="E58" s="9" t="n"/>
    </row>
    <row r="59">
      <c r="A59" s="18" t="inlineStr">
        <is>
          <t>11b. Fees for services: legal</t>
        </is>
      </c>
      <c r="B59" s="9" t="n">
        <v>0</v>
      </c>
      <c r="C59" s="9" t="n"/>
      <c r="D59" s="9" t="n"/>
      <c r="E59" s="9" t="n"/>
    </row>
    <row r="60">
      <c r="A60" s="18" t="inlineStr">
        <is>
          <t>11c. Fees for services: accounting</t>
        </is>
      </c>
      <c r="B60" s="9" t="n">
        <v>7260</v>
      </c>
      <c r="C60" s="9" t="n"/>
      <c r="D60" s="9" t="n">
        <v>7260</v>
      </c>
      <c r="E60" s="9" t="n"/>
    </row>
    <row r="61">
      <c r="A61" s="18" t="inlineStr">
        <is>
          <t>11d. Fees for services: lobbying</t>
        </is>
      </c>
      <c r="B61" s="9" t="n">
        <v>0</v>
      </c>
      <c r="C61" s="9" t="n"/>
      <c r="D61" s="9" t="n"/>
      <c r="E61" s="9" t="n"/>
    </row>
    <row r="62">
      <c r="A62" s="18" t="inlineStr">
        <is>
          <t>11e. Fees for services: professional fundraising</t>
        </is>
      </c>
      <c r="B62" s="9" t="n">
        <v>0</v>
      </c>
      <c r="C62" s="9" t="n"/>
      <c r="D62" s="9" t="n"/>
      <c r="E62" s="9" t="n"/>
    </row>
    <row r="63">
      <c r="A63" s="18" t="inlineStr">
        <is>
          <t>11f. Fees for services: investment management</t>
        </is>
      </c>
      <c r="B63" s="9" t="n">
        <v>0</v>
      </c>
      <c r="C63" s="9" t="n"/>
      <c r="D63" s="9" t="n"/>
      <c r="E63" s="9" t="n"/>
    </row>
    <row r="64">
      <c r="A64" s="18" t="inlineStr">
        <is>
          <t>11g. Fees for services: other</t>
        </is>
      </c>
      <c r="B64" s="9" t="n">
        <v>0</v>
      </c>
      <c r="C64" s="9" t="n"/>
      <c r="D64" s="9" t="n"/>
      <c r="E64" s="9" t="n"/>
    </row>
    <row r="65">
      <c r="A65" s="18" t="inlineStr">
        <is>
          <t>12. Advertising and promotion</t>
        </is>
      </c>
      <c r="B65" s="9" t="n">
        <v>0</v>
      </c>
      <c r="C65" s="9" t="n"/>
      <c r="D65" s="9" t="n"/>
      <c r="E65" s="9" t="n"/>
    </row>
    <row r="66">
      <c r="A66" s="18" t="inlineStr">
        <is>
          <t>13. Office expenses</t>
        </is>
      </c>
      <c r="B66" s="9" t="n">
        <v>1719</v>
      </c>
      <c r="C66" s="9" t="n"/>
      <c r="D66" s="9" t="n">
        <v>1719</v>
      </c>
      <c r="E66" s="9" t="n"/>
    </row>
    <row r="67">
      <c r="A67" s="18" t="inlineStr">
        <is>
          <t>14. Information technology</t>
        </is>
      </c>
      <c r="B67" s="9" t="n">
        <v>0</v>
      </c>
      <c r="C67" s="9" t="n"/>
      <c r="D67" s="9" t="n"/>
      <c r="E67" s="9" t="n"/>
    </row>
    <row r="68">
      <c r="A68" s="18" t="inlineStr">
        <is>
          <t>15. Royalties</t>
        </is>
      </c>
      <c r="B68" s="9" t="n">
        <v>0</v>
      </c>
      <c r="C68" s="9" t="n"/>
      <c r="D68" s="9" t="n"/>
      <c r="E68" s="9" t="n"/>
    </row>
    <row r="69">
      <c r="A69" s="18" t="inlineStr">
        <is>
          <t>16. Occupancy</t>
        </is>
      </c>
      <c r="B69" s="9" t="n">
        <v>0</v>
      </c>
      <c r="C69" s="9" t="n"/>
      <c r="D69" s="9" t="n"/>
      <c r="E69" s="9" t="n"/>
    </row>
    <row r="70">
      <c r="A70" s="18" t="inlineStr">
        <is>
          <t>17. Travel</t>
        </is>
      </c>
      <c r="B70" s="9" t="n">
        <v>0</v>
      </c>
      <c r="C70" s="9" t="n"/>
      <c r="D70" s="9" t="n"/>
      <c r="E70" s="9" t="n"/>
    </row>
    <row r="71">
      <c r="A71" s="18" t="inlineStr">
        <is>
          <t>18. Payments of travel/entertainment for public officials</t>
        </is>
      </c>
      <c r="B71" s="9" t="n">
        <v>0</v>
      </c>
      <c r="C71" s="9" t="n"/>
      <c r="D71" s="9" t="n"/>
      <c r="E71" s="9" t="n"/>
    </row>
    <row r="72">
      <c r="A72" s="18" t="inlineStr">
        <is>
          <t>19. Conferences, conventions, and meetings</t>
        </is>
      </c>
      <c r="B72" s="9" t="n">
        <v>0</v>
      </c>
      <c r="C72" s="9" t="n"/>
      <c r="D72" s="9" t="n"/>
      <c r="E72" s="9" t="n"/>
    </row>
    <row r="73">
      <c r="A73" s="18" t="inlineStr">
        <is>
          <t>20. Interest</t>
        </is>
      </c>
      <c r="B73" s="9" t="n">
        <v>0</v>
      </c>
      <c r="C73" s="9" t="n"/>
      <c r="D73" s="9" t="n"/>
      <c r="E73" s="9" t="n"/>
    </row>
    <row r="74">
      <c r="A74" s="18" t="inlineStr">
        <is>
          <t>21. Payments to affiliates</t>
        </is>
      </c>
      <c r="B74" s="9" t="n">
        <v>0</v>
      </c>
      <c r="C74" s="9" t="n"/>
      <c r="D74" s="9" t="n"/>
      <c r="E74" s="9" t="n"/>
    </row>
    <row r="75">
      <c r="A75" s="18" t="inlineStr">
        <is>
          <t>22. Depreciation, depletion, and amortization</t>
        </is>
      </c>
      <c r="B75" s="9" t="n">
        <v>65694</v>
      </c>
      <c r="C75" s="9" t="n">
        <v>65694</v>
      </c>
      <c r="D75" s="9" t="n"/>
      <c r="E75" s="9" t="n"/>
    </row>
    <row r="76">
      <c r="A76" s="18" t="inlineStr">
        <is>
          <t>23. Insurance</t>
        </is>
      </c>
      <c r="B76" s="9" t="n">
        <v>5626</v>
      </c>
      <c r="C76" s="9" t="n"/>
      <c r="D76" s="9" t="n">
        <v>5626</v>
      </c>
      <c r="E76" s="9" t="n"/>
    </row>
    <row r="77">
      <c r="A77" s="10" t="inlineStr">
        <is>
          <t>25. Total (filed col A / B / C / D)</t>
        </is>
      </c>
      <c r="B77" s="11" t="n">
        <v>185932</v>
      </c>
      <c r="C77" s="11" t="n">
        <v>169636</v>
      </c>
      <c r="D77" s="11" t="n">
        <v>16296</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9:G7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Balance Sheet - Form 990 Part X (end of year, USD)</t>
        </is>
      </c>
    </row>
    <row r="3">
      <c r="A3" s="2" t="inlineStr">
        <is>
          <t>Entity ID: cawc_0157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267006</v>
      </c>
      <c r="C7" s="9" t="n">
        <v>134977</v>
      </c>
      <c r="D7" s="9" t="n">
        <v>171913</v>
      </c>
      <c r="E7" s="9" t="n">
        <v>223009</v>
      </c>
      <c r="F7" s="9" t="n">
        <v>103817</v>
      </c>
      <c r="G7" s="9" t="n">
        <v>99372</v>
      </c>
    </row>
    <row r="8">
      <c r="A8" s="8" t="inlineStr">
        <is>
          <t xml:space="preserve">    2. Savings and temporary cash investments</t>
        </is>
      </c>
      <c r="B8" s="9" t="n">
        <v>0</v>
      </c>
      <c r="C8" s="9" t="n">
        <v>0</v>
      </c>
      <c r="D8" s="9" t="n">
        <v>0</v>
      </c>
      <c r="E8" s="9" t="n">
        <v>0</v>
      </c>
      <c r="F8" s="9" t="n">
        <v>131046</v>
      </c>
      <c r="G8" s="9" t="n">
        <v>67817</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902</v>
      </c>
      <c r="D10" s="9" t="n">
        <v>3056</v>
      </c>
      <c r="E10" s="9" t="n">
        <v>-777</v>
      </c>
      <c r="F10" s="9" t="n">
        <v>703</v>
      </c>
      <c r="G10" s="9" t="n">
        <v>4103</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475459</v>
      </c>
      <c r="C16" s="9" t="n">
        <v>610074</v>
      </c>
      <c r="D16" s="9" t="n">
        <v>579983</v>
      </c>
      <c r="E16" s="9" t="n">
        <v>565651</v>
      </c>
      <c r="F16" s="9" t="n">
        <v>554069</v>
      </c>
      <c r="G16" s="9" t="n">
        <v>645897</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2255</v>
      </c>
      <c r="C21" s="9" t="n">
        <v>17039</v>
      </c>
      <c r="D21" s="9" t="n">
        <v>11929</v>
      </c>
      <c r="E21" s="9" t="n">
        <v>7677</v>
      </c>
      <c r="F21" s="9" t="n">
        <v>7677</v>
      </c>
      <c r="G21" s="9" t="n">
        <v>4468</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9" t="n">
        <v>1463</v>
      </c>
      <c r="D25" s="9" t="n">
        <v>90</v>
      </c>
      <c r="E25" s="9" t="n">
        <v>601</v>
      </c>
      <c r="F25" s="9" t="n">
        <v>5763</v>
      </c>
      <c r="G25" s="9" t="n">
        <v>400</v>
      </c>
    </row>
    <row r="26">
      <c r="A26" s="8" t="inlineStr">
        <is>
          <t xml:space="preserve">    25. Other liabilities</t>
        </is>
      </c>
      <c r="B26" s="9" t="n">
        <v>1804</v>
      </c>
      <c r="C26" s="9" t="n">
        <v>1800</v>
      </c>
      <c r="D26" s="9" t="n">
        <v>1800</v>
      </c>
      <c r="E26" s="9" t="n">
        <v>1800</v>
      </c>
      <c r="F26" s="9" t="n">
        <v>1801</v>
      </c>
      <c r="G26" s="9" t="n">
        <v>1800</v>
      </c>
    </row>
    <row r="27">
      <c r="A27" s="10" t="inlineStr">
        <is>
          <t>26. Total liabilities</t>
        </is>
      </c>
      <c r="B27" s="11">
        <f>SUM(B25:B26)</f>
        <v/>
      </c>
      <c r="C27" s="11">
        <f>SUM(C25:C26)</f>
        <v/>
      </c>
      <c r="D27" s="11">
        <f>SUM(D25:D26)</f>
        <v/>
      </c>
      <c r="E27" s="11">
        <f>SUM(E25:E26)</f>
        <v/>
      </c>
      <c r="F27" s="11">
        <f>SUM(F25:F26)</f>
        <v/>
      </c>
      <c r="G27" s="11">
        <f>SUM(G25:G26)</f>
        <v/>
      </c>
    </row>
    <row r="29">
      <c r="A29" s="6" t="inlineStr">
        <is>
          <t>Net assets / fund balances</t>
        </is>
      </c>
      <c r="B29" s="7" t="n"/>
      <c r="C29" s="7" t="n"/>
      <c r="D29" s="7" t="n"/>
      <c r="E29" s="7" t="n"/>
      <c r="F29" s="7" t="n"/>
      <c r="G29" s="7" t="n"/>
    </row>
    <row r="30">
      <c r="A30" s="8" t="inlineStr">
        <is>
          <t xml:space="preserve">    30. Paid-in or capital surplus</t>
        </is>
      </c>
      <c r="B30" s="9" t="n">
        <v>651305</v>
      </c>
      <c r="C30" s="9" t="n">
        <v>674705</v>
      </c>
      <c r="D30" s="9" t="n">
        <v>698105</v>
      </c>
      <c r="E30" s="9" t="n">
        <v>721505</v>
      </c>
      <c r="F30" s="9" t="n">
        <v>744905</v>
      </c>
      <c r="G30" s="9" t="n">
        <v>768336</v>
      </c>
    </row>
    <row r="31">
      <c r="A31" s="8" t="inlineStr">
        <is>
          <t xml:space="preserve">    31. Retained earnings / accumulated funds</t>
        </is>
      </c>
      <c r="B31" s="9" t="n">
        <v>91611</v>
      </c>
      <c r="C31" s="9" t="n">
        <v>85024</v>
      </c>
      <c r="D31" s="9" t="n">
        <v>66886</v>
      </c>
      <c r="E31" s="9" t="n">
        <v>71654</v>
      </c>
      <c r="F31" s="9" t="n">
        <v>44843</v>
      </c>
      <c r="G31" s="9" t="n">
        <v>51121</v>
      </c>
    </row>
    <row r="32">
      <c r="A32" s="10" t="inlineStr">
        <is>
          <t>32. Total net assets / fund balances</t>
        </is>
      </c>
      <c r="B32" s="11">
        <f>SUM(B30:B31)</f>
        <v/>
      </c>
      <c r="C32" s="11">
        <f>SUM(C30:C31)</f>
        <v/>
      </c>
      <c r="D32" s="11">
        <f>SUM(D30:D31)</f>
        <v/>
      </c>
      <c r="E32" s="11">
        <f>SUM(E30:E31)</f>
        <v/>
      </c>
      <c r="F32" s="11">
        <f>SUM(F30:F31)</f>
        <v/>
      </c>
      <c r="G32" s="11">
        <f>SUM(G30:G31)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Reconciliation of Net Assets - Form 990 Part XI (USD)</t>
        </is>
      </c>
    </row>
    <row r="3">
      <c r="A3" s="2" t="inlineStr">
        <is>
          <t>Entity ID: cawc_0157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716409</v>
      </c>
      <c r="C7" s="9" t="n">
        <v>742916</v>
      </c>
      <c r="D7" s="9" t="n">
        <v>759729</v>
      </c>
      <c r="E7" s="9" t="n">
        <v>764991</v>
      </c>
      <c r="F7" s="9" t="n">
        <v>793159</v>
      </c>
      <c r="G7" s="9" t="n">
        <v>789748</v>
      </c>
    </row>
    <row r="8">
      <c r="A8" s="8" t="inlineStr">
        <is>
          <t xml:space="preserve">    3. Revenue less expenses</t>
        </is>
      </c>
      <c r="B8" s="9" t="n">
        <v>3107</v>
      </c>
      <c r="C8" s="9" t="n">
        <v>-9728</v>
      </c>
      <c r="D8" s="9" t="n">
        <v>-16333</v>
      </c>
      <c r="E8" s="9" t="n">
        <v>8611</v>
      </c>
      <c r="F8" s="9" t="n">
        <v>-26811</v>
      </c>
      <c r="G8" s="9" t="n">
        <v>6288</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9" t="n">
        <v>23400</v>
      </c>
      <c r="C10" s="9" t="n">
        <v>26541</v>
      </c>
      <c r="D10" s="9" t="n">
        <v>21595</v>
      </c>
      <c r="E10" s="9" t="n">
        <v>19557</v>
      </c>
      <c r="F10" s="9" t="n">
        <v>23400</v>
      </c>
      <c r="G10" s="9" t="n">
        <v>19596</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Cash Flow Proxies - derived (USD)</t>
        </is>
      </c>
    </row>
    <row r="3">
      <c r="A3" s="2" t="inlineStr">
        <is>
          <t>Entity ID: cawc_0157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3107</v>
      </c>
      <c r="C9" s="9" t="n">
        <v>-9728</v>
      </c>
      <c r="D9" s="9" t="n">
        <v>-16333</v>
      </c>
      <c r="E9" s="9" t="n">
        <v>8611</v>
      </c>
      <c r="F9" s="9" t="n">
        <v>-26811</v>
      </c>
      <c r="G9" s="9" t="n">
        <v>6288</v>
      </c>
    </row>
    <row r="10">
      <c r="A10" s="8" t="inlineStr">
        <is>
          <t xml:space="preserve">    + Depreciation (reported)</t>
        </is>
      </c>
      <c r="B10" s="9" t="n">
        <v>37237</v>
      </c>
      <c r="C10" s="9" t="n">
        <v>49235</v>
      </c>
      <c r="D10" s="9" t="n">
        <v>53408</v>
      </c>
      <c r="E10" s="9" t="n">
        <v>55601</v>
      </c>
      <c r="F10" s="9" t="n">
        <v>60312</v>
      </c>
      <c r="G10" s="9" t="n">
        <v>65694</v>
      </c>
    </row>
    <row r="11">
      <c r="A11" s="8" t="inlineStr">
        <is>
          <t xml:space="preserve">    − Δ Accounts receivable</t>
        </is>
      </c>
      <c r="B11" s="9" t="n"/>
      <c r="C11" s="9" t="n">
        <v>-902</v>
      </c>
      <c r="D11" s="9" t="n">
        <v>-2154</v>
      </c>
      <c r="E11" s="9" t="n">
        <v>3833</v>
      </c>
      <c r="F11" s="9" t="n">
        <v>-1480</v>
      </c>
      <c r="G11" s="9" t="n">
        <v>-3400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v>-1373</v>
      </c>
      <c r="E14" s="9" t="n">
        <v>511</v>
      </c>
      <c r="F14" s="9" t="n">
        <v>5162</v>
      </c>
      <c r="G14" s="9" t="n">
        <v>-5363</v>
      </c>
    </row>
    <row r="15">
      <c r="A15" s="10" t="inlineStr">
        <is>
          <t xml:space="preserve">    Operating cash flow proxy</t>
        </is>
      </c>
      <c r="B15" s="11" t="n"/>
      <c r="C15" s="11" t="n">
        <v>38605</v>
      </c>
      <c r="D15" s="11" t="n">
        <v>33548</v>
      </c>
      <c r="E15" s="11" t="n">
        <v>68556</v>
      </c>
      <c r="F15" s="11" t="n">
        <v>37183</v>
      </c>
      <c r="G15" s="11" t="n">
        <v>63219</v>
      </c>
    </row>
    <row r="17">
      <c r="A17" s="6" t="inlineStr">
        <is>
          <t>Investing</t>
        </is>
      </c>
      <c r="B17" s="7" t="n"/>
      <c r="C17" s="7" t="n"/>
      <c r="D17" s="7" t="n"/>
      <c r="E17" s="7" t="n"/>
      <c r="F17" s="7" t="n"/>
      <c r="G17" s="7" t="n"/>
    </row>
    <row r="18">
      <c r="A18" s="8" t="inlineStr">
        <is>
          <t xml:space="preserve">    − Δ PP&amp;E gross (capex proxy)</t>
        </is>
      </c>
      <c r="B18" s="9" t="n"/>
      <c r="C18" s="9" t="n">
        <v>-183850</v>
      </c>
      <c r="D18" s="9" t="n">
        <v>-23317</v>
      </c>
      <c r="E18" s="9" t="n">
        <v>-41269</v>
      </c>
      <c r="F18" s="9" t="n">
        <v>-48730</v>
      </c>
      <c r="G18" s="9" t="n">
        <v>-157522</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-132029</v>
      </c>
      <c r="D24" s="11" t="n">
        <v>36936</v>
      </c>
      <c r="E24" s="11" t="n">
        <v>51096</v>
      </c>
      <c r="F24" s="11" t="n">
        <v>11854</v>
      </c>
      <c r="G24" s="11" t="n">
        <v>-67674</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Rancho Robles Mutual Water &amp; Road Co</t>
        </is>
      </c>
    </row>
    <row r="2">
      <c r="A2" s="2" t="inlineStr">
        <is>
          <t>Financial Ratios</t>
        </is>
      </c>
    </row>
    <row r="3">
      <c r="A3" s="2" t="inlineStr">
        <is>
          <t>Entity ID: cawc_0157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0.02327829057779909</v>
      </c>
      <c r="C7" s="12" t="n">
        <v>-0.06889469621319963</v>
      </c>
      <c r="D7" s="12" t="n">
        <v>-0.1047007314243223</v>
      </c>
      <c r="E7" s="12" t="n">
        <v>0.05722507243680056</v>
      </c>
      <c r="F7" s="12" t="n">
        <v>-0.1500554081735451</v>
      </c>
      <c r="G7" s="12" t="n">
        <v>0.03271251690770992</v>
      </c>
    </row>
    <row r="8">
      <c r="A8" s="8" t="inlineStr">
        <is>
          <t xml:space="preserve">    Expense ratio (expenses / revenue)</t>
        </is>
      </c>
      <c r="B8" s="12" t="n">
        <v>0.9767217094222009</v>
      </c>
      <c r="C8" s="12" t="n">
        <v>1.0688946962132</v>
      </c>
      <c r="D8" s="12" t="n">
        <v>1.104700731424322</v>
      </c>
      <c r="E8" s="12" t="n">
        <v>0.9427749275631995</v>
      </c>
      <c r="F8" s="12" t="n">
        <v>1.150055408173545</v>
      </c>
      <c r="G8" s="12" t="n">
        <v>0.9672874830922901</v>
      </c>
    </row>
    <row r="9">
      <c r="A9" s="8" t="inlineStr">
        <is>
          <t xml:space="preserve">    Return on assets (NI / assets)</t>
        </is>
      </c>
      <c r="B9" s="12" t="n">
        <v>0.004172037812869267</v>
      </c>
      <c r="C9" s="12" t="n">
        <v>-0.01274980602679976</v>
      </c>
      <c r="D9" s="12" t="n">
        <v>-0.02129795887497539</v>
      </c>
      <c r="E9" s="12" t="n">
        <v>0.01082382221328372</v>
      </c>
      <c r="F9" s="12" t="n">
        <v>-0.03362673583239685</v>
      </c>
      <c r="G9" s="12" t="n">
        <v>0.007652828369988937</v>
      </c>
    </row>
    <row r="10">
      <c r="A10" s="8" t="inlineStr">
        <is>
          <t xml:space="preserve">    Revenue growth (YoY)</t>
        </is>
      </c>
      <c r="B10" s="12" t="n">
        <v>0.009904436188645839</v>
      </c>
      <c r="C10" s="12" t="n">
        <v>0.05790727643251019</v>
      </c>
      <c r="D10" s="12" t="n">
        <v>0.104786793294665</v>
      </c>
      <c r="E10" s="12" t="n">
        <v>-0.03539170625076123</v>
      </c>
      <c r="F10" s="12" t="n">
        <v>0.1873920093569739</v>
      </c>
      <c r="G10" s="12" t="n">
        <v>0.07581405240829668</v>
      </c>
    </row>
    <row r="12">
      <c r="A12" s="6" t="inlineStr">
        <is>
          <t>Leverage &amp; solvency</t>
        </is>
      </c>
      <c r="B12" s="7" t="n"/>
      <c r="C12" s="7" t="n"/>
      <c r="D12" s="7" t="n"/>
      <c r="E12" s="7" t="n"/>
      <c r="F12" s="7" t="n"/>
      <c r="G12" s="7" t="n"/>
    </row>
    <row r="13">
      <c r="A13" s="8" t="inlineStr">
        <is>
          <t xml:space="preserve">    Debt-to-assets (liab. / assets)</t>
        </is>
      </c>
      <c r="B13" s="12" t="n">
        <v>0.002422386937372435</v>
      </c>
      <c r="C13" s="12" t="n">
        <v>0.004276584813471177</v>
      </c>
      <c r="D13" s="12" t="n">
        <v>0.002464528394887864</v>
      </c>
      <c r="E13" s="12" t="n">
        <v>0.003017999899441902</v>
      </c>
      <c r="F13" s="12" t="n">
        <v>0.009486875903034195</v>
      </c>
      <c r="G13" s="12" t="n">
        <v>0.00267751628720987</v>
      </c>
    </row>
    <row r="14">
      <c r="A14" s="8" t="inlineStr">
        <is>
          <t xml:space="preserve">    Equity ratio (net assets / assets)</t>
        </is>
      </c>
      <c r="B14" s="12" t="n">
        <v>0.9975776130626276</v>
      </c>
      <c r="C14" s="12" t="n">
        <v>0.9957234151865288</v>
      </c>
      <c r="D14" s="12" t="n">
        <v>0.9975354716051121</v>
      </c>
      <c r="E14" s="12" t="n">
        <v>0.9969820001005582</v>
      </c>
      <c r="F14" s="12" t="n">
        <v>0.9905131240969658</v>
      </c>
      <c r="G14" s="12" t="n">
        <v>0.9973224837127901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v>92.87696514012303</v>
      </c>
      <c r="D17" s="19" t="n">
        <v>1944.1</v>
      </c>
      <c r="E17" s="19" t="n">
        <v>369.7703826955075</v>
      </c>
      <c r="F17" s="19" t="n">
        <v>40.87558563248308</v>
      </c>
      <c r="G17" s="19" t="n">
        <v>428.23</v>
      </c>
    </row>
    <row r="18">
      <c r="A18" s="8" t="inlineStr">
        <is>
          <t xml:space="preserve">    Cash ratio ((cash+temp inv.) / total liab.)</t>
        </is>
      </c>
      <c r="B18" s="19" t="n">
        <v>148.0077605321508</v>
      </c>
      <c r="C18" s="19" t="n">
        <v>41.36592093165798</v>
      </c>
      <c r="D18" s="19" t="n">
        <v>90.95925925925926</v>
      </c>
      <c r="E18" s="19" t="n">
        <v>92.8817159516868</v>
      </c>
      <c r="F18" s="19" t="n">
        <v>31.05010576414595</v>
      </c>
      <c r="G18" s="19" t="n">
        <v>75.995</v>
      </c>
    </row>
    <row r="19">
      <c r="A19" s="8" t="inlineStr">
        <is>
          <t xml:space="preserve">    Asset age proxy (accum. deprec. / gross PP&amp;E)</t>
        </is>
      </c>
      <c r="B19" s="12" t="n">
        <v>0.4980998988723955</v>
      </c>
      <c r="C19" s="12" t="n">
        <v>0.4606689722481541</v>
      </c>
      <c r="D19" s="12" t="n">
        <v>0.4976262142860237</v>
      </c>
      <c r="E19" s="12" t="n">
        <v>0.5269503593548506</v>
      </c>
      <c r="F19" s="12" t="n">
        <v>0.5547801337743193</v>
      </c>
      <c r="G19" s="12" t="n">
        <v>0.539305109963866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Rancho Robles Mutual Water &amp; Road Co</t>
        </is>
      </c>
    </row>
    <row r="2">
      <c r="A2" s="2" t="inlineStr">
        <is>
          <t>Unit economics - per-customer revenue by category (USD)</t>
        </is>
      </c>
    </row>
    <row r="3">
      <c r="A3" s="2" t="inlineStr">
        <is>
          <t>Entity ID: cawc_0157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Rancho Robles Mutual Water &amp; Road Co</t>
        </is>
      </c>
    </row>
    <row r="2">
      <c r="A2" s="2" t="inlineStr">
        <is>
          <t>Rate structure and representative bill - eAR Section 8a</t>
        </is>
      </c>
    </row>
    <row r="3">
      <c r="A3" s="2" t="inlineStr">
        <is>
          <t>Entity ID: cawc_0157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Rancho Robles Mutual Water &amp; Road Co</t>
        </is>
      </c>
    </row>
    <row r="2">
      <c r="A2" s="2" t="inlineStr">
        <is>
          <t>Operational metrics - plant per acre, density, terrain</t>
        </is>
      </c>
    </row>
    <row r="3">
      <c r="A3" s="2" t="inlineStr">
        <is>
          <t>Entity ID: cawc_0157   |   Fiscal year ends December 31.</t>
        </is>
      </c>
    </row>
    <row r="5">
      <c r="A5" s="6" t="inlineStr">
        <is>
          <t>Plant assets per acre</t>
        </is>
      </c>
      <c r="B5" s="7" t="n"/>
      <c r="C5" s="7" t="n"/>
    </row>
    <row r="6">
      <c r="A6" s="20" t="inlineStr">
        <is>
          <t>Service-area acres</t>
        </is>
      </c>
      <c r="B6" s="26" t="n">
        <v>385.8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2932.0062</v>
      </c>
      <c r="C8" s="9" t="n">
        <v>1581.3219</v>
      </c>
    </row>
    <row r="9">
      <c r="A9" s="18" t="inlineStr">
        <is>
          <t>FY2022</t>
        </is>
      </c>
      <c r="B9" s="9" t="n">
        <v>2992.4443</v>
      </c>
      <c r="C9" s="9" t="n">
        <v>1503.3256</v>
      </c>
    </row>
    <row r="10">
      <c r="A10" s="18" t="inlineStr">
        <is>
          <t>FY2023</t>
        </is>
      </c>
      <c r="B10" s="9" t="n">
        <v>3099.4142</v>
      </c>
      <c r="C10" s="9" t="n">
        <v>1466.1768</v>
      </c>
    </row>
    <row r="11">
      <c r="A11" s="18" t="inlineStr">
        <is>
          <t>FY2024</t>
        </is>
      </c>
      <c r="B11" s="9" t="n">
        <v>3225.7232</v>
      </c>
      <c r="C11" s="9" t="n">
        <v>1436.156</v>
      </c>
    </row>
    <row r="12">
      <c r="A12" s="18" t="inlineStr">
        <is>
          <t>FY2025</t>
        </is>
      </c>
      <c r="B12" s="9" t="n">
        <v>3634.0228</v>
      </c>
      <c r="C12" s="9" t="n">
        <v>1674.1757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0.1</v>
      </c>
      <c r="C19" s="22" t="inlineStr">
        <is>
          <t>37 connections / 385.8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Rancho Robles Mutual Water &amp; Road Co</t>
        </is>
      </c>
    </row>
    <row r="2">
      <c r="A2" s="2" t="inlineStr">
        <is>
          <t>Supply and weather indicators (DWR water year)</t>
        </is>
      </c>
    </row>
    <row r="3">
      <c r="A3" s="2" t="inlineStr">
        <is>
          <t>Entity ID: cawc_0157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Rancho Robles Mutual Water &amp; Road Co</t>
        </is>
      </c>
    </row>
    <row r="2">
      <c r="A2" s="2" t="inlineStr">
        <is>
          <t>How this was built - forensic lineage</t>
        </is>
      </c>
    </row>
    <row r="3">
      <c r="A3" s="2" t="inlineStr">
        <is>
          <t>Entity ID: cawc_0157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Rancho Robles Mutual Water &amp; Road Co</t>
        </is>
      </c>
    </row>
    <row r="2">
      <c r="A2" s="2" t="inlineStr">
        <is>
          <t>Anomaly Flags (automated; kept separate from the clean statements)</t>
        </is>
      </c>
    </row>
    <row r="3">
      <c r="A3" s="2" t="inlineStr">
        <is>
          <t>Entity ID: cawc_0157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net assets do not sum to the lines we extract</t>
        </is>
      </c>
      <c r="B7" s="7" t="n"/>
    </row>
    <row r="8">
      <c r="A8" s="20" t="inlineStr">
        <is>
          <t>Affected figure</t>
        </is>
      </c>
      <c r="B8" s="22" t="inlineStr">
        <is>
          <t>Net assets FY2025</t>
        </is>
      </c>
    </row>
    <row r="9">
      <c r="A9" s="20" t="inlineStr">
        <is>
          <t>Confidence</t>
        </is>
      </c>
      <c r="B9" s="22" t="inlineStr">
        <is>
          <t>medium</t>
        </is>
      </c>
    </row>
    <row r="10" ht="72" customHeight="1">
      <c r="A10" s="20" t="inlineStr">
        <is>
          <t>What happened (filed, sourced)</t>
        </is>
      </c>
      <c r="B10" s="22" t="inlineStr">
        <is>
          <t>FY2025 net assets are carried exactly as filed at $819,457. The lines we extracted do not sum to that total: the ending net assets it reports (Form 990 Part XI line 10) should equal the beginning net assets (line 4) plus revenue less expenses (line 3) plus other changes (lines 5-9), which computes to $815,632 (a difference of $3,825 against the $819,457 on the form). This may mean a line on the form that we do not yet read, rather than an error by the company. The filed figure is kept and the difference is flagged, not reconciled.</t>
        </is>
      </c>
    </row>
    <row r="11" ht="54" customHeight="1">
      <c r="A11" s="20" t="inlineStr">
        <is>
          <t>Source lines</t>
        </is>
      </c>
      <c r="B11" s="22" t="inlineStr">
        <is>
          <t>- Net assets, end of year (as filed): $819,457 (Form 990 Part XI line 10 / Part X line 32 (net assets, end of year))
- Net assets, end of year (recomputed from the lines we extract): $815,632
- Difference (as filed less our computed sum): $3,825</t>
        </is>
      </c>
    </row>
    <row r="12" ht="72" customHeight="1">
      <c r="A12" s="20" t="inlineStr">
        <is>
          <t>Confidence reasoning</t>
        </is>
      </c>
      <c r="B12" s="22"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2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Rancho Robles Mutual Water &amp; Road Co</t>
        </is>
      </c>
    </row>
    <row r="2">
      <c r="A2" s="2" t="inlineStr">
        <is>
          <t>Sources &amp; audit - full provenance and tie-outs (kept off the statements so they read clean)</t>
        </is>
      </c>
    </row>
    <row r="3">
      <c r="A3" s="2" t="inlineStr">
        <is>
          <t>Entity ID: cawc_0157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a4e17f40-22b9-45df-81bc-579f280e8dff</t>
        </is>
      </c>
      <c r="F10" s="8" t="inlineStr">
        <is>
          <t>202101379349311685</t>
        </is>
      </c>
      <c r="G10" s="8" t="inlineStr">
        <is>
          <t>claude-opus-5</t>
        </is>
      </c>
      <c r="H10" s="8" t="inlineStr">
        <is>
          <t>2026-10-05T16:06:09+00:00</t>
        </is>
      </c>
      <c r="I10" s="8" t="inlineStr">
        <is>
          <t>https://apps.irs.gov/pub/epostcard/990/xml/2021/2021_TEOS_XML_01A.zip#202101379349311685_public.xml</t>
        </is>
      </c>
    </row>
    <row r="11">
      <c r="A11" s="27" t="inlineStr">
        <is>
          <t>FY2021</t>
        </is>
      </c>
      <c r="B11" s="8" t="inlineStr">
        <is>
          <t>2021-12-31</t>
        </is>
      </c>
      <c r="C11" s="8" t="inlineStr">
        <is>
          <t>990</t>
        </is>
      </c>
      <c r="D11" s="8" t="inlineStr">
        <is>
          <t>high</t>
        </is>
      </c>
      <c r="E11" s="8" t="inlineStr">
        <is>
          <t>2db161fe-7380-4385-ad29-8e49b87cc60d</t>
        </is>
      </c>
      <c r="F11" s="8" t="inlineStr">
        <is>
          <t>202300609349301135</t>
        </is>
      </c>
      <c r="G11" s="8" t="inlineStr">
        <is>
          <t>claude-opus-5</t>
        </is>
      </c>
      <c r="H11" s="8" t="inlineStr">
        <is>
          <t>2026-10-05T16:06:09+00:00</t>
        </is>
      </c>
      <c r="I11" s="8" t="inlineStr">
        <is>
          <t>https://apps.irs.gov/pub/epostcard/990/xml/2023/2023_TEOS_XML_03A.zip#202300609349301135_public.xml</t>
        </is>
      </c>
    </row>
    <row r="12">
      <c r="A12" s="27" t="inlineStr">
        <is>
          <t>FY2022</t>
        </is>
      </c>
      <c r="B12" s="8" t="inlineStr">
        <is>
          <t>2022-12-31</t>
        </is>
      </c>
      <c r="C12" s="8" t="inlineStr">
        <is>
          <t>990</t>
        </is>
      </c>
      <c r="D12" s="8" t="inlineStr">
        <is>
          <t>high</t>
        </is>
      </c>
      <c r="E12" s="8" t="inlineStr">
        <is>
          <t>ac303b7d-2963-4f72-b16c-ac31e61e4000</t>
        </is>
      </c>
      <c r="F12" s="8" t="inlineStr">
        <is>
          <t>202310829349301966</t>
        </is>
      </c>
      <c r="G12" s="8" t="inlineStr">
        <is>
          <t>claude-opus-5</t>
        </is>
      </c>
      <c r="H12" s="8" t="inlineStr">
        <is>
          <t>2026-10-05T16:06:09+00:00</t>
        </is>
      </c>
      <c r="I12" s="8" t="inlineStr">
        <is>
          <t>https://apps.irs.gov/pub/epostcard/990/xml/2023/2023_TEOS_XML_03A.zip#202310829349301966_public.xml</t>
        </is>
      </c>
    </row>
    <row r="13">
      <c r="A13" s="27" t="inlineStr">
        <is>
          <t>FY2023</t>
        </is>
      </c>
      <c r="B13" s="8" t="inlineStr">
        <is>
          <t>2023-12-31</t>
        </is>
      </c>
      <c r="C13" s="8" t="inlineStr">
        <is>
          <t>990</t>
        </is>
      </c>
      <c r="D13" s="8" t="inlineStr">
        <is>
          <t>high</t>
        </is>
      </c>
      <c r="E13" s="8" t="inlineStr">
        <is>
          <t>ca228490-6dae-404d-8e82-f48c827971d4</t>
        </is>
      </c>
      <c r="F13" s="8" t="inlineStr">
        <is>
          <t>202420739349301127</t>
        </is>
      </c>
      <c r="G13" s="8" t="inlineStr">
        <is>
          <t>claude-opus-5</t>
        </is>
      </c>
      <c r="H13" s="8" t="inlineStr">
        <is>
          <t>2026-10-05T16:06:09+00:00</t>
        </is>
      </c>
      <c r="I13" s="8" t="inlineStr">
        <is>
          <t>https://apps.irs.gov/pub/epostcard/990/xml/2024/2024_TEOS_XML_03A.zip#202420739349301127_public.xml</t>
        </is>
      </c>
    </row>
    <row r="14">
      <c r="A14" s="27" t="inlineStr">
        <is>
          <t>FY2024</t>
        </is>
      </c>
      <c r="B14" s="8" t="inlineStr">
        <is>
          <t>2024-12-31</t>
        </is>
      </c>
      <c r="C14" s="8" t="inlineStr">
        <is>
          <t>990</t>
        </is>
      </c>
      <c r="D14" s="8" t="inlineStr">
        <is>
          <t>high</t>
        </is>
      </c>
      <c r="E14" s="8" t="inlineStr">
        <is>
          <t>5d9571d4-58b7-4d33-aa80-0574afee8146</t>
        </is>
      </c>
      <c r="F14" s="8" t="inlineStr">
        <is>
          <t>202510759349300806</t>
        </is>
      </c>
      <c r="G14" s="8" t="inlineStr">
        <is>
          <t>claude-opus-5</t>
        </is>
      </c>
      <c r="H14" s="8" t="inlineStr">
        <is>
          <t>2026-10-05T16:06:09+00:00</t>
        </is>
      </c>
      <c r="I14" s="8" t="inlineStr">
        <is>
          <t>https://apps.irs.gov/pub/epostcard/990/xml/2025/2025_TEOS_XML_03A.zip#202510759349300806_public.xml</t>
        </is>
      </c>
    </row>
    <row r="15">
      <c r="A15" s="27" t="inlineStr">
        <is>
          <t>FY2025</t>
        </is>
      </c>
      <c r="B15" s="8" t="inlineStr">
        <is>
          <t>2025-12-31</t>
        </is>
      </c>
      <c r="C15" s="8" t="inlineStr">
        <is>
          <t>990</t>
        </is>
      </c>
      <c r="D15" s="8" t="inlineStr">
        <is>
          <t>medium</t>
        </is>
      </c>
      <c r="E15" s="8" t="inlineStr">
        <is>
          <t>ba502e1a-f010-40cd-9211-0c0728263e56</t>
        </is>
      </c>
      <c r="F15" s="8" t="inlineStr">
        <is>
          <t>202611059349301041</t>
        </is>
      </c>
      <c r="G15" s="8" t="inlineStr">
        <is>
          <t>claude-opus-5</t>
        </is>
      </c>
      <c r="H15" s="8" t="inlineStr">
        <is>
          <t>2026-10-05T16:06:09+00:00</t>
        </is>
      </c>
      <c r="I15" s="8" t="inlineStr">
        <is>
          <t>https://apps.irs.gov/pub/epostcard/990/xml/2026/2026_TEOS_XML_04A.zip#202611059349301041_public.xml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133290</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140221</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155185</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146799</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169318</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179825</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182</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980</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0</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3677</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6884</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5117</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812</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2472</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7278</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0</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0</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0</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6395</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6800</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6000</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7900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7200</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7260</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690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1424</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1234</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1371</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1689</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1294</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1412</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1719</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0</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0</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0</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0</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0</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37237</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49235</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53408</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55601</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60312</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65694</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4125</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4017</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4529</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5088</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5457</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5626</v>
      </c>
    </row>
    <row r="229">
      <c r="A229" s="8" t="inlineStr">
        <is>
          <t>Operating expenses (detail)</t>
        </is>
      </c>
      <c r="B229" s="8" t="inlineStr">
        <is>
          <t>B43</t>
        </is>
      </c>
      <c r="C229" s="8" t="inlineStr">
        <is>
          <t>24e. All other expenses</t>
        </is>
      </c>
      <c r="D229" s="8" t="inlineStr">
        <is>
          <t>24e</t>
        </is>
      </c>
      <c r="E229" s="8" t="inlineStr">
        <is>
          <t>part_ix_expenses.all_other_expenses</t>
        </is>
      </c>
      <c r="F229" s="8" t="inlineStr">
        <is>
          <t>high</t>
        </is>
      </c>
      <c r="G229" s="9" t="n">
        <v>14143</v>
      </c>
    </row>
    <row r="230">
      <c r="A230" s="8" t="inlineStr">
        <is>
          <t>Operating expenses (detail)</t>
        </is>
      </c>
      <c r="B230" s="8" t="inlineStr">
        <is>
          <t>C43</t>
        </is>
      </c>
      <c r="C230" s="8" t="inlineStr">
        <is>
          <t>24e. All other expenses</t>
        </is>
      </c>
      <c r="D230" s="8" t="inlineStr">
        <is>
          <t>24e</t>
        </is>
      </c>
      <c r="E230" s="8" t="inlineStr">
        <is>
          <t>part_ix_expenses.all_other_expenses</t>
        </is>
      </c>
      <c r="F230" s="8" t="inlineStr">
        <is>
          <t>high</t>
        </is>
      </c>
      <c r="G230" s="9" t="n">
        <v>14234</v>
      </c>
    </row>
    <row r="231">
      <c r="A231" s="8" t="inlineStr">
        <is>
          <t>Operating expenses (detail)</t>
        </is>
      </c>
      <c r="B231" s="8" t="inlineStr">
        <is>
          <t>D43</t>
        </is>
      </c>
      <c r="C231" s="8" t="inlineStr">
        <is>
          <t>24e. All other expenses</t>
        </is>
      </c>
      <c r="D231" s="8" t="inlineStr">
        <is>
          <t>24e</t>
        </is>
      </c>
      <c r="E231" s="8" t="inlineStr">
        <is>
          <t>part_ix_expenses.all_other_expenses</t>
        </is>
      </c>
      <c r="F231" s="8" t="inlineStr">
        <is>
          <t>high</t>
        </is>
      </c>
      <c r="G231" s="9" t="n">
        <v>21271</v>
      </c>
    </row>
    <row r="232">
      <c r="A232" s="8" t="inlineStr">
        <is>
          <t>Operating expenses (detail)</t>
        </is>
      </c>
      <c r="B232" s="8" t="inlineStr">
        <is>
          <t>E43</t>
        </is>
      </c>
      <c r="C232" s="8" t="inlineStr">
        <is>
          <t>24e. All other expenses</t>
        </is>
      </c>
      <c r="D232" s="8" t="inlineStr">
        <is>
          <t>24e</t>
        </is>
      </c>
      <c r="E232" s="8" t="inlineStr">
        <is>
          <t>part_ix_expenses.all_other_expenses</t>
        </is>
      </c>
      <c r="F232" s="8" t="inlineStr">
        <is>
          <t>high</t>
        </is>
      </c>
      <c r="G232" s="9" t="n">
        <v>11778</v>
      </c>
    </row>
    <row r="233">
      <c r="A233" s="8" t="inlineStr">
        <is>
          <t>Operating expenses (detail)</t>
        </is>
      </c>
      <c r="B233" s="8" t="inlineStr">
        <is>
          <t>F43</t>
        </is>
      </c>
      <c r="C233" s="8" t="inlineStr">
        <is>
          <t>24e. All other expenses</t>
        </is>
      </c>
      <c r="D233" s="8" t="inlineStr">
        <is>
          <t>24e</t>
        </is>
      </c>
      <c r="E233" s="8" t="inlineStr">
        <is>
          <t>part_ix_expenses.all_other_expenses</t>
        </is>
      </c>
      <c r="F233" s="8" t="inlineStr">
        <is>
          <t>high</t>
        </is>
      </c>
      <c r="G233" s="9" t="n">
        <v>41855</v>
      </c>
    </row>
    <row r="234">
      <c r="A234" s="8" t="inlineStr">
        <is>
          <t>Operating expenses (detail)</t>
        </is>
      </c>
      <c r="B234" s="8" t="inlineStr">
        <is>
          <t>G43</t>
        </is>
      </c>
      <c r="C234" s="8" t="inlineStr">
        <is>
          <t>24e. All other expenses</t>
        </is>
      </c>
      <c r="D234" s="8" t="inlineStr">
        <is>
          <t>24e</t>
        </is>
      </c>
      <c r="E234" s="8" t="inlineStr">
        <is>
          <t>part_ix_expenses.all_other_expenses</t>
        </is>
      </c>
      <c r="F234" s="8" t="inlineStr">
        <is>
          <t>high</t>
        </is>
      </c>
      <c r="G234" s="9" t="n">
        <v>18422</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267006</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134977</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171913</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223009</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103817</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99372</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0</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0</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0</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0</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131046</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67817</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0</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902</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3056</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-777</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703</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4103</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475459</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610074</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579983</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565651</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554069</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645897</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2255</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17039</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11929</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7677</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7677</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4468</v>
      </c>
    </row>
    <row r="325">
      <c r="A325" s="8" t="inlineStr">
        <is>
          <t>Balance sheet (detail)</t>
        </is>
      </c>
      <c r="B325" s="8" t="inlineStr">
        <is>
          <t>C25</t>
        </is>
      </c>
      <c r="C325" s="8" t="inlineStr">
        <is>
          <t>17. Accounts payable and accrued expenses</t>
        </is>
      </c>
      <c r="D325" s="8" t="inlineStr">
        <is>
          <t>17E</t>
        </is>
      </c>
      <c r="E325" s="8" t="inlineStr">
        <is>
          <t>part_x_balance_sheet.accounts_payable_eoy</t>
        </is>
      </c>
      <c r="F325" s="8" t="inlineStr">
        <is>
          <t>high</t>
        </is>
      </c>
      <c r="G325" s="9" t="n">
        <v>1463</v>
      </c>
    </row>
    <row r="326">
      <c r="A326" s="8" t="inlineStr">
        <is>
          <t>Balance sheet (detail)</t>
        </is>
      </c>
      <c r="B326" s="8" t="inlineStr">
        <is>
          <t>D25</t>
        </is>
      </c>
      <c r="C326" s="8" t="inlineStr">
        <is>
          <t>17. Accounts payable and accrued expenses</t>
        </is>
      </c>
      <c r="D326" s="8" t="inlineStr">
        <is>
          <t>17E</t>
        </is>
      </c>
      <c r="E326" s="8" t="inlineStr">
        <is>
          <t>part_x_balance_sheet.accounts_payable_eoy</t>
        </is>
      </c>
      <c r="F326" s="8" t="inlineStr">
        <is>
          <t>high</t>
        </is>
      </c>
      <c r="G326" s="9" t="n">
        <v>90</v>
      </c>
    </row>
    <row r="327">
      <c r="A327" s="8" t="inlineStr">
        <is>
          <t>Balance sheet (detail)</t>
        </is>
      </c>
      <c r="B327" s="8" t="inlineStr">
        <is>
          <t>E25</t>
        </is>
      </c>
      <c r="C327" s="8" t="inlineStr">
        <is>
          <t>17. Accounts payable and accrued expenses</t>
        </is>
      </c>
      <c r="D327" s="8" t="inlineStr">
        <is>
          <t>17E</t>
        </is>
      </c>
      <c r="E327" s="8" t="inlineStr">
        <is>
          <t>part_x_balance_sheet.accounts_payable_eoy</t>
        </is>
      </c>
      <c r="F327" s="8" t="inlineStr">
        <is>
          <t>high</t>
        </is>
      </c>
      <c r="G327" s="9" t="n">
        <v>601</v>
      </c>
    </row>
    <row r="328">
      <c r="A328" s="8" t="inlineStr">
        <is>
          <t>Balance sheet (detail)</t>
        </is>
      </c>
      <c r="B328" s="8" t="inlineStr">
        <is>
          <t>F25</t>
        </is>
      </c>
      <c r="C328" s="8" t="inlineStr">
        <is>
          <t>17. Accounts payable and accrued expenses</t>
        </is>
      </c>
      <c r="D328" s="8" t="inlineStr">
        <is>
          <t>17E</t>
        </is>
      </c>
      <c r="E328" s="8" t="inlineStr">
        <is>
          <t>part_x_balance_sheet.accounts_payable_eoy</t>
        </is>
      </c>
      <c r="F328" s="8" t="inlineStr">
        <is>
          <t>high</t>
        </is>
      </c>
      <c r="G328" s="9" t="n">
        <v>5763</v>
      </c>
    </row>
    <row r="329">
      <c r="A329" s="8" t="inlineStr">
        <is>
          <t>Balance sheet (detail)</t>
        </is>
      </c>
      <c r="B329" s="8" t="inlineStr">
        <is>
          <t>G25</t>
        </is>
      </c>
      <c r="C329" s="8" t="inlineStr">
        <is>
          <t>17. Accounts payable and accrued expenses</t>
        </is>
      </c>
      <c r="D329" s="8" t="inlineStr">
        <is>
          <t>17E</t>
        </is>
      </c>
      <c r="E329" s="8" t="inlineStr">
        <is>
          <t>part_x_balance_sheet.accounts_payable_eoy</t>
        </is>
      </c>
      <c r="F329" s="8" t="inlineStr">
        <is>
          <t>high</t>
        </is>
      </c>
      <c r="G329" s="9" t="n">
        <v>400</v>
      </c>
    </row>
    <row r="330">
      <c r="A330" s="8" t="inlineStr">
        <is>
          <t>Balance sheet (detail)</t>
        </is>
      </c>
      <c r="B330" s="8" t="inlineStr">
        <is>
          <t>B26</t>
        </is>
      </c>
      <c r="C330" s="8" t="inlineStr">
        <is>
          <t>25. Other liabilities</t>
        </is>
      </c>
      <c r="D330" s="8" t="inlineStr">
        <is>
          <t>25E</t>
        </is>
      </c>
      <c r="E330" s="8" t="inlineStr">
        <is>
          <t>part_x_balance_sheet.other_liabilities_eoy</t>
        </is>
      </c>
      <c r="F330" s="8" t="inlineStr">
        <is>
          <t>high</t>
        </is>
      </c>
      <c r="G330" s="9" t="n">
        <v>1804</v>
      </c>
    </row>
    <row r="331">
      <c r="A331" s="8" t="inlineStr">
        <is>
          <t>Balance sheet (detail)</t>
        </is>
      </c>
      <c r="B331" s="8" t="inlineStr">
        <is>
          <t>C26</t>
        </is>
      </c>
      <c r="C331" s="8" t="inlineStr">
        <is>
          <t>25. Other liabilities</t>
        </is>
      </c>
      <c r="D331" s="8" t="inlineStr">
        <is>
          <t>25E</t>
        </is>
      </c>
      <c r="E331" s="8" t="inlineStr">
        <is>
          <t>part_x_balance_sheet.other_liabilities_eoy</t>
        </is>
      </c>
      <c r="F331" s="8" t="inlineStr">
        <is>
          <t>high</t>
        </is>
      </c>
      <c r="G331" s="9" t="n">
        <v>1800</v>
      </c>
    </row>
    <row r="332">
      <c r="A332" s="8" t="inlineStr">
        <is>
          <t>Balance sheet (detail)</t>
        </is>
      </c>
      <c r="B332" s="8" t="inlineStr">
        <is>
          <t>D26</t>
        </is>
      </c>
      <c r="C332" s="8" t="inlineStr">
        <is>
          <t>25. Other liabilities</t>
        </is>
      </c>
      <c r="D332" s="8" t="inlineStr">
        <is>
          <t>25E</t>
        </is>
      </c>
      <c r="E332" s="8" t="inlineStr">
        <is>
          <t>part_x_balance_sheet.other_liabilities_eoy</t>
        </is>
      </c>
      <c r="F332" s="8" t="inlineStr">
        <is>
          <t>high</t>
        </is>
      </c>
      <c r="G332" s="9" t="n">
        <v>1800</v>
      </c>
    </row>
    <row r="333">
      <c r="A333" s="8" t="inlineStr">
        <is>
          <t>Balance sheet (detail)</t>
        </is>
      </c>
      <c r="B333" s="8" t="inlineStr">
        <is>
          <t>E26</t>
        </is>
      </c>
      <c r="C333" s="8" t="inlineStr">
        <is>
          <t>25. Other liabilities</t>
        </is>
      </c>
      <c r="D333" s="8" t="inlineStr">
        <is>
          <t>25E</t>
        </is>
      </c>
      <c r="E333" s="8" t="inlineStr">
        <is>
          <t>part_x_balance_sheet.other_liabilities_eoy</t>
        </is>
      </c>
      <c r="F333" s="8" t="inlineStr">
        <is>
          <t>high</t>
        </is>
      </c>
      <c r="G333" s="9" t="n">
        <v>1800</v>
      </c>
    </row>
    <row r="334">
      <c r="A334" s="8" t="inlineStr">
        <is>
          <t>Balance sheet (detail)</t>
        </is>
      </c>
      <c r="B334" s="8" t="inlineStr">
        <is>
          <t>F26</t>
        </is>
      </c>
      <c r="C334" s="8" t="inlineStr">
        <is>
          <t>25. Other liabilities</t>
        </is>
      </c>
      <c r="D334" s="8" t="inlineStr">
        <is>
          <t>25E</t>
        </is>
      </c>
      <c r="E334" s="8" t="inlineStr">
        <is>
          <t>part_x_balance_sheet.other_liabilities_eoy</t>
        </is>
      </c>
      <c r="F334" s="8" t="inlineStr">
        <is>
          <t>high</t>
        </is>
      </c>
      <c r="G334" s="9" t="n">
        <v>1801</v>
      </c>
    </row>
    <row r="335">
      <c r="A335" s="8" t="inlineStr">
        <is>
          <t>Balance sheet (detail)</t>
        </is>
      </c>
      <c r="B335" s="8" t="inlineStr">
        <is>
          <t>G26</t>
        </is>
      </c>
      <c r="C335" s="8" t="inlineStr">
        <is>
          <t>25. Other liabilities</t>
        </is>
      </c>
      <c r="D335" s="8" t="inlineStr">
        <is>
          <t>25E</t>
        </is>
      </c>
      <c r="E335" s="8" t="inlineStr">
        <is>
          <t>part_x_balance_sheet.other_liabilities_eoy</t>
        </is>
      </c>
      <c r="F335" s="8" t="inlineStr">
        <is>
          <t>high</t>
        </is>
      </c>
      <c r="G335" s="9" t="n">
        <v>1800</v>
      </c>
    </row>
    <row r="336">
      <c r="A336" s="8" t="inlineStr">
        <is>
          <t>Balance sheet (detail)</t>
        </is>
      </c>
      <c r="B336" s="8" t="inlineStr">
        <is>
          <t>B30</t>
        </is>
      </c>
      <c r="C336" s="8" t="inlineStr">
        <is>
          <t>30. Paid-in or capital surplus</t>
        </is>
      </c>
      <c r="D336" s="8" t="inlineStr">
        <is>
          <t>30E</t>
        </is>
      </c>
      <c r="E336" s="8" t="inlineStr">
        <is>
          <t>part_x_balance_sheet.paid_in_capital_eoy</t>
        </is>
      </c>
      <c r="F336" s="8" t="inlineStr">
        <is>
          <t>high</t>
        </is>
      </c>
      <c r="G336" s="9" t="n">
        <v>651305</v>
      </c>
    </row>
    <row r="337">
      <c r="A337" s="8" t="inlineStr">
        <is>
          <t>Balance sheet (detail)</t>
        </is>
      </c>
      <c r="B337" s="8" t="inlineStr">
        <is>
          <t>C30</t>
        </is>
      </c>
      <c r="C337" s="8" t="inlineStr">
        <is>
          <t>30. Paid-in or capital surplus</t>
        </is>
      </c>
      <c r="D337" s="8" t="inlineStr">
        <is>
          <t>30E</t>
        </is>
      </c>
      <c r="E337" s="8" t="inlineStr">
        <is>
          <t>part_x_balance_sheet.paid_in_capital_eoy</t>
        </is>
      </c>
      <c r="F337" s="8" t="inlineStr">
        <is>
          <t>high</t>
        </is>
      </c>
      <c r="G337" s="9" t="n">
        <v>674705</v>
      </c>
    </row>
    <row r="338">
      <c r="A338" s="8" t="inlineStr">
        <is>
          <t>Balance sheet (detail)</t>
        </is>
      </c>
      <c r="B338" s="8" t="inlineStr">
        <is>
          <t>D30</t>
        </is>
      </c>
      <c r="C338" s="8" t="inlineStr">
        <is>
          <t>30. Paid-in or capital surplus</t>
        </is>
      </c>
      <c r="D338" s="8" t="inlineStr">
        <is>
          <t>30E</t>
        </is>
      </c>
      <c r="E338" s="8" t="inlineStr">
        <is>
          <t>part_x_balance_sheet.paid_in_capital_eoy</t>
        </is>
      </c>
      <c r="F338" s="8" t="inlineStr">
        <is>
          <t>high</t>
        </is>
      </c>
      <c r="G338" s="9" t="n">
        <v>698105</v>
      </c>
    </row>
    <row r="339">
      <c r="A339" s="8" t="inlineStr">
        <is>
          <t>Balance sheet (detail)</t>
        </is>
      </c>
      <c r="B339" s="8" t="inlineStr">
        <is>
          <t>E30</t>
        </is>
      </c>
      <c r="C339" s="8" t="inlineStr">
        <is>
          <t>30. Paid-in or capital surplus</t>
        </is>
      </c>
      <c r="D339" s="8" t="inlineStr">
        <is>
          <t>30E</t>
        </is>
      </c>
      <c r="E339" s="8" t="inlineStr">
        <is>
          <t>part_x_balance_sheet.paid_in_capital_eoy</t>
        </is>
      </c>
      <c r="F339" s="8" t="inlineStr">
        <is>
          <t>high</t>
        </is>
      </c>
      <c r="G339" s="9" t="n">
        <v>721505</v>
      </c>
    </row>
    <row r="340">
      <c r="A340" s="8" t="inlineStr">
        <is>
          <t>Balance sheet (detail)</t>
        </is>
      </c>
      <c r="B340" s="8" t="inlineStr">
        <is>
          <t>F30</t>
        </is>
      </c>
      <c r="C340" s="8" t="inlineStr">
        <is>
          <t>30. Paid-in or capital surplus</t>
        </is>
      </c>
      <c r="D340" s="8" t="inlineStr">
        <is>
          <t>30E</t>
        </is>
      </c>
      <c r="E340" s="8" t="inlineStr">
        <is>
          <t>part_x_balance_sheet.paid_in_capital_eoy</t>
        </is>
      </c>
      <c r="F340" s="8" t="inlineStr">
        <is>
          <t>high</t>
        </is>
      </c>
      <c r="G340" s="9" t="n">
        <v>744905</v>
      </c>
    </row>
    <row r="341">
      <c r="A341" s="8" t="inlineStr">
        <is>
          <t>Balance sheet (detail)</t>
        </is>
      </c>
      <c r="B341" s="8" t="inlineStr">
        <is>
          <t>G30</t>
        </is>
      </c>
      <c r="C341" s="8" t="inlineStr">
        <is>
          <t>30. Paid-in or capital surplus</t>
        </is>
      </c>
      <c r="D341" s="8" t="inlineStr">
        <is>
          <t>30E</t>
        </is>
      </c>
      <c r="E341" s="8" t="inlineStr">
        <is>
          <t>part_x_balance_sheet.paid_in_capital_eoy</t>
        </is>
      </c>
      <c r="F341" s="8" t="inlineStr">
        <is>
          <t>high</t>
        </is>
      </c>
      <c r="G341" s="9" t="n">
        <v>768336</v>
      </c>
    </row>
    <row r="342">
      <c r="A342" s="8" t="inlineStr">
        <is>
          <t>Balance sheet (detail)</t>
        </is>
      </c>
      <c r="B342" s="8" t="inlineStr">
        <is>
          <t>B31</t>
        </is>
      </c>
      <c r="C342" s="8" t="inlineStr">
        <is>
          <t>31. Retained earnings / accumulated funds</t>
        </is>
      </c>
      <c r="D342" s="8" t="inlineStr">
        <is>
          <t>31E</t>
        </is>
      </c>
      <c r="E342" s="8" t="inlineStr">
        <is>
          <t>part_x_balance_sheet.retained_earnings_eoy</t>
        </is>
      </c>
      <c r="F342" s="8" t="inlineStr">
        <is>
          <t>high</t>
        </is>
      </c>
      <c r="G342" s="9" t="n">
        <v>91611</v>
      </c>
    </row>
    <row r="343">
      <c r="A343" s="8" t="inlineStr">
        <is>
          <t>Balance sheet (detail)</t>
        </is>
      </c>
      <c r="B343" s="8" t="inlineStr">
        <is>
          <t>C31</t>
        </is>
      </c>
      <c r="C343" s="8" t="inlineStr">
        <is>
          <t>31. Retained earnings / accumulated funds</t>
        </is>
      </c>
      <c r="D343" s="8" t="inlineStr">
        <is>
          <t>31E</t>
        </is>
      </c>
      <c r="E343" s="8" t="inlineStr">
        <is>
          <t>part_x_balance_sheet.retained_earnings_eoy</t>
        </is>
      </c>
      <c r="F343" s="8" t="inlineStr">
        <is>
          <t>high</t>
        </is>
      </c>
      <c r="G343" s="9" t="n">
        <v>85024</v>
      </c>
    </row>
    <row r="344">
      <c r="A344" s="8" t="inlineStr">
        <is>
          <t>Balance sheet (detail)</t>
        </is>
      </c>
      <c r="B344" s="8" t="inlineStr">
        <is>
          <t>D31</t>
        </is>
      </c>
      <c r="C344" s="8" t="inlineStr">
        <is>
          <t>31. Retained earnings / accumulated funds</t>
        </is>
      </c>
      <c r="D344" s="8" t="inlineStr">
        <is>
          <t>31E</t>
        </is>
      </c>
      <c r="E344" s="8" t="inlineStr">
        <is>
          <t>part_x_balance_sheet.retained_earnings_eoy</t>
        </is>
      </c>
      <c r="F344" s="8" t="inlineStr">
        <is>
          <t>high</t>
        </is>
      </c>
      <c r="G344" s="9" t="n">
        <v>66886</v>
      </c>
    </row>
    <row r="345">
      <c r="A345" s="8" t="inlineStr">
        <is>
          <t>Balance sheet (detail)</t>
        </is>
      </c>
      <c r="B345" s="8" t="inlineStr">
        <is>
          <t>E31</t>
        </is>
      </c>
      <c r="C345" s="8" t="inlineStr">
        <is>
          <t>31. Retained earnings / accumulated funds</t>
        </is>
      </c>
      <c r="D345" s="8" t="inlineStr">
        <is>
          <t>31E</t>
        </is>
      </c>
      <c r="E345" s="8" t="inlineStr">
        <is>
          <t>part_x_balance_sheet.retained_earnings_eoy</t>
        </is>
      </c>
      <c r="F345" s="8" t="inlineStr">
        <is>
          <t>high</t>
        </is>
      </c>
      <c r="G345" s="9" t="n">
        <v>71654</v>
      </c>
    </row>
    <row r="346">
      <c r="A346" s="8" t="inlineStr">
        <is>
          <t>Balance sheet (detail)</t>
        </is>
      </c>
      <c r="B346" s="8" t="inlineStr">
        <is>
          <t>F31</t>
        </is>
      </c>
      <c r="C346" s="8" t="inlineStr">
        <is>
          <t>31. Retained earnings / accumulated funds</t>
        </is>
      </c>
      <c r="D346" s="8" t="inlineStr">
        <is>
          <t>31E</t>
        </is>
      </c>
      <c r="E346" s="8" t="inlineStr">
        <is>
          <t>part_x_balance_sheet.retained_earnings_eoy</t>
        </is>
      </c>
      <c r="F346" s="8" t="inlineStr">
        <is>
          <t>high</t>
        </is>
      </c>
      <c r="G346" s="9" t="n">
        <v>44843</v>
      </c>
    </row>
    <row r="347">
      <c r="A347" s="8" t="inlineStr">
        <is>
          <t>Balance sheet (detail)</t>
        </is>
      </c>
      <c r="B347" s="8" t="inlineStr">
        <is>
          <t>G31</t>
        </is>
      </c>
      <c r="C347" s="8" t="inlineStr">
        <is>
          <t>31. Retained earnings / accumulated funds</t>
        </is>
      </c>
      <c r="D347" s="8" t="inlineStr">
        <is>
          <t>31E</t>
        </is>
      </c>
      <c r="E347" s="8" t="inlineStr">
        <is>
          <t>part_x_balance_sheet.retained_earnings_eoy</t>
        </is>
      </c>
      <c r="F347" s="8" t="inlineStr">
        <is>
          <t>high</t>
        </is>
      </c>
      <c r="G347" s="9" t="n">
        <v>51121</v>
      </c>
    </row>
    <row r="348">
      <c r="A348" s="8" t="inlineStr">
        <is>
          <t>Net-assets reconciliation</t>
        </is>
      </c>
      <c r="B348" s="8" t="inlineStr">
        <is>
          <t>B7</t>
        </is>
      </c>
      <c r="C348" s="8" t="inlineStr">
        <is>
          <t>4. Net assets, beginning of year</t>
        </is>
      </c>
      <c r="D348" s="8" t="inlineStr">
        <is>
          <t>Part XI line 4</t>
        </is>
      </c>
      <c r="E348" s="8" t="inlineStr">
        <is>
          <t>part_xi_reconciliation.net_assets_boy</t>
        </is>
      </c>
      <c r="F348" s="8" t="inlineStr">
        <is>
          <t>high</t>
        </is>
      </c>
      <c r="G348" s="9" t="n">
        <v>716409</v>
      </c>
    </row>
    <row r="349">
      <c r="A349" s="8" t="inlineStr">
        <is>
          <t>Net-assets reconciliation</t>
        </is>
      </c>
      <c r="B349" s="8" t="inlineStr">
        <is>
          <t>C7</t>
        </is>
      </c>
      <c r="C349" s="8" t="inlineStr">
        <is>
          <t>4. Net assets, beginning of year</t>
        </is>
      </c>
      <c r="D349" s="8" t="inlineStr">
        <is>
          <t>Part XI line 4</t>
        </is>
      </c>
      <c r="E349" s="8" t="inlineStr">
        <is>
          <t>part_xi_reconciliation.net_assets_boy</t>
        </is>
      </c>
      <c r="F349" s="8" t="inlineStr">
        <is>
          <t>high</t>
        </is>
      </c>
      <c r="G349" s="9" t="n">
        <v>742916</v>
      </c>
    </row>
    <row r="350">
      <c r="A350" s="8" t="inlineStr">
        <is>
          <t>Net-assets reconciliation</t>
        </is>
      </c>
      <c r="B350" s="8" t="inlineStr">
        <is>
          <t>D7</t>
        </is>
      </c>
      <c r="C350" s="8" t="inlineStr">
        <is>
          <t>4. Net assets, beginning of year</t>
        </is>
      </c>
      <c r="D350" s="8" t="inlineStr">
        <is>
          <t>Part XI line 4</t>
        </is>
      </c>
      <c r="E350" s="8" t="inlineStr">
        <is>
          <t>part_xi_reconciliation.net_assets_boy</t>
        </is>
      </c>
      <c r="F350" s="8" t="inlineStr">
        <is>
          <t>high</t>
        </is>
      </c>
      <c r="G350" s="9" t="n">
        <v>759729</v>
      </c>
    </row>
    <row r="351">
      <c r="A351" s="8" t="inlineStr">
        <is>
          <t>Net-assets reconciliation</t>
        </is>
      </c>
      <c r="B351" s="8" t="inlineStr">
        <is>
          <t>E7</t>
        </is>
      </c>
      <c r="C351" s="8" t="inlineStr">
        <is>
          <t>4. Net assets, beginning of year</t>
        </is>
      </c>
      <c r="D351" s="8" t="inlineStr">
        <is>
          <t>Part XI line 4</t>
        </is>
      </c>
      <c r="E351" s="8" t="inlineStr">
        <is>
          <t>part_xi_reconciliation.net_assets_boy</t>
        </is>
      </c>
      <c r="F351" s="8" t="inlineStr">
        <is>
          <t>high</t>
        </is>
      </c>
      <c r="G351" s="9" t="n">
        <v>764991</v>
      </c>
    </row>
    <row r="352">
      <c r="A352" s="8" t="inlineStr">
        <is>
          <t>Net-assets reconciliation</t>
        </is>
      </c>
      <c r="B352" s="8" t="inlineStr">
        <is>
          <t>F7</t>
        </is>
      </c>
      <c r="C352" s="8" t="inlineStr">
        <is>
          <t>4. Net assets, beginning of year</t>
        </is>
      </c>
      <c r="D352" s="8" t="inlineStr">
        <is>
          <t>Part XI line 4</t>
        </is>
      </c>
      <c r="E352" s="8" t="inlineStr">
        <is>
          <t>part_xi_reconciliation.net_assets_boy</t>
        </is>
      </c>
      <c r="F352" s="8" t="inlineStr">
        <is>
          <t>high</t>
        </is>
      </c>
      <c r="G352" s="9" t="n">
        <v>793159</v>
      </c>
    </row>
    <row r="353">
      <c r="A353" s="8" t="inlineStr">
        <is>
          <t>Net-assets reconciliation</t>
        </is>
      </c>
      <c r="B353" s="8" t="inlineStr">
        <is>
          <t>G7</t>
        </is>
      </c>
      <c r="C353" s="8" t="inlineStr">
        <is>
          <t>4. Net assets, beginning of year</t>
        </is>
      </c>
      <c r="D353" s="8" t="inlineStr">
        <is>
          <t>Part XI line 4</t>
        </is>
      </c>
      <c r="E353" s="8" t="inlineStr">
        <is>
          <t>part_xi_reconciliation.net_assets_boy</t>
        </is>
      </c>
      <c r="F353" s="8" t="inlineStr">
        <is>
          <t>high</t>
        </is>
      </c>
      <c r="G353" s="9" t="n">
        <v>789748</v>
      </c>
    </row>
    <row r="354">
      <c r="A354" s="8" t="inlineStr">
        <is>
          <t>Net-assets reconciliation</t>
        </is>
      </c>
      <c r="B354" s="8" t="inlineStr">
        <is>
          <t>B8</t>
        </is>
      </c>
      <c r="C354" s="8" t="inlineStr">
        <is>
          <t>3. Revenue less expenses</t>
        </is>
      </c>
      <c r="D354" s="8" t="inlineStr">
        <is>
          <t>Part XI line 3</t>
        </is>
      </c>
      <c r="E354" s="8" t="inlineStr">
        <is>
          <t>part_xi_reconciliation.reconciliation_revenue_expenses</t>
        </is>
      </c>
      <c r="F354" s="8" t="inlineStr">
        <is>
          <t>high</t>
        </is>
      </c>
      <c r="G354" s="9" t="n">
        <v>3107</v>
      </c>
    </row>
    <row r="355">
      <c r="A355" s="8" t="inlineStr">
        <is>
          <t>Net-assets reconciliation</t>
        </is>
      </c>
      <c r="B355" s="8" t="inlineStr">
        <is>
          <t>C8</t>
        </is>
      </c>
      <c r="C355" s="8" t="inlineStr">
        <is>
          <t>3. Revenue less expenses</t>
        </is>
      </c>
      <c r="D355" s="8" t="inlineStr">
        <is>
          <t>Part XI line 3</t>
        </is>
      </c>
      <c r="E355" s="8" t="inlineStr">
        <is>
          <t>part_xi_reconciliation.reconciliation_revenue_expenses</t>
        </is>
      </c>
      <c r="F355" s="8" t="inlineStr">
        <is>
          <t>high</t>
        </is>
      </c>
      <c r="G355" s="9" t="n">
        <v>-9728</v>
      </c>
    </row>
    <row r="356">
      <c r="A356" s="8" t="inlineStr">
        <is>
          <t>Net-assets reconciliation</t>
        </is>
      </c>
      <c r="B356" s="8" t="inlineStr">
        <is>
          <t>D8</t>
        </is>
      </c>
      <c r="C356" s="8" t="inlineStr">
        <is>
          <t>3. Revenue less expenses</t>
        </is>
      </c>
      <c r="D356" s="8" t="inlineStr">
        <is>
          <t>Part XI line 3</t>
        </is>
      </c>
      <c r="E356" s="8" t="inlineStr">
        <is>
          <t>part_xi_reconciliation.reconciliation_revenue_expenses</t>
        </is>
      </c>
      <c r="F356" s="8" t="inlineStr">
        <is>
          <t>high</t>
        </is>
      </c>
      <c r="G356" s="9" t="n">
        <v>-16333</v>
      </c>
    </row>
    <row r="357">
      <c r="A357" s="8" t="inlineStr">
        <is>
          <t>Net-assets reconciliation</t>
        </is>
      </c>
      <c r="B357" s="8" t="inlineStr">
        <is>
          <t>E8</t>
        </is>
      </c>
      <c r="C357" s="8" t="inlineStr">
        <is>
          <t>3. Revenue less expenses</t>
        </is>
      </c>
      <c r="D357" s="8" t="inlineStr">
        <is>
          <t>Part XI line 3</t>
        </is>
      </c>
      <c r="E357" s="8" t="inlineStr">
        <is>
          <t>part_xi_reconciliation.reconciliation_revenue_expenses</t>
        </is>
      </c>
      <c r="F357" s="8" t="inlineStr">
        <is>
          <t>high</t>
        </is>
      </c>
      <c r="G357" s="9" t="n">
        <v>8611</v>
      </c>
    </row>
    <row r="358">
      <c r="A358" s="8" t="inlineStr">
        <is>
          <t>Net-assets reconciliation</t>
        </is>
      </c>
      <c r="B358" s="8" t="inlineStr">
        <is>
          <t>F8</t>
        </is>
      </c>
      <c r="C358" s="8" t="inlineStr">
        <is>
          <t>3. Revenue less expenses</t>
        </is>
      </c>
      <c r="D358" s="8" t="inlineStr">
        <is>
          <t>Part XI line 3</t>
        </is>
      </c>
      <c r="E358" s="8" t="inlineStr">
        <is>
          <t>part_xi_reconciliation.reconciliation_revenue_expenses</t>
        </is>
      </c>
      <c r="F358" s="8" t="inlineStr">
        <is>
          <t>high</t>
        </is>
      </c>
      <c r="G358" s="9" t="n">
        <v>-26811</v>
      </c>
    </row>
    <row r="359">
      <c r="A359" s="8" t="inlineStr">
        <is>
          <t>Net-assets reconciliation</t>
        </is>
      </c>
      <c r="B359" s="8" t="inlineStr">
        <is>
          <t>G8</t>
        </is>
      </c>
      <c r="C359" s="8" t="inlineStr">
        <is>
          <t>3. Revenue less expenses</t>
        </is>
      </c>
      <c r="D359" s="8" t="inlineStr">
        <is>
          <t>Part XI line 3</t>
        </is>
      </c>
      <c r="E359" s="8" t="inlineStr">
        <is>
          <t>part_xi_reconciliation.reconciliation_revenue_expenses</t>
        </is>
      </c>
      <c r="F359" s="8" t="inlineStr">
        <is>
          <t>high</t>
        </is>
      </c>
      <c r="G359" s="9" t="n">
        <v>6288</v>
      </c>
    </row>
    <row r="360">
      <c r="A360" s="8" t="inlineStr">
        <is>
          <t>Net-assets reconciliation</t>
        </is>
      </c>
      <c r="B360" s="8" t="inlineStr">
        <is>
          <t>B10</t>
        </is>
      </c>
      <c r="C360" s="8" t="inlineStr">
        <is>
          <t>9. Other changes in net assets</t>
        </is>
      </c>
      <c r="D360" s="8" t="inlineStr">
        <is>
          <t>Part XI line 9</t>
        </is>
      </c>
      <c r="E360" s="8" t="inlineStr">
        <is>
          <t>part_xi_reconciliation.other_changes_net_assets</t>
        </is>
      </c>
      <c r="F360" s="8" t="inlineStr">
        <is>
          <t>high</t>
        </is>
      </c>
      <c r="G360" s="9" t="n">
        <v>23400</v>
      </c>
    </row>
    <row r="361">
      <c r="A361" s="8" t="inlineStr">
        <is>
          <t>Net-assets reconciliation</t>
        </is>
      </c>
      <c r="B361" s="8" t="inlineStr">
        <is>
          <t>C10</t>
        </is>
      </c>
      <c r="C361" s="8" t="inlineStr">
        <is>
          <t>9. Other changes in net assets</t>
        </is>
      </c>
      <c r="D361" s="8" t="inlineStr">
        <is>
          <t>Part XI line 9</t>
        </is>
      </c>
      <c r="E361" s="8" t="inlineStr">
        <is>
          <t>part_xi_reconciliation.other_changes_net_assets</t>
        </is>
      </c>
      <c r="F361" s="8" t="inlineStr">
        <is>
          <t>high</t>
        </is>
      </c>
      <c r="G361" s="9" t="n">
        <v>26541</v>
      </c>
    </row>
    <row r="362">
      <c r="A362" s="8" t="inlineStr">
        <is>
          <t>Net-assets reconciliation</t>
        </is>
      </c>
      <c r="B362" s="8" t="inlineStr">
        <is>
          <t>D10</t>
        </is>
      </c>
      <c r="C362" s="8" t="inlineStr">
        <is>
          <t>9. Other changes in net assets</t>
        </is>
      </c>
      <c r="D362" s="8" t="inlineStr">
        <is>
          <t>Part XI line 9</t>
        </is>
      </c>
      <c r="E362" s="8" t="inlineStr">
        <is>
          <t>part_xi_reconciliation.other_changes_net_assets</t>
        </is>
      </c>
      <c r="F362" s="8" t="inlineStr">
        <is>
          <t>high</t>
        </is>
      </c>
      <c r="G362" s="9" t="n">
        <v>21595</v>
      </c>
    </row>
    <row r="363">
      <c r="A363" s="8" t="inlineStr">
        <is>
          <t>Net-assets reconciliation</t>
        </is>
      </c>
      <c r="B363" s="8" t="inlineStr">
        <is>
          <t>E10</t>
        </is>
      </c>
      <c r="C363" s="8" t="inlineStr">
        <is>
          <t>9. Other changes in net assets</t>
        </is>
      </c>
      <c r="D363" s="8" t="inlineStr">
        <is>
          <t>Part XI line 9</t>
        </is>
      </c>
      <c r="E363" s="8" t="inlineStr">
        <is>
          <t>part_xi_reconciliation.other_changes_net_assets</t>
        </is>
      </c>
      <c r="F363" s="8" t="inlineStr">
        <is>
          <t>high</t>
        </is>
      </c>
      <c r="G363" s="9" t="n">
        <v>19557</v>
      </c>
    </row>
    <row r="364">
      <c r="A364" s="8" t="inlineStr">
        <is>
          <t>Net-assets reconciliation</t>
        </is>
      </c>
      <c r="B364" s="8" t="inlineStr">
        <is>
          <t>F10</t>
        </is>
      </c>
      <c r="C364" s="8" t="inlineStr">
        <is>
          <t>9. Other changes in net assets</t>
        </is>
      </c>
      <c r="D364" s="8" t="inlineStr">
        <is>
          <t>Part XI line 9</t>
        </is>
      </c>
      <c r="E364" s="8" t="inlineStr">
        <is>
          <t>part_xi_reconciliation.other_changes_net_assets</t>
        </is>
      </c>
      <c r="F364" s="8" t="inlineStr">
        <is>
          <t>high</t>
        </is>
      </c>
      <c r="G364" s="9" t="n">
        <v>23400</v>
      </c>
    </row>
    <row r="365">
      <c r="A365" s="8" t="inlineStr">
        <is>
          <t>Net-assets reconciliation</t>
        </is>
      </c>
      <c r="B365" s="8" t="inlineStr">
        <is>
          <t>G10</t>
        </is>
      </c>
      <c r="C365" s="8" t="inlineStr">
        <is>
          <t>9. Other changes in net assets</t>
        </is>
      </c>
      <c r="D365" s="8" t="inlineStr">
        <is>
          <t>Part XI line 9</t>
        </is>
      </c>
      <c r="E365" s="8" t="inlineStr">
        <is>
          <t>part_xi_reconciliation.other_changes_net_assets</t>
        </is>
      </c>
      <c r="F365" s="8" t="inlineStr">
        <is>
          <t>high</t>
        </is>
      </c>
      <c r="G365" s="9" t="n">
        <v>19596</v>
      </c>
    </row>
    <row r="367">
      <c r="A367" s="30" t="inlineStr">
        <is>
          <t>C. Tie-out checks (filed vs computed; any nonzero variance is flagged red)</t>
        </is>
      </c>
      <c r="B367" s="7" t="n"/>
      <c r="C367" s="7" t="n"/>
      <c r="D367" s="7" t="n"/>
      <c r="E367" s="7" t="n"/>
      <c r="F367" s="7" t="n"/>
      <c r="G367" s="7" t="n"/>
      <c r="H367" s="7" t="n"/>
      <c r="I367" s="7" t="n"/>
      <c r="J367" s="7" t="n"/>
      <c r="K367" s="7" t="n"/>
    </row>
    <row r="368">
      <c r="A368" s="5" t="inlineStr">
        <is>
          <t>Tab</t>
        </is>
      </c>
      <c r="B368" s="5" t="inlineStr">
        <is>
          <t>Check</t>
        </is>
      </c>
      <c r="C368" s="5" t="inlineStr">
        <is>
          <t>Fiscal year</t>
        </is>
      </c>
      <c r="D368" s="5" t="inlineStr">
        <is>
          <t>Filed</t>
        </is>
      </c>
      <c r="E368" s="5" t="inlineStr">
        <is>
          <t>Computed</t>
        </is>
      </c>
      <c r="F368" s="5" t="inlineStr">
        <is>
          <t>Variance (computed - filed)</t>
        </is>
      </c>
    </row>
    <row r="369">
      <c r="A369" s="18" t="inlineStr">
        <is>
          <t>Revenue (detail)</t>
        </is>
      </c>
      <c r="B369" s="18" t="inlineStr">
        <is>
          <t>12. Total revenue</t>
        </is>
      </c>
      <c r="C369" s="18" t="inlineStr">
        <is>
          <t>FY2020</t>
        </is>
      </c>
      <c r="D369" s="9" t="n">
        <v>133472</v>
      </c>
      <c r="E369" s="9">
        <f>'Revenue (detail)'!B13</f>
        <v/>
      </c>
      <c r="F369" s="9">
        <f>E369-D369</f>
        <v/>
      </c>
    </row>
    <row r="370">
      <c r="A370" s="18" t="inlineStr">
        <is>
          <t>Revenue (detail)</t>
        </is>
      </c>
      <c r="B370" s="18" t="inlineStr">
        <is>
          <t>12. Total revenue</t>
        </is>
      </c>
      <c r="C370" s="18" t="inlineStr">
        <is>
          <t>FY2021</t>
        </is>
      </c>
      <c r="D370" s="9" t="n">
        <v>141201</v>
      </c>
      <c r="E370" s="9">
        <f>'Revenue (detail)'!C13</f>
        <v/>
      </c>
      <c r="F370" s="9">
        <f>E370-D370</f>
        <v/>
      </c>
    </row>
    <row r="371">
      <c r="A371" s="18" t="inlineStr">
        <is>
          <t>Revenue (detail)</t>
        </is>
      </c>
      <c r="B371" s="18" t="inlineStr">
        <is>
          <t>12. Total revenue</t>
        </is>
      </c>
      <c r="C371" s="18" t="inlineStr">
        <is>
          <t>FY2022</t>
        </is>
      </c>
      <c r="D371" s="9" t="n">
        <v>155997</v>
      </c>
      <c r="E371" s="9">
        <f>'Revenue (detail)'!D13</f>
        <v/>
      </c>
      <c r="F371" s="9">
        <f>E371-D371</f>
        <v/>
      </c>
    </row>
    <row r="372">
      <c r="A372" s="18" t="inlineStr">
        <is>
          <t>Revenue (detail)</t>
        </is>
      </c>
      <c r="B372" s="18" t="inlineStr">
        <is>
          <t>12. Total revenue</t>
        </is>
      </c>
      <c r="C372" s="18" t="inlineStr">
        <is>
          <t>FY2023</t>
        </is>
      </c>
      <c r="D372" s="9" t="n">
        <v>150476</v>
      </c>
      <c r="E372" s="9">
        <f>'Revenue (detail)'!E13</f>
        <v/>
      </c>
      <c r="F372" s="9">
        <f>E372-D372</f>
        <v/>
      </c>
    </row>
    <row r="373">
      <c r="A373" s="18" t="inlineStr">
        <is>
          <t>Revenue (detail)</t>
        </is>
      </c>
      <c r="B373" s="18" t="inlineStr">
        <is>
          <t>12. Total revenue</t>
        </is>
      </c>
      <c r="C373" s="18" t="inlineStr">
        <is>
          <t>FY2024</t>
        </is>
      </c>
      <c r="D373" s="9" t="n">
        <v>178674</v>
      </c>
      <c r="E373" s="9">
        <f>'Revenue (detail)'!F13</f>
        <v/>
      </c>
      <c r="F373" s="9">
        <f>E373-D373</f>
        <v/>
      </c>
    </row>
    <row r="374">
      <c r="A374" s="18" t="inlineStr">
        <is>
          <t>Revenue (detail)</t>
        </is>
      </c>
      <c r="B374" s="18" t="inlineStr">
        <is>
          <t>12. Total revenue</t>
        </is>
      </c>
      <c r="C374" s="18" t="inlineStr">
        <is>
          <t>FY2025</t>
        </is>
      </c>
      <c r="D374" s="9" t="n">
        <v>192220</v>
      </c>
      <c r="E374" s="9">
        <f>'Revenue (detail)'!G13</f>
        <v/>
      </c>
      <c r="F374" s="9">
        <f>E374-D374</f>
        <v/>
      </c>
    </row>
    <row r="375">
      <c r="A375" s="18" t="inlineStr">
        <is>
          <t>Revenue (detail)</t>
        </is>
      </c>
      <c r="B375" s="18" t="inlineStr">
        <is>
          <t>2g program service revenue = sum of lines 2a-2f (FY2025)</t>
        </is>
      </c>
      <c r="C375" s="18" t="inlineStr">
        <is>
          <t>FY2025</t>
        </is>
      </c>
      <c r="D375" s="9" t="n">
        <v>179825</v>
      </c>
      <c r="E375" s="9">
        <f>SUM('Revenue (detail)'!C17:C17)</f>
        <v/>
      </c>
      <c r="F375" s="9">
        <f>E375-D375</f>
        <v/>
      </c>
    </row>
    <row r="376">
      <c r="A376" s="18" t="inlineStr">
        <is>
          <t>Operating expenses (detail)</t>
        </is>
      </c>
      <c r="B376" s="18" t="inlineStr">
        <is>
          <t>25. Total functional expenses</t>
        </is>
      </c>
      <c r="C376" s="18" t="inlineStr">
        <is>
          <t>FY2020</t>
        </is>
      </c>
      <c r="D376" s="9" t="n">
        <v>130365</v>
      </c>
      <c r="E376" s="9">
        <f>'Operating expenses (detail)'!B44</f>
        <v/>
      </c>
      <c r="F376" s="9">
        <f>E376-D376</f>
        <v/>
      </c>
    </row>
    <row r="377">
      <c r="A377" s="18" t="inlineStr">
        <is>
          <t>Operating expenses (detail)</t>
        </is>
      </c>
      <c r="B377" s="18" t="inlineStr">
        <is>
          <t>25. Total functional expenses</t>
        </is>
      </c>
      <c r="C377" s="18" t="inlineStr">
        <is>
          <t>FY2021</t>
        </is>
      </c>
      <c r="D377" s="9" t="n">
        <v>150929</v>
      </c>
      <c r="E377" s="9">
        <f>'Operating expenses (detail)'!C44</f>
        <v/>
      </c>
      <c r="F377" s="9">
        <f>E377-D377</f>
        <v/>
      </c>
    </row>
    <row r="378">
      <c r="A378" s="18" t="inlineStr">
        <is>
          <t>Operating expenses (detail)</t>
        </is>
      </c>
      <c r="B378" s="18" t="inlineStr">
        <is>
          <t>25. Total functional expenses</t>
        </is>
      </c>
      <c r="C378" s="18" t="inlineStr">
        <is>
          <t>FY2022</t>
        </is>
      </c>
      <c r="D378" s="9" t="n">
        <v>172330</v>
      </c>
      <c r="E378" s="9">
        <f>'Operating expenses (detail)'!D44</f>
        <v/>
      </c>
      <c r="F378" s="9">
        <f>E378-D378</f>
        <v/>
      </c>
    </row>
    <row r="379">
      <c r="A379" s="18" t="inlineStr">
        <is>
          <t>Operating expenses (detail)</t>
        </is>
      </c>
      <c r="B379" s="18" t="inlineStr">
        <is>
          <t>25. Total functional expenses</t>
        </is>
      </c>
      <c r="C379" s="18" t="inlineStr">
        <is>
          <t>FY2023</t>
        </is>
      </c>
      <c r="D379" s="9" t="n">
        <v>141865</v>
      </c>
      <c r="E379" s="9">
        <f>'Operating expenses (detail)'!E44</f>
        <v/>
      </c>
      <c r="F379" s="9">
        <f>E379-D379</f>
        <v/>
      </c>
    </row>
    <row r="380">
      <c r="A380" s="18" t="inlineStr">
        <is>
          <t>Operating expenses (detail)</t>
        </is>
      </c>
      <c r="B380" s="18" t="inlineStr">
        <is>
          <t>25. Total functional expenses</t>
        </is>
      </c>
      <c r="C380" s="18" t="inlineStr">
        <is>
          <t>FY2024</t>
        </is>
      </c>
      <c r="D380" s="9" t="n">
        <v>205485</v>
      </c>
      <c r="E380" s="9">
        <f>'Operating expenses (detail)'!F44</f>
        <v/>
      </c>
      <c r="F380" s="9">
        <f>E380-D380</f>
        <v/>
      </c>
    </row>
    <row r="381">
      <c r="A381" s="18" t="inlineStr">
        <is>
          <t>Operating expenses (detail)</t>
        </is>
      </c>
      <c r="B381" s="18" t="inlineStr">
        <is>
          <t>25. Total functional expenses</t>
        </is>
      </c>
      <c r="C381" s="18" t="inlineStr">
        <is>
          <t>FY2025</t>
        </is>
      </c>
      <c r="D381" s="9" t="n">
        <v>185932</v>
      </c>
      <c r="E381" s="9">
        <f>'Operating expenses (detail)'!G44</f>
        <v/>
      </c>
      <c r="F381" s="9">
        <f>E381-D381</f>
        <v/>
      </c>
    </row>
    <row r="382">
      <c r="A382" s="18" t="inlineStr">
        <is>
          <t>Operating expenses (detail)</t>
        </is>
      </c>
      <c r="B382" s="18" t="inlineStr">
        <is>
          <t>Part IX column split: col A = B + C + D (FY2025)</t>
        </is>
      </c>
      <c r="C382" s="18" t="inlineStr">
        <is>
          <t>FY2025</t>
        </is>
      </c>
      <c r="D382" s="9">
        <f>'Operating expenses (detail)'!B77</f>
        <v/>
      </c>
      <c r="E382" s="9">
        <f>'Operating expenses (detail)'!C77+'Operating expenses (detail)'!D77+'Operating expenses (detail)'!E77</f>
        <v/>
      </c>
      <c r="F382" s="9">
        <f>E382-D382</f>
        <v/>
      </c>
    </row>
    <row r="383">
      <c r="A383" s="18" t="inlineStr">
        <is>
          <t>Balance sheet (detail)</t>
        </is>
      </c>
      <c r="B383" s="18" t="inlineStr">
        <is>
          <t>16. Total assets</t>
        </is>
      </c>
      <c r="C383" s="18" t="inlineStr">
        <is>
          <t>FY2020</t>
        </is>
      </c>
      <c r="D383" s="9" t="n">
        <v>744720</v>
      </c>
      <c r="E383" s="9">
        <f>'Balance sheet (detail)'!B22</f>
        <v/>
      </c>
      <c r="F383" s="9">
        <f>E383-D383</f>
        <v/>
      </c>
    </row>
    <row r="384">
      <c r="A384" s="18" t="inlineStr">
        <is>
          <t>Balance sheet (detail)</t>
        </is>
      </c>
      <c r="B384" s="18" t="inlineStr">
        <is>
          <t>16. Total assets</t>
        </is>
      </c>
      <c r="C384" s="18" t="inlineStr">
        <is>
          <t>FY2021</t>
        </is>
      </c>
      <c r="D384" s="9" t="n">
        <v>762992</v>
      </c>
      <c r="E384" s="9">
        <f>'Balance sheet (detail)'!C22</f>
        <v/>
      </c>
      <c r="F384" s="9">
        <f>E384-D384</f>
        <v/>
      </c>
    </row>
    <row r="385">
      <c r="A385" s="18" t="inlineStr">
        <is>
          <t>Balance sheet (detail)</t>
        </is>
      </c>
      <c r="B385" s="18" t="inlineStr">
        <is>
          <t>16. Total assets</t>
        </is>
      </c>
      <c r="C385" s="18" t="inlineStr">
        <is>
          <t>FY2022</t>
        </is>
      </c>
      <c r="D385" s="9" t="n">
        <v>766881</v>
      </c>
      <c r="E385" s="9">
        <f>'Balance sheet (detail)'!D22</f>
        <v/>
      </c>
      <c r="F385" s="9">
        <f>E385-D385</f>
        <v/>
      </c>
    </row>
    <row r="386">
      <c r="A386" s="18" t="inlineStr">
        <is>
          <t>Balance sheet (detail)</t>
        </is>
      </c>
      <c r="B386" s="18" t="inlineStr">
        <is>
          <t>16. Total assets</t>
        </is>
      </c>
      <c r="C386" s="18" t="inlineStr">
        <is>
          <t>FY2023</t>
        </is>
      </c>
      <c r="D386" s="9" t="n">
        <v>795560</v>
      </c>
      <c r="E386" s="9">
        <f>'Balance sheet (detail)'!E22</f>
        <v/>
      </c>
      <c r="F386" s="9">
        <f>E386-D386</f>
        <v/>
      </c>
    </row>
    <row r="387">
      <c r="A387" s="18" t="inlineStr">
        <is>
          <t>Balance sheet (detail)</t>
        </is>
      </c>
      <c r="B387" s="18" t="inlineStr">
        <is>
          <t>16. Total assets</t>
        </is>
      </c>
      <c r="C387" s="18" t="inlineStr">
        <is>
          <t>FY2024</t>
        </is>
      </c>
      <c r="D387" s="9" t="n">
        <v>797312</v>
      </c>
      <c r="E387" s="9">
        <f>'Balance sheet (detail)'!F22</f>
        <v/>
      </c>
      <c r="F387" s="9">
        <f>E387-D387</f>
        <v/>
      </c>
    </row>
    <row r="388">
      <c r="A388" s="18" t="inlineStr">
        <is>
          <t>Balance sheet (detail)</t>
        </is>
      </c>
      <c r="B388" s="18" t="inlineStr">
        <is>
          <t>16. Total assets</t>
        </is>
      </c>
      <c r="C388" s="18" t="inlineStr">
        <is>
          <t>FY2025</t>
        </is>
      </c>
      <c r="D388" s="9" t="n">
        <v>821657</v>
      </c>
      <c r="E388" s="9">
        <f>'Balance sheet (detail)'!G22</f>
        <v/>
      </c>
      <c r="F388" s="9">
        <f>E388-D388</f>
        <v/>
      </c>
    </row>
    <row r="389">
      <c r="A389" s="18" t="inlineStr">
        <is>
          <t>Balance sheet (detail)</t>
        </is>
      </c>
      <c r="B389" s="18" t="inlineStr">
        <is>
          <t>26. Total liabilities</t>
        </is>
      </c>
      <c r="C389" s="18" t="inlineStr">
        <is>
          <t>FY2020</t>
        </is>
      </c>
      <c r="D389" s="9" t="n">
        <v>1804</v>
      </c>
      <c r="E389" s="9">
        <f>'Balance sheet (detail)'!B27</f>
        <v/>
      </c>
      <c r="F389" s="9">
        <f>E389-D389</f>
        <v/>
      </c>
    </row>
    <row r="390">
      <c r="A390" s="18" t="inlineStr">
        <is>
          <t>Balance sheet (detail)</t>
        </is>
      </c>
      <c r="B390" s="18" t="inlineStr">
        <is>
          <t>26. Total liabilities</t>
        </is>
      </c>
      <c r="C390" s="18" t="inlineStr">
        <is>
          <t>FY2021</t>
        </is>
      </c>
      <c r="D390" s="9" t="n">
        <v>3263</v>
      </c>
      <c r="E390" s="9">
        <f>'Balance sheet (detail)'!C27</f>
        <v/>
      </c>
      <c r="F390" s="9">
        <f>E390-D390</f>
        <v/>
      </c>
    </row>
    <row r="391">
      <c r="A391" s="18" t="inlineStr">
        <is>
          <t>Balance sheet (detail)</t>
        </is>
      </c>
      <c r="B391" s="18" t="inlineStr">
        <is>
          <t>26. Total liabilities</t>
        </is>
      </c>
      <c r="C391" s="18" t="inlineStr">
        <is>
          <t>FY2022</t>
        </is>
      </c>
      <c r="D391" s="9" t="n">
        <v>1890</v>
      </c>
      <c r="E391" s="9">
        <f>'Balance sheet (detail)'!D27</f>
        <v/>
      </c>
      <c r="F391" s="9">
        <f>E391-D391</f>
        <v/>
      </c>
    </row>
    <row r="392">
      <c r="A392" s="18" t="inlineStr">
        <is>
          <t>Balance sheet (detail)</t>
        </is>
      </c>
      <c r="B392" s="18" t="inlineStr">
        <is>
          <t>26. Total liabilities</t>
        </is>
      </c>
      <c r="C392" s="18" t="inlineStr">
        <is>
          <t>FY2023</t>
        </is>
      </c>
      <c r="D392" s="9" t="n">
        <v>2401</v>
      </c>
      <c r="E392" s="9">
        <f>'Balance sheet (detail)'!E27</f>
        <v/>
      </c>
      <c r="F392" s="9">
        <f>E392-D392</f>
        <v/>
      </c>
    </row>
    <row r="393">
      <c r="A393" s="18" t="inlineStr">
        <is>
          <t>Balance sheet (detail)</t>
        </is>
      </c>
      <c r="B393" s="18" t="inlineStr">
        <is>
          <t>26. Total liabilities</t>
        </is>
      </c>
      <c r="C393" s="18" t="inlineStr">
        <is>
          <t>FY2024</t>
        </is>
      </c>
      <c r="D393" s="9" t="n">
        <v>7564</v>
      </c>
      <c r="E393" s="9">
        <f>'Balance sheet (detail)'!F27</f>
        <v/>
      </c>
      <c r="F393" s="9">
        <f>E393-D393</f>
        <v/>
      </c>
    </row>
    <row r="394">
      <c r="A394" s="18" t="inlineStr">
        <is>
          <t>Balance sheet (detail)</t>
        </is>
      </c>
      <c r="B394" s="18" t="inlineStr">
        <is>
          <t>26. Total liabilities</t>
        </is>
      </c>
      <c r="C394" s="18" t="inlineStr">
        <is>
          <t>FY2025</t>
        </is>
      </c>
      <c r="D394" s="9" t="n">
        <v>2200</v>
      </c>
      <c r="E394" s="9">
        <f>'Balance sheet (detail)'!G27</f>
        <v/>
      </c>
      <c r="F394" s="9">
        <f>E394-D394</f>
        <v/>
      </c>
    </row>
    <row r="395">
      <c r="A395" s="18" t="inlineStr">
        <is>
          <t>Balance sheet (detail)</t>
        </is>
      </c>
      <c r="B395" s="18" t="inlineStr">
        <is>
          <t>32. Total net assets / fund balances</t>
        </is>
      </c>
      <c r="C395" s="18" t="inlineStr">
        <is>
          <t>FY2020</t>
        </is>
      </c>
      <c r="D395" s="9" t="n">
        <v>742916</v>
      </c>
      <c r="E395" s="9">
        <f>'Balance sheet (detail)'!B32</f>
        <v/>
      </c>
      <c r="F395" s="9">
        <f>E395-D395</f>
        <v/>
      </c>
    </row>
    <row r="396">
      <c r="A396" s="18" t="inlineStr">
        <is>
          <t>Balance sheet (detail)</t>
        </is>
      </c>
      <c r="B396" s="18" t="inlineStr">
        <is>
          <t>32. Total net assets / fund balances</t>
        </is>
      </c>
      <c r="C396" s="18" t="inlineStr">
        <is>
          <t>FY2021</t>
        </is>
      </c>
      <c r="D396" s="9" t="n">
        <v>759729</v>
      </c>
      <c r="E396" s="9">
        <f>'Balance sheet (detail)'!C32</f>
        <v/>
      </c>
      <c r="F396" s="9">
        <f>E396-D396</f>
        <v/>
      </c>
    </row>
    <row r="397">
      <c r="A397" s="18" t="inlineStr">
        <is>
          <t>Balance sheet (detail)</t>
        </is>
      </c>
      <c r="B397" s="18" t="inlineStr">
        <is>
          <t>32. Total net assets / fund balances</t>
        </is>
      </c>
      <c r="C397" s="18" t="inlineStr">
        <is>
          <t>FY2022</t>
        </is>
      </c>
      <c r="D397" s="9" t="n">
        <v>764991</v>
      </c>
      <c r="E397" s="9">
        <f>'Balance sheet (detail)'!D32</f>
        <v/>
      </c>
      <c r="F397" s="9">
        <f>E397-D397</f>
        <v/>
      </c>
    </row>
    <row r="398">
      <c r="A398" s="18" t="inlineStr">
        <is>
          <t>Balance sheet (detail)</t>
        </is>
      </c>
      <c r="B398" s="18" t="inlineStr">
        <is>
          <t>32. Total net assets / fund balances</t>
        </is>
      </c>
      <c r="C398" s="18" t="inlineStr">
        <is>
          <t>FY2023</t>
        </is>
      </c>
      <c r="D398" s="9" t="n">
        <v>793159</v>
      </c>
      <c r="E398" s="9">
        <f>'Balance sheet (detail)'!E32</f>
        <v/>
      </c>
      <c r="F398" s="9">
        <f>E398-D398</f>
        <v/>
      </c>
    </row>
    <row r="399">
      <c r="A399" s="18" t="inlineStr">
        <is>
          <t>Balance sheet (detail)</t>
        </is>
      </c>
      <c r="B399" s="18" t="inlineStr">
        <is>
          <t>32. Total net assets / fund balances</t>
        </is>
      </c>
      <c r="C399" s="18" t="inlineStr">
        <is>
          <t>FY2024</t>
        </is>
      </c>
      <c r="D399" s="9" t="n">
        <v>789748</v>
      </c>
      <c r="E399" s="9">
        <f>'Balance sheet (detail)'!F32</f>
        <v/>
      </c>
      <c r="F399" s="9">
        <f>E399-D399</f>
        <v/>
      </c>
    </row>
    <row r="400">
      <c r="A400" s="18" t="inlineStr">
        <is>
          <t>Balance sheet (detail)</t>
        </is>
      </c>
      <c r="B400" s="18" t="inlineStr">
        <is>
          <t>32. Total net assets / fund balances</t>
        </is>
      </c>
      <c r="C400" s="18" t="inlineStr">
        <is>
          <t>FY2025</t>
        </is>
      </c>
      <c r="D400" s="9" t="n">
        <v>819457</v>
      </c>
      <c r="E400" s="9">
        <f>'Balance sheet (detail)'!G32</f>
        <v/>
      </c>
      <c r="F400" s="9">
        <f>E400-D400</f>
        <v/>
      </c>
    </row>
    <row r="401">
      <c r="A401" s="18" t="inlineStr">
        <is>
          <t>Balance sheet (detail)</t>
        </is>
      </c>
      <c r="B401" s="18" t="inlineStr">
        <is>
          <t>Balance sheet identity: line 16 = line 26 + line 32 (EOY)</t>
        </is>
      </c>
      <c r="C401" s="18" t="inlineStr">
        <is>
          <t>FY2020</t>
        </is>
      </c>
      <c r="D401" s="9">
        <f>'Balance sheet (detail)'!B22</f>
        <v/>
      </c>
      <c r="E401" s="9">
        <f>SUM('Balance sheet (detail)'!B27,'Balance sheet (detail)'!B32)</f>
        <v/>
      </c>
      <c r="F401" s="9">
        <f>E401-D401</f>
        <v/>
      </c>
    </row>
    <row r="402">
      <c r="A402" s="18" t="inlineStr">
        <is>
          <t>Balance sheet (detail)</t>
        </is>
      </c>
      <c r="B402" s="18" t="inlineStr">
        <is>
          <t>Balance sheet identity: line 16 = line 26 + line 32 (EOY)</t>
        </is>
      </c>
      <c r="C402" s="18" t="inlineStr">
        <is>
          <t>FY2021</t>
        </is>
      </c>
      <c r="D402" s="9">
        <f>'Balance sheet (detail)'!C22</f>
        <v/>
      </c>
      <c r="E402" s="9">
        <f>SUM('Balance sheet (detail)'!C27,'Balance sheet (detail)'!C32)</f>
        <v/>
      </c>
      <c r="F402" s="9">
        <f>E402-D402</f>
        <v/>
      </c>
    </row>
    <row r="403">
      <c r="A403" s="18" t="inlineStr">
        <is>
          <t>Balance sheet (detail)</t>
        </is>
      </c>
      <c r="B403" s="18" t="inlineStr">
        <is>
          <t>Balance sheet identity: line 16 = line 26 + line 32 (EOY)</t>
        </is>
      </c>
      <c r="C403" s="18" t="inlineStr">
        <is>
          <t>FY2022</t>
        </is>
      </c>
      <c r="D403" s="9">
        <f>'Balance sheet (detail)'!D22</f>
        <v/>
      </c>
      <c r="E403" s="9">
        <f>SUM('Balance sheet (detail)'!D27,'Balance sheet (detail)'!D32)</f>
        <v/>
      </c>
      <c r="F403" s="9">
        <f>E403-D403</f>
        <v/>
      </c>
    </row>
    <row r="404">
      <c r="A404" s="18" t="inlineStr">
        <is>
          <t>Balance sheet (detail)</t>
        </is>
      </c>
      <c r="B404" s="18" t="inlineStr">
        <is>
          <t>Balance sheet identity: line 16 = line 26 + line 32 (EOY)</t>
        </is>
      </c>
      <c r="C404" s="18" t="inlineStr">
        <is>
          <t>FY2023</t>
        </is>
      </c>
      <c r="D404" s="9">
        <f>'Balance sheet (detail)'!E22</f>
        <v/>
      </c>
      <c r="E404" s="9">
        <f>SUM('Balance sheet (detail)'!E27,'Balance sheet (detail)'!E32)</f>
        <v/>
      </c>
      <c r="F404" s="9">
        <f>E404-D404</f>
        <v/>
      </c>
    </row>
    <row r="405">
      <c r="A405" s="18" t="inlineStr">
        <is>
          <t>Balance sheet (detail)</t>
        </is>
      </c>
      <c r="B405" s="18" t="inlineStr">
        <is>
          <t>Balance sheet identity: line 16 = line 26 + line 32 (EOY)</t>
        </is>
      </c>
      <c r="C405" s="18" t="inlineStr">
        <is>
          <t>FY2024</t>
        </is>
      </c>
      <c r="D405" s="9">
        <f>'Balance sheet (detail)'!F22</f>
        <v/>
      </c>
      <c r="E405" s="9">
        <f>SUM('Balance sheet (detail)'!F27,'Balance sheet (detail)'!F32)</f>
        <v/>
      </c>
      <c r="F405" s="9">
        <f>E405-D405</f>
        <v/>
      </c>
    </row>
    <row r="406">
      <c r="A406" s="18" t="inlineStr">
        <is>
          <t>Balance sheet (detail)</t>
        </is>
      </c>
      <c r="B406" s="18" t="inlineStr">
        <is>
          <t>Balance sheet identity: line 16 = line 26 + line 32 (EOY)</t>
        </is>
      </c>
      <c r="C406" s="18" t="inlineStr">
        <is>
          <t>FY2025</t>
        </is>
      </c>
      <c r="D406" s="9">
        <f>'Balance sheet (detail)'!G22</f>
        <v/>
      </c>
      <c r="E406" s="9">
        <f>SUM('Balance sheet (detail)'!G27,'Balance sheet (detail)'!G32)</f>
        <v/>
      </c>
      <c r="F406" s="9">
        <f>E406-D406</f>
        <v/>
      </c>
    </row>
    <row r="407">
      <c r="A407" s="18" t="inlineStr">
        <is>
          <t>Net-assets reconciliation</t>
        </is>
      </c>
      <c r="B407" s="18" t="inlineStr">
        <is>
          <t>10. Net assets, end of year</t>
        </is>
      </c>
      <c r="C407" s="18" t="inlineStr">
        <is>
          <t>FY2020</t>
        </is>
      </c>
      <c r="D407" s="9" t="n">
        <v>742916</v>
      </c>
      <c r="E407" s="9">
        <f>'Net-assets reconciliation'!B11</f>
        <v/>
      </c>
      <c r="F407" s="9">
        <f>E407-D407</f>
        <v/>
      </c>
    </row>
    <row r="408">
      <c r="A408" s="18" t="inlineStr">
        <is>
          <t>Net-assets reconciliation</t>
        </is>
      </c>
      <c r="B408" s="18" t="inlineStr">
        <is>
          <t>10. Net assets, end of year</t>
        </is>
      </c>
      <c r="C408" s="18" t="inlineStr">
        <is>
          <t>FY2021</t>
        </is>
      </c>
      <c r="D408" s="9" t="n">
        <v>759729</v>
      </c>
      <c r="E408" s="9">
        <f>'Net-assets reconciliation'!C11</f>
        <v/>
      </c>
      <c r="F408" s="9">
        <f>E408-D408</f>
        <v/>
      </c>
    </row>
    <row r="409">
      <c r="A409" s="18" t="inlineStr">
        <is>
          <t>Net-assets reconciliation</t>
        </is>
      </c>
      <c r="B409" s="18" t="inlineStr">
        <is>
          <t>10. Net assets, end of year</t>
        </is>
      </c>
      <c r="C409" s="18" t="inlineStr">
        <is>
          <t>FY2022</t>
        </is>
      </c>
      <c r="D409" s="9" t="n">
        <v>764991</v>
      </c>
      <c r="E409" s="9">
        <f>'Net-assets reconciliation'!D11</f>
        <v/>
      </c>
      <c r="F409" s="9">
        <f>E409-D409</f>
        <v/>
      </c>
    </row>
    <row r="410">
      <c r="A410" s="18" t="inlineStr">
        <is>
          <t>Net-assets reconciliation</t>
        </is>
      </c>
      <c r="B410" s="18" t="inlineStr">
        <is>
          <t>10. Net assets, end of year</t>
        </is>
      </c>
      <c r="C410" s="18" t="inlineStr">
        <is>
          <t>FY2023</t>
        </is>
      </c>
      <c r="D410" s="9" t="n">
        <v>793159</v>
      </c>
      <c r="E410" s="9">
        <f>'Net-assets reconciliation'!E11</f>
        <v/>
      </c>
      <c r="F410" s="9">
        <f>E410-D410</f>
        <v/>
      </c>
    </row>
    <row r="411">
      <c r="A411" s="18" t="inlineStr">
        <is>
          <t>Net-assets reconciliation</t>
        </is>
      </c>
      <c r="B411" s="18" t="inlineStr">
        <is>
          <t>10. Net assets, end of year</t>
        </is>
      </c>
      <c r="C411" s="18" t="inlineStr">
        <is>
          <t>FY2024</t>
        </is>
      </c>
      <c r="D411" s="9" t="n">
        <v>789748</v>
      </c>
      <c r="E411" s="9">
        <f>'Net-assets reconciliation'!F11</f>
        <v/>
      </c>
      <c r="F411" s="9">
        <f>E411-D411</f>
        <v/>
      </c>
    </row>
    <row r="412">
      <c r="A412" s="18" t="inlineStr">
        <is>
          <t>Net-assets reconciliation</t>
        </is>
      </c>
      <c r="B412" s="18" t="inlineStr">
        <is>
          <t>10. Net assets, end of year</t>
        </is>
      </c>
      <c r="C412" s="18" t="inlineStr">
        <is>
          <t>FY2025</t>
        </is>
      </c>
      <c r="D412" s="9" t="n">
        <v>819457</v>
      </c>
      <c r="E412" s="9">
        <f>'Net-assets reconciliation'!G11</f>
        <v/>
      </c>
      <c r="F412" s="9">
        <f>E412-D412</f>
        <v/>
      </c>
    </row>
    <row r="414">
      <c r="A414" s="30" t="inlineStr">
        <is>
          <t>D. Preparer / auditor trail (one row per fiscal year, as filed)</t>
        </is>
      </c>
      <c r="B414" s="7" t="n"/>
      <c r="C414" s="7" t="n"/>
      <c r="D414" s="7" t="n"/>
      <c r="E414" s="7" t="n"/>
      <c r="F414" s="7" t="n"/>
      <c r="G414" s="7" t="n"/>
      <c r="H414" s="7" t="n"/>
      <c r="I414" s="7" t="n"/>
      <c r="J414" s="7" t="n"/>
      <c r="K414" s="7" t="n"/>
    </row>
    <row r="415">
      <c r="A415" s="5" t="inlineStr">
        <is>
          <t>Fiscal year</t>
        </is>
      </c>
      <c r="B415" s="5" t="inlineStr">
        <is>
          <t>Paid preparer</t>
        </is>
      </c>
      <c r="C415" s="5" t="inlineStr">
        <is>
          <t>Preparer firm</t>
        </is>
      </c>
      <c r="D415" s="5" t="inlineStr">
        <is>
          <t>Independent auditor</t>
        </is>
      </c>
      <c r="E415" s="5" t="inlineStr">
        <is>
          <t>Citation</t>
        </is>
      </c>
    </row>
    <row r="416" ht="42" customHeight="1">
      <c r="A416" s="27" t="inlineStr">
        <is>
          <t>FY2020</t>
        </is>
      </c>
      <c r="B416" s="8" t="inlineStr">
        <is>
          <t>Linda J Hyer EA</t>
        </is>
      </c>
      <c r="C416" s="8" t="inlineStr">
        <is>
          <t>NorCal Business &amp; Tax Services Inc</t>
        </is>
      </c>
      <c r="D416" s="31" t="inlineStr">
        <is>
          <t>not reported</t>
        </is>
      </c>
      <c r="E416" s="21" t="inlineStr">
        <is>
          <t>Form 990 Return Header, Paid Preparer block (return_header.preparer_person_name / preparer_firm_name); auditor: Part XII line 2 reports audited financial statements but does not name the firm.</t>
        </is>
      </c>
    </row>
    <row r="417" ht="42" customHeight="1">
      <c r="A417" s="27" t="inlineStr">
        <is>
          <t>FY2021</t>
        </is>
      </c>
      <c r="B417" s="8" t="inlineStr">
        <is>
          <t>Linda J Hyer EA</t>
        </is>
      </c>
      <c r="C417" s="8" t="inlineStr">
        <is>
          <t>NorCal Business &amp; Tax Services Inc</t>
        </is>
      </c>
      <c r="D417" s="31" t="inlineStr">
        <is>
          <t>not reported</t>
        </is>
      </c>
      <c r="E417" s="21" t="inlineStr">
        <is>
          <t>Form 990 Return Header, Paid Preparer block (return_header.preparer_person_name / preparer_firm_name); auditor: Part XII line 2 reports audited financial statements but does not name the firm.</t>
        </is>
      </c>
    </row>
    <row r="418" ht="42" customHeight="1">
      <c r="A418" s="27" t="inlineStr">
        <is>
          <t>FY2022</t>
        </is>
      </c>
      <c r="B418" s="8" t="inlineStr">
        <is>
          <t>Linda J Hyer EA</t>
        </is>
      </c>
      <c r="C418" s="8" t="inlineStr">
        <is>
          <t>NorCal Business &amp; Tax Services Inc</t>
        </is>
      </c>
      <c r="D418" s="31" t="inlineStr">
        <is>
          <t>not reported</t>
        </is>
      </c>
      <c r="E418" s="21" t="inlineStr">
        <is>
          <t>Form 990 Return Header, Paid Preparer block (return_header.preparer_person_name / preparer_firm_name); auditor: Part XII line 2 reports audited financial statements but does not name the firm.</t>
        </is>
      </c>
    </row>
    <row r="419" ht="42" customHeight="1">
      <c r="A419" s="27" t="inlineStr">
        <is>
          <t>FY2023</t>
        </is>
      </c>
      <c r="B419" s="8" t="inlineStr">
        <is>
          <t>Linda J Hyer EA</t>
        </is>
      </c>
      <c r="C419" s="8" t="inlineStr">
        <is>
          <t>NorCal Business &amp; Tax Services Inc</t>
        </is>
      </c>
      <c r="D419" s="31" t="inlineStr">
        <is>
          <t>not reported</t>
        </is>
      </c>
      <c r="E419" s="21" t="inlineStr">
        <is>
          <t>Form 990 Return Header, Paid Preparer block (return_header.preparer_person_name / preparer_firm_name); auditor: Part XII line 2 reports audited financial statements but does not name the firm.</t>
        </is>
      </c>
    </row>
    <row r="420" ht="42" customHeight="1">
      <c r="A420" s="27" t="inlineStr">
        <is>
          <t>FY2024</t>
        </is>
      </c>
      <c r="B420" s="8" t="inlineStr">
        <is>
          <t>Linda J Hyer</t>
        </is>
      </c>
      <c r="C420" s="8" t="inlineStr">
        <is>
          <t>NorCal Business &amp; Tax Services Inc</t>
        </is>
      </c>
      <c r="D420" s="31" t="inlineStr">
        <is>
          <t>not reported</t>
        </is>
      </c>
      <c r="E420" s="21" t="inlineStr">
        <is>
          <t>Form 990 Return Header, Paid Preparer block (return_header.preparer_person_name / preparer_firm_name); auditor: Part XII line 2 reports audited financial statements but does not name the firm.</t>
        </is>
      </c>
    </row>
    <row r="421" ht="42" customHeight="1">
      <c r="A421" s="27" t="inlineStr">
        <is>
          <t>FY2025</t>
        </is>
      </c>
      <c r="B421" s="8" t="inlineStr">
        <is>
          <t>Linda J Hyer EA</t>
        </is>
      </c>
      <c r="C421" s="8" t="inlineStr">
        <is>
          <t>NorCal Business &amp; Tax Services Inc</t>
        </is>
      </c>
      <c r="D421" s="31" t="inlineStr">
        <is>
          <t>not reported</t>
        </is>
      </c>
      <c r="E421" s="21" t="inlineStr">
        <is>
          <t>Form 990 Return Header, Paid Preparer block (return_header.preparer_person_name / preparer_firm_name); auditor: Part XII line 2 reports audited financial statements but does not name the firm.</t>
        </is>
      </c>
    </row>
    <row r="423">
      <c r="A423" s="30" t="inlineStr">
        <is>
          <t>E. Filed-label variants (case/spacing-only wording consolidated to one row; displayed = most recent year)</t>
        </is>
      </c>
      <c r="B423" s="7" t="n"/>
      <c r="C423" s="7" t="n"/>
      <c r="D423" s="7" t="n"/>
      <c r="E423" s="7" t="n"/>
      <c r="F423" s="7" t="n"/>
      <c r="G423" s="7" t="n"/>
      <c r="H423" s="7" t="n"/>
      <c r="I423" s="7" t="n"/>
      <c r="J423" s="7" t="n"/>
      <c r="K423" s="7" t="n"/>
    </row>
    <row r="424">
      <c r="A424" s="5" t="inlineStr">
        <is>
          <t>Tab</t>
        </is>
      </c>
      <c r="B424" s="5" t="inlineStr">
        <is>
          <t>Displayed (most recent)</t>
        </is>
      </c>
      <c r="C424" s="5" t="inlineStr">
        <is>
          <t>As-filed variant</t>
        </is>
      </c>
      <c r="D424" s="5" t="inlineStr">
        <is>
          <t>Years filed</t>
        </is>
      </c>
      <c r="E424" s="5" t="inlineStr">
        <is>
          <t>Note</t>
        </is>
      </c>
    </row>
    <row r="425">
      <c r="A425" s="8" t="inlineStr">
        <is>
          <t>Operating expenses (detail)</t>
        </is>
      </c>
      <c r="B425" s="8" t="inlineStr">
        <is>
          <t>WELL TAX</t>
        </is>
      </c>
      <c r="C425" s="8" t="inlineStr">
        <is>
          <t>Well tax</t>
        </is>
      </c>
      <c r="D425" s="8" t="inlineStr">
        <is>
          <t>FY2022</t>
        </is>
      </c>
      <c r="E425" s="21" t="inlineStr">
        <is>
          <t>Same line; differs only by capitalization / spacing.</t>
        </is>
      </c>
    </row>
    <row r="426">
      <c r="A426" s="8" t="inlineStr">
        <is>
          <t>Operating expenses (detail)</t>
        </is>
      </c>
      <c r="B426" s="8" t="inlineStr">
        <is>
          <t>WELL TAX</t>
        </is>
      </c>
      <c r="C426" s="8" t="inlineStr">
        <is>
          <t>WELL TAX</t>
        </is>
      </c>
      <c r="D426" s="8" t="inlineStr">
        <is>
          <t>FY2024</t>
        </is>
      </c>
      <c r="E426" s="21" t="inlineStr">
        <is>
          <t>Same line; differs only by capitalization / spacing.</t>
        </is>
      </c>
    </row>
    <row r="428" ht="42" customHeight="1">
      <c r="A42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28:K428"/>
    <mergeCell ref="A3:K3"/>
    <mergeCell ref="A2:K2"/>
    <mergeCell ref="A5:K5"/>
    <mergeCell ref="A1:K1"/>
  </mergeCells>
  <conditionalFormatting sqref="F369:F412">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