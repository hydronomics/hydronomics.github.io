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
    <numFmt numFmtId="167"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7" fontId="6" fillId="0" borderId="1" applyAlignment="1" pivotButton="0" quotePrefix="0" xfId="0">
      <alignment horizontal="right"/>
    </xf>
    <xf numFmtId="0" fontId="9" fillId="0" borderId="1" applyAlignment="1" pivotButton="0" quotePrefix="0" xfId="0">
      <alignment horizontal="center"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Financial Summary - multi-year overview (USD)</t>
        </is>
      </c>
    </row>
    <row r="3">
      <c r="A3" s="2" t="inlineStr">
        <is>
          <t>Entity ID: cawc_0021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218111</v>
      </c>
      <c r="C10" s="9" t="n">
        <v>248246</v>
      </c>
      <c r="D10" s="9" t="n">
        <v>213691</v>
      </c>
      <c r="E10" s="9" t="n">
        <v>248919</v>
      </c>
      <c r="F10" s="9" t="n">
        <v>413938</v>
      </c>
      <c r="G10" s="9" t="n">
        <v>546703</v>
      </c>
    </row>
    <row r="11">
      <c r="A11" s="8" t="inlineStr">
        <is>
          <t xml:space="preserve">    Total expenses</t>
        </is>
      </c>
      <c r="B11" s="9" t="n">
        <v>207980</v>
      </c>
      <c r="C11" s="9" t="n">
        <v>224644</v>
      </c>
      <c r="D11" s="9" t="n">
        <v>272676</v>
      </c>
      <c r="E11" s="9" t="n">
        <v>244236</v>
      </c>
      <c r="F11" s="9" t="n">
        <v>277639</v>
      </c>
      <c r="G11" s="9" t="n">
        <v>345598</v>
      </c>
    </row>
    <row r="12">
      <c r="A12" s="10" t="inlineStr">
        <is>
          <t xml:space="preserve">    Net income</t>
        </is>
      </c>
      <c r="B12" s="11" t="n">
        <v>10131</v>
      </c>
      <c r="C12" s="11" t="n">
        <v>23602</v>
      </c>
      <c r="D12" s="11" t="n">
        <v>-58985</v>
      </c>
      <c r="E12" s="11" t="n">
        <v>4683</v>
      </c>
      <c r="F12" s="11" t="n">
        <v>136299</v>
      </c>
      <c r="G12" s="11" t="n">
        <v>201105</v>
      </c>
    </row>
    <row r="14">
      <c r="A14" s="6" t="inlineStr">
        <is>
          <t>Financial position (USD, end of year)</t>
        </is>
      </c>
      <c r="B14" s="7" t="n"/>
      <c r="C14" s="7" t="n"/>
      <c r="D14" s="7" t="n"/>
      <c r="E14" s="7" t="n"/>
      <c r="F14" s="7" t="n"/>
      <c r="G14" s="7" t="n"/>
    </row>
    <row r="15">
      <c r="A15" s="8" t="inlineStr">
        <is>
          <t xml:space="preserve">    Total assets</t>
        </is>
      </c>
      <c r="B15" s="9" t="n">
        <v>555310</v>
      </c>
      <c r="C15" s="9" t="n">
        <v>579212</v>
      </c>
      <c r="D15" s="9" t="n">
        <v>517777</v>
      </c>
      <c r="E15" s="9" t="n">
        <v>522460</v>
      </c>
      <c r="F15" s="9" t="n">
        <v>658759</v>
      </c>
      <c r="G15" s="9" t="n">
        <v>859864</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555310</v>
      </c>
      <c r="C17" s="11" t="n">
        <v>579212</v>
      </c>
      <c r="D17" s="11" t="n">
        <v>517777</v>
      </c>
      <c r="E17" s="11" t="n">
        <v>522460</v>
      </c>
      <c r="F17" s="11" t="n">
        <v>658759</v>
      </c>
      <c r="G17" s="11" t="n">
        <v>859864</v>
      </c>
    </row>
    <row r="19">
      <c r="A19" s="6" t="inlineStr">
        <is>
          <t>Headline ratios</t>
        </is>
      </c>
      <c r="B19" s="7" t="n"/>
      <c r="C19" s="7" t="n"/>
      <c r="D19" s="7" t="n"/>
      <c r="E19" s="7" t="n"/>
      <c r="F19" s="7" t="n"/>
      <c r="G19" s="7" t="n"/>
    </row>
    <row r="20">
      <c r="A20" s="8" t="inlineStr">
        <is>
          <t xml:space="preserve">    Operating margin</t>
        </is>
      </c>
      <c r="B20" s="12" t="n">
        <v>0.04644882651493964</v>
      </c>
      <c r="C20" s="12" t="n">
        <v>0.09507504652642942</v>
      </c>
      <c r="D20" s="12" t="n">
        <v>-0.2760294069474147</v>
      </c>
      <c r="E20" s="12" t="n">
        <v>0.01881334892073325</v>
      </c>
      <c r="F20" s="12" t="n">
        <v>0.3292739492387749</v>
      </c>
      <c r="G20" s="12" t="n">
        <v>0.3678505513962791</v>
      </c>
    </row>
    <row r="21">
      <c r="A21" s="8" t="inlineStr">
        <is>
          <t xml:space="preserve">    Revenue growth (YoY)</t>
        </is>
      </c>
      <c r="B21" s="12" t="n">
        <v>0.1321325685811424</v>
      </c>
      <c r="C21" s="12" t="n">
        <v>0.1381635956004053</v>
      </c>
      <c r="D21" s="12" t="n">
        <v>-0.1391966033692386</v>
      </c>
      <c r="E21" s="12" t="n">
        <v>0.1648548605229046</v>
      </c>
      <c r="F21" s="12" t="n">
        <v>0.6629425636452019</v>
      </c>
      <c r="G21" s="12" t="n">
        <v>0.3207364387903502</v>
      </c>
    </row>
    <row r="22">
      <c r="A22" s="8" t="inlineStr">
        <is>
          <t xml:space="preserve">    Return on assets</t>
        </is>
      </c>
      <c r="B22" s="12" t="n">
        <v>0.0182438637877942</v>
      </c>
      <c r="C22" s="12" t="n">
        <v>0.04074846515610864</v>
      </c>
      <c r="D22" s="12" t="n">
        <v>-0.1139196990210071</v>
      </c>
      <c r="E22" s="12" t="n">
        <v>0.008963365616506527</v>
      </c>
      <c r="F22" s="12" t="n">
        <v>0.2069026760924708</v>
      </c>
      <c r="G22" s="12" t="n">
        <v>0.233880008931645</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Financial Statements - income statement, balance sheet, cash flow, member income test (USD)</t>
        </is>
      </c>
    </row>
    <row r="3">
      <c r="A3" s="2" t="inlineStr">
        <is>
          <t>Entity ID: cawc_0021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215819</v>
      </c>
      <c r="C8" s="9" t="n">
        <v>248239</v>
      </c>
      <c r="D8" s="9" t="n">
        <v>213691</v>
      </c>
      <c r="E8" s="9" t="n">
        <v>248215</v>
      </c>
      <c r="F8" s="9" t="n">
        <v>409534</v>
      </c>
      <c r="G8" s="9" t="n">
        <v>540118</v>
      </c>
    </row>
    <row r="9">
      <c r="A9" s="8" t="inlineStr">
        <is>
          <t xml:space="preserve">    Investment income</t>
        </is>
      </c>
      <c r="B9" s="9" t="n">
        <v>2292</v>
      </c>
      <c r="C9" s="9" t="n">
        <v>7</v>
      </c>
      <c r="D9" s="9" t="n"/>
      <c r="E9" s="9" t="n">
        <v>704</v>
      </c>
      <c r="F9" s="9" t="n"/>
      <c r="G9" s="9" t="n">
        <v>6585</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v>4404</v>
      </c>
      <c r="G12" s="9" t="n"/>
    </row>
    <row r="13">
      <c r="A13" s="8" t="inlineStr">
        <is>
          <t xml:space="preserve">    Contributions &amp; grants</t>
        </is>
      </c>
      <c r="B13" s="9" t="n"/>
      <c r="C13" s="9" t="n"/>
      <c r="D13" s="9" t="n"/>
      <c r="E13" s="9" t="n"/>
      <c r="F13" s="9" t="n"/>
      <c r="G13" s="9" t="n"/>
    </row>
    <row r="14">
      <c r="A14" s="10" t="inlineStr">
        <is>
          <t>Total revenue</t>
        </is>
      </c>
      <c r="B14" s="11" t="n">
        <v>218111</v>
      </c>
      <c r="C14" s="11" t="n">
        <v>248246</v>
      </c>
      <c r="D14" s="11" t="n">
        <v>213691</v>
      </c>
      <c r="E14" s="11" t="n">
        <v>248919</v>
      </c>
      <c r="F14" s="11" t="n">
        <v>413938</v>
      </c>
      <c r="G14" s="11" t="n">
        <v>546703</v>
      </c>
    </row>
    <row r="16">
      <c r="A16" s="6" t="inlineStr">
        <is>
          <t>Expenses</t>
        </is>
      </c>
      <c r="B16" s="7" t="n"/>
      <c r="C16" s="7" t="n"/>
      <c r="D16" s="7" t="n"/>
      <c r="E16" s="7" t="n"/>
      <c r="F16" s="7" t="n"/>
      <c r="G16" s="7" t="n"/>
    </row>
    <row r="17">
      <c r="A17" s="8" t="inlineStr">
        <is>
          <t xml:space="preserve">    Depreciation</t>
        </is>
      </c>
      <c r="B17" s="9" t="n">
        <v>26984</v>
      </c>
      <c r="C17" s="9" t="n">
        <v>26305</v>
      </c>
      <c r="D17" s="9" t="n">
        <v>27282</v>
      </c>
      <c r="E17" s="9" t="n">
        <v>29059</v>
      </c>
      <c r="F17" s="9" t="n">
        <v>33327</v>
      </c>
      <c r="G17" s="9" t="n">
        <v>38220</v>
      </c>
    </row>
    <row r="18">
      <c r="A18" s="8" t="inlineStr">
        <is>
          <t xml:space="preserve">    Interest expense</t>
        </is>
      </c>
      <c r="B18" s="9" t="n"/>
      <c r="C18" s="9" t="n"/>
      <c r="D18" s="9" t="n"/>
      <c r="E18" s="9" t="n"/>
      <c r="F18" s="9" t="n"/>
      <c r="G18" s="9" t="n"/>
    </row>
    <row r="19">
      <c r="A19" s="10" t="inlineStr">
        <is>
          <t>Total expenses</t>
        </is>
      </c>
      <c r="B19" s="11" t="n">
        <v>207980</v>
      </c>
      <c r="C19" s="11" t="n">
        <v>224644</v>
      </c>
      <c r="D19" s="11" t="n">
        <v>272676</v>
      </c>
      <c r="E19" s="11" t="n">
        <v>244236</v>
      </c>
      <c r="F19" s="11" t="n">
        <v>277639</v>
      </c>
      <c r="G19" s="11" t="n">
        <v>345598</v>
      </c>
    </row>
    <row r="21">
      <c r="A21" s="10" t="inlineStr">
        <is>
          <t>Net income</t>
        </is>
      </c>
      <c r="B21" s="11" t="n">
        <v>10131</v>
      </c>
      <c r="C21" s="11" t="n">
        <v>23602</v>
      </c>
      <c r="D21" s="11" t="n">
        <v>-58985</v>
      </c>
      <c r="E21" s="11" t="n">
        <v>4683</v>
      </c>
      <c r="F21" s="11" t="n">
        <v>136299</v>
      </c>
      <c r="G21" s="11" t="n">
        <v>201105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280687</v>
      </c>
      <c r="C27" s="9" t="n">
        <v>330893</v>
      </c>
      <c r="D27" s="9" t="n">
        <v>237139</v>
      </c>
      <c r="E27" s="9" t="n">
        <v>147642</v>
      </c>
      <c r="F27" s="9" t="n">
        <v>198771</v>
      </c>
      <c r="G27" s="9" t="n">
        <v>235656</v>
      </c>
    </row>
    <row r="28">
      <c r="A28" s="8" t="inlineStr">
        <is>
          <t xml:space="preserve">    Savings &amp; temporary investments</t>
        </is>
      </c>
      <c r="B28" s="9" t="n"/>
      <c r="C28" s="9" t="n"/>
      <c r="D28" s="9" t="n"/>
      <c r="E28" s="9" t="n">
        <v>100704</v>
      </c>
      <c r="F28" s="9" t="n">
        <v>105036</v>
      </c>
      <c r="G28" s="9" t="n">
        <v>257721</v>
      </c>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v>828256</v>
      </c>
      <c r="C32" s="9" t="n">
        <v>828256</v>
      </c>
      <c r="D32" s="9" t="n">
        <v>879802</v>
      </c>
      <c r="E32" s="9" t="n">
        <v>902337</v>
      </c>
      <c r="F32" s="9" t="n">
        <v>1016429</v>
      </c>
      <c r="G32" s="9" t="n">
        <v>1066184</v>
      </c>
    </row>
    <row r="33">
      <c r="A33" s="8" t="inlineStr">
        <is>
          <t xml:space="preserve">    Less: accumulated depreciation</t>
        </is>
      </c>
      <c r="B33" s="9" t="n">
        <v>-553633</v>
      </c>
      <c r="C33" s="9" t="n">
        <v>-579937</v>
      </c>
      <c r="D33" s="9" t="n">
        <v>-599164</v>
      </c>
      <c r="E33" s="9" t="n">
        <v>-628223</v>
      </c>
      <c r="F33" s="9" t="n">
        <v>-661477</v>
      </c>
      <c r="G33" s="9" t="n">
        <v>-699697</v>
      </c>
    </row>
    <row r="34">
      <c r="A34" s="10" t="inlineStr">
        <is>
          <t xml:space="preserve">    Net property, plant &amp; equipment</t>
        </is>
      </c>
      <c r="B34" s="11" t="n">
        <v>274623</v>
      </c>
      <c r="C34" s="11" t="n">
        <v>248319</v>
      </c>
      <c r="D34" s="11" t="n">
        <v>280638</v>
      </c>
      <c r="E34" s="11" t="n">
        <v>274114</v>
      </c>
      <c r="F34" s="11" t="n">
        <v>354952</v>
      </c>
      <c r="G34" s="11" t="n">
        <v>366487</v>
      </c>
    </row>
    <row r="35">
      <c r="A35" s="10" t="inlineStr">
        <is>
          <t>Total assets</t>
        </is>
      </c>
      <c r="B35" s="11" t="n">
        <v>555310</v>
      </c>
      <c r="C35" s="11" t="n">
        <v>579212</v>
      </c>
      <c r="D35" s="11" t="n">
        <v>517777</v>
      </c>
      <c r="E35" s="11" t="n">
        <v>522460</v>
      </c>
      <c r="F35" s="11" t="n">
        <v>658759</v>
      </c>
      <c r="G35" s="11" t="n">
        <v>859864</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v>555310</v>
      </c>
      <c r="C45" s="9" t="n">
        <v>579212</v>
      </c>
      <c r="D45" s="9" t="n">
        <v>517777</v>
      </c>
      <c r="E45" s="9" t="n">
        <v>522460</v>
      </c>
      <c r="F45" s="9" t="n">
        <v>658759</v>
      </c>
      <c r="G45" s="9" t="n">
        <v>859864</v>
      </c>
    </row>
    <row r="46">
      <c r="A46" s="10" t="inlineStr">
        <is>
          <t>Net assets</t>
        </is>
      </c>
      <c r="B46" s="11" t="n">
        <v>555310</v>
      </c>
      <c r="C46" s="11" t="n">
        <v>579212</v>
      </c>
      <c r="D46" s="11" t="n">
        <v>517777</v>
      </c>
      <c r="E46" s="11" t="n">
        <v>522460</v>
      </c>
      <c r="F46" s="11" t="n">
        <v>658759</v>
      </c>
      <c r="G46" s="11" t="n">
        <v>859864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10131</v>
      </c>
      <c r="C52" s="9" t="n">
        <v>23602</v>
      </c>
      <c r="D52" s="9" t="n">
        <v>-58985</v>
      </c>
      <c r="E52" s="9" t="n">
        <v>4683</v>
      </c>
      <c r="F52" s="9" t="n">
        <v>136299</v>
      </c>
      <c r="G52" s="9" t="n">
        <v>201105</v>
      </c>
    </row>
    <row r="53">
      <c r="A53" s="8" t="inlineStr">
        <is>
          <t xml:space="preserve">    + Depreciation (reported)</t>
        </is>
      </c>
      <c r="B53" s="9" t="n">
        <v>26984</v>
      </c>
      <c r="C53" s="9" t="n">
        <v>26305</v>
      </c>
      <c r="D53" s="9" t="n">
        <v>27282</v>
      </c>
      <c r="E53" s="9" t="n">
        <v>29059</v>
      </c>
      <c r="F53" s="9" t="n">
        <v>33327</v>
      </c>
      <c r="G53" s="9" t="n">
        <v>38220</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49907</v>
      </c>
      <c r="D58" s="11" t="n">
        <v>-31703</v>
      </c>
      <c r="E58" s="11" t="n">
        <v>33742</v>
      </c>
      <c r="F58" s="11" t="n">
        <v>169626</v>
      </c>
      <c r="G58" s="11" t="n">
        <v>239325</v>
      </c>
    </row>
    <row r="60">
      <c r="A60" s="6" t="inlineStr">
        <is>
          <t>Investing</t>
        </is>
      </c>
      <c r="B60" s="7" t="n"/>
      <c r="C60" s="7" t="n"/>
      <c r="D60" s="7" t="n"/>
      <c r="E60" s="7" t="n"/>
      <c r="F60" s="7" t="n"/>
      <c r="G60" s="7" t="n"/>
    </row>
    <row r="61">
      <c r="A61" s="8" t="inlineStr">
        <is>
          <t xml:space="preserve">    − Δ PP&amp;E gross (capex proxy)</t>
        </is>
      </c>
      <c r="B61" s="9" t="n"/>
      <c r="C61" s="9" t="n">
        <v>0</v>
      </c>
      <c r="D61" s="9" t="n">
        <v>-51546</v>
      </c>
      <c r="E61" s="9" t="n">
        <v>-22535</v>
      </c>
      <c r="F61" s="9" t="n">
        <v>-114092</v>
      </c>
      <c r="G61" s="9" t="n">
        <v>-49755</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50206</v>
      </c>
      <c r="D67" s="11" t="n">
        <v>-93754</v>
      </c>
      <c r="E67" s="11" t="n">
        <v>11207</v>
      </c>
      <c r="F67" s="11" t="n">
        <v>55461</v>
      </c>
      <c r="G67" s="11" t="n">
        <v>189570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215819</v>
      </c>
      <c r="C73" s="9" t="n">
        <v>248239</v>
      </c>
      <c r="D73" s="9" t="n">
        <v>213691</v>
      </c>
      <c r="E73" s="9" t="n">
        <v>248213</v>
      </c>
      <c r="F73" s="9" t="n">
        <v>409534</v>
      </c>
      <c r="G73" s="9" t="n">
        <v>540118</v>
      </c>
    </row>
    <row r="74">
      <c r="A74" s="8" t="inlineStr">
        <is>
          <t xml:space="preserve">    11b. Gross income from other sources</t>
        </is>
      </c>
      <c r="B74" s="9" t="n">
        <v>2292</v>
      </c>
      <c r="C74" s="9" t="n">
        <v>7</v>
      </c>
      <c r="D74" s="9" t="n">
        <v>0</v>
      </c>
      <c r="E74" s="9" t="n">
        <v>704</v>
      </c>
      <c r="F74" s="9" t="n">
        <v>4404</v>
      </c>
      <c r="G74" s="9" t="n">
        <v>6585</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Balance Sheet - as reported (USD, end of year)</t>
        </is>
      </c>
    </row>
    <row r="3">
      <c r="A3" s="2" t="inlineStr">
        <is>
          <t>Entity ID: cawc_0021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280687</v>
      </c>
      <c r="C7" s="9" t="n">
        <v>330893</v>
      </c>
      <c r="D7" s="9" t="n">
        <v>237139</v>
      </c>
      <c r="E7" s="9" t="n">
        <v>147642</v>
      </c>
      <c r="F7" s="9" t="n">
        <v>198771</v>
      </c>
      <c r="G7" s="9" t="n">
        <v>235656</v>
      </c>
    </row>
    <row r="8">
      <c r="A8" s="8" t="inlineStr">
        <is>
          <t xml:space="preserve">    Savings &amp; temporary investments</t>
        </is>
      </c>
      <c r="B8" s="9" t="n"/>
      <c r="C8" s="9" t="n"/>
      <c r="D8" s="9" t="n"/>
      <c r="E8" s="9" t="n">
        <v>100704</v>
      </c>
      <c r="F8" s="9" t="n">
        <v>105036</v>
      </c>
      <c r="G8" s="9" t="n">
        <v>257721</v>
      </c>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v>828256</v>
      </c>
      <c r="C12" s="9" t="n">
        <v>828256</v>
      </c>
      <c r="D12" s="9" t="n">
        <v>879802</v>
      </c>
      <c r="E12" s="9" t="n">
        <v>902337</v>
      </c>
      <c r="F12" s="9" t="n">
        <v>1016429</v>
      </c>
      <c r="G12" s="9" t="n">
        <v>1066184</v>
      </c>
    </row>
    <row r="13">
      <c r="A13" s="8" t="inlineStr">
        <is>
          <t xml:space="preserve">    Less: accumulated depreciation</t>
        </is>
      </c>
      <c r="B13" s="9" t="n">
        <v>-553633</v>
      </c>
      <c r="C13" s="9" t="n">
        <v>-579937</v>
      </c>
      <c r="D13" s="9" t="n">
        <v>-599164</v>
      </c>
      <c r="E13" s="9" t="n">
        <v>-628223</v>
      </c>
      <c r="F13" s="9" t="n">
        <v>-661477</v>
      </c>
      <c r="G13" s="9" t="n">
        <v>-699697</v>
      </c>
    </row>
    <row r="14">
      <c r="A14" s="10" t="inlineStr">
        <is>
          <t xml:space="preserve">    Net property, plant &amp; equipment</t>
        </is>
      </c>
      <c r="B14" s="11" t="n">
        <v>274623</v>
      </c>
      <c r="C14" s="11" t="n">
        <v>248319</v>
      </c>
      <c r="D14" s="11" t="n">
        <v>280638</v>
      </c>
      <c r="E14" s="11" t="n">
        <v>274114</v>
      </c>
      <c r="F14" s="11" t="n">
        <v>354952</v>
      </c>
      <c r="G14" s="11" t="n">
        <v>366487</v>
      </c>
    </row>
    <row r="15">
      <c r="A15" s="10" t="inlineStr">
        <is>
          <t>Total assets</t>
        </is>
      </c>
      <c r="B15" s="11" t="n">
        <v>555310</v>
      </c>
      <c r="C15" s="11" t="n">
        <v>579212</v>
      </c>
      <c r="D15" s="11" t="n">
        <v>517777</v>
      </c>
      <c r="E15" s="11" t="n">
        <v>522460</v>
      </c>
      <c r="F15" s="11" t="n">
        <v>658759</v>
      </c>
      <c r="G15" s="11" t="n">
        <v>859864</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v>555310</v>
      </c>
      <c r="C25" s="9" t="n">
        <v>579212</v>
      </c>
      <c r="D25" s="9" t="n">
        <v>517777</v>
      </c>
      <c r="E25" s="9" t="n">
        <v>522460</v>
      </c>
      <c r="F25" s="9" t="n">
        <v>658759</v>
      </c>
      <c r="G25" s="9" t="n">
        <v>859864</v>
      </c>
    </row>
    <row r="26">
      <c r="A26" s="10" t="inlineStr">
        <is>
          <t>Net assets</t>
        </is>
      </c>
      <c r="B26" s="11" t="n">
        <v>555310</v>
      </c>
      <c r="C26" s="11" t="n">
        <v>579212</v>
      </c>
      <c r="D26" s="11" t="n">
        <v>517777</v>
      </c>
      <c r="E26" s="11" t="n">
        <v>522460</v>
      </c>
      <c r="F26" s="11" t="n">
        <v>658759</v>
      </c>
      <c r="G26" s="11" t="n">
        <v>859864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Santa Ynez Rancho Estates Mutual Water Company</t>
        </is>
      </c>
    </row>
    <row r="2">
      <c r="A2" s="2" t="inlineStr">
        <is>
          <t>Officers, Directors &amp; Contractors - Form 990 Part VII (FY2025; USD)</t>
        </is>
      </c>
    </row>
    <row r="3">
      <c r="A3" s="2" t="inlineStr">
        <is>
          <t>Entity ID: cawc_0021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KIM SWITZER</t>
        </is>
      </c>
      <c r="B7" s="8" t="inlineStr">
        <is>
          <t>PRESIDENT</t>
        </is>
      </c>
      <c r="C7" s="9" t="n">
        <v>0</v>
      </c>
      <c r="D7" s="9" t="n">
        <v>0</v>
      </c>
      <c r="E7" s="9" t="n">
        <v>0</v>
      </c>
      <c r="F7" s="9" t="n">
        <v>0</v>
      </c>
    </row>
    <row r="8">
      <c r="A8" s="8" t="inlineStr">
        <is>
          <t>DAVE CHACKEL</t>
        </is>
      </c>
      <c r="B8" s="8" t="inlineStr">
        <is>
          <t>VICE PRESIDENT-OPERATIONS</t>
        </is>
      </c>
      <c r="C8" s="9" t="n">
        <v>0</v>
      </c>
      <c r="D8" s="9" t="n">
        <v>0</v>
      </c>
      <c r="E8" s="9" t="n">
        <v>0</v>
      </c>
      <c r="F8" s="9" t="n">
        <v>0</v>
      </c>
    </row>
    <row r="9">
      <c r="A9" s="8" t="inlineStr">
        <is>
          <t>CRAIG JURATSCH</t>
        </is>
      </c>
      <c r="B9" s="8" t="inlineStr">
        <is>
          <t>VICE PRESIDENT-REGULATORY</t>
        </is>
      </c>
      <c r="C9" s="9" t="n">
        <v>0</v>
      </c>
      <c r="D9" s="9" t="n">
        <v>0</v>
      </c>
      <c r="E9" s="9" t="n">
        <v>0</v>
      </c>
      <c r="F9" s="9" t="n">
        <v>0</v>
      </c>
    </row>
    <row r="10">
      <c r="A10" s="8" t="inlineStr">
        <is>
          <t>BRIAN CULACIATI</t>
        </is>
      </c>
      <c r="B10" s="8" t="inlineStr">
        <is>
          <t>SECRETARY</t>
        </is>
      </c>
      <c r="C10" s="9" t="n">
        <v>0</v>
      </c>
      <c r="D10" s="9" t="n">
        <v>0</v>
      </c>
      <c r="E10" s="9" t="n">
        <v>0</v>
      </c>
      <c r="F10" s="9" t="n">
        <v>0</v>
      </c>
    </row>
    <row r="11">
      <c r="A11" s="8" t="inlineStr">
        <is>
          <t>HOWARD ERENBERG</t>
        </is>
      </c>
      <c r="B11" s="8" t="inlineStr">
        <is>
          <t>TREASURER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Revenue - Form 990 Part VIII (USD)</t>
        </is>
      </c>
    </row>
    <row r="3">
      <c r="A3" s="2" t="inlineStr">
        <is>
          <t>Entity ID: cawc_0021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17" t="inlineStr">
        <is>
          <t>not reported</t>
        </is>
      </c>
    </row>
    <row r="8">
      <c r="A8" s="8" t="inlineStr">
        <is>
          <t xml:space="preserve">    2g. Total program service revenue</t>
        </is>
      </c>
      <c r="B8" s="9" t="n">
        <v>215819</v>
      </c>
      <c r="C8" s="9" t="n">
        <v>248239</v>
      </c>
      <c r="D8" s="9" t="n">
        <v>213691</v>
      </c>
      <c r="E8" s="9" t="n">
        <v>248215</v>
      </c>
      <c r="F8" s="9" t="n">
        <v>409534</v>
      </c>
      <c r="G8" s="9" t="n">
        <v>540118</v>
      </c>
    </row>
    <row r="9">
      <c r="A9" s="8" t="inlineStr">
        <is>
          <t xml:space="preserve">    3. Investment income</t>
        </is>
      </c>
      <c r="B9" s="9" t="n">
        <v>2292</v>
      </c>
      <c r="C9" s="9" t="n">
        <v>7</v>
      </c>
      <c r="D9" s="17" t="inlineStr">
        <is>
          <t>not reported</t>
        </is>
      </c>
      <c r="E9" s="9" t="n">
        <v>704</v>
      </c>
      <c r="F9" s="17" t="inlineStr">
        <is>
          <t>not reported</t>
        </is>
      </c>
      <c r="G9" s="9" t="n">
        <v>6585</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c r="G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9" t="n">
        <v>4404</v>
      </c>
      <c r="G12" s="17"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USAGE</t>
        </is>
      </c>
      <c r="B17" s="8" t="inlineStr">
        <is>
          <t>221000</t>
        </is>
      </c>
      <c r="C17" s="9" t="n">
        <v>431549</v>
      </c>
    </row>
    <row r="18">
      <c r="A18" s="8" t="inlineStr">
        <is>
          <t>SPEC ASSESMENT WELL 4</t>
        </is>
      </c>
      <c r="B18" s="8" t="inlineStr">
        <is>
          <t>221000</t>
        </is>
      </c>
      <c r="C18" s="9" t="n">
        <v>108569</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9:G19"/>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Santa Ynez Rancho Estates Mutual Water Company</t>
        </is>
      </c>
    </row>
    <row r="2">
      <c r="A2" s="2" t="inlineStr">
        <is>
          <t>Statement of Functional Expenses - Form 990 Part IX (USD)</t>
        </is>
      </c>
    </row>
    <row r="3">
      <c r="A3" s="2" t="inlineStr">
        <is>
          <t>Entity ID: cawc_0021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11b. Fees for services: legal</t>
        </is>
      </c>
      <c r="B7" s="17" t="inlineStr">
        <is>
          <t>not reported</t>
        </is>
      </c>
      <c r="C7" s="17" t="inlineStr">
        <is>
          <t>not reported</t>
        </is>
      </c>
      <c r="D7" s="17" t="inlineStr">
        <is>
          <t>not reported</t>
        </is>
      </c>
      <c r="E7" s="17" t="inlineStr">
        <is>
          <t>not reported</t>
        </is>
      </c>
      <c r="F7" s="9" t="n">
        <v>2783</v>
      </c>
      <c r="G7" s="9" t="n">
        <v>10572</v>
      </c>
    </row>
    <row r="8">
      <c r="A8" s="8" t="inlineStr">
        <is>
          <t xml:space="preserve">    11c. Fees for services: accounting</t>
        </is>
      </c>
      <c r="B8" s="9" t="n">
        <v>14760</v>
      </c>
      <c r="C8" s="9" t="n">
        <v>16730</v>
      </c>
      <c r="D8" s="9" t="n">
        <v>18650</v>
      </c>
      <c r="E8" s="9" t="n">
        <v>22872</v>
      </c>
      <c r="F8" s="9" t="n">
        <v>26754</v>
      </c>
      <c r="G8" s="9" t="n">
        <v>28310</v>
      </c>
    </row>
    <row r="9">
      <c r="A9" s="8" t="inlineStr">
        <is>
          <t xml:space="preserve">    13. Office expenses</t>
        </is>
      </c>
      <c r="B9" s="9" t="n">
        <v>1748</v>
      </c>
      <c r="C9" s="9" t="n">
        <v>1206</v>
      </c>
      <c r="D9" s="9" t="n">
        <v>2388</v>
      </c>
      <c r="E9" s="9" t="n">
        <v>3253</v>
      </c>
      <c r="F9" s="9" t="n">
        <v>742</v>
      </c>
      <c r="G9" s="9" t="n">
        <v>2590</v>
      </c>
    </row>
    <row r="10">
      <c r="A10" s="8" t="inlineStr">
        <is>
          <t xml:space="preserve">    22. Depreciation, depletion, and amortization</t>
        </is>
      </c>
      <c r="B10" s="9" t="n">
        <v>26984</v>
      </c>
      <c r="C10" s="9" t="n">
        <v>26305</v>
      </c>
      <c r="D10" s="9" t="n">
        <v>27282</v>
      </c>
      <c r="E10" s="9" t="n">
        <v>29059</v>
      </c>
      <c r="F10" s="9" t="n">
        <v>33327</v>
      </c>
      <c r="G10" s="9" t="n">
        <v>38220</v>
      </c>
    </row>
    <row r="11">
      <c r="A11" s="8" t="inlineStr">
        <is>
          <t xml:space="preserve">    23. Insurance</t>
        </is>
      </c>
      <c r="B11" s="9" t="n">
        <v>2073</v>
      </c>
      <c r="C11" s="9" t="n">
        <v>2289</v>
      </c>
      <c r="D11" s="9" t="n">
        <v>2538</v>
      </c>
      <c r="E11" s="9" t="n">
        <v>2775</v>
      </c>
      <c r="F11" s="9" t="n">
        <v>4190</v>
      </c>
      <c r="G11" s="9" t="n">
        <v>5321</v>
      </c>
    </row>
    <row r="12">
      <c r="A12" s="8" t="inlineStr">
        <is>
          <t xml:space="preserve">    24. UTILITIES</t>
        </is>
      </c>
      <c r="B12" s="9" t="n">
        <v>93356</v>
      </c>
      <c r="C12" s="9" t="n">
        <v>94300</v>
      </c>
      <c r="D12" s="9" t="n">
        <v>107931</v>
      </c>
      <c r="E12" s="9" t="n">
        <v>106673</v>
      </c>
      <c r="F12" s="9" t="n">
        <v>108818</v>
      </c>
      <c r="G12" s="9" t="n">
        <v>110930</v>
      </c>
    </row>
    <row r="13">
      <c r="A13" s="8" t="inlineStr">
        <is>
          <t xml:space="preserve">    24. REPAIRS &amp; MAINTENANCE</t>
        </is>
      </c>
      <c r="B13" s="9" t="n">
        <v>29453</v>
      </c>
      <c r="C13" s="9" t="n">
        <v>29367</v>
      </c>
      <c r="D13" s="9" t="n">
        <v>29577</v>
      </c>
      <c r="E13" s="9" t="n">
        <v>40468</v>
      </c>
      <c r="F13" s="9" t="n">
        <v>50073</v>
      </c>
      <c r="G13" s="9" t="n">
        <v>54657</v>
      </c>
    </row>
    <row r="14">
      <c r="A14" s="8" t="inlineStr">
        <is>
          <t xml:space="preserve">    24. WATER TESTING</t>
        </is>
      </c>
      <c r="B14" s="9" t="n">
        <v>18926</v>
      </c>
      <c r="C14" s="9" t="n">
        <v>20030</v>
      </c>
      <c r="D14" s="9" t="n">
        <v>23626</v>
      </c>
      <c r="E14" s="9" t="n">
        <v>23007</v>
      </c>
      <c r="F14" s="9" t="n">
        <v>33288</v>
      </c>
      <c r="G14" s="9" t="n">
        <v>42239</v>
      </c>
    </row>
    <row r="15">
      <c r="A15" s="8" t="inlineStr">
        <is>
          <t xml:space="preserve">    24. METER READ &amp; BACKFLOW TEST</t>
        </is>
      </c>
      <c r="B15" s="9" t="n">
        <v>10906</v>
      </c>
      <c r="C15" s="9" t="n">
        <v>14380</v>
      </c>
      <c r="D15" s="9" t="n">
        <v>8253</v>
      </c>
      <c r="E15" s="9" t="n">
        <v>7590</v>
      </c>
      <c r="F15" s="17" t="inlineStr">
        <is>
          <t>not reported</t>
        </is>
      </c>
      <c r="G15" s="17" t="inlineStr">
        <is>
          <t>not reported</t>
        </is>
      </c>
    </row>
    <row r="16">
      <c r="A16" s="8" t="inlineStr">
        <is>
          <t xml:space="preserve">    24. SGMA EXPENSESHYDROLOGICAL C</t>
        </is>
      </c>
      <c r="B16" s="17" t="inlineStr">
        <is>
          <t>not reported</t>
        </is>
      </c>
      <c r="C16" s="17" t="inlineStr">
        <is>
          <t>not reported</t>
        </is>
      </c>
      <c r="D16" s="17" t="inlineStr">
        <is>
          <t>not reported</t>
        </is>
      </c>
      <c r="E16" s="17" t="inlineStr">
        <is>
          <t>not reported</t>
        </is>
      </c>
      <c r="F16" s="17" t="inlineStr">
        <is>
          <t>not reported</t>
        </is>
      </c>
      <c r="G16" s="9" t="n">
        <v>28256</v>
      </c>
    </row>
    <row r="17">
      <c r="A17" s="8" t="inlineStr">
        <is>
          <t xml:space="preserve">    24e. All other expenses</t>
        </is>
      </c>
      <c r="B17" s="9" t="n">
        <v>9774</v>
      </c>
      <c r="C17" s="9" t="n">
        <v>20037</v>
      </c>
      <c r="D17" s="9" t="n">
        <v>52431</v>
      </c>
      <c r="E17" s="9" t="n">
        <v>8539</v>
      </c>
      <c r="F17" s="9" t="n">
        <v>17664</v>
      </c>
      <c r="G17" s="9" t="n">
        <v>24503</v>
      </c>
    </row>
    <row r="18">
      <c r="A18" s="10" t="inlineStr">
        <is>
          <t>25. Total functional expenses</t>
        </is>
      </c>
      <c r="B18" s="11">
        <f>SUM(B7:B17)</f>
        <v/>
      </c>
      <c r="C18" s="11">
        <f>SUM(C7:C17)</f>
        <v/>
      </c>
      <c r="D18" s="11">
        <f>SUM(D7:D17)</f>
        <v/>
      </c>
      <c r="E18" s="11">
        <f>SUM(E7:E17)</f>
        <v/>
      </c>
      <c r="F18" s="11">
        <f>SUM(F7:F17)</f>
        <v/>
      </c>
      <c r="G18" s="11">
        <f>SUM(G7:G17)</f>
        <v/>
      </c>
    </row>
    <row r="20">
      <c r="A20" s="6" t="inlineStr">
        <is>
          <t>Functional column split - FY2025 (col A = B + C + D)</t>
        </is>
      </c>
      <c r="B20" s="7" t="n"/>
      <c r="C20" s="7" t="n"/>
      <c r="D20" s="7" t="n"/>
      <c r="E20" s="7" t="n"/>
      <c r="F20" s="7" t="n"/>
      <c r="G20" s="7" t="n"/>
    </row>
    <row r="21">
      <c r="A21" s="5" t="inlineStr">
        <is>
          <t>Part IX line</t>
        </is>
      </c>
      <c r="B21" s="5" t="inlineStr">
        <is>
          <t>A. Total</t>
        </is>
      </c>
      <c r="C21" s="5" t="inlineStr">
        <is>
          <t>B. Program services</t>
        </is>
      </c>
      <c r="D21" s="5" t="inlineStr">
        <is>
          <t>C. Management &amp; general</t>
        </is>
      </c>
      <c r="E21" s="5" t="inlineStr">
        <is>
          <t>D. Fundraising</t>
        </is>
      </c>
    </row>
    <row r="22">
      <c r="A22" s="18" t="inlineStr">
        <is>
          <t>11b. Fees for services: legal</t>
        </is>
      </c>
      <c r="B22" s="9" t="n">
        <v>10572</v>
      </c>
      <c r="C22" s="9" t="n">
        <v>10572</v>
      </c>
      <c r="D22" s="9" t="n"/>
      <c r="E22" s="9" t="n"/>
    </row>
    <row r="23">
      <c r="A23" s="18" t="inlineStr">
        <is>
          <t>11c. Fees for services: accounting</t>
        </is>
      </c>
      <c r="B23" s="9" t="n">
        <v>28310</v>
      </c>
      <c r="C23" s="9" t="n">
        <v>25510</v>
      </c>
      <c r="D23" s="9" t="n">
        <v>2800</v>
      </c>
      <c r="E23" s="9" t="n"/>
    </row>
    <row r="24">
      <c r="A24" s="18" t="inlineStr">
        <is>
          <t>13. Office expenses</t>
        </is>
      </c>
      <c r="B24" s="9" t="n">
        <v>2590</v>
      </c>
      <c r="C24" s="9" t="n">
        <v>2590</v>
      </c>
      <c r="D24" s="9" t="n"/>
      <c r="E24" s="9" t="n"/>
    </row>
    <row r="25">
      <c r="A25" s="18" t="inlineStr">
        <is>
          <t>22. Depreciation, depletion, and amortization</t>
        </is>
      </c>
      <c r="B25" s="9" t="n">
        <v>38220</v>
      </c>
      <c r="C25" s="9" t="n">
        <v>38220</v>
      </c>
      <c r="D25" s="9" t="n"/>
      <c r="E25" s="9" t="n"/>
    </row>
    <row r="26">
      <c r="A26" s="18" t="inlineStr">
        <is>
          <t>23. Insurance</t>
        </is>
      </c>
      <c r="B26" s="9" t="n">
        <v>5321</v>
      </c>
      <c r="C26" s="9" t="n">
        <v>5321</v>
      </c>
      <c r="D26" s="9" t="n"/>
      <c r="E26" s="9" t="n"/>
    </row>
    <row r="27">
      <c r="A27" s="10" t="inlineStr">
        <is>
          <t>25. Total (filed col A / B / C / D)</t>
        </is>
      </c>
      <c r="B27" s="11" t="n">
        <v>345598</v>
      </c>
      <c r="C27" s="11" t="n">
        <v>342798</v>
      </c>
      <c r="D27" s="11" t="n">
        <v>2800</v>
      </c>
      <c r="E27" s="11" t="n">
        <v>0</v>
      </c>
    </row>
    <row r="29" ht="42" customHeight="1">
      <c r="A2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29:G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Balance Sheet - Form 990 Part X (end of year, USD)</t>
        </is>
      </c>
    </row>
    <row r="3">
      <c r="A3" s="2" t="inlineStr">
        <is>
          <t>Entity ID: cawc_0021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280687</v>
      </c>
      <c r="C7" s="9" t="n">
        <v>330893</v>
      </c>
      <c r="D7" s="9" t="n">
        <v>237139</v>
      </c>
      <c r="E7" s="9" t="n">
        <v>147642</v>
      </c>
      <c r="F7" s="9" t="n">
        <v>198771</v>
      </c>
      <c r="G7" s="9" t="n">
        <v>235656</v>
      </c>
    </row>
    <row r="8">
      <c r="A8" s="8" t="inlineStr">
        <is>
          <t xml:space="preserve">    2. Savings and temporary cash investments</t>
        </is>
      </c>
      <c r="B8" s="17" t="inlineStr">
        <is>
          <t>not reported</t>
        </is>
      </c>
      <c r="C8" s="17" t="inlineStr">
        <is>
          <t>not reported</t>
        </is>
      </c>
      <c r="D8" s="17" t="inlineStr">
        <is>
          <t>not reported</t>
        </is>
      </c>
      <c r="E8" s="9" t="n">
        <v>100704</v>
      </c>
      <c r="F8" s="9" t="n">
        <v>105036</v>
      </c>
      <c r="G8" s="9" t="n">
        <v>257721</v>
      </c>
    </row>
    <row r="9">
      <c r="A9" s="8" t="inlineStr">
        <is>
          <t xml:space="preserve">    10c. Land, buildings, and equipment, net</t>
        </is>
      </c>
      <c r="B9" s="9" t="n">
        <v>274623</v>
      </c>
      <c r="C9" s="9" t="n">
        <v>248319</v>
      </c>
      <c r="D9" s="9" t="n">
        <v>280638</v>
      </c>
      <c r="E9" s="9" t="n">
        <v>274114</v>
      </c>
      <c r="F9" s="9" t="n">
        <v>354952</v>
      </c>
      <c r="G9" s="9" t="n">
        <v>366487</v>
      </c>
    </row>
    <row r="10">
      <c r="A10" s="10" t="inlineStr">
        <is>
          <t>16. Total assets</t>
        </is>
      </c>
      <c r="B10" s="11">
        <f>SUM(B7:B9)</f>
        <v/>
      </c>
      <c r="C10" s="11">
        <f>SUM(C7:C9)</f>
        <v/>
      </c>
      <c r="D10" s="11">
        <f>SUM(D7:D9)</f>
        <v/>
      </c>
      <c r="E10" s="11">
        <f>SUM(E7:E9)</f>
        <v/>
      </c>
      <c r="F10" s="11">
        <f>SUM(F7:F9)</f>
        <v/>
      </c>
      <c r="G10" s="11">
        <f>SUM(G7:G9)</f>
        <v/>
      </c>
    </row>
    <row r="12">
      <c r="A12" s="6" t="inlineStr">
        <is>
          <t>Liabilities</t>
        </is>
      </c>
      <c r="B12" s="7" t="n"/>
      <c r="C12" s="7" t="n"/>
      <c r="D12" s="7" t="n"/>
      <c r="E12" s="7" t="n"/>
      <c r="F12" s="7" t="n"/>
      <c r="G12" s="7" t="n"/>
    </row>
    <row r="13">
      <c r="A13" s="10" t="inlineStr">
        <is>
          <t>26. Total liabilities</t>
        </is>
      </c>
      <c r="B13" s="11">
        <f>SUM(B13:B12)</f>
        <v/>
      </c>
      <c r="C13" s="11">
        <f>SUM(C13:C12)</f>
        <v/>
      </c>
      <c r="D13" s="11">
        <f>SUM(D13:D12)</f>
        <v/>
      </c>
      <c r="E13" s="11">
        <f>SUM(E13:E12)</f>
        <v/>
      </c>
      <c r="F13" s="11">
        <f>SUM(F13:F12)</f>
        <v/>
      </c>
      <c r="G13" s="11">
        <f>SUM(G13:G12)</f>
        <v/>
      </c>
    </row>
    <row r="15">
      <c r="A15" s="6" t="inlineStr">
        <is>
          <t>Net assets / fund balances</t>
        </is>
      </c>
      <c r="B15" s="7" t="n"/>
      <c r="C15" s="7" t="n"/>
      <c r="D15" s="7" t="n"/>
      <c r="E15" s="7" t="n"/>
      <c r="F15" s="7" t="n"/>
      <c r="G15" s="7" t="n"/>
    </row>
    <row r="16">
      <c r="A16" s="8" t="inlineStr">
        <is>
          <t xml:space="preserve">    31. Retained earnings / accumulated funds</t>
        </is>
      </c>
      <c r="B16" s="9" t="n">
        <v>555310</v>
      </c>
      <c r="C16" s="9" t="n">
        <v>579212</v>
      </c>
      <c r="D16" s="9" t="n">
        <v>517777</v>
      </c>
      <c r="E16" s="9" t="n">
        <v>522460</v>
      </c>
      <c r="F16" s="9" t="n">
        <v>658759</v>
      </c>
      <c r="G16" s="9" t="n">
        <v>859864</v>
      </c>
    </row>
    <row r="17">
      <c r="A17" s="10" t="inlineStr">
        <is>
          <t>32. Total net assets / fund balances</t>
        </is>
      </c>
      <c r="B17" s="11">
        <f>SUM(B16:B16)</f>
        <v/>
      </c>
      <c r="C17" s="11">
        <f>SUM(C16:C16)</f>
        <v/>
      </c>
      <c r="D17" s="11">
        <f>SUM(D16:D16)</f>
        <v/>
      </c>
      <c r="E17" s="11">
        <f>SUM(E16:E16)</f>
        <v/>
      </c>
      <c r="F17" s="11">
        <f>SUM(F16:F16)</f>
        <v/>
      </c>
      <c r="G17" s="11">
        <f>SUM(G16:G16)</f>
        <v/>
      </c>
    </row>
    <row r="19" ht="42" customHeight="1">
      <c r="A1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9:G19"/>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Reconciliation of Net Assets - Form 990 Part XI (USD)</t>
        </is>
      </c>
    </row>
    <row r="3">
      <c r="A3" s="2" t="inlineStr">
        <is>
          <t>Entity ID: cawc_0021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544579</v>
      </c>
      <c r="C7" s="9" t="n">
        <v>555310</v>
      </c>
      <c r="D7" s="9" t="n">
        <v>579212</v>
      </c>
      <c r="E7" s="9" t="n">
        <v>517777</v>
      </c>
      <c r="F7" s="9" t="n">
        <v>522460</v>
      </c>
      <c r="G7" s="9" t="n">
        <v>658759</v>
      </c>
    </row>
    <row r="8">
      <c r="A8" s="8" t="inlineStr">
        <is>
          <t xml:space="preserve">    3. Revenue less expenses</t>
        </is>
      </c>
      <c r="B8" s="9" t="n">
        <v>10131</v>
      </c>
      <c r="C8" s="9" t="n">
        <v>23602</v>
      </c>
      <c r="D8" s="9" t="n">
        <v>-58985</v>
      </c>
      <c r="E8" s="9" t="n">
        <v>4683</v>
      </c>
      <c r="F8" s="9" t="n">
        <v>136299</v>
      </c>
      <c r="G8" s="9" t="n">
        <v>201105</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9" t="n">
        <v>600</v>
      </c>
      <c r="C10" s="9" t="n">
        <v>300</v>
      </c>
      <c r="D10" s="9" t="n">
        <v>-2450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Cash Flow Proxies - derived (USD)</t>
        </is>
      </c>
    </row>
    <row r="3">
      <c r="A3" s="2" t="inlineStr">
        <is>
          <t>Entity ID: cawc_0021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10131</v>
      </c>
      <c r="C9" s="9" t="n">
        <v>23602</v>
      </c>
      <c r="D9" s="9" t="n">
        <v>-58985</v>
      </c>
      <c r="E9" s="9" t="n">
        <v>4683</v>
      </c>
      <c r="F9" s="9" t="n">
        <v>136299</v>
      </c>
      <c r="G9" s="9" t="n">
        <v>201105</v>
      </c>
    </row>
    <row r="10">
      <c r="A10" s="8" t="inlineStr">
        <is>
          <t xml:space="preserve">    + Depreciation (reported)</t>
        </is>
      </c>
      <c r="B10" s="9" t="n">
        <v>26984</v>
      </c>
      <c r="C10" s="9" t="n">
        <v>26305</v>
      </c>
      <c r="D10" s="9" t="n">
        <v>27282</v>
      </c>
      <c r="E10" s="9" t="n">
        <v>29059</v>
      </c>
      <c r="F10" s="9" t="n">
        <v>33327</v>
      </c>
      <c r="G10" s="9" t="n">
        <v>38220</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49907</v>
      </c>
      <c r="D15" s="11" t="n">
        <v>-31703</v>
      </c>
      <c r="E15" s="11" t="n">
        <v>33742</v>
      </c>
      <c r="F15" s="11" t="n">
        <v>169626</v>
      </c>
      <c r="G15" s="11" t="n">
        <v>239325</v>
      </c>
    </row>
    <row r="17">
      <c r="A17" s="6" t="inlineStr">
        <is>
          <t>Investing</t>
        </is>
      </c>
      <c r="B17" s="7" t="n"/>
      <c r="C17" s="7" t="n"/>
      <c r="D17" s="7" t="n"/>
      <c r="E17" s="7" t="n"/>
      <c r="F17" s="7" t="n"/>
      <c r="G17" s="7" t="n"/>
    </row>
    <row r="18">
      <c r="A18" s="8" t="inlineStr">
        <is>
          <t xml:space="preserve">    − Δ PP&amp;E gross (capex proxy)</t>
        </is>
      </c>
      <c r="B18" s="9" t="n"/>
      <c r="C18" s="9" t="n">
        <v>0</v>
      </c>
      <c r="D18" s="9" t="n">
        <v>-51546</v>
      </c>
      <c r="E18" s="9" t="n">
        <v>-22535</v>
      </c>
      <c r="F18" s="9" t="n">
        <v>-114092</v>
      </c>
      <c r="G18" s="9" t="n">
        <v>-49755</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50206</v>
      </c>
      <c r="D24" s="11" t="n">
        <v>-93754</v>
      </c>
      <c r="E24" s="11" t="n">
        <v>11207</v>
      </c>
      <c r="F24" s="11" t="n">
        <v>55461</v>
      </c>
      <c r="G24" s="11" t="n">
        <v>189570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Santa Ynez Rancho Estates Mutual Water Company</t>
        </is>
      </c>
    </row>
    <row r="2">
      <c r="A2" s="2" t="inlineStr">
        <is>
          <t>Financial Ratios</t>
        </is>
      </c>
    </row>
    <row r="3">
      <c r="A3" s="2" t="inlineStr">
        <is>
          <t>Entity ID: cawc_0021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0.04644882651493964</v>
      </c>
      <c r="C7" s="12" t="n">
        <v>0.09507504652642942</v>
      </c>
      <c r="D7" s="12" t="n">
        <v>-0.2760294069474147</v>
      </c>
      <c r="E7" s="12" t="n">
        <v>0.01881334892073325</v>
      </c>
      <c r="F7" s="12" t="n">
        <v>0.3292739492387749</v>
      </c>
      <c r="G7" s="12" t="n">
        <v>0.3678505513962791</v>
      </c>
    </row>
    <row r="8">
      <c r="A8" s="8" t="inlineStr">
        <is>
          <t xml:space="preserve">    Expense ratio (expenses / revenue)</t>
        </is>
      </c>
      <c r="B8" s="12" t="n">
        <v>0.9535511734850604</v>
      </c>
      <c r="C8" s="12" t="n">
        <v>0.9049249534735706</v>
      </c>
      <c r="D8" s="12" t="n">
        <v>1.276029406947415</v>
      </c>
      <c r="E8" s="12" t="n">
        <v>0.9811866510792667</v>
      </c>
      <c r="F8" s="12" t="n">
        <v>0.6707260507612252</v>
      </c>
      <c r="G8" s="12" t="n">
        <v>0.6321494486037208</v>
      </c>
    </row>
    <row r="9">
      <c r="A9" s="8" t="inlineStr">
        <is>
          <t xml:space="preserve">    Return on assets (NI / assets)</t>
        </is>
      </c>
      <c r="B9" s="12" t="n">
        <v>0.0182438637877942</v>
      </c>
      <c r="C9" s="12" t="n">
        <v>0.04074846515610864</v>
      </c>
      <c r="D9" s="12" t="n">
        <v>-0.1139196990210071</v>
      </c>
      <c r="E9" s="12" t="n">
        <v>0.008963365616506527</v>
      </c>
      <c r="F9" s="12" t="n">
        <v>0.2069026760924708</v>
      </c>
      <c r="G9" s="12" t="n">
        <v>0.233880008931645</v>
      </c>
    </row>
    <row r="10">
      <c r="A10" s="8" t="inlineStr">
        <is>
          <t xml:space="preserve">    Revenue growth (YoY)</t>
        </is>
      </c>
      <c r="B10" s="12" t="n">
        <v>0.1321325685811424</v>
      </c>
      <c r="C10" s="12" t="n">
        <v>0.1381635956004053</v>
      </c>
      <c r="D10" s="12" t="n">
        <v>-0.1391966033692386</v>
      </c>
      <c r="E10" s="12" t="n">
        <v>0.1648548605229046</v>
      </c>
      <c r="F10" s="12" t="n">
        <v>0.6629425636452019</v>
      </c>
      <c r="G10" s="12" t="n">
        <v>0.3207364387903502</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c r="C18" s="19" t="n"/>
      <c r="D18" s="19" t="n"/>
      <c r="E18" s="19" t="n"/>
      <c r="F18" s="19" t="n"/>
      <c r="G18" s="19" t="n"/>
    </row>
    <row r="19">
      <c r="A19" s="8" t="inlineStr">
        <is>
          <t xml:space="preserve">    Asset age proxy (accum. deprec. / gross PP&amp;E)</t>
        </is>
      </c>
      <c r="B19" s="12" t="n">
        <v>0.6684322238534945</v>
      </c>
      <c r="C19" s="12" t="n">
        <v>0.7001905208051616</v>
      </c>
      <c r="D19" s="12" t="n">
        <v>0.6810214116357999</v>
      </c>
      <c r="E19" s="12" t="n">
        <v>0.6962177102346463</v>
      </c>
      <c r="F19" s="12" t="n">
        <v>0.6507852491418485</v>
      </c>
      <c r="G19" s="12" t="n">
        <v>0.6562628964606484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Santa Ynez Rancho Estates Mutual Water Company</t>
        </is>
      </c>
    </row>
    <row r="2">
      <c r="A2" s="2" t="inlineStr">
        <is>
          <t>Unit economics - per-customer revenue by category (USD)</t>
        </is>
      </c>
    </row>
    <row r="3">
      <c r="A3" s="2" t="inlineStr">
        <is>
          <t>Entity ID: cawc_0021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92</v>
      </c>
      <c r="C6" s="22" t="inlineStr">
        <is>
          <t>State Water Board eAR Section 4 (CurTotalConnections), reporting year 2023</t>
        </is>
      </c>
    </row>
    <row r="7">
      <c r="A7" s="20" t="inlineStr">
        <is>
          <t>Total annual revenue (eAR Section 8b B1.8)</t>
        </is>
      </c>
      <c r="B7" s="9" t="n">
        <v>213691</v>
      </c>
      <c r="C7" s="22" t="inlineStr">
        <is>
          <t>State Water Board eAR Section 8b, question B1.8 (total annual revenue), reporting year 2023</t>
        </is>
      </c>
    </row>
    <row r="8">
      <c r="A8" s="20" t="inlineStr">
        <is>
          <t>Primary source</t>
        </is>
      </c>
      <c r="B8" s="23" t="inlineStr"/>
      <c r="C8" s="22"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210201</v>
      </c>
      <c r="D12" s="25" t="n">
        <v>2284.79</v>
      </c>
      <c r="E12" s="26" t="n">
        <v>0.9837</v>
      </c>
    </row>
    <row r="13">
      <c r="A13" s="8" t="inlineStr">
        <is>
          <t>Assessment revenue (990 program-service revenue not matched to eAR water-rate revenue)</t>
        </is>
      </c>
      <c r="B13" s="24" t="inlineStr">
        <is>
          <t>DERIVED</t>
        </is>
      </c>
      <c r="C13" s="9" t="n">
        <v>38014</v>
      </c>
      <c r="D13" s="25" t="n">
        <v>413.2</v>
      </c>
      <c r="E13" s="26" t="n">
        <v>0.1531</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210201</v>
      </c>
      <c r="C19" s="22" t="inlineStr">
        <is>
          <t>eAR Section 8b field B1.1 (residential water rates) only (this filer reported no non-residential water-rate revenue). State Water Board eAR Section 8b, question B1.1 + B1.2 (revenue from water rates), reporting year 2023</t>
        </is>
      </c>
    </row>
    <row r="20">
      <c r="A20" s="20" t="inlineStr">
        <is>
          <t>Denominator: Total service connections</t>
        </is>
      </c>
      <c r="B20" s="21" t="n">
        <v>92</v>
      </c>
      <c r="C20" s="22" t="inlineStr">
        <is>
          <t>eAR Section 4 CurTotalConnections, reporting year 2023. State Water Board eAR Section 4 (CurTotalConnections), reporting year 2023</t>
        </is>
      </c>
    </row>
    <row r="21" ht="36" customHeight="1">
      <c r="A21" s="3" t="inlineStr">
        <is>
          <t>Per customer: water rate revenue $210,201 / 92 connections = $2,284.79 per connection</t>
        </is>
      </c>
    </row>
    <row r="22" ht="36" customHeight="1">
      <c r="A22" s="3" t="inlineStr">
        <is>
          <t>Share of revenue: water rate revenue $210,201 / total annual revenue (eAR Section 8b B1.8) $213,691 = 98.37%</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248215</v>
      </c>
      <c r="C28" s="22" t="inlineStr">
        <is>
          <t>Form 990 Part VIII line 2 (total program-service revenue), fiscal year 2023 ending December 31, 2023</t>
        </is>
      </c>
    </row>
    <row r="29">
      <c r="A29" s="20" t="inlineStr">
        <is>
          <t>Input B: eAR water-rate revenue</t>
        </is>
      </c>
      <c r="B29" s="9" t="n">
        <v>210201</v>
      </c>
      <c r="C29" s="22" t="inlineStr">
        <is>
          <t>State Water Board eAR Section 8b, question B1.1 + B1.2 (revenue from water rates), reporting year 2023</t>
        </is>
      </c>
    </row>
    <row r="30">
      <c r="A30" s="14" t="inlineStr">
        <is>
          <t>Residual (A minus B) = assessment revenue</t>
        </is>
      </c>
      <c r="B30" s="15">
        <f>B28-B29</f>
        <v/>
      </c>
      <c r="C30" s="22" t="inlineStr">
        <is>
          <t>$248,215 (990 program-service revenue) minus $210,201 (eAR water-rate revenue) = $38,014</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92</v>
      </c>
      <c r="C34" s="22" t="inlineStr">
        <is>
          <t>eAR Section 4 CurTotalConnections, reporting year 2023. State Water Board eAR Section 4 (CurTotalConnections), reporting year 2023</t>
        </is>
      </c>
    </row>
    <row r="35" ht="36" customHeight="1">
      <c r="A35" s="3" t="inlineStr">
        <is>
          <t>Per customer: residual $38,014 / 92 connections = $413.20 per connection</t>
        </is>
      </c>
    </row>
    <row r="36" ht="36" customHeight="1">
      <c r="A36" s="3" t="inlineStr">
        <is>
          <t>Share of revenue: residual $38,014 / 990 program-service revenue $248,215 = 15.31%</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Santa Ynez Rancho Estates Mutual Water Company</t>
        </is>
      </c>
    </row>
    <row r="2">
      <c r="A2" s="2" t="inlineStr">
        <is>
          <t>Rate structure and representative bill - eAR Section 8a (RY2024)</t>
        </is>
      </c>
    </row>
    <row r="3">
      <c r="A3" s="2" t="inlineStr">
        <is>
          <t>Entity ID: cawc_0021   |   Fiscal year ends December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141" customHeight="1">
      <c r="A6" s="3" t="inlineStr">
        <is>
          <t>A filed eAR Section 8a rate schedule IS staged for this system, reporting year 2024, carrying a residential rate structure filed as "OtherRate", a volumetric unit of Hundred Cubic Feet, a billing frequency of M. It carries no single-family residential charges grid (no base charge and no tier prices), so a representative monthly bill is not computable as a monthly bill for this system. Nothing here is estimated to fill the gap.</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Santa Ynez Rancho Estates Mutual Water Company</t>
        </is>
      </c>
    </row>
    <row r="2">
      <c r="A2" s="2" t="inlineStr">
        <is>
          <t>eAR annual revenue and expenses - State Water Board eAR Section 8b (USD)</t>
        </is>
      </c>
    </row>
    <row r="3">
      <c r="A3" s="2" t="inlineStr">
        <is>
          <t>Entity ID: cawc_0021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calendar year 2023</t>
        </is>
      </c>
      <c r="C6" s="22"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210201</v>
      </c>
      <c r="C10" s="22" t="inlineStr">
        <is>
          <t>State Water Board eAR Section 8b, question B1.1 + B1.2 (revenue from water rates), reporting year 2023</t>
        </is>
      </c>
    </row>
    <row r="11">
      <c r="A11" s="20" t="inlineStr">
        <is>
          <t>Other fees and charges</t>
        </is>
      </c>
      <c r="B11" s="9" t="n">
        <v>3490</v>
      </c>
      <c r="C11" s="22" t="inlineStr">
        <is>
          <t>State Water Board eAR Section 8b, question B1.3 + B1.4 (revenue from other fees), reporting year 2023</t>
        </is>
      </c>
    </row>
    <row r="12">
      <c r="A12" s="20" t="inlineStr">
        <is>
          <t>Non-customer revenue</t>
        </is>
      </c>
      <c r="B12" s="9" t="n">
        <v>0</v>
      </c>
      <c r="C12" s="22" t="inlineStr">
        <is>
          <t>State Water Board eAR Section 8b, question B1.7 (grants, interest, and other non-customer), reporting year 2023</t>
        </is>
      </c>
    </row>
    <row r="13">
      <c r="A13" s="20" t="inlineStr">
        <is>
          <t>Total annual revenue</t>
        </is>
      </c>
      <c r="B13" s="29" t="n">
        <v>213691</v>
      </c>
      <c r="C13" s="22"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243098</v>
      </c>
      <c r="C17" s="22" t="inlineStr">
        <is>
          <t>State Water Board eAR Section 8b, question B2.1 (annual O and M expense), reporting year 2023</t>
        </is>
      </c>
    </row>
    <row r="18">
      <c r="A18" s="20" t="inlineStr">
        <is>
          <t>Capital</t>
        </is>
      </c>
      <c r="B18" s="9" t="n">
        <v>29577</v>
      </c>
      <c r="C18" s="22" t="inlineStr">
        <is>
          <t>State Water Board eAR Section 8b, question B2.2 (annual expenses from investing or capital), reporting year 2023</t>
        </is>
      </c>
    </row>
    <row r="19">
      <c r="A19" s="20" t="inlineStr">
        <is>
          <t>Financing</t>
        </is>
      </c>
      <c r="B19" s="9" t="n">
        <v>0</v>
      </c>
      <c r="C19" s="22" t="inlineStr">
        <is>
          <t>State Water Board eAR Section 8b, question B2.3 (annual expenses from financing), reporting year 2023</t>
        </is>
      </c>
    </row>
    <row r="20">
      <c r="A20" s="20" t="inlineStr">
        <is>
          <t>Other</t>
        </is>
      </c>
      <c r="B20" s="9" t="n">
        <v>0</v>
      </c>
      <c r="C20" s="22" t="inlineStr">
        <is>
          <t>State Water Board eAR Section 8b, question B2.4 (total other annual expenses), reporting year 2023</t>
        </is>
      </c>
    </row>
    <row r="21">
      <c r="A21" s="20" t="inlineStr">
        <is>
          <t>Total annual expenses</t>
        </is>
      </c>
      <c r="B21" s="29" t="n">
        <v>272675</v>
      </c>
      <c r="C21" s="22"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213691</v>
      </c>
      <c r="C25" s="9" t="n">
        <v>248919</v>
      </c>
    </row>
    <row r="26">
      <c r="A26" s="14" t="inlineStr">
        <is>
          <t>Variance (eAR minus Form 990)</t>
        </is>
      </c>
      <c r="B26" s="15">
        <f>B25-C25</f>
        <v/>
      </c>
      <c r="C26" s="30"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272675</v>
      </c>
      <c r="C28" s="9" t="n">
        <v>244236</v>
      </c>
    </row>
    <row r="29">
      <c r="A29" s="14" t="inlineStr">
        <is>
          <t>Variance (eAR minus Form 990)</t>
        </is>
      </c>
      <c r="B29" s="15">
        <f>B28-C28</f>
        <v/>
      </c>
      <c r="C29" s="30"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Santa Ynez Rancho Estates Mutual Water Company</t>
        </is>
      </c>
    </row>
    <row r="2">
      <c r="A2" s="2" t="inlineStr">
        <is>
          <t>Denominators and calendar alignment</t>
        </is>
      </c>
    </row>
    <row r="3">
      <c r="A3" s="2" t="inlineStr">
        <is>
          <t>Entity ID: cawc_0021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1" t="n">
        <v>92</v>
      </c>
      <c r="C7" s="22" t="inlineStr">
        <is>
          <t>State Water Board eAR Section 4 (CurTotalConnections), reporting year 2024</t>
        </is>
      </c>
    </row>
    <row r="8">
      <c r="A8" s="20" t="inlineStr">
        <is>
          <t>SDWIS service-connection count (different registry)</t>
        </is>
      </c>
      <c r="B8" s="21" t="n">
        <v>92</v>
      </c>
      <c r="C8" s="22" t="inlineStr"/>
    </row>
    <row r="9">
      <c r="A9" s="20" t="inlineStr">
        <is>
          <t>Member (shareholder)</t>
        </is>
      </c>
      <c r="B9" s="23" t="n"/>
      <c r="C9" s="22"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(2021-12-31)</t>
        </is>
      </c>
      <c r="B14" s="21" t="n">
        <v>92</v>
      </c>
      <c r="C14" s="17" t="inlineStr">
        <is>
          <t>not reported</t>
        </is>
      </c>
      <c r="D14" s="21" t="n">
        <v>534.4</v>
      </c>
      <c r="E14" s="21" t="n">
        <v>373.5</v>
      </c>
      <c r="F14" s="21" t="n">
        <v>350.6</v>
      </c>
      <c r="G14" s="23" t="inlineStr">
        <is>
          <t>eAR annual total, calendar filer, equals fiscal year (not a monthly recast)</t>
        </is>
      </c>
    </row>
    <row r="15" ht="40" customHeight="1">
      <c r="A15" s="8" t="inlineStr">
        <is>
          <t>FY2022 (2022-12-31)</t>
        </is>
      </c>
      <c r="B15" s="21" t="n">
        <v>92</v>
      </c>
      <c r="C15" s="17" t="inlineStr">
        <is>
          <t>not reported</t>
        </is>
      </c>
      <c r="D15" s="21" t="n">
        <v>534.4</v>
      </c>
      <c r="E15" s="21" t="n">
        <v>326.6</v>
      </c>
      <c r="F15" s="21" t="n">
        <v>306.3</v>
      </c>
      <c r="G15" s="23" t="inlineStr">
        <is>
          <t>eAR annual total, calendar filer, equals fiscal year (not a monthly recast)</t>
        </is>
      </c>
    </row>
    <row r="16" ht="40" customHeight="1">
      <c r="A16" s="8" t="inlineStr">
        <is>
          <t>FY2023 (2023-12-31)</t>
        </is>
      </c>
      <c r="B16" s="21" t="n">
        <v>92</v>
      </c>
      <c r="C16" s="21" t="n">
        <v>304</v>
      </c>
      <c r="D16" s="21" t="n">
        <v>534.4</v>
      </c>
      <c r="E16" s="17" t="inlineStr">
        <is>
          <t>not reported</t>
        </is>
      </c>
      <c r="F16" s="17" t="inlineStr">
        <is>
          <t>not reported</t>
        </is>
      </c>
      <c r="G16" s="23" t="inlineStr">
        <is>
          <t>eAR annual total, calendar filer, equals fiscal year (not a monthly recast)</t>
        </is>
      </c>
    </row>
    <row r="17" ht="40" customHeight="1">
      <c r="A17" s="8" t="inlineStr">
        <is>
          <t>FY2024 (2024-12-31)</t>
        </is>
      </c>
      <c r="B17" s="21" t="n">
        <v>92</v>
      </c>
      <c r="C17" s="21" t="n">
        <v>304</v>
      </c>
      <c r="D17" s="21" t="n">
        <v>534.4</v>
      </c>
      <c r="E17" s="17" t="inlineStr">
        <is>
          <t>not reported</t>
        </is>
      </c>
      <c r="F17" s="17" t="inlineStr">
        <is>
          <t>not reported</t>
        </is>
      </c>
      <c r="G17" s="23" t="inlineStr">
        <is>
          <t>eAR annual total, calendar filer, equals fiscal year (not a monthly recast)</t>
        </is>
      </c>
    </row>
    <row r="18" ht="40" customHeight="1">
      <c r="A18" s="8" t="inlineStr">
        <is>
          <t>FY2025 (2025-12-31)</t>
        </is>
      </c>
      <c r="B18" s="21" t="n">
        <v>92</v>
      </c>
      <c r="C18" s="21" t="n">
        <v>304</v>
      </c>
      <c r="D18" s="21" t="n">
        <v>534.4</v>
      </c>
      <c r="E18" s="17" t="inlineStr">
        <is>
          <t>not reported</t>
        </is>
      </c>
      <c r="F18" s="17" t="inlineStr">
        <is>
          <t>not reported</t>
        </is>
      </c>
      <c r="G18" s="23" t="inlineStr">
        <is>
          <t>eAR annual total, calendar filer, equals fiscal year (not a monthly recast)</t>
        </is>
      </c>
    </row>
    <row r="20">
      <c r="A20" s="6" t="inlineStr">
        <is>
          <t>Connections by class - FY2025 (eAR Section 4)</t>
        </is>
      </c>
      <c r="B20" s="7" t="n"/>
      <c r="C20" s="7" t="n"/>
      <c r="D20" s="7" t="n"/>
      <c r="E20" s="7" t="n"/>
      <c r="F20" s="7" t="n"/>
      <c r="G20" s="7" t="n"/>
    </row>
    <row r="21">
      <c r="A21" s="20" t="inlineStr">
        <is>
          <t>Single-family residential</t>
        </is>
      </c>
      <c r="B21" s="21" t="n">
        <v>92</v>
      </c>
      <c r="C21" s="22"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2:G22"/>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Santa Ynez Rancho Estates Mutual Water Company</t>
        </is>
      </c>
    </row>
    <row r="2">
      <c r="A2" s="2" t="inlineStr">
        <is>
          <t>Governance evidence status - Ostrom's eight design principles</t>
        </is>
      </c>
    </row>
    <row r="3">
      <c r="A3" s="2" t="inlineStr">
        <is>
          <t>Entity ID: cawc_0021   |   Fiscal year ends December 31.</t>
        </is>
      </c>
    </row>
    <row r="5">
      <c r="A5" s="31" t="inlineStr">
        <is>
          <t>Evidence summary: 5 documented, 1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23" t="inlineStr">
        <is>
          <t>The system is a defined public water system: 92 service connections over a State-published service-area boundary.</t>
        </is>
      </c>
      <c r="D10" s="23" t="inlineStr">
        <is>
          <t>SDWIS Community water system; SABL service-area boundary (not verified (sabl)); connections defined.</t>
        </is>
      </c>
      <c r="E10" s="32"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4" t="inlineStr">
        <is>
          <t>DOCUMENTED</t>
        </is>
      </c>
      <c r="C12" s="23" t="inlineStr">
        <is>
          <t>Charges are tied to service under a documented rate or share-based allocation rule reported to the State or set in the company's structure.</t>
        </is>
      </c>
      <c r="D12" s="23" t="inlineStr">
        <is>
          <t>eAR Section 8a customer charges; documented rate or share-allocation rule.</t>
        </is>
      </c>
      <c r="E12" s="32"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4" t="inlineStr">
        <is>
          <t>DOCUMENTED</t>
        </is>
      </c>
      <c r="C14" s="23" t="inlineStr">
        <is>
          <t>The company is owned by its customer-shareholders and run by a named board they elect, documented in its Form 990 governance section.</t>
        </is>
      </c>
      <c r="D14" s="23" t="inlineStr">
        <is>
          <t>Mutual ownership; named elected board of directors (Form 990).</t>
        </is>
      </c>
      <c r="E14" s="32"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4" t="inlineStr">
        <is>
          <t>DOCUMENTED</t>
        </is>
      </c>
      <c r="C16" s="23" t="inlineStr">
        <is>
          <t>The system is metered and monitored: the State SAFER risk assessment shows it Not Failing, and it files an annual eAR.</t>
        </is>
      </c>
      <c r="D16" s="23" t="inlineStr">
        <is>
          <t>SAFER Not Failing; annual eAR reporting; metered connections.</t>
        </is>
      </c>
      <c r="E16" s="32"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sanctions policy.</t>
        </is>
      </c>
      <c r="E18" s="32"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record.</t>
        </is>
      </c>
      <c r="E20" s="32"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(501(c)(12)) and by the State Water Board as a public water system.</t>
        </is>
      </c>
      <c r="D22" s="23" t="inlineStr">
        <is>
          <t>IRS 501(c)(12) exempt filer (Form 990); SDWIS public water system.</t>
        </is>
      </c>
      <c r="E22" s="32"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0954249, first registered 03/06/1980, status as filed "Active", with a governing body named in the Statement of Information filed 4/21/2026.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PARTIAL</t>
        </is>
      </c>
      <c r="C24" s="23" t="inlineStr">
        <is>
          <t>The system draws on a shared local groundwater basin, embedding it in a larger physical water system, though its role in basin governance is not documented.</t>
        </is>
      </c>
      <c r="D24" s="23" t="inlineStr">
        <is>
          <t>SDWIS Primary Water Source Type: groundwater (shared basin).</t>
        </is>
      </c>
      <c r="E24" s="32"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Santa Ynez Rancho Estates Mutual Water Company</t>
        </is>
      </c>
    </row>
    <row r="2">
      <c r="A2" s="2" t="inlineStr">
        <is>
          <t>Operational metrics - plant per acre, density, terrain</t>
        </is>
      </c>
    </row>
    <row r="3">
      <c r="A3" s="2" t="inlineStr">
        <is>
          <t>Entity ID: cawc_0021   |   Fiscal year ends December 31.</t>
        </is>
      </c>
    </row>
    <row r="5">
      <c r="A5" s="6" t="inlineStr">
        <is>
          <t>Plant assets per acre</t>
        </is>
      </c>
      <c r="B5" s="7" t="n"/>
      <c r="C5" s="7" t="n"/>
    </row>
    <row r="6">
      <c r="A6" s="20" t="inlineStr">
        <is>
          <t>Service-area acres</t>
        </is>
      </c>
      <c r="B6" s="33" t="n">
        <v>534.4</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1549.8802</v>
      </c>
      <c r="C8" s="9" t="n">
        <v>464.6688</v>
      </c>
    </row>
    <row r="9">
      <c r="A9" s="18" t="inlineStr">
        <is>
          <t>FY2022</t>
        </is>
      </c>
      <c r="B9" s="9" t="n">
        <v>1646.3361</v>
      </c>
      <c r="C9" s="9" t="n">
        <v>525.146</v>
      </c>
    </row>
    <row r="10">
      <c r="A10" s="18" t="inlineStr">
        <is>
          <t>FY2023</t>
        </is>
      </c>
      <c r="B10" s="9" t="n">
        <v>1688.5049</v>
      </c>
      <c r="C10" s="9" t="n">
        <v>512.9379</v>
      </c>
    </row>
    <row r="11">
      <c r="A11" s="18" t="inlineStr">
        <is>
          <t>FY2024</t>
        </is>
      </c>
      <c r="B11" s="9" t="n">
        <v>1902.0004</v>
      </c>
      <c r="C11" s="9" t="n">
        <v>664.2066</v>
      </c>
    </row>
    <row r="12">
      <c r="A12" s="18" t="inlineStr">
        <is>
          <t>FY2025</t>
        </is>
      </c>
      <c r="B12" s="9" t="n">
        <v>1995.1048</v>
      </c>
      <c r="C12" s="9" t="n">
        <v>685.7915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0.17</v>
      </c>
      <c r="C19" s="22" t="inlineStr">
        <is>
          <t>92 connections / 534.4 acres. CA State Water Board SABL SERVICE_CONNECTIONS; Geodesic area (WGS84 spherical excess) of the SABL service-area polygon.</t>
        </is>
      </c>
    </row>
    <row r="21">
      <c r="A21" s="6" t="inlineStr">
        <is>
          <t>Who they are</t>
        </is>
      </c>
      <c r="B21" s="7" t="n"/>
      <c r="C21" s="7" t="n"/>
    </row>
    <row r="22">
      <c r="A22" s="20" t="inlineStr">
        <is>
          <t>Terrain class</t>
        </is>
      </c>
      <c r="B22" s="23" t="inlineStr">
        <is>
          <t>flat valley</t>
        </is>
      </c>
      <c r="C22" s="22" t="inlineStr">
        <is>
          <t>Company context page (BLUEPRINT 5B)</t>
        </is>
      </c>
    </row>
    <row r="23" ht="96" customHeight="1">
      <c r="A23" s="3" t="inlineStr">
        <is>
          <t>A California mutual water company (501(c)(12)) serving about 92 service connections and roughly 304 residents in the Santa Ynez Rancho Estates residential subdivision, Santa Ynez Valley, Santa Barbara County.</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Santa Ynez Rancho Estates Mutual Water Company</t>
        </is>
      </c>
    </row>
    <row r="2">
      <c r="A2" s="2" t="inlineStr">
        <is>
          <t>Supply and weather indicators (DWR water year)</t>
        </is>
      </c>
    </row>
    <row r="3">
      <c r="A3" s="2" t="inlineStr">
        <is>
          <t>Entity ID: cawc_0021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32" t="inlineStr">
        <is>
          <t>Critical</t>
        </is>
      </c>
      <c r="C8" s="32" t="inlineStr">
        <is>
          <t>Critical</t>
        </is>
      </c>
      <c r="D8" s="32" t="inlineStr">
        <is>
          <t>Wet</t>
        </is>
      </c>
      <c r="E8" s="32" t="inlineStr">
        <is>
          <t>Above Normal</t>
        </is>
      </c>
      <c r="F8" s="34" t="inlineStr">
        <is>
          <t>not reported</t>
        </is>
      </c>
    </row>
    <row r="9">
      <c r="A9" s="8" t="inlineStr">
        <is>
          <t>Peak drought, Santa Barbara County</t>
        </is>
      </c>
      <c r="B9" s="32" t="inlineStr">
        <is>
          <t>D4</t>
        </is>
      </c>
      <c r="C9" s="32" t="inlineStr">
        <is>
          <t>D4</t>
        </is>
      </c>
      <c r="D9" s="32" t="inlineStr">
        <is>
          <t>D3</t>
        </is>
      </c>
      <c r="E9" s="32" t="inlineStr">
        <is>
          <t>None (no D0-D4 during the fiscal year)</t>
        </is>
      </c>
      <c r="F9" s="32" t="inlineStr">
        <is>
          <t>D3</t>
        </is>
      </c>
    </row>
    <row r="10">
      <c r="A10" s="8" t="inlineStr">
        <is>
          <t>Precip, percent of normal (8-Station Index)</t>
        </is>
      </c>
      <c r="B10" s="32" t="inlineStr">
        <is>
          <t>48</t>
        </is>
      </c>
      <c r="C10" s="32" t="inlineStr">
        <is>
          <t>86</t>
        </is>
      </c>
      <c r="D10" s="32" t="inlineStr">
        <is>
          <t>133</t>
        </is>
      </c>
      <c r="E10" s="32" t="inlineStr">
        <is>
          <t>96</t>
        </is>
      </c>
      <c r="F10" s="32" t="inlineStr">
        <is>
          <t>113</t>
        </is>
      </c>
    </row>
    <row r="11">
      <c r="A11" s="8" t="inlineStr">
        <is>
          <t>Snowpack, April 1 percent of average</t>
        </is>
      </c>
      <c r="B11" s="32" t="inlineStr">
        <is>
          <t>59%</t>
        </is>
      </c>
      <c r="C11" s="32" t="inlineStr">
        <is>
          <t>38%</t>
        </is>
      </c>
      <c r="D11" s="32" t="inlineStr">
        <is>
          <t>237%</t>
        </is>
      </c>
      <c r="E11" s="32" t="inlineStr">
        <is>
          <t>110%</t>
        </is>
      </c>
      <c r="F11" s="32" t="inlineStr">
        <is>
          <t>96%</t>
        </is>
      </c>
    </row>
    <row r="12">
      <c r="A12" s="8" t="inlineStr">
        <is>
          <t>State Water Project allocation</t>
        </is>
      </c>
      <c r="B12" s="32" t="inlineStr">
        <is>
          <t>5%</t>
        </is>
      </c>
      <c r="C12" s="32" t="inlineStr">
        <is>
          <t>5%</t>
        </is>
      </c>
      <c r="D12" s="32" t="inlineStr">
        <is>
          <t>100%</t>
        </is>
      </c>
      <c r="E12" s="32" t="inlineStr">
        <is>
          <t>40%</t>
        </is>
      </c>
      <c r="F12" s="3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Santa Ynez Rancho Estates Mutual Water Company</t>
        </is>
      </c>
    </row>
    <row r="2">
      <c r="A2" s="2" t="inlineStr">
        <is>
          <t>How this was built - forensic lineage</t>
        </is>
      </c>
    </row>
    <row r="3">
      <c r="A3" s="2" t="inlineStr">
        <is>
          <t>Entity ID: cawc_0021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$248,215 (990 program-service revenue) minus $210,201 (eAR water-rate revenue) = $38,014.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Santa Ynez Rancho Estates Mutual Water Company</t>
        </is>
      </c>
    </row>
    <row r="2">
      <c r="A2" s="2" t="inlineStr">
        <is>
          <t>Water Operations (sourced outside the financial filings)</t>
        </is>
      </c>
    </row>
    <row r="3">
      <c r="A3" s="2" t="inlineStr">
        <is>
          <t>Entity ID: cawc_0021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3" t="inlineStr">
        <is>
          <t>Potable (community drinking water)</t>
        </is>
      </c>
      <c r="C8" s="8" t="inlineStr">
        <is>
          <t>SDWIS Drinking Water Watch (State Water Board)</t>
        </is>
      </c>
      <c r="D8" s="32" t="n">
        <v>2024</v>
      </c>
      <c r="E8" s="8" t="inlineStr">
        <is>
          <t>high</t>
        </is>
      </c>
      <c r="F8" s="23" t="inlineStr">
        <is>
          <t>SANTA YNEZ RANCHO ESTATES: State Water System Type = Community.</t>
        </is>
      </c>
    </row>
    <row r="9" ht="42" customHeight="1">
      <c r="A9" s="8" t="inlineStr">
        <is>
          <t>Source mix</t>
        </is>
      </c>
      <c r="B9" s="23" t="inlineStr">
        <is>
          <t>Primary source: local groundwater wells (SDWIS Primary Water Source Type: Groundwater). SDWIS classifies the primary supply type; it states no acre-foot volume by source.</t>
        </is>
      </c>
      <c r="C9" s="8" t="inlineStr">
        <is>
          <t>SDWIS Drinking Water Watch (State Water Board)</t>
        </is>
      </c>
      <c r="D9" s="32" t="n">
        <v>2024</v>
      </c>
      <c r="E9" s="8" t="inlineStr">
        <is>
          <t>high</t>
        </is>
      </c>
      <c r="F9" s="23" t="inlineStr">
        <is>
          <t>SANTA YNEZ RANCHO ESTATES: Primary Water Source Type = Groundwater.</t>
        </is>
      </c>
    </row>
    <row r="10" ht="42" customHeight="1">
      <c r="A10" s="8" t="inlineStr">
        <is>
          <t>Service connections (total)</t>
        </is>
      </c>
      <c r="B10" s="23" t="inlineStr">
        <is>
          <t>92 connections</t>
        </is>
      </c>
      <c r="C10" s="8" t="inlineStr">
        <is>
          <t>SDWIS Drinking Water Watch (State Water Board)</t>
        </is>
      </c>
      <c r="D10" s="32" t="n">
        <v>2024</v>
      </c>
      <c r="E10" s="8" t="inlineStr">
        <is>
          <t>high</t>
        </is>
      </c>
      <c r="F10" s="23" t="inlineStr">
        <is>
          <t>SANTA YNEZ RANCHO ESTATES: Total Number of Service Connections = 92.  [cross-source: SDWIS connection snapshot; the eAR reports active service connections on its own basis and per reporting year. Both preserved, not reconciled.]</t>
        </is>
      </c>
    </row>
    <row r="11" ht="42" customHeight="1">
      <c r="A11" s="8" t="inlineStr">
        <is>
          <t>Connections by class</t>
        </is>
      </c>
      <c r="B11" s="23" t="inlineStr">
        <is>
          <t>Service connections by type (SDWIS snapshot): Residential 92; Total 92.</t>
        </is>
      </c>
      <c r="C11" s="8" t="inlineStr">
        <is>
          <t>SDWIS Drinking Water Watch (State Water Board)</t>
        </is>
      </c>
      <c r="D11" s="32" t="n">
        <v>2024</v>
      </c>
      <c r="E11" s="8" t="inlineStr">
        <is>
          <t>high</t>
        </is>
      </c>
      <c r="F11" s="23" t="inlineStr">
        <is>
          <t>SANTA YNEZ RANCHO ESTATES: connections by type - Residential 92; Total 92.</t>
        </is>
      </c>
    </row>
    <row r="12" ht="42" customHeight="1">
      <c r="A12" s="8" t="inlineStr">
        <is>
          <t>Population served</t>
        </is>
      </c>
      <c r="B12" s="23" t="inlineStr">
        <is>
          <t>304 residents</t>
        </is>
      </c>
      <c r="C12" s="8" t="inlineStr">
        <is>
          <t>SDWIS Drinking Water Watch (State Water Board)</t>
        </is>
      </c>
      <c r="D12" s="32" t="n">
        <v>2024</v>
      </c>
      <c r="E12" s="8" t="inlineStr">
        <is>
          <t>high</t>
        </is>
      </c>
      <c r="F12" s="23" t="inlineStr">
        <is>
          <t>SANTA YNEZ RANCHO ESTATES: Total Population = 304.</t>
        </is>
      </c>
    </row>
    <row r="13" ht="42" customHeight="1">
      <c r="A13" s="8" t="inlineStr">
        <is>
          <t>Treatment and water quality</t>
        </is>
      </c>
      <c r="B13" s="23" t="inlineStr">
        <is>
          <t>Operator certification on file: Distribution Operator Level 1. SDWIS states operator grades, not the treatment process detail.</t>
        </is>
      </c>
      <c r="C13" s="8" t="inlineStr">
        <is>
          <t>SDWIS Drinking Water Watch (State Water Board)</t>
        </is>
      </c>
      <c r="D13" s="32" t="n">
        <v>2024</v>
      </c>
      <c r="E13" s="8" t="inlineStr">
        <is>
          <t>high</t>
        </is>
      </c>
      <c r="F13" s="23" t="inlineStr">
        <is>
          <t>SANTA YNEZ RANCHO ESTATES: Treatment Plant Class = not stated;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22" t="inlineStr">
        <is>
          <t>not reported - needs annual volume in acre-feet (State Water Board eAR Section 6 or company production records); the CCR states only a percentage mix</t>
        </is>
      </c>
      <c r="C16" s="30" t="n"/>
      <c r="D16" s="30" t="n"/>
      <c r="E16" s="30" t="n"/>
      <c r="F16" s="30" t="n"/>
    </row>
    <row r="17" ht="30" customHeight="1">
      <c r="A17" s="8" t="inlineStr">
        <is>
          <t>Customer classes served</t>
        </is>
      </c>
      <c r="B17" s="22" t="inlineStr">
        <is>
          <t>not reported - needs the State Water Board eAR or the system CCR</t>
        </is>
      </c>
      <c r="C17" s="30" t="n"/>
      <c r="D17" s="30" t="n"/>
      <c r="E17" s="30" t="n"/>
      <c r="F17" s="30"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7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Santa Ynez Rancho Estates Mutual Water Company</t>
        </is>
      </c>
    </row>
    <row r="2">
      <c r="A2" s="2" t="inlineStr">
        <is>
          <t>Sources &amp; audit - full provenance and tie-outs (kept off the statements so they read clean)</t>
        </is>
      </c>
    </row>
    <row r="3">
      <c r="A3" s="2" t="inlineStr">
        <is>
          <t>Entity ID: cawc_0021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32" t="inlineStr">
        <is>
          <t>FY2020</t>
        </is>
      </c>
      <c r="B10" s="8" t="inlineStr">
        <is>
          <t>2020-12-31</t>
        </is>
      </c>
      <c r="C10" s="8" t="inlineStr">
        <is>
          <t>990</t>
        </is>
      </c>
      <c r="D10" s="8" t="inlineStr">
        <is>
          <t>high</t>
        </is>
      </c>
      <c r="E10" s="8" t="inlineStr">
        <is>
          <t>7b88840c-f04e-4ccb-a762-b225d21c9cf2</t>
        </is>
      </c>
      <c r="F10" s="8" t="inlineStr">
        <is>
          <t>202142989349301904</t>
        </is>
      </c>
      <c r="G10" s="8" t="inlineStr">
        <is>
          <t>claude-opus-5</t>
        </is>
      </c>
      <c r="H10" s="8" t="inlineStr">
        <is>
          <t>2026-09-14T20:40:23+00:00</t>
        </is>
      </c>
      <c r="I10" s="8" t="inlineStr">
        <is>
          <t>https://apps.irs.gov/pub/epostcard/990/xml/2021/2021_TEOS_XML_01A.zip#202142989349301904_public.xml</t>
        </is>
      </c>
    </row>
    <row r="11">
      <c r="A11" s="32" t="inlineStr">
        <is>
          <t>FY2021</t>
        </is>
      </c>
      <c r="B11" s="8" t="inlineStr">
        <is>
          <t>2021-12-31</t>
        </is>
      </c>
      <c r="C11" s="8" t="inlineStr">
        <is>
          <t>990</t>
        </is>
      </c>
      <c r="D11" s="8" t="inlineStr">
        <is>
          <t>high</t>
        </is>
      </c>
      <c r="E11" s="8" t="inlineStr">
        <is>
          <t>c6ccc7c5-f563-4477-b46d-2df4bc90b27f</t>
        </is>
      </c>
      <c r="F11" s="8" t="inlineStr">
        <is>
          <t>202201319349303630</t>
        </is>
      </c>
      <c r="G11" s="8" t="inlineStr">
        <is>
          <t>claude-opus-5</t>
        </is>
      </c>
      <c r="H11" s="8" t="inlineStr">
        <is>
          <t>2026-09-14T20:40:23+00:00</t>
        </is>
      </c>
      <c r="I11" s="8" t="inlineStr">
        <is>
          <t>https://apps.irs.gov/pub/epostcard/990/xml/2022/2022_TEOS_XML_01A.zip#202201319349303630_public.xml</t>
        </is>
      </c>
    </row>
    <row r="12">
      <c r="A12" s="32" t="inlineStr">
        <is>
          <t>FY2022</t>
        </is>
      </c>
      <c r="B12" s="8" t="inlineStr">
        <is>
          <t>2022-12-31</t>
        </is>
      </c>
      <c r="C12" s="8" t="inlineStr">
        <is>
          <t>990</t>
        </is>
      </c>
      <c r="D12" s="8" t="inlineStr">
        <is>
          <t>high</t>
        </is>
      </c>
      <c r="E12" s="8" t="inlineStr">
        <is>
          <t>45229109-8508-4324-9fe1-a3eb43842165</t>
        </is>
      </c>
      <c r="F12" s="8" t="inlineStr">
        <is>
          <t>202341359349313504</t>
        </is>
      </c>
      <c r="G12" s="8" t="inlineStr">
        <is>
          <t>claude-opus-5</t>
        </is>
      </c>
      <c r="H12" s="8" t="inlineStr">
        <is>
          <t>2026-09-14T20:40:23+00:00</t>
        </is>
      </c>
      <c r="I12" s="8" t="inlineStr">
        <is>
          <t>https://apps.irs.gov/pub/epostcard/990/xml/2023/2023_TEOS_XML_05A.zip#202341359349313504_public.xml</t>
        </is>
      </c>
    </row>
    <row r="13">
      <c r="A13" s="32" t="inlineStr">
        <is>
          <t>FY2023</t>
        </is>
      </c>
      <c r="B13" s="8" t="inlineStr">
        <is>
          <t>2023-12-31</t>
        </is>
      </c>
      <c r="C13" s="8" t="inlineStr">
        <is>
          <t>990</t>
        </is>
      </c>
      <c r="D13" s="8" t="inlineStr">
        <is>
          <t>high</t>
        </is>
      </c>
      <c r="E13" s="8" t="inlineStr">
        <is>
          <t>9bba56be-6773-4f61-878e-b3ab778dbfad</t>
        </is>
      </c>
      <c r="F13" s="8" t="inlineStr">
        <is>
          <t>202421299349303072</t>
        </is>
      </c>
      <c r="G13" s="8" t="inlineStr">
        <is>
          <t>claude-opus-5</t>
        </is>
      </c>
      <c r="H13" s="8" t="inlineStr">
        <is>
          <t>2026-09-14T20:40:23+00:00</t>
        </is>
      </c>
      <c r="I13" s="8" t="inlineStr">
        <is>
          <t>https://apps.irs.gov/pub/epostcard/990/xml/2024/2024_TEOS_XML_05A.zip#202421299349303072_public.xml</t>
        </is>
      </c>
    </row>
    <row r="14">
      <c r="A14" s="32" t="inlineStr">
        <is>
          <t>FY2024</t>
        </is>
      </c>
      <c r="B14" s="8" t="inlineStr">
        <is>
          <t>2024-12-31</t>
        </is>
      </c>
      <c r="C14" s="8" t="inlineStr">
        <is>
          <t>990</t>
        </is>
      </c>
      <c r="D14" s="8" t="inlineStr">
        <is>
          <t>high</t>
        </is>
      </c>
      <c r="E14" s="8" t="inlineStr">
        <is>
          <t>b86d2f4b-e124-4cf1-a3e1-4060c008a3cf</t>
        </is>
      </c>
      <c r="F14" s="8" t="inlineStr">
        <is>
          <t>202541049349300234</t>
        </is>
      </c>
      <c r="G14" s="8" t="inlineStr">
        <is>
          <t>claude-opus-5</t>
        </is>
      </c>
      <c r="H14" s="8" t="inlineStr">
        <is>
          <t>2026-09-14T20:40:23+00:00</t>
        </is>
      </c>
      <c r="I14" s="8" t="inlineStr">
        <is>
          <t>https://apps.irs.gov/pub/epostcard/990/xml/2025/2025_TEOS_XML_04A.zip#202541049349300234_public.xml</t>
        </is>
      </c>
    </row>
    <row r="15">
      <c r="A15" s="32" t="inlineStr">
        <is>
          <t>FY2025</t>
        </is>
      </c>
      <c r="B15" s="8" t="inlineStr">
        <is>
          <t>2025-12-31</t>
        </is>
      </c>
      <c r="C15" s="8" t="inlineStr">
        <is>
          <t>990</t>
        </is>
      </c>
      <c r="D15" s="8" t="inlineStr">
        <is>
          <t>high</t>
        </is>
      </c>
      <c r="E15" s="8" t="inlineStr">
        <is>
          <t>ab78afa5-dcca-4b5b-be98-0e9c41cb9ea0</t>
        </is>
      </c>
      <c r="F15" s="8" t="inlineStr">
        <is>
          <t>202641679349300244</t>
        </is>
      </c>
      <c r="G15" s="8" t="inlineStr">
        <is>
          <t>claude-opus-5</t>
        </is>
      </c>
      <c r="H15" s="8" t="inlineStr">
        <is>
          <t>2026-09-14T20:40:23+00:00</t>
        </is>
      </c>
      <c r="I15" s="8" t="inlineStr">
        <is>
          <t>https://apps.irs.gov/pub/epostcard/990/xml/2026/2026_TEOS_XML_06A.zip#202641679349300244_public.xml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215819</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248239</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213691</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248213</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409534</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540118</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2292</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7</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704</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4404</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6585</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215819</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248239</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213691</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248215</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409534</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540118</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2292</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7</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704</v>
      </c>
    </row>
    <row r="40">
      <c r="A40" s="8" t="inlineStr">
        <is>
          <t>Revenue (detail)</t>
        </is>
      </c>
      <c r="B40" s="8" t="inlineStr">
        <is>
          <t>G9</t>
        </is>
      </c>
      <c r="C40" s="8" t="inlineStr">
        <is>
          <t>3. Investment income</t>
        </is>
      </c>
      <c r="D40" s="8" t="inlineStr">
        <is>
          <t>3</t>
        </is>
      </c>
      <c r="E40" s="8" t="inlineStr">
        <is>
          <t>part_viii_revenue.investment_income</t>
        </is>
      </c>
      <c r="F40" s="8" t="inlineStr">
        <is>
          <t>high</t>
        </is>
      </c>
      <c r="G40" s="9" t="n">
        <v>6585</v>
      </c>
    </row>
    <row r="41">
      <c r="A41" s="8" t="inlineStr">
        <is>
          <t>Revenue (detail)</t>
        </is>
      </c>
      <c r="B41" s="8" t="inlineStr">
        <is>
          <t>F12</t>
        </is>
      </c>
      <c r="C41" s="8" t="inlineStr">
        <is>
          <t>11e. Other revenue</t>
        </is>
      </c>
      <c r="D41" s="8" t="inlineStr">
        <is>
          <t>11e</t>
        </is>
      </c>
      <c r="E41" s="8" t="inlineStr">
        <is>
          <t>part_viii_revenue.other_revenue_total</t>
        </is>
      </c>
      <c r="F41" s="8" t="inlineStr">
        <is>
          <t>high</t>
        </is>
      </c>
      <c r="G41" s="9" t="n">
        <v>4404</v>
      </c>
    </row>
    <row r="42">
      <c r="A42" s="8" t="inlineStr">
        <is>
          <t>Operating expenses (detail)</t>
        </is>
      </c>
      <c r="B42" s="8" t="inlineStr">
        <is>
          <t>F7</t>
        </is>
      </c>
      <c r="C42" s="8" t="inlineStr">
        <is>
          <t>11b. Fees for services: legal</t>
        </is>
      </c>
      <c r="D42" s="8" t="inlineStr">
        <is>
          <t>11b</t>
        </is>
      </c>
      <c r="E42" s="8" t="inlineStr">
        <is>
          <t>part_ix_expenses.fees_legal</t>
        </is>
      </c>
      <c r="F42" s="8" t="inlineStr">
        <is>
          <t>high</t>
        </is>
      </c>
      <c r="G42" s="9" t="n">
        <v>2783</v>
      </c>
    </row>
    <row r="43">
      <c r="A43" s="8" t="inlineStr">
        <is>
          <t>Operating expenses (detail)</t>
        </is>
      </c>
      <c r="B43" s="8" t="inlineStr">
        <is>
          <t>G7</t>
        </is>
      </c>
      <c r="C43" s="8" t="inlineStr">
        <is>
          <t>11b. Fees for services: legal</t>
        </is>
      </c>
      <c r="D43" s="8" t="inlineStr">
        <is>
          <t>11b</t>
        </is>
      </c>
      <c r="E43" s="8" t="inlineStr">
        <is>
          <t>part_ix_expenses.fees_legal</t>
        </is>
      </c>
      <c r="F43" s="8" t="inlineStr">
        <is>
          <t>high</t>
        </is>
      </c>
      <c r="G43" s="9" t="n">
        <v>10572</v>
      </c>
    </row>
    <row r="44">
      <c r="A44" s="8" t="inlineStr">
        <is>
          <t>Operating expenses (detail)</t>
        </is>
      </c>
      <c r="B44" s="8" t="inlineStr">
        <is>
          <t>B8</t>
        </is>
      </c>
      <c r="C44" s="8" t="inlineStr">
        <is>
          <t>11c. Fees for services: accounting</t>
        </is>
      </c>
      <c r="D44" s="8" t="inlineStr">
        <is>
          <t>11c</t>
        </is>
      </c>
      <c r="E44" s="8" t="inlineStr">
        <is>
          <t>part_ix_expenses.fees_accounting</t>
        </is>
      </c>
      <c r="F44" s="8" t="inlineStr">
        <is>
          <t>high</t>
        </is>
      </c>
      <c r="G44" s="9" t="n">
        <v>14760</v>
      </c>
    </row>
    <row r="45">
      <c r="A45" s="8" t="inlineStr">
        <is>
          <t>Operating expenses (detail)</t>
        </is>
      </c>
      <c r="B45" s="8" t="inlineStr">
        <is>
          <t>C8</t>
        </is>
      </c>
      <c r="C45" s="8" t="inlineStr">
        <is>
          <t>11c. Fees for services: accounting</t>
        </is>
      </c>
      <c r="D45" s="8" t="inlineStr">
        <is>
          <t>11c</t>
        </is>
      </c>
      <c r="E45" s="8" t="inlineStr">
        <is>
          <t>part_ix_expenses.fees_accounting</t>
        </is>
      </c>
      <c r="F45" s="8" t="inlineStr">
        <is>
          <t>high</t>
        </is>
      </c>
      <c r="G45" s="9" t="n">
        <v>16730</v>
      </c>
    </row>
    <row r="46">
      <c r="A46" s="8" t="inlineStr">
        <is>
          <t>Operating expenses (detail)</t>
        </is>
      </c>
      <c r="B46" s="8" t="inlineStr">
        <is>
          <t>D8</t>
        </is>
      </c>
      <c r="C46" s="8" t="inlineStr">
        <is>
          <t>11c. Fees for services: accounting</t>
        </is>
      </c>
      <c r="D46" s="8" t="inlineStr">
        <is>
          <t>11c</t>
        </is>
      </c>
      <c r="E46" s="8" t="inlineStr">
        <is>
          <t>part_ix_expenses.fees_accounting</t>
        </is>
      </c>
      <c r="F46" s="8" t="inlineStr">
        <is>
          <t>high</t>
        </is>
      </c>
      <c r="G46" s="9" t="n">
        <v>18650</v>
      </c>
    </row>
    <row r="47">
      <c r="A47" s="8" t="inlineStr">
        <is>
          <t>Operating expenses (detail)</t>
        </is>
      </c>
      <c r="B47" s="8" t="inlineStr">
        <is>
          <t>E8</t>
        </is>
      </c>
      <c r="C47" s="8" t="inlineStr">
        <is>
          <t>11c. Fees for services: accounting</t>
        </is>
      </c>
      <c r="D47" s="8" t="inlineStr">
        <is>
          <t>11c</t>
        </is>
      </c>
      <c r="E47" s="8" t="inlineStr">
        <is>
          <t>part_ix_expenses.fees_accounting</t>
        </is>
      </c>
      <c r="F47" s="8" t="inlineStr">
        <is>
          <t>high</t>
        </is>
      </c>
      <c r="G47" s="9" t="n">
        <v>22872</v>
      </c>
    </row>
    <row r="48">
      <c r="A48" s="8" t="inlineStr">
        <is>
          <t>Operating expenses (detail)</t>
        </is>
      </c>
      <c r="B48" s="8" t="inlineStr">
        <is>
          <t>F8</t>
        </is>
      </c>
      <c r="C48" s="8" t="inlineStr">
        <is>
          <t>11c. Fees for services: accounting</t>
        </is>
      </c>
      <c r="D48" s="8" t="inlineStr">
        <is>
          <t>11c</t>
        </is>
      </c>
      <c r="E48" s="8" t="inlineStr">
        <is>
          <t>part_ix_expenses.fees_accounting</t>
        </is>
      </c>
      <c r="F48" s="8" t="inlineStr">
        <is>
          <t>high</t>
        </is>
      </c>
      <c r="G48" s="9" t="n">
        <v>26754</v>
      </c>
    </row>
    <row r="49">
      <c r="A49" s="8" t="inlineStr">
        <is>
          <t>Operating expenses (detail)</t>
        </is>
      </c>
      <c r="B49" s="8" t="inlineStr">
        <is>
          <t>G8</t>
        </is>
      </c>
      <c r="C49" s="8" t="inlineStr">
        <is>
          <t>11c. Fees for services: accounting</t>
        </is>
      </c>
      <c r="D49" s="8" t="inlineStr">
        <is>
          <t>11c</t>
        </is>
      </c>
      <c r="E49" s="8" t="inlineStr">
        <is>
          <t>part_ix_expenses.fees_accounting</t>
        </is>
      </c>
      <c r="F49" s="8" t="inlineStr">
        <is>
          <t>high</t>
        </is>
      </c>
      <c r="G49" s="9" t="n">
        <v>28310</v>
      </c>
    </row>
    <row r="50">
      <c r="A50" s="8" t="inlineStr">
        <is>
          <t>Operating expenses (detail)</t>
        </is>
      </c>
      <c r="B50" s="8" t="inlineStr">
        <is>
          <t>B9</t>
        </is>
      </c>
      <c r="C50" s="8" t="inlineStr">
        <is>
          <t>13. Office expenses</t>
        </is>
      </c>
      <c r="D50" s="8" t="inlineStr">
        <is>
          <t>13</t>
        </is>
      </c>
      <c r="E50" s="8" t="inlineStr">
        <is>
          <t>part_ix_expenses.office_expenses</t>
        </is>
      </c>
      <c r="F50" s="8" t="inlineStr">
        <is>
          <t>high</t>
        </is>
      </c>
      <c r="G50" s="9" t="n">
        <v>1748</v>
      </c>
    </row>
    <row r="51">
      <c r="A51" s="8" t="inlineStr">
        <is>
          <t>Operating expenses (detail)</t>
        </is>
      </c>
      <c r="B51" s="8" t="inlineStr">
        <is>
          <t>C9</t>
        </is>
      </c>
      <c r="C51" s="8" t="inlineStr">
        <is>
          <t>13. Office expenses</t>
        </is>
      </c>
      <c r="D51" s="8" t="inlineStr">
        <is>
          <t>13</t>
        </is>
      </c>
      <c r="E51" s="8" t="inlineStr">
        <is>
          <t>part_ix_expenses.office_expenses</t>
        </is>
      </c>
      <c r="F51" s="8" t="inlineStr">
        <is>
          <t>high</t>
        </is>
      </c>
      <c r="G51" s="9" t="n">
        <v>1206</v>
      </c>
    </row>
    <row r="52">
      <c r="A52" s="8" t="inlineStr">
        <is>
          <t>Operating expenses (detail)</t>
        </is>
      </c>
      <c r="B52" s="8" t="inlineStr">
        <is>
          <t>D9</t>
        </is>
      </c>
      <c r="C52" s="8" t="inlineStr">
        <is>
          <t>13. Office expenses</t>
        </is>
      </c>
      <c r="D52" s="8" t="inlineStr">
        <is>
          <t>13</t>
        </is>
      </c>
      <c r="E52" s="8" t="inlineStr">
        <is>
          <t>part_ix_expenses.office_expenses</t>
        </is>
      </c>
      <c r="F52" s="8" t="inlineStr">
        <is>
          <t>high</t>
        </is>
      </c>
      <c r="G52" s="9" t="n">
        <v>2388</v>
      </c>
    </row>
    <row r="53">
      <c r="A53" s="8" t="inlineStr">
        <is>
          <t>Operating expenses (detail)</t>
        </is>
      </c>
      <c r="B53" s="8" t="inlineStr">
        <is>
          <t>E9</t>
        </is>
      </c>
      <c r="C53" s="8" t="inlineStr">
        <is>
          <t>13. Office expenses</t>
        </is>
      </c>
      <c r="D53" s="8" t="inlineStr">
        <is>
          <t>13</t>
        </is>
      </c>
      <c r="E53" s="8" t="inlineStr">
        <is>
          <t>part_ix_expenses.office_expenses</t>
        </is>
      </c>
      <c r="F53" s="8" t="inlineStr">
        <is>
          <t>high</t>
        </is>
      </c>
      <c r="G53" s="9" t="n">
        <v>3253</v>
      </c>
    </row>
    <row r="54">
      <c r="A54" s="8" t="inlineStr">
        <is>
          <t>Operating expenses (detail)</t>
        </is>
      </c>
      <c r="B54" s="8" t="inlineStr">
        <is>
          <t>F9</t>
        </is>
      </c>
      <c r="C54" s="8" t="inlineStr">
        <is>
          <t>13. Office expenses</t>
        </is>
      </c>
      <c r="D54" s="8" t="inlineStr">
        <is>
          <t>13</t>
        </is>
      </c>
      <c r="E54" s="8" t="inlineStr">
        <is>
          <t>part_ix_expenses.office_expenses</t>
        </is>
      </c>
      <c r="F54" s="8" t="inlineStr">
        <is>
          <t>high</t>
        </is>
      </c>
      <c r="G54" s="9" t="n">
        <v>742</v>
      </c>
    </row>
    <row r="55">
      <c r="A55" s="8" t="inlineStr">
        <is>
          <t>Operating expenses (detail)</t>
        </is>
      </c>
      <c r="B55" s="8" t="inlineStr">
        <is>
          <t>G9</t>
        </is>
      </c>
      <c r="C55" s="8" t="inlineStr">
        <is>
          <t>13. Office expenses</t>
        </is>
      </c>
      <c r="D55" s="8" t="inlineStr">
        <is>
          <t>13</t>
        </is>
      </c>
      <c r="E55" s="8" t="inlineStr">
        <is>
          <t>part_ix_expenses.office_expenses</t>
        </is>
      </c>
      <c r="F55" s="8" t="inlineStr">
        <is>
          <t>high</t>
        </is>
      </c>
      <c r="G55" s="9" t="n">
        <v>2590</v>
      </c>
    </row>
    <row r="56">
      <c r="A56" s="8" t="inlineStr">
        <is>
          <t>Operating expenses (detail)</t>
        </is>
      </c>
      <c r="B56" s="8" t="inlineStr">
        <is>
          <t>B10</t>
        </is>
      </c>
      <c r="C56" s="8" t="inlineStr">
        <is>
          <t>22. Depreciation, depletion, and amortization</t>
        </is>
      </c>
      <c r="D56" s="8" t="inlineStr">
        <is>
          <t>22</t>
        </is>
      </c>
      <c r="E56" s="8" t="inlineStr">
        <is>
          <t>part_ix_expenses.depreciation</t>
        </is>
      </c>
      <c r="F56" s="8" t="inlineStr">
        <is>
          <t>high</t>
        </is>
      </c>
      <c r="G56" s="9" t="n">
        <v>26984</v>
      </c>
    </row>
    <row r="57">
      <c r="A57" s="8" t="inlineStr">
        <is>
          <t>Operating expenses (detail)</t>
        </is>
      </c>
      <c r="B57" s="8" t="inlineStr">
        <is>
          <t>C10</t>
        </is>
      </c>
      <c r="C57" s="8" t="inlineStr">
        <is>
          <t>22. Depreciation, depletion, and amortization</t>
        </is>
      </c>
      <c r="D57" s="8" t="inlineStr">
        <is>
          <t>22</t>
        </is>
      </c>
      <c r="E57" s="8" t="inlineStr">
        <is>
          <t>part_ix_expenses.depreciation</t>
        </is>
      </c>
      <c r="F57" s="8" t="inlineStr">
        <is>
          <t>high</t>
        </is>
      </c>
      <c r="G57" s="9" t="n">
        <v>26305</v>
      </c>
    </row>
    <row r="58">
      <c r="A58" s="8" t="inlineStr">
        <is>
          <t>Operating expenses (detail)</t>
        </is>
      </c>
      <c r="B58" s="8" t="inlineStr">
        <is>
          <t>D10</t>
        </is>
      </c>
      <c r="C58" s="8" t="inlineStr">
        <is>
          <t>22. Depreciation, depletion, and amortization</t>
        </is>
      </c>
      <c r="D58" s="8" t="inlineStr">
        <is>
          <t>22</t>
        </is>
      </c>
      <c r="E58" s="8" t="inlineStr">
        <is>
          <t>part_ix_expenses.depreciation</t>
        </is>
      </c>
      <c r="F58" s="8" t="inlineStr">
        <is>
          <t>high</t>
        </is>
      </c>
      <c r="G58" s="9" t="n">
        <v>27282</v>
      </c>
    </row>
    <row r="59">
      <c r="A59" s="8" t="inlineStr">
        <is>
          <t>Operating expenses (detail)</t>
        </is>
      </c>
      <c r="B59" s="8" t="inlineStr">
        <is>
          <t>E10</t>
        </is>
      </c>
      <c r="C59" s="8" t="inlineStr">
        <is>
          <t>22. Depreciation, depletion, and amortization</t>
        </is>
      </c>
      <c r="D59" s="8" t="inlineStr">
        <is>
          <t>22</t>
        </is>
      </c>
      <c r="E59" s="8" t="inlineStr">
        <is>
          <t>part_ix_expenses.depreciation</t>
        </is>
      </c>
      <c r="F59" s="8" t="inlineStr">
        <is>
          <t>high</t>
        </is>
      </c>
      <c r="G59" s="9" t="n">
        <v>29059</v>
      </c>
    </row>
    <row r="60">
      <c r="A60" s="8" t="inlineStr">
        <is>
          <t>Operating expenses (detail)</t>
        </is>
      </c>
      <c r="B60" s="8" t="inlineStr">
        <is>
          <t>F10</t>
        </is>
      </c>
      <c r="C60" s="8" t="inlineStr">
        <is>
          <t>22. Depreciation, depletion, and amortization</t>
        </is>
      </c>
      <c r="D60" s="8" t="inlineStr">
        <is>
          <t>22</t>
        </is>
      </c>
      <c r="E60" s="8" t="inlineStr">
        <is>
          <t>part_ix_expenses.depreciation</t>
        </is>
      </c>
      <c r="F60" s="8" t="inlineStr">
        <is>
          <t>high</t>
        </is>
      </c>
      <c r="G60" s="9" t="n">
        <v>33327</v>
      </c>
    </row>
    <row r="61">
      <c r="A61" s="8" t="inlineStr">
        <is>
          <t>Operating expenses (detail)</t>
        </is>
      </c>
      <c r="B61" s="8" t="inlineStr">
        <is>
          <t>G10</t>
        </is>
      </c>
      <c r="C61" s="8" t="inlineStr">
        <is>
          <t>22. Depreciation, depletion, and amortization</t>
        </is>
      </c>
      <c r="D61" s="8" t="inlineStr">
        <is>
          <t>22</t>
        </is>
      </c>
      <c r="E61" s="8" t="inlineStr">
        <is>
          <t>part_ix_expenses.depreciation</t>
        </is>
      </c>
      <c r="F61" s="8" t="inlineStr">
        <is>
          <t>high</t>
        </is>
      </c>
      <c r="G61" s="9" t="n">
        <v>38220</v>
      </c>
    </row>
    <row r="62">
      <c r="A62" s="8" t="inlineStr">
        <is>
          <t>Operating expenses (detail)</t>
        </is>
      </c>
      <c r="B62" s="8" t="inlineStr">
        <is>
          <t>B11</t>
        </is>
      </c>
      <c r="C62" s="8" t="inlineStr">
        <is>
          <t>23. Insurance</t>
        </is>
      </c>
      <c r="D62" s="8" t="inlineStr">
        <is>
          <t>23</t>
        </is>
      </c>
      <c r="E62" s="8" t="inlineStr">
        <is>
          <t>part_ix_expenses.insurance</t>
        </is>
      </c>
      <c r="F62" s="8" t="inlineStr">
        <is>
          <t>high</t>
        </is>
      </c>
      <c r="G62" s="9" t="n">
        <v>2073</v>
      </c>
    </row>
    <row r="63">
      <c r="A63" s="8" t="inlineStr">
        <is>
          <t>Operating expenses (detail)</t>
        </is>
      </c>
      <c r="B63" s="8" t="inlineStr">
        <is>
          <t>C11</t>
        </is>
      </c>
      <c r="C63" s="8" t="inlineStr">
        <is>
          <t>23. Insurance</t>
        </is>
      </c>
      <c r="D63" s="8" t="inlineStr">
        <is>
          <t>23</t>
        </is>
      </c>
      <c r="E63" s="8" t="inlineStr">
        <is>
          <t>part_ix_expenses.insurance</t>
        </is>
      </c>
      <c r="F63" s="8" t="inlineStr">
        <is>
          <t>high</t>
        </is>
      </c>
      <c r="G63" s="9" t="n">
        <v>2289</v>
      </c>
    </row>
    <row r="64">
      <c r="A64" s="8" t="inlineStr">
        <is>
          <t>Operating expenses (detail)</t>
        </is>
      </c>
      <c r="B64" s="8" t="inlineStr">
        <is>
          <t>D11</t>
        </is>
      </c>
      <c r="C64" s="8" t="inlineStr">
        <is>
          <t>23. Insurance</t>
        </is>
      </c>
      <c r="D64" s="8" t="inlineStr">
        <is>
          <t>23</t>
        </is>
      </c>
      <c r="E64" s="8" t="inlineStr">
        <is>
          <t>part_ix_expenses.insurance</t>
        </is>
      </c>
      <c r="F64" s="8" t="inlineStr">
        <is>
          <t>high</t>
        </is>
      </c>
      <c r="G64" s="9" t="n">
        <v>2538</v>
      </c>
    </row>
    <row r="65">
      <c r="A65" s="8" t="inlineStr">
        <is>
          <t>Operating expenses (detail)</t>
        </is>
      </c>
      <c r="B65" s="8" t="inlineStr">
        <is>
          <t>E11</t>
        </is>
      </c>
      <c r="C65" s="8" t="inlineStr">
        <is>
          <t>23. Insurance</t>
        </is>
      </c>
      <c r="D65" s="8" t="inlineStr">
        <is>
          <t>23</t>
        </is>
      </c>
      <c r="E65" s="8" t="inlineStr">
        <is>
          <t>part_ix_expenses.insurance</t>
        </is>
      </c>
      <c r="F65" s="8" t="inlineStr">
        <is>
          <t>high</t>
        </is>
      </c>
      <c r="G65" s="9" t="n">
        <v>2775</v>
      </c>
    </row>
    <row r="66">
      <c r="A66" s="8" t="inlineStr">
        <is>
          <t>Operating expenses (detail)</t>
        </is>
      </c>
      <c r="B66" s="8" t="inlineStr">
        <is>
          <t>F11</t>
        </is>
      </c>
      <c r="C66" s="8" t="inlineStr">
        <is>
          <t>23. Insurance</t>
        </is>
      </c>
      <c r="D66" s="8" t="inlineStr">
        <is>
          <t>23</t>
        </is>
      </c>
      <c r="E66" s="8" t="inlineStr">
        <is>
          <t>part_ix_expenses.insurance</t>
        </is>
      </c>
      <c r="F66" s="8" t="inlineStr">
        <is>
          <t>high</t>
        </is>
      </c>
      <c r="G66" s="9" t="n">
        <v>4190</v>
      </c>
    </row>
    <row r="67">
      <c r="A67" s="8" t="inlineStr">
        <is>
          <t>Operating expenses (detail)</t>
        </is>
      </c>
      <c r="B67" s="8" t="inlineStr">
        <is>
          <t>G11</t>
        </is>
      </c>
      <c r="C67" s="8" t="inlineStr">
        <is>
          <t>23. Insurance</t>
        </is>
      </c>
      <c r="D67" s="8" t="inlineStr">
        <is>
          <t>23</t>
        </is>
      </c>
      <c r="E67" s="8" t="inlineStr">
        <is>
          <t>part_ix_expenses.insurance</t>
        </is>
      </c>
      <c r="F67" s="8" t="inlineStr">
        <is>
          <t>high</t>
        </is>
      </c>
      <c r="G67" s="9" t="n">
        <v>5321</v>
      </c>
    </row>
    <row r="68">
      <c r="A68" s="8" t="inlineStr">
        <is>
          <t>Operating expenses (detail)</t>
        </is>
      </c>
      <c r="B68" s="8" t="inlineStr">
        <is>
          <t>B17</t>
        </is>
      </c>
      <c r="C68" s="8" t="inlineStr">
        <is>
          <t>24e. All other expenses</t>
        </is>
      </c>
      <c r="D68" s="8" t="inlineStr">
        <is>
          <t>24e</t>
        </is>
      </c>
      <c r="E68" s="8" t="inlineStr">
        <is>
          <t>part_ix_expenses.all_other_expenses</t>
        </is>
      </c>
      <c r="F68" s="8" t="inlineStr">
        <is>
          <t>high</t>
        </is>
      </c>
      <c r="G68" s="9" t="n">
        <v>9774</v>
      </c>
    </row>
    <row r="69">
      <c r="A69" s="8" t="inlineStr">
        <is>
          <t>Operating expenses (detail)</t>
        </is>
      </c>
      <c r="B69" s="8" t="inlineStr">
        <is>
          <t>C17</t>
        </is>
      </c>
      <c r="C69" s="8" t="inlineStr">
        <is>
          <t>24e. All other expenses</t>
        </is>
      </c>
      <c r="D69" s="8" t="inlineStr">
        <is>
          <t>24e</t>
        </is>
      </c>
      <c r="E69" s="8" t="inlineStr">
        <is>
          <t>part_ix_expenses.all_other_expenses</t>
        </is>
      </c>
      <c r="F69" s="8" t="inlineStr">
        <is>
          <t>high</t>
        </is>
      </c>
      <c r="G69" s="9" t="n">
        <v>20037</v>
      </c>
    </row>
    <row r="70">
      <c r="A70" s="8" t="inlineStr">
        <is>
          <t>Operating expenses (detail)</t>
        </is>
      </c>
      <c r="B70" s="8" t="inlineStr">
        <is>
          <t>D17</t>
        </is>
      </c>
      <c r="C70" s="8" t="inlineStr">
        <is>
          <t>24e. All other expenses</t>
        </is>
      </c>
      <c r="D70" s="8" t="inlineStr">
        <is>
          <t>24e</t>
        </is>
      </c>
      <c r="E70" s="8" t="inlineStr">
        <is>
          <t>part_ix_expenses.all_other_expenses</t>
        </is>
      </c>
      <c r="F70" s="8" t="inlineStr">
        <is>
          <t>high</t>
        </is>
      </c>
      <c r="G70" s="9" t="n">
        <v>52431</v>
      </c>
    </row>
    <row r="71">
      <c r="A71" s="8" t="inlineStr">
        <is>
          <t>Operating expenses (detail)</t>
        </is>
      </c>
      <c r="B71" s="8" t="inlineStr">
        <is>
          <t>E17</t>
        </is>
      </c>
      <c r="C71" s="8" t="inlineStr">
        <is>
          <t>24e. All other expenses</t>
        </is>
      </c>
      <c r="D71" s="8" t="inlineStr">
        <is>
          <t>24e</t>
        </is>
      </c>
      <c r="E71" s="8" t="inlineStr">
        <is>
          <t>part_ix_expenses.all_other_expenses</t>
        </is>
      </c>
      <c r="F71" s="8" t="inlineStr">
        <is>
          <t>high</t>
        </is>
      </c>
      <c r="G71" s="9" t="n">
        <v>8539</v>
      </c>
    </row>
    <row r="72">
      <c r="A72" s="8" t="inlineStr">
        <is>
          <t>Operating expenses (detail)</t>
        </is>
      </c>
      <c r="B72" s="8" t="inlineStr">
        <is>
          <t>F17</t>
        </is>
      </c>
      <c r="C72" s="8" t="inlineStr">
        <is>
          <t>24e. All other expenses</t>
        </is>
      </c>
      <c r="D72" s="8" t="inlineStr">
        <is>
          <t>24e</t>
        </is>
      </c>
      <c r="E72" s="8" t="inlineStr">
        <is>
          <t>part_ix_expenses.all_other_expenses</t>
        </is>
      </c>
      <c r="F72" s="8" t="inlineStr">
        <is>
          <t>high</t>
        </is>
      </c>
      <c r="G72" s="9" t="n">
        <v>17664</v>
      </c>
    </row>
    <row r="73">
      <c r="A73" s="8" t="inlineStr">
        <is>
          <t>Operating expenses (detail)</t>
        </is>
      </c>
      <c r="B73" s="8" t="inlineStr">
        <is>
          <t>G17</t>
        </is>
      </c>
      <c r="C73" s="8" t="inlineStr">
        <is>
          <t>24e. All other expenses</t>
        </is>
      </c>
      <c r="D73" s="8" t="inlineStr">
        <is>
          <t>24e</t>
        </is>
      </c>
      <c r="E73" s="8" t="inlineStr">
        <is>
          <t>part_ix_expenses.all_other_expenses</t>
        </is>
      </c>
      <c r="F73" s="8" t="inlineStr">
        <is>
          <t>high</t>
        </is>
      </c>
      <c r="G73" s="9" t="n">
        <v>24503</v>
      </c>
    </row>
    <row r="74">
      <c r="A74" s="8" t="inlineStr">
        <is>
          <t>Balance sheet (detail)</t>
        </is>
      </c>
      <c r="B74" s="8" t="inlineStr">
        <is>
          <t>B7</t>
        </is>
      </c>
      <c r="C74" s="8" t="inlineStr">
        <is>
          <t>1. Cash - non-interest-bearing</t>
        </is>
      </c>
      <c r="D74" s="8" t="inlineStr">
        <is>
          <t>1E</t>
        </is>
      </c>
      <c r="E74" s="8" t="inlineStr">
        <is>
          <t>part_x_balance_sheet.cash_noninterest_eoy</t>
        </is>
      </c>
      <c r="F74" s="8" t="inlineStr">
        <is>
          <t>high</t>
        </is>
      </c>
      <c r="G74" s="9" t="n">
        <v>280687</v>
      </c>
    </row>
    <row r="75">
      <c r="A75" s="8" t="inlineStr">
        <is>
          <t>Balance sheet (detail)</t>
        </is>
      </c>
      <c r="B75" s="8" t="inlineStr">
        <is>
          <t>C7</t>
        </is>
      </c>
      <c r="C75" s="8" t="inlineStr">
        <is>
          <t>1. Cash - non-interest-bearing</t>
        </is>
      </c>
      <c r="D75" s="8" t="inlineStr">
        <is>
          <t>1E</t>
        </is>
      </c>
      <c r="E75" s="8" t="inlineStr">
        <is>
          <t>part_x_balance_sheet.cash_noninterest_eoy</t>
        </is>
      </c>
      <c r="F75" s="8" t="inlineStr">
        <is>
          <t>high</t>
        </is>
      </c>
      <c r="G75" s="9" t="n">
        <v>330893</v>
      </c>
    </row>
    <row r="76">
      <c r="A76" s="8" t="inlineStr">
        <is>
          <t>Balance sheet (detail)</t>
        </is>
      </c>
      <c r="B76" s="8" t="inlineStr">
        <is>
          <t>D7</t>
        </is>
      </c>
      <c r="C76" s="8" t="inlineStr">
        <is>
          <t>1. Cash - non-interest-bearing</t>
        </is>
      </c>
      <c r="D76" s="8" t="inlineStr">
        <is>
          <t>1E</t>
        </is>
      </c>
      <c r="E76" s="8" t="inlineStr">
        <is>
          <t>part_x_balance_sheet.cash_noninterest_eoy</t>
        </is>
      </c>
      <c r="F76" s="8" t="inlineStr">
        <is>
          <t>high</t>
        </is>
      </c>
      <c r="G76" s="9" t="n">
        <v>237139</v>
      </c>
    </row>
    <row r="77">
      <c r="A77" s="8" t="inlineStr">
        <is>
          <t>Balance sheet (detail)</t>
        </is>
      </c>
      <c r="B77" s="8" t="inlineStr">
        <is>
          <t>E7</t>
        </is>
      </c>
      <c r="C77" s="8" t="inlineStr">
        <is>
          <t>1. Cash - non-interest-bearing</t>
        </is>
      </c>
      <c r="D77" s="8" t="inlineStr">
        <is>
          <t>1E</t>
        </is>
      </c>
      <c r="E77" s="8" t="inlineStr">
        <is>
          <t>part_x_balance_sheet.cash_noninterest_eoy</t>
        </is>
      </c>
      <c r="F77" s="8" t="inlineStr">
        <is>
          <t>high</t>
        </is>
      </c>
      <c r="G77" s="9" t="n">
        <v>147642</v>
      </c>
    </row>
    <row r="78">
      <c r="A78" s="8" t="inlineStr">
        <is>
          <t>Balance sheet (detail)</t>
        </is>
      </c>
      <c r="B78" s="8" t="inlineStr">
        <is>
          <t>F7</t>
        </is>
      </c>
      <c r="C78" s="8" t="inlineStr">
        <is>
          <t>1. Cash - non-interest-bearing</t>
        </is>
      </c>
      <c r="D78" s="8" t="inlineStr">
        <is>
          <t>1E</t>
        </is>
      </c>
      <c r="E78" s="8" t="inlineStr">
        <is>
          <t>part_x_balance_sheet.cash_noninterest_eoy</t>
        </is>
      </c>
      <c r="F78" s="8" t="inlineStr">
        <is>
          <t>high</t>
        </is>
      </c>
      <c r="G78" s="9" t="n">
        <v>198771</v>
      </c>
    </row>
    <row r="79">
      <c r="A79" s="8" t="inlineStr">
        <is>
          <t>Balance sheet (detail)</t>
        </is>
      </c>
      <c r="B79" s="8" t="inlineStr">
        <is>
          <t>G7</t>
        </is>
      </c>
      <c r="C79" s="8" t="inlineStr">
        <is>
          <t>1. Cash - non-interest-bearing</t>
        </is>
      </c>
      <c r="D79" s="8" t="inlineStr">
        <is>
          <t>1E</t>
        </is>
      </c>
      <c r="E79" s="8" t="inlineStr">
        <is>
          <t>part_x_balance_sheet.cash_noninterest_eoy</t>
        </is>
      </c>
      <c r="F79" s="8" t="inlineStr">
        <is>
          <t>high</t>
        </is>
      </c>
      <c r="G79" s="9" t="n">
        <v>235656</v>
      </c>
    </row>
    <row r="80">
      <c r="A80" s="8" t="inlineStr">
        <is>
          <t>Balance sheet (detail)</t>
        </is>
      </c>
      <c r="B80" s="8" t="inlineStr">
        <is>
          <t>E8</t>
        </is>
      </c>
      <c r="C80" s="8" t="inlineStr">
        <is>
          <t>2. Savings and temporary cash investments</t>
        </is>
      </c>
      <c r="D80" s="8" t="inlineStr">
        <is>
          <t>2E</t>
        </is>
      </c>
      <c r="E80" s="8" t="inlineStr">
        <is>
          <t>part_x_balance_sheet.savings_temp_invest_eoy</t>
        </is>
      </c>
      <c r="F80" s="8" t="inlineStr">
        <is>
          <t>high</t>
        </is>
      </c>
      <c r="G80" s="9" t="n">
        <v>100704</v>
      </c>
    </row>
    <row r="81">
      <c r="A81" s="8" t="inlineStr">
        <is>
          <t>Balance sheet (detail)</t>
        </is>
      </c>
      <c r="B81" s="8" t="inlineStr">
        <is>
          <t>F8</t>
        </is>
      </c>
      <c r="C81" s="8" t="inlineStr">
        <is>
          <t>2. Savings and temporary cash investments</t>
        </is>
      </c>
      <c r="D81" s="8" t="inlineStr">
        <is>
          <t>2E</t>
        </is>
      </c>
      <c r="E81" s="8" t="inlineStr">
        <is>
          <t>part_x_balance_sheet.savings_temp_invest_eoy</t>
        </is>
      </c>
      <c r="F81" s="8" t="inlineStr">
        <is>
          <t>high</t>
        </is>
      </c>
      <c r="G81" s="9" t="n">
        <v>105036</v>
      </c>
    </row>
    <row r="82">
      <c r="A82" s="8" t="inlineStr">
        <is>
          <t>Balance sheet (detail)</t>
        </is>
      </c>
      <c r="B82" s="8" t="inlineStr">
        <is>
          <t>G8</t>
        </is>
      </c>
      <c r="C82" s="8" t="inlineStr">
        <is>
          <t>2. Savings and temporary cash investments</t>
        </is>
      </c>
      <c r="D82" s="8" t="inlineStr">
        <is>
          <t>2E</t>
        </is>
      </c>
      <c r="E82" s="8" t="inlineStr">
        <is>
          <t>part_x_balance_sheet.savings_temp_invest_eoy</t>
        </is>
      </c>
      <c r="F82" s="8" t="inlineStr">
        <is>
          <t>high</t>
        </is>
      </c>
      <c r="G82" s="9" t="n">
        <v>257721</v>
      </c>
    </row>
    <row r="83">
      <c r="A83" s="8" t="inlineStr">
        <is>
          <t>Balance sheet (detail)</t>
        </is>
      </c>
      <c r="B83" s="8" t="inlineStr">
        <is>
          <t>B9</t>
        </is>
      </c>
      <c r="C83" s="8" t="inlineStr">
        <is>
          <t>10c. Land, buildings, and equipment, net</t>
        </is>
      </c>
      <c r="D83" s="8" t="inlineStr">
        <is>
          <t>10cE</t>
        </is>
      </c>
      <c r="E83" s="8" t="inlineStr">
        <is>
          <t>part_x_balance_sheet.land_bldg_equip_net_eoy</t>
        </is>
      </c>
      <c r="F83" s="8" t="inlineStr">
        <is>
          <t>high</t>
        </is>
      </c>
      <c r="G83" s="9" t="n">
        <v>274623</v>
      </c>
    </row>
    <row r="84">
      <c r="A84" s="8" t="inlineStr">
        <is>
          <t>Balance sheet (detail)</t>
        </is>
      </c>
      <c r="B84" s="8" t="inlineStr">
        <is>
          <t>C9</t>
        </is>
      </c>
      <c r="C84" s="8" t="inlineStr">
        <is>
          <t>10c. Land, buildings, and equipment, net</t>
        </is>
      </c>
      <c r="D84" s="8" t="inlineStr">
        <is>
          <t>10cE</t>
        </is>
      </c>
      <c r="E84" s="8" t="inlineStr">
        <is>
          <t>part_x_balance_sheet.land_bldg_equip_net_eoy</t>
        </is>
      </c>
      <c r="F84" s="8" t="inlineStr">
        <is>
          <t>high</t>
        </is>
      </c>
      <c r="G84" s="9" t="n">
        <v>248319</v>
      </c>
    </row>
    <row r="85">
      <c r="A85" s="8" t="inlineStr">
        <is>
          <t>Balance sheet (detail)</t>
        </is>
      </c>
      <c r="B85" s="8" t="inlineStr">
        <is>
          <t>D9</t>
        </is>
      </c>
      <c r="C85" s="8" t="inlineStr">
        <is>
          <t>10c. Land, buildings, and equipment, net</t>
        </is>
      </c>
      <c r="D85" s="8" t="inlineStr">
        <is>
          <t>10cE</t>
        </is>
      </c>
      <c r="E85" s="8" t="inlineStr">
        <is>
          <t>part_x_balance_sheet.land_bldg_equip_net_eoy</t>
        </is>
      </c>
      <c r="F85" s="8" t="inlineStr">
        <is>
          <t>high</t>
        </is>
      </c>
      <c r="G85" s="9" t="n">
        <v>280638</v>
      </c>
    </row>
    <row r="86">
      <c r="A86" s="8" t="inlineStr">
        <is>
          <t>Balance sheet (detail)</t>
        </is>
      </c>
      <c r="B86" s="8" t="inlineStr">
        <is>
          <t>E9</t>
        </is>
      </c>
      <c r="C86" s="8" t="inlineStr">
        <is>
          <t>10c. Land, buildings, and equipment, net</t>
        </is>
      </c>
      <c r="D86" s="8" t="inlineStr">
        <is>
          <t>10cE</t>
        </is>
      </c>
      <c r="E86" s="8" t="inlineStr">
        <is>
          <t>part_x_balance_sheet.land_bldg_equip_net_eoy</t>
        </is>
      </c>
      <c r="F86" s="8" t="inlineStr">
        <is>
          <t>high</t>
        </is>
      </c>
      <c r="G86" s="9" t="n">
        <v>274114</v>
      </c>
    </row>
    <row r="87">
      <c r="A87" s="8" t="inlineStr">
        <is>
          <t>Balance sheet (detail)</t>
        </is>
      </c>
      <c r="B87" s="8" t="inlineStr">
        <is>
          <t>F9</t>
        </is>
      </c>
      <c r="C87" s="8" t="inlineStr">
        <is>
          <t>10c. Land, buildings, and equipment, net</t>
        </is>
      </c>
      <c r="D87" s="8" t="inlineStr">
        <is>
          <t>10cE</t>
        </is>
      </c>
      <c r="E87" s="8" t="inlineStr">
        <is>
          <t>part_x_balance_sheet.land_bldg_equip_net_eoy</t>
        </is>
      </c>
      <c r="F87" s="8" t="inlineStr">
        <is>
          <t>high</t>
        </is>
      </c>
      <c r="G87" s="9" t="n">
        <v>354952</v>
      </c>
    </row>
    <row r="88">
      <c r="A88" s="8" t="inlineStr">
        <is>
          <t>Balance sheet (detail)</t>
        </is>
      </c>
      <c r="B88" s="8" t="inlineStr">
        <is>
          <t>G9</t>
        </is>
      </c>
      <c r="C88" s="8" t="inlineStr">
        <is>
          <t>10c. Land, buildings, and equipment, net</t>
        </is>
      </c>
      <c r="D88" s="8" t="inlineStr">
        <is>
          <t>10cE</t>
        </is>
      </c>
      <c r="E88" s="8" t="inlineStr">
        <is>
          <t>part_x_balance_sheet.land_bldg_equip_net_eoy</t>
        </is>
      </c>
      <c r="F88" s="8" t="inlineStr">
        <is>
          <t>high</t>
        </is>
      </c>
      <c r="G88" s="9" t="n">
        <v>366487</v>
      </c>
    </row>
    <row r="89">
      <c r="A89" s="8" t="inlineStr">
        <is>
          <t>Balance sheet (detail)</t>
        </is>
      </c>
      <c r="B89" s="8" t="inlineStr">
        <is>
          <t>B16</t>
        </is>
      </c>
      <c r="C89" s="8" t="inlineStr">
        <is>
          <t>31. Retained earnings / accumulated funds</t>
        </is>
      </c>
      <c r="D89" s="8" t="inlineStr">
        <is>
          <t>31E</t>
        </is>
      </c>
      <c r="E89" s="8" t="inlineStr">
        <is>
          <t>part_x_balance_sheet.retained_earnings_eoy</t>
        </is>
      </c>
      <c r="F89" s="8" t="inlineStr">
        <is>
          <t>high</t>
        </is>
      </c>
      <c r="G89" s="9" t="n">
        <v>555310</v>
      </c>
    </row>
    <row r="90">
      <c r="A90" s="8" t="inlineStr">
        <is>
          <t>Balance sheet (detail)</t>
        </is>
      </c>
      <c r="B90" s="8" t="inlineStr">
        <is>
          <t>C16</t>
        </is>
      </c>
      <c r="C90" s="8" t="inlineStr">
        <is>
          <t>31. Retained earnings / accumulated funds</t>
        </is>
      </c>
      <c r="D90" s="8" t="inlineStr">
        <is>
          <t>31E</t>
        </is>
      </c>
      <c r="E90" s="8" t="inlineStr">
        <is>
          <t>part_x_balance_sheet.retained_earnings_eoy</t>
        </is>
      </c>
      <c r="F90" s="8" t="inlineStr">
        <is>
          <t>high</t>
        </is>
      </c>
      <c r="G90" s="9" t="n">
        <v>579212</v>
      </c>
    </row>
    <row r="91">
      <c r="A91" s="8" t="inlineStr">
        <is>
          <t>Balance sheet (detail)</t>
        </is>
      </c>
      <c r="B91" s="8" t="inlineStr">
        <is>
          <t>D16</t>
        </is>
      </c>
      <c r="C91" s="8" t="inlineStr">
        <is>
          <t>31. Retained earnings / accumulated funds</t>
        </is>
      </c>
      <c r="D91" s="8" t="inlineStr">
        <is>
          <t>31E</t>
        </is>
      </c>
      <c r="E91" s="8" t="inlineStr">
        <is>
          <t>part_x_balance_sheet.retained_earnings_eoy</t>
        </is>
      </c>
      <c r="F91" s="8" t="inlineStr">
        <is>
          <t>high</t>
        </is>
      </c>
      <c r="G91" s="9" t="n">
        <v>517777</v>
      </c>
    </row>
    <row r="92">
      <c r="A92" s="8" t="inlineStr">
        <is>
          <t>Balance sheet (detail)</t>
        </is>
      </c>
      <c r="B92" s="8" t="inlineStr">
        <is>
          <t>E16</t>
        </is>
      </c>
      <c r="C92" s="8" t="inlineStr">
        <is>
          <t>31. Retained earnings / accumulated funds</t>
        </is>
      </c>
      <c r="D92" s="8" t="inlineStr">
        <is>
          <t>31E</t>
        </is>
      </c>
      <c r="E92" s="8" t="inlineStr">
        <is>
          <t>part_x_balance_sheet.retained_earnings_eoy</t>
        </is>
      </c>
      <c r="F92" s="8" t="inlineStr">
        <is>
          <t>high</t>
        </is>
      </c>
      <c r="G92" s="9" t="n">
        <v>522460</v>
      </c>
    </row>
    <row r="93">
      <c r="A93" s="8" t="inlineStr">
        <is>
          <t>Balance sheet (detail)</t>
        </is>
      </c>
      <c r="B93" s="8" t="inlineStr">
        <is>
          <t>F16</t>
        </is>
      </c>
      <c r="C93" s="8" t="inlineStr">
        <is>
          <t>31. Retained earnings / accumulated funds</t>
        </is>
      </c>
      <c r="D93" s="8" t="inlineStr">
        <is>
          <t>31E</t>
        </is>
      </c>
      <c r="E93" s="8" t="inlineStr">
        <is>
          <t>part_x_balance_sheet.retained_earnings_eoy</t>
        </is>
      </c>
      <c r="F93" s="8" t="inlineStr">
        <is>
          <t>high</t>
        </is>
      </c>
      <c r="G93" s="9" t="n">
        <v>658759</v>
      </c>
    </row>
    <row r="94">
      <c r="A94" s="8" t="inlineStr">
        <is>
          <t>Balance sheet (detail)</t>
        </is>
      </c>
      <c r="B94" s="8" t="inlineStr">
        <is>
          <t>G16</t>
        </is>
      </c>
      <c r="C94" s="8" t="inlineStr">
        <is>
          <t>31. Retained earnings / accumulated funds</t>
        </is>
      </c>
      <c r="D94" s="8" t="inlineStr">
        <is>
          <t>31E</t>
        </is>
      </c>
      <c r="E94" s="8" t="inlineStr">
        <is>
          <t>part_x_balance_sheet.retained_earnings_eoy</t>
        </is>
      </c>
      <c r="F94" s="8" t="inlineStr">
        <is>
          <t>high</t>
        </is>
      </c>
      <c r="G94" s="9" t="n">
        <v>859864</v>
      </c>
    </row>
    <row r="95">
      <c r="A95" s="8" t="inlineStr">
        <is>
          <t>Net-assets reconciliation</t>
        </is>
      </c>
      <c r="B95" s="8" t="inlineStr">
        <is>
          <t>B7</t>
        </is>
      </c>
      <c r="C95" s="8" t="inlineStr">
        <is>
          <t>4. Net assets, beginning of year</t>
        </is>
      </c>
      <c r="D95" s="8" t="inlineStr">
        <is>
          <t>Part XI line 4</t>
        </is>
      </c>
      <c r="E95" s="8" t="inlineStr">
        <is>
          <t>part_xi_reconciliation.net_assets_boy</t>
        </is>
      </c>
      <c r="F95" s="8" t="inlineStr">
        <is>
          <t>high</t>
        </is>
      </c>
      <c r="G95" s="9" t="n">
        <v>544579</v>
      </c>
    </row>
    <row r="96">
      <c r="A96" s="8" t="inlineStr">
        <is>
          <t>Net-assets reconciliation</t>
        </is>
      </c>
      <c r="B96" s="8" t="inlineStr">
        <is>
          <t>C7</t>
        </is>
      </c>
      <c r="C96" s="8" t="inlineStr">
        <is>
          <t>4. Net assets, beginning of year</t>
        </is>
      </c>
      <c r="D96" s="8" t="inlineStr">
        <is>
          <t>Part XI line 4</t>
        </is>
      </c>
      <c r="E96" s="8" t="inlineStr">
        <is>
          <t>part_xi_reconciliation.net_assets_boy</t>
        </is>
      </c>
      <c r="F96" s="8" t="inlineStr">
        <is>
          <t>high</t>
        </is>
      </c>
      <c r="G96" s="9" t="n">
        <v>555310</v>
      </c>
    </row>
    <row r="97">
      <c r="A97" s="8" t="inlineStr">
        <is>
          <t>Net-assets reconciliation</t>
        </is>
      </c>
      <c r="B97" s="8" t="inlineStr">
        <is>
          <t>D7</t>
        </is>
      </c>
      <c r="C97" s="8" t="inlineStr">
        <is>
          <t>4. Net assets, beginning of year</t>
        </is>
      </c>
      <c r="D97" s="8" t="inlineStr">
        <is>
          <t>Part XI line 4</t>
        </is>
      </c>
      <c r="E97" s="8" t="inlineStr">
        <is>
          <t>part_xi_reconciliation.net_assets_boy</t>
        </is>
      </c>
      <c r="F97" s="8" t="inlineStr">
        <is>
          <t>high</t>
        </is>
      </c>
      <c r="G97" s="9" t="n">
        <v>579212</v>
      </c>
    </row>
    <row r="98">
      <c r="A98" s="8" t="inlineStr">
        <is>
          <t>Net-assets reconciliation</t>
        </is>
      </c>
      <c r="B98" s="8" t="inlineStr">
        <is>
          <t>E7</t>
        </is>
      </c>
      <c r="C98" s="8" t="inlineStr">
        <is>
          <t>4. Net assets, beginning of year</t>
        </is>
      </c>
      <c r="D98" s="8" t="inlineStr">
        <is>
          <t>Part XI line 4</t>
        </is>
      </c>
      <c r="E98" s="8" t="inlineStr">
        <is>
          <t>part_xi_reconciliation.net_assets_boy</t>
        </is>
      </c>
      <c r="F98" s="8" t="inlineStr">
        <is>
          <t>high</t>
        </is>
      </c>
      <c r="G98" s="9" t="n">
        <v>517777</v>
      </c>
    </row>
    <row r="99">
      <c r="A99" s="8" t="inlineStr">
        <is>
          <t>Net-assets reconciliation</t>
        </is>
      </c>
      <c r="B99" s="8" t="inlineStr">
        <is>
          <t>F7</t>
        </is>
      </c>
      <c r="C99" s="8" t="inlineStr">
        <is>
          <t>4. Net assets, beginning of year</t>
        </is>
      </c>
      <c r="D99" s="8" t="inlineStr">
        <is>
          <t>Part XI line 4</t>
        </is>
      </c>
      <c r="E99" s="8" t="inlineStr">
        <is>
          <t>part_xi_reconciliation.net_assets_boy</t>
        </is>
      </c>
      <c r="F99" s="8" t="inlineStr">
        <is>
          <t>high</t>
        </is>
      </c>
      <c r="G99" s="9" t="n">
        <v>522460</v>
      </c>
    </row>
    <row r="100">
      <c r="A100" s="8" t="inlineStr">
        <is>
          <t>Net-assets reconciliation</t>
        </is>
      </c>
      <c r="B100" s="8" t="inlineStr">
        <is>
          <t>G7</t>
        </is>
      </c>
      <c r="C100" s="8" t="inlineStr">
        <is>
          <t>4. Net assets, beginning of year</t>
        </is>
      </c>
      <c r="D100" s="8" t="inlineStr">
        <is>
          <t>Part XI line 4</t>
        </is>
      </c>
      <c r="E100" s="8" t="inlineStr">
        <is>
          <t>part_xi_reconciliation.net_assets_boy</t>
        </is>
      </c>
      <c r="F100" s="8" t="inlineStr">
        <is>
          <t>high</t>
        </is>
      </c>
      <c r="G100" s="9" t="n">
        <v>658759</v>
      </c>
    </row>
    <row r="101">
      <c r="A101" s="8" t="inlineStr">
        <is>
          <t>Net-assets reconciliation</t>
        </is>
      </c>
      <c r="B101" s="8" t="inlineStr">
        <is>
          <t>B8</t>
        </is>
      </c>
      <c r="C101" s="8" t="inlineStr">
        <is>
          <t>3. Revenue less expenses</t>
        </is>
      </c>
      <c r="D101" s="8" t="inlineStr">
        <is>
          <t>Part XI line 3</t>
        </is>
      </c>
      <c r="E101" s="8" t="inlineStr">
        <is>
          <t>part_xi_reconciliation.reconciliation_revenue_expenses</t>
        </is>
      </c>
      <c r="F101" s="8" t="inlineStr">
        <is>
          <t>high</t>
        </is>
      </c>
      <c r="G101" s="9" t="n">
        <v>10131</v>
      </c>
    </row>
    <row r="102">
      <c r="A102" s="8" t="inlineStr">
        <is>
          <t>Net-assets reconciliation</t>
        </is>
      </c>
      <c r="B102" s="8" t="inlineStr">
        <is>
          <t>C8</t>
        </is>
      </c>
      <c r="C102" s="8" t="inlineStr">
        <is>
          <t>3. Revenue less expenses</t>
        </is>
      </c>
      <c r="D102" s="8" t="inlineStr">
        <is>
          <t>Part XI line 3</t>
        </is>
      </c>
      <c r="E102" s="8" t="inlineStr">
        <is>
          <t>part_xi_reconciliation.reconciliation_revenue_expenses</t>
        </is>
      </c>
      <c r="F102" s="8" t="inlineStr">
        <is>
          <t>high</t>
        </is>
      </c>
      <c r="G102" s="9" t="n">
        <v>23602</v>
      </c>
    </row>
    <row r="103">
      <c r="A103" s="8" t="inlineStr">
        <is>
          <t>Net-assets reconciliation</t>
        </is>
      </c>
      <c r="B103" s="8" t="inlineStr">
        <is>
          <t>D8</t>
        </is>
      </c>
      <c r="C103" s="8" t="inlineStr">
        <is>
          <t>3. Revenue less expenses</t>
        </is>
      </c>
      <c r="D103" s="8" t="inlineStr">
        <is>
          <t>Part XI line 3</t>
        </is>
      </c>
      <c r="E103" s="8" t="inlineStr">
        <is>
          <t>part_xi_reconciliation.reconciliation_revenue_expenses</t>
        </is>
      </c>
      <c r="F103" s="8" t="inlineStr">
        <is>
          <t>high</t>
        </is>
      </c>
      <c r="G103" s="9" t="n">
        <v>-58985</v>
      </c>
    </row>
    <row r="104">
      <c r="A104" s="8" t="inlineStr">
        <is>
          <t>Net-assets reconciliation</t>
        </is>
      </c>
      <c r="B104" s="8" t="inlineStr">
        <is>
          <t>E8</t>
        </is>
      </c>
      <c r="C104" s="8" t="inlineStr">
        <is>
          <t>3. Revenue less expenses</t>
        </is>
      </c>
      <c r="D104" s="8" t="inlineStr">
        <is>
          <t>Part XI line 3</t>
        </is>
      </c>
      <c r="E104" s="8" t="inlineStr">
        <is>
          <t>part_xi_reconciliation.reconciliation_revenue_expenses</t>
        </is>
      </c>
      <c r="F104" s="8" t="inlineStr">
        <is>
          <t>high</t>
        </is>
      </c>
      <c r="G104" s="9" t="n">
        <v>4683</v>
      </c>
    </row>
    <row r="105">
      <c r="A105" s="8" t="inlineStr">
        <is>
          <t>Net-assets reconciliation</t>
        </is>
      </c>
      <c r="B105" s="8" t="inlineStr">
        <is>
          <t>F8</t>
        </is>
      </c>
      <c r="C105" s="8" t="inlineStr">
        <is>
          <t>3. Revenue less expenses</t>
        </is>
      </c>
      <c r="D105" s="8" t="inlineStr">
        <is>
          <t>Part XI line 3</t>
        </is>
      </c>
      <c r="E105" s="8" t="inlineStr">
        <is>
          <t>part_xi_reconciliation.reconciliation_revenue_expenses</t>
        </is>
      </c>
      <c r="F105" s="8" t="inlineStr">
        <is>
          <t>high</t>
        </is>
      </c>
      <c r="G105" s="9" t="n">
        <v>136299</v>
      </c>
    </row>
    <row r="106">
      <c r="A106" s="8" t="inlineStr">
        <is>
          <t>Net-assets reconciliation</t>
        </is>
      </c>
      <c r="B106" s="8" t="inlineStr">
        <is>
          <t>G8</t>
        </is>
      </c>
      <c r="C106" s="8" t="inlineStr">
        <is>
          <t>3. Revenue less expenses</t>
        </is>
      </c>
      <c r="D106" s="8" t="inlineStr">
        <is>
          <t>Part XI line 3</t>
        </is>
      </c>
      <c r="E106" s="8" t="inlineStr">
        <is>
          <t>part_xi_reconciliation.reconciliation_revenue_expenses</t>
        </is>
      </c>
      <c r="F106" s="8" t="inlineStr">
        <is>
          <t>high</t>
        </is>
      </c>
      <c r="G106" s="9" t="n">
        <v>201105</v>
      </c>
    </row>
    <row r="107">
      <c r="A107" s="8" t="inlineStr">
        <is>
          <t>Net-assets reconciliation</t>
        </is>
      </c>
      <c r="B107" s="8" t="inlineStr">
        <is>
          <t>B10</t>
        </is>
      </c>
      <c r="C107" s="8" t="inlineStr">
        <is>
          <t>9. Other changes in net assets</t>
        </is>
      </c>
      <c r="D107" s="8" t="inlineStr">
        <is>
          <t>Part XI line 9</t>
        </is>
      </c>
      <c r="E107" s="8" t="inlineStr">
        <is>
          <t>part_xi_reconciliation.other_changes_net_assets</t>
        </is>
      </c>
      <c r="F107" s="8" t="inlineStr">
        <is>
          <t>high</t>
        </is>
      </c>
      <c r="G107" s="9" t="n">
        <v>600</v>
      </c>
    </row>
    <row r="108">
      <c r="A108" s="8" t="inlineStr">
        <is>
          <t>Net-assets reconciliation</t>
        </is>
      </c>
      <c r="B108" s="8" t="inlineStr">
        <is>
          <t>C10</t>
        </is>
      </c>
      <c r="C108" s="8" t="inlineStr">
        <is>
          <t>9. Other changes in net assets</t>
        </is>
      </c>
      <c r="D108" s="8" t="inlineStr">
        <is>
          <t>Part XI line 9</t>
        </is>
      </c>
      <c r="E108" s="8" t="inlineStr">
        <is>
          <t>part_xi_reconciliation.other_changes_net_assets</t>
        </is>
      </c>
      <c r="F108" s="8" t="inlineStr">
        <is>
          <t>high</t>
        </is>
      </c>
      <c r="G108" s="9" t="n">
        <v>300</v>
      </c>
    </row>
    <row r="109">
      <c r="A109" s="8" t="inlineStr">
        <is>
          <t>Net-assets reconciliation</t>
        </is>
      </c>
      <c r="B109" s="8" t="inlineStr">
        <is>
          <t>D10</t>
        </is>
      </c>
      <c r="C109" s="8" t="inlineStr">
        <is>
          <t>9. Other changes in net assets</t>
        </is>
      </c>
      <c r="D109" s="8" t="inlineStr">
        <is>
          <t>Part XI line 9</t>
        </is>
      </c>
      <c r="E109" s="8" t="inlineStr">
        <is>
          <t>part_xi_reconciliation.other_changes_net_assets</t>
        </is>
      </c>
      <c r="F109" s="8" t="inlineStr">
        <is>
          <t>high</t>
        </is>
      </c>
      <c r="G109" s="9" t="n">
        <v>-2450</v>
      </c>
    </row>
    <row r="110">
      <c r="A110" s="8" t="inlineStr">
        <is>
          <t>Net-assets reconciliation</t>
        </is>
      </c>
      <c r="B110" s="8" t="inlineStr">
        <is>
          <t>E10</t>
        </is>
      </c>
      <c r="C110" s="8" t="inlineStr">
        <is>
          <t>9. Other changes in net assets</t>
        </is>
      </c>
      <c r="D110" s="8" t="inlineStr">
        <is>
          <t>Part XI line 9</t>
        </is>
      </c>
      <c r="E110" s="8" t="inlineStr">
        <is>
          <t>part_xi_reconciliation.other_changes_net_assets</t>
        </is>
      </c>
      <c r="F110" s="8" t="inlineStr">
        <is>
          <t>high</t>
        </is>
      </c>
      <c r="G110" s="9" t="n">
        <v>0</v>
      </c>
    </row>
    <row r="111">
      <c r="A111" s="8" t="inlineStr">
        <is>
          <t>Net-assets reconciliation</t>
        </is>
      </c>
      <c r="B111" s="8" t="inlineStr">
        <is>
          <t>F10</t>
        </is>
      </c>
      <c r="C111" s="8" t="inlineStr">
        <is>
          <t>9. Other changes in net assets</t>
        </is>
      </c>
      <c r="D111" s="8" t="inlineStr">
        <is>
          <t>Part XI line 9</t>
        </is>
      </c>
      <c r="E111" s="8" t="inlineStr">
        <is>
          <t>part_xi_reconciliation.other_changes_net_assets</t>
        </is>
      </c>
      <c r="F111" s="8" t="inlineStr">
        <is>
          <t>high</t>
        </is>
      </c>
      <c r="G111" s="9" t="n">
        <v>0</v>
      </c>
    </row>
    <row r="112">
      <c r="A112" s="8" t="inlineStr">
        <is>
          <t>Net-assets reconciliation</t>
        </is>
      </c>
      <c r="B112" s="8" t="inlineStr">
        <is>
          <t>G10</t>
        </is>
      </c>
      <c r="C112" s="8" t="inlineStr">
        <is>
          <t>9. Other changes in net assets</t>
        </is>
      </c>
      <c r="D112" s="8" t="inlineStr">
        <is>
          <t>Part XI line 9</t>
        </is>
      </c>
      <c r="E112" s="8" t="inlineStr">
        <is>
          <t>part_xi_reconciliation.other_changes_net_assets</t>
        </is>
      </c>
      <c r="F112" s="8" t="inlineStr">
        <is>
          <t>high</t>
        </is>
      </c>
      <c r="G112" s="9" t="n">
        <v>0</v>
      </c>
    </row>
    <row r="114">
      <c r="A114" s="31" t="inlineStr">
        <is>
          <t>C. Tie-out checks (filed vs computed; any nonzero variance is flagged red)</t>
        </is>
      </c>
      <c r="B114" s="7" t="n"/>
      <c r="C114" s="7" t="n"/>
      <c r="D114" s="7" t="n"/>
      <c r="E114" s="7" t="n"/>
      <c r="F114" s="7" t="n"/>
      <c r="G114" s="7" t="n"/>
      <c r="H114" s="7" t="n"/>
      <c r="I114" s="7" t="n"/>
      <c r="J114" s="7" t="n"/>
      <c r="K114" s="7" t="n"/>
    </row>
    <row r="115">
      <c r="A115" s="5" t="inlineStr">
        <is>
          <t>Tab</t>
        </is>
      </c>
      <c r="B115" s="5" t="inlineStr">
        <is>
          <t>Check</t>
        </is>
      </c>
      <c r="C115" s="5" t="inlineStr">
        <is>
          <t>Fiscal year</t>
        </is>
      </c>
      <c r="D115" s="5" t="inlineStr">
        <is>
          <t>Filed</t>
        </is>
      </c>
      <c r="E115" s="5" t="inlineStr">
        <is>
          <t>Computed</t>
        </is>
      </c>
      <c r="F115" s="5" t="inlineStr">
        <is>
          <t>Variance (computed - filed)</t>
        </is>
      </c>
    </row>
    <row r="116">
      <c r="A116" s="18" t="inlineStr">
        <is>
          <t>Revenue (detail)</t>
        </is>
      </c>
      <c r="B116" s="18" t="inlineStr">
        <is>
          <t>12. Total revenue</t>
        </is>
      </c>
      <c r="C116" s="18" t="inlineStr">
        <is>
          <t>FY2020</t>
        </is>
      </c>
      <c r="D116" s="9" t="n">
        <v>218111</v>
      </c>
      <c r="E116" s="9">
        <f>'Revenue (detail)'!B13</f>
        <v/>
      </c>
      <c r="F116" s="9">
        <f>E116-D116</f>
        <v/>
      </c>
    </row>
    <row r="117">
      <c r="A117" s="18" t="inlineStr">
        <is>
          <t>Revenue (detail)</t>
        </is>
      </c>
      <c r="B117" s="18" t="inlineStr">
        <is>
          <t>12. Total revenue</t>
        </is>
      </c>
      <c r="C117" s="18" t="inlineStr">
        <is>
          <t>FY2021</t>
        </is>
      </c>
      <c r="D117" s="9" t="n">
        <v>248246</v>
      </c>
      <c r="E117" s="9">
        <f>'Revenue (detail)'!C13</f>
        <v/>
      </c>
      <c r="F117" s="9">
        <f>E117-D117</f>
        <v/>
      </c>
    </row>
    <row r="118">
      <c r="A118" s="18" t="inlineStr">
        <is>
          <t>Revenue (detail)</t>
        </is>
      </c>
      <c r="B118" s="18" t="inlineStr">
        <is>
          <t>12. Total revenue</t>
        </is>
      </c>
      <c r="C118" s="18" t="inlineStr">
        <is>
          <t>FY2022</t>
        </is>
      </c>
      <c r="D118" s="9" t="n">
        <v>213691</v>
      </c>
      <c r="E118" s="9">
        <f>'Revenue (detail)'!D13</f>
        <v/>
      </c>
      <c r="F118" s="9">
        <f>E118-D118</f>
        <v/>
      </c>
    </row>
    <row r="119">
      <c r="A119" s="18" t="inlineStr">
        <is>
          <t>Revenue (detail)</t>
        </is>
      </c>
      <c r="B119" s="18" t="inlineStr">
        <is>
          <t>12. Total revenue</t>
        </is>
      </c>
      <c r="C119" s="18" t="inlineStr">
        <is>
          <t>FY2023</t>
        </is>
      </c>
      <c r="D119" s="9" t="n">
        <v>248919</v>
      </c>
      <c r="E119" s="9">
        <f>'Revenue (detail)'!E13</f>
        <v/>
      </c>
      <c r="F119" s="9">
        <f>E119-D119</f>
        <v/>
      </c>
    </row>
    <row r="120">
      <c r="A120" s="18" t="inlineStr">
        <is>
          <t>Revenue (detail)</t>
        </is>
      </c>
      <c r="B120" s="18" t="inlineStr">
        <is>
          <t>12. Total revenue</t>
        </is>
      </c>
      <c r="C120" s="18" t="inlineStr">
        <is>
          <t>FY2024</t>
        </is>
      </c>
      <c r="D120" s="9" t="n">
        <v>413938</v>
      </c>
      <c r="E120" s="9">
        <f>'Revenue (detail)'!F13</f>
        <v/>
      </c>
      <c r="F120" s="9">
        <f>E120-D120</f>
        <v/>
      </c>
    </row>
    <row r="121">
      <c r="A121" s="18" t="inlineStr">
        <is>
          <t>Revenue (detail)</t>
        </is>
      </c>
      <c r="B121" s="18" t="inlineStr">
        <is>
          <t>12. Total revenue</t>
        </is>
      </c>
      <c r="C121" s="18" t="inlineStr">
        <is>
          <t>FY2025</t>
        </is>
      </c>
      <c r="D121" s="9" t="n">
        <v>546703</v>
      </c>
      <c r="E121" s="9">
        <f>'Revenue (detail)'!G13</f>
        <v/>
      </c>
      <c r="F121" s="9">
        <f>E121-D121</f>
        <v/>
      </c>
    </row>
    <row r="122">
      <c r="A122" s="18" t="inlineStr">
        <is>
          <t>Revenue (detail)</t>
        </is>
      </c>
      <c r="B122" s="18" t="inlineStr">
        <is>
          <t>2g program service revenue = sum of lines 2a-2f (FY2025)</t>
        </is>
      </c>
      <c r="C122" s="18" t="inlineStr">
        <is>
          <t>FY2025</t>
        </is>
      </c>
      <c r="D122" s="9" t="n">
        <v>540118</v>
      </c>
      <c r="E122" s="9">
        <f>SUM('Revenue (detail)'!C17:C18)</f>
        <v/>
      </c>
      <c r="F122" s="9">
        <f>E122-D122</f>
        <v/>
      </c>
    </row>
    <row r="123">
      <c r="A123" s="18" t="inlineStr">
        <is>
          <t>Operating expenses (detail)</t>
        </is>
      </c>
      <c r="B123" s="18" t="inlineStr">
        <is>
          <t>25. Total functional expenses</t>
        </is>
      </c>
      <c r="C123" s="18" t="inlineStr">
        <is>
          <t>FY2020</t>
        </is>
      </c>
      <c r="D123" s="9" t="n">
        <v>207980</v>
      </c>
      <c r="E123" s="9">
        <f>'Operating expenses (detail)'!B18</f>
        <v/>
      </c>
      <c r="F123" s="9">
        <f>E123-D123</f>
        <v/>
      </c>
    </row>
    <row r="124">
      <c r="A124" s="18" t="inlineStr">
        <is>
          <t>Operating expenses (detail)</t>
        </is>
      </c>
      <c r="B124" s="18" t="inlineStr">
        <is>
          <t>25. Total functional expenses</t>
        </is>
      </c>
      <c r="C124" s="18" t="inlineStr">
        <is>
          <t>FY2021</t>
        </is>
      </c>
      <c r="D124" s="9" t="n">
        <v>224644</v>
      </c>
      <c r="E124" s="9">
        <f>'Operating expenses (detail)'!C18</f>
        <v/>
      </c>
      <c r="F124" s="9">
        <f>E124-D124</f>
        <v/>
      </c>
    </row>
    <row r="125">
      <c r="A125" s="18" t="inlineStr">
        <is>
          <t>Operating expenses (detail)</t>
        </is>
      </c>
      <c r="B125" s="18" t="inlineStr">
        <is>
          <t>25. Total functional expenses</t>
        </is>
      </c>
      <c r="C125" s="18" t="inlineStr">
        <is>
          <t>FY2022</t>
        </is>
      </c>
      <c r="D125" s="9" t="n">
        <v>272676</v>
      </c>
      <c r="E125" s="9">
        <f>'Operating expenses (detail)'!D18</f>
        <v/>
      </c>
      <c r="F125" s="9">
        <f>E125-D125</f>
        <v/>
      </c>
    </row>
    <row r="126">
      <c r="A126" s="18" t="inlineStr">
        <is>
          <t>Operating expenses (detail)</t>
        </is>
      </c>
      <c r="B126" s="18" t="inlineStr">
        <is>
          <t>25. Total functional expenses</t>
        </is>
      </c>
      <c r="C126" s="18" t="inlineStr">
        <is>
          <t>FY2023</t>
        </is>
      </c>
      <c r="D126" s="9" t="n">
        <v>244236</v>
      </c>
      <c r="E126" s="9">
        <f>'Operating expenses (detail)'!E18</f>
        <v/>
      </c>
      <c r="F126" s="9">
        <f>E126-D126</f>
        <v/>
      </c>
    </row>
    <row r="127">
      <c r="A127" s="18" t="inlineStr">
        <is>
          <t>Operating expenses (detail)</t>
        </is>
      </c>
      <c r="B127" s="18" t="inlineStr">
        <is>
          <t>25. Total functional expenses</t>
        </is>
      </c>
      <c r="C127" s="18" t="inlineStr">
        <is>
          <t>FY2024</t>
        </is>
      </c>
      <c r="D127" s="9" t="n">
        <v>277639</v>
      </c>
      <c r="E127" s="9">
        <f>'Operating expenses (detail)'!F18</f>
        <v/>
      </c>
      <c r="F127" s="9">
        <f>E127-D127</f>
        <v/>
      </c>
    </row>
    <row r="128">
      <c r="A128" s="18" t="inlineStr">
        <is>
          <t>Operating expenses (detail)</t>
        </is>
      </c>
      <c r="B128" s="18" t="inlineStr">
        <is>
          <t>25. Total functional expenses</t>
        </is>
      </c>
      <c r="C128" s="18" t="inlineStr">
        <is>
          <t>FY2025</t>
        </is>
      </c>
      <c r="D128" s="9" t="n">
        <v>345598</v>
      </c>
      <c r="E128" s="9">
        <f>'Operating expenses (detail)'!G18</f>
        <v/>
      </c>
      <c r="F128" s="9">
        <f>E128-D128</f>
        <v/>
      </c>
    </row>
    <row r="129">
      <c r="A129" s="18" t="inlineStr">
        <is>
          <t>Operating expenses (detail)</t>
        </is>
      </c>
      <c r="B129" s="18" t="inlineStr">
        <is>
          <t>Part IX column split: col A = B + C + D (FY2025)</t>
        </is>
      </c>
      <c r="C129" s="18" t="inlineStr">
        <is>
          <t>FY2025</t>
        </is>
      </c>
      <c r="D129" s="9">
        <f>'Operating expenses (detail)'!B27</f>
        <v/>
      </c>
      <c r="E129" s="9">
        <f>'Operating expenses (detail)'!C27+'Operating expenses (detail)'!D27+'Operating expenses (detail)'!E27</f>
        <v/>
      </c>
      <c r="F129" s="9">
        <f>E129-D129</f>
        <v/>
      </c>
    </row>
    <row r="130">
      <c r="A130" s="18" t="inlineStr">
        <is>
          <t>Balance sheet (detail)</t>
        </is>
      </c>
      <c r="B130" s="18" t="inlineStr">
        <is>
          <t>16. Total assets</t>
        </is>
      </c>
      <c r="C130" s="18" t="inlineStr">
        <is>
          <t>FY2020</t>
        </is>
      </c>
      <c r="D130" s="9" t="n">
        <v>555310</v>
      </c>
      <c r="E130" s="9">
        <f>'Balance sheet (detail)'!B10</f>
        <v/>
      </c>
      <c r="F130" s="9">
        <f>E130-D130</f>
        <v/>
      </c>
    </row>
    <row r="131">
      <c r="A131" s="18" t="inlineStr">
        <is>
          <t>Balance sheet (detail)</t>
        </is>
      </c>
      <c r="B131" s="18" t="inlineStr">
        <is>
          <t>16. Total assets</t>
        </is>
      </c>
      <c r="C131" s="18" t="inlineStr">
        <is>
          <t>FY2021</t>
        </is>
      </c>
      <c r="D131" s="9" t="n">
        <v>579212</v>
      </c>
      <c r="E131" s="9">
        <f>'Balance sheet (detail)'!C10</f>
        <v/>
      </c>
      <c r="F131" s="9">
        <f>E131-D131</f>
        <v/>
      </c>
    </row>
    <row r="132">
      <c r="A132" s="18" t="inlineStr">
        <is>
          <t>Balance sheet (detail)</t>
        </is>
      </c>
      <c r="B132" s="18" t="inlineStr">
        <is>
          <t>16. Total assets</t>
        </is>
      </c>
      <c r="C132" s="18" t="inlineStr">
        <is>
          <t>FY2022</t>
        </is>
      </c>
      <c r="D132" s="9" t="n">
        <v>517777</v>
      </c>
      <c r="E132" s="9">
        <f>'Balance sheet (detail)'!D10</f>
        <v/>
      </c>
      <c r="F132" s="9">
        <f>E132-D132</f>
        <v/>
      </c>
    </row>
    <row r="133">
      <c r="A133" s="18" t="inlineStr">
        <is>
          <t>Balance sheet (detail)</t>
        </is>
      </c>
      <c r="B133" s="18" t="inlineStr">
        <is>
          <t>16. Total assets</t>
        </is>
      </c>
      <c r="C133" s="18" t="inlineStr">
        <is>
          <t>FY2023</t>
        </is>
      </c>
      <c r="D133" s="9" t="n">
        <v>522460</v>
      </c>
      <c r="E133" s="9">
        <f>'Balance sheet (detail)'!E10</f>
        <v/>
      </c>
      <c r="F133" s="9">
        <f>E133-D133</f>
        <v/>
      </c>
    </row>
    <row r="134">
      <c r="A134" s="18" t="inlineStr">
        <is>
          <t>Balance sheet (detail)</t>
        </is>
      </c>
      <c r="B134" s="18" t="inlineStr">
        <is>
          <t>16. Total assets</t>
        </is>
      </c>
      <c r="C134" s="18" t="inlineStr">
        <is>
          <t>FY2024</t>
        </is>
      </c>
      <c r="D134" s="9" t="n">
        <v>658759</v>
      </c>
      <c r="E134" s="9">
        <f>'Balance sheet (detail)'!F10</f>
        <v/>
      </c>
      <c r="F134" s="9">
        <f>E134-D134</f>
        <v/>
      </c>
    </row>
    <row r="135">
      <c r="A135" s="18" t="inlineStr">
        <is>
          <t>Balance sheet (detail)</t>
        </is>
      </c>
      <c r="B135" s="18" t="inlineStr">
        <is>
          <t>16. Total assets</t>
        </is>
      </c>
      <c r="C135" s="18" t="inlineStr">
        <is>
          <t>FY2025</t>
        </is>
      </c>
      <c r="D135" s="9" t="n">
        <v>859864</v>
      </c>
      <c r="E135" s="9">
        <f>'Balance sheet (detail)'!G10</f>
        <v/>
      </c>
      <c r="F135" s="9">
        <f>E135-D135</f>
        <v/>
      </c>
    </row>
    <row r="136">
      <c r="A136" s="18" t="inlineStr">
        <is>
          <t>Balance sheet (detail)</t>
        </is>
      </c>
      <c r="B136" s="18" t="inlineStr">
        <is>
          <t>26. Total liabilities</t>
        </is>
      </c>
      <c r="C136" s="18" t="inlineStr">
        <is>
          <t>FY2020</t>
        </is>
      </c>
      <c r="D136" s="9" t="n">
        <v>0</v>
      </c>
      <c r="E136" s="9">
        <f>'Balance sheet (detail)'!B13</f>
        <v/>
      </c>
      <c r="F136" s="9">
        <f>E136-D136</f>
        <v/>
      </c>
    </row>
    <row r="137">
      <c r="A137" s="18" t="inlineStr">
        <is>
          <t>Balance sheet (detail)</t>
        </is>
      </c>
      <c r="B137" s="18" t="inlineStr">
        <is>
          <t>26. Total liabilities</t>
        </is>
      </c>
      <c r="C137" s="18" t="inlineStr">
        <is>
          <t>FY2021</t>
        </is>
      </c>
      <c r="D137" s="9" t="n">
        <v>0</v>
      </c>
      <c r="E137" s="9">
        <f>'Balance sheet (detail)'!C13</f>
        <v/>
      </c>
      <c r="F137" s="9">
        <f>E137-D137</f>
        <v/>
      </c>
    </row>
    <row r="138">
      <c r="A138" s="18" t="inlineStr">
        <is>
          <t>Balance sheet (detail)</t>
        </is>
      </c>
      <c r="B138" s="18" t="inlineStr">
        <is>
          <t>26. Total liabilities</t>
        </is>
      </c>
      <c r="C138" s="18" t="inlineStr">
        <is>
          <t>FY2022</t>
        </is>
      </c>
      <c r="D138" s="9" t="n">
        <v>0</v>
      </c>
      <c r="E138" s="9">
        <f>'Balance sheet (detail)'!D13</f>
        <v/>
      </c>
      <c r="F138" s="9">
        <f>E138-D138</f>
        <v/>
      </c>
    </row>
    <row r="139">
      <c r="A139" s="18" t="inlineStr">
        <is>
          <t>Balance sheet (detail)</t>
        </is>
      </c>
      <c r="B139" s="18" t="inlineStr">
        <is>
          <t>26. Total liabilities</t>
        </is>
      </c>
      <c r="C139" s="18" t="inlineStr">
        <is>
          <t>FY2023</t>
        </is>
      </c>
      <c r="D139" s="9" t="n">
        <v>0</v>
      </c>
      <c r="E139" s="9">
        <f>'Balance sheet (detail)'!E13</f>
        <v/>
      </c>
      <c r="F139" s="9">
        <f>E139-D139</f>
        <v/>
      </c>
    </row>
    <row r="140">
      <c r="A140" s="18" t="inlineStr">
        <is>
          <t>Balance sheet (detail)</t>
        </is>
      </c>
      <c r="B140" s="18" t="inlineStr">
        <is>
          <t>26. Total liabilities</t>
        </is>
      </c>
      <c r="C140" s="18" t="inlineStr">
        <is>
          <t>FY2024</t>
        </is>
      </c>
      <c r="D140" s="9" t="n">
        <v>0</v>
      </c>
      <c r="E140" s="9">
        <f>'Balance sheet (detail)'!F13</f>
        <v/>
      </c>
      <c r="F140" s="9">
        <f>E140-D140</f>
        <v/>
      </c>
    </row>
    <row r="141">
      <c r="A141" s="18" t="inlineStr">
        <is>
          <t>Balance sheet (detail)</t>
        </is>
      </c>
      <c r="B141" s="18" t="inlineStr">
        <is>
          <t>26. Total liabilities</t>
        </is>
      </c>
      <c r="C141" s="18" t="inlineStr">
        <is>
          <t>FY2025</t>
        </is>
      </c>
      <c r="D141" s="9" t="n">
        <v>0</v>
      </c>
      <c r="E141" s="9">
        <f>'Balance sheet (detail)'!G13</f>
        <v/>
      </c>
      <c r="F141" s="9">
        <f>E141-D141</f>
        <v/>
      </c>
    </row>
    <row r="142">
      <c r="A142" s="18" t="inlineStr">
        <is>
          <t>Balance sheet (detail)</t>
        </is>
      </c>
      <c r="B142" s="18" t="inlineStr">
        <is>
          <t>32. Total net assets / fund balances</t>
        </is>
      </c>
      <c r="C142" s="18" t="inlineStr">
        <is>
          <t>FY2020</t>
        </is>
      </c>
      <c r="D142" s="9" t="n">
        <v>555310</v>
      </c>
      <c r="E142" s="9">
        <f>'Balance sheet (detail)'!B17</f>
        <v/>
      </c>
      <c r="F142" s="9">
        <f>E142-D142</f>
        <v/>
      </c>
    </row>
    <row r="143">
      <c r="A143" s="18" t="inlineStr">
        <is>
          <t>Balance sheet (detail)</t>
        </is>
      </c>
      <c r="B143" s="18" t="inlineStr">
        <is>
          <t>32. Total net assets / fund balances</t>
        </is>
      </c>
      <c r="C143" s="18" t="inlineStr">
        <is>
          <t>FY2021</t>
        </is>
      </c>
      <c r="D143" s="9" t="n">
        <v>579212</v>
      </c>
      <c r="E143" s="9">
        <f>'Balance sheet (detail)'!C17</f>
        <v/>
      </c>
      <c r="F143" s="9">
        <f>E143-D143</f>
        <v/>
      </c>
    </row>
    <row r="144">
      <c r="A144" s="18" t="inlineStr">
        <is>
          <t>Balance sheet (detail)</t>
        </is>
      </c>
      <c r="B144" s="18" t="inlineStr">
        <is>
          <t>32. Total net assets / fund balances</t>
        </is>
      </c>
      <c r="C144" s="18" t="inlineStr">
        <is>
          <t>FY2022</t>
        </is>
      </c>
      <c r="D144" s="9" t="n">
        <v>517777</v>
      </c>
      <c r="E144" s="9">
        <f>'Balance sheet (detail)'!D17</f>
        <v/>
      </c>
      <c r="F144" s="9">
        <f>E144-D144</f>
        <v/>
      </c>
    </row>
    <row r="145">
      <c r="A145" s="18" t="inlineStr">
        <is>
          <t>Balance sheet (detail)</t>
        </is>
      </c>
      <c r="B145" s="18" t="inlineStr">
        <is>
          <t>32. Total net assets / fund balances</t>
        </is>
      </c>
      <c r="C145" s="18" t="inlineStr">
        <is>
          <t>FY2023</t>
        </is>
      </c>
      <c r="D145" s="9" t="n">
        <v>522460</v>
      </c>
      <c r="E145" s="9">
        <f>'Balance sheet (detail)'!E17</f>
        <v/>
      </c>
      <c r="F145" s="9">
        <f>E145-D145</f>
        <v/>
      </c>
    </row>
    <row r="146">
      <c r="A146" s="18" t="inlineStr">
        <is>
          <t>Balance sheet (detail)</t>
        </is>
      </c>
      <c r="B146" s="18" t="inlineStr">
        <is>
          <t>32. Total net assets / fund balances</t>
        </is>
      </c>
      <c r="C146" s="18" t="inlineStr">
        <is>
          <t>FY2024</t>
        </is>
      </c>
      <c r="D146" s="9" t="n">
        <v>658759</v>
      </c>
      <c r="E146" s="9">
        <f>'Balance sheet (detail)'!F17</f>
        <v/>
      </c>
      <c r="F146" s="9">
        <f>E146-D146</f>
        <v/>
      </c>
    </row>
    <row r="147">
      <c r="A147" s="18" t="inlineStr">
        <is>
          <t>Balance sheet (detail)</t>
        </is>
      </c>
      <c r="B147" s="18" t="inlineStr">
        <is>
          <t>32. Total net assets / fund balances</t>
        </is>
      </c>
      <c r="C147" s="18" t="inlineStr">
        <is>
          <t>FY2025</t>
        </is>
      </c>
      <c r="D147" s="9" t="n">
        <v>859864</v>
      </c>
      <c r="E147" s="9">
        <f>'Balance sheet (detail)'!G17</f>
        <v/>
      </c>
      <c r="F147" s="9">
        <f>E147-D147</f>
        <v/>
      </c>
    </row>
    <row r="148">
      <c r="A148" s="18" t="inlineStr">
        <is>
          <t>Balance sheet (detail)</t>
        </is>
      </c>
      <c r="B148" s="18" t="inlineStr">
        <is>
          <t>Balance sheet identity: line 16 = line 26 + line 32 (EOY)</t>
        </is>
      </c>
      <c r="C148" s="18" t="inlineStr">
        <is>
          <t>FY2020</t>
        </is>
      </c>
      <c r="D148" s="9">
        <f>'Balance sheet (detail)'!B10</f>
        <v/>
      </c>
      <c r="E148" s="9">
        <f>SUM('Balance sheet (detail)'!B13,'Balance sheet (detail)'!B17)</f>
        <v/>
      </c>
      <c r="F148" s="9">
        <f>E148-D148</f>
        <v/>
      </c>
    </row>
    <row r="149">
      <c r="A149" s="18" t="inlineStr">
        <is>
          <t>Balance sheet (detail)</t>
        </is>
      </c>
      <c r="B149" s="18" t="inlineStr">
        <is>
          <t>Balance sheet identity: line 16 = line 26 + line 32 (EOY)</t>
        </is>
      </c>
      <c r="C149" s="18" t="inlineStr">
        <is>
          <t>FY2021</t>
        </is>
      </c>
      <c r="D149" s="9">
        <f>'Balance sheet (detail)'!C10</f>
        <v/>
      </c>
      <c r="E149" s="9">
        <f>SUM('Balance sheet (detail)'!C13,'Balance sheet (detail)'!C17)</f>
        <v/>
      </c>
      <c r="F149" s="9">
        <f>E149-D149</f>
        <v/>
      </c>
    </row>
    <row r="150">
      <c r="A150" s="18" t="inlineStr">
        <is>
          <t>Balance sheet (detail)</t>
        </is>
      </c>
      <c r="B150" s="18" t="inlineStr">
        <is>
          <t>Balance sheet identity: line 16 = line 26 + line 32 (EOY)</t>
        </is>
      </c>
      <c r="C150" s="18" t="inlineStr">
        <is>
          <t>FY2022</t>
        </is>
      </c>
      <c r="D150" s="9">
        <f>'Balance sheet (detail)'!D10</f>
        <v/>
      </c>
      <c r="E150" s="9">
        <f>SUM('Balance sheet (detail)'!D13,'Balance sheet (detail)'!D17)</f>
        <v/>
      </c>
      <c r="F150" s="9">
        <f>E150-D150</f>
        <v/>
      </c>
    </row>
    <row r="151">
      <c r="A151" s="18" t="inlineStr">
        <is>
          <t>Balance sheet (detail)</t>
        </is>
      </c>
      <c r="B151" s="18" t="inlineStr">
        <is>
          <t>Balance sheet identity: line 16 = line 26 + line 32 (EOY)</t>
        </is>
      </c>
      <c r="C151" s="18" t="inlineStr">
        <is>
          <t>FY2023</t>
        </is>
      </c>
      <c r="D151" s="9">
        <f>'Balance sheet (detail)'!E10</f>
        <v/>
      </c>
      <c r="E151" s="9">
        <f>SUM('Balance sheet (detail)'!E13,'Balance sheet (detail)'!E17)</f>
        <v/>
      </c>
      <c r="F151" s="9">
        <f>E151-D151</f>
        <v/>
      </c>
    </row>
    <row r="152">
      <c r="A152" s="18" t="inlineStr">
        <is>
          <t>Balance sheet (detail)</t>
        </is>
      </c>
      <c r="B152" s="18" t="inlineStr">
        <is>
          <t>Balance sheet identity: line 16 = line 26 + line 32 (EOY)</t>
        </is>
      </c>
      <c r="C152" s="18" t="inlineStr">
        <is>
          <t>FY2024</t>
        </is>
      </c>
      <c r="D152" s="9">
        <f>'Balance sheet (detail)'!F10</f>
        <v/>
      </c>
      <c r="E152" s="9">
        <f>SUM('Balance sheet (detail)'!F13,'Balance sheet (detail)'!F17)</f>
        <v/>
      </c>
      <c r="F152" s="9">
        <f>E152-D152</f>
        <v/>
      </c>
    </row>
    <row r="153">
      <c r="A153" s="18" t="inlineStr">
        <is>
          <t>Balance sheet (detail)</t>
        </is>
      </c>
      <c r="B153" s="18" t="inlineStr">
        <is>
          <t>Balance sheet identity: line 16 = line 26 + line 32 (EOY)</t>
        </is>
      </c>
      <c r="C153" s="18" t="inlineStr">
        <is>
          <t>FY2025</t>
        </is>
      </c>
      <c r="D153" s="9">
        <f>'Balance sheet (detail)'!G10</f>
        <v/>
      </c>
      <c r="E153" s="9">
        <f>SUM('Balance sheet (detail)'!G13,'Balance sheet (detail)'!G17)</f>
        <v/>
      </c>
      <c r="F153" s="9">
        <f>E153-D153</f>
        <v/>
      </c>
    </row>
    <row r="154">
      <c r="A154" s="18" t="inlineStr">
        <is>
          <t>Net-assets reconciliation</t>
        </is>
      </c>
      <c r="B154" s="18" t="inlineStr">
        <is>
          <t>10. Net assets, end of year</t>
        </is>
      </c>
      <c r="C154" s="18" t="inlineStr">
        <is>
          <t>FY2020</t>
        </is>
      </c>
      <c r="D154" s="9" t="n">
        <v>555310</v>
      </c>
      <c r="E154" s="9">
        <f>'Net-assets reconciliation'!B11</f>
        <v/>
      </c>
      <c r="F154" s="9">
        <f>E154-D154</f>
        <v/>
      </c>
    </row>
    <row r="155">
      <c r="A155" s="18" t="inlineStr">
        <is>
          <t>Net-assets reconciliation</t>
        </is>
      </c>
      <c r="B155" s="18" t="inlineStr">
        <is>
          <t>10. Net assets, end of year</t>
        </is>
      </c>
      <c r="C155" s="18" t="inlineStr">
        <is>
          <t>FY2021</t>
        </is>
      </c>
      <c r="D155" s="9" t="n">
        <v>579212</v>
      </c>
      <c r="E155" s="9">
        <f>'Net-assets reconciliation'!C11</f>
        <v/>
      </c>
      <c r="F155" s="9">
        <f>E155-D155</f>
        <v/>
      </c>
    </row>
    <row r="156">
      <c r="A156" s="18" t="inlineStr">
        <is>
          <t>Net-assets reconciliation</t>
        </is>
      </c>
      <c r="B156" s="18" t="inlineStr">
        <is>
          <t>10. Net assets, end of year</t>
        </is>
      </c>
      <c r="C156" s="18" t="inlineStr">
        <is>
          <t>FY2022</t>
        </is>
      </c>
      <c r="D156" s="9" t="n">
        <v>517777</v>
      </c>
      <c r="E156" s="9">
        <f>'Net-assets reconciliation'!D11</f>
        <v/>
      </c>
      <c r="F156" s="9">
        <f>E156-D156</f>
        <v/>
      </c>
    </row>
    <row r="157">
      <c r="A157" s="18" t="inlineStr">
        <is>
          <t>Net-assets reconciliation</t>
        </is>
      </c>
      <c r="B157" s="18" t="inlineStr">
        <is>
          <t>10. Net assets, end of year</t>
        </is>
      </c>
      <c r="C157" s="18" t="inlineStr">
        <is>
          <t>FY2023</t>
        </is>
      </c>
      <c r="D157" s="9" t="n">
        <v>522460</v>
      </c>
      <c r="E157" s="9">
        <f>'Net-assets reconciliation'!E11</f>
        <v/>
      </c>
      <c r="F157" s="9">
        <f>E157-D157</f>
        <v/>
      </c>
    </row>
    <row r="158">
      <c r="A158" s="18" t="inlineStr">
        <is>
          <t>Net-assets reconciliation</t>
        </is>
      </c>
      <c r="B158" s="18" t="inlineStr">
        <is>
          <t>10. Net assets, end of year</t>
        </is>
      </c>
      <c r="C158" s="18" t="inlineStr">
        <is>
          <t>FY2024</t>
        </is>
      </c>
      <c r="D158" s="9" t="n">
        <v>658759</v>
      </c>
      <c r="E158" s="9">
        <f>'Net-assets reconciliation'!F11</f>
        <v/>
      </c>
      <c r="F158" s="9">
        <f>E158-D158</f>
        <v/>
      </c>
    </row>
    <row r="159">
      <c r="A159" s="18" t="inlineStr">
        <is>
          <t>Net-assets reconciliation</t>
        </is>
      </c>
      <c r="B159" s="18" t="inlineStr">
        <is>
          <t>10. Net assets, end of year</t>
        </is>
      </c>
      <c r="C159" s="18" t="inlineStr">
        <is>
          <t>FY2025</t>
        </is>
      </c>
      <c r="D159" s="9" t="n">
        <v>859864</v>
      </c>
      <c r="E159" s="9">
        <f>'Net-assets reconciliation'!G11</f>
        <v/>
      </c>
      <c r="F159" s="9">
        <f>E159-D159</f>
        <v/>
      </c>
    </row>
    <row r="161">
      <c r="A161" s="31" t="inlineStr">
        <is>
          <t>D. Preparer / auditor trail (one row per fiscal year, as filed)</t>
        </is>
      </c>
      <c r="B161" s="7" t="n"/>
      <c r="C161" s="7" t="n"/>
      <c r="D161" s="7" t="n"/>
      <c r="E161" s="7" t="n"/>
      <c r="F161" s="7" t="n"/>
      <c r="G161" s="7" t="n"/>
      <c r="H161" s="7" t="n"/>
      <c r="I161" s="7" t="n"/>
      <c r="J161" s="7" t="n"/>
      <c r="K161" s="7" t="n"/>
    </row>
    <row r="162">
      <c r="A162" s="5" t="inlineStr">
        <is>
          <t>Fiscal year</t>
        </is>
      </c>
      <c r="B162" s="5" t="inlineStr">
        <is>
          <t>Paid preparer</t>
        </is>
      </c>
      <c r="C162" s="5" t="inlineStr">
        <is>
          <t>Preparer firm</t>
        </is>
      </c>
      <c r="D162" s="5" t="inlineStr">
        <is>
          <t>Independent auditor</t>
        </is>
      </c>
      <c r="E162" s="5" t="inlineStr">
        <is>
          <t>Citation</t>
        </is>
      </c>
    </row>
    <row r="163" ht="42" customHeight="1">
      <c r="A163" s="32" t="inlineStr">
        <is>
          <t>FY2020</t>
        </is>
      </c>
      <c r="B163" s="8" t="inlineStr">
        <is>
          <t>Daniel Johnson</t>
        </is>
      </c>
      <c r="C163" s="8" t="inlineStr">
        <is>
          <t>Johnson &amp; Johnson CPAs</t>
        </is>
      </c>
      <c r="D163" s="35" t="inlineStr">
        <is>
          <t>not reported</t>
        </is>
      </c>
      <c r="E163" s="23" t="inlineStr">
        <is>
          <t>Form 990 Return Header, Paid Preparer block (return_header.preparer_person_name / preparer_firm_name); auditor: Part XII line 2 reports audited financial statements but does not name the firm.</t>
        </is>
      </c>
    </row>
    <row r="164" ht="42" customHeight="1">
      <c r="A164" s="32" t="inlineStr">
        <is>
          <t>FY2021</t>
        </is>
      </c>
      <c r="B164" s="8" t="inlineStr">
        <is>
          <t>Brooke Blunt</t>
        </is>
      </c>
      <c r="C164" s="8" t="inlineStr">
        <is>
          <t>JOHNSON &amp; JOHNSON CPAs</t>
        </is>
      </c>
      <c r="D164" s="35" t="inlineStr">
        <is>
          <t>not reported</t>
        </is>
      </c>
      <c r="E164" s="23" t="inlineStr">
        <is>
          <t>Form 990 Return Header, Paid Preparer block (return_header.preparer_person_name / preparer_firm_name); auditor: Part XII line 2 reports audited financial statements but does not name the firm.</t>
        </is>
      </c>
    </row>
    <row r="165" ht="42" customHeight="1">
      <c r="A165" s="32" t="inlineStr">
        <is>
          <t>FY2022</t>
        </is>
      </c>
      <c r="B165" s="8" t="inlineStr">
        <is>
          <t>Daniel Johnson</t>
        </is>
      </c>
      <c r="C165" s="8" t="inlineStr">
        <is>
          <t>JOHNSON &amp; JOHNSON CPAs</t>
        </is>
      </c>
      <c r="D165" s="35" t="inlineStr">
        <is>
          <t>not reported</t>
        </is>
      </c>
      <c r="E165" s="23" t="inlineStr">
        <is>
          <t>Form 990 Return Header, Paid Preparer block (return_header.preparer_person_name / preparer_firm_name); auditor: Part XII line 2 reports audited financial statements but does not name the firm.</t>
        </is>
      </c>
    </row>
    <row r="166" ht="42" customHeight="1">
      <c r="A166" s="32" t="inlineStr">
        <is>
          <t>FY2023</t>
        </is>
      </c>
      <c r="B166" s="8" t="inlineStr">
        <is>
          <t>Daniel Johnson</t>
        </is>
      </c>
      <c r="C166" s="8" t="inlineStr">
        <is>
          <t>JOHNSON &amp; JOHNSON CPAs</t>
        </is>
      </c>
      <c r="D166" s="35" t="inlineStr">
        <is>
          <t>not reported</t>
        </is>
      </c>
      <c r="E166" s="23" t="inlineStr">
        <is>
          <t>Form 990 Return Header, Paid Preparer block (return_header.preparer_person_name / preparer_firm_name); auditor: Part XII line 2 reports audited financial statements but does not name the firm.</t>
        </is>
      </c>
    </row>
    <row r="167" ht="42" customHeight="1">
      <c r="A167" s="32" t="inlineStr">
        <is>
          <t>FY2024</t>
        </is>
      </c>
      <c r="B167" s="8" t="inlineStr">
        <is>
          <t>DANIEL JOHNSON</t>
        </is>
      </c>
      <c r="C167" s="8" t="inlineStr">
        <is>
          <t>JOHNSON &amp; JOHNSON CPAs</t>
        </is>
      </c>
      <c r="D167" s="35" t="inlineStr">
        <is>
          <t>not reported</t>
        </is>
      </c>
      <c r="E167" s="23" t="inlineStr">
        <is>
          <t>Form 990 Return Header, Paid Preparer block (return_header.preparer_person_name / preparer_firm_name); auditor: Part XII line 2 reports audited financial statements but does not name the firm.</t>
        </is>
      </c>
    </row>
    <row r="168" ht="42" customHeight="1">
      <c r="A168" s="32" t="inlineStr">
        <is>
          <t>FY2025</t>
        </is>
      </c>
      <c r="B168" s="8" t="inlineStr">
        <is>
          <t>DANIEL JOHNSON</t>
        </is>
      </c>
      <c r="C168" s="8" t="inlineStr">
        <is>
          <t>JOHNSON &amp; JOHNSON CPAs</t>
        </is>
      </c>
      <c r="D168" s="35" t="inlineStr">
        <is>
          <t>not reported</t>
        </is>
      </c>
      <c r="E168" s="23" t="inlineStr">
        <is>
          <t>Form 990 Return Header, Paid Preparer block (return_header.preparer_person_name / preparer_firm_name); auditor: Part XII line 2 reports audited financial statements but does not name the firm.</t>
        </is>
      </c>
    </row>
    <row r="170" ht="42" customHeight="1">
      <c r="A17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70:K170"/>
    <mergeCell ref="A5:K5"/>
    <mergeCell ref="A1:K1"/>
  </mergeCells>
  <conditionalFormatting sqref="F116:F159">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