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0">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s>
  <fills count="6">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5" fillId="3" borderId="0" applyAlignment="1" pivotButton="0" quotePrefix="0" xfId="0">
      <alignment horizontal="left"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Gill Creek Mutual Water Company</t>
        </is>
      </c>
    </row>
    <row r="2">
      <c r="A2" s="2" t="inlineStr">
        <is>
          <t>Financial Summary - multi-year overview (USD)</t>
        </is>
      </c>
    </row>
    <row r="3">
      <c r="A3" s="2" t="inlineStr">
        <is>
          <t>Entity ID: cawc_0169   |   Fiscal year ends March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110719</v>
      </c>
      <c r="C10" s="9" t="n">
        <v>125848</v>
      </c>
      <c r="D10" s="9" t="n">
        <v>97371</v>
      </c>
      <c r="E10" s="9" t="n">
        <v>112625</v>
      </c>
      <c r="F10" s="9" t="n">
        <v>181936</v>
      </c>
      <c r="G10" s="9" t="n">
        <v>229871</v>
      </c>
    </row>
    <row r="11">
      <c r="A11" s="8" t="inlineStr">
        <is>
          <t xml:space="preserve">    Total expenses</t>
        </is>
      </c>
      <c r="B11" s="9" t="n">
        <v>95430</v>
      </c>
      <c r="C11" s="9" t="n">
        <v>91118</v>
      </c>
      <c r="D11" s="9" t="n">
        <v>94853</v>
      </c>
      <c r="E11" s="9" t="n">
        <v>106792</v>
      </c>
      <c r="F11" s="9" t="n">
        <v>117392</v>
      </c>
      <c r="G11" s="9" t="n">
        <v>168998</v>
      </c>
    </row>
    <row r="12">
      <c r="A12" s="10" t="inlineStr">
        <is>
          <t xml:space="preserve">    Net income</t>
        </is>
      </c>
      <c r="B12" s="11" t="n">
        <v>15289</v>
      </c>
      <c r="C12" s="11" t="n">
        <v>34730</v>
      </c>
      <c r="D12" s="11" t="n">
        <v>2518</v>
      </c>
      <c r="E12" s="11" t="n">
        <v>5833</v>
      </c>
      <c r="F12" s="11" t="n">
        <v>64544</v>
      </c>
      <c r="G12" s="11" t="n">
        <v>60873</v>
      </c>
    </row>
    <row r="14">
      <c r="A14" s="6" t="inlineStr">
        <is>
          <t>Financial position (USD, end of year)</t>
        </is>
      </c>
      <c r="B14" s="7" t="n"/>
      <c r="C14" s="7" t="n"/>
      <c r="D14" s="7" t="n"/>
      <c r="E14" s="7" t="n"/>
      <c r="F14" s="7" t="n"/>
      <c r="G14" s="7" t="n"/>
    </row>
    <row r="15">
      <c r="A15" s="8" t="inlineStr">
        <is>
          <t xml:space="preserve">    Total assets</t>
        </is>
      </c>
      <c r="B15" s="9" t="n">
        <v>358188</v>
      </c>
      <c r="C15" s="9" t="n">
        <v>400288</v>
      </c>
      <c r="D15" s="9" t="n">
        <v>388220</v>
      </c>
      <c r="E15" s="9" t="n">
        <v>391676</v>
      </c>
      <c r="F15" s="9" t="n">
        <v>457171</v>
      </c>
      <c r="G15" s="9" t="n">
        <v>517817</v>
      </c>
    </row>
    <row r="16">
      <c r="A16" s="8" t="inlineStr">
        <is>
          <t xml:space="preserve">    Total liabilities</t>
        </is>
      </c>
      <c r="B16" s="9" t="n">
        <v>13034</v>
      </c>
      <c r="C16" s="9" t="n">
        <v>20404</v>
      </c>
      <c r="D16" s="9" t="n">
        <v>5818</v>
      </c>
      <c r="E16" s="9" t="n">
        <v>3441</v>
      </c>
      <c r="F16" s="9" t="n">
        <v>4392</v>
      </c>
      <c r="G16" s="9" t="n">
        <v>4165</v>
      </c>
    </row>
    <row r="17">
      <c r="A17" s="10" t="inlineStr">
        <is>
          <t xml:space="preserve">    Net assets</t>
        </is>
      </c>
      <c r="B17" s="11" t="n">
        <v>345154</v>
      </c>
      <c r="C17" s="11" t="n">
        <v>379884</v>
      </c>
      <c r="D17" s="11" t="n">
        <v>382402</v>
      </c>
      <c r="E17" s="11" t="n">
        <v>388235</v>
      </c>
      <c r="F17" s="11" t="n">
        <v>452779</v>
      </c>
      <c r="G17" s="11" t="n">
        <v>513652</v>
      </c>
    </row>
    <row r="19">
      <c r="A19" s="6" t="inlineStr">
        <is>
          <t>Headline ratios</t>
        </is>
      </c>
      <c r="B19" s="7" t="n"/>
      <c r="C19" s="7" t="n"/>
      <c r="D19" s="7" t="n"/>
      <c r="E19" s="7" t="n"/>
      <c r="F19" s="7" t="n"/>
      <c r="G19" s="7" t="n"/>
    </row>
    <row r="20">
      <c r="A20" s="8" t="inlineStr">
        <is>
          <t xml:space="preserve">    Operating margin</t>
        </is>
      </c>
      <c r="B20" s="12" t="n">
        <v>0.1380883136589023</v>
      </c>
      <c r="C20" s="12" t="n">
        <v>0.275967834212701</v>
      </c>
      <c r="D20" s="12" t="n">
        <v>0.02585985560382455</v>
      </c>
      <c r="E20" s="12" t="n">
        <v>0.05179134295227525</v>
      </c>
      <c r="F20" s="12" t="n">
        <v>0.3547621141500308</v>
      </c>
      <c r="G20" s="12" t="n">
        <v>0.2648137433604065</v>
      </c>
    </row>
    <row r="21">
      <c r="A21" s="8" t="inlineStr">
        <is>
          <t xml:space="preserve">    Revenue growth (YoY)</t>
        </is>
      </c>
      <c r="B21" s="12" t="n"/>
      <c r="C21" s="12" t="n"/>
      <c r="D21" s="12" t="n"/>
      <c r="E21" s="12" t="n"/>
      <c r="F21" s="12" t="n"/>
      <c r="G21" s="12" t="n"/>
    </row>
    <row r="22">
      <c r="A22" s="8" t="inlineStr">
        <is>
          <t xml:space="preserve">    Return on assets</t>
        </is>
      </c>
      <c r="B22" s="12" t="n">
        <v>0.04268428869755547</v>
      </c>
      <c r="C22" s="12" t="n">
        <v>0.08676253097769605</v>
      </c>
      <c r="D22" s="12" t="n">
        <v>0.006486013085363969</v>
      </c>
      <c r="E22" s="12" t="n">
        <v>0.0148924110744595</v>
      </c>
      <c r="F22" s="12" t="n">
        <v>0.1411813085256939</v>
      </c>
      <c r="G22" s="12" t="n">
        <v>0.1175569747613539</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Gill Creek Mutual Water Company</t>
        </is>
      </c>
    </row>
    <row r="2">
      <c r="A2" s="2" t="inlineStr">
        <is>
          <t>Financial Statements - income statement, balance sheet, cash flow, member income test (USD)</t>
        </is>
      </c>
    </row>
    <row r="3">
      <c r="A3" s="2" t="inlineStr">
        <is>
          <t>Entity ID: cawc_0169   |   Fiscal year ends March 31.</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c r="C8" s="9" t="n"/>
      <c r="D8" s="9" t="n"/>
      <c r="E8" s="9" t="n"/>
      <c r="F8" s="9" t="n"/>
      <c r="G8" s="9" t="n">
        <v>173093</v>
      </c>
    </row>
    <row r="9">
      <c r="A9" s="8" t="inlineStr">
        <is>
          <t xml:space="preserve">    Investment income</t>
        </is>
      </c>
      <c r="B9" s="9" t="n"/>
      <c r="C9" s="9" t="n"/>
      <c r="D9" s="9" t="n"/>
      <c r="E9" s="9" t="n"/>
      <c r="F9" s="9" t="n"/>
      <c r="G9" s="9" t="n">
        <v>8778</v>
      </c>
    </row>
    <row r="10">
      <c r="A10" s="8" t="inlineStr">
        <is>
          <t xml:space="preserve">    Net rental income</t>
        </is>
      </c>
      <c r="B10" s="9" t="n"/>
      <c r="C10" s="9" t="n"/>
      <c r="D10" s="9" t="n"/>
      <c r="E10" s="9" t="n"/>
      <c r="F10" s="9" t="n"/>
      <c r="G10" s="9" t="n"/>
    </row>
    <row r="11">
      <c r="A11" s="8" t="inlineStr">
        <is>
          <t xml:space="preserve">    Net gain/(loss) on investment sales</t>
        </is>
      </c>
      <c r="B11" s="9" t="n"/>
      <c r="C11" s="9" t="n"/>
      <c r="D11" s="9" t="n"/>
      <c r="E11" s="9" t="n"/>
      <c r="F11" s="9" t="n"/>
      <c r="G11" s="9" t="n"/>
    </row>
    <row r="12">
      <c r="A12" s="8" t="inlineStr">
        <is>
          <t xml:space="preserve">    Other revenue</t>
        </is>
      </c>
      <c r="B12" s="9" t="n"/>
      <c r="C12" s="9" t="n"/>
      <c r="D12" s="9" t="n"/>
      <c r="E12" s="9" t="n"/>
      <c r="F12" s="9" t="n"/>
      <c r="G12" s="9" t="n">
        <v>48000</v>
      </c>
    </row>
    <row r="13">
      <c r="A13" s="8" t="inlineStr">
        <is>
          <t xml:space="preserve">    Contributions &amp; grants</t>
        </is>
      </c>
      <c r="B13" s="9" t="n"/>
      <c r="C13" s="9" t="n"/>
      <c r="D13" s="9" t="n"/>
      <c r="E13" s="9" t="n"/>
      <c r="F13" s="9" t="n"/>
      <c r="G13" s="9" t="n"/>
    </row>
    <row r="14">
      <c r="A14" s="10" t="inlineStr">
        <is>
          <t>Total revenue</t>
        </is>
      </c>
      <c r="B14" s="11" t="n"/>
      <c r="C14" s="11" t="n"/>
      <c r="D14" s="11" t="n"/>
      <c r="E14" s="11" t="n"/>
      <c r="F14" s="11" t="n"/>
      <c r="G14" s="11" t="n">
        <v>229871</v>
      </c>
    </row>
    <row r="16">
      <c r="A16" s="6" t="inlineStr">
        <is>
          <t>Expenses</t>
        </is>
      </c>
      <c r="B16" s="7" t="n"/>
      <c r="C16" s="7" t="n"/>
      <c r="D16" s="7" t="n"/>
      <c r="E16" s="7" t="n"/>
      <c r="F16" s="7" t="n"/>
      <c r="G16" s="7" t="n"/>
    </row>
    <row r="17">
      <c r="A17" s="8" t="inlineStr">
        <is>
          <t xml:space="preserve">    Depreciation</t>
        </is>
      </c>
      <c r="B17" s="9" t="n"/>
      <c r="C17" s="9" t="n"/>
      <c r="D17" s="9" t="n"/>
      <c r="E17" s="9" t="n"/>
      <c r="F17" s="9" t="n"/>
      <c r="G17" s="9" t="n">
        <v>21771</v>
      </c>
    </row>
    <row r="18">
      <c r="A18" s="8" t="inlineStr">
        <is>
          <t xml:space="preserve">    Interest expense</t>
        </is>
      </c>
      <c r="B18" s="9" t="n"/>
      <c r="C18" s="9" t="n"/>
      <c r="D18" s="9" t="n"/>
      <c r="E18" s="9" t="n"/>
      <c r="F18" s="9" t="n"/>
      <c r="G18" s="9" t="n"/>
    </row>
    <row r="19">
      <c r="A19" s="10" t="inlineStr">
        <is>
          <t>Total expenses</t>
        </is>
      </c>
      <c r="B19" s="11" t="n">
        <v>95430</v>
      </c>
      <c r="C19" s="11" t="n">
        <v>91118</v>
      </c>
      <c r="D19" s="11" t="n">
        <v>94853</v>
      </c>
      <c r="E19" s="11" t="n">
        <v>106792</v>
      </c>
      <c r="F19" s="11" t="n">
        <v>117392</v>
      </c>
      <c r="G19" s="11" t="n">
        <v>168998</v>
      </c>
    </row>
    <row r="21">
      <c r="A21" s="10" t="inlineStr">
        <is>
          <t>Net income</t>
        </is>
      </c>
      <c r="B21" s="11" t="n">
        <v>15289</v>
      </c>
      <c r="C21" s="11" t="n">
        <v>34730</v>
      </c>
      <c r="D21" s="11" t="n">
        <v>2518</v>
      </c>
      <c r="E21" s="11" t="n">
        <v>5833</v>
      </c>
      <c r="F21" s="11" t="n">
        <v>64544</v>
      </c>
      <c r="G21" s="11" t="n">
        <v>60873</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131133</v>
      </c>
      <c r="C27" s="9" t="n">
        <v>167698</v>
      </c>
      <c r="D27" s="9" t="n">
        <v>165039</v>
      </c>
      <c r="E27" s="9" t="n">
        <v>151017</v>
      </c>
      <c r="F27" s="9" t="n">
        <v>156349</v>
      </c>
      <c r="G27" s="9" t="n">
        <v>27524</v>
      </c>
    </row>
    <row r="28">
      <c r="A28" s="8" t="inlineStr">
        <is>
          <t xml:space="preserve">    Savings &amp; temporary investments</t>
        </is>
      </c>
      <c r="B28" s="9" t="n"/>
      <c r="C28" s="9" t="n"/>
      <c r="D28" s="9" t="n"/>
      <c r="E28" s="9" t="n"/>
      <c r="F28" s="9" t="n"/>
      <c r="G28" s="9" t="n">
        <v>198416</v>
      </c>
    </row>
    <row r="29">
      <c r="A29" s="8" t="inlineStr">
        <is>
          <t xml:space="preserve">    Accounts receivable</t>
        </is>
      </c>
      <c r="B29" s="9" t="n"/>
      <c r="C29" s="9" t="n"/>
      <c r="D29" s="9" t="n"/>
      <c r="E29" s="9" t="n"/>
      <c r="F29" s="9" t="n"/>
      <c r="G29" s="9" t="n">
        <v>-4005</v>
      </c>
    </row>
    <row r="30">
      <c r="A30" s="8" t="inlineStr">
        <is>
          <t xml:space="preserve">    Inventories</t>
        </is>
      </c>
      <c r="B30" s="9" t="n"/>
      <c r="C30" s="9" t="n"/>
      <c r="D30" s="9" t="n"/>
      <c r="E30" s="9" t="n"/>
      <c r="F30" s="9" t="n"/>
      <c r="G30" s="9" t="n"/>
    </row>
    <row r="31">
      <c r="A31" s="8" t="inlineStr">
        <is>
          <t xml:space="preserve">    Prepaid expenses</t>
        </is>
      </c>
      <c r="B31" s="9" t="n"/>
      <c r="C31" s="9" t="n"/>
      <c r="D31" s="9" t="n"/>
      <c r="E31" s="9" t="n"/>
      <c r="F31" s="9" t="n"/>
      <c r="G31" s="9" t="n">
        <v>56000</v>
      </c>
    </row>
    <row r="32">
      <c r="A32" s="8" t="inlineStr">
        <is>
          <t xml:space="preserve">    Property, plant &amp; equipment (gross)</t>
        </is>
      </c>
      <c r="B32" s="9" t="n"/>
      <c r="C32" s="9" t="n"/>
      <c r="D32" s="9" t="n"/>
      <c r="E32" s="9" t="n"/>
      <c r="F32" s="9" t="n"/>
      <c r="G32" s="9" t="n">
        <v>513616</v>
      </c>
    </row>
    <row r="33">
      <c r="A33" s="8" t="inlineStr">
        <is>
          <t xml:space="preserve">    Less: accumulated depreciation</t>
        </is>
      </c>
      <c r="B33" s="9" t="n"/>
      <c r="C33" s="9" t="n"/>
      <c r="D33" s="9" t="n"/>
      <c r="E33" s="9" t="n"/>
      <c r="F33" s="9" t="n"/>
      <c r="G33" s="9" t="n">
        <v>-282782</v>
      </c>
    </row>
    <row r="34">
      <c r="A34" s="10" t="inlineStr">
        <is>
          <t xml:space="preserve">    Net property, plant &amp; equipment</t>
        </is>
      </c>
      <c r="B34" s="11" t="n">
        <v>171055</v>
      </c>
      <c r="C34" s="11" t="n">
        <v>82701</v>
      </c>
      <c r="D34" s="11" t="n">
        <v>80597</v>
      </c>
      <c r="E34" s="11" t="n"/>
      <c r="F34" s="11" t="n"/>
      <c r="G34" s="11" t="n">
        <v>230834</v>
      </c>
    </row>
    <row r="35">
      <c r="A35" s="10" t="inlineStr">
        <is>
          <t>Total assets</t>
        </is>
      </c>
      <c r="B35" s="11" t="n">
        <v>358188</v>
      </c>
      <c r="C35" s="11" t="n">
        <v>400288</v>
      </c>
      <c r="D35" s="11" t="n">
        <v>388220</v>
      </c>
      <c r="E35" s="11" t="n">
        <v>391676</v>
      </c>
      <c r="F35" s="11" t="n">
        <v>457171</v>
      </c>
      <c r="G35" s="11" t="n">
        <v>517817</v>
      </c>
    </row>
    <row r="37">
      <c r="A37" s="6" t="inlineStr">
        <is>
          <t>Liabilities</t>
        </is>
      </c>
      <c r="B37" s="7" t="n"/>
      <c r="C37" s="7" t="n"/>
      <c r="D37" s="7" t="n"/>
      <c r="E37" s="7" t="n"/>
      <c r="F37" s="7" t="n"/>
      <c r="G37" s="7" t="n"/>
    </row>
    <row r="38">
      <c r="A38" s="8" t="inlineStr">
        <is>
          <t xml:space="preserve">    Accounts payable</t>
        </is>
      </c>
      <c r="B38" s="9" t="n"/>
      <c r="C38" s="9" t="n"/>
      <c r="D38" s="9" t="n"/>
      <c r="E38" s="9" t="n"/>
      <c r="F38" s="9" t="n"/>
      <c r="G38" s="9" t="n"/>
    </row>
    <row r="39">
      <c r="A39" s="8" t="inlineStr">
        <is>
          <t xml:space="preserve">    Mortgages &amp; notes payable</t>
        </is>
      </c>
      <c r="B39" s="9" t="n"/>
      <c r="C39" s="9" t="n"/>
      <c r="D39" s="9" t="n"/>
      <c r="E39" s="9" t="n"/>
      <c r="F39" s="9" t="n"/>
      <c r="G39" s="9" t="n"/>
    </row>
    <row r="40">
      <c r="A40" s="10" t="inlineStr">
        <is>
          <t>Total liabilities</t>
        </is>
      </c>
      <c r="B40" s="11" t="n">
        <v>13034</v>
      </c>
      <c r="C40" s="11" t="n">
        <v>20404</v>
      </c>
      <c r="D40" s="11" t="n">
        <v>5818</v>
      </c>
      <c r="E40" s="11" t="n">
        <v>3441</v>
      </c>
      <c r="F40" s="11" t="n">
        <v>4392</v>
      </c>
      <c r="G40" s="11" t="n">
        <v>4165</v>
      </c>
    </row>
    <row r="42">
      <c r="A42" s="6" t="inlineStr">
        <is>
          <t>Net Assets / Equity</t>
        </is>
      </c>
      <c r="B42" s="7" t="n"/>
      <c r="C42" s="7" t="n"/>
      <c r="D42" s="7" t="n"/>
      <c r="E42" s="7" t="n"/>
      <c r="F42" s="7" t="n"/>
      <c r="G42" s="7" t="n"/>
    </row>
    <row r="43">
      <c r="A43" s="8" t="inlineStr">
        <is>
          <t xml:space="preserve">    Capital stock</t>
        </is>
      </c>
      <c r="B43" s="9" t="n"/>
      <c r="C43" s="9" t="n"/>
      <c r="D43" s="9" t="n"/>
      <c r="E43" s="9" t="n"/>
      <c r="F43" s="9" t="n"/>
      <c r="G43" s="9" t="n">
        <v>13080</v>
      </c>
    </row>
    <row r="44">
      <c r="A44" s="8" t="inlineStr">
        <is>
          <t xml:space="preserve">    Paid-in capital</t>
        </is>
      </c>
      <c r="B44" s="9" t="n"/>
      <c r="C44" s="9" t="n"/>
      <c r="D44" s="9" t="n"/>
      <c r="E44" s="9" t="n"/>
      <c r="F44" s="9" t="n"/>
      <c r="G44" s="9" t="n">
        <v>187100</v>
      </c>
    </row>
    <row r="45">
      <c r="A45" s="8" t="inlineStr">
        <is>
          <t xml:space="preserve">    Retained earnings</t>
        </is>
      </c>
      <c r="B45" s="9" t="n"/>
      <c r="C45" s="9" t="n"/>
      <c r="D45" s="9" t="n"/>
      <c r="E45" s="9" t="n"/>
      <c r="F45" s="9" t="n"/>
      <c r="G45" s="9" t="n">
        <v>313472</v>
      </c>
    </row>
    <row r="46">
      <c r="A46" s="10" t="inlineStr">
        <is>
          <t>Net assets</t>
        </is>
      </c>
      <c r="B46" s="11" t="n">
        <v>345154</v>
      </c>
      <c r="C46" s="11" t="n">
        <v>379884</v>
      </c>
      <c r="D46" s="11" t="n">
        <v>382402</v>
      </c>
      <c r="E46" s="11" t="n">
        <v>388235</v>
      </c>
      <c r="F46" s="11" t="n">
        <v>452779</v>
      </c>
      <c r="G46" s="11" t="n">
        <v>513652</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15289</v>
      </c>
      <c r="C52" s="9" t="n">
        <v>34730</v>
      </c>
      <c r="D52" s="9" t="n">
        <v>2518</v>
      </c>
      <c r="E52" s="9" t="n">
        <v>5833</v>
      </c>
      <c r="F52" s="9" t="n">
        <v>64544</v>
      </c>
      <c r="G52" s="9" t="n">
        <v>60873</v>
      </c>
    </row>
    <row r="53">
      <c r="A53" s="8" t="inlineStr">
        <is>
          <t xml:space="preserve">    + Depreciation (reported)</t>
        </is>
      </c>
      <c r="B53" s="9" t="n"/>
      <c r="C53" s="9" t="n"/>
      <c r="D53" s="9" t="n"/>
      <c r="E53" s="9" t="n"/>
      <c r="F53" s="9" t="n"/>
      <c r="G53" s="9" t="n">
        <v>21771</v>
      </c>
    </row>
    <row r="54">
      <c r="A54" s="8" t="inlineStr">
        <is>
          <t xml:space="preserve">    − Δ Accounts receivable</t>
        </is>
      </c>
      <c r="B54" s="9" t="n"/>
      <c r="C54" s="9" t="n"/>
      <c r="D54" s="9" t="n"/>
      <c r="E54" s="9" t="n"/>
      <c r="F54" s="9" t="n"/>
      <c r="G54" s="9" t="n"/>
    </row>
    <row r="55">
      <c r="A55" s="8" t="inlineStr">
        <is>
          <t xml:space="preserve">    − Δ Inventories</t>
        </is>
      </c>
      <c r="B55" s="9" t="n"/>
      <c r="C55" s="9" t="n"/>
      <c r="D55" s="9" t="n"/>
      <c r="E55" s="9" t="n"/>
      <c r="F55" s="9" t="n"/>
      <c r="G55" s="9" t="n"/>
    </row>
    <row r="56">
      <c r="A56" s="8" t="inlineStr">
        <is>
          <t xml:space="preserve">    − Δ Prepaid expenses</t>
        </is>
      </c>
      <c r="B56" s="9" t="n"/>
      <c r="C56" s="9" t="n"/>
      <c r="D56" s="9" t="n"/>
      <c r="E56" s="9" t="n"/>
      <c r="F56" s="9" t="n"/>
      <c r="G56" s="9" t="n"/>
    </row>
    <row r="57">
      <c r="A57" s="8" t="inlineStr">
        <is>
          <t xml:space="preserve">    + Δ Accounts payable</t>
        </is>
      </c>
      <c r="B57" s="9" t="n"/>
      <c r="C57" s="9" t="n"/>
      <c r="D57" s="9" t="n"/>
      <c r="E57" s="9" t="n"/>
      <c r="F57" s="9" t="n"/>
      <c r="G57" s="9" t="n"/>
    </row>
    <row r="58">
      <c r="A58" s="10" t="inlineStr">
        <is>
          <t xml:space="preserve">    Operating cash flow proxy</t>
        </is>
      </c>
      <c r="B58" s="11" t="n"/>
      <c r="C58" s="11" t="n">
        <v>34730</v>
      </c>
      <c r="D58" s="11" t="n">
        <v>2518</v>
      </c>
      <c r="E58" s="11" t="n">
        <v>5833</v>
      </c>
      <c r="F58" s="11" t="n">
        <v>64544</v>
      </c>
      <c r="G58" s="11" t="n">
        <v>82644</v>
      </c>
    </row>
    <row r="60">
      <c r="A60" s="6" t="inlineStr">
        <is>
          <t>Investing</t>
        </is>
      </c>
      <c r="B60" s="7" t="n"/>
      <c r="C60" s="7" t="n"/>
      <c r="D60" s="7" t="n"/>
      <c r="E60" s="7" t="n"/>
      <c r="F60" s="7" t="n"/>
      <c r="G60" s="7" t="n"/>
    </row>
    <row r="61">
      <c r="A61" s="8" t="inlineStr">
        <is>
          <t xml:space="preserve">    − Δ PP&amp;E gross (capex proxy)</t>
        </is>
      </c>
      <c r="B61" s="9" t="n"/>
      <c r="C61" s="9" t="n"/>
      <c r="D61" s="9" t="n"/>
      <c r="E61" s="9" t="n"/>
      <c r="F61" s="9" t="n"/>
      <c r="G61" s="9" t="n"/>
    </row>
    <row r="63">
      <c r="A63" s="6" t="inlineStr">
        <is>
          <t>Financing</t>
        </is>
      </c>
      <c r="B63" s="7" t="n"/>
      <c r="C63" s="7" t="n"/>
      <c r="D63" s="7" t="n"/>
      <c r="E63" s="7" t="n"/>
      <c r="F63" s="7" t="n"/>
      <c r="G63" s="7" t="n"/>
    </row>
    <row r="64">
      <c r="A64" s="8" t="inlineStr">
        <is>
          <t xml:space="preserve">    Δ Mortgages &amp; notes payable</t>
        </is>
      </c>
      <c r="B64" s="9" t="n"/>
      <c r="C64" s="9" t="n"/>
      <c r="D64" s="9" t="n"/>
      <c r="E64" s="9" t="n"/>
      <c r="F64" s="9" t="n"/>
      <c r="G64" s="9" t="n"/>
    </row>
    <row r="66">
      <c r="A66" s="6" t="inlineStr">
        <is>
          <t>Reconciliation</t>
        </is>
      </c>
      <c r="B66" s="7" t="n"/>
      <c r="C66" s="7" t="n"/>
      <c r="D66" s="7" t="n"/>
      <c r="E66" s="7" t="n"/>
      <c r="F66" s="7" t="n"/>
      <c r="G66" s="7" t="n"/>
    </row>
    <row r="67">
      <c r="A67" s="10" t="inlineStr">
        <is>
          <t xml:space="preserve">    Δ Cash + temp. investments (actual)</t>
        </is>
      </c>
      <c r="B67" s="11" t="n"/>
      <c r="C67" s="11" t="n">
        <v>36565</v>
      </c>
      <c r="D67" s="11" t="n">
        <v>-2659</v>
      </c>
      <c r="E67" s="11" t="n">
        <v>-14022</v>
      </c>
      <c r="F67" s="11" t="n">
        <v>5332</v>
      </c>
      <c r="G67" s="11" t="n">
        <v>69591</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c r="G71" s="7" t="n"/>
    </row>
    <row r="72">
      <c r="A72" s="4" t="inlineStr">
        <is>
          <t>Part V line 11</t>
        </is>
      </c>
      <c r="B72" s="5" t="inlineStr">
        <is>
          <t>FY2025</t>
        </is>
      </c>
    </row>
    <row r="73">
      <c r="A73" s="8" t="inlineStr">
        <is>
          <t xml:space="preserve">    11a. Gross income from members or shareholders</t>
        </is>
      </c>
      <c r="B73" s="14" t="inlineStr">
        <is>
          <t>not reported</t>
        </is>
      </c>
    </row>
    <row r="74">
      <c r="A74" s="8" t="inlineStr">
        <is>
          <t xml:space="preserve">    11b. Gross income from other sources</t>
        </is>
      </c>
      <c r="B74" s="14" t="inlineStr">
        <is>
          <t>not reported</t>
        </is>
      </c>
    </row>
    <row r="75">
      <c r="A75" s="15" t="inlineStr">
        <is>
          <t>Total gross income (11a + 11b)</t>
        </is>
      </c>
      <c r="B75" s="16">
        <f>SUM(B73,B74)</f>
        <v/>
      </c>
    </row>
    <row r="76">
      <c r="A76" s="15" t="inlineStr">
        <is>
          <t>Member income share (11a / total)</t>
        </is>
      </c>
      <c r="B76" s="17">
        <f>IF(B75=0,"",B73/B75)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1:G1"/>
    <mergeCell ref="A3:G3"/>
    <mergeCell ref="A69:G69"/>
    <mergeCell ref="A78:G78"/>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Gill Creek Mutual Water Company</t>
        </is>
      </c>
    </row>
    <row r="2">
      <c r="A2" s="2" t="inlineStr">
        <is>
          <t>Balance Sheet - as reported (USD, end of year)</t>
        </is>
      </c>
    </row>
    <row r="3">
      <c r="A3" s="2" t="inlineStr">
        <is>
          <t>Entity ID: cawc_0169   |   Fiscal year ends March 31.</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131133</v>
      </c>
      <c r="C7" s="9" t="n">
        <v>167698</v>
      </c>
      <c r="D7" s="9" t="n">
        <v>165039</v>
      </c>
      <c r="E7" s="9" t="n">
        <v>151017</v>
      </c>
      <c r="F7" s="9" t="n">
        <v>156349</v>
      </c>
      <c r="G7" s="9" t="n">
        <v>27524</v>
      </c>
    </row>
    <row r="8">
      <c r="A8" s="8" t="inlineStr">
        <is>
          <t xml:space="preserve">    Savings &amp; temporary investments</t>
        </is>
      </c>
      <c r="B8" s="9" t="n"/>
      <c r="C8" s="9" t="n"/>
      <c r="D8" s="9" t="n"/>
      <c r="E8" s="9" t="n"/>
      <c r="F8" s="9" t="n"/>
      <c r="G8" s="9" t="n">
        <v>198416</v>
      </c>
    </row>
    <row r="9">
      <c r="A9" s="8" t="inlineStr">
        <is>
          <t xml:space="preserve">    Accounts receivable</t>
        </is>
      </c>
      <c r="B9" s="9" t="n"/>
      <c r="C9" s="9" t="n"/>
      <c r="D9" s="9" t="n"/>
      <c r="E9" s="9" t="n"/>
      <c r="F9" s="9" t="n"/>
      <c r="G9" s="9" t="n">
        <v>-4005</v>
      </c>
    </row>
    <row r="10">
      <c r="A10" s="8" t="inlineStr">
        <is>
          <t xml:space="preserve">    Inventories</t>
        </is>
      </c>
      <c r="B10" s="9" t="n"/>
      <c r="C10" s="9" t="n"/>
      <c r="D10" s="9" t="n"/>
      <c r="E10" s="9" t="n"/>
      <c r="F10" s="9" t="n"/>
      <c r="G10" s="9" t="n"/>
    </row>
    <row r="11">
      <c r="A11" s="8" t="inlineStr">
        <is>
          <t xml:space="preserve">    Prepaid expenses</t>
        </is>
      </c>
      <c r="B11" s="9" t="n"/>
      <c r="C11" s="9" t="n"/>
      <c r="D11" s="9" t="n"/>
      <c r="E11" s="9" t="n"/>
      <c r="F11" s="9" t="n"/>
      <c r="G11" s="9" t="n">
        <v>56000</v>
      </c>
    </row>
    <row r="12">
      <c r="A12" s="8" t="inlineStr">
        <is>
          <t xml:space="preserve">    Property, plant &amp; equipment (gross)</t>
        </is>
      </c>
      <c r="B12" s="9" t="n"/>
      <c r="C12" s="9" t="n"/>
      <c r="D12" s="9" t="n"/>
      <c r="E12" s="9" t="n"/>
      <c r="F12" s="9" t="n"/>
      <c r="G12" s="9" t="n">
        <v>513616</v>
      </c>
    </row>
    <row r="13">
      <c r="A13" s="8" t="inlineStr">
        <is>
          <t xml:space="preserve">    Less: accumulated depreciation</t>
        </is>
      </c>
      <c r="B13" s="9" t="n"/>
      <c r="C13" s="9" t="n"/>
      <c r="D13" s="9" t="n"/>
      <c r="E13" s="9" t="n"/>
      <c r="F13" s="9" t="n"/>
      <c r="G13" s="9" t="n">
        <v>-282782</v>
      </c>
    </row>
    <row r="14">
      <c r="A14" s="10" t="inlineStr">
        <is>
          <t xml:space="preserve">    Net property, plant &amp; equipment</t>
        </is>
      </c>
      <c r="B14" s="11" t="n">
        <v>171055</v>
      </c>
      <c r="C14" s="11" t="n">
        <v>82701</v>
      </c>
      <c r="D14" s="11" t="n">
        <v>80597</v>
      </c>
      <c r="E14" s="11" t="n"/>
      <c r="F14" s="11" t="n"/>
      <c r="G14" s="11" t="n">
        <v>230834</v>
      </c>
    </row>
    <row r="15">
      <c r="A15" s="10" t="inlineStr">
        <is>
          <t>Total assets</t>
        </is>
      </c>
      <c r="B15" s="11" t="n">
        <v>358188</v>
      </c>
      <c r="C15" s="11" t="n">
        <v>400288</v>
      </c>
      <c r="D15" s="11" t="n">
        <v>388220</v>
      </c>
      <c r="E15" s="11" t="n">
        <v>391676</v>
      </c>
      <c r="F15" s="11" t="n">
        <v>457171</v>
      </c>
      <c r="G15" s="11" t="n">
        <v>517817</v>
      </c>
    </row>
    <row r="17">
      <c r="A17" s="6" t="inlineStr">
        <is>
          <t>Liabilities</t>
        </is>
      </c>
      <c r="B17" s="7" t="n"/>
      <c r="C17" s="7" t="n"/>
      <c r="D17" s="7" t="n"/>
      <c r="E17" s="7" t="n"/>
      <c r="F17" s="7" t="n"/>
      <c r="G17" s="7" t="n"/>
    </row>
    <row r="18">
      <c r="A18" s="8" t="inlineStr">
        <is>
          <t xml:space="preserve">    Accounts payable</t>
        </is>
      </c>
      <c r="B18" s="9" t="n"/>
      <c r="C18" s="9" t="n"/>
      <c r="D18" s="9" t="n"/>
      <c r="E18" s="9" t="n"/>
      <c r="F18" s="9" t="n"/>
      <c r="G18" s="9" t="n"/>
    </row>
    <row r="19">
      <c r="A19" s="8" t="inlineStr">
        <is>
          <t xml:space="preserve">    Mortgages &amp; notes payable</t>
        </is>
      </c>
      <c r="B19" s="9" t="n"/>
      <c r="C19" s="9" t="n"/>
      <c r="D19" s="9" t="n"/>
      <c r="E19" s="9" t="n"/>
      <c r="F19" s="9" t="n"/>
      <c r="G19" s="9" t="n"/>
    </row>
    <row r="20">
      <c r="A20" s="10" t="inlineStr">
        <is>
          <t>Total liabilities</t>
        </is>
      </c>
      <c r="B20" s="11" t="n">
        <v>13034</v>
      </c>
      <c r="C20" s="11" t="n">
        <v>20404</v>
      </c>
      <c r="D20" s="11" t="n">
        <v>5818</v>
      </c>
      <c r="E20" s="11" t="n">
        <v>3441</v>
      </c>
      <c r="F20" s="11" t="n">
        <v>4392</v>
      </c>
      <c r="G20" s="11" t="n">
        <v>4165</v>
      </c>
    </row>
    <row r="22">
      <c r="A22" s="6" t="inlineStr">
        <is>
          <t>Net Assets / Equity</t>
        </is>
      </c>
      <c r="B22" s="7" t="n"/>
      <c r="C22" s="7" t="n"/>
      <c r="D22" s="7" t="n"/>
      <c r="E22" s="7" t="n"/>
      <c r="F22" s="7" t="n"/>
      <c r="G22" s="7" t="n"/>
    </row>
    <row r="23">
      <c r="A23" s="8" t="inlineStr">
        <is>
          <t xml:space="preserve">    Capital stock</t>
        </is>
      </c>
      <c r="B23" s="9" t="n"/>
      <c r="C23" s="9" t="n"/>
      <c r="D23" s="9" t="n"/>
      <c r="E23" s="9" t="n"/>
      <c r="F23" s="9" t="n"/>
      <c r="G23" s="9" t="n">
        <v>13080</v>
      </c>
    </row>
    <row r="24">
      <c r="A24" s="8" t="inlineStr">
        <is>
          <t xml:space="preserve">    Paid-in capital</t>
        </is>
      </c>
      <c r="B24" s="9" t="n"/>
      <c r="C24" s="9" t="n"/>
      <c r="D24" s="9" t="n"/>
      <c r="E24" s="9" t="n"/>
      <c r="F24" s="9" t="n"/>
      <c r="G24" s="9" t="n">
        <v>187100</v>
      </c>
    </row>
    <row r="25">
      <c r="A25" s="8" t="inlineStr">
        <is>
          <t xml:space="preserve">    Retained earnings</t>
        </is>
      </c>
      <c r="B25" s="9" t="n"/>
      <c r="C25" s="9" t="n"/>
      <c r="D25" s="9" t="n"/>
      <c r="E25" s="9" t="n"/>
      <c r="F25" s="9" t="n"/>
      <c r="G25" s="9" t="n">
        <v>313472</v>
      </c>
    </row>
    <row r="26">
      <c r="A26" s="10" t="inlineStr">
        <is>
          <t>Net assets</t>
        </is>
      </c>
      <c r="B26" s="11" t="n">
        <v>345154</v>
      </c>
      <c r="C26" s="11" t="n">
        <v>379884</v>
      </c>
      <c r="D26" s="11" t="n">
        <v>382402</v>
      </c>
      <c r="E26" s="11" t="n">
        <v>388235</v>
      </c>
      <c r="F26" s="11" t="n">
        <v>452779</v>
      </c>
      <c r="G26" s="11" t="n">
        <v>513652</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7"/>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Gill Creek Mutual Water Company</t>
        </is>
      </c>
    </row>
    <row r="2">
      <c r="A2" s="2" t="inlineStr">
        <is>
          <t>Officers, Directors &amp; Contractors - Form 990 Part VII (FY2025; USD)</t>
        </is>
      </c>
    </row>
    <row r="3">
      <c r="A3" s="2" t="inlineStr">
        <is>
          <t>Entity ID: cawc_0169   |   Fiscal year ends March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PAUL CONNORS</t>
        </is>
      </c>
      <c r="B7" s="8" t="inlineStr">
        <is>
          <t>DIRECTOR</t>
        </is>
      </c>
      <c r="C7" s="9" t="n">
        <v>0</v>
      </c>
      <c r="D7" s="9" t="n">
        <v>0</v>
      </c>
      <c r="E7" s="9" t="n">
        <v>0</v>
      </c>
      <c r="F7" s="9" t="n">
        <v>0</v>
      </c>
    </row>
    <row r="8">
      <c r="A8" s="8" t="inlineStr">
        <is>
          <t>GENE SCHNAIR</t>
        </is>
      </c>
      <c r="B8" s="8" t="inlineStr">
        <is>
          <t>DIRECTOR</t>
        </is>
      </c>
      <c r="C8" s="9" t="n">
        <v>0</v>
      </c>
      <c r="D8" s="9" t="n">
        <v>0</v>
      </c>
      <c r="E8" s="9" t="n">
        <v>0</v>
      </c>
      <c r="F8" s="9" t="n">
        <v>0</v>
      </c>
    </row>
    <row r="9">
      <c r="A9" s="8" t="inlineStr">
        <is>
          <t>TIM BROWN</t>
        </is>
      </c>
      <c r="B9" s="8" t="inlineStr">
        <is>
          <t>VICE PRESIDE</t>
        </is>
      </c>
      <c r="C9" s="9" t="n">
        <v>0</v>
      </c>
      <c r="D9" s="9" t="n">
        <v>0</v>
      </c>
      <c r="E9" s="9" t="n">
        <v>0</v>
      </c>
      <c r="F9" s="9" t="n">
        <v>0</v>
      </c>
    </row>
    <row r="10">
      <c r="A10" s="8" t="inlineStr">
        <is>
          <t>CATHY HALLIGAN</t>
        </is>
      </c>
      <c r="B10" s="8" t="inlineStr">
        <is>
          <t>SECRETARY</t>
        </is>
      </c>
      <c r="C10" s="9" t="n">
        <v>0</v>
      </c>
      <c r="D10" s="9" t="n">
        <v>0</v>
      </c>
      <c r="E10" s="9" t="n">
        <v>0</v>
      </c>
      <c r="F10" s="9" t="n">
        <v>0</v>
      </c>
    </row>
    <row r="11">
      <c r="A11" s="8" t="inlineStr">
        <is>
          <t>JAMES LAZARUS</t>
        </is>
      </c>
      <c r="B11" s="8" t="inlineStr">
        <is>
          <t>PRESIDENT</t>
        </is>
      </c>
      <c r="C11" s="9" t="n">
        <v>0</v>
      </c>
      <c r="D11" s="9" t="n">
        <v>0</v>
      </c>
      <c r="E11" s="9" t="n">
        <v>0</v>
      </c>
      <c r="F11" s="9" t="n">
        <v>0</v>
      </c>
    </row>
    <row r="12">
      <c r="A12" s="8" t="inlineStr">
        <is>
          <t>PETER SAGUES</t>
        </is>
      </c>
      <c r="B12" s="8" t="inlineStr">
        <is>
          <t>TREASURER</t>
        </is>
      </c>
      <c r="C12" s="9" t="n">
        <v>0</v>
      </c>
      <c r="D12" s="9" t="n">
        <v>0</v>
      </c>
      <c r="E12" s="9" t="n">
        <v>0</v>
      </c>
      <c r="F12" s="9" t="n">
        <v>0</v>
      </c>
    </row>
    <row r="14">
      <c r="A14" s="6" t="inlineStr">
        <is>
          <t>Section B - Independent contractors (over $100,000)</t>
        </is>
      </c>
      <c r="B14" s="7" t="n"/>
      <c r="C14" s="7" t="n"/>
      <c r="D14" s="7" t="n"/>
      <c r="E14" s="7" t="n"/>
      <c r="F14" s="7" t="n"/>
    </row>
    <row r="15">
      <c r="A15" s="5" t="inlineStr">
        <is>
          <t>Contractor</t>
        </is>
      </c>
      <c r="B15" s="5" t="inlineStr">
        <is>
          <t>Services</t>
        </is>
      </c>
      <c r="C15" s="5" t="inlineStr">
        <is>
          <t>Compensation</t>
        </is>
      </c>
    </row>
    <row r="17" ht="42" customHeight="1">
      <c r="A17"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None such contractor(s). Source and confidence for every figure are on the Sources &amp; audit tab.</t>
        </is>
      </c>
    </row>
  </sheetData>
  <mergeCells count="4">
    <mergeCell ref="A3:F3"/>
    <mergeCell ref="A2:F2"/>
    <mergeCell ref="A1:F1"/>
    <mergeCell ref="A17:F1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s>
  <sheetData>
    <row r="1">
      <c r="A1" s="1" t="inlineStr">
        <is>
          <t>Gill Creek Mutual Water Company</t>
        </is>
      </c>
    </row>
    <row r="2">
      <c r="A2" s="2" t="inlineStr">
        <is>
          <t>Revenue - Form 990 Part VIII (USD)</t>
        </is>
      </c>
    </row>
    <row r="3">
      <c r="A3" s="2" t="inlineStr">
        <is>
          <t>Entity ID: cawc_0169   |   Fiscal year ends March 31.</t>
        </is>
      </c>
    </row>
    <row r="5">
      <c r="A5" s="4" t="inlineStr">
        <is>
          <t>Part VIII line</t>
        </is>
      </c>
      <c r="B5" s="5" t="inlineStr">
        <is>
          <t>FY2025</t>
        </is>
      </c>
    </row>
    <row r="6">
      <c r="A6" s="6" t="inlineStr">
        <is>
          <t>Revenue by category</t>
        </is>
      </c>
      <c r="B6" s="7" t="n"/>
    </row>
    <row r="7">
      <c r="A7" s="8" t="inlineStr">
        <is>
          <t xml:space="preserve">    1h. Total contributions, gifts, grants</t>
        </is>
      </c>
      <c r="B7" s="14" t="inlineStr">
        <is>
          <t>not reported</t>
        </is>
      </c>
    </row>
    <row r="8">
      <c r="A8" s="8" t="inlineStr">
        <is>
          <t xml:space="preserve">    2g. Total program service revenue</t>
        </is>
      </c>
      <c r="B8" s="9" t="n">
        <v>173093</v>
      </c>
    </row>
    <row r="9">
      <c r="A9" s="8" t="inlineStr">
        <is>
          <t xml:space="preserve">    3. Investment income</t>
        </is>
      </c>
      <c r="B9" s="9" t="n">
        <v>8778</v>
      </c>
    </row>
    <row r="10">
      <c r="A10" s="8" t="inlineStr">
        <is>
          <t xml:space="preserve">    6d. Net rental income</t>
        </is>
      </c>
      <c r="B10" s="14" t="inlineStr">
        <is>
          <t>not reported</t>
        </is>
      </c>
    </row>
    <row r="11">
      <c r="A11" s="8" t="inlineStr">
        <is>
          <t xml:space="preserve">    7d. Net gain/(loss) from investment sales</t>
        </is>
      </c>
      <c r="B11" s="14" t="inlineStr">
        <is>
          <t>not reported</t>
        </is>
      </c>
    </row>
    <row r="12">
      <c r="A12" s="8" t="inlineStr">
        <is>
          <t xml:space="preserve">    11e. Other revenue</t>
        </is>
      </c>
      <c r="B12" s="9" t="n">
        <v>48000</v>
      </c>
    </row>
    <row r="13">
      <c r="A13" s="10" t="inlineStr">
        <is>
          <t>12. Total revenue</t>
        </is>
      </c>
      <c r="B13" s="11">
        <f>SUM(B7:B12)</f>
        <v/>
      </c>
    </row>
    <row r="15">
      <c r="A15" s="6" t="inlineStr">
        <is>
          <t>Program service revenue detail - FY2025 (lines 2a-2f)</t>
        </is>
      </c>
      <c r="B15" s="7" t="n"/>
    </row>
    <row r="16">
      <c r="A16" s="5" t="inlineStr">
        <is>
          <t>Description</t>
        </is>
      </c>
      <c r="B16" s="5" t="inlineStr">
        <is>
          <t>Business code</t>
        </is>
      </c>
      <c r="C16" s="5" t="inlineStr">
        <is>
          <t>Total revenue</t>
        </is>
      </c>
    </row>
    <row r="17">
      <c r="A17" s="8" t="inlineStr">
        <is>
          <t>WATER SERVICE FEES</t>
        </is>
      </c>
      <c r="B17" s="8" t="n"/>
      <c r="C17" s="9" t="n">
        <v>130510</v>
      </c>
    </row>
    <row r="18">
      <c r="A18" s="8" t="inlineStr">
        <is>
          <t>PROPERTY WORK</t>
        </is>
      </c>
      <c r="B18" s="8" t="n"/>
      <c r="C18" s="9" t="n">
        <v>40633</v>
      </c>
    </row>
    <row r="19">
      <c r="A19" s="8" t="inlineStr">
        <is>
          <t>OTHER FEES</t>
        </is>
      </c>
      <c r="B19" s="8" t="n"/>
      <c r="C19" s="9" t="n">
        <v>1950</v>
      </c>
    </row>
    <row r="20" ht="42" customHeight="1">
      <c r="A20"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20:B20"/>
    <mergeCell ref="A3:B3"/>
    <mergeCell ref="A2:B2"/>
    <mergeCell ref="A1:B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s>
  <sheetData>
    <row r="1">
      <c r="A1" s="1" t="inlineStr">
        <is>
          <t>Gill Creek Mutual Water Company</t>
        </is>
      </c>
    </row>
    <row r="2">
      <c r="A2" s="2" t="inlineStr">
        <is>
          <t>Statement of Functional Expenses - Form 990 Part IX (USD)</t>
        </is>
      </c>
    </row>
    <row r="3">
      <c r="A3" s="2" t="inlineStr">
        <is>
          <t>Entity ID: cawc_0169   |   Fiscal year ends March 31.</t>
        </is>
      </c>
    </row>
    <row r="5">
      <c r="A5" s="4" t="inlineStr">
        <is>
          <t>Part IX line (column A Total)</t>
        </is>
      </c>
      <c r="B5" s="5" t="inlineStr">
        <is>
          <t>FY2025</t>
        </is>
      </c>
    </row>
    <row r="6">
      <c r="A6" s="6" t="inlineStr">
        <is>
          <t>Functional expenses, column A Total - by year</t>
        </is>
      </c>
      <c r="B6" s="7" t="n"/>
    </row>
    <row r="7">
      <c r="A7" s="8" t="inlineStr">
        <is>
          <t xml:space="preserve">    7. Other salaries and wages</t>
        </is>
      </c>
      <c r="B7" s="9" t="n">
        <v>30900</v>
      </c>
    </row>
    <row r="8">
      <c r="A8" s="8" t="inlineStr">
        <is>
          <t xml:space="preserve">    10. Payroll taxes</t>
        </is>
      </c>
      <c r="B8" s="9" t="n">
        <v>4933</v>
      </c>
    </row>
    <row r="9">
      <c r="A9" s="8" t="inlineStr">
        <is>
          <t xml:space="preserve">    11g. Fees for services: other</t>
        </is>
      </c>
      <c r="B9" s="9" t="n">
        <v>3428</v>
      </c>
    </row>
    <row r="10">
      <c r="A10" s="8" t="inlineStr">
        <is>
          <t xml:space="preserve">    13. Office expenses</t>
        </is>
      </c>
      <c r="B10" s="9" t="n">
        <v>3233</v>
      </c>
    </row>
    <row r="11">
      <c r="A11" s="8" t="inlineStr">
        <is>
          <t xml:space="preserve">    22. Depreciation, depletion, and amortization</t>
        </is>
      </c>
      <c r="B11" s="9" t="n">
        <v>21771</v>
      </c>
    </row>
    <row r="12">
      <c r="A12" s="8" t="inlineStr">
        <is>
          <t xml:space="preserve">    23. Insurance</t>
        </is>
      </c>
      <c r="B12" s="9" t="n">
        <v>10329</v>
      </c>
    </row>
    <row r="13">
      <c r="A13" s="8" t="inlineStr">
        <is>
          <t xml:space="preserve">    24. PROPERTY WORK</t>
        </is>
      </c>
      <c r="B13" s="9" t="n">
        <v>40614</v>
      </c>
    </row>
    <row r="14">
      <c r="A14" s="8" t="inlineStr">
        <is>
          <t xml:space="preserve">    24. REPAIRS &amp; MAINTENANCE</t>
        </is>
      </c>
      <c r="B14" s="9" t="n">
        <v>25636</v>
      </c>
    </row>
    <row r="15">
      <c r="A15" s="8" t="inlineStr">
        <is>
          <t xml:space="preserve">    24. UTILITIES</t>
        </is>
      </c>
      <c r="B15" s="9" t="n">
        <v>15192</v>
      </c>
    </row>
    <row r="16">
      <c r="A16" s="8" t="inlineStr">
        <is>
          <t xml:space="preserve">    24. SAMPLING AND TREATMENT</t>
        </is>
      </c>
      <c r="B16" s="9" t="n">
        <v>5395</v>
      </c>
    </row>
    <row r="17">
      <c r="A17" s="8" t="inlineStr">
        <is>
          <t xml:space="preserve">    24e. All other expenses</t>
        </is>
      </c>
      <c r="B17" s="9" t="n">
        <v>7567</v>
      </c>
    </row>
    <row r="18">
      <c r="A18" s="10" t="inlineStr">
        <is>
          <t>25. Total functional expenses</t>
        </is>
      </c>
      <c r="B18" s="11">
        <f>SUM(B7:B17)</f>
        <v/>
      </c>
    </row>
    <row r="20">
      <c r="A20" s="6" t="inlineStr">
        <is>
          <t>Functional column split - FY2025 (col A = B + C + D)</t>
        </is>
      </c>
      <c r="B20" s="7" t="n"/>
    </row>
    <row r="21">
      <c r="A21" s="5" t="inlineStr">
        <is>
          <t>Part IX line</t>
        </is>
      </c>
      <c r="B21" s="5" t="inlineStr">
        <is>
          <t>A. Total</t>
        </is>
      </c>
      <c r="C21" s="5" t="inlineStr">
        <is>
          <t>B. Program services</t>
        </is>
      </c>
      <c r="D21" s="5" t="inlineStr">
        <is>
          <t>C. Management &amp; general</t>
        </is>
      </c>
      <c r="E21" s="5" t="inlineStr">
        <is>
          <t>D. Fundraising</t>
        </is>
      </c>
    </row>
    <row r="22">
      <c r="A22" s="18" t="inlineStr">
        <is>
          <t>7. Other salaries and wages</t>
        </is>
      </c>
      <c r="B22" s="9" t="n">
        <v>30900</v>
      </c>
      <c r="C22" s="9" t="n"/>
      <c r="D22" s="9" t="n">
        <v>30900</v>
      </c>
      <c r="E22" s="9" t="n"/>
    </row>
    <row r="23">
      <c r="A23" s="18" t="inlineStr">
        <is>
          <t>10. Payroll taxes</t>
        </is>
      </c>
      <c r="B23" s="9" t="n">
        <v>4933</v>
      </c>
      <c r="C23" s="9" t="n">
        <v>2466</v>
      </c>
      <c r="D23" s="9" t="n">
        <v>2467</v>
      </c>
      <c r="E23" s="9" t="n"/>
    </row>
    <row r="24">
      <c r="A24" s="18" t="inlineStr">
        <is>
          <t>11g. Fees for services: other</t>
        </is>
      </c>
      <c r="B24" s="9" t="n">
        <v>3428</v>
      </c>
      <c r="C24" s="9" t="n">
        <v>3428</v>
      </c>
      <c r="D24" s="9" t="n"/>
      <c r="E24" s="9" t="n"/>
    </row>
    <row r="25">
      <c r="A25" s="18" t="inlineStr">
        <is>
          <t>13. Office expenses</t>
        </is>
      </c>
      <c r="B25" s="9" t="n">
        <v>3233</v>
      </c>
      <c r="C25" s="9" t="n">
        <v>3233</v>
      </c>
      <c r="D25" s="9" t="n"/>
      <c r="E25" s="9" t="n"/>
    </row>
    <row r="26">
      <c r="A26" s="18" t="inlineStr">
        <is>
          <t>22. Depreciation, depletion, and amortization</t>
        </is>
      </c>
      <c r="B26" s="9" t="n">
        <v>21771</v>
      </c>
      <c r="C26" s="9" t="n">
        <v>21771</v>
      </c>
      <c r="D26" s="9" t="n"/>
      <c r="E26" s="9" t="n"/>
    </row>
    <row r="27">
      <c r="A27" s="18" t="inlineStr">
        <is>
          <t>23. Insurance</t>
        </is>
      </c>
      <c r="B27" s="9" t="n">
        <v>10329</v>
      </c>
      <c r="C27" s="9" t="n">
        <v>10329</v>
      </c>
      <c r="D27" s="9" t="n"/>
      <c r="E27" s="9" t="n"/>
    </row>
    <row r="28">
      <c r="A28" s="10" t="inlineStr">
        <is>
          <t>25. Total (filed col A / B / C / D)</t>
        </is>
      </c>
      <c r="B28" s="11" t="n">
        <v>168998</v>
      </c>
      <c r="C28" s="11" t="n">
        <v>135631</v>
      </c>
      <c r="D28" s="11" t="n">
        <v>33367</v>
      </c>
      <c r="E28" s="11" t="n">
        <v>0</v>
      </c>
    </row>
    <row r="30" ht="42" customHeight="1">
      <c r="A30"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3:B3"/>
    <mergeCell ref="A2:B2"/>
    <mergeCell ref="A1:B1"/>
    <mergeCell ref="A30:B30"/>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s>
  <sheetData>
    <row r="1">
      <c r="A1" s="1" t="inlineStr">
        <is>
          <t>Gill Creek Mutual Water Company</t>
        </is>
      </c>
    </row>
    <row r="2">
      <c r="A2" s="2" t="inlineStr">
        <is>
          <t>Balance Sheet - Form 990 Part X (end of year, USD)</t>
        </is>
      </c>
    </row>
    <row r="3">
      <c r="A3" s="2" t="inlineStr">
        <is>
          <t>Entity ID: cawc_0169   |   Fiscal year ends March 31.</t>
        </is>
      </c>
    </row>
    <row r="5">
      <c r="A5" s="4" t="inlineStr">
        <is>
          <t>Part X line (column B, EOY)</t>
        </is>
      </c>
      <c r="B5" s="5" t="inlineStr">
        <is>
          <t>FY2025</t>
        </is>
      </c>
    </row>
    <row r="6">
      <c r="A6" s="6" t="inlineStr">
        <is>
          <t>Assets</t>
        </is>
      </c>
      <c r="B6" s="7" t="n"/>
    </row>
    <row r="7">
      <c r="A7" s="8" t="inlineStr">
        <is>
          <t xml:space="preserve">    1. Cash - non-interest-bearing</t>
        </is>
      </c>
      <c r="B7" s="9" t="n">
        <v>27524</v>
      </c>
    </row>
    <row r="8">
      <c r="A8" s="8" t="inlineStr">
        <is>
          <t xml:space="preserve">    2. Savings and temporary cash investments</t>
        </is>
      </c>
      <c r="B8" s="9" t="n">
        <v>198416</v>
      </c>
    </row>
    <row r="9">
      <c r="A9" s="8" t="inlineStr">
        <is>
          <t xml:space="preserve">    4. Accounts receivable, net</t>
        </is>
      </c>
      <c r="B9" s="9" t="n">
        <v>-4005</v>
      </c>
    </row>
    <row r="10">
      <c r="A10" s="8" t="inlineStr">
        <is>
          <t xml:space="preserve">    9. Prepaid expenses and deferred charges</t>
        </is>
      </c>
      <c r="B10" s="9" t="n">
        <v>56000</v>
      </c>
    </row>
    <row r="11">
      <c r="A11" s="8" t="inlineStr">
        <is>
          <t xml:space="preserve">    10c. Land, buildings, and equipment, net</t>
        </is>
      </c>
      <c r="B11" s="9" t="n">
        <v>230834</v>
      </c>
    </row>
    <row r="12">
      <c r="A12" s="8" t="inlineStr">
        <is>
          <t xml:space="preserve">    15. Other assets</t>
        </is>
      </c>
      <c r="B12" s="9" t="n">
        <v>9048</v>
      </c>
    </row>
    <row r="13">
      <c r="A13" s="10" t="inlineStr">
        <is>
          <t>16. Total assets</t>
        </is>
      </c>
      <c r="B13" s="11">
        <f>SUM(B7:B12)</f>
        <v/>
      </c>
    </row>
    <row r="15">
      <c r="A15" s="6" t="inlineStr">
        <is>
          <t>Liabilities</t>
        </is>
      </c>
      <c r="B15" s="7" t="n"/>
    </row>
    <row r="16">
      <c r="A16" s="8" t="inlineStr">
        <is>
          <t xml:space="preserve">    25. Other liabilities</t>
        </is>
      </c>
      <c r="B16" s="9" t="n">
        <v>4165</v>
      </c>
    </row>
    <row r="17">
      <c r="A17" s="10" t="inlineStr">
        <is>
          <t>26. Total liabilities</t>
        </is>
      </c>
      <c r="B17" s="11">
        <f>SUM(B16:B16)</f>
        <v/>
      </c>
    </row>
    <row r="19">
      <c r="A19" s="6" t="inlineStr">
        <is>
          <t>Net assets / fund balances</t>
        </is>
      </c>
      <c r="B19" s="7" t="n"/>
    </row>
    <row r="20">
      <c r="A20" s="8" t="inlineStr">
        <is>
          <t xml:space="preserve">    29. Capital stock or trust principal</t>
        </is>
      </c>
      <c r="B20" s="9" t="n">
        <v>13080</v>
      </c>
    </row>
    <row r="21">
      <c r="A21" s="8" t="inlineStr">
        <is>
          <t xml:space="preserve">    30. Paid-in or capital surplus</t>
        </is>
      </c>
      <c r="B21" s="9" t="n">
        <v>187100</v>
      </c>
    </row>
    <row r="22">
      <c r="A22" s="8" t="inlineStr">
        <is>
          <t xml:space="preserve">    31. Retained earnings / accumulated funds</t>
        </is>
      </c>
      <c r="B22" s="9" t="n">
        <v>313472</v>
      </c>
    </row>
    <row r="23">
      <c r="A23" s="10" t="inlineStr">
        <is>
          <t>32. Total net assets / fund balances</t>
        </is>
      </c>
      <c r="B23" s="11">
        <f>SUM(B20:B22)</f>
        <v/>
      </c>
    </row>
    <row r="25" ht="42" customHeight="1">
      <c r="A25"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25:B25"/>
    <mergeCell ref="A3:B3"/>
    <mergeCell ref="A2:B2"/>
    <mergeCell ref="A1:B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s>
  <sheetData>
    <row r="1">
      <c r="A1" s="1" t="inlineStr">
        <is>
          <t>Gill Creek Mutual Water Company</t>
        </is>
      </c>
    </row>
    <row r="2">
      <c r="A2" s="2" t="inlineStr">
        <is>
          <t>Reconciliation of Net Assets - Form 990 Part XI (USD)</t>
        </is>
      </c>
    </row>
    <row r="3">
      <c r="A3" s="2" t="inlineStr">
        <is>
          <t>Entity ID: cawc_0169   |   Fiscal year ends March 31.</t>
        </is>
      </c>
    </row>
    <row r="5">
      <c r="A5" s="4" t="inlineStr">
        <is>
          <t>Part XI line</t>
        </is>
      </c>
      <c r="B5" s="5" t="inlineStr">
        <is>
          <t>FY2025</t>
        </is>
      </c>
    </row>
    <row r="6">
      <c r="A6" s="6" t="inlineStr">
        <is>
          <t>Reconciliation</t>
        </is>
      </c>
      <c r="B6" s="7" t="n"/>
    </row>
    <row r="7">
      <c r="A7" s="8" t="inlineStr">
        <is>
          <t xml:space="preserve">    4. Net assets, beginning of year</t>
        </is>
      </c>
      <c r="B7" s="9" t="n">
        <v>452779</v>
      </c>
    </row>
    <row r="8">
      <c r="A8" s="8" t="inlineStr">
        <is>
          <t xml:space="preserve">    3. Revenue less expenses</t>
        </is>
      </c>
      <c r="B8" s="9" t="n">
        <v>60873</v>
      </c>
    </row>
    <row r="9">
      <c r="A9" s="8" t="inlineStr">
        <is>
          <t xml:space="preserve">    8. Prior period adjustments</t>
        </is>
      </c>
      <c r="B9" s="14" t="inlineStr">
        <is>
          <t>not reported</t>
        </is>
      </c>
    </row>
    <row r="10">
      <c r="A10" s="8" t="inlineStr">
        <is>
          <t xml:space="preserve">    9. Other changes in net assets</t>
        </is>
      </c>
      <c r="B10" s="14" t="inlineStr">
        <is>
          <t>not reported</t>
        </is>
      </c>
    </row>
    <row r="11">
      <c r="A11" s="10" t="inlineStr">
        <is>
          <t>10. Net assets, end of year</t>
        </is>
      </c>
      <c r="B11" s="11">
        <f>SUM(B7,B8,B9,B10)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3:B13"/>
    <mergeCell ref="A3:B3"/>
    <mergeCell ref="A2:B2"/>
    <mergeCell ref="A1:B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Gill Creek Mutual Water Company</t>
        </is>
      </c>
    </row>
    <row r="2">
      <c r="A2" s="2" t="inlineStr">
        <is>
          <t>Cash Flow Proxies - derived (USD)</t>
        </is>
      </c>
    </row>
    <row r="3">
      <c r="A3" s="2" t="inlineStr">
        <is>
          <t>Entity ID: cawc_0169   |   Fiscal year ends March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15289</v>
      </c>
      <c r="C9" s="9" t="n">
        <v>34730</v>
      </c>
      <c r="D9" s="9" t="n">
        <v>2518</v>
      </c>
      <c r="E9" s="9" t="n">
        <v>5833</v>
      </c>
      <c r="F9" s="9" t="n">
        <v>64544</v>
      </c>
      <c r="G9" s="9" t="n">
        <v>60873</v>
      </c>
    </row>
    <row r="10">
      <c r="A10" s="8" t="inlineStr">
        <is>
          <t xml:space="preserve">    + Depreciation (reported)</t>
        </is>
      </c>
      <c r="B10" s="9" t="n"/>
      <c r="C10" s="9" t="n"/>
      <c r="D10" s="9" t="n"/>
      <c r="E10" s="9" t="n"/>
      <c r="F10" s="9" t="n"/>
      <c r="G10" s="9" t="n">
        <v>21771</v>
      </c>
    </row>
    <row r="11">
      <c r="A11" s="8" t="inlineStr">
        <is>
          <t xml:space="preserve">    − Δ Accounts receivable</t>
        </is>
      </c>
      <c r="B11" s="9" t="n"/>
      <c r="C11" s="9" t="n"/>
      <c r="D11" s="9" t="n"/>
      <c r="E11" s="9" t="n"/>
      <c r="F11" s="9" t="n"/>
      <c r="G11" s="9" t="n"/>
    </row>
    <row r="12">
      <c r="A12" s="8" t="inlineStr">
        <is>
          <t xml:space="preserve">    − Δ Inventories</t>
        </is>
      </c>
      <c r="B12" s="9" t="n"/>
      <c r="C12" s="9" t="n"/>
      <c r="D12" s="9" t="n"/>
      <c r="E12" s="9" t="n"/>
      <c r="F12" s="9" t="n"/>
      <c r="G12" s="9" t="n"/>
    </row>
    <row r="13">
      <c r="A13" s="8" t="inlineStr">
        <is>
          <t xml:space="preserve">    − Δ Prepaid expenses</t>
        </is>
      </c>
      <c r="B13" s="9" t="n"/>
      <c r="C13" s="9" t="n"/>
      <c r="D13" s="9" t="n"/>
      <c r="E13" s="9" t="n"/>
      <c r="F13" s="9" t="n"/>
      <c r="G13" s="9" t="n"/>
    </row>
    <row r="14">
      <c r="A14" s="8" t="inlineStr">
        <is>
          <t xml:space="preserve">    + Δ Accounts payable</t>
        </is>
      </c>
      <c r="B14" s="9" t="n"/>
      <c r="C14" s="9" t="n"/>
      <c r="D14" s="9" t="n"/>
      <c r="E14" s="9" t="n"/>
      <c r="F14" s="9" t="n"/>
      <c r="G14" s="9" t="n"/>
    </row>
    <row r="15">
      <c r="A15" s="10" t="inlineStr">
        <is>
          <t xml:space="preserve">    Operating cash flow proxy</t>
        </is>
      </c>
      <c r="B15" s="11" t="n"/>
      <c r="C15" s="11" t="n">
        <v>34730</v>
      </c>
      <c r="D15" s="11" t="n">
        <v>2518</v>
      </c>
      <c r="E15" s="11" t="n">
        <v>5833</v>
      </c>
      <c r="F15" s="11" t="n">
        <v>64544</v>
      </c>
      <c r="G15" s="11" t="n">
        <v>82644</v>
      </c>
    </row>
    <row r="17">
      <c r="A17" s="6" t="inlineStr">
        <is>
          <t>Investing</t>
        </is>
      </c>
      <c r="B17" s="7" t="n"/>
      <c r="C17" s="7" t="n"/>
      <c r="D17" s="7" t="n"/>
      <c r="E17" s="7" t="n"/>
      <c r="F17" s="7" t="n"/>
      <c r="G17" s="7" t="n"/>
    </row>
    <row r="18">
      <c r="A18" s="8" t="inlineStr">
        <is>
          <t xml:space="preserve">    − Δ PP&amp;E gross (capex proxy)</t>
        </is>
      </c>
      <c r="B18" s="9" t="n"/>
      <c r="C18" s="9" t="n"/>
      <c r="D18" s="9" t="n"/>
      <c r="E18" s="9" t="n"/>
      <c r="F18" s="9" t="n"/>
      <c r="G18" s="9" t="n"/>
    </row>
    <row r="20">
      <c r="A20" s="6" t="inlineStr">
        <is>
          <t>Financing</t>
        </is>
      </c>
      <c r="B20" s="7" t="n"/>
      <c r="C20" s="7" t="n"/>
      <c r="D20" s="7" t="n"/>
      <c r="E20" s="7" t="n"/>
      <c r="F20" s="7" t="n"/>
      <c r="G20" s="7" t="n"/>
    </row>
    <row r="21">
      <c r="A21" s="8" t="inlineStr">
        <is>
          <t xml:space="preserve">    Δ Mortgages &amp; notes payable</t>
        </is>
      </c>
      <c r="B21" s="9" t="n"/>
      <c r="C21" s="9" t="n"/>
      <c r="D21" s="9" t="n"/>
      <c r="E21" s="9" t="n"/>
      <c r="F21" s="9" t="n"/>
      <c r="G21" s="9" t="n"/>
    </row>
    <row r="23">
      <c r="A23" s="6" t="inlineStr">
        <is>
          <t>Reconciliation</t>
        </is>
      </c>
      <c r="B23" s="7" t="n"/>
      <c r="C23" s="7" t="n"/>
      <c r="D23" s="7" t="n"/>
      <c r="E23" s="7" t="n"/>
      <c r="F23" s="7" t="n"/>
      <c r="G23" s="7" t="n"/>
    </row>
    <row r="24">
      <c r="A24" s="10" t="inlineStr">
        <is>
          <t xml:space="preserve">    Δ Cash + temp. investments (actual)</t>
        </is>
      </c>
      <c r="B24" s="11" t="n"/>
      <c r="C24" s="11" t="n">
        <v>36565</v>
      </c>
      <c r="D24" s="11" t="n">
        <v>-2659</v>
      </c>
      <c r="E24" s="11" t="n">
        <v>-14022</v>
      </c>
      <c r="F24" s="11" t="n">
        <v>5332</v>
      </c>
      <c r="G24" s="11" t="n">
        <v>69591</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Gill Creek Mutual Water Company</t>
        </is>
      </c>
    </row>
    <row r="2">
      <c r="A2" s="2" t="inlineStr">
        <is>
          <t>Financial Ratios</t>
        </is>
      </c>
    </row>
    <row r="3">
      <c r="A3" s="2" t="inlineStr">
        <is>
          <t>Entity ID: cawc_0169   |   Fiscal year ends March 31.</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0.1380883136589023</v>
      </c>
      <c r="C7" s="12" t="n">
        <v>0.275967834212701</v>
      </c>
      <c r="D7" s="12" t="n">
        <v>0.02585985560382455</v>
      </c>
      <c r="E7" s="12" t="n">
        <v>0.05179134295227525</v>
      </c>
      <c r="F7" s="12" t="n">
        <v>0.3547621141500308</v>
      </c>
      <c r="G7" s="12" t="n">
        <v>0.2648137433604065</v>
      </c>
    </row>
    <row r="8">
      <c r="A8" s="8" t="inlineStr">
        <is>
          <t xml:space="preserve">    Expense ratio (expenses / revenue)</t>
        </is>
      </c>
      <c r="B8" s="12" t="n">
        <v>0.8619116863410977</v>
      </c>
      <c r="C8" s="12" t="n">
        <v>0.724032165787299</v>
      </c>
      <c r="D8" s="12" t="n">
        <v>0.9741401443961755</v>
      </c>
      <c r="E8" s="12" t="n">
        <v>0.9482086570477247</v>
      </c>
      <c r="F8" s="12" t="n">
        <v>0.6452378858499692</v>
      </c>
      <c r="G8" s="12" t="n">
        <v>0.7351862566395935</v>
      </c>
    </row>
    <row r="9">
      <c r="A9" s="8" t="inlineStr">
        <is>
          <t xml:space="preserve">    Return on assets (NI / assets)</t>
        </is>
      </c>
      <c r="B9" s="12" t="n">
        <v>0.04268428869755547</v>
      </c>
      <c r="C9" s="12" t="n">
        <v>0.08676253097769605</v>
      </c>
      <c r="D9" s="12" t="n">
        <v>0.006486013085363969</v>
      </c>
      <c r="E9" s="12" t="n">
        <v>0.0148924110744595</v>
      </c>
      <c r="F9" s="12" t="n">
        <v>0.1411813085256939</v>
      </c>
      <c r="G9" s="12" t="n">
        <v>0.1175569747613539</v>
      </c>
    </row>
    <row r="10">
      <c r="A10" s="8" t="inlineStr">
        <is>
          <t xml:space="preserve">    Revenue growth (YoY)</t>
        </is>
      </c>
      <c r="B10" s="12" t="n"/>
      <c r="C10" s="12" t="n"/>
      <c r="D10" s="12" t="n"/>
      <c r="E10" s="12" t="n"/>
      <c r="F10" s="12" t="n"/>
      <c r="G10" s="12" t="n"/>
    </row>
    <row r="12">
      <c r="A12" s="6" t="inlineStr">
        <is>
          <t>Leverage &amp; solvency</t>
        </is>
      </c>
      <c r="B12" s="7" t="n"/>
      <c r="C12" s="7" t="n"/>
      <c r="D12" s="7" t="n"/>
      <c r="E12" s="7" t="n"/>
      <c r="F12" s="7" t="n"/>
      <c r="G12" s="7" t="n"/>
    </row>
    <row r="13">
      <c r="A13" s="8" t="inlineStr">
        <is>
          <t xml:space="preserve">    Debt-to-assets (liab. / assets)</t>
        </is>
      </c>
      <c r="B13" s="12" t="n">
        <v>0.0363887120729896</v>
      </c>
      <c r="C13" s="12" t="n">
        <v>0.05097329922455832</v>
      </c>
      <c r="D13" s="12" t="n">
        <v>0.01498634794704034</v>
      </c>
      <c r="E13" s="12" t="n">
        <v>0.00878532256252617</v>
      </c>
      <c r="F13" s="12" t="n">
        <v>0.00960690857469087</v>
      </c>
      <c r="G13" s="12" t="n">
        <v>0.008043382121483072</v>
      </c>
    </row>
    <row r="14">
      <c r="A14" s="8" t="inlineStr">
        <is>
          <t xml:space="preserve">    Equity ratio (net assets / assets)</t>
        </is>
      </c>
      <c r="B14" s="12" t="n">
        <v>0.9636112879270105</v>
      </c>
      <c r="C14" s="12" t="n">
        <v>0.9490267007754417</v>
      </c>
      <c r="D14" s="12" t="n">
        <v>0.9850136520529597</v>
      </c>
      <c r="E14" s="12" t="n">
        <v>0.9912146774374738</v>
      </c>
      <c r="F14" s="12" t="n">
        <v>0.9903930914253092</v>
      </c>
      <c r="G14" s="12" t="n">
        <v>0.991956617878517</v>
      </c>
    </row>
    <row r="16">
      <c r="A16" s="6" t="inlineStr">
        <is>
          <t>Liquidity &amp; asset profile (derived here)</t>
        </is>
      </c>
      <c r="B16" s="7" t="n"/>
      <c r="C16" s="7" t="n"/>
      <c r="D16" s="7" t="n"/>
      <c r="E16" s="7" t="n"/>
      <c r="F16" s="7" t="n"/>
      <c r="G16" s="7" t="n"/>
    </row>
    <row r="17">
      <c r="A17" s="8" t="inlineStr">
        <is>
          <t xml:space="preserve">    Current ratio (current assets / AP)</t>
        </is>
      </c>
      <c r="B17" s="19" t="n"/>
      <c r="C17" s="19" t="n"/>
      <c r="D17" s="19" t="n"/>
      <c r="E17" s="19" t="n"/>
      <c r="F17" s="19" t="n"/>
      <c r="G17" s="19" t="n"/>
    </row>
    <row r="18">
      <c r="A18" s="8" t="inlineStr">
        <is>
          <t xml:space="preserve">    Cash ratio ((cash+temp inv.) / total liab.)</t>
        </is>
      </c>
      <c r="B18" s="19" t="n">
        <v>10.06084087770446</v>
      </c>
      <c r="C18" s="19" t="n">
        <v>8.218878651244854</v>
      </c>
      <c r="D18" s="19" t="n">
        <v>28.36696459264352</v>
      </c>
      <c r="E18" s="19" t="n">
        <v>43.8875326939843</v>
      </c>
      <c r="F18" s="19" t="n">
        <v>35.5985883424408</v>
      </c>
      <c r="G18" s="19" t="n">
        <v>54.24729891956783</v>
      </c>
    </row>
    <row r="19">
      <c r="A19" s="8" t="inlineStr">
        <is>
          <t xml:space="preserve">    Asset age proxy (accum. deprec. / gross PP&amp;E)</t>
        </is>
      </c>
      <c r="B19" s="12" t="n"/>
      <c r="C19" s="12" t="n"/>
      <c r="D19" s="12" t="n"/>
      <c r="E19" s="12" t="n"/>
      <c r="F19" s="12" t="n"/>
      <c r="G19" s="12" t="n">
        <v>0.5505708544905143</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Gill Creek Mutual Water Company</t>
        </is>
      </c>
    </row>
    <row r="2">
      <c r="A2" s="2" t="inlineStr">
        <is>
          <t>Unit economics - per-customer revenue by category (USD)</t>
        </is>
      </c>
    </row>
    <row r="3">
      <c r="A3" s="2" t="inlineStr">
        <is>
          <t>Entity ID: cawc_0169   |   Fiscal year ends March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0" t="inlineStr">
        <is>
          <t>Per-customer denominator (service connections)</t>
        </is>
      </c>
      <c r="B6" s="21" t="n"/>
      <c r="C6" s="22" t="inlineStr">
        <is>
          <t>State Water Board eAR Section 4</t>
        </is>
      </c>
    </row>
    <row r="7">
      <c r="A7" s="20" t="inlineStr">
        <is>
          <t>Total annual revenue (eAR Section 8b B1.8)</t>
        </is>
      </c>
      <c r="B7" s="21" t="n"/>
      <c r="C7" s="22" t="inlineStr">
        <is>
          <t>eAR Section 8b total annual revenue not reported for this system.</t>
        </is>
      </c>
    </row>
    <row r="8">
      <c r="A8" s="20" t="inlineStr">
        <is>
          <t>Primary source</t>
        </is>
      </c>
      <c r="B8" s="21" t="inlineStr"/>
      <c r="C8" s="22"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3" t="inlineStr">
        <is>
          <t>not reported</t>
        </is>
      </c>
      <c r="C12" s="24" t="inlineStr">
        <is>
          <t>not reported</t>
        </is>
      </c>
      <c r="D12" s="24" t="inlineStr">
        <is>
          <t>not reported</t>
        </is>
      </c>
      <c r="E12" s="24" t="inlineStr">
        <is>
          <t>not reported</t>
        </is>
      </c>
    </row>
    <row r="13">
      <c r="A13" s="8" t="inlineStr">
        <is>
          <t>Assessment revenue (990 program-service revenue not matched to eAR water-rate revenue)</t>
        </is>
      </c>
      <c r="B13" s="23" t="inlineStr">
        <is>
          <t>IMPOSSIBLE</t>
        </is>
      </c>
      <c r="C13" s="24" t="inlineStr">
        <is>
          <t>IMPOSSIBLE</t>
        </is>
      </c>
      <c r="D13" s="24" t="inlineStr">
        <is>
          <t>IMPOSSIBLE</t>
        </is>
      </c>
      <c r="E13" s="24" t="inlineStr">
        <is>
          <t>IMPOSSIBLE</t>
        </is>
      </c>
    </row>
    <row r="14">
      <c r="A14" s="8" t="inlineStr">
        <is>
          <t>Meter revenue</t>
        </is>
      </c>
      <c r="B14" s="23" t="inlineStr">
        <is>
          <t>not reported</t>
        </is>
      </c>
      <c r="C14" s="24" t="inlineStr">
        <is>
          <t>not reported</t>
        </is>
      </c>
      <c r="D14" s="24" t="inlineStr">
        <is>
          <t>not reported</t>
        </is>
      </c>
      <c r="E14" s="24" t="inlineStr">
        <is>
          <t>not reported</t>
        </is>
      </c>
    </row>
    <row r="15">
      <c r="A15" s="8" t="inlineStr">
        <is>
          <t>Overage or tiered penalty revenue</t>
        </is>
      </c>
      <c r="B15" s="23" t="inlineStr">
        <is>
          <t>not reported</t>
        </is>
      </c>
      <c r="C15" s="24" t="inlineStr">
        <is>
          <t>not reported</t>
        </is>
      </c>
      <c r="D15" s="24" t="inlineStr">
        <is>
          <t>not reported</t>
        </is>
      </c>
      <c r="E15" s="24"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Gill Creek Mutual Water Company</t>
        </is>
      </c>
    </row>
    <row r="2">
      <c r="A2" s="2" t="inlineStr">
        <is>
          <t>Rate structure and representative bill - eAR Section 8a</t>
        </is>
      </c>
    </row>
    <row r="3">
      <c r="A3" s="2" t="inlineStr">
        <is>
          <t>Entity ID: cawc_0169   |   Fiscal year ends March 31.</t>
        </is>
      </c>
    </row>
    <row r="5" ht="81" customHeight="1">
      <c r="A5" s="25"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Gill Creek Mutual Water Company</t>
        </is>
      </c>
    </row>
    <row r="2">
      <c r="A2" s="2" t="inlineStr">
        <is>
          <t>Operational metrics - plant per acre, density, terrain</t>
        </is>
      </c>
    </row>
    <row r="3">
      <c r="A3" s="2" t="inlineStr">
        <is>
          <t>Entity ID: cawc_0169   |   Fiscal year ends March 31.</t>
        </is>
      </c>
    </row>
    <row r="5">
      <c r="A5" s="6" t="inlineStr">
        <is>
          <t>Plant assets per acre</t>
        </is>
      </c>
      <c r="B5" s="7" t="n"/>
      <c r="C5" s="7" t="n"/>
    </row>
    <row r="6">
      <c r="A6" s="20" t="inlineStr">
        <is>
          <t>Service-area acres</t>
        </is>
      </c>
      <c r="B6" s="26" t="n">
        <v>106.3</v>
      </c>
      <c r="C6" s="22" t="inlineStr">
        <is>
          <t>Geodesic area (WGS84 spherical excess) of the SABL service-area polygon.</t>
        </is>
      </c>
    </row>
    <row r="7">
      <c r="A7" s="5" t="inlineStr">
        <is>
          <t>Fiscal year</t>
        </is>
      </c>
      <c r="B7" s="5" t="inlineStr">
        <is>
          <t>Gross plant per acre (primary)</t>
        </is>
      </c>
      <c r="C7" s="5" t="inlineStr">
        <is>
          <t>Net plant per acre</t>
        </is>
      </c>
    </row>
    <row r="8">
      <c r="A8" s="18" t="inlineStr">
        <is>
          <t>FY2021</t>
        </is>
      </c>
      <c r="B8" s="9" t="n"/>
      <c r="C8" s="9" t="n">
        <v>777.9962</v>
      </c>
    </row>
    <row r="9">
      <c r="A9" s="18" t="inlineStr">
        <is>
          <t>FY2022</t>
        </is>
      </c>
      <c r="B9" s="9" t="n"/>
      <c r="C9" s="9" t="n">
        <v>758.2032</v>
      </c>
    </row>
    <row r="10">
      <c r="A10" s="18" t="inlineStr">
        <is>
          <t>FY2023</t>
        </is>
      </c>
      <c r="B10" s="9" t="n"/>
      <c r="C10" s="9" t="n"/>
    </row>
    <row r="11">
      <c r="A11" s="18" t="inlineStr">
        <is>
          <t>FY2024</t>
        </is>
      </c>
      <c r="B11" s="9" t="n"/>
      <c r="C11" s="9" t="n"/>
    </row>
    <row r="12">
      <c r="A12" s="18" t="inlineStr">
        <is>
          <t>FY2025</t>
        </is>
      </c>
      <c r="B12" s="9" t="n">
        <v>4831.7592</v>
      </c>
      <c r="C12" s="9" t="n">
        <v>2171.5334</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0" t="inlineStr">
        <is>
          <t>Connections per acre</t>
        </is>
      </c>
      <c r="B19" s="19" t="n">
        <v>0.87</v>
      </c>
      <c r="C19" s="22" t="inlineStr">
        <is>
          <t>92 connections / 106.3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Gill Creek Mutual Water Company</t>
        </is>
      </c>
    </row>
    <row r="2">
      <c r="A2" s="2" t="inlineStr">
        <is>
          <t>Supply and weather indicators (DWR water year)</t>
        </is>
      </c>
    </row>
    <row r="3">
      <c r="A3" s="2" t="inlineStr">
        <is>
          <t>Entity ID: cawc_0169   |   Fiscal year ends March 31.</t>
        </is>
      </c>
    </row>
    <row r="5" ht="96" customHeight="1">
      <c r="A5" s="3" t="inlineStr">
        <is>
          <t>Reporting calendar: Different reporting periods. The DWR water year runs October 1 to September 30; this system's fiscal year ends March 31, so the two period ends are six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7" t="inlineStr">
        <is>
          <t>Critical</t>
        </is>
      </c>
      <c r="C8" s="27" t="inlineStr">
        <is>
          <t>Critical</t>
        </is>
      </c>
      <c r="D8" s="27" t="inlineStr">
        <is>
          <t>Wet</t>
        </is>
      </c>
      <c r="E8" s="27" t="inlineStr">
        <is>
          <t>Above Normal</t>
        </is>
      </c>
      <c r="F8" s="28" t="inlineStr">
        <is>
          <t>not reported</t>
        </is>
      </c>
    </row>
    <row r="9">
      <c r="A9" s="8" t="inlineStr">
        <is>
          <t>Peak drought, county County</t>
        </is>
      </c>
      <c r="B9" s="28" t="inlineStr">
        <is>
          <t>not reported</t>
        </is>
      </c>
      <c r="C9" s="28" t="inlineStr">
        <is>
          <t>not reported</t>
        </is>
      </c>
      <c r="D9" s="28" t="inlineStr">
        <is>
          <t>not reported</t>
        </is>
      </c>
      <c r="E9" s="28" t="inlineStr">
        <is>
          <t>not reported</t>
        </is>
      </c>
      <c r="F9" s="28" t="inlineStr">
        <is>
          <t>not reported</t>
        </is>
      </c>
    </row>
    <row r="10">
      <c r="A10" s="8" t="inlineStr">
        <is>
          <t>Precip, percent of normal (8-Station Index)</t>
        </is>
      </c>
      <c r="B10" s="27" t="inlineStr">
        <is>
          <t>48</t>
        </is>
      </c>
      <c r="C10" s="27" t="inlineStr">
        <is>
          <t>86</t>
        </is>
      </c>
      <c r="D10" s="27" t="inlineStr">
        <is>
          <t>133</t>
        </is>
      </c>
      <c r="E10" s="27" t="inlineStr">
        <is>
          <t>96</t>
        </is>
      </c>
      <c r="F10" s="27" t="inlineStr">
        <is>
          <t>113</t>
        </is>
      </c>
    </row>
    <row r="11">
      <c r="A11" s="8" t="inlineStr">
        <is>
          <t>Snowpack, April 1 percent of average</t>
        </is>
      </c>
      <c r="B11" s="27" t="inlineStr">
        <is>
          <t>59%</t>
        </is>
      </c>
      <c r="C11" s="27" t="inlineStr">
        <is>
          <t>38%</t>
        </is>
      </c>
      <c r="D11" s="27" t="inlineStr">
        <is>
          <t>237%</t>
        </is>
      </c>
      <c r="E11" s="27" t="inlineStr">
        <is>
          <t>110%</t>
        </is>
      </c>
      <c r="F11" s="27" t="inlineStr">
        <is>
          <t>96%</t>
        </is>
      </c>
    </row>
    <row r="12">
      <c r="A12" s="8" t="inlineStr">
        <is>
          <t>State Water Project allocation</t>
        </is>
      </c>
      <c r="B12" s="27" t="inlineStr">
        <is>
          <t>5%</t>
        </is>
      </c>
      <c r="C12" s="27" t="inlineStr">
        <is>
          <t>5%</t>
        </is>
      </c>
      <c r="D12" s="27" t="inlineStr">
        <is>
          <t>100%</t>
        </is>
      </c>
      <c r="E12" s="27" t="inlineStr">
        <is>
          <t>40%</t>
        </is>
      </c>
      <c r="F12" s="27"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Gill Creek Mutual Water Company</t>
        </is>
      </c>
    </row>
    <row r="2">
      <c r="A2" s="2" t="inlineStr">
        <is>
          <t>How this was built - forensic lineage</t>
        </is>
      </c>
    </row>
    <row r="3">
      <c r="A3" s="2" t="inlineStr">
        <is>
          <t>Entity ID: cawc_0169   |   Fiscal year ends March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0" t="inlineStr">
        <is>
          <t>Sources checked</t>
        </is>
      </c>
      <c r="B8" s="22" t="inlineStr">
        <is>
          <t>State Water Board eAR Section 8b (water-rate revenue B1.1/B1.2); State Water Board eAR Section 4 (connection count, same reporting year); audited financial statement (secondary cross-check, where published)</t>
        </is>
      </c>
    </row>
    <row r="9" ht="72" customHeight="1">
      <c r="A9" s="20" t="inlineStr">
        <is>
          <t>What was found</t>
        </is>
      </c>
      <c r="B9" s="22"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0" t="inlineStr">
        <is>
          <t>Sources checked</t>
        </is>
      </c>
      <c r="B12" s="22" t="inlineStr">
        <is>
          <t>Form 990 Part VIII line 2 (program-service revenue); State Water Board eAR Section 8b (water-rate revenue B1.1/B1.2); eAR Section 8b filer comment (WRRevenueComments)</t>
        </is>
      </c>
    </row>
    <row r="13" ht="72" customHeight="1">
      <c r="A13" s="20" t="inlineStr">
        <is>
          <t>What was found</t>
        </is>
      </c>
      <c r="B13" s="22" t="inlineStr">
        <is>
          <t>A period-aligned residual cannot be computed for this filer, so the metric is rendered IMPOSSIBLE rather than guessed.</t>
        </is>
      </c>
    </row>
    <row r="14" ht="72" customHeight="1">
      <c r="A14" s="20" t="inlineStr">
        <is>
          <t>Caveat</t>
        </is>
      </c>
      <c r="B14" s="22"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0" t="inlineStr">
        <is>
          <t>Sources checked</t>
        </is>
      </c>
      <c r="B17" s="22" t="inlineStr">
        <is>
          <t>State Water Board eAR Section 8a (rate prices); State Water Board eAR Section 8b (revenue lines); audited financial statement</t>
        </is>
      </c>
    </row>
    <row r="18" ht="72" customHeight="1">
      <c r="A18" s="20" t="inlineStr">
        <is>
          <t>What was found</t>
        </is>
      </c>
      <c r="B18" s="22" t="inlineStr">
        <is>
          <t>The rate price exists in Section 8a but no revenue or tier volume is reported, and the base charge is already inside water sales.</t>
        </is>
      </c>
    </row>
    <row r="19" ht="72" customHeight="1">
      <c r="A19" s="20" t="inlineStr">
        <is>
          <t>Caveat</t>
        </is>
      </c>
      <c r="B19" s="22"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0" t="inlineStr">
        <is>
          <t>Sources checked</t>
        </is>
      </c>
      <c r="B22" s="22" t="inlineStr">
        <is>
          <t>State Water Board eAR Section 8a (rate prices); State Water Board eAR Section 8b (revenue lines); audited financial statement</t>
        </is>
      </c>
    </row>
    <row r="23" ht="72" customHeight="1">
      <c r="A23" s="20" t="inlineStr">
        <is>
          <t>What was found</t>
        </is>
      </c>
      <c r="B23" s="22" t="inlineStr">
        <is>
          <t>The rate price exists in Section 8a but no revenue or tier volume is reported, and the base charge is already inside water sales.</t>
        </is>
      </c>
    </row>
    <row r="24" ht="72" customHeight="1">
      <c r="A24" s="20" t="inlineStr">
        <is>
          <t>Caveat</t>
        </is>
      </c>
      <c r="B24" s="22"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0" t="inlineStr">
        <is>
          <t>Sources checked</t>
        </is>
      </c>
      <c r="B27" s="22" t="inlineStr">
        <is>
          <t>eAR Section 8b B0.1 (WRFinancialReportingPeriod); eAR Section 8b B0.2 (WRFiscalYearStartDate)</t>
        </is>
      </c>
    </row>
    <row r="28" ht="72" customHeight="1">
      <c r="A28" s="20" t="inlineStr">
        <is>
          <t>What was found</t>
        </is>
      </c>
      <c r="B28" s="22"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0" t="inlineStr">
        <is>
          <t>Sources checked</t>
        </is>
      </c>
      <c r="B31" s="22" t="inlineStr">
        <is>
          <t>Form 990 (no member count stated); company website</t>
        </is>
      </c>
    </row>
    <row r="32" ht="72" customHeight="1">
      <c r="A32" s="20" t="inlineStr">
        <is>
          <t>What was found</t>
        </is>
      </c>
      <c r="B32" s="22"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0" t="inlineStr">
        <is>
          <t>Sources checked</t>
        </is>
      </c>
      <c r="B35" s="22" t="inlineStr">
        <is>
          <t>Form 990 (not in the filing); Consumer Confidence Report; eAR Section 6 (PRA-gated)</t>
        </is>
      </c>
    </row>
    <row r="36" ht="72" customHeight="1">
      <c r="A36" s="20" t="inlineStr">
        <is>
          <t>What was found</t>
        </is>
      </c>
      <c r="B36" s="22"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58"/>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Gill Creek Mutual Water Company</t>
        </is>
      </c>
    </row>
    <row r="2">
      <c r="A2" s="2" t="inlineStr">
        <is>
          <t>Sources &amp; audit - full provenance and tie-outs (kept off the statements so they read clean)</t>
        </is>
      </c>
    </row>
    <row r="3">
      <c r="A3" s="2" t="inlineStr">
        <is>
          <t>Entity ID: cawc_0169   |   Fiscal year ends March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9"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7" t="inlineStr">
        <is>
          <t>FY2020</t>
        </is>
      </c>
      <c r="B10" s="8" t="inlineStr">
        <is>
          <t>2020-03-31</t>
        </is>
      </c>
      <c r="C10" s="8" t="inlineStr">
        <is>
          <t>990-EZ</t>
        </is>
      </c>
      <c r="D10" s="8" t="inlineStr">
        <is>
          <t>high</t>
        </is>
      </c>
      <c r="E10" s="8" t="inlineStr">
        <is>
          <t>3a0b88ef-640c-46c0-aaaa-0ef0ee5455c2</t>
        </is>
      </c>
      <c r="F10" s="8" t="inlineStr">
        <is>
          <t>202002529349200165</t>
        </is>
      </c>
      <c r="G10" s="8" t="inlineStr">
        <is>
          <t>claude-opus-5</t>
        </is>
      </c>
      <c r="H10" s="8" t="inlineStr">
        <is>
          <t>2026-10-05T16:06:10+00:00</t>
        </is>
      </c>
      <c r="I10" s="8" t="inlineStr">
        <is>
          <t>https://apps.irs.gov/pub/epostcard/990/xml/2020/download990xml_2020_1.zip#202002529349200165_public.xml</t>
        </is>
      </c>
    </row>
    <row r="11">
      <c r="A11" s="27" t="inlineStr">
        <is>
          <t>FY2021</t>
        </is>
      </c>
      <c r="B11" s="8" t="inlineStr">
        <is>
          <t>2021-03-31</t>
        </is>
      </c>
      <c r="C11" s="8" t="inlineStr">
        <is>
          <t>990-EZ</t>
        </is>
      </c>
      <c r="D11" s="8" t="inlineStr">
        <is>
          <t>high</t>
        </is>
      </c>
      <c r="E11" s="8" t="inlineStr">
        <is>
          <t>d6038090-3746-4630-a818-0f1cec06184c</t>
        </is>
      </c>
      <c r="F11" s="8" t="inlineStr">
        <is>
          <t>202112369349200126</t>
        </is>
      </c>
      <c r="G11" s="8" t="inlineStr">
        <is>
          <t>claude-opus-5</t>
        </is>
      </c>
      <c r="H11" s="8" t="inlineStr">
        <is>
          <t>2026-10-05T16:06:10+00:00</t>
        </is>
      </c>
      <c r="I11" s="8" t="inlineStr">
        <is>
          <t>https://apps.irs.gov/pub/epostcard/990/xml/2021/2021_TEOS_XML_01A.zip#202112369349200126_public.xml</t>
        </is>
      </c>
    </row>
    <row r="12">
      <c r="A12" s="27" t="inlineStr">
        <is>
          <t>FY2022</t>
        </is>
      </c>
      <c r="B12" s="8" t="inlineStr">
        <is>
          <t>2022-03-31</t>
        </is>
      </c>
      <c r="C12" s="8" t="inlineStr">
        <is>
          <t>990-EZ</t>
        </is>
      </c>
      <c r="D12" s="8" t="inlineStr">
        <is>
          <t>high</t>
        </is>
      </c>
      <c r="E12" s="8" t="inlineStr">
        <is>
          <t>9d186f7e-53dc-4279-bc13-cf826ee25cf5</t>
        </is>
      </c>
      <c r="F12" s="8" t="inlineStr">
        <is>
          <t>202241519349200319</t>
        </is>
      </c>
      <c r="G12" s="8" t="inlineStr">
        <is>
          <t>claude-opus-5</t>
        </is>
      </c>
      <c r="H12" s="8" t="inlineStr">
        <is>
          <t>2026-10-05T16:06:10+00:00</t>
        </is>
      </c>
      <c r="I12" s="8" t="inlineStr">
        <is>
          <t>https://apps.irs.gov/pub/epostcard/990/xml/2022/2022_TEOS_XML_01A.zip#202241519349200319_public.xml</t>
        </is>
      </c>
    </row>
    <row r="13">
      <c r="A13" s="27" t="inlineStr">
        <is>
          <t>FY2023</t>
        </is>
      </c>
      <c r="B13" s="8" t="inlineStr">
        <is>
          <t>2023-03-31</t>
        </is>
      </c>
      <c r="C13" s="8" t="inlineStr">
        <is>
          <t>990-EZ</t>
        </is>
      </c>
      <c r="D13" s="8" t="inlineStr">
        <is>
          <t>high</t>
        </is>
      </c>
      <c r="E13" s="8" t="inlineStr">
        <is>
          <t>ac76f20e-d696-49df-b9d8-e8077471c4ca</t>
        </is>
      </c>
      <c r="F13" s="8" t="inlineStr">
        <is>
          <t>202312589349201506</t>
        </is>
      </c>
      <c r="G13" s="8" t="inlineStr">
        <is>
          <t>claude-opus-5</t>
        </is>
      </c>
      <c r="H13" s="8" t="inlineStr">
        <is>
          <t>2026-10-05T16:06:10+00:00</t>
        </is>
      </c>
      <c r="I13" s="8" t="inlineStr">
        <is>
          <t>https://apps.irs.gov/pub/epostcard/990/xml/2023/2023_TEOS_XML_09A.zip#202312589349201506_public.xml</t>
        </is>
      </c>
    </row>
    <row r="14">
      <c r="A14" s="27" t="inlineStr">
        <is>
          <t>FY2024</t>
        </is>
      </c>
      <c r="B14" s="8" t="inlineStr">
        <is>
          <t>2024-03-31</t>
        </is>
      </c>
      <c r="C14" s="8" t="inlineStr">
        <is>
          <t>990-EZ</t>
        </is>
      </c>
      <c r="D14" s="8" t="inlineStr">
        <is>
          <t>high</t>
        </is>
      </c>
      <c r="E14" s="8" t="inlineStr">
        <is>
          <t>c212bb7e-283d-4f1f-a36c-13599e7b770f</t>
        </is>
      </c>
      <c r="F14" s="8" t="inlineStr">
        <is>
          <t>202401939349201355</t>
        </is>
      </c>
      <c r="G14" s="8" t="inlineStr">
        <is>
          <t>claude-opus-5</t>
        </is>
      </c>
      <c r="H14" s="8" t="inlineStr">
        <is>
          <t>2026-10-05T16:06:10+00:00</t>
        </is>
      </c>
      <c r="I14" s="8" t="inlineStr">
        <is>
          <t>https://apps.irs.gov/pub/epostcard/990/xml/2024/2024_TEOS_XML_07A.zip#202401939349201355_public.xml</t>
        </is>
      </c>
    </row>
    <row r="15">
      <c r="A15" s="27" t="inlineStr">
        <is>
          <t>FY2025</t>
        </is>
      </c>
      <c r="B15" s="8" t="inlineStr">
        <is>
          <t>2025-03-31</t>
        </is>
      </c>
      <c r="C15" s="8" t="inlineStr">
        <is>
          <t>990</t>
        </is>
      </c>
      <c r="D15" s="8" t="inlineStr">
        <is>
          <t>high</t>
        </is>
      </c>
      <c r="E15" s="8" t="inlineStr">
        <is>
          <t>28191bce-e220-4ab0-ab3a-c55cc9864c21</t>
        </is>
      </c>
      <c r="F15" s="8" t="inlineStr">
        <is>
          <t>202532409349300863</t>
        </is>
      </c>
      <c r="G15" s="8" t="inlineStr">
        <is>
          <t>claude-opus-5</t>
        </is>
      </c>
      <c r="H15" s="8" t="inlineStr">
        <is>
          <t>2026-10-05T16:06:10+00:00</t>
        </is>
      </c>
      <c r="I15" s="8" t="inlineStr">
        <is>
          <t>https://apps.irs.gov/pub/epostcard/990/xml/2025/2025_TEOS_XML_09A.zip#202532409349300863_public.xml</t>
        </is>
      </c>
    </row>
    <row r="17">
      <c r="A17" s="29"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Revenue (detail)</t>
        </is>
      </c>
      <c r="B19" s="8" t="inlineStr">
        <is>
          <t>B8</t>
        </is>
      </c>
      <c r="C19" s="8" t="inlineStr">
        <is>
          <t>2g. Total program service revenue</t>
        </is>
      </c>
      <c r="D19" s="8" t="inlineStr">
        <is>
          <t>2g</t>
        </is>
      </c>
      <c r="E19" s="8" t="inlineStr">
        <is>
          <t>part_viii_revenue.total_program_service_revenue</t>
        </is>
      </c>
      <c r="F19" s="8" t="inlineStr">
        <is>
          <t>high</t>
        </is>
      </c>
      <c r="G19" s="9" t="n">
        <v>173093</v>
      </c>
    </row>
    <row r="20">
      <c r="A20" s="8" t="inlineStr">
        <is>
          <t>Revenue (detail)</t>
        </is>
      </c>
      <c r="B20" s="8" t="inlineStr">
        <is>
          <t>B9</t>
        </is>
      </c>
      <c r="C20" s="8" t="inlineStr">
        <is>
          <t>3. Investment income</t>
        </is>
      </c>
      <c r="D20" s="8" t="inlineStr">
        <is>
          <t>3</t>
        </is>
      </c>
      <c r="E20" s="8" t="inlineStr">
        <is>
          <t>part_viii_revenue.investment_income</t>
        </is>
      </c>
      <c r="F20" s="8" t="inlineStr">
        <is>
          <t>high</t>
        </is>
      </c>
      <c r="G20" s="9" t="n">
        <v>8778</v>
      </c>
    </row>
    <row r="21">
      <c r="A21" s="8" t="inlineStr">
        <is>
          <t>Revenue (detail)</t>
        </is>
      </c>
      <c r="B21" s="8" t="inlineStr">
        <is>
          <t>B12</t>
        </is>
      </c>
      <c r="C21" s="8" t="inlineStr">
        <is>
          <t>11e. Other revenue</t>
        </is>
      </c>
      <c r="D21" s="8" t="inlineStr">
        <is>
          <t>11e</t>
        </is>
      </c>
      <c r="E21" s="8" t="inlineStr">
        <is>
          <t>part_viii_revenue.other_revenue_total</t>
        </is>
      </c>
      <c r="F21" s="8" t="inlineStr">
        <is>
          <t>high</t>
        </is>
      </c>
      <c r="G21" s="9" t="n">
        <v>48000</v>
      </c>
    </row>
    <row r="22">
      <c r="A22" s="8" t="inlineStr">
        <is>
          <t>Operating expenses (detail)</t>
        </is>
      </c>
      <c r="B22" s="8" t="inlineStr">
        <is>
          <t>B7</t>
        </is>
      </c>
      <c r="C22" s="8" t="inlineStr">
        <is>
          <t>7. Other salaries and wages</t>
        </is>
      </c>
      <c r="D22" s="8" t="inlineStr">
        <is>
          <t>7</t>
        </is>
      </c>
      <c r="E22" s="8" t="inlineStr">
        <is>
          <t>part_ix_expenses.other_salaries_and_wages</t>
        </is>
      </c>
      <c r="F22" s="8" t="inlineStr">
        <is>
          <t>high</t>
        </is>
      </c>
      <c r="G22" s="9" t="n">
        <v>30900</v>
      </c>
    </row>
    <row r="23">
      <c r="A23" s="8" t="inlineStr">
        <is>
          <t>Operating expenses (detail)</t>
        </is>
      </c>
      <c r="B23" s="8" t="inlineStr">
        <is>
          <t>B8</t>
        </is>
      </c>
      <c r="C23" s="8" t="inlineStr">
        <is>
          <t>10. Payroll taxes</t>
        </is>
      </c>
      <c r="D23" s="8" t="inlineStr">
        <is>
          <t>10</t>
        </is>
      </c>
      <c r="E23" s="8" t="inlineStr">
        <is>
          <t>part_ix_expenses.payroll_taxes</t>
        </is>
      </c>
      <c r="F23" s="8" t="inlineStr">
        <is>
          <t>high</t>
        </is>
      </c>
      <c r="G23" s="9" t="n">
        <v>4933</v>
      </c>
    </row>
    <row r="24">
      <c r="A24" s="8" t="inlineStr">
        <is>
          <t>Operating expenses (detail)</t>
        </is>
      </c>
      <c r="B24" s="8" t="inlineStr">
        <is>
          <t>B9</t>
        </is>
      </c>
      <c r="C24" s="8" t="inlineStr">
        <is>
          <t>11g. Fees for services: other</t>
        </is>
      </c>
      <c r="D24" s="8" t="inlineStr">
        <is>
          <t>11g</t>
        </is>
      </c>
      <c r="E24" s="8" t="inlineStr">
        <is>
          <t>part_ix_expenses.fees_other</t>
        </is>
      </c>
      <c r="F24" s="8" t="inlineStr">
        <is>
          <t>high</t>
        </is>
      </c>
      <c r="G24" s="9" t="n">
        <v>3428</v>
      </c>
    </row>
    <row r="25">
      <c r="A25" s="8" t="inlineStr">
        <is>
          <t>Operating expenses (detail)</t>
        </is>
      </c>
      <c r="B25" s="8" t="inlineStr">
        <is>
          <t>B10</t>
        </is>
      </c>
      <c r="C25" s="8" t="inlineStr">
        <is>
          <t>13. Office expenses</t>
        </is>
      </c>
      <c r="D25" s="8" t="inlineStr">
        <is>
          <t>13</t>
        </is>
      </c>
      <c r="E25" s="8" t="inlineStr">
        <is>
          <t>part_ix_expenses.office_expenses</t>
        </is>
      </c>
      <c r="F25" s="8" t="inlineStr">
        <is>
          <t>high</t>
        </is>
      </c>
      <c r="G25" s="9" t="n">
        <v>3233</v>
      </c>
    </row>
    <row r="26">
      <c r="A26" s="8" t="inlineStr">
        <is>
          <t>Operating expenses (detail)</t>
        </is>
      </c>
      <c r="B26" s="8" t="inlineStr">
        <is>
          <t>B11</t>
        </is>
      </c>
      <c r="C26" s="8" t="inlineStr">
        <is>
          <t>22. Depreciation, depletion, and amortization</t>
        </is>
      </c>
      <c r="D26" s="8" t="inlineStr">
        <is>
          <t>22</t>
        </is>
      </c>
      <c r="E26" s="8" t="inlineStr">
        <is>
          <t>part_ix_expenses.depreciation</t>
        </is>
      </c>
      <c r="F26" s="8" t="inlineStr">
        <is>
          <t>high</t>
        </is>
      </c>
      <c r="G26" s="9" t="n">
        <v>21771</v>
      </c>
    </row>
    <row r="27">
      <c r="A27" s="8" t="inlineStr">
        <is>
          <t>Operating expenses (detail)</t>
        </is>
      </c>
      <c r="B27" s="8" t="inlineStr">
        <is>
          <t>B12</t>
        </is>
      </c>
      <c r="C27" s="8" t="inlineStr">
        <is>
          <t>23. Insurance</t>
        </is>
      </c>
      <c r="D27" s="8" t="inlineStr">
        <is>
          <t>23</t>
        </is>
      </c>
      <c r="E27" s="8" t="inlineStr">
        <is>
          <t>part_ix_expenses.insurance</t>
        </is>
      </c>
      <c r="F27" s="8" t="inlineStr">
        <is>
          <t>high</t>
        </is>
      </c>
      <c r="G27" s="9" t="n">
        <v>10329</v>
      </c>
    </row>
    <row r="28">
      <c r="A28" s="8" t="inlineStr">
        <is>
          <t>Operating expenses (detail)</t>
        </is>
      </c>
      <c r="B28" s="8" t="inlineStr">
        <is>
          <t>B17</t>
        </is>
      </c>
      <c r="C28" s="8" t="inlineStr">
        <is>
          <t>24e. All other expenses</t>
        </is>
      </c>
      <c r="D28" s="8" t="inlineStr">
        <is>
          <t>24e</t>
        </is>
      </c>
      <c r="E28" s="8" t="inlineStr">
        <is>
          <t>part_ix_expenses.all_other_expenses</t>
        </is>
      </c>
      <c r="F28" s="8" t="inlineStr">
        <is>
          <t>high</t>
        </is>
      </c>
      <c r="G28" s="9" t="n">
        <v>7567</v>
      </c>
    </row>
    <row r="29">
      <c r="A29" s="8" t="inlineStr">
        <is>
          <t>Balance sheet (detail)</t>
        </is>
      </c>
      <c r="B29" s="8" t="inlineStr">
        <is>
          <t>B7</t>
        </is>
      </c>
      <c r="C29" s="8" t="inlineStr">
        <is>
          <t>1. Cash - non-interest-bearing</t>
        </is>
      </c>
      <c r="D29" s="8" t="inlineStr">
        <is>
          <t>1E</t>
        </is>
      </c>
      <c r="E29" s="8" t="inlineStr">
        <is>
          <t>part_x_balance_sheet.cash_noninterest_eoy</t>
        </is>
      </c>
      <c r="F29" s="8" t="inlineStr">
        <is>
          <t>high</t>
        </is>
      </c>
      <c r="G29" s="9" t="n">
        <v>27524</v>
      </c>
    </row>
    <row r="30">
      <c r="A30" s="8" t="inlineStr">
        <is>
          <t>Balance sheet (detail)</t>
        </is>
      </c>
      <c r="B30" s="8" t="inlineStr">
        <is>
          <t>B8</t>
        </is>
      </c>
      <c r="C30" s="8" t="inlineStr">
        <is>
          <t>2. Savings and temporary cash investments</t>
        </is>
      </c>
      <c r="D30" s="8" t="inlineStr">
        <is>
          <t>2E</t>
        </is>
      </c>
      <c r="E30" s="8" t="inlineStr">
        <is>
          <t>part_x_balance_sheet.savings_temp_invest_eoy</t>
        </is>
      </c>
      <c r="F30" s="8" t="inlineStr">
        <is>
          <t>high</t>
        </is>
      </c>
      <c r="G30" s="9" t="n">
        <v>198416</v>
      </c>
    </row>
    <row r="31">
      <c r="A31" s="8" t="inlineStr">
        <is>
          <t>Balance sheet (detail)</t>
        </is>
      </c>
      <c r="B31" s="8" t="inlineStr">
        <is>
          <t>B9</t>
        </is>
      </c>
      <c r="C31" s="8" t="inlineStr">
        <is>
          <t>4. Accounts receivable, net</t>
        </is>
      </c>
      <c r="D31" s="8" t="inlineStr">
        <is>
          <t>4E</t>
        </is>
      </c>
      <c r="E31" s="8" t="inlineStr">
        <is>
          <t>part_x_balance_sheet.accounts_receivable_eoy</t>
        </is>
      </c>
      <c r="F31" s="8" t="inlineStr">
        <is>
          <t>high</t>
        </is>
      </c>
      <c r="G31" s="9" t="n">
        <v>-4005</v>
      </c>
    </row>
    <row r="32">
      <c r="A32" s="8" t="inlineStr">
        <is>
          <t>Balance sheet (detail)</t>
        </is>
      </c>
      <c r="B32" s="8" t="inlineStr">
        <is>
          <t>B10</t>
        </is>
      </c>
      <c r="C32" s="8" t="inlineStr">
        <is>
          <t>9. Prepaid expenses and deferred charges</t>
        </is>
      </c>
      <c r="D32" s="8" t="inlineStr">
        <is>
          <t>9E</t>
        </is>
      </c>
      <c r="E32" s="8" t="inlineStr">
        <is>
          <t>part_x_balance_sheet.prepaid_expenses_eoy</t>
        </is>
      </c>
      <c r="F32" s="8" t="inlineStr">
        <is>
          <t>high</t>
        </is>
      </c>
      <c r="G32" s="9" t="n">
        <v>56000</v>
      </c>
    </row>
    <row r="33">
      <c r="A33" s="8" t="inlineStr">
        <is>
          <t>Balance sheet (detail)</t>
        </is>
      </c>
      <c r="B33" s="8" t="inlineStr">
        <is>
          <t>B11</t>
        </is>
      </c>
      <c r="C33" s="8" t="inlineStr">
        <is>
          <t>10c. Land, buildings, and equipment, net</t>
        </is>
      </c>
      <c r="D33" s="8" t="inlineStr">
        <is>
          <t>10cE</t>
        </is>
      </c>
      <c r="E33" s="8" t="inlineStr">
        <is>
          <t>part_x_balance_sheet.land_bldg_equip_net_eoy</t>
        </is>
      </c>
      <c r="F33" s="8" t="inlineStr">
        <is>
          <t>high</t>
        </is>
      </c>
      <c r="G33" s="9" t="n">
        <v>230834</v>
      </c>
    </row>
    <row r="34">
      <c r="A34" s="8" t="inlineStr">
        <is>
          <t>Balance sheet (detail)</t>
        </is>
      </c>
      <c r="B34" s="8" t="inlineStr">
        <is>
          <t>B12</t>
        </is>
      </c>
      <c r="C34" s="8" t="inlineStr">
        <is>
          <t>15. Other assets</t>
        </is>
      </c>
      <c r="D34" s="8" t="inlineStr">
        <is>
          <t>15E</t>
        </is>
      </c>
      <c r="E34" s="8" t="inlineStr">
        <is>
          <t>part_x_balance_sheet.other_assets_eoy</t>
        </is>
      </c>
      <c r="F34" s="8" t="inlineStr">
        <is>
          <t>high</t>
        </is>
      </c>
      <c r="G34" s="9" t="n">
        <v>9048</v>
      </c>
    </row>
    <row r="35">
      <c r="A35" s="8" t="inlineStr">
        <is>
          <t>Balance sheet (detail)</t>
        </is>
      </c>
      <c r="B35" s="8" t="inlineStr">
        <is>
          <t>B16</t>
        </is>
      </c>
      <c r="C35" s="8" t="inlineStr">
        <is>
          <t>25. Other liabilities</t>
        </is>
      </c>
      <c r="D35" s="8" t="inlineStr">
        <is>
          <t>25E</t>
        </is>
      </c>
      <c r="E35" s="8" t="inlineStr">
        <is>
          <t>part_x_balance_sheet.other_liabilities_eoy</t>
        </is>
      </c>
      <c r="F35" s="8" t="inlineStr">
        <is>
          <t>high</t>
        </is>
      </c>
      <c r="G35" s="9" t="n">
        <v>4165</v>
      </c>
    </row>
    <row r="36">
      <c r="A36" s="8" t="inlineStr">
        <is>
          <t>Balance sheet (detail)</t>
        </is>
      </c>
      <c r="B36" s="8" t="inlineStr">
        <is>
          <t>B20</t>
        </is>
      </c>
      <c r="C36" s="8" t="inlineStr">
        <is>
          <t>29. Capital stock or trust principal</t>
        </is>
      </c>
      <c r="D36" s="8" t="inlineStr">
        <is>
          <t>29E</t>
        </is>
      </c>
      <c r="E36" s="8" t="inlineStr">
        <is>
          <t>part_x_balance_sheet.cap_stock_eoy</t>
        </is>
      </c>
      <c r="F36" s="8" t="inlineStr">
        <is>
          <t>high</t>
        </is>
      </c>
      <c r="G36" s="9" t="n">
        <v>13080</v>
      </c>
    </row>
    <row r="37">
      <c r="A37" s="8" t="inlineStr">
        <is>
          <t>Balance sheet (detail)</t>
        </is>
      </c>
      <c r="B37" s="8" t="inlineStr">
        <is>
          <t>B21</t>
        </is>
      </c>
      <c r="C37" s="8" t="inlineStr">
        <is>
          <t>30. Paid-in or capital surplus</t>
        </is>
      </c>
      <c r="D37" s="8" t="inlineStr">
        <is>
          <t>30E</t>
        </is>
      </c>
      <c r="E37" s="8" t="inlineStr">
        <is>
          <t>part_x_balance_sheet.paid_in_capital_eoy</t>
        </is>
      </c>
      <c r="F37" s="8" t="inlineStr">
        <is>
          <t>high</t>
        </is>
      </c>
      <c r="G37" s="9" t="n">
        <v>187100</v>
      </c>
    </row>
    <row r="38">
      <c r="A38" s="8" t="inlineStr">
        <is>
          <t>Balance sheet (detail)</t>
        </is>
      </c>
      <c r="B38" s="8" t="inlineStr">
        <is>
          <t>B22</t>
        </is>
      </c>
      <c r="C38" s="8" t="inlineStr">
        <is>
          <t>31. Retained earnings / accumulated funds</t>
        </is>
      </c>
      <c r="D38" s="8" t="inlineStr">
        <is>
          <t>31E</t>
        </is>
      </c>
      <c r="E38" s="8" t="inlineStr">
        <is>
          <t>part_x_balance_sheet.retained_earnings_eoy</t>
        </is>
      </c>
      <c r="F38" s="8" t="inlineStr">
        <is>
          <t>high</t>
        </is>
      </c>
      <c r="G38" s="9" t="n">
        <v>313472</v>
      </c>
    </row>
    <row r="39">
      <c r="A39" s="8" t="inlineStr">
        <is>
          <t>Net-assets reconciliation</t>
        </is>
      </c>
      <c r="B39" s="8" t="inlineStr">
        <is>
          <t>B7</t>
        </is>
      </c>
      <c r="C39" s="8" t="inlineStr">
        <is>
          <t>4. Net assets, beginning of year</t>
        </is>
      </c>
      <c r="D39" s="8" t="inlineStr">
        <is>
          <t>Part XI line 4</t>
        </is>
      </c>
      <c r="E39" s="8" t="inlineStr">
        <is>
          <t>part_xi_reconciliation.net_assets_boy</t>
        </is>
      </c>
      <c r="F39" s="8" t="inlineStr">
        <is>
          <t>high</t>
        </is>
      </c>
      <c r="G39" s="9" t="n">
        <v>452779</v>
      </c>
    </row>
    <row r="40">
      <c r="A40" s="8" t="inlineStr">
        <is>
          <t>Net-assets reconciliation</t>
        </is>
      </c>
      <c r="B40" s="8" t="inlineStr">
        <is>
          <t>B8</t>
        </is>
      </c>
      <c r="C40" s="8" t="inlineStr">
        <is>
          <t>3. Revenue less expenses</t>
        </is>
      </c>
      <c r="D40" s="8" t="inlineStr">
        <is>
          <t>Part XI line 3</t>
        </is>
      </c>
      <c r="E40" s="8" t="inlineStr">
        <is>
          <t>part_xi_reconciliation.reconciliation_revenue_expenses</t>
        </is>
      </c>
      <c r="F40" s="8" t="inlineStr">
        <is>
          <t>high</t>
        </is>
      </c>
      <c r="G40" s="9" t="n">
        <v>60873</v>
      </c>
    </row>
    <row r="42">
      <c r="A42" s="29" t="inlineStr">
        <is>
          <t>C. Tie-out checks (filed vs computed; any nonzero variance is flagged red)</t>
        </is>
      </c>
      <c r="B42" s="7" t="n"/>
      <c r="C42" s="7" t="n"/>
      <c r="D42" s="7" t="n"/>
      <c r="E42" s="7" t="n"/>
      <c r="F42" s="7" t="n"/>
      <c r="G42" s="7" t="n"/>
      <c r="H42" s="7" t="n"/>
      <c r="I42" s="7" t="n"/>
      <c r="J42" s="7" t="n"/>
      <c r="K42" s="7" t="n"/>
    </row>
    <row r="43">
      <c r="A43" s="5" t="inlineStr">
        <is>
          <t>Tab</t>
        </is>
      </c>
      <c r="B43" s="5" t="inlineStr">
        <is>
          <t>Check</t>
        </is>
      </c>
      <c r="C43" s="5" t="inlineStr">
        <is>
          <t>Fiscal year</t>
        </is>
      </c>
      <c r="D43" s="5" t="inlineStr">
        <is>
          <t>Filed</t>
        </is>
      </c>
      <c r="E43" s="5" t="inlineStr">
        <is>
          <t>Computed</t>
        </is>
      </c>
      <c r="F43" s="5" t="inlineStr">
        <is>
          <t>Variance (computed - filed)</t>
        </is>
      </c>
    </row>
    <row r="44">
      <c r="A44" s="18" t="inlineStr">
        <is>
          <t>Revenue (detail)</t>
        </is>
      </c>
      <c r="B44" s="18" t="inlineStr">
        <is>
          <t>12. Total revenue</t>
        </is>
      </c>
      <c r="C44" s="18" t="inlineStr">
        <is>
          <t>FY2025</t>
        </is>
      </c>
      <c r="D44" s="9" t="n">
        <v>229871</v>
      </c>
      <c r="E44" s="9">
        <f>'Revenue (detail)'!B13</f>
        <v/>
      </c>
      <c r="F44" s="9">
        <f>E44-D44</f>
        <v/>
      </c>
    </row>
    <row r="45">
      <c r="A45" s="18" t="inlineStr">
        <is>
          <t>Revenue (detail)</t>
        </is>
      </c>
      <c r="B45" s="18" t="inlineStr">
        <is>
          <t>2g program service revenue = sum of lines 2a-2f (FY2025)</t>
        </is>
      </c>
      <c r="C45" s="18" t="inlineStr">
        <is>
          <t>FY2025</t>
        </is>
      </c>
      <c r="D45" s="9" t="n">
        <v>173093</v>
      </c>
      <c r="E45" s="9">
        <f>SUM('Revenue (detail)'!C17:C19)</f>
        <v/>
      </c>
      <c r="F45" s="9">
        <f>E45-D45</f>
        <v/>
      </c>
    </row>
    <row r="46">
      <c r="A46" s="18" t="inlineStr">
        <is>
          <t>Operating expenses (detail)</t>
        </is>
      </c>
      <c r="B46" s="18" t="inlineStr">
        <is>
          <t>25. Total functional expenses</t>
        </is>
      </c>
      <c r="C46" s="18" t="inlineStr">
        <is>
          <t>FY2025</t>
        </is>
      </c>
      <c r="D46" s="9" t="n">
        <v>168998</v>
      </c>
      <c r="E46" s="9">
        <f>'Operating expenses (detail)'!B18</f>
        <v/>
      </c>
      <c r="F46" s="9">
        <f>E46-D46</f>
        <v/>
      </c>
    </row>
    <row r="47">
      <c r="A47" s="18" t="inlineStr">
        <is>
          <t>Operating expenses (detail)</t>
        </is>
      </c>
      <c r="B47" s="18" t="inlineStr">
        <is>
          <t>Part IX column split: col A = B + C + D (FY2025)</t>
        </is>
      </c>
      <c r="C47" s="18" t="inlineStr">
        <is>
          <t>FY2025</t>
        </is>
      </c>
      <c r="D47" s="9">
        <f>'Operating expenses (detail)'!B28</f>
        <v/>
      </c>
      <c r="E47" s="9">
        <f>'Operating expenses (detail)'!C28+'Operating expenses (detail)'!D28+'Operating expenses (detail)'!E28</f>
        <v/>
      </c>
      <c r="F47" s="9">
        <f>E47-D47</f>
        <v/>
      </c>
    </row>
    <row r="48">
      <c r="A48" s="18" t="inlineStr">
        <is>
          <t>Balance sheet (detail)</t>
        </is>
      </c>
      <c r="B48" s="18" t="inlineStr">
        <is>
          <t>16. Total assets</t>
        </is>
      </c>
      <c r="C48" s="18" t="inlineStr">
        <is>
          <t>FY2025</t>
        </is>
      </c>
      <c r="D48" s="9" t="n">
        <v>517817</v>
      </c>
      <c r="E48" s="9">
        <f>'Balance sheet (detail)'!B13</f>
        <v/>
      </c>
      <c r="F48" s="9">
        <f>E48-D48</f>
        <v/>
      </c>
    </row>
    <row r="49">
      <c r="A49" s="18" t="inlineStr">
        <is>
          <t>Balance sheet (detail)</t>
        </is>
      </c>
      <c r="B49" s="18" t="inlineStr">
        <is>
          <t>26. Total liabilities</t>
        </is>
      </c>
      <c r="C49" s="18" t="inlineStr">
        <is>
          <t>FY2025</t>
        </is>
      </c>
      <c r="D49" s="9" t="n">
        <v>4165</v>
      </c>
      <c r="E49" s="9">
        <f>'Balance sheet (detail)'!B17</f>
        <v/>
      </c>
      <c r="F49" s="9">
        <f>E49-D49</f>
        <v/>
      </c>
    </row>
    <row r="50">
      <c r="A50" s="18" t="inlineStr">
        <is>
          <t>Balance sheet (detail)</t>
        </is>
      </c>
      <c r="B50" s="18" t="inlineStr">
        <is>
          <t>32. Total net assets / fund balances</t>
        </is>
      </c>
      <c r="C50" s="18" t="inlineStr">
        <is>
          <t>FY2025</t>
        </is>
      </c>
      <c r="D50" s="9" t="n">
        <v>513652</v>
      </c>
      <c r="E50" s="9">
        <f>'Balance sheet (detail)'!B23</f>
        <v/>
      </c>
      <c r="F50" s="9">
        <f>E50-D50</f>
        <v/>
      </c>
    </row>
    <row r="51">
      <c r="A51" s="18" t="inlineStr">
        <is>
          <t>Balance sheet (detail)</t>
        </is>
      </c>
      <c r="B51" s="18" t="inlineStr">
        <is>
          <t>Balance sheet identity: line 16 = line 26 + line 32 (EOY)</t>
        </is>
      </c>
      <c r="C51" s="18" t="inlineStr">
        <is>
          <t>FY2025</t>
        </is>
      </c>
      <c r="D51" s="9">
        <f>'Balance sheet (detail)'!B13</f>
        <v/>
      </c>
      <c r="E51" s="9">
        <f>SUM('Balance sheet (detail)'!B17,'Balance sheet (detail)'!B23)</f>
        <v/>
      </c>
      <c r="F51" s="9">
        <f>E51-D51</f>
        <v/>
      </c>
    </row>
    <row r="52">
      <c r="A52" s="18" t="inlineStr">
        <is>
          <t>Net-assets reconciliation</t>
        </is>
      </c>
      <c r="B52" s="18" t="inlineStr">
        <is>
          <t>10. Net assets, end of year</t>
        </is>
      </c>
      <c r="C52" s="18" t="inlineStr">
        <is>
          <t>FY2025</t>
        </is>
      </c>
      <c r="D52" s="9" t="n">
        <v>513652</v>
      </c>
      <c r="E52" s="9">
        <f>'Net-assets reconciliation'!B11</f>
        <v/>
      </c>
      <c r="F52" s="9">
        <f>E52-D52</f>
        <v/>
      </c>
    </row>
    <row r="54">
      <c r="A54" s="29" t="inlineStr">
        <is>
          <t>D. Preparer / auditor trail (one row per fiscal year, as filed)</t>
        </is>
      </c>
      <c r="B54" s="7" t="n"/>
      <c r="C54" s="7" t="n"/>
      <c r="D54" s="7" t="n"/>
      <c r="E54" s="7" t="n"/>
      <c r="F54" s="7" t="n"/>
      <c r="G54" s="7" t="n"/>
      <c r="H54" s="7" t="n"/>
      <c r="I54" s="7" t="n"/>
      <c r="J54" s="7" t="n"/>
      <c r="K54" s="7" t="n"/>
    </row>
    <row r="55">
      <c r="A55" s="5" t="inlineStr">
        <is>
          <t>Fiscal year</t>
        </is>
      </c>
      <c r="B55" s="5" t="inlineStr">
        <is>
          <t>Paid preparer</t>
        </is>
      </c>
      <c r="C55" s="5" t="inlineStr">
        <is>
          <t>Preparer firm</t>
        </is>
      </c>
      <c r="D55" s="5" t="inlineStr">
        <is>
          <t>Independent auditor</t>
        </is>
      </c>
      <c r="E55" s="5" t="inlineStr">
        <is>
          <t>Citation</t>
        </is>
      </c>
    </row>
    <row r="56" ht="42" customHeight="1">
      <c r="A56" s="27" t="inlineStr">
        <is>
          <t>FY2025</t>
        </is>
      </c>
      <c r="B56" s="8" t="inlineStr">
        <is>
          <t>DANIEL J LEOMBRUNO</t>
        </is>
      </c>
      <c r="C56" s="8" t="inlineStr">
        <is>
          <t>DALTON LEOMBRUNO &amp; ASSOCIATES</t>
        </is>
      </c>
      <c r="D56" s="30" t="inlineStr">
        <is>
          <t>not reported</t>
        </is>
      </c>
      <c r="E56" s="21" t="inlineStr">
        <is>
          <t>Form 990 Return Header, Paid Preparer block (return_header.preparer_person_name / preparer_firm_name); auditor: Part XII line 2 reports audited financial statements but does not name the firm.</t>
        </is>
      </c>
    </row>
    <row r="58" ht="42" customHeight="1">
      <c r="A58"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58:K58"/>
    <mergeCell ref="A3:K3"/>
    <mergeCell ref="A2:K2"/>
    <mergeCell ref="A5:K5"/>
    <mergeCell ref="A1:K1"/>
  </mergeCells>
  <conditionalFormatting sqref="F44:F52">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