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43.0 in / 50 in seasonal normal; statewide SWP-supply index, not local precipitation</t>
      </text>
    </comment>
    <comment ref="C10" authorId="0" shapeId="0">
      <text>
        <t>water-year cumulative 66.6 in / 50 in seasonal normal; statewide SWP-supply index, not local precipitation</t>
      </text>
    </comment>
    <comment ref="D10" authorId="0" shapeId="0">
      <text>
        <t>water-year cumulative 48.2 in / 50 in seasonal normal; statewide SWP-supply index, not local precipitation</t>
      </text>
    </comment>
    <comment ref="E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Lazy H Mutual Water Company</t>
        </is>
      </c>
    </row>
    <row r="2">
      <c r="A2" s="2" t="inlineStr">
        <is>
          <t>Financial Summary - multi-year overview (USD)</t>
        </is>
      </c>
    </row>
    <row r="3">
      <c r="A3" s="2" t="inlineStr">
        <is>
          <t>Entity ID: cawc_0188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FY2022</t>
        </is>
      </c>
      <c r="C8" s="5" t="inlineStr">
        <is>
          <t>FY2023</t>
        </is>
      </c>
      <c r="D8" s="5" t="inlineStr">
        <is>
          <t>FY2024</t>
        </is>
      </c>
      <c r="E8" s="5" t="inlineStr">
        <is>
          <t>FY2025</t>
        </is>
      </c>
    </row>
    <row r="9">
      <c r="A9" s="6" t="inlineStr">
        <is>
          <t>Operating results (USD)</t>
        </is>
      </c>
      <c r="B9" s="7" t="n"/>
      <c r="C9" s="7" t="n"/>
      <c r="D9" s="7" t="n"/>
      <c r="E9" s="7" t="n"/>
    </row>
    <row r="10">
      <c r="A10" s="8" t="inlineStr">
        <is>
          <t xml:space="preserve">    Total revenue</t>
        </is>
      </c>
      <c r="B10" s="9" t="n">
        <v>78719</v>
      </c>
      <c r="C10" s="9" t="n">
        <v>74420</v>
      </c>
      <c r="D10" s="9" t="n">
        <v>76035</v>
      </c>
      <c r="E10" s="9" t="n">
        <v>97432</v>
      </c>
    </row>
    <row r="11">
      <c r="A11" s="8" t="inlineStr">
        <is>
          <t xml:space="preserve">    Total expenses</t>
        </is>
      </c>
      <c r="B11" s="9" t="n">
        <v>85951</v>
      </c>
      <c r="C11" s="9" t="n">
        <v>111253</v>
      </c>
      <c r="D11" s="9" t="n">
        <v>87379</v>
      </c>
      <c r="E11" s="9" t="n">
        <v>95295</v>
      </c>
    </row>
    <row r="12">
      <c r="A12" s="10" t="inlineStr">
        <is>
          <t xml:space="preserve">    Net income</t>
        </is>
      </c>
      <c r="B12" s="11" t="n">
        <v>-7232</v>
      </c>
      <c r="C12" s="11" t="n">
        <v>-36833</v>
      </c>
      <c r="D12" s="11" t="n">
        <v>-11344</v>
      </c>
      <c r="E12" s="11" t="n">
        <v>2137</v>
      </c>
    </row>
    <row r="14">
      <c r="A14" s="6" t="inlineStr">
        <is>
          <t>Financial position (USD, end of year)</t>
        </is>
      </c>
      <c r="B14" s="7" t="n"/>
      <c r="C14" s="7" t="n"/>
      <c r="D14" s="7" t="n"/>
      <c r="E14" s="7" t="n"/>
    </row>
    <row r="15">
      <c r="A15" s="8" t="inlineStr">
        <is>
          <t xml:space="preserve">    Total assets</t>
        </is>
      </c>
      <c r="B15" s="9" t="n">
        <v>280861</v>
      </c>
      <c r="C15" s="9" t="n">
        <v>245257</v>
      </c>
      <c r="D15" s="9" t="n">
        <v>234013</v>
      </c>
      <c r="E15" s="9" t="n">
        <v>236149</v>
      </c>
    </row>
    <row r="16">
      <c r="A16" s="8" t="inlineStr">
        <is>
          <t xml:space="preserve">    Total liabilities</t>
        </is>
      </c>
      <c r="B16" s="9" t="n"/>
      <c r="C16" s="9" t="n"/>
      <c r="D16" s="9" t="n">
        <v>100</v>
      </c>
      <c r="E16" s="9" t="n">
        <v>100</v>
      </c>
    </row>
    <row r="17">
      <c r="A17" s="10" t="inlineStr">
        <is>
          <t xml:space="preserve">    Net assets</t>
        </is>
      </c>
      <c r="B17" s="11" t="n">
        <v>280861</v>
      </c>
      <c r="C17" s="11" t="n">
        <v>245257</v>
      </c>
      <c r="D17" s="11" t="n">
        <v>233913</v>
      </c>
      <c r="E17" s="11" t="n">
        <v>236049</v>
      </c>
    </row>
    <row r="19">
      <c r="A19" s="6" t="inlineStr">
        <is>
          <t>Headline ratios</t>
        </is>
      </c>
      <c r="B19" s="7" t="n"/>
      <c r="C19" s="7" t="n"/>
      <c r="D19" s="7" t="n"/>
      <c r="E19" s="7" t="n"/>
    </row>
    <row r="20">
      <c r="A20" s="8" t="inlineStr">
        <is>
          <t xml:space="preserve">    Operating margin</t>
        </is>
      </c>
      <c r="B20" s="12" t="n">
        <v>-0.09187108576074392</v>
      </c>
      <c r="C20" s="12" t="n">
        <v>-0.4949341574845472</v>
      </c>
      <c r="D20" s="12" t="n">
        <v>-0.1491944499243769</v>
      </c>
      <c r="E20" s="12" t="n">
        <v>0.02193324575088267</v>
      </c>
    </row>
    <row r="21">
      <c r="A21" s="8" t="inlineStr">
        <is>
          <t xml:space="preserve">    Revenue growth (YoY)</t>
        </is>
      </c>
      <c r="B21" s="12" t="n"/>
      <c r="C21" s="12" t="n"/>
      <c r="D21" s="12" t="n"/>
      <c r="E21" s="12" t="n"/>
    </row>
    <row r="22">
      <c r="A22" s="8" t="inlineStr">
        <is>
          <t xml:space="preserve">    Return on assets</t>
        </is>
      </c>
      <c r="B22" s="12" t="n">
        <v>-0.02574939204802375</v>
      </c>
      <c r="C22" s="12" t="n">
        <v>-0.150181238455987</v>
      </c>
      <c r="D22" s="12" t="n">
        <v>-0.04847593937088965</v>
      </c>
      <c r="E22" s="12" t="n">
        <v>0.009049371371464627</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Lazy H Mutual Water Company</t>
        </is>
      </c>
    </row>
    <row r="2">
      <c r="A2" s="2" t="inlineStr">
        <is>
          <t>Financial Statements - income statement, balance sheet, cash flow, member income test (USD)</t>
        </is>
      </c>
    </row>
    <row r="3">
      <c r="A3" s="2" t="inlineStr">
        <is>
          <t>Entity ID: cawc_0188   |   Fiscal year ends June 30.</t>
        </is>
      </c>
    </row>
    <row r="5">
      <c r="A5" s="6" t="inlineStr">
        <is>
          <t>INCOME STATEMENT - as reported (USD)</t>
        </is>
      </c>
      <c r="B5" s="7" t="n"/>
      <c r="C5" s="7" t="n"/>
      <c r="D5" s="7" t="n"/>
      <c r="E5" s="7" t="n"/>
    </row>
    <row r="6">
      <c r="A6" s="4" t="inlineStr">
        <is>
          <t>Line item</t>
        </is>
      </c>
      <c r="B6" s="5" t="inlineStr">
        <is>
          <t>FY2022</t>
        </is>
      </c>
      <c r="C6" s="5" t="inlineStr">
        <is>
          <t>FY2023</t>
        </is>
      </c>
      <c r="D6" s="5" t="inlineStr">
        <is>
          <t>FY2024</t>
        </is>
      </c>
      <c r="E6" s="5" t="inlineStr">
        <is>
          <t>FY2025</t>
        </is>
      </c>
    </row>
    <row r="7">
      <c r="A7" s="6" t="inlineStr">
        <is>
          <t>Revenue</t>
        </is>
      </c>
      <c r="B7" s="7" t="n"/>
      <c r="C7" s="7" t="n"/>
      <c r="D7" s="7" t="n"/>
      <c r="E7" s="7" t="n"/>
    </row>
    <row r="8">
      <c r="A8" s="8" t="inlineStr">
        <is>
          <t xml:space="preserve">    Program service revenue</t>
        </is>
      </c>
      <c r="B8" s="9" t="n"/>
      <c r="C8" s="9" t="n"/>
      <c r="D8" s="9" t="n"/>
      <c r="E8" s="9" t="n"/>
    </row>
    <row r="9">
      <c r="A9" s="8" t="inlineStr">
        <is>
          <t xml:space="preserve">    Investment income</t>
        </is>
      </c>
      <c r="B9" s="9" t="n"/>
      <c r="C9" s="9" t="n"/>
      <c r="D9" s="9" t="n"/>
      <c r="E9" s="9" t="n"/>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c r="D12" s="9" t="n"/>
      <c r="E12" s="9" t="n"/>
    </row>
    <row r="13">
      <c r="A13" s="8" t="inlineStr">
        <is>
          <t xml:space="preserve">    Contributions &amp; grants</t>
        </is>
      </c>
      <c r="B13" s="9" t="n"/>
      <c r="C13" s="9" t="n"/>
      <c r="D13" s="9" t="n"/>
      <c r="E13" s="9" t="n"/>
    </row>
    <row r="14">
      <c r="A14" s="10" t="inlineStr">
        <is>
          <t>Total revenue</t>
        </is>
      </c>
      <c r="B14" s="11" t="n"/>
      <c r="C14" s="11" t="n"/>
      <c r="D14" s="11" t="n"/>
      <c r="E14" s="11" t="n"/>
    </row>
    <row r="16">
      <c r="A16" s="6" t="inlineStr">
        <is>
          <t>Expenses</t>
        </is>
      </c>
      <c r="B16" s="7" t="n"/>
      <c r="C16" s="7" t="n"/>
      <c r="D16" s="7" t="n"/>
      <c r="E16" s="7" t="n"/>
    </row>
    <row r="17">
      <c r="A17" s="8" t="inlineStr">
        <is>
          <t xml:space="preserve">    Depreciation</t>
        </is>
      </c>
      <c r="B17" s="9" t="n"/>
      <c r="C17" s="9" t="n"/>
      <c r="D17" s="9" t="n"/>
      <c r="E17" s="9" t="n"/>
    </row>
    <row r="18">
      <c r="A18" s="8" t="inlineStr">
        <is>
          <t xml:space="preserve">    Interest expense</t>
        </is>
      </c>
      <c r="B18" s="9" t="n"/>
      <c r="C18" s="9" t="n"/>
      <c r="D18" s="9" t="n"/>
      <c r="E18" s="9" t="n"/>
    </row>
    <row r="19">
      <c r="A19" s="10" t="inlineStr">
        <is>
          <t>Total expenses</t>
        </is>
      </c>
      <c r="B19" s="11" t="n">
        <v>85951</v>
      </c>
      <c r="C19" s="11" t="n">
        <v>111253</v>
      </c>
      <c r="D19" s="11" t="n">
        <v>87379</v>
      </c>
      <c r="E19" s="11" t="n">
        <v>95295</v>
      </c>
    </row>
    <row r="21">
      <c r="A21" s="10" t="inlineStr">
        <is>
          <t>Net income</t>
        </is>
      </c>
      <c r="B21" s="11" t="n">
        <v>-7232</v>
      </c>
      <c r="C21" s="11" t="n">
        <v>-36833</v>
      </c>
      <c r="D21" s="11" t="n">
        <v>-11344</v>
      </c>
      <c r="E21" s="11" t="n">
        <v>2137</v>
      </c>
    </row>
    <row r="24">
      <c r="A24" s="6" t="inlineStr">
        <is>
          <t>BALANCE SHEET - as reported (USD, end of year)</t>
        </is>
      </c>
      <c r="B24" s="7" t="n"/>
      <c r="C24" s="7" t="n"/>
      <c r="D24" s="7" t="n"/>
      <c r="E24" s="7" t="n"/>
    </row>
    <row r="25">
      <c r="A25" s="4" t="inlineStr">
        <is>
          <t>Line item</t>
        </is>
      </c>
      <c r="B25" s="5" t="inlineStr">
        <is>
          <t>FY2022</t>
        </is>
      </c>
      <c r="C25" s="5" t="inlineStr">
        <is>
          <t>FY2023</t>
        </is>
      </c>
      <c r="D25" s="5" t="inlineStr">
        <is>
          <t>FY2024</t>
        </is>
      </c>
      <c r="E25" s="5" t="inlineStr">
        <is>
          <t>FY2025</t>
        </is>
      </c>
    </row>
    <row r="26">
      <c r="A26" s="6" t="inlineStr">
        <is>
          <t>Assets</t>
        </is>
      </c>
      <c r="B26" s="7" t="n"/>
      <c r="C26" s="7" t="n"/>
      <c r="D26" s="7" t="n"/>
      <c r="E26" s="7" t="n"/>
    </row>
    <row r="27">
      <c r="A27" s="8" t="inlineStr">
        <is>
          <t xml:space="preserve">    Cash</t>
        </is>
      </c>
      <c r="B27" s="9" t="n">
        <v>69753</v>
      </c>
      <c r="C27" s="9" t="n">
        <v>42469</v>
      </c>
      <c r="D27" s="9" t="n">
        <v>47241</v>
      </c>
      <c r="E27" s="9" t="n">
        <v>49439</v>
      </c>
    </row>
    <row r="28">
      <c r="A28" s="8" t="inlineStr">
        <is>
          <t xml:space="preserve">    Savings &amp; temporary investments</t>
        </is>
      </c>
      <c r="B28" s="9" t="n"/>
      <c r="C28" s="9" t="n"/>
      <c r="D28" s="9" t="n"/>
      <c r="E28" s="9" t="n"/>
    </row>
    <row r="29">
      <c r="A29" s="8" t="inlineStr">
        <is>
          <t xml:space="preserve">    Accounts receivable</t>
        </is>
      </c>
      <c r="B29" s="9" t="n"/>
      <c r="C29" s="9" t="n"/>
      <c r="D29" s="9" t="n"/>
      <c r="E29" s="9" t="n"/>
    </row>
    <row r="30">
      <c r="A30" s="8" t="inlineStr">
        <is>
          <t xml:space="preserve">    Inventories</t>
        </is>
      </c>
      <c r="B30" s="9" t="n"/>
      <c r="C30" s="9" t="n"/>
      <c r="D30" s="9" t="n"/>
      <c r="E30" s="9" t="n"/>
    </row>
    <row r="31">
      <c r="A31" s="8" t="inlineStr">
        <is>
          <t xml:space="preserve">    Prepaid expenses</t>
        </is>
      </c>
      <c r="B31" s="9" t="n"/>
      <c r="C31" s="9" t="n"/>
      <c r="D31" s="9" t="n"/>
      <c r="E31" s="9" t="n"/>
    </row>
    <row r="32">
      <c r="A32" s="8" t="inlineStr">
        <is>
          <t xml:space="preserve">    Property, plant &amp; equipment (gross)</t>
        </is>
      </c>
      <c r="B32" s="9" t="n"/>
      <c r="C32" s="9" t="n"/>
      <c r="D32" s="9" t="n"/>
      <c r="E32" s="9" t="n"/>
    </row>
    <row r="33">
      <c r="A33" s="8" t="inlineStr">
        <is>
          <t xml:space="preserve">    Less: accumulated depreciation</t>
        </is>
      </c>
      <c r="B33" s="9" t="n"/>
      <c r="C33" s="9" t="n"/>
      <c r="D33" s="9" t="n"/>
      <c r="E33" s="9" t="n"/>
    </row>
    <row r="34">
      <c r="A34" s="10" t="inlineStr">
        <is>
          <t xml:space="preserve">    Net property, plant &amp; equipment</t>
        </is>
      </c>
      <c r="B34" s="11" t="n">
        <v>7152</v>
      </c>
      <c r="C34" s="11" t="n">
        <v>7152</v>
      </c>
      <c r="D34" s="11" t="n">
        <v>7152</v>
      </c>
      <c r="E34" s="11" t="n">
        <v>7152</v>
      </c>
    </row>
    <row r="35">
      <c r="A35" s="10" t="inlineStr">
        <is>
          <t>Total assets</t>
        </is>
      </c>
      <c r="B35" s="11" t="n">
        <v>280861</v>
      </c>
      <c r="C35" s="11" t="n">
        <v>245257</v>
      </c>
      <c r="D35" s="11" t="n">
        <v>234013</v>
      </c>
      <c r="E35" s="11" t="n">
        <v>236149</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c r="C40" s="11" t="n"/>
      <c r="D40" s="11" t="n">
        <v>100</v>
      </c>
      <c r="E40" s="11" t="n">
        <v>100</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280861</v>
      </c>
      <c r="C46" s="11" t="n">
        <v>245257</v>
      </c>
      <c r="D46" s="11" t="n">
        <v>233913</v>
      </c>
      <c r="E46" s="11" t="n">
        <v>236049</v>
      </c>
    </row>
    <row r="49">
      <c r="A49" s="6" t="inlineStr">
        <is>
          <t>CASH FLOW - derived proxy (USD)</t>
        </is>
      </c>
      <c r="B49" s="7" t="n"/>
      <c r="C49" s="7" t="n"/>
      <c r="D49" s="7" t="n"/>
      <c r="E49" s="7" t="n"/>
    </row>
    <row r="50">
      <c r="A50" s="4" t="inlineStr">
        <is>
          <t>Proxy line</t>
        </is>
      </c>
      <c r="B50" s="5" t="inlineStr">
        <is>
          <t>FY2022</t>
        </is>
      </c>
      <c r="C50" s="5" t="inlineStr">
        <is>
          <t>FY2023</t>
        </is>
      </c>
      <c r="D50" s="5" t="inlineStr">
        <is>
          <t>FY2024</t>
        </is>
      </c>
      <c r="E50" s="5" t="inlineStr">
        <is>
          <t>FY2025</t>
        </is>
      </c>
    </row>
    <row r="51">
      <c r="A51" s="6" t="inlineStr">
        <is>
          <t>Operating</t>
        </is>
      </c>
      <c r="B51" s="7" t="n"/>
      <c r="C51" s="7" t="n"/>
      <c r="D51" s="7" t="n"/>
      <c r="E51" s="7" t="n"/>
    </row>
    <row r="52">
      <c r="A52" s="8" t="inlineStr">
        <is>
          <t xml:space="preserve">    Net income</t>
        </is>
      </c>
      <c r="B52" s="9" t="n">
        <v>-7232</v>
      </c>
      <c r="C52" s="9" t="n">
        <v>-36833</v>
      </c>
      <c r="D52" s="9" t="n">
        <v>-11344</v>
      </c>
      <c r="E52" s="9" t="n">
        <v>2137</v>
      </c>
    </row>
    <row r="53">
      <c r="A53" s="8" t="inlineStr">
        <is>
          <t xml:space="preserve">    + Depreciation (reported)</t>
        </is>
      </c>
      <c r="B53" s="9" t="n"/>
      <c r="C53" s="9" t="n"/>
      <c r="D53" s="9" t="n"/>
      <c r="E53" s="9" t="n"/>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-36833</v>
      </c>
      <c r="D58" s="11" t="n">
        <v>-11344</v>
      </c>
      <c r="E58" s="11" t="n">
        <v>2137</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-27284</v>
      </c>
      <c r="D67" s="11" t="n">
        <v>4772</v>
      </c>
      <c r="E67" s="11" t="n">
        <v>2198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2:E2"/>
    <mergeCell ref="A69:E69"/>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Lazy H Mutual Water Company</t>
        </is>
      </c>
    </row>
    <row r="2">
      <c r="A2" s="2" t="inlineStr">
        <is>
          <t>Balance Sheet - as reported (USD, end of year)</t>
        </is>
      </c>
    </row>
    <row r="3">
      <c r="A3" s="2" t="inlineStr">
        <is>
          <t>Entity ID: cawc_0188   |   Fiscal year ends June 30.</t>
        </is>
      </c>
    </row>
    <row r="5">
      <c r="A5" s="4" t="inlineStr">
        <is>
          <t>Line item</t>
        </is>
      </c>
      <c r="B5" s="5" t="inlineStr">
        <is>
          <t>FY2022</t>
        </is>
      </c>
      <c r="C5" s="5" t="inlineStr">
        <is>
          <t>FY2023</t>
        </is>
      </c>
      <c r="D5" s="5" t="inlineStr">
        <is>
          <t>FY2024</t>
        </is>
      </c>
      <c r="E5" s="5" t="inlineStr">
        <is>
          <t>FY2025</t>
        </is>
      </c>
    </row>
    <row r="6">
      <c r="A6" s="6" t="inlineStr">
        <is>
          <t>Assets</t>
        </is>
      </c>
      <c r="B6" s="7" t="n"/>
      <c r="C6" s="7" t="n"/>
      <c r="D6" s="7" t="n"/>
      <c r="E6" s="7" t="n"/>
    </row>
    <row r="7">
      <c r="A7" s="8" t="inlineStr">
        <is>
          <t xml:space="preserve">    Cash</t>
        </is>
      </c>
      <c r="B7" s="9" t="n">
        <v>69753</v>
      </c>
      <c r="C7" s="9" t="n">
        <v>42469</v>
      </c>
      <c r="D7" s="9" t="n">
        <v>47241</v>
      </c>
      <c r="E7" s="9" t="n">
        <v>49439</v>
      </c>
    </row>
    <row r="8">
      <c r="A8" s="8" t="inlineStr">
        <is>
          <t xml:space="preserve">    Savings &amp; temporary investments</t>
        </is>
      </c>
      <c r="B8" s="9" t="n"/>
      <c r="C8" s="9" t="n"/>
      <c r="D8" s="9" t="n"/>
      <c r="E8" s="9" t="n"/>
    </row>
    <row r="9">
      <c r="A9" s="8" t="inlineStr">
        <is>
          <t xml:space="preserve">    Accounts receivable</t>
        </is>
      </c>
      <c r="B9" s="9" t="n"/>
      <c r="C9" s="9" t="n"/>
      <c r="D9" s="9" t="n"/>
      <c r="E9" s="9" t="n"/>
    </row>
    <row r="10">
      <c r="A10" s="8" t="inlineStr">
        <is>
          <t xml:space="preserve">    Inventories</t>
        </is>
      </c>
      <c r="B10" s="9" t="n"/>
      <c r="C10" s="9" t="n"/>
      <c r="D10" s="9" t="n"/>
      <c r="E10" s="9" t="n"/>
    </row>
    <row r="11">
      <c r="A11" s="8" t="inlineStr">
        <is>
          <t xml:space="preserve">    Prepaid expenses</t>
        </is>
      </c>
      <c r="B11" s="9" t="n"/>
      <c r="C11" s="9" t="n"/>
      <c r="D11" s="9" t="n"/>
      <c r="E11" s="9" t="n"/>
    </row>
    <row r="12">
      <c r="A12" s="8" t="inlineStr">
        <is>
          <t xml:space="preserve">    Property, plant &amp; equipment (gross)</t>
        </is>
      </c>
      <c r="B12" s="9" t="n"/>
      <c r="C12" s="9" t="n"/>
      <c r="D12" s="9" t="n"/>
      <c r="E12" s="9" t="n"/>
    </row>
    <row r="13">
      <c r="A13" s="8" t="inlineStr">
        <is>
          <t xml:space="preserve">    Less: accumulated depreciation</t>
        </is>
      </c>
      <c r="B13" s="9" t="n"/>
      <c r="C13" s="9" t="n"/>
      <c r="D13" s="9" t="n"/>
      <c r="E13" s="9" t="n"/>
    </row>
    <row r="14">
      <c r="A14" s="10" t="inlineStr">
        <is>
          <t xml:space="preserve">    Net property, plant &amp; equipment</t>
        </is>
      </c>
      <c r="B14" s="11" t="n">
        <v>7152</v>
      </c>
      <c r="C14" s="11" t="n">
        <v>7152</v>
      </c>
      <c r="D14" s="11" t="n">
        <v>7152</v>
      </c>
      <c r="E14" s="11" t="n">
        <v>7152</v>
      </c>
    </row>
    <row r="15">
      <c r="A15" s="10" t="inlineStr">
        <is>
          <t>Total assets</t>
        </is>
      </c>
      <c r="B15" s="11" t="n">
        <v>280861</v>
      </c>
      <c r="C15" s="11" t="n">
        <v>245257</v>
      </c>
      <c r="D15" s="11" t="n">
        <v>234013</v>
      </c>
      <c r="E15" s="11" t="n">
        <v>236149</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c r="C20" s="11" t="n"/>
      <c r="D20" s="11" t="n">
        <v>100</v>
      </c>
      <c r="E20" s="11" t="n">
        <v>100</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280861</v>
      </c>
      <c r="C26" s="11" t="n">
        <v>245257</v>
      </c>
      <c r="D26" s="11" t="n">
        <v>233913</v>
      </c>
      <c r="E26" s="11" t="n">
        <v>236049</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Lazy H Mutual Water Company</t>
        </is>
      </c>
    </row>
    <row r="2">
      <c r="A2" s="2" t="inlineStr">
        <is>
          <t>Form 990-EZ - Part I (revenue, expenses, net assets) and Part II (balance sheet), as filed (USD)</t>
        </is>
      </c>
    </row>
    <row r="3">
      <c r="A3" s="2" t="inlineStr">
        <is>
          <t>Entity ID: cawc_0188   |   Fiscal year ends June 30.</t>
        </is>
      </c>
    </row>
    <row r="5">
      <c r="A5" s="4" t="inlineStr">
        <is>
          <t>Form 990-EZ line</t>
        </is>
      </c>
      <c r="B5" s="5" t="inlineStr">
        <is>
          <t>FY2022</t>
        </is>
      </c>
      <c r="C5" s="5" t="inlineStr">
        <is>
          <t>FY2023</t>
        </is>
      </c>
      <c r="D5" s="5" t="inlineStr">
        <is>
          <t>FY2024</t>
        </is>
      </c>
      <c r="E5" s="5" t="inlineStr">
        <is>
          <t>FY2025</t>
        </is>
      </c>
    </row>
    <row r="6">
      <c r="A6" s="6" t="inlineStr">
        <is>
          <t>Revenue (Part I)</t>
        </is>
      </c>
      <c r="B6" s="7" t="n"/>
      <c r="C6" s="7" t="n"/>
      <c r="D6" s="7" t="n"/>
      <c r="E6" s="7" t="n"/>
    </row>
    <row r="7">
      <c r="A7" s="8" t="inlineStr">
        <is>
          <t xml:space="preserve">    1. Contributions, gifts, grants</t>
        </is>
      </c>
      <c r="B7" s="9" t="n">
        <v>0</v>
      </c>
      <c r="C7" s="9" t="n">
        <v>0</v>
      </c>
      <c r="D7" s="9" t="n">
        <v>0</v>
      </c>
      <c r="E7" s="9" t="n">
        <v>0</v>
      </c>
    </row>
    <row r="8">
      <c r="A8" s="8" t="inlineStr">
        <is>
          <t xml:space="preserve">    2. Program service revenue</t>
        </is>
      </c>
      <c r="B8" s="9" t="n">
        <v>77772</v>
      </c>
      <c r="C8" s="9" t="n">
        <v>72262</v>
      </c>
      <c r="D8" s="9" t="n">
        <v>75053</v>
      </c>
      <c r="E8" s="9" t="n">
        <v>95778</v>
      </c>
    </row>
    <row r="9">
      <c r="A9" s="8" t="inlineStr">
        <is>
          <t xml:space="preserve">    3. Membership dues and assessments</t>
        </is>
      </c>
      <c r="B9" s="9" t="n">
        <v>0</v>
      </c>
      <c r="C9" s="9" t="n">
        <v>0</v>
      </c>
      <c r="D9" s="9" t="n">
        <v>0</v>
      </c>
      <c r="E9" s="9" t="n">
        <v>0</v>
      </c>
    </row>
    <row r="10">
      <c r="A10" s="8" t="inlineStr">
        <is>
          <t xml:space="preserve">    4. Investment income</t>
        </is>
      </c>
      <c r="B10" s="9" t="n">
        <v>0</v>
      </c>
      <c r="C10" s="9" t="n">
        <v>0</v>
      </c>
      <c r="D10" s="9" t="n">
        <v>8</v>
      </c>
      <c r="E10" s="9" t="n">
        <v>714</v>
      </c>
    </row>
    <row r="11">
      <c r="A11" s="8" t="inlineStr">
        <is>
          <t xml:space="preserve">    8. Other revenue</t>
        </is>
      </c>
      <c r="B11" s="9" t="n">
        <v>947</v>
      </c>
      <c r="C11" s="9" t="n">
        <v>2158</v>
      </c>
      <c r="D11" s="9" t="n">
        <v>974</v>
      </c>
      <c r="E11" s="9" t="n">
        <v>940</v>
      </c>
    </row>
    <row r="12">
      <c r="A12" s="10" t="inlineStr">
        <is>
          <t>9. Total revenue</t>
        </is>
      </c>
      <c r="B12" s="11" t="n">
        <v>78719</v>
      </c>
      <c r="C12" s="11" t="n">
        <v>74420</v>
      </c>
      <c r="D12" s="11" t="n">
        <v>76035</v>
      </c>
      <c r="E12" s="11" t="n">
        <v>97432</v>
      </c>
    </row>
    <row r="14">
      <c r="A14" s="6" t="inlineStr">
        <is>
          <t>Expenses (Part I)</t>
        </is>
      </c>
      <c r="B14" s="7" t="n"/>
      <c r="C14" s="7" t="n"/>
      <c r="D14" s="7" t="n"/>
      <c r="E14" s="7" t="n"/>
    </row>
    <row r="15">
      <c r="A15" s="8" t="inlineStr">
        <is>
          <t xml:space="preserve">    13. Fees for services (independent contractors)</t>
        </is>
      </c>
      <c r="B15" s="9" t="n">
        <v>34678</v>
      </c>
      <c r="C15" s="9" t="n">
        <v>35801</v>
      </c>
      <c r="D15" s="9" t="n">
        <v>35853</v>
      </c>
      <c r="E15" s="9" t="n">
        <v>37793</v>
      </c>
    </row>
    <row r="16">
      <c r="A16" s="8" t="inlineStr">
        <is>
          <t xml:space="preserve">    14. Occupancy, rent, utilities, maintenance</t>
        </is>
      </c>
      <c r="B16" s="9" t="n">
        <v>17501</v>
      </c>
      <c r="C16" s="9" t="n">
        <v>40649</v>
      </c>
      <c r="D16" s="9" t="n">
        <v>16041</v>
      </c>
      <c r="E16" s="9" t="n">
        <v>15082</v>
      </c>
    </row>
    <row r="17">
      <c r="A17" s="8" t="inlineStr">
        <is>
          <t xml:space="preserve">    16. Other expenses</t>
        </is>
      </c>
      <c r="B17" s="9" t="n">
        <v>33772</v>
      </c>
      <c r="C17" s="9" t="n">
        <v>34803</v>
      </c>
      <c r="D17" s="9" t="n">
        <v>35485</v>
      </c>
      <c r="E17" s="9" t="n">
        <v>42420</v>
      </c>
    </row>
    <row r="18">
      <c r="A18" s="10" t="inlineStr">
        <is>
          <t>17. Total expenses</t>
        </is>
      </c>
      <c r="B18" s="11">
        <f>SUM(B15:B17)</f>
        <v/>
      </c>
      <c r="C18" s="11">
        <f>SUM(C15:C17)</f>
        <v/>
      </c>
      <c r="D18" s="11">
        <f>SUM(D15:D17)</f>
        <v/>
      </c>
      <c r="E18" s="11">
        <f>SUM(E15:E17)</f>
        <v/>
      </c>
    </row>
    <row r="20">
      <c r="A20" s="6" t="inlineStr">
        <is>
          <t>Net-assets reconciliation (Part I)</t>
        </is>
      </c>
      <c r="B20" s="7" t="n"/>
      <c r="C20" s="7" t="n"/>
      <c r="D20" s="7" t="n"/>
      <c r="E20" s="7" t="n"/>
    </row>
    <row r="21">
      <c r="A21" s="8" t="inlineStr">
        <is>
          <t xml:space="preserve">    19. Net assets or fund balances, beginning of year</t>
        </is>
      </c>
      <c r="B21" s="9" t="n">
        <v>289320</v>
      </c>
      <c r="C21" s="9" t="n">
        <v>280861</v>
      </c>
      <c r="D21" s="9" t="n">
        <v>245257</v>
      </c>
      <c r="E21" s="9" t="n">
        <v>233913</v>
      </c>
    </row>
    <row r="22">
      <c r="A22" s="8" t="inlineStr">
        <is>
          <t xml:space="preserve">    18. Excess or (deficit) for the year</t>
        </is>
      </c>
      <c r="B22" s="9" t="n">
        <v>-7232</v>
      </c>
      <c r="C22" s="9" t="n">
        <v>-36833</v>
      </c>
      <c r="D22" s="9" t="n">
        <v>-11344</v>
      </c>
      <c r="E22" s="9" t="n">
        <v>2137</v>
      </c>
    </row>
    <row r="23">
      <c r="A23" s="10" t="inlineStr">
        <is>
          <t>21. Net assets or fund balances, end of year</t>
        </is>
      </c>
      <c r="B23" s="11">
        <f>SUM(B21,B22)</f>
        <v/>
      </c>
      <c r="C23" s="11">
        <f>SUM(C21,C22)</f>
        <v/>
      </c>
      <c r="D23" s="11">
        <f>SUM(D21,D22)</f>
        <v/>
      </c>
      <c r="E23" s="11">
        <f>SUM(E21,E22)</f>
        <v/>
      </c>
    </row>
    <row r="25">
      <c r="A25" s="6" t="inlineStr">
        <is>
          <t>Balance sheet (Part II, end of year - column B)</t>
        </is>
      </c>
      <c r="B25" s="7" t="n"/>
      <c r="C25" s="7" t="n"/>
      <c r="D25" s="7" t="n"/>
      <c r="E25" s="7" t="n"/>
    </row>
    <row r="26">
      <c r="A26" s="8" t="inlineStr">
        <is>
          <t xml:space="preserve">    22. Cash, savings, and investments</t>
        </is>
      </c>
      <c r="B26" s="9" t="n">
        <v>69753</v>
      </c>
      <c r="C26" s="9" t="n">
        <v>42469</v>
      </c>
      <c r="D26" s="9" t="n">
        <v>47241</v>
      </c>
      <c r="E26" s="9" t="n">
        <v>49439</v>
      </c>
    </row>
    <row r="27">
      <c r="A27" s="8" t="inlineStr">
        <is>
          <t xml:space="preserve">    23. Land and buildings</t>
        </is>
      </c>
      <c r="B27" s="9" t="n">
        <v>7152</v>
      </c>
      <c r="C27" s="9" t="n">
        <v>7152</v>
      </c>
      <c r="D27" s="9" t="n">
        <v>7152</v>
      </c>
      <c r="E27" s="9" t="n">
        <v>7152</v>
      </c>
    </row>
    <row r="28">
      <c r="A28" s="8" t="inlineStr">
        <is>
          <t xml:space="preserve">    24. Other assets</t>
        </is>
      </c>
      <c r="B28" s="9" t="n">
        <v>203956</v>
      </c>
      <c r="C28" s="9" t="n">
        <v>195636</v>
      </c>
      <c r="D28" s="9" t="n">
        <v>179620</v>
      </c>
      <c r="E28" s="9" t="n">
        <v>179558</v>
      </c>
    </row>
    <row r="29">
      <c r="A29" s="10" t="inlineStr">
        <is>
          <t>25. Total assets</t>
        </is>
      </c>
      <c r="B29" s="11">
        <f>SUM(B26:B28)</f>
        <v/>
      </c>
      <c r="C29" s="11">
        <f>SUM(C26:C28)</f>
        <v/>
      </c>
      <c r="D29" s="11">
        <f>SUM(D26:D28)</f>
        <v/>
      </c>
      <c r="E29" s="11">
        <f>SUM(E26:E28)</f>
        <v/>
      </c>
    </row>
    <row r="30">
      <c r="A30" s="10" t="inlineStr">
        <is>
          <t>26. Total liabilities</t>
        </is>
      </c>
      <c r="B30" s="14" t="inlineStr">
        <is>
          <t>not reported</t>
        </is>
      </c>
      <c r="C30" s="14" t="inlineStr">
        <is>
          <t>not reported</t>
        </is>
      </c>
      <c r="D30" s="11" t="n">
        <v>100</v>
      </c>
      <c r="E30" s="11" t="n">
        <v>100</v>
      </c>
    </row>
    <row r="31">
      <c r="A31" s="10" t="inlineStr">
        <is>
          <t>27. Net assets or fund balances</t>
        </is>
      </c>
      <c r="B31" s="11" t="n">
        <v>280861</v>
      </c>
      <c r="C31" s="11" t="n">
        <v>245257</v>
      </c>
      <c r="D31" s="11" t="n">
        <v>233913</v>
      </c>
      <c r="E31" s="11" t="n">
        <v>236049</v>
      </c>
    </row>
    <row r="33" ht="42" customHeight="1">
      <c r="A33"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2:E2"/>
    <mergeCell ref="A33:E33"/>
    <mergeCell ref="A1:E1"/>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Lazy H Mutual Water Company</t>
        </is>
      </c>
    </row>
    <row r="2">
      <c r="A2" s="2" t="inlineStr">
        <is>
          <t>Cash Flow Proxies - derived (USD)</t>
        </is>
      </c>
    </row>
    <row r="3">
      <c r="A3" s="2" t="inlineStr">
        <is>
          <t>Entity ID: cawc_0188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FY2022</t>
        </is>
      </c>
      <c r="C7" s="5" t="inlineStr">
        <is>
          <t>FY2023</t>
        </is>
      </c>
      <c r="D7" s="5" t="inlineStr">
        <is>
          <t>FY2024</t>
        </is>
      </c>
      <c r="E7" s="5" t="inlineStr">
        <is>
          <t>FY2025</t>
        </is>
      </c>
    </row>
    <row r="8">
      <c r="A8" s="6" t="inlineStr">
        <is>
          <t>Operating</t>
        </is>
      </c>
      <c r="B8" s="7" t="n"/>
      <c r="C8" s="7" t="n"/>
      <c r="D8" s="7" t="n"/>
      <c r="E8" s="7" t="n"/>
    </row>
    <row r="9">
      <c r="A9" s="8" t="inlineStr">
        <is>
          <t xml:space="preserve">    Net income</t>
        </is>
      </c>
      <c r="B9" s="9" t="n">
        <v>-7232</v>
      </c>
      <c r="C9" s="9" t="n">
        <v>-36833</v>
      </c>
      <c r="D9" s="9" t="n">
        <v>-11344</v>
      </c>
      <c r="E9" s="9" t="n">
        <v>2137</v>
      </c>
    </row>
    <row r="10">
      <c r="A10" s="8" t="inlineStr">
        <is>
          <t xml:space="preserve">    + Depreciation (reported)</t>
        </is>
      </c>
      <c r="B10" s="9" t="n"/>
      <c r="C10" s="9" t="n"/>
      <c r="D10" s="9" t="n"/>
      <c r="E10" s="9" t="n"/>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-36833</v>
      </c>
      <c r="D15" s="11" t="n">
        <v>-11344</v>
      </c>
      <c r="E15" s="11" t="n">
        <v>2137</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-27284</v>
      </c>
      <c r="D24" s="11" t="n">
        <v>4772</v>
      </c>
      <c r="E24" s="11" t="n">
        <v>2198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Lazy H Mutual Water Company</t>
        </is>
      </c>
    </row>
    <row r="2">
      <c r="A2" s="2" t="inlineStr">
        <is>
          <t>Financial Ratios</t>
        </is>
      </c>
    </row>
    <row r="3">
      <c r="A3" s="2" t="inlineStr">
        <is>
          <t>Entity ID: cawc_0188   |   Fiscal year ends June 30.</t>
        </is>
      </c>
    </row>
    <row r="5">
      <c r="A5" s="4" t="inlineStr">
        <is>
          <t>Ratio</t>
        </is>
      </c>
      <c r="B5" s="5" t="inlineStr">
        <is>
          <t>FY2022</t>
        </is>
      </c>
      <c r="C5" s="5" t="inlineStr">
        <is>
          <t>FY2023</t>
        </is>
      </c>
      <c r="D5" s="5" t="inlineStr">
        <is>
          <t>FY2024</t>
        </is>
      </c>
      <c r="E5" s="5" t="inlineStr">
        <is>
          <t>FY2025</t>
        </is>
      </c>
    </row>
    <row r="6">
      <c r="A6" s="6" t="inlineStr">
        <is>
          <t>Profitability (computed upstream)</t>
        </is>
      </c>
      <c r="B6" s="7" t="n"/>
      <c r="C6" s="7" t="n"/>
      <c r="D6" s="7" t="n"/>
      <c r="E6" s="7" t="n"/>
    </row>
    <row r="7">
      <c r="A7" s="8" t="inlineStr">
        <is>
          <t xml:space="preserve">    Operating margin (NI / revenue)</t>
        </is>
      </c>
      <c r="B7" s="12" t="n">
        <v>-0.09187108576074392</v>
      </c>
      <c r="C7" s="12" t="n">
        <v>-0.4949341574845472</v>
      </c>
      <c r="D7" s="12" t="n">
        <v>-0.1491944499243769</v>
      </c>
      <c r="E7" s="12" t="n">
        <v>0.02193324575088267</v>
      </c>
    </row>
    <row r="8">
      <c r="A8" s="8" t="inlineStr">
        <is>
          <t xml:space="preserve">    Expense ratio (expenses / revenue)</t>
        </is>
      </c>
      <c r="B8" s="12" t="n">
        <v>1.091871085760744</v>
      </c>
      <c r="C8" s="12" t="n">
        <v>1.494934157484547</v>
      </c>
      <c r="D8" s="12" t="n">
        <v>1.149194449924377</v>
      </c>
      <c r="E8" s="12" t="n">
        <v>0.9780667542491174</v>
      </c>
    </row>
    <row r="9">
      <c r="A9" s="8" t="inlineStr">
        <is>
          <t xml:space="preserve">    Return on assets (NI / assets)</t>
        </is>
      </c>
      <c r="B9" s="12" t="n">
        <v>-0.02574939204802375</v>
      </c>
      <c r="C9" s="12" t="n">
        <v>-0.150181238455987</v>
      </c>
      <c r="D9" s="12" t="n">
        <v>-0.04847593937088965</v>
      </c>
      <c r="E9" s="12" t="n">
        <v>0.009049371371464627</v>
      </c>
    </row>
    <row r="10">
      <c r="A10" s="8" t="inlineStr">
        <is>
          <t xml:space="preserve">    Revenue growth (YoY)</t>
        </is>
      </c>
      <c r="B10" s="12" t="n"/>
      <c r="C10" s="12" t="n"/>
      <c r="D10" s="12" t="n"/>
      <c r="E10" s="12" t="n"/>
    </row>
    <row r="12">
      <c r="A12" s="6" t="inlineStr">
        <is>
          <t>Leverage &amp; solvency</t>
        </is>
      </c>
      <c r="B12" s="7" t="n"/>
      <c r="C12" s="7" t="n"/>
      <c r="D12" s="7" t="n"/>
      <c r="E12" s="7" t="n"/>
    </row>
    <row r="13">
      <c r="A13" s="8" t="inlineStr">
        <is>
          <t xml:space="preserve">    Debt-to-assets (liab. / assets)</t>
        </is>
      </c>
      <c r="B13" s="12" t="n"/>
      <c r="C13" s="12" t="n"/>
      <c r="D13" s="12" t="n">
        <v>0.0004273266869789285</v>
      </c>
      <c r="E13" s="12" t="n">
        <v>0.0004234614586553405</v>
      </c>
    </row>
    <row r="14">
      <c r="A14" s="8" t="inlineStr">
        <is>
          <t xml:space="preserve">    Equity ratio (net assets / assets)</t>
        </is>
      </c>
      <c r="B14" s="12" t="n">
        <v>1</v>
      </c>
      <c r="C14" s="12" t="n">
        <v>1</v>
      </c>
      <c r="D14" s="12" t="n">
        <v>0.999572673313021</v>
      </c>
      <c r="E14" s="12" t="n">
        <v>0.9995765385413447</v>
      </c>
    </row>
    <row r="16">
      <c r="A16" s="6" t="inlineStr">
        <is>
          <t>Liquidity &amp; asset profile (derived here)</t>
        </is>
      </c>
      <c r="B16" s="7" t="n"/>
      <c r="C16" s="7" t="n"/>
      <c r="D16" s="7" t="n"/>
      <c r="E16" s="7" t="n"/>
    </row>
    <row r="17">
      <c r="A17" s="8" t="inlineStr">
        <is>
          <t xml:space="preserve">    Current ratio (current assets / AP)</t>
        </is>
      </c>
      <c r="B17" s="15" t="n"/>
      <c r="C17" s="15" t="n"/>
      <c r="D17" s="15" t="n"/>
      <c r="E17" s="15" t="n"/>
    </row>
    <row r="18">
      <c r="A18" s="8" t="inlineStr">
        <is>
          <t xml:space="preserve">    Cash ratio ((cash+temp inv.) / total liab.)</t>
        </is>
      </c>
      <c r="B18" s="15" t="n"/>
      <c r="C18" s="15" t="n"/>
      <c r="D18" s="15" t="n">
        <v>472.41</v>
      </c>
      <c r="E18" s="15" t="n">
        <v>494.39</v>
      </c>
    </row>
    <row r="19">
      <c r="A19" s="8" t="inlineStr">
        <is>
          <t xml:space="preserve">    Asset age proxy (accum. deprec. / gross PP&amp;E)</t>
        </is>
      </c>
      <c r="B19" s="12" t="n"/>
      <c r="C19" s="12" t="n"/>
      <c r="D19" s="12" t="n"/>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Lazy H Mutual Water Company</t>
        </is>
      </c>
    </row>
    <row r="2">
      <c r="A2" s="2" t="inlineStr">
        <is>
          <t>Unit economics - per-customer revenue by category (USD)</t>
        </is>
      </c>
    </row>
    <row r="3">
      <c r="A3" s="2" t="inlineStr">
        <is>
          <t>Entity ID: cawc_0188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Lazy H Mutual Water Company</t>
        </is>
      </c>
    </row>
    <row r="2">
      <c r="A2" s="2" t="inlineStr">
        <is>
          <t>Rate structure and representative bill - eAR Section 8a</t>
        </is>
      </c>
    </row>
    <row r="3">
      <c r="A3" s="2" t="inlineStr">
        <is>
          <t>Entity ID: cawc_0188   |   Fiscal year ends June 30.</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Lazy H Mutual Water Company</t>
        </is>
      </c>
    </row>
    <row r="2">
      <c r="A2" s="2" t="inlineStr">
        <is>
          <t>Operational metrics - plant per acre, density, terrain</t>
        </is>
      </c>
    </row>
    <row r="3">
      <c r="A3" s="2" t="inlineStr">
        <is>
          <t>Entity ID: cawc_0188   |   Fiscal year ends June 30.</t>
        </is>
      </c>
    </row>
    <row r="5">
      <c r="A5" s="6" t="inlineStr">
        <is>
          <t>Connections per acre</t>
        </is>
      </c>
      <c r="B5" s="7" t="n"/>
      <c r="C5" s="7" t="n"/>
    </row>
    <row r="6">
      <c r="A6" s="16" t="inlineStr">
        <is>
          <t>Connections per acre</t>
        </is>
      </c>
      <c r="B6" s="15" t="n">
        <v>1.11</v>
      </c>
      <c r="C6" s="18" t="inlineStr">
        <is>
          <t>42 connections / 38.0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Lazy H Mutual Water Company</t>
        </is>
      </c>
    </row>
    <row r="2">
      <c r="A2" s="2" t="inlineStr">
        <is>
          <t>Supply and weather indicators (DWR water year)</t>
        </is>
      </c>
    </row>
    <row r="3">
      <c r="A3" s="2" t="inlineStr">
        <is>
          <t>Entity ID: cawc_0188   |   Fiscal year ends June 30.</t>
        </is>
      </c>
    </row>
    <row r="5" ht="111"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WY2022</t>
        </is>
      </c>
      <c r="C7" s="5" t="inlineStr">
        <is>
          <t>WY2023</t>
        </is>
      </c>
      <c r="D7" s="5" t="inlineStr">
        <is>
          <t>WY2024</t>
        </is>
      </c>
      <c r="E7" s="5" t="inlineStr">
        <is>
          <t>WY2025</t>
        </is>
      </c>
    </row>
    <row r="8">
      <c r="A8" s="8" t="inlineStr">
        <is>
          <t>Water-year type (Sacramento Valley)</t>
        </is>
      </c>
      <c r="B8" s="22" t="inlineStr">
        <is>
          <t>Critical</t>
        </is>
      </c>
      <c r="C8" s="22" t="inlineStr">
        <is>
          <t>Wet</t>
        </is>
      </c>
      <c r="D8" s="22" t="inlineStr">
        <is>
          <t>Above Normal</t>
        </is>
      </c>
      <c r="E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row>
    <row r="10">
      <c r="A10" s="8" t="inlineStr">
        <is>
          <t>Precip, percent of normal (8-Station Index)</t>
        </is>
      </c>
      <c r="B10" s="22" t="inlineStr">
        <is>
          <t>86</t>
        </is>
      </c>
      <c r="C10" s="22" t="inlineStr">
        <is>
          <t>133</t>
        </is>
      </c>
      <c r="D10" s="22" t="inlineStr">
        <is>
          <t>96</t>
        </is>
      </c>
      <c r="E10" s="22" t="inlineStr">
        <is>
          <t>113</t>
        </is>
      </c>
    </row>
    <row r="11">
      <c r="A11" s="8" t="inlineStr">
        <is>
          <t>Snowpack, April 1 percent of average</t>
        </is>
      </c>
      <c r="B11" s="22" t="inlineStr">
        <is>
          <t>38%</t>
        </is>
      </c>
      <c r="C11" s="22" t="inlineStr">
        <is>
          <t>237%</t>
        </is>
      </c>
      <c r="D11" s="22" t="inlineStr">
        <is>
          <t>110%</t>
        </is>
      </c>
      <c r="E11" s="22" t="inlineStr">
        <is>
          <t>96%</t>
        </is>
      </c>
    </row>
    <row r="12">
      <c r="A12" s="8" t="inlineStr">
        <is>
          <t>State Water Project allocation</t>
        </is>
      </c>
      <c r="B12" s="22" t="inlineStr">
        <is>
          <t>5%</t>
        </is>
      </c>
      <c r="C12" s="22" t="inlineStr">
        <is>
          <t>100%</t>
        </is>
      </c>
      <c r="D12" s="22" t="inlineStr">
        <is>
          <t>40%</t>
        </is>
      </c>
      <c r="E12" s="22" t="inlineStr">
        <is>
          <t>50%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Lazy H Mutual Water Company</t>
        </is>
      </c>
    </row>
    <row r="2">
      <c r="A2" s="2" t="inlineStr">
        <is>
          <t>How this was built - forensic lineage</t>
        </is>
      </c>
    </row>
    <row r="3">
      <c r="A3" s="2" t="inlineStr">
        <is>
          <t>Entity ID: cawc_0188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Lazy H Mutual Water Company</t>
        </is>
      </c>
    </row>
    <row r="2">
      <c r="A2" s="2" t="inlineStr">
        <is>
          <t>Sources &amp; audit - full provenance and tie-outs (kept off the statements so they read clean)</t>
        </is>
      </c>
    </row>
    <row r="3">
      <c r="A3" s="2" t="inlineStr">
        <is>
          <t>Entity ID: cawc_0188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FY2022</t>
        </is>
      </c>
      <c r="B10" s="8" t="inlineStr">
        <is>
          <t>2022-06-30</t>
        </is>
      </c>
      <c r="C10" s="8" t="inlineStr">
        <is>
          <t>990-EZ</t>
        </is>
      </c>
      <c r="D10" s="8" t="inlineStr">
        <is>
          <t>high</t>
        </is>
      </c>
      <c r="E10" s="8" t="inlineStr">
        <is>
          <t>3df951ed-5452-4f2a-b1ac-d452be243bb9</t>
        </is>
      </c>
      <c r="F10" s="8" t="inlineStr">
        <is>
          <t>202242309349200424</t>
        </is>
      </c>
      <c r="G10" s="8" t="inlineStr">
        <is>
          <t>claude-opus-5</t>
        </is>
      </c>
      <c r="H10" s="8" t="inlineStr">
        <is>
          <t>2026-10-06T04:30:16+00:00</t>
        </is>
      </c>
      <c r="I10" s="8" t="inlineStr">
        <is>
          <t>https://apps.irs.gov/pub/epostcard/990/xml/2022/2022_TEOS_XML_01A.zip#202242309349200424_public.xml</t>
        </is>
      </c>
    </row>
    <row r="11">
      <c r="A11" s="22" t="inlineStr">
        <is>
          <t>FY2023</t>
        </is>
      </c>
      <c r="B11" s="8" t="inlineStr">
        <is>
          <t>2023-06-30</t>
        </is>
      </c>
      <c r="C11" s="8" t="inlineStr">
        <is>
          <t>990-EZ</t>
        </is>
      </c>
      <c r="D11" s="8" t="inlineStr">
        <is>
          <t>high</t>
        </is>
      </c>
      <c r="E11" s="8" t="inlineStr">
        <is>
          <t>9eb64f00-f93a-4f42-b3ab-cb2305c464dd</t>
        </is>
      </c>
      <c r="F11" s="8" t="inlineStr">
        <is>
          <t>202312349349200731</t>
        </is>
      </c>
      <c r="G11" s="8" t="inlineStr">
        <is>
          <t>claude-opus-5</t>
        </is>
      </c>
      <c r="H11" s="8" t="inlineStr">
        <is>
          <t>2026-10-06T04:30:17+00:00</t>
        </is>
      </c>
      <c r="I11" s="8" t="inlineStr">
        <is>
          <t>https://apps.irs.gov/pub/epostcard/990/xml/2023/2023_TEOS_XML_08A.zip#202312349349200731_public.xml</t>
        </is>
      </c>
    </row>
    <row r="12">
      <c r="A12" s="22" t="inlineStr">
        <is>
          <t>FY2024</t>
        </is>
      </c>
      <c r="B12" s="8" t="inlineStr">
        <is>
          <t>2024-06-30</t>
        </is>
      </c>
      <c r="C12" s="8" t="inlineStr">
        <is>
          <t>990-EZ</t>
        </is>
      </c>
      <c r="D12" s="8" t="inlineStr">
        <is>
          <t>high</t>
        </is>
      </c>
      <c r="E12" s="8" t="inlineStr">
        <is>
          <t>09fafcb3-d14e-48d8-bf53-b420917c847c</t>
        </is>
      </c>
      <c r="F12" s="8" t="inlineStr">
        <is>
          <t>202412419349200136</t>
        </is>
      </c>
      <c r="G12" s="8" t="inlineStr">
        <is>
          <t>claude-opus-5</t>
        </is>
      </c>
      <c r="H12" s="8" t="inlineStr">
        <is>
          <t>2026-10-06T04:30:18+00:00</t>
        </is>
      </c>
      <c r="I12" s="8" t="inlineStr">
        <is>
          <t>https://apps.irs.gov/pub/epostcard/990/xml/2024/2024_TEOS_XML_09A.zip#202412419349200136_public.xml</t>
        </is>
      </c>
    </row>
    <row r="13">
      <c r="A13" s="22" t="inlineStr">
        <is>
          <t>FY2025</t>
        </is>
      </c>
      <c r="B13" s="8" t="inlineStr">
        <is>
          <t>2025-06-30</t>
        </is>
      </c>
      <c r="C13" s="8" t="inlineStr">
        <is>
          <t>990-EZ</t>
        </is>
      </c>
      <c r="D13" s="8" t="inlineStr">
        <is>
          <t>high</t>
        </is>
      </c>
      <c r="E13" s="8" t="inlineStr">
        <is>
          <t>ef99bf3d-9329-4601-b698-d7fd6ec145d2</t>
        </is>
      </c>
      <c r="F13" s="8" t="inlineStr">
        <is>
          <t>202502689349200635</t>
        </is>
      </c>
      <c r="G13" s="8" t="inlineStr">
        <is>
          <t>claude-opus-5</t>
        </is>
      </c>
      <c r="H13" s="8" t="inlineStr">
        <is>
          <t>2026-10-06T04:30:18+00:00</t>
        </is>
      </c>
      <c r="I13" s="8" t="inlineStr">
        <is>
          <t>https://apps.irs.gov/pub/epostcard/990/xml/2025/2025_TEOS_XML_09A.zip#202502689349200635_public.xml</t>
        </is>
      </c>
    </row>
    <row r="15">
      <c r="A15" s="24"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Form 990-EZ Parts I &amp; II</t>
        </is>
      </c>
      <c r="B17" s="8" t="inlineStr">
        <is>
          <t>B7</t>
        </is>
      </c>
      <c r="C17" s="8" t="inlineStr">
        <is>
          <t>1. Contributions, gifts, grants</t>
        </is>
      </c>
      <c r="D17" s="8" t="inlineStr">
        <is>
          <t>Part I line 1</t>
        </is>
      </c>
      <c r="E17" s="8" t="inlineStr">
        <is>
          <t>part_i_revenue_expenses.contributions_grants</t>
        </is>
      </c>
      <c r="F17" s="8" t="inlineStr">
        <is>
          <t>high</t>
        </is>
      </c>
      <c r="G17" s="9" t="n">
        <v>0</v>
      </c>
    </row>
    <row r="18">
      <c r="A18" s="8" t="inlineStr">
        <is>
          <t>Form 990-EZ Parts I &amp; II</t>
        </is>
      </c>
      <c r="B18" s="8" t="inlineStr">
        <is>
          <t>C7</t>
        </is>
      </c>
      <c r="C18" s="8" t="inlineStr">
        <is>
          <t>1. Contributions, gifts, grants</t>
        </is>
      </c>
      <c r="D18" s="8" t="inlineStr">
        <is>
          <t>Part I line 1</t>
        </is>
      </c>
      <c r="E18" s="8" t="inlineStr">
        <is>
          <t>part_i_revenue_expenses.contributions_grants</t>
        </is>
      </c>
      <c r="F18" s="8" t="inlineStr">
        <is>
          <t>high</t>
        </is>
      </c>
      <c r="G18" s="9" t="n">
        <v>0</v>
      </c>
    </row>
    <row r="19">
      <c r="A19" s="8" t="inlineStr">
        <is>
          <t>Form 990-EZ Parts I &amp; II</t>
        </is>
      </c>
      <c r="B19" s="8" t="inlineStr">
        <is>
          <t>D7</t>
        </is>
      </c>
      <c r="C19" s="8" t="inlineStr">
        <is>
          <t>1. Contributions, gifts, grants</t>
        </is>
      </c>
      <c r="D19" s="8" t="inlineStr">
        <is>
          <t>Part I line 1</t>
        </is>
      </c>
      <c r="E19" s="8" t="inlineStr">
        <is>
          <t>part_i_revenue_expenses.contributions_grants</t>
        </is>
      </c>
      <c r="F19" s="8" t="inlineStr">
        <is>
          <t>high</t>
        </is>
      </c>
      <c r="G19" s="9" t="n">
        <v>0</v>
      </c>
    </row>
    <row r="20">
      <c r="A20" s="8" t="inlineStr">
        <is>
          <t>Form 990-EZ Parts I &amp; II</t>
        </is>
      </c>
      <c r="B20" s="8" t="inlineStr">
        <is>
          <t>E7</t>
        </is>
      </c>
      <c r="C20" s="8" t="inlineStr">
        <is>
          <t>1. Contributions, gifts, grants</t>
        </is>
      </c>
      <c r="D20" s="8" t="inlineStr">
        <is>
          <t>Part I line 1</t>
        </is>
      </c>
      <c r="E20" s="8" t="inlineStr">
        <is>
          <t>part_i_revenue_expenses.contributions_grants</t>
        </is>
      </c>
      <c r="F20" s="8" t="inlineStr">
        <is>
          <t>high</t>
        </is>
      </c>
      <c r="G20" s="9" t="n">
        <v>0</v>
      </c>
    </row>
    <row r="21">
      <c r="A21" s="8" t="inlineStr">
        <is>
          <t>Form 990-EZ Parts I &amp; II</t>
        </is>
      </c>
      <c r="B21" s="8" t="inlineStr">
        <is>
          <t>B8</t>
        </is>
      </c>
      <c r="C21" s="8" t="inlineStr">
        <is>
          <t>2. Program service revenue</t>
        </is>
      </c>
      <c r="D21" s="8" t="inlineStr">
        <is>
          <t>Part I line 2</t>
        </is>
      </c>
      <c r="E21" s="8" t="inlineStr">
        <is>
          <t>part_i_revenue_expenses.program_service_revenue</t>
        </is>
      </c>
      <c r="F21" s="8" t="inlineStr">
        <is>
          <t>high</t>
        </is>
      </c>
      <c r="G21" s="9" t="n">
        <v>77772</v>
      </c>
    </row>
    <row r="22">
      <c r="A22" s="8" t="inlineStr">
        <is>
          <t>Form 990-EZ Parts I &amp; II</t>
        </is>
      </c>
      <c r="B22" s="8" t="inlineStr">
        <is>
          <t>C8</t>
        </is>
      </c>
      <c r="C22" s="8" t="inlineStr">
        <is>
          <t>2. Program service revenue</t>
        </is>
      </c>
      <c r="D22" s="8" t="inlineStr">
        <is>
          <t>Part I line 2</t>
        </is>
      </c>
      <c r="E22" s="8" t="inlineStr">
        <is>
          <t>part_i_revenue_expenses.program_service_revenue</t>
        </is>
      </c>
      <c r="F22" s="8" t="inlineStr">
        <is>
          <t>high</t>
        </is>
      </c>
      <c r="G22" s="9" t="n">
        <v>72262</v>
      </c>
    </row>
    <row r="23">
      <c r="A23" s="8" t="inlineStr">
        <is>
          <t>Form 990-EZ Parts I &amp; II</t>
        </is>
      </c>
      <c r="B23" s="8" t="inlineStr">
        <is>
          <t>D8</t>
        </is>
      </c>
      <c r="C23" s="8" t="inlineStr">
        <is>
          <t>2. Program service revenue</t>
        </is>
      </c>
      <c r="D23" s="8" t="inlineStr">
        <is>
          <t>Part I line 2</t>
        </is>
      </c>
      <c r="E23" s="8" t="inlineStr">
        <is>
          <t>part_i_revenue_expenses.program_service_revenue</t>
        </is>
      </c>
      <c r="F23" s="8" t="inlineStr">
        <is>
          <t>high</t>
        </is>
      </c>
      <c r="G23" s="9" t="n">
        <v>75053</v>
      </c>
    </row>
    <row r="24">
      <c r="A24" s="8" t="inlineStr">
        <is>
          <t>Form 990-EZ Parts I &amp; II</t>
        </is>
      </c>
      <c r="B24" s="8" t="inlineStr">
        <is>
          <t>E8</t>
        </is>
      </c>
      <c r="C24" s="8" t="inlineStr">
        <is>
          <t>2. Program service revenue</t>
        </is>
      </c>
      <c r="D24" s="8" t="inlineStr">
        <is>
          <t>Part I line 2</t>
        </is>
      </c>
      <c r="E24" s="8" t="inlineStr">
        <is>
          <t>part_i_revenue_expenses.program_service_revenue</t>
        </is>
      </c>
      <c r="F24" s="8" t="inlineStr">
        <is>
          <t>high</t>
        </is>
      </c>
      <c r="G24" s="9" t="n">
        <v>95778</v>
      </c>
    </row>
    <row r="25">
      <c r="A25" s="8" t="inlineStr">
        <is>
          <t>Form 990-EZ Parts I &amp; II</t>
        </is>
      </c>
      <c r="B25" s="8" t="inlineStr">
        <is>
          <t>B9</t>
        </is>
      </c>
      <c r="C25" s="8" t="inlineStr">
        <is>
          <t>3. Membership dues and assessments</t>
        </is>
      </c>
      <c r="D25" s="8" t="inlineStr">
        <is>
          <t>Part I line 3</t>
        </is>
      </c>
      <c r="E25" s="8" t="inlineStr">
        <is>
          <t>part_i_revenue_expenses.membership_dues</t>
        </is>
      </c>
      <c r="F25" s="8" t="inlineStr">
        <is>
          <t>high</t>
        </is>
      </c>
      <c r="G25" s="9" t="n">
        <v>0</v>
      </c>
    </row>
    <row r="26">
      <c r="A26" s="8" t="inlineStr">
        <is>
          <t>Form 990-EZ Parts I &amp; II</t>
        </is>
      </c>
      <c r="B26" s="8" t="inlineStr">
        <is>
          <t>C9</t>
        </is>
      </c>
      <c r="C26" s="8" t="inlineStr">
        <is>
          <t>3. Membership dues and assessments</t>
        </is>
      </c>
      <c r="D26" s="8" t="inlineStr">
        <is>
          <t>Part I line 3</t>
        </is>
      </c>
      <c r="E26" s="8" t="inlineStr">
        <is>
          <t>part_i_revenue_expenses.membership_dues</t>
        </is>
      </c>
      <c r="F26" s="8" t="inlineStr">
        <is>
          <t>high</t>
        </is>
      </c>
      <c r="G26" s="9" t="n">
        <v>0</v>
      </c>
    </row>
    <row r="27">
      <c r="A27" s="8" t="inlineStr">
        <is>
          <t>Form 990-EZ Parts I &amp; II</t>
        </is>
      </c>
      <c r="B27" s="8" t="inlineStr">
        <is>
          <t>D9</t>
        </is>
      </c>
      <c r="C27" s="8" t="inlineStr">
        <is>
          <t>3. Membership dues and assessments</t>
        </is>
      </c>
      <c r="D27" s="8" t="inlineStr">
        <is>
          <t>Part I line 3</t>
        </is>
      </c>
      <c r="E27" s="8" t="inlineStr">
        <is>
          <t>part_i_revenue_expenses.membership_dues</t>
        </is>
      </c>
      <c r="F27" s="8" t="inlineStr">
        <is>
          <t>high</t>
        </is>
      </c>
      <c r="G27" s="9" t="n">
        <v>0</v>
      </c>
    </row>
    <row r="28">
      <c r="A28" s="8" t="inlineStr">
        <is>
          <t>Form 990-EZ Parts I &amp; II</t>
        </is>
      </c>
      <c r="B28" s="8" t="inlineStr">
        <is>
          <t>E9</t>
        </is>
      </c>
      <c r="C28" s="8" t="inlineStr">
        <is>
          <t>3. Membership dues and assessments</t>
        </is>
      </c>
      <c r="D28" s="8" t="inlineStr">
        <is>
          <t>Part I line 3</t>
        </is>
      </c>
      <c r="E28" s="8" t="inlineStr">
        <is>
          <t>part_i_revenue_expenses.membership_dues</t>
        </is>
      </c>
      <c r="F28" s="8" t="inlineStr">
        <is>
          <t>high</t>
        </is>
      </c>
      <c r="G28" s="9" t="n">
        <v>0</v>
      </c>
    </row>
    <row r="29">
      <c r="A29" s="8" t="inlineStr">
        <is>
          <t>Form 990-EZ Parts I &amp; II</t>
        </is>
      </c>
      <c r="B29" s="8" t="inlineStr">
        <is>
          <t>B10</t>
        </is>
      </c>
      <c r="C29" s="8" t="inlineStr">
        <is>
          <t>4. Investment income</t>
        </is>
      </c>
      <c r="D29" s="8" t="inlineStr">
        <is>
          <t>Part I line 4</t>
        </is>
      </c>
      <c r="E29" s="8" t="inlineStr">
        <is>
          <t>part_i_revenue_expenses.investment_income</t>
        </is>
      </c>
      <c r="F29" s="8" t="inlineStr">
        <is>
          <t>high</t>
        </is>
      </c>
      <c r="G29" s="9" t="n">
        <v>0</v>
      </c>
    </row>
    <row r="30">
      <c r="A30" s="8" t="inlineStr">
        <is>
          <t>Form 990-EZ Parts I &amp; II</t>
        </is>
      </c>
      <c r="B30" s="8" t="inlineStr">
        <is>
          <t>C10</t>
        </is>
      </c>
      <c r="C30" s="8" t="inlineStr">
        <is>
          <t>4. Investment income</t>
        </is>
      </c>
      <c r="D30" s="8" t="inlineStr">
        <is>
          <t>Part I line 4</t>
        </is>
      </c>
      <c r="E30" s="8" t="inlineStr">
        <is>
          <t>part_i_revenue_expenses.investment_income</t>
        </is>
      </c>
      <c r="F30" s="8" t="inlineStr">
        <is>
          <t>high</t>
        </is>
      </c>
      <c r="G30" s="9" t="n">
        <v>0</v>
      </c>
    </row>
    <row r="31">
      <c r="A31" s="8" t="inlineStr">
        <is>
          <t>Form 990-EZ Parts I &amp; II</t>
        </is>
      </c>
      <c r="B31" s="8" t="inlineStr">
        <is>
          <t>D10</t>
        </is>
      </c>
      <c r="C31" s="8" t="inlineStr">
        <is>
          <t>4. Investment income</t>
        </is>
      </c>
      <c r="D31" s="8" t="inlineStr">
        <is>
          <t>Part I line 4</t>
        </is>
      </c>
      <c r="E31" s="8" t="inlineStr">
        <is>
          <t>part_i_revenue_expenses.investment_income</t>
        </is>
      </c>
      <c r="F31" s="8" t="inlineStr">
        <is>
          <t>high</t>
        </is>
      </c>
      <c r="G31" s="9" t="n">
        <v>8</v>
      </c>
    </row>
    <row r="32">
      <c r="A32" s="8" t="inlineStr">
        <is>
          <t>Form 990-EZ Parts I &amp; II</t>
        </is>
      </c>
      <c r="B32" s="8" t="inlineStr">
        <is>
          <t>E10</t>
        </is>
      </c>
      <c r="C32" s="8" t="inlineStr">
        <is>
          <t>4. Investment income</t>
        </is>
      </c>
      <c r="D32" s="8" t="inlineStr">
        <is>
          <t>Part I line 4</t>
        </is>
      </c>
      <c r="E32" s="8" t="inlineStr">
        <is>
          <t>part_i_revenue_expenses.investment_income</t>
        </is>
      </c>
      <c r="F32" s="8" t="inlineStr">
        <is>
          <t>high</t>
        </is>
      </c>
      <c r="G32" s="9" t="n">
        <v>714</v>
      </c>
    </row>
    <row r="33">
      <c r="A33" s="8" t="inlineStr">
        <is>
          <t>Form 990-EZ Parts I &amp; II</t>
        </is>
      </c>
      <c r="B33" s="8" t="inlineStr">
        <is>
          <t>B11</t>
        </is>
      </c>
      <c r="C33" s="8" t="inlineStr">
        <is>
          <t>8. Other revenue</t>
        </is>
      </c>
      <c r="D33" s="8" t="inlineStr">
        <is>
          <t>Part I line 8</t>
        </is>
      </c>
      <c r="E33" s="8" t="inlineStr">
        <is>
          <t>part_i_revenue_expenses.other_revenue_total</t>
        </is>
      </c>
      <c r="F33" s="8" t="inlineStr">
        <is>
          <t>high</t>
        </is>
      </c>
      <c r="G33" s="9" t="n">
        <v>947</v>
      </c>
    </row>
    <row r="34">
      <c r="A34" s="8" t="inlineStr">
        <is>
          <t>Form 990-EZ Parts I &amp; II</t>
        </is>
      </c>
      <c r="B34" s="8" t="inlineStr">
        <is>
          <t>C11</t>
        </is>
      </c>
      <c r="C34" s="8" t="inlineStr">
        <is>
          <t>8. Other revenue</t>
        </is>
      </c>
      <c r="D34" s="8" t="inlineStr">
        <is>
          <t>Part I line 8</t>
        </is>
      </c>
      <c r="E34" s="8" t="inlineStr">
        <is>
          <t>part_i_revenue_expenses.other_revenue_total</t>
        </is>
      </c>
      <c r="F34" s="8" t="inlineStr">
        <is>
          <t>high</t>
        </is>
      </c>
      <c r="G34" s="9" t="n">
        <v>2158</v>
      </c>
    </row>
    <row r="35">
      <c r="A35" s="8" t="inlineStr">
        <is>
          <t>Form 990-EZ Parts I &amp; II</t>
        </is>
      </c>
      <c r="B35" s="8" t="inlineStr">
        <is>
          <t>D11</t>
        </is>
      </c>
      <c r="C35" s="8" t="inlineStr">
        <is>
          <t>8. Other revenue</t>
        </is>
      </c>
      <c r="D35" s="8" t="inlineStr">
        <is>
          <t>Part I line 8</t>
        </is>
      </c>
      <c r="E35" s="8" t="inlineStr">
        <is>
          <t>part_i_revenue_expenses.other_revenue_total</t>
        </is>
      </c>
      <c r="F35" s="8" t="inlineStr">
        <is>
          <t>high</t>
        </is>
      </c>
      <c r="G35" s="9" t="n">
        <v>974</v>
      </c>
    </row>
    <row r="36">
      <c r="A36" s="8" t="inlineStr">
        <is>
          <t>Form 990-EZ Parts I &amp; II</t>
        </is>
      </c>
      <c r="B36" s="8" t="inlineStr">
        <is>
          <t>E11</t>
        </is>
      </c>
      <c r="C36" s="8" t="inlineStr">
        <is>
          <t>8. Other revenue</t>
        </is>
      </c>
      <c r="D36" s="8" t="inlineStr">
        <is>
          <t>Part I line 8</t>
        </is>
      </c>
      <c r="E36" s="8" t="inlineStr">
        <is>
          <t>part_i_revenue_expenses.other_revenue_total</t>
        </is>
      </c>
      <c r="F36" s="8" t="inlineStr">
        <is>
          <t>high</t>
        </is>
      </c>
      <c r="G36" s="9" t="n">
        <v>940</v>
      </c>
    </row>
    <row r="37">
      <c r="A37" s="8" t="inlineStr">
        <is>
          <t>Form 990-EZ Parts I &amp; II</t>
        </is>
      </c>
      <c r="B37" s="8" t="inlineStr">
        <is>
          <t>B12</t>
        </is>
      </c>
      <c r="C37" s="8" t="inlineStr">
        <is>
          <t>9. Total revenue</t>
        </is>
      </c>
      <c r="D37" s="8" t="inlineStr">
        <is>
          <t>Part I line 9</t>
        </is>
      </c>
      <c r="E37" s="8" t="inlineStr">
        <is>
          <t>part_i_revenue_expenses.total_revenue</t>
        </is>
      </c>
      <c r="F37" s="8" t="inlineStr">
        <is>
          <t>high</t>
        </is>
      </c>
      <c r="G37" s="9" t="n">
        <v>78719</v>
      </c>
    </row>
    <row r="38">
      <c r="A38" s="8" t="inlineStr">
        <is>
          <t>Form 990-EZ Parts I &amp; II</t>
        </is>
      </c>
      <c r="B38" s="8" t="inlineStr">
        <is>
          <t>C12</t>
        </is>
      </c>
      <c r="C38" s="8" t="inlineStr">
        <is>
          <t>9. Total revenue</t>
        </is>
      </c>
      <c r="D38" s="8" t="inlineStr">
        <is>
          <t>Part I line 9</t>
        </is>
      </c>
      <c r="E38" s="8" t="inlineStr">
        <is>
          <t>part_i_revenue_expenses.total_revenue</t>
        </is>
      </c>
      <c r="F38" s="8" t="inlineStr">
        <is>
          <t>high</t>
        </is>
      </c>
      <c r="G38" s="9" t="n">
        <v>74420</v>
      </c>
    </row>
    <row r="39">
      <c r="A39" s="8" t="inlineStr">
        <is>
          <t>Form 990-EZ Parts I &amp; II</t>
        </is>
      </c>
      <c r="B39" s="8" t="inlineStr">
        <is>
          <t>D12</t>
        </is>
      </c>
      <c r="C39" s="8" t="inlineStr">
        <is>
          <t>9. Total revenue</t>
        </is>
      </c>
      <c r="D39" s="8" t="inlineStr">
        <is>
          <t>Part I line 9</t>
        </is>
      </c>
      <c r="E39" s="8" t="inlineStr">
        <is>
          <t>part_i_revenue_expenses.total_revenue</t>
        </is>
      </c>
      <c r="F39" s="8" t="inlineStr">
        <is>
          <t>high</t>
        </is>
      </c>
      <c r="G39" s="9" t="n">
        <v>76035</v>
      </c>
    </row>
    <row r="40">
      <c r="A40" s="8" t="inlineStr">
        <is>
          <t>Form 990-EZ Parts I &amp; II</t>
        </is>
      </c>
      <c r="B40" s="8" t="inlineStr">
        <is>
          <t>E12</t>
        </is>
      </c>
      <c r="C40" s="8" t="inlineStr">
        <is>
          <t>9. Total revenue</t>
        </is>
      </c>
      <c r="D40" s="8" t="inlineStr">
        <is>
          <t>Part I line 9</t>
        </is>
      </c>
      <c r="E40" s="8" t="inlineStr">
        <is>
          <t>part_i_revenue_expenses.total_revenue</t>
        </is>
      </c>
      <c r="F40" s="8" t="inlineStr">
        <is>
          <t>high</t>
        </is>
      </c>
      <c r="G40" s="9" t="n">
        <v>97432</v>
      </c>
    </row>
    <row r="41">
      <c r="A41" s="8" t="inlineStr">
        <is>
          <t>Form 990-EZ Parts I &amp; II</t>
        </is>
      </c>
      <c r="B41" s="8" t="inlineStr">
        <is>
          <t>B15</t>
        </is>
      </c>
      <c r="C41" s="8" t="inlineStr">
        <is>
          <t>13. Fees for services (independent contractors)</t>
        </is>
      </c>
      <c r="D41" s="8" t="inlineStr">
        <is>
          <t>Part I line 13</t>
        </is>
      </c>
      <c r="E41" s="8" t="inlineStr">
        <is>
          <t>part_i_revenue_expenses.fees_ind_contractors</t>
        </is>
      </c>
      <c r="F41" s="8" t="inlineStr">
        <is>
          <t>high</t>
        </is>
      </c>
      <c r="G41" s="9" t="n">
        <v>34678</v>
      </c>
    </row>
    <row r="42">
      <c r="A42" s="8" t="inlineStr">
        <is>
          <t>Form 990-EZ Parts I &amp; II</t>
        </is>
      </c>
      <c r="B42" s="8" t="inlineStr">
        <is>
          <t>C15</t>
        </is>
      </c>
      <c r="C42" s="8" t="inlineStr">
        <is>
          <t>13. Fees for services (independent contractors)</t>
        </is>
      </c>
      <c r="D42" s="8" t="inlineStr">
        <is>
          <t>Part I line 13</t>
        </is>
      </c>
      <c r="E42" s="8" t="inlineStr">
        <is>
          <t>part_i_revenue_expenses.fees_ind_contractors</t>
        </is>
      </c>
      <c r="F42" s="8" t="inlineStr">
        <is>
          <t>high</t>
        </is>
      </c>
      <c r="G42" s="9" t="n">
        <v>35801</v>
      </c>
    </row>
    <row r="43">
      <c r="A43" s="8" t="inlineStr">
        <is>
          <t>Form 990-EZ Parts I &amp; II</t>
        </is>
      </c>
      <c r="B43" s="8" t="inlineStr">
        <is>
          <t>D15</t>
        </is>
      </c>
      <c r="C43" s="8" t="inlineStr">
        <is>
          <t>13. Fees for services (independent contractors)</t>
        </is>
      </c>
      <c r="D43" s="8" t="inlineStr">
        <is>
          <t>Part I line 13</t>
        </is>
      </c>
      <c r="E43" s="8" t="inlineStr">
        <is>
          <t>part_i_revenue_expenses.fees_ind_contractors</t>
        </is>
      </c>
      <c r="F43" s="8" t="inlineStr">
        <is>
          <t>high</t>
        </is>
      </c>
      <c r="G43" s="9" t="n">
        <v>35853</v>
      </c>
    </row>
    <row r="44">
      <c r="A44" s="8" t="inlineStr">
        <is>
          <t>Form 990-EZ Parts I &amp; II</t>
        </is>
      </c>
      <c r="B44" s="8" t="inlineStr">
        <is>
          <t>E15</t>
        </is>
      </c>
      <c r="C44" s="8" t="inlineStr">
        <is>
          <t>13. Fees for services (independent contractors)</t>
        </is>
      </c>
      <c r="D44" s="8" t="inlineStr">
        <is>
          <t>Part I line 13</t>
        </is>
      </c>
      <c r="E44" s="8" t="inlineStr">
        <is>
          <t>part_i_revenue_expenses.fees_ind_contractors</t>
        </is>
      </c>
      <c r="F44" s="8" t="inlineStr">
        <is>
          <t>high</t>
        </is>
      </c>
      <c r="G44" s="9" t="n">
        <v>37793</v>
      </c>
    </row>
    <row r="45">
      <c r="A45" s="8" t="inlineStr">
        <is>
          <t>Form 990-EZ Parts I &amp; II</t>
        </is>
      </c>
      <c r="B45" s="8" t="inlineStr">
        <is>
          <t>B16</t>
        </is>
      </c>
      <c r="C45" s="8" t="inlineStr">
        <is>
          <t>14. Occupancy, rent, utilities, maintenance</t>
        </is>
      </c>
      <c r="D45" s="8" t="inlineStr">
        <is>
          <t>Part I line 14</t>
        </is>
      </c>
      <c r="E45" s="8" t="inlineStr">
        <is>
          <t>part_i_revenue_expenses.occupancy_utilities_maint</t>
        </is>
      </c>
      <c r="F45" s="8" t="inlineStr">
        <is>
          <t>high</t>
        </is>
      </c>
      <c r="G45" s="9" t="n">
        <v>17501</v>
      </c>
    </row>
    <row r="46">
      <c r="A46" s="8" t="inlineStr">
        <is>
          <t>Form 990-EZ Parts I &amp; II</t>
        </is>
      </c>
      <c r="B46" s="8" t="inlineStr">
        <is>
          <t>C16</t>
        </is>
      </c>
      <c r="C46" s="8" t="inlineStr">
        <is>
          <t>14. Occupancy, rent, utilities, maintenance</t>
        </is>
      </c>
      <c r="D46" s="8" t="inlineStr">
        <is>
          <t>Part I line 14</t>
        </is>
      </c>
      <c r="E46" s="8" t="inlineStr">
        <is>
          <t>part_i_revenue_expenses.occupancy_utilities_maint</t>
        </is>
      </c>
      <c r="F46" s="8" t="inlineStr">
        <is>
          <t>high</t>
        </is>
      </c>
      <c r="G46" s="9" t="n">
        <v>40649</v>
      </c>
    </row>
    <row r="47">
      <c r="A47" s="8" t="inlineStr">
        <is>
          <t>Form 990-EZ Parts I &amp; II</t>
        </is>
      </c>
      <c r="B47" s="8" t="inlineStr">
        <is>
          <t>D16</t>
        </is>
      </c>
      <c r="C47" s="8" t="inlineStr">
        <is>
          <t>14. Occupancy, rent, utilities, maintenance</t>
        </is>
      </c>
      <c r="D47" s="8" t="inlineStr">
        <is>
          <t>Part I line 14</t>
        </is>
      </c>
      <c r="E47" s="8" t="inlineStr">
        <is>
          <t>part_i_revenue_expenses.occupancy_utilities_maint</t>
        </is>
      </c>
      <c r="F47" s="8" t="inlineStr">
        <is>
          <t>high</t>
        </is>
      </c>
      <c r="G47" s="9" t="n">
        <v>16041</v>
      </c>
    </row>
    <row r="48">
      <c r="A48" s="8" t="inlineStr">
        <is>
          <t>Form 990-EZ Parts I &amp; II</t>
        </is>
      </c>
      <c r="B48" s="8" t="inlineStr">
        <is>
          <t>E16</t>
        </is>
      </c>
      <c r="C48" s="8" t="inlineStr">
        <is>
          <t>14. Occupancy, rent, utilities, maintenance</t>
        </is>
      </c>
      <c r="D48" s="8" t="inlineStr">
        <is>
          <t>Part I line 14</t>
        </is>
      </c>
      <c r="E48" s="8" t="inlineStr">
        <is>
          <t>part_i_revenue_expenses.occupancy_utilities_maint</t>
        </is>
      </c>
      <c r="F48" s="8" t="inlineStr">
        <is>
          <t>high</t>
        </is>
      </c>
      <c r="G48" s="9" t="n">
        <v>15082</v>
      </c>
    </row>
    <row r="49">
      <c r="A49" s="8" t="inlineStr">
        <is>
          <t>Form 990-EZ Parts I &amp; II</t>
        </is>
      </c>
      <c r="B49" s="8" t="inlineStr">
        <is>
          <t>B17</t>
        </is>
      </c>
      <c r="C49" s="8" t="inlineStr">
        <is>
          <t>16. Other expenses</t>
        </is>
      </c>
      <c r="D49" s="8" t="inlineStr">
        <is>
          <t>Part I line 16</t>
        </is>
      </c>
      <c r="E49" s="8" t="inlineStr">
        <is>
          <t>part_i_revenue_expenses.other_expenses_total</t>
        </is>
      </c>
      <c r="F49" s="8" t="inlineStr">
        <is>
          <t>high</t>
        </is>
      </c>
      <c r="G49" s="9" t="n">
        <v>33772</v>
      </c>
    </row>
    <row r="50">
      <c r="A50" s="8" t="inlineStr">
        <is>
          <t>Form 990-EZ Parts I &amp; II</t>
        </is>
      </c>
      <c r="B50" s="8" t="inlineStr">
        <is>
          <t>C17</t>
        </is>
      </c>
      <c r="C50" s="8" t="inlineStr">
        <is>
          <t>16. Other expenses</t>
        </is>
      </c>
      <c r="D50" s="8" t="inlineStr">
        <is>
          <t>Part I line 16</t>
        </is>
      </c>
      <c r="E50" s="8" t="inlineStr">
        <is>
          <t>part_i_revenue_expenses.other_expenses_total</t>
        </is>
      </c>
      <c r="F50" s="8" t="inlineStr">
        <is>
          <t>high</t>
        </is>
      </c>
      <c r="G50" s="9" t="n">
        <v>34803</v>
      </c>
    </row>
    <row r="51">
      <c r="A51" s="8" t="inlineStr">
        <is>
          <t>Form 990-EZ Parts I &amp; II</t>
        </is>
      </c>
      <c r="B51" s="8" t="inlineStr">
        <is>
          <t>D17</t>
        </is>
      </c>
      <c r="C51" s="8" t="inlineStr">
        <is>
          <t>16. Other expenses</t>
        </is>
      </c>
      <c r="D51" s="8" t="inlineStr">
        <is>
          <t>Part I line 16</t>
        </is>
      </c>
      <c r="E51" s="8" t="inlineStr">
        <is>
          <t>part_i_revenue_expenses.other_expenses_total</t>
        </is>
      </c>
      <c r="F51" s="8" t="inlineStr">
        <is>
          <t>high</t>
        </is>
      </c>
      <c r="G51" s="9" t="n">
        <v>35485</v>
      </c>
    </row>
    <row r="52">
      <c r="A52" s="8" t="inlineStr">
        <is>
          <t>Form 990-EZ Parts I &amp; II</t>
        </is>
      </c>
      <c r="B52" s="8" t="inlineStr">
        <is>
          <t>E17</t>
        </is>
      </c>
      <c r="C52" s="8" t="inlineStr">
        <is>
          <t>16. Other expenses</t>
        </is>
      </c>
      <c r="D52" s="8" t="inlineStr">
        <is>
          <t>Part I line 16</t>
        </is>
      </c>
      <c r="E52" s="8" t="inlineStr">
        <is>
          <t>part_i_revenue_expenses.other_expenses_total</t>
        </is>
      </c>
      <c r="F52" s="8" t="inlineStr">
        <is>
          <t>high</t>
        </is>
      </c>
      <c r="G52" s="9" t="n">
        <v>42420</v>
      </c>
    </row>
    <row r="53">
      <c r="A53" s="8" t="inlineStr">
        <is>
          <t>Form 990-EZ Parts I &amp; II</t>
        </is>
      </c>
      <c r="B53" s="8" t="inlineStr">
        <is>
          <t>B21</t>
        </is>
      </c>
      <c r="C53" s="8" t="inlineStr">
        <is>
          <t>19. Net assets or fund balances, beginning of year</t>
        </is>
      </c>
      <c r="D53" s="8" t="inlineStr">
        <is>
          <t>Part I line 19</t>
        </is>
      </c>
      <c r="E53" s="8" t="inlineStr">
        <is>
          <t>part_i_revenue_expenses.net_assets_boy</t>
        </is>
      </c>
      <c r="F53" s="8" t="inlineStr">
        <is>
          <t>high</t>
        </is>
      </c>
      <c r="G53" s="9" t="n">
        <v>289320</v>
      </c>
    </row>
    <row r="54">
      <c r="A54" s="8" t="inlineStr">
        <is>
          <t>Form 990-EZ Parts I &amp; II</t>
        </is>
      </c>
      <c r="B54" s="8" t="inlineStr">
        <is>
          <t>C21</t>
        </is>
      </c>
      <c r="C54" s="8" t="inlineStr">
        <is>
          <t>19. Net assets or fund balances, beginning of year</t>
        </is>
      </c>
      <c r="D54" s="8" t="inlineStr">
        <is>
          <t>Part I line 19</t>
        </is>
      </c>
      <c r="E54" s="8" t="inlineStr">
        <is>
          <t>part_i_revenue_expenses.net_assets_boy</t>
        </is>
      </c>
      <c r="F54" s="8" t="inlineStr">
        <is>
          <t>high</t>
        </is>
      </c>
      <c r="G54" s="9" t="n">
        <v>280861</v>
      </c>
    </row>
    <row r="55">
      <c r="A55" s="8" t="inlineStr">
        <is>
          <t>Form 990-EZ Parts I &amp; II</t>
        </is>
      </c>
      <c r="B55" s="8" t="inlineStr">
        <is>
          <t>D21</t>
        </is>
      </c>
      <c r="C55" s="8" t="inlineStr">
        <is>
          <t>19. Net assets or fund balances, beginning of year</t>
        </is>
      </c>
      <c r="D55" s="8" t="inlineStr">
        <is>
          <t>Part I line 19</t>
        </is>
      </c>
      <c r="E55" s="8" t="inlineStr">
        <is>
          <t>part_i_revenue_expenses.net_assets_boy</t>
        </is>
      </c>
      <c r="F55" s="8" t="inlineStr">
        <is>
          <t>high</t>
        </is>
      </c>
      <c r="G55" s="9" t="n">
        <v>245257</v>
      </c>
    </row>
    <row r="56">
      <c r="A56" s="8" t="inlineStr">
        <is>
          <t>Form 990-EZ Parts I &amp; II</t>
        </is>
      </c>
      <c r="B56" s="8" t="inlineStr">
        <is>
          <t>E21</t>
        </is>
      </c>
      <c r="C56" s="8" t="inlineStr">
        <is>
          <t>19. Net assets or fund balances, beginning of year</t>
        </is>
      </c>
      <c r="D56" s="8" t="inlineStr">
        <is>
          <t>Part I line 19</t>
        </is>
      </c>
      <c r="E56" s="8" t="inlineStr">
        <is>
          <t>part_i_revenue_expenses.net_assets_boy</t>
        </is>
      </c>
      <c r="F56" s="8" t="inlineStr">
        <is>
          <t>high</t>
        </is>
      </c>
      <c r="G56" s="9" t="n">
        <v>233913</v>
      </c>
    </row>
    <row r="57">
      <c r="A57" s="8" t="inlineStr">
        <is>
          <t>Form 990-EZ Parts I &amp; II</t>
        </is>
      </c>
      <c r="B57" s="8" t="inlineStr">
        <is>
          <t>B22</t>
        </is>
      </c>
      <c r="C57" s="8" t="inlineStr">
        <is>
          <t>18. Excess or (deficit) for the year</t>
        </is>
      </c>
      <c r="D57" s="8" t="inlineStr">
        <is>
          <t>Part I line 18</t>
        </is>
      </c>
      <c r="E57" s="8" t="inlineStr">
        <is>
          <t>part_i_revenue_expenses.excess_or_deficit</t>
        </is>
      </c>
      <c r="F57" s="8" t="inlineStr">
        <is>
          <t>high</t>
        </is>
      </c>
      <c r="G57" s="9" t="n">
        <v>-7232</v>
      </c>
    </row>
    <row r="58">
      <c r="A58" s="8" t="inlineStr">
        <is>
          <t>Form 990-EZ Parts I &amp; II</t>
        </is>
      </c>
      <c r="B58" s="8" t="inlineStr">
        <is>
          <t>C22</t>
        </is>
      </c>
      <c r="C58" s="8" t="inlineStr">
        <is>
          <t>18. Excess or (deficit) for the year</t>
        </is>
      </c>
      <c r="D58" s="8" t="inlineStr">
        <is>
          <t>Part I line 18</t>
        </is>
      </c>
      <c r="E58" s="8" t="inlineStr">
        <is>
          <t>part_i_revenue_expenses.excess_or_deficit</t>
        </is>
      </c>
      <c r="F58" s="8" t="inlineStr">
        <is>
          <t>high</t>
        </is>
      </c>
      <c r="G58" s="9" t="n">
        <v>-36833</v>
      </c>
    </row>
    <row r="59">
      <c r="A59" s="8" t="inlineStr">
        <is>
          <t>Form 990-EZ Parts I &amp; II</t>
        </is>
      </c>
      <c r="B59" s="8" t="inlineStr">
        <is>
          <t>D22</t>
        </is>
      </c>
      <c r="C59" s="8" t="inlineStr">
        <is>
          <t>18. Excess or (deficit) for the year</t>
        </is>
      </c>
      <c r="D59" s="8" t="inlineStr">
        <is>
          <t>Part I line 18</t>
        </is>
      </c>
      <c r="E59" s="8" t="inlineStr">
        <is>
          <t>part_i_revenue_expenses.excess_or_deficit</t>
        </is>
      </c>
      <c r="F59" s="8" t="inlineStr">
        <is>
          <t>high</t>
        </is>
      </c>
      <c r="G59" s="9" t="n">
        <v>-11344</v>
      </c>
    </row>
    <row r="60">
      <c r="A60" s="8" t="inlineStr">
        <is>
          <t>Form 990-EZ Parts I &amp; II</t>
        </is>
      </c>
      <c r="B60" s="8" t="inlineStr">
        <is>
          <t>E22</t>
        </is>
      </c>
      <c r="C60" s="8" t="inlineStr">
        <is>
          <t>18. Excess or (deficit) for the year</t>
        </is>
      </c>
      <c r="D60" s="8" t="inlineStr">
        <is>
          <t>Part I line 18</t>
        </is>
      </c>
      <c r="E60" s="8" t="inlineStr">
        <is>
          <t>part_i_revenue_expenses.excess_or_deficit</t>
        </is>
      </c>
      <c r="F60" s="8" t="inlineStr">
        <is>
          <t>high</t>
        </is>
      </c>
      <c r="G60" s="9" t="n">
        <v>2137</v>
      </c>
    </row>
    <row r="61">
      <c r="A61" s="8" t="inlineStr">
        <is>
          <t>Form 990-EZ Parts I &amp; II</t>
        </is>
      </c>
      <c r="B61" s="8" t="inlineStr">
        <is>
          <t>B26</t>
        </is>
      </c>
      <c r="C61" s="8" t="inlineStr">
        <is>
          <t>22. Cash, savings, and investments</t>
        </is>
      </c>
      <c r="D61" s="8" t="inlineStr">
        <is>
          <t>Part II line 22 col B</t>
        </is>
      </c>
      <c r="E61" s="8" t="inlineStr">
        <is>
          <t>part_ii_balance_sheet.cash_savings_investments_eoy</t>
        </is>
      </c>
      <c r="F61" s="8" t="inlineStr">
        <is>
          <t>high</t>
        </is>
      </c>
      <c r="G61" s="9" t="n">
        <v>69753</v>
      </c>
    </row>
    <row r="62">
      <c r="A62" s="8" t="inlineStr">
        <is>
          <t>Form 990-EZ Parts I &amp; II</t>
        </is>
      </c>
      <c r="B62" s="8" t="inlineStr">
        <is>
          <t>C26</t>
        </is>
      </c>
      <c r="C62" s="8" t="inlineStr">
        <is>
          <t>22. Cash, savings, and investments</t>
        </is>
      </c>
      <c r="D62" s="8" t="inlineStr">
        <is>
          <t>Part II line 22 col B</t>
        </is>
      </c>
      <c r="E62" s="8" t="inlineStr">
        <is>
          <t>part_ii_balance_sheet.cash_savings_investments_eoy</t>
        </is>
      </c>
      <c r="F62" s="8" t="inlineStr">
        <is>
          <t>high</t>
        </is>
      </c>
      <c r="G62" s="9" t="n">
        <v>42469</v>
      </c>
    </row>
    <row r="63">
      <c r="A63" s="8" t="inlineStr">
        <is>
          <t>Form 990-EZ Parts I &amp; II</t>
        </is>
      </c>
      <c r="B63" s="8" t="inlineStr">
        <is>
          <t>D26</t>
        </is>
      </c>
      <c r="C63" s="8" t="inlineStr">
        <is>
          <t>22. Cash, savings, and investments</t>
        </is>
      </c>
      <c r="D63" s="8" t="inlineStr">
        <is>
          <t>Part II line 22 col B</t>
        </is>
      </c>
      <c r="E63" s="8" t="inlineStr">
        <is>
          <t>part_ii_balance_sheet.cash_savings_investments_eoy</t>
        </is>
      </c>
      <c r="F63" s="8" t="inlineStr">
        <is>
          <t>high</t>
        </is>
      </c>
      <c r="G63" s="9" t="n">
        <v>47241</v>
      </c>
    </row>
    <row r="64">
      <c r="A64" s="8" t="inlineStr">
        <is>
          <t>Form 990-EZ Parts I &amp; II</t>
        </is>
      </c>
      <c r="B64" s="8" t="inlineStr">
        <is>
          <t>E26</t>
        </is>
      </c>
      <c r="C64" s="8" t="inlineStr">
        <is>
          <t>22. Cash, savings, and investments</t>
        </is>
      </c>
      <c r="D64" s="8" t="inlineStr">
        <is>
          <t>Part II line 22 col B</t>
        </is>
      </c>
      <c r="E64" s="8" t="inlineStr">
        <is>
          <t>part_ii_balance_sheet.cash_savings_investments_eoy</t>
        </is>
      </c>
      <c r="F64" s="8" t="inlineStr">
        <is>
          <t>high</t>
        </is>
      </c>
      <c r="G64" s="9" t="n">
        <v>49439</v>
      </c>
    </row>
    <row r="65">
      <c r="A65" s="8" t="inlineStr">
        <is>
          <t>Form 990-EZ Parts I &amp; II</t>
        </is>
      </c>
      <c r="B65" s="8" t="inlineStr">
        <is>
          <t>B27</t>
        </is>
      </c>
      <c r="C65" s="8" t="inlineStr">
        <is>
          <t>23. Land and buildings</t>
        </is>
      </c>
      <c r="D65" s="8" t="inlineStr">
        <is>
          <t>Part II line 23 col B</t>
        </is>
      </c>
      <c r="E65" s="8" t="inlineStr">
        <is>
          <t>part_ii_balance_sheet.land_and_buildings_eoy</t>
        </is>
      </c>
      <c r="F65" s="8" t="inlineStr">
        <is>
          <t>high</t>
        </is>
      </c>
      <c r="G65" s="9" t="n">
        <v>7152</v>
      </c>
    </row>
    <row r="66">
      <c r="A66" s="8" t="inlineStr">
        <is>
          <t>Form 990-EZ Parts I &amp; II</t>
        </is>
      </c>
      <c r="B66" s="8" t="inlineStr">
        <is>
          <t>C27</t>
        </is>
      </c>
      <c r="C66" s="8" t="inlineStr">
        <is>
          <t>23. Land and buildings</t>
        </is>
      </c>
      <c r="D66" s="8" t="inlineStr">
        <is>
          <t>Part II line 23 col B</t>
        </is>
      </c>
      <c r="E66" s="8" t="inlineStr">
        <is>
          <t>part_ii_balance_sheet.land_and_buildings_eoy</t>
        </is>
      </c>
      <c r="F66" s="8" t="inlineStr">
        <is>
          <t>high</t>
        </is>
      </c>
      <c r="G66" s="9" t="n">
        <v>7152</v>
      </c>
    </row>
    <row r="67">
      <c r="A67" s="8" t="inlineStr">
        <is>
          <t>Form 990-EZ Parts I &amp; II</t>
        </is>
      </c>
      <c r="B67" s="8" t="inlineStr">
        <is>
          <t>D27</t>
        </is>
      </c>
      <c r="C67" s="8" t="inlineStr">
        <is>
          <t>23. Land and buildings</t>
        </is>
      </c>
      <c r="D67" s="8" t="inlineStr">
        <is>
          <t>Part II line 23 col B</t>
        </is>
      </c>
      <c r="E67" s="8" t="inlineStr">
        <is>
          <t>part_ii_balance_sheet.land_and_buildings_eoy</t>
        </is>
      </c>
      <c r="F67" s="8" t="inlineStr">
        <is>
          <t>high</t>
        </is>
      </c>
      <c r="G67" s="9" t="n">
        <v>7152</v>
      </c>
    </row>
    <row r="68">
      <c r="A68" s="8" t="inlineStr">
        <is>
          <t>Form 990-EZ Parts I &amp; II</t>
        </is>
      </c>
      <c r="B68" s="8" t="inlineStr">
        <is>
          <t>E27</t>
        </is>
      </c>
      <c r="C68" s="8" t="inlineStr">
        <is>
          <t>23. Land and buildings</t>
        </is>
      </c>
      <c r="D68" s="8" t="inlineStr">
        <is>
          <t>Part II line 23 col B</t>
        </is>
      </c>
      <c r="E68" s="8" t="inlineStr">
        <is>
          <t>part_ii_balance_sheet.land_and_buildings_eoy</t>
        </is>
      </c>
      <c r="F68" s="8" t="inlineStr">
        <is>
          <t>high</t>
        </is>
      </c>
      <c r="G68" s="9" t="n">
        <v>7152</v>
      </c>
    </row>
    <row r="69">
      <c r="A69" s="8" t="inlineStr">
        <is>
          <t>Form 990-EZ Parts I &amp; II</t>
        </is>
      </c>
      <c r="B69" s="8" t="inlineStr">
        <is>
          <t>B28</t>
        </is>
      </c>
      <c r="C69" s="8" t="inlineStr">
        <is>
          <t>24. Other assets</t>
        </is>
      </c>
      <c r="D69" s="8" t="inlineStr">
        <is>
          <t>Part II line 24 col B</t>
        </is>
      </c>
      <c r="E69" s="8" t="inlineStr">
        <is>
          <t>part_ii_balance_sheet.other_assets_eoy</t>
        </is>
      </c>
      <c r="F69" s="8" t="inlineStr">
        <is>
          <t>high</t>
        </is>
      </c>
      <c r="G69" s="9" t="n">
        <v>203956</v>
      </c>
    </row>
    <row r="70">
      <c r="A70" s="8" t="inlineStr">
        <is>
          <t>Form 990-EZ Parts I &amp; II</t>
        </is>
      </c>
      <c r="B70" s="8" t="inlineStr">
        <is>
          <t>C28</t>
        </is>
      </c>
      <c r="C70" s="8" t="inlineStr">
        <is>
          <t>24. Other assets</t>
        </is>
      </c>
      <c r="D70" s="8" t="inlineStr">
        <is>
          <t>Part II line 24 col B</t>
        </is>
      </c>
      <c r="E70" s="8" t="inlineStr">
        <is>
          <t>part_ii_balance_sheet.other_assets_eoy</t>
        </is>
      </c>
      <c r="F70" s="8" t="inlineStr">
        <is>
          <t>high</t>
        </is>
      </c>
      <c r="G70" s="9" t="n">
        <v>195636</v>
      </c>
    </row>
    <row r="71">
      <c r="A71" s="8" t="inlineStr">
        <is>
          <t>Form 990-EZ Parts I &amp; II</t>
        </is>
      </c>
      <c r="B71" s="8" t="inlineStr">
        <is>
          <t>D28</t>
        </is>
      </c>
      <c r="C71" s="8" t="inlineStr">
        <is>
          <t>24. Other assets</t>
        </is>
      </c>
      <c r="D71" s="8" t="inlineStr">
        <is>
          <t>Part II line 24 col B</t>
        </is>
      </c>
      <c r="E71" s="8" t="inlineStr">
        <is>
          <t>part_ii_balance_sheet.other_assets_eoy</t>
        </is>
      </c>
      <c r="F71" s="8" t="inlineStr">
        <is>
          <t>high</t>
        </is>
      </c>
      <c r="G71" s="9" t="n">
        <v>179620</v>
      </c>
    </row>
    <row r="72">
      <c r="A72" s="8" t="inlineStr">
        <is>
          <t>Form 990-EZ Parts I &amp; II</t>
        </is>
      </c>
      <c r="B72" s="8" t="inlineStr">
        <is>
          <t>E28</t>
        </is>
      </c>
      <c r="C72" s="8" t="inlineStr">
        <is>
          <t>24. Other assets</t>
        </is>
      </c>
      <c r="D72" s="8" t="inlineStr">
        <is>
          <t>Part II line 24 col B</t>
        </is>
      </c>
      <c r="E72" s="8" t="inlineStr">
        <is>
          <t>part_ii_balance_sheet.other_assets_eoy</t>
        </is>
      </c>
      <c r="F72" s="8" t="inlineStr">
        <is>
          <t>high</t>
        </is>
      </c>
      <c r="G72" s="9" t="n">
        <v>179558</v>
      </c>
    </row>
    <row r="73">
      <c r="A73" s="8" t="inlineStr">
        <is>
          <t>Form 990-EZ Parts I &amp; II</t>
        </is>
      </c>
      <c r="B73" s="8" t="inlineStr">
        <is>
          <t>D30</t>
        </is>
      </c>
      <c r="C73" s="8" t="inlineStr">
        <is>
          <t>26. Total liabilities</t>
        </is>
      </c>
      <c r="D73" s="8" t="inlineStr">
        <is>
          <t>Part II line 26 col B</t>
        </is>
      </c>
      <c r="E73" s="8" t="inlineStr">
        <is>
          <t>part_ii_balance_sheet.total_liabilities_eoy</t>
        </is>
      </c>
      <c r="F73" s="8" t="inlineStr">
        <is>
          <t>high</t>
        </is>
      </c>
      <c r="G73" s="9" t="n">
        <v>100</v>
      </c>
    </row>
    <row r="74">
      <c r="A74" s="8" t="inlineStr">
        <is>
          <t>Form 990-EZ Parts I &amp; II</t>
        </is>
      </c>
      <c r="B74" s="8" t="inlineStr">
        <is>
          <t>E30</t>
        </is>
      </c>
      <c r="C74" s="8" t="inlineStr">
        <is>
          <t>26. Total liabilities</t>
        </is>
      </c>
      <c r="D74" s="8" t="inlineStr">
        <is>
          <t>Part II line 26 col B</t>
        </is>
      </c>
      <c r="E74" s="8" t="inlineStr">
        <is>
          <t>part_ii_balance_sheet.total_liabilities_eoy</t>
        </is>
      </c>
      <c r="F74" s="8" t="inlineStr">
        <is>
          <t>high</t>
        </is>
      </c>
      <c r="G74" s="9" t="n">
        <v>100</v>
      </c>
    </row>
    <row r="75">
      <c r="A75" s="8" t="inlineStr">
        <is>
          <t>Form 990-EZ Parts I &amp; II</t>
        </is>
      </c>
      <c r="B75" s="8" t="inlineStr">
        <is>
          <t>B31</t>
        </is>
      </c>
      <c r="C75" s="8" t="inlineStr">
        <is>
          <t>27. Net assets or fund balances</t>
        </is>
      </c>
      <c r="D75" s="8" t="inlineStr">
        <is>
          <t>Part II line 27 col B</t>
        </is>
      </c>
      <c r="E75" s="8" t="inlineStr">
        <is>
          <t>part_ii_balance_sheet.net_assets_eoy</t>
        </is>
      </c>
      <c r="F75" s="8" t="inlineStr">
        <is>
          <t>high</t>
        </is>
      </c>
      <c r="G75" s="9" t="n">
        <v>280861</v>
      </c>
    </row>
    <row r="76">
      <c r="A76" s="8" t="inlineStr">
        <is>
          <t>Form 990-EZ Parts I &amp; II</t>
        </is>
      </c>
      <c r="B76" s="8" t="inlineStr">
        <is>
          <t>C31</t>
        </is>
      </c>
      <c r="C76" s="8" t="inlineStr">
        <is>
          <t>27. Net assets or fund balances</t>
        </is>
      </c>
      <c r="D76" s="8" t="inlineStr">
        <is>
          <t>Part II line 27 col B</t>
        </is>
      </c>
      <c r="E76" s="8" t="inlineStr">
        <is>
          <t>part_ii_balance_sheet.net_assets_eoy</t>
        </is>
      </c>
      <c r="F76" s="8" t="inlineStr">
        <is>
          <t>high</t>
        </is>
      </c>
      <c r="G76" s="9" t="n">
        <v>245257</v>
      </c>
    </row>
    <row r="77">
      <c r="A77" s="8" t="inlineStr">
        <is>
          <t>Form 990-EZ Parts I &amp; II</t>
        </is>
      </c>
      <c r="B77" s="8" t="inlineStr">
        <is>
          <t>D31</t>
        </is>
      </c>
      <c r="C77" s="8" t="inlineStr">
        <is>
          <t>27. Net assets or fund balances</t>
        </is>
      </c>
      <c r="D77" s="8" t="inlineStr">
        <is>
          <t>Part II line 27 col B</t>
        </is>
      </c>
      <c r="E77" s="8" t="inlineStr">
        <is>
          <t>part_ii_balance_sheet.net_assets_eoy</t>
        </is>
      </c>
      <c r="F77" s="8" t="inlineStr">
        <is>
          <t>high</t>
        </is>
      </c>
      <c r="G77" s="9" t="n">
        <v>233913</v>
      </c>
    </row>
    <row r="78">
      <c r="A78" s="8" t="inlineStr">
        <is>
          <t>Form 990-EZ Parts I &amp; II</t>
        </is>
      </c>
      <c r="B78" s="8" t="inlineStr">
        <is>
          <t>E31</t>
        </is>
      </c>
      <c r="C78" s="8" t="inlineStr">
        <is>
          <t>27. Net assets or fund balances</t>
        </is>
      </c>
      <c r="D78" s="8" t="inlineStr">
        <is>
          <t>Part II line 27 col B</t>
        </is>
      </c>
      <c r="E78" s="8" t="inlineStr">
        <is>
          <t>part_ii_balance_sheet.net_assets_eoy</t>
        </is>
      </c>
      <c r="F78" s="8" t="inlineStr">
        <is>
          <t>high</t>
        </is>
      </c>
      <c r="G78" s="9" t="n">
        <v>236049</v>
      </c>
    </row>
    <row r="80">
      <c r="A80" s="24" t="inlineStr">
        <is>
          <t>C. Tie-out checks (filed vs computed; any nonzero variance is flagged red)</t>
        </is>
      </c>
      <c r="B80" s="7" t="n"/>
      <c r="C80" s="7" t="n"/>
      <c r="D80" s="7" t="n"/>
      <c r="E80" s="7" t="n"/>
      <c r="F80" s="7" t="n"/>
      <c r="G80" s="7" t="n"/>
      <c r="H80" s="7" t="n"/>
      <c r="I80" s="7" t="n"/>
      <c r="J80" s="7" t="n"/>
      <c r="K80" s="7" t="n"/>
    </row>
    <row r="81">
      <c r="A81" s="5" t="inlineStr">
        <is>
          <t>Tab</t>
        </is>
      </c>
      <c r="B81" s="5" t="inlineStr">
        <is>
          <t>Check</t>
        </is>
      </c>
      <c r="C81" s="5" t="inlineStr">
        <is>
          <t>Fiscal year</t>
        </is>
      </c>
      <c r="D81" s="5" t="inlineStr">
        <is>
          <t>Filed</t>
        </is>
      </c>
      <c r="E81" s="5" t="inlineStr">
        <is>
          <t>Computed</t>
        </is>
      </c>
      <c r="F81" s="5" t="inlineStr">
        <is>
          <t>Variance (computed - filed)</t>
        </is>
      </c>
    </row>
    <row r="82">
      <c r="A82" s="25" t="inlineStr">
        <is>
          <t>Form 990-EZ Parts I &amp; II</t>
        </is>
      </c>
      <c r="B82" s="25" t="inlineStr">
        <is>
          <t>17. Total expenses</t>
        </is>
      </c>
      <c r="C82" s="25" t="inlineStr">
        <is>
          <t>FY2022</t>
        </is>
      </c>
      <c r="D82" s="9" t="n">
        <v>85951</v>
      </c>
      <c r="E82" s="9">
        <f>'Form 990-EZ Parts I &amp; II'!B18</f>
        <v/>
      </c>
      <c r="F82" s="9">
        <f>E82-D82</f>
        <v/>
      </c>
    </row>
    <row r="83">
      <c r="A83" s="25" t="inlineStr">
        <is>
          <t>Form 990-EZ Parts I &amp; II</t>
        </is>
      </c>
      <c r="B83" s="25" t="inlineStr">
        <is>
          <t>17. Total expenses</t>
        </is>
      </c>
      <c r="C83" s="25" t="inlineStr">
        <is>
          <t>FY2023</t>
        </is>
      </c>
      <c r="D83" s="9" t="n">
        <v>111253</v>
      </c>
      <c r="E83" s="9">
        <f>'Form 990-EZ Parts I &amp; II'!C18</f>
        <v/>
      </c>
      <c r="F83" s="9">
        <f>E83-D83</f>
        <v/>
      </c>
    </row>
    <row r="84">
      <c r="A84" s="25" t="inlineStr">
        <is>
          <t>Form 990-EZ Parts I &amp; II</t>
        </is>
      </c>
      <c r="B84" s="25" t="inlineStr">
        <is>
          <t>17. Total expenses</t>
        </is>
      </c>
      <c r="C84" s="25" t="inlineStr">
        <is>
          <t>FY2024</t>
        </is>
      </c>
      <c r="D84" s="9" t="n">
        <v>87379</v>
      </c>
      <c r="E84" s="9">
        <f>'Form 990-EZ Parts I &amp; II'!D18</f>
        <v/>
      </c>
      <c r="F84" s="9">
        <f>E84-D84</f>
        <v/>
      </c>
    </row>
    <row r="85">
      <c r="A85" s="25" t="inlineStr">
        <is>
          <t>Form 990-EZ Parts I &amp; II</t>
        </is>
      </c>
      <c r="B85" s="25" t="inlineStr">
        <is>
          <t>17. Total expenses</t>
        </is>
      </c>
      <c r="C85" s="25" t="inlineStr">
        <is>
          <t>FY2025</t>
        </is>
      </c>
      <c r="D85" s="9" t="n">
        <v>95295</v>
      </c>
      <c r="E85" s="9">
        <f>'Form 990-EZ Parts I &amp; II'!E18</f>
        <v/>
      </c>
      <c r="F85" s="9">
        <f>E85-D85</f>
        <v/>
      </c>
    </row>
    <row r="86">
      <c r="A86" s="25" t="inlineStr">
        <is>
          <t>Form 990-EZ Parts I &amp; II</t>
        </is>
      </c>
      <c r="B86" s="25" t="inlineStr">
        <is>
          <t>21. Net assets or fund balances, end of year</t>
        </is>
      </c>
      <c r="C86" s="25" t="inlineStr">
        <is>
          <t>FY2022</t>
        </is>
      </c>
      <c r="D86" s="9" t="n">
        <v>280861</v>
      </c>
      <c r="E86" s="9">
        <f>'Form 990-EZ Parts I &amp; II'!B23</f>
        <v/>
      </c>
      <c r="F86" s="9">
        <f>E86-D86</f>
        <v/>
      </c>
    </row>
    <row r="87">
      <c r="A87" s="25" t="inlineStr">
        <is>
          <t>Form 990-EZ Parts I &amp; II</t>
        </is>
      </c>
      <c r="B87" s="25" t="inlineStr">
        <is>
          <t>21. Net assets or fund balances, end of year</t>
        </is>
      </c>
      <c r="C87" s="25" t="inlineStr">
        <is>
          <t>FY2023</t>
        </is>
      </c>
      <c r="D87" s="9" t="n">
        <v>245257</v>
      </c>
      <c r="E87" s="9">
        <f>'Form 990-EZ Parts I &amp; II'!C23</f>
        <v/>
      </c>
      <c r="F87" s="9">
        <f>E87-D87</f>
        <v/>
      </c>
    </row>
    <row r="88">
      <c r="A88" s="25" t="inlineStr">
        <is>
          <t>Form 990-EZ Parts I &amp; II</t>
        </is>
      </c>
      <c r="B88" s="25" t="inlineStr">
        <is>
          <t>21. Net assets or fund balances, end of year</t>
        </is>
      </c>
      <c r="C88" s="25" t="inlineStr">
        <is>
          <t>FY2024</t>
        </is>
      </c>
      <c r="D88" s="9" t="n">
        <v>233913</v>
      </c>
      <c r="E88" s="9">
        <f>'Form 990-EZ Parts I &amp; II'!D23</f>
        <v/>
      </c>
      <c r="F88" s="9">
        <f>E88-D88</f>
        <v/>
      </c>
    </row>
    <row r="89">
      <c r="A89" s="25" t="inlineStr">
        <is>
          <t>Form 990-EZ Parts I &amp; II</t>
        </is>
      </c>
      <c r="B89" s="25" t="inlineStr">
        <is>
          <t>21. Net assets or fund balances, end of year</t>
        </is>
      </c>
      <c r="C89" s="25" t="inlineStr">
        <is>
          <t>FY2025</t>
        </is>
      </c>
      <c r="D89" s="9" t="n">
        <v>236049</v>
      </c>
      <c r="E89" s="9">
        <f>'Form 990-EZ Parts I &amp; II'!E23</f>
        <v/>
      </c>
      <c r="F89" s="9">
        <f>E89-D89</f>
        <v/>
      </c>
    </row>
    <row r="90">
      <c r="A90" s="25" t="inlineStr">
        <is>
          <t>Form 990-EZ Parts I &amp; II</t>
        </is>
      </c>
      <c r="B90" s="25" t="inlineStr">
        <is>
          <t>25. Total assets</t>
        </is>
      </c>
      <c r="C90" s="25" t="inlineStr">
        <is>
          <t>FY2022</t>
        </is>
      </c>
      <c r="D90" s="9" t="n">
        <v>280861</v>
      </c>
      <c r="E90" s="9">
        <f>'Form 990-EZ Parts I &amp; II'!B29</f>
        <v/>
      </c>
      <c r="F90" s="9">
        <f>E90-D90</f>
        <v/>
      </c>
    </row>
    <row r="91">
      <c r="A91" s="25" t="inlineStr">
        <is>
          <t>Form 990-EZ Parts I &amp; II</t>
        </is>
      </c>
      <c r="B91" s="25" t="inlineStr">
        <is>
          <t>25. Total assets</t>
        </is>
      </c>
      <c r="C91" s="25" t="inlineStr">
        <is>
          <t>FY2023</t>
        </is>
      </c>
      <c r="D91" s="9" t="n">
        <v>245257</v>
      </c>
      <c r="E91" s="9">
        <f>'Form 990-EZ Parts I &amp; II'!C29</f>
        <v/>
      </c>
      <c r="F91" s="9">
        <f>E91-D91</f>
        <v/>
      </c>
    </row>
    <row r="92">
      <c r="A92" s="25" t="inlineStr">
        <is>
          <t>Form 990-EZ Parts I &amp; II</t>
        </is>
      </c>
      <c r="B92" s="25" t="inlineStr">
        <is>
          <t>25. Total assets</t>
        </is>
      </c>
      <c r="C92" s="25" t="inlineStr">
        <is>
          <t>FY2024</t>
        </is>
      </c>
      <c r="D92" s="9" t="n">
        <v>234013</v>
      </c>
      <c r="E92" s="9">
        <f>'Form 990-EZ Parts I &amp; II'!D29</f>
        <v/>
      </c>
      <c r="F92" s="9">
        <f>E92-D92</f>
        <v/>
      </c>
    </row>
    <row r="93">
      <c r="A93" s="25" t="inlineStr">
        <is>
          <t>Form 990-EZ Parts I &amp; II</t>
        </is>
      </c>
      <c r="B93" s="25" t="inlineStr">
        <is>
          <t>25. Total assets</t>
        </is>
      </c>
      <c r="C93" s="25" t="inlineStr">
        <is>
          <t>FY2025</t>
        </is>
      </c>
      <c r="D93" s="9" t="n">
        <v>236149</v>
      </c>
      <c r="E93" s="9">
        <f>'Form 990-EZ Parts I &amp; II'!E29</f>
        <v/>
      </c>
      <c r="F93" s="9">
        <f>E93-D93</f>
        <v/>
      </c>
    </row>
    <row r="94">
      <c r="A94" s="25" t="inlineStr">
        <is>
          <t>Form 990-EZ Parts I &amp; II</t>
        </is>
      </c>
      <c r="B94" s="25" t="inlineStr">
        <is>
          <t>Balance sheet identity: line 25 = line 26 + line 27 (EOY)</t>
        </is>
      </c>
      <c r="C94" s="25" t="inlineStr">
        <is>
          <t>FY2022</t>
        </is>
      </c>
      <c r="D94" s="9">
        <f>'Form 990-EZ Parts I &amp; II'!B29</f>
        <v/>
      </c>
      <c r="E94" s="9">
        <f>SUM('Form 990-EZ Parts I &amp; II'!B30,'Form 990-EZ Parts I &amp; II'!B31)</f>
        <v/>
      </c>
      <c r="F94" s="9">
        <f>E94-D94</f>
        <v/>
      </c>
    </row>
    <row r="95">
      <c r="A95" s="25" t="inlineStr">
        <is>
          <t>Form 990-EZ Parts I &amp; II</t>
        </is>
      </c>
      <c r="B95" s="25" t="inlineStr">
        <is>
          <t>Balance sheet identity: line 25 = line 26 + line 27 (EOY)</t>
        </is>
      </c>
      <c r="C95" s="25" t="inlineStr">
        <is>
          <t>FY2023</t>
        </is>
      </c>
      <c r="D95" s="9">
        <f>'Form 990-EZ Parts I &amp; II'!C29</f>
        <v/>
      </c>
      <c r="E95" s="9">
        <f>SUM('Form 990-EZ Parts I &amp; II'!C30,'Form 990-EZ Parts I &amp; II'!C31)</f>
        <v/>
      </c>
      <c r="F95" s="9">
        <f>E95-D95</f>
        <v/>
      </c>
    </row>
    <row r="96">
      <c r="A96" s="25" t="inlineStr">
        <is>
          <t>Form 990-EZ Parts I &amp; II</t>
        </is>
      </c>
      <c r="B96" s="25" t="inlineStr">
        <is>
          <t>Balance sheet identity: line 25 = line 26 + line 27 (EOY)</t>
        </is>
      </c>
      <c r="C96" s="25" t="inlineStr">
        <is>
          <t>FY2024</t>
        </is>
      </c>
      <c r="D96" s="9">
        <f>'Form 990-EZ Parts I &amp; II'!D29</f>
        <v/>
      </c>
      <c r="E96" s="9">
        <f>SUM('Form 990-EZ Parts I &amp; II'!D30,'Form 990-EZ Parts I &amp; II'!D31)</f>
        <v/>
      </c>
      <c r="F96" s="9">
        <f>E96-D96</f>
        <v/>
      </c>
    </row>
    <row r="97">
      <c r="A97" s="25" t="inlineStr">
        <is>
          <t>Form 990-EZ Parts I &amp; II</t>
        </is>
      </c>
      <c r="B97" s="25" t="inlineStr">
        <is>
          <t>Balance sheet identity: line 25 = line 26 + line 27 (EOY)</t>
        </is>
      </c>
      <c r="C97" s="25" t="inlineStr">
        <is>
          <t>FY2025</t>
        </is>
      </c>
      <c r="D97" s="9">
        <f>'Form 990-EZ Parts I &amp; II'!E29</f>
        <v/>
      </c>
      <c r="E97" s="9">
        <f>SUM('Form 990-EZ Parts I &amp; II'!E30,'Form 990-EZ Parts I &amp; II'!E31)</f>
        <v/>
      </c>
      <c r="F97" s="9">
        <f>E97-D97</f>
        <v/>
      </c>
    </row>
    <row r="99">
      <c r="A99" s="24" t="inlineStr">
        <is>
          <t>D. Preparer / auditor trail (one row per fiscal year, as filed)</t>
        </is>
      </c>
      <c r="B99" s="7" t="n"/>
      <c r="C99" s="7" t="n"/>
      <c r="D99" s="7" t="n"/>
      <c r="E99" s="7" t="n"/>
      <c r="F99" s="7" t="n"/>
      <c r="G99" s="7" t="n"/>
      <c r="H99" s="7" t="n"/>
      <c r="I99" s="7" t="n"/>
      <c r="J99" s="7" t="n"/>
      <c r="K99" s="7" t="n"/>
    </row>
    <row r="100">
      <c r="A100" s="5" t="inlineStr">
        <is>
          <t>Fiscal year</t>
        </is>
      </c>
      <c r="B100" s="5" t="inlineStr">
        <is>
          <t>Paid preparer</t>
        </is>
      </c>
      <c r="C100" s="5" t="inlineStr">
        <is>
          <t>Preparer firm</t>
        </is>
      </c>
      <c r="D100" s="5" t="inlineStr">
        <is>
          <t>Independent auditor</t>
        </is>
      </c>
      <c r="E100" s="5" t="inlineStr">
        <is>
          <t>Citation</t>
        </is>
      </c>
    </row>
    <row r="101" ht="42" customHeight="1">
      <c r="A101" s="22" t="inlineStr">
        <is>
          <t>FY2022</t>
        </is>
      </c>
      <c r="B101" s="8" t="inlineStr">
        <is>
          <t>Lori Lallo EA</t>
        </is>
      </c>
      <c r="C101" s="8" t="inlineStr">
        <is>
          <t>Lazy Dog Tax Service</t>
        </is>
      </c>
      <c r="D101" s="26" t="inlineStr">
        <is>
          <t>not reported</t>
        </is>
      </c>
      <c r="E101" s="17" t="inlineStr">
        <is>
          <t>Form 990 Return Header, Paid Preparer block (return_header.preparer_person_name / preparer_firm_name); auditor: Part XII line 2 reports audited financial statements but does not name the firm.</t>
        </is>
      </c>
    </row>
    <row r="102" ht="42" customHeight="1">
      <c r="A102" s="22" t="inlineStr">
        <is>
          <t>FY2023</t>
        </is>
      </c>
      <c r="B102" s="8" t="inlineStr">
        <is>
          <t>Lori Lallo EA</t>
        </is>
      </c>
      <c r="C102" s="8" t="inlineStr">
        <is>
          <t>Lazy Dog Tax Service</t>
        </is>
      </c>
      <c r="D102" s="26" t="inlineStr">
        <is>
          <t>not reported</t>
        </is>
      </c>
      <c r="E102" s="17" t="inlineStr">
        <is>
          <t>Form 990 Return Header, Paid Preparer block (return_header.preparer_person_name / preparer_firm_name); auditor: Part XII line 2 reports audited financial statements but does not name the firm.</t>
        </is>
      </c>
    </row>
    <row r="103" ht="42" customHeight="1">
      <c r="A103" s="22" t="inlineStr">
        <is>
          <t>FY2024</t>
        </is>
      </c>
      <c r="B103" s="8" t="inlineStr">
        <is>
          <t>Lori Lallo EA</t>
        </is>
      </c>
      <c r="C103" s="8" t="inlineStr">
        <is>
          <t>Lazy Dog Tax Service</t>
        </is>
      </c>
      <c r="D103" s="26" t="inlineStr">
        <is>
          <t>not reported</t>
        </is>
      </c>
      <c r="E103" s="17" t="inlineStr">
        <is>
          <t>Form 990 Return Header, Paid Preparer block (return_header.preparer_person_name / preparer_firm_name); auditor: Part XII line 2 reports audited financial statements but does not name the firm.</t>
        </is>
      </c>
    </row>
    <row r="104" ht="42" customHeight="1">
      <c r="A104" s="22" t="inlineStr">
        <is>
          <t>FY2025</t>
        </is>
      </c>
      <c r="B104" s="8" t="inlineStr">
        <is>
          <t>Lori Lallo EA</t>
        </is>
      </c>
      <c r="C104" s="8" t="inlineStr">
        <is>
          <t>Lazy Dog Tax Service</t>
        </is>
      </c>
      <c r="D104" s="26" t="inlineStr">
        <is>
          <t>not reported</t>
        </is>
      </c>
      <c r="E104" s="17" t="inlineStr">
        <is>
          <t>Form 990 Return Header, Paid Preparer block (return_header.preparer_person_name / preparer_firm_name); auditor: Part XII line 2 reports audited financial statements but does not name the firm.</t>
        </is>
      </c>
    </row>
    <row r="106" ht="42" customHeight="1">
      <c r="A10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106:K106"/>
  </mergeCells>
  <conditionalFormatting sqref="F82:F97">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