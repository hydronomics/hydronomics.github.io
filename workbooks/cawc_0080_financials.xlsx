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Financial Summary - multi-year overview (USD)</t>
        </is>
      </c>
    </row>
    <row r="3">
      <c r="A3" s="2" t="inlineStr">
        <is>
          <t>Entity ID: cawc_0080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162398</v>
      </c>
      <c r="C10" s="9" t="n">
        <v>163840</v>
      </c>
      <c r="D10" s="9" t="n">
        <v>165909</v>
      </c>
      <c r="E10" s="9" t="n">
        <v>167294</v>
      </c>
      <c r="F10" s="9" t="n">
        <v>183479</v>
      </c>
      <c r="G10" s="9" t="n">
        <v>271872</v>
      </c>
    </row>
    <row r="11">
      <c r="A11" s="8" t="inlineStr">
        <is>
          <t xml:space="preserve">    Total expenses</t>
        </is>
      </c>
      <c r="B11" s="9" t="n">
        <v>122098</v>
      </c>
      <c r="C11" s="9" t="n">
        <v>133657</v>
      </c>
      <c r="D11" s="9" t="n">
        <v>151727</v>
      </c>
      <c r="E11" s="9" t="n">
        <v>167640</v>
      </c>
      <c r="F11" s="9" t="n">
        <v>205263</v>
      </c>
      <c r="G11" s="9" t="n">
        <v>191311</v>
      </c>
    </row>
    <row r="12">
      <c r="A12" s="10" t="inlineStr">
        <is>
          <t xml:space="preserve">    Net income</t>
        </is>
      </c>
      <c r="B12" s="11" t="n">
        <v>40300</v>
      </c>
      <c r="C12" s="11" t="n">
        <v>30183</v>
      </c>
      <c r="D12" s="11" t="n">
        <v>14182</v>
      </c>
      <c r="E12" s="11" t="n">
        <v>-346</v>
      </c>
      <c r="F12" s="11" t="n">
        <v>-21784</v>
      </c>
      <c r="G12" s="11" t="n">
        <v>80561</v>
      </c>
    </row>
    <row r="14">
      <c r="A14" s="6" t="inlineStr">
        <is>
          <t>Financial position (USD, end of year)</t>
        </is>
      </c>
      <c r="B14" s="7" t="n"/>
      <c r="C14" s="7" t="n"/>
      <c r="D14" s="7" t="n"/>
      <c r="E14" s="7" t="n"/>
      <c r="F14" s="7" t="n"/>
      <c r="G14" s="7" t="n"/>
    </row>
    <row r="15">
      <c r="A15" s="8" t="inlineStr">
        <is>
          <t xml:space="preserve">    Total assets</t>
        </is>
      </c>
      <c r="B15" s="9" t="n">
        <v>556960</v>
      </c>
      <c r="C15" s="9" t="n">
        <v>1065364</v>
      </c>
      <c r="D15" s="9" t="n">
        <v>1079546</v>
      </c>
      <c r="E15" s="9" t="n">
        <v>1479446</v>
      </c>
      <c r="F15" s="9" t="n">
        <v>1457662</v>
      </c>
      <c r="G15" s="9" t="n">
        <v>4485016</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556960</v>
      </c>
      <c r="C17" s="11" t="n">
        <v>1065364</v>
      </c>
      <c r="D17" s="11" t="n">
        <v>1079546</v>
      </c>
      <c r="E17" s="11" t="n">
        <v>1479446</v>
      </c>
      <c r="F17" s="11" t="n">
        <v>1457662</v>
      </c>
      <c r="G17" s="11" t="n">
        <v>4485016</v>
      </c>
    </row>
    <row r="19">
      <c r="A19" s="6" t="inlineStr">
        <is>
          <t>Headline ratios</t>
        </is>
      </c>
      <c r="B19" s="7" t="n"/>
      <c r="C19" s="7" t="n"/>
      <c r="D19" s="7" t="n"/>
      <c r="E19" s="7" t="n"/>
      <c r="F19" s="7" t="n"/>
      <c r="G19" s="7" t="n"/>
    </row>
    <row r="20">
      <c r="A20" s="8" t="inlineStr">
        <is>
          <t xml:space="preserve">    Operating margin</t>
        </is>
      </c>
      <c r="B20" s="12" t="n">
        <v>0.2481557654650919</v>
      </c>
      <c r="C20" s="12" t="n">
        <v>0.184222412109375</v>
      </c>
      <c r="D20" s="12" t="n">
        <v>0.08548059478388756</v>
      </c>
      <c r="E20" s="12" t="n">
        <v>-0.002068215237844753</v>
      </c>
      <c r="F20" s="12" t="n">
        <v>-0.1187274837992359</v>
      </c>
      <c r="G20" s="12" t="n">
        <v>0.2963195915725047</v>
      </c>
    </row>
    <row r="21">
      <c r="A21" s="8" t="inlineStr">
        <is>
          <t xml:space="preserve">    Revenue growth (YoY)</t>
        </is>
      </c>
      <c r="B21" s="12" t="n">
        <v>-0.01141994472649354</v>
      </c>
      <c r="C21" s="12" t="n">
        <v>0.008879419697286912</v>
      </c>
      <c r="D21" s="12" t="n">
        <v>0.012628173828125</v>
      </c>
      <c r="E21" s="12" t="n">
        <v>0.008347949779698509</v>
      </c>
      <c r="F21" s="12" t="n">
        <v>0.0967458486257726</v>
      </c>
      <c r="G21" s="12" t="n">
        <v>0.4817608554657482</v>
      </c>
    </row>
    <row r="22">
      <c r="A22" s="8" t="inlineStr">
        <is>
          <t xml:space="preserve">    Return on assets</t>
        </is>
      </c>
      <c r="B22" s="12" t="n">
        <v>0.07235708129847745</v>
      </c>
      <c r="C22" s="12" t="n">
        <v>0.02833116193150886</v>
      </c>
      <c r="D22" s="12" t="n">
        <v>0.01313700388867172</v>
      </c>
      <c r="E22" s="12" t="n">
        <v>-0.000233871327510433</v>
      </c>
      <c r="F22" s="12" t="n">
        <v>-0.01494447958443041</v>
      </c>
      <c r="G22" s="12" t="n">
        <v>0.01796225476118703</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Financial Statements - income statement, balance sheet, cash flow, member income test (USD)</t>
        </is>
      </c>
    </row>
    <row r="3">
      <c r="A3" s="2" t="inlineStr">
        <is>
          <t>Entity ID: cawc_0080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162398</v>
      </c>
      <c r="C8" s="9" t="n">
        <v>163840</v>
      </c>
      <c r="D8" s="9" t="n">
        <v>165909</v>
      </c>
      <c r="E8" s="9" t="n">
        <v>167294</v>
      </c>
      <c r="F8" s="9" t="n">
        <v>183479</v>
      </c>
      <c r="G8" s="9" t="n">
        <v>271872</v>
      </c>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162398</v>
      </c>
      <c r="C14" s="11" t="n">
        <v>163840</v>
      </c>
      <c r="D14" s="11" t="n">
        <v>165909</v>
      </c>
      <c r="E14" s="11" t="n">
        <v>167294</v>
      </c>
      <c r="F14" s="11" t="n">
        <v>183479</v>
      </c>
      <c r="G14" s="11" t="n">
        <v>271872</v>
      </c>
    </row>
    <row r="16">
      <c r="A16" s="6" t="inlineStr">
        <is>
          <t>Expenses</t>
        </is>
      </c>
      <c r="B16" s="7" t="n"/>
      <c r="C16" s="7" t="n"/>
      <c r="D16" s="7" t="n"/>
      <c r="E16" s="7" t="n"/>
      <c r="F16" s="7" t="n"/>
      <c r="G16" s="7" t="n"/>
    </row>
    <row r="17">
      <c r="A17" s="8" t="inlineStr">
        <is>
          <t xml:space="preserve">    Depreciation</t>
        </is>
      </c>
      <c r="B17" s="9" t="n">
        <v>7521</v>
      </c>
      <c r="C17" s="9" t="n">
        <v>2579</v>
      </c>
      <c r="D17" s="9" t="n">
        <v>4240</v>
      </c>
      <c r="E17" s="9" t="n">
        <v>9725</v>
      </c>
      <c r="F17" s="9" t="n">
        <v>18313</v>
      </c>
      <c r="G17" s="9" t="n">
        <v>16933</v>
      </c>
    </row>
    <row r="18">
      <c r="A18" s="8" t="inlineStr">
        <is>
          <t xml:space="preserve">    Interest expense</t>
        </is>
      </c>
      <c r="B18" s="9" t="n"/>
      <c r="C18" s="9" t="n"/>
      <c r="D18" s="9" t="n"/>
      <c r="E18" s="9" t="n"/>
      <c r="F18" s="9" t="n"/>
      <c r="G18" s="9" t="n"/>
    </row>
    <row r="19">
      <c r="A19" s="10" t="inlineStr">
        <is>
          <t>Total expenses</t>
        </is>
      </c>
      <c r="B19" s="11" t="n">
        <v>122098</v>
      </c>
      <c r="C19" s="11" t="n">
        <v>133657</v>
      </c>
      <c r="D19" s="11" t="n">
        <v>151727</v>
      </c>
      <c r="E19" s="11" t="n">
        <v>167640</v>
      </c>
      <c r="F19" s="11" t="n">
        <v>205263</v>
      </c>
      <c r="G19" s="11" t="n">
        <v>191311</v>
      </c>
    </row>
    <row r="21">
      <c r="A21" s="10" t="inlineStr">
        <is>
          <t>Net income</t>
        </is>
      </c>
      <c r="B21" s="11" t="n">
        <v>40300</v>
      </c>
      <c r="C21" s="11" t="n">
        <v>30183</v>
      </c>
      <c r="D21" s="11" t="n">
        <v>14182</v>
      </c>
      <c r="E21" s="11" t="n">
        <v>-346</v>
      </c>
      <c r="F21" s="11" t="n">
        <v>-21784</v>
      </c>
      <c r="G21" s="11" t="n">
        <v>80561</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551612</v>
      </c>
      <c r="C27" s="9" t="n">
        <v>1062595</v>
      </c>
      <c r="D27" s="9" t="n">
        <v>957685</v>
      </c>
      <c r="E27" s="9" t="n">
        <v>1438416</v>
      </c>
      <c r="F27" s="9" t="n">
        <v>1395329</v>
      </c>
      <c r="G27" s="9" t="n">
        <v>494909</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v>20000</v>
      </c>
      <c r="G31" s="9" t="n">
        <v>0</v>
      </c>
    </row>
    <row r="32">
      <c r="A32" s="8" t="inlineStr">
        <is>
          <t xml:space="preserve">    Property, plant &amp; equipment (gross)</t>
        </is>
      </c>
      <c r="B32" s="9" t="n">
        <v>391146</v>
      </c>
      <c r="C32" s="9" t="n">
        <v>391146</v>
      </c>
      <c r="D32" s="9" t="n">
        <v>514477</v>
      </c>
      <c r="E32" s="9" t="n">
        <v>433646</v>
      </c>
      <c r="F32" s="9" t="n">
        <v>463371</v>
      </c>
      <c r="G32" s="9" t="n">
        <v>897656</v>
      </c>
    </row>
    <row r="33">
      <c r="A33" s="8" t="inlineStr">
        <is>
          <t xml:space="preserve">    Less: accumulated depreciation</t>
        </is>
      </c>
      <c r="B33" s="9" t="n">
        <v>-385798</v>
      </c>
      <c r="C33" s="9" t="n">
        <v>-388377</v>
      </c>
      <c r="D33" s="9" t="n">
        <v>-392616</v>
      </c>
      <c r="E33" s="9" t="n">
        <v>-392616</v>
      </c>
      <c r="F33" s="9" t="n">
        <v>-421038</v>
      </c>
      <c r="G33" s="9" t="n">
        <v>-430451</v>
      </c>
    </row>
    <row r="34">
      <c r="A34" s="10" t="inlineStr">
        <is>
          <t xml:space="preserve">    Net property, plant &amp; equipment</t>
        </is>
      </c>
      <c r="B34" s="11" t="n">
        <v>5348</v>
      </c>
      <c r="C34" s="11" t="n">
        <v>2769</v>
      </c>
      <c r="D34" s="11" t="n">
        <v>121861</v>
      </c>
      <c r="E34" s="11" t="n">
        <v>41030</v>
      </c>
      <c r="F34" s="11" t="n">
        <v>42333</v>
      </c>
      <c r="G34" s="11" t="n">
        <v>467205</v>
      </c>
    </row>
    <row r="35">
      <c r="A35" s="10" t="inlineStr">
        <is>
          <t>Total assets</t>
        </is>
      </c>
      <c r="B35" s="11" t="n">
        <v>556960</v>
      </c>
      <c r="C35" s="11" t="n">
        <v>1065364</v>
      </c>
      <c r="D35" s="11" t="n">
        <v>1079546</v>
      </c>
      <c r="E35" s="11" t="n">
        <v>1479446</v>
      </c>
      <c r="F35" s="11" t="n">
        <v>1457662</v>
      </c>
      <c r="G35" s="11" t="n">
        <v>4485016</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556960</v>
      </c>
      <c r="C46" s="11" t="n">
        <v>1065364</v>
      </c>
      <c r="D46" s="11" t="n">
        <v>1079546</v>
      </c>
      <c r="E46" s="11" t="n">
        <v>1479446</v>
      </c>
      <c r="F46" s="11" t="n">
        <v>1457662</v>
      </c>
      <c r="G46" s="11" t="n">
        <v>4485016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40300</v>
      </c>
      <c r="C52" s="9" t="n">
        <v>30183</v>
      </c>
      <c r="D52" s="9" t="n">
        <v>14182</v>
      </c>
      <c r="E52" s="9" t="n">
        <v>-346</v>
      </c>
      <c r="F52" s="9" t="n">
        <v>-21784</v>
      </c>
      <c r="G52" s="9" t="n">
        <v>80561</v>
      </c>
    </row>
    <row r="53">
      <c r="A53" s="8" t="inlineStr">
        <is>
          <t xml:space="preserve">    + Depreciation (reported)</t>
        </is>
      </c>
      <c r="B53" s="9" t="n">
        <v>7521</v>
      </c>
      <c r="C53" s="9" t="n">
        <v>2579</v>
      </c>
      <c r="D53" s="9" t="n">
        <v>4240</v>
      </c>
      <c r="E53" s="9" t="n">
        <v>9725</v>
      </c>
      <c r="F53" s="9" t="n">
        <v>18313</v>
      </c>
      <c r="G53" s="9" t="n">
        <v>16933</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v>20000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32762</v>
      </c>
      <c r="D58" s="11" t="n">
        <v>18422</v>
      </c>
      <c r="E58" s="11" t="n">
        <v>9379</v>
      </c>
      <c r="F58" s="11" t="n">
        <v>-3471</v>
      </c>
      <c r="G58" s="11" t="n">
        <v>117494</v>
      </c>
    </row>
    <row r="60">
      <c r="A60" s="6" t="inlineStr">
        <is>
          <t>Investing</t>
        </is>
      </c>
      <c r="B60" s="7" t="n"/>
      <c r="C60" s="7" t="n"/>
      <c r="D60" s="7" t="n"/>
      <c r="E60" s="7" t="n"/>
      <c r="F60" s="7" t="n"/>
      <c r="G60" s="7" t="n"/>
    </row>
    <row r="61">
      <c r="A61" s="8" t="inlineStr">
        <is>
          <t xml:space="preserve">    − Δ PP&amp;E gross (capex proxy)</t>
        </is>
      </c>
      <c r="B61" s="9" t="n"/>
      <c r="C61" s="9" t="n">
        <v>0</v>
      </c>
      <c r="D61" s="9" t="n">
        <v>-123331</v>
      </c>
      <c r="E61" s="9" t="n">
        <v>80831</v>
      </c>
      <c r="F61" s="9" t="n">
        <v>-29725</v>
      </c>
      <c r="G61" s="9" t="n">
        <v>-434285</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510983</v>
      </c>
      <c r="D67" s="11" t="n">
        <v>-104910</v>
      </c>
      <c r="E67" s="11" t="n">
        <v>480731</v>
      </c>
      <c r="F67" s="11" t="n">
        <v>-43087</v>
      </c>
      <c r="G67" s="11" t="n">
        <v>-900420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0</v>
      </c>
      <c r="C73" s="9" t="n">
        <v>162936</v>
      </c>
      <c r="D73" s="9" t="n">
        <v>165285</v>
      </c>
      <c r="E73" s="9" t="n">
        <v>167294</v>
      </c>
      <c r="F73" s="9" t="n">
        <v>183479</v>
      </c>
      <c r="G73" s="9" t="n">
        <v>185137</v>
      </c>
    </row>
    <row r="74">
      <c r="A74" s="8" t="inlineStr">
        <is>
          <t xml:space="preserve">    11b. Gross income from other sources</t>
        </is>
      </c>
      <c r="B74" s="9" t="n">
        <v>0</v>
      </c>
      <c r="C74" s="9" t="n">
        <v>0</v>
      </c>
      <c r="D74" s="9" t="n">
        <v>0</v>
      </c>
      <c r="E74" s="9" t="n">
        <v>0</v>
      </c>
      <c r="F74" s="9" t="n">
        <v>0</v>
      </c>
      <c r="G74" s="9" t="n">
        <v>86735</v>
      </c>
    </row>
    <row r="75">
      <c r="A75" s="14" t="inlineStr">
        <is>
          <t>Total gross income (11a + 11b)</t>
        </is>
      </c>
      <c r="B75" s="15">
        <f>SUM(B73,B74)</f>
        <v/>
      </c>
      <c r="C75" s="15">
        <f>SUM(C73,C74)</f>
        <v/>
      </c>
      <c r="D75" s="15">
        <f>SUM(D73,D74)</f>
        <v/>
      </c>
      <c r="E75" s="15">
        <f>SUM(E73,E74)</f>
        <v/>
      </c>
      <c r="F75" s="15">
        <f>SUM(F73,F74)</f>
        <v/>
      </c>
      <c r="G75" s="15">
        <f>SUM(G73,G74)</f>
        <v/>
      </c>
    </row>
    <row r="76">
      <c r="A76" s="14" t="inlineStr">
        <is>
          <t>Member income share (11a / total)</t>
        </is>
      </c>
      <c r="B76" s="16">
        <f>IF(B75=0,"",B73/B75)</f>
        <v/>
      </c>
      <c r="C76" s="16">
        <f>IF(C75=0,"",C73/C75)</f>
        <v/>
      </c>
      <c r="D76" s="16">
        <f>IF(D75=0,"",D73/D75)</f>
        <v/>
      </c>
      <c r="E76" s="16">
        <f>IF(E75=0,"",E73/E75)</f>
        <v/>
      </c>
      <c r="F76" s="16">
        <f>IF(F75=0,"",F73/F75)</f>
        <v/>
      </c>
      <c r="G76" s="16">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Balance Sheet - as reported (USD, end of year)</t>
        </is>
      </c>
    </row>
    <row r="3">
      <c r="A3" s="2" t="inlineStr">
        <is>
          <t>Entity ID: cawc_0080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551612</v>
      </c>
      <c r="C7" s="9" t="n">
        <v>1062595</v>
      </c>
      <c r="D7" s="9" t="n">
        <v>957685</v>
      </c>
      <c r="E7" s="9" t="n">
        <v>1438416</v>
      </c>
      <c r="F7" s="9" t="n">
        <v>1395329</v>
      </c>
      <c r="G7" s="9" t="n">
        <v>494909</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v>20000</v>
      </c>
      <c r="G11" s="9" t="n">
        <v>0</v>
      </c>
    </row>
    <row r="12">
      <c r="A12" s="8" t="inlineStr">
        <is>
          <t xml:space="preserve">    Property, plant &amp; equipment (gross)</t>
        </is>
      </c>
      <c r="B12" s="9" t="n">
        <v>391146</v>
      </c>
      <c r="C12" s="9" t="n">
        <v>391146</v>
      </c>
      <c r="D12" s="9" t="n">
        <v>514477</v>
      </c>
      <c r="E12" s="9" t="n">
        <v>433646</v>
      </c>
      <c r="F12" s="9" t="n">
        <v>463371</v>
      </c>
      <c r="G12" s="9" t="n">
        <v>897656</v>
      </c>
    </row>
    <row r="13">
      <c r="A13" s="8" t="inlineStr">
        <is>
          <t xml:space="preserve">    Less: accumulated depreciation</t>
        </is>
      </c>
      <c r="B13" s="9" t="n">
        <v>-385798</v>
      </c>
      <c r="C13" s="9" t="n">
        <v>-388377</v>
      </c>
      <c r="D13" s="9" t="n">
        <v>-392616</v>
      </c>
      <c r="E13" s="9" t="n">
        <v>-392616</v>
      </c>
      <c r="F13" s="9" t="n">
        <v>-421038</v>
      </c>
      <c r="G13" s="9" t="n">
        <v>-430451</v>
      </c>
    </row>
    <row r="14">
      <c r="A14" s="10" t="inlineStr">
        <is>
          <t xml:space="preserve">    Net property, plant &amp; equipment</t>
        </is>
      </c>
      <c r="B14" s="11" t="n">
        <v>5348</v>
      </c>
      <c r="C14" s="11" t="n">
        <v>2769</v>
      </c>
      <c r="D14" s="11" t="n">
        <v>121861</v>
      </c>
      <c r="E14" s="11" t="n">
        <v>41030</v>
      </c>
      <c r="F14" s="11" t="n">
        <v>42333</v>
      </c>
      <c r="G14" s="11" t="n">
        <v>467205</v>
      </c>
    </row>
    <row r="15">
      <c r="A15" s="10" t="inlineStr">
        <is>
          <t>Total assets</t>
        </is>
      </c>
      <c r="B15" s="11" t="n">
        <v>556960</v>
      </c>
      <c r="C15" s="11" t="n">
        <v>1065364</v>
      </c>
      <c r="D15" s="11" t="n">
        <v>1079546</v>
      </c>
      <c r="E15" s="11" t="n">
        <v>1479446</v>
      </c>
      <c r="F15" s="11" t="n">
        <v>1457662</v>
      </c>
      <c r="G15" s="11" t="n">
        <v>4485016</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556960</v>
      </c>
      <c r="C26" s="11" t="n">
        <v>1065364</v>
      </c>
      <c r="D26" s="11" t="n">
        <v>1079546</v>
      </c>
      <c r="E26" s="11" t="n">
        <v>1479446</v>
      </c>
      <c r="F26" s="11" t="n">
        <v>1457662</v>
      </c>
      <c r="G26" s="11" t="n">
        <v>4485016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Brock Mutual Water Company</t>
        </is>
      </c>
    </row>
    <row r="2">
      <c r="A2" s="2" t="inlineStr">
        <is>
          <t>Officers, Directors &amp; Contractors - Form 990 Part VII (FY2025; USD)</t>
        </is>
      </c>
    </row>
    <row r="3">
      <c r="A3" s="2" t="inlineStr">
        <is>
          <t>Entity ID: cawc_0080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DAVID WOOD</t>
        </is>
      </c>
      <c r="B7" s="8" t="inlineStr">
        <is>
          <t>VICE PRESIDENT</t>
        </is>
      </c>
      <c r="C7" s="9" t="n">
        <v>0</v>
      </c>
      <c r="D7" s="9" t="n">
        <v>0</v>
      </c>
      <c r="E7" s="9" t="n">
        <v>0</v>
      </c>
      <c r="F7" s="9" t="n">
        <v>0</v>
      </c>
    </row>
    <row r="8">
      <c r="A8" s="8" t="inlineStr">
        <is>
          <t>SANDY ROSS</t>
        </is>
      </c>
      <c r="B8" s="8" t="inlineStr">
        <is>
          <t>DIRECTOR</t>
        </is>
      </c>
      <c r="C8" s="9" t="n">
        <v>0</v>
      </c>
      <c r="D8" s="9" t="n">
        <v>0</v>
      </c>
      <c r="E8" s="9" t="n">
        <v>0</v>
      </c>
      <c r="F8" s="9" t="n">
        <v>0</v>
      </c>
    </row>
    <row r="9">
      <c r="A9" s="8" t="inlineStr">
        <is>
          <t>LOIS HENRY</t>
        </is>
      </c>
      <c r="B9" s="8" t="inlineStr">
        <is>
          <t>PRESIDENT</t>
        </is>
      </c>
      <c r="C9" s="9" t="n">
        <v>0</v>
      </c>
      <c r="D9" s="9" t="n">
        <v>0</v>
      </c>
      <c r="E9" s="9" t="n">
        <v>0</v>
      </c>
      <c r="F9" s="9" t="n">
        <v>0</v>
      </c>
    </row>
    <row r="10">
      <c r="A10" s="8" t="inlineStr">
        <is>
          <t>DON GORDON</t>
        </is>
      </c>
      <c r="B10" s="8" t="inlineStr">
        <is>
          <t>DIRECTOR</t>
        </is>
      </c>
      <c r="C10" s="9" t="n">
        <v>0</v>
      </c>
      <c r="D10" s="9" t="n">
        <v>0</v>
      </c>
      <c r="E10" s="9" t="n">
        <v>0</v>
      </c>
      <c r="F10" s="9" t="n">
        <v>0</v>
      </c>
    </row>
    <row r="11">
      <c r="A11" s="8" t="inlineStr">
        <is>
          <t>RAY ACOSTA</t>
        </is>
      </c>
      <c r="B11" s="8" t="inlineStr">
        <is>
          <t>DIRECTOR</t>
        </is>
      </c>
      <c r="C11" s="9" t="n">
        <v>0</v>
      </c>
      <c r="D11" s="9" t="n">
        <v>0</v>
      </c>
      <c r="E11" s="9" t="n">
        <v>0</v>
      </c>
      <c r="F11" s="9" t="n">
        <v>0</v>
      </c>
    </row>
    <row r="12">
      <c r="A12" s="8" t="inlineStr">
        <is>
          <t>ERIC BAYON</t>
        </is>
      </c>
      <c r="B12" s="8" t="inlineStr">
        <is>
          <t>DIRECTOR</t>
        </is>
      </c>
      <c r="C12" s="9" t="n">
        <v>0</v>
      </c>
      <c r="D12" s="9" t="n">
        <v>0</v>
      </c>
      <c r="E12" s="9" t="n">
        <v>0</v>
      </c>
      <c r="F12" s="9" t="n">
        <v>0</v>
      </c>
    </row>
    <row r="13">
      <c r="A13" s="8" t="inlineStr">
        <is>
          <t>DON ZEBLY</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Revenue - Form 990 Part VIII (USD)</t>
        </is>
      </c>
    </row>
    <row r="3">
      <c r="A3" s="2" t="inlineStr">
        <is>
          <t>Entity ID: cawc_0080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7" t="inlineStr">
        <is>
          <t>not reported</t>
        </is>
      </c>
      <c r="C7" s="17" t="inlineStr">
        <is>
          <t>not reported</t>
        </is>
      </c>
      <c r="D7" s="17" t="inlineStr">
        <is>
          <t>not reported</t>
        </is>
      </c>
      <c r="E7" s="17" t="inlineStr">
        <is>
          <t>not reported</t>
        </is>
      </c>
      <c r="F7" s="17" t="inlineStr">
        <is>
          <t>not reported</t>
        </is>
      </c>
      <c r="G7" s="17" t="inlineStr">
        <is>
          <t>not reported</t>
        </is>
      </c>
    </row>
    <row r="8">
      <c r="A8" s="8" t="inlineStr">
        <is>
          <t xml:space="preserve">    2g. Total program service revenue</t>
        </is>
      </c>
      <c r="B8" s="9" t="n">
        <v>162398</v>
      </c>
      <c r="C8" s="9" t="n">
        <v>163840</v>
      </c>
      <c r="D8" s="9" t="n">
        <v>165909</v>
      </c>
      <c r="E8" s="9" t="n">
        <v>167294</v>
      </c>
      <c r="F8" s="9" t="n">
        <v>183479</v>
      </c>
      <c r="G8" s="9" t="n">
        <v>271872</v>
      </c>
    </row>
    <row r="9">
      <c r="A9" s="8" t="inlineStr">
        <is>
          <t xml:space="preserve">    3. Investment income</t>
        </is>
      </c>
      <c r="B9" s="17" t="inlineStr">
        <is>
          <t>not reported</t>
        </is>
      </c>
      <c r="C9" s="17" t="inlineStr">
        <is>
          <t>not reported</t>
        </is>
      </c>
      <c r="D9" s="17" t="inlineStr">
        <is>
          <t>not reported</t>
        </is>
      </c>
      <c r="E9" s="17" t="inlineStr">
        <is>
          <t>not reported</t>
        </is>
      </c>
      <c r="F9" s="17" t="inlineStr">
        <is>
          <t>not reported</t>
        </is>
      </c>
      <c r="G9" s="17" t="inlineStr">
        <is>
          <t>not reported</t>
        </is>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c r="G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17" t="inlineStr">
        <is>
          <t>not reported</t>
        </is>
      </c>
      <c r="G11" s="17" t="inlineStr">
        <is>
          <t>not reported</t>
        </is>
      </c>
    </row>
    <row r="12">
      <c r="A12" s="8" t="inlineStr">
        <is>
          <t xml:space="preserve">    11e. Other revenue</t>
        </is>
      </c>
      <c r="B12" s="17" t="inlineStr">
        <is>
          <t>not reported</t>
        </is>
      </c>
      <c r="C12" s="17" t="inlineStr">
        <is>
          <t>not reported</t>
        </is>
      </c>
      <c r="D12" s="17" t="inlineStr">
        <is>
          <t>not reported</t>
        </is>
      </c>
      <c r="E12" s="17" t="inlineStr">
        <is>
          <t>not reported</t>
        </is>
      </c>
      <c r="F12" s="17" t="inlineStr">
        <is>
          <t>not reported</t>
        </is>
      </c>
      <c r="G12" s="17"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 &amp; ASSESSMENTS</t>
        </is>
      </c>
      <c r="B17" s="8" t="inlineStr">
        <is>
          <t>221300</t>
        </is>
      </c>
      <c r="C17" s="9" t="n">
        <v>185137</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Brock Mutual Water Company</t>
        </is>
      </c>
    </row>
    <row r="2">
      <c r="A2" s="2" t="inlineStr">
        <is>
          <t>Statement of Functional Expenses - Form 990 Part IX (USD)</t>
        </is>
      </c>
    </row>
    <row r="3">
      <c r="A3" s="2" t="inlineStr">
        <is>
          <t>Entity ID: cawc_0080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11b. Fees for services: legal</t>
        </is>
      </c>
      <c r="B7" s="9" t="n">
        <v>2782</v>
      </c>
      <c r="C7" s="17" t="inlineStr">
        <is>
          <t>not reported</t>
        </is>
      </c>
      <c r="D7" s="17" t="inlineStr">
        <is>
          <t>not reported</t>
        </is>
      </c>
      <c r="E7" s="9" t="n">
        <v>2875</v>
      </c>
      <c r="F7" s="9" t="n">
        <v>2250</v>
      </c>
      <c r="G7" s="17" t="inlineStr">
        <is>
          <t>not reported</t>
        </is>
      </c>
    </row>
    <row r="8">
      <c r="A8" s="8" t="inlineStr">
        <is>
          <t xml:space="preserve">    11c. Fees for services: accounting</t>
        </is>
      </c>
      <c r="B8" s="9" t="n">
        <v>14050</v>
      </c>
      <c r="C8" s="9" t="n">
        <v>13200</v>
      </c>
      <c r="D8" s="9" t="n">
        <v>13200</v>
      </c>
      <c r="E8" s="9" t="n">
        <v>13000</v>
      </c>
      <c r="F8" s="9" t="n">
        <v>13000</v>
      </c>
      <c r="G8" s="9" t="n">
        <v>13000</v>
      </c>
    </row>
    <row r="9">
      <c r="A9" s="8" t="inlineStr">
        <is>
          <t xml:space="preserve">    13. Office expenses</t>
        </is>
      </c>
      <c r="B9" s="9" t="n">
        <v>2007</v>
      </c>
      <c r="C9" s="9" t="n">
        <v>2243</v>
      </c>
      <c r="D9" s="9" t="n">
        <v>2956</v>
      </c>
      <c r="E9" s="9" t="n">
        <v>2961</v>
      </c>
      <c r="F9" s="9" t="n">
        <v>4469</v>
      </c>
      <c r="G9" s="9" t="n">
        <v>2414</v>
      </c>
    </row>
    <row r="10">
      <c r="A10" s="8" t="inlineStr">
        <is>
          <t xml:space="preserve">    22. Depreciation, depletion, and amortization</t>
        </is>
      </c>
      <c r="B10" s="9" t="n">
        <v>7521</v>
      </c>
      <c r="C10" s="9" t="n">
        <v>2579</v>
      </c>
      <c r="D10" s="9" t="n">
        <v>4240</v>
      </c>
      <c r="E10" s="9" t="n">
        <v>9725</v>
      </c>
      <c r="F10" s="9" t="n">
        <v>18313</v>
      </c>
      <c r="G10" s="9" t="n">
        <v>16933</v>
      </c>
    </row>
    <row r="11">
      <c r="A11" s="8" t="inlineStr">
        <is>
          <t xml:space="preserve">    23. Insurance</t>
        </is>
      </c>
      <c r="B11" s="9" t="n">
        <v>4384</v>
      </c>
      <c r="C11" s="9" t="n">
        <v>10</v>
      </c>
      <c r="D11" s="17" t="inlineStr">
        <is>
          <t>not reported</t>
        </is>
      </c>
      <c r="E11" s="9" t="n">
        <v>6188</v>
      </c>
      <c r="F11" s="9" t="n">
        <v>7084</v>
      </c>
      <c r="G11" s="9" t="n">
        <v>8128</v>
      </c>
    </row>
    <row r="12">
      <c r="A12" s="8" t="inlineStr">
        <is>
          <t xml:space="preserve">    24. CHLORINATION</t>
        </is>
      </c>
      <c r="B12" s="9" t="n">
        <v>20693</v>
      </c>
      <c r="C12" s="9" t="n">
        <v>22026</v>
      </c>
      <c r="D12" s="9" t="n">
        <v>22258</v>
      </c>
      <c r="E12" s="9" t="n">
        <v>23989</v>
      </c>
      <c r="F12" s="9" t="n">
        <v>28583</v>
      </c>
      <c r="G12" s="9" t="n">
        <v>30743</v>
      </c>
    </row>
    <row r="13">
      <c r="A13" s="8" t="inlineStr">
        <is>
          <t xml:space="preserve">    24. REPAIRS &amp; MAINTENANCE</t>
        </is>
      </c>
      <c r="B13" s="9" t="n">
        <v>1482</v>
      </c>
      <c r="C13" s="9" t="n">
        <v>17628</v>
      </c>
      <c r="D13" s="9" t="n">
        <v>13029</v>
      </c>
      <c r="E13" s="9" t="n">
        <v>7996</v>
      </c>
      <c r="F13" s="9" t="n">
        <v>15809</v>
      </c>
      <c r="G13" s="9" t="n">
        <v>11963</v>
      </c>
    </row>
    <row r="14">
      <c r="A14" s="8" t="inlineStr">
        <is>
          <t xml:space="preserve">    24. TAXES &amp; LICENSES</t>
        </is>
      </c>
      <c r="B14" s="9" t="n">
        <v>1218</v>
      </c>
      <c r="C14" s="9" t="n">
        <v>10362</v>
      </c>
      <c r="D14" s="9" t="n">
        <v>8711</v>
      </c>
      <c r="E14" s="9" t="n">
        <v>6681</v>
      </c>
      <c r="F14" s="9" t="n">
        <v>5294</v>
      </c>
      <c r="G14" s="9" t="n">
        <v>3289</v>
      </c>
    </row>
    <row r="15">
      <c r="A15" s="8" t="inlineStr">
        <is>
          <t xml:space="preserve">    24. UTILITIES</t>
        </is>
      </c>
      <c r="B15" s="9" t="n">
        <v>67395</v>
      </c>
      <c r="C15" s="9" t="n">
        <v>64590</v>
      </c>
      <c r="D15" s="9" t="n">
        <v>78224</v>
      </c>
      <c r="E15" s="9" t="n">
        <v>90471</v>
      </c>
      <c r="F15" s="9" t="n">
        <v>104478</v>
      </c>
      <c r="G15" s="9" t="n">
        <v>100764</v>
      </c>
    </row>
    <row r="16">
      <c r="A16" s="8" t="inlineStr">
        <is>
          <t xml:space="preserve">    24e. All other expenses</t>
        </is>
      </c>
      <c r="B16" s="9" t="n">
        <v>566</v>
      </c>
      <c r="C16" s="9" t="n">
        <v>1019</v>
      </c>
      <c r="D16" s="9" t="n">
        <v>9109</v>
      </c>
      <c r="E16" s="9" t="n">
        <v>3754</v>
      </c>
      <c r="F16" s="9" t="n">
        <v>5983</v>
      </c>
      <c r="G16" s="9" t="n">
        <v>4077</v>
      </c>
    </row>
    <row r="17">
      <c r="A17" s="10" t="inlineStr">
        <is>
          <t>25. Total functional expenses</t>
        </is>
      </c>
      <c r="B17" s="11">
        <f>SUM(B7:B16)</f>
        <v/>
      </c>
      <c r="C17" s="11">
        <f>SUM(C7:C16)</f>
        <v/>
      </c>
      <c r="D17" s="11">
        <f>SUM(D7:D16)</f>
        <v/>
      </c>
      <c r="E17" s="11">
        <f>SUM(E7:E16)</f>
        <v/>
      </c>
      <c r="F17" s="11">
        <f>SUM(F7:F16)</f>
        <v/>
      </c>
      <c r="G17" s="11">
        <f>SUM(G7:G16)</f>
        <v/>
      </c>
    </row>
    <row r="19">
      <c r="A19" s="6" t="inlineStr">
        <is>
          <t>Functional column split - FY2025 (col A = B + C + D)</t>
        </is>
      </c>
      <c r="B19" s="7" t="n"/>
      <c r="C19" s="7" t="n"/>
      <c r="D19" s="7" t="n"/>
      <c r="E19" s="7" t="n"/>
      <c r="F19" s="7" t="n"/>
      <c r="G19" s="7" t="n"/>
    </row>
    <row r="20">
      <c r="A20" s="5" t="inlineStr">
        <is>
          <t>Part IX line</t>
        </is>
      </c>
      <c r="B20" s="5" t="inlineStr">
        <is>
          <t>A. Total</t>
        </is>
      </c>
      <c r="C20" s="5" t="inlineStr">
        <is>
          <t>B. Program services</t>
        </is>
      </c>
      <c r="D20" s="5" t="inlineStr">
        <is>
          <t>C. Management &amp; general</t>
        </is>
      </c>
      <c r="E20" s="5" t="inlineStr">
        <is>
          <t>D. Fundraising</t>
        </is>
      </c>
    </row>
    <row r="21">
      <c r="A21" s="18" t="inlineStr">
        <is>
          <t>11c. Fees for services: accounting</t>
        </is>
      </c>
      <c r="B21" s="9" t="n">
        <v>13000</v>
      </c>
      <c r="C21" s="9" t="n">
        <v>13000</v>
      </c>
      <c r="D21" s="9" t="n">
        <v>0</v>
      </c>
      <c r="E21" s="9" t="n">
        <v>0</v>
      </c>
    </row>
    <row r="22">
      <c r="A22" s="18" t="inlineStr">
        <is>
          <t>13. Office expenses</t>
        </is>
      </c>
      <c r="B22" s="9" t="n">
        <v>2414</v>
      </c>
      <c r="C22" s="9" t="n">
        <v>2414</v>
      </c>
      <c r="D22" s="9" t="n">
        <v>0</v>
      </c>
      <c r="E22" s="9" t="n">
        <v>0</v>
      </c>
    </row>
    <row r="23">
      <c r="A23" s="18" t="inlineStr">
        <is>
          <t>22. Depreciation, depletion, and amortization</t>
        </is>
      </c>
      <c r="B23" s="9" t="n">
        <v>16933</v>
      </c>
      <c r="C23" s="9" t="n">
        <v>0</v>
      </c>
      <c r="D23" s="9" t="n">
        <v>0</v>
      </c>
      <c r="E23" s="9" t="n">
        <v>0</v>
      </c>
    </row>
    <row r="24">
      <c r="A24" s="18" t="inlineStr">
        <is>
          <t>23. Insurance</t>
        </is>
      </c>
      <c r="B24" s="9" t="n">
        <v>8128</v>
      </c>
      <c r="C24" s="9" t="n">
        <v>0</v>
      </c>
      <c r="D24" s="9" t="n">
        <v>0</v>
      </c>
      <c r="E24" s="9" t="n">
        <v>0</v>
      </c>
    </row>
    <row r="25">
      <c r="A25" s="10" t="inlineStr">
        <is>
          <t>25. Total (filed col A / B / C / D)</t>
        </is>
      </c>
      <c r="B25" s="11" t="n">
        <v>191311</v>
      </c>
      <c r="C25" s="11" t="n">
        <v>165929</v>
      </c>
      <c r="D25" s="11" t="n">
        <v>321</v>
      </c>
      <c r="E25" s="11" t="n">
        <v>0</v>
      </c>
    </row>
    <row r="27" ht="42" customHeight="1">
      <c r="A2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7:G27"/>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Balance Sheet - Form 990 Part X (end of year, USD)</t>
        </is>
      </c>
    </row>
    <row r="3">
      <c r="A3" s="2" t="inlineStr">
        <is>
          <t>Entity ID: cawc_0080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551612</v>
      </c>
      <c r="C7" s="9" t="n">
        <v>1062595</v>
      </c>
      <c r="D7" s="9" t="n">
        <v>957685</v>
      </c>
      <c r="E7" s="9" t="n">
        <v>1438416</v>
      </c>
      <c r="F7" s="9" t="n">
        <v>1395329</v>
      </c>
      <c r="G7" s="9" t="n">
        <v>494909</v>
      </c>
    </row>
    <row r="8">
      <c r="A8" s="8" t="inlineStr">
        <is>
          <t xml:space="preserve">    9. Prepaid expenses and deferred charges</t>
        </is>
      </c>
      <c r="B8" s="17" t="inlineStr">
        <is>
          <t>not reported</t>
        </is>
      </c>
      <c r="C8" s="17" t="inlineStr">
        <is>
          <t>not reported</t>
        </is>
      </c>
      <c r="D8" s="17" t="inlineStr">
        <is>
          <t>not reported</t>
        </is>
      </c>
      <c r="E8" s="17" t="inlineStr">
        <is>
          <t>not reported</t>
        </is>
      </c>
      <c r="F8" s="9" t="n">
        <v>20000</v>
      </c>
      <c r="G8" s="9" t="n">
        <v>0</v>
      </c>
    </row>
    <row r="9">
      <c r="A9" s="8" t="inlineStr">
        <is>
          <t xml:space="preserve">    10c. Land, buildings, and equipment, net</t>
        </is>
      </c>
      <c r="B9" s="9" t="n">
        <v>5348</v>
      </c>
      <c r="C9" s="9" t="n">
        <v>2769</v>
      </c>
      <c r="D9" s="9" t="n">
        <v>121861</v>
      </c>
      <c r="E9" s="9" t="n">
        <v>41030</v>
      </c>
      <c r="F9" s="9" t="n">
        <v>42333</v>
      </c>
      <c r="G9" s="9" t="n">
        <v>467205</v>
      </c>
    </row>
    <row r="10">
      <c r="A10" s="8" t="inlineStr">
        <is>
          <t xml:space="preserve">    12. Investments - other securities</t>
        </is>
      </c>
      <c r="B10" s="17" t="inlineStr">
        <is>
          <t>not reported</t>
        </is>
      </c>
      <c r="C10" s="17" t="inlineStr">
        <is>
          <t>not reported</t>
        </is>
      </c>
      <c r="D10" s="17" t="inlineStr">
        <is>
          <t>not reported</t>
        </is>
      </c>
      <c r="E10" s="17" t="inlineStr">
        <is>
          <t>not reported</t>
        </is>
      </c>
      <c r="F10" s="17" t="inlineStr">
        <is>
          <t>not reported</t>
        </is>
      </c>
      <c r="G10" s="9" t="n">
        <v>3522902</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10" t="inlineStr">
        <is>
          <t>26. Total liabilities</t>
        </is>
      </c>
      <c r="B14" s="11">
        <f>SUM(B14:B13)</f>
        <v/>
      </c>
      <c r="C14" s="11">
        <f>SUM(C14:C13)</f>
        <v/>
      </c>
      <c r="D14" s="11">
        <f>SUM(D14:D13)</f>
        <v/>
      </c>
      <c r="E14" s="11">
        <f>SUM(E14:E13)</f>
        <v/>
      </c>
      <c r="F14" s="11">
        <f>SUM(F14:F13)</f>
        <v/>
      </c>
      <c r="G14" s="11">
        <f>SUM(G14:G13)</f>
        <v/>
      </c>
    </row>
    <row r="16">
      <c r="A16" s="6" t="inlineStr">
        <is>
          <t>Net assets / fund balances</t>
        </is>
      </c>
      <c r="B16" s="7" t="n"/>
      <c r="C16" s="7" t="n"/>
      <c r="D16" s="7" t="n"/>
      <c r="E16" s="7" t="n"/>
      <c r="F16" s="7" t="n"/>
      <c r="G16" s="7" t="n"/>
    </row>
    <row r="17">
      <c r="A17" s="8" t="inlineStr">
        <is>
          <t xml:space="preserve">    27. Net assets without donor restrictions</t>
        </is>
      </c>
      <c r="B17" s="9" t="n">
        <v>556960</v>
      </c>
      <c r="C17" s="9" t="n">
        <v>1065364</v>
      </c>
      <c r="D17" s="9" t="n">
        <v>1079546</v>
      </c>
      <c r="E17" s="9" t="n">
        <v>1479446</v>
      </c>
      <c r="F17" s="9" t="n">
        <v>1457662</v>
      </c>
      <c r="G17" s="9" t="n">
        <v>4485016</v>
      </c>
    </row>
    <row r="18">
      <c r="A18" s="10" t="inlineStr">
        <is>
          <t>32. Total net assets / fund balances</t>
        </is>
      </c>
      <c r="B18" s="11">
        <f>SUM(B17:B17)</f>
        <v/>
      </c>
      <c r="C18" s="11">
        <f>SUM(C17:C17)</f>
        <v/>
      </c>
      <c r="D18" s="11">
        <f>SUM(D17:D17)</f>
        <v/>
      </c>
      <c r="E18" s="11">
        <f>SUM(E17:E17)</f>
        <v/>
      </c>
      <c r="F18" s="11">
        <f>SUM(F17:F17)</f>
        <v/>
      </c>
      <c r="G18" s="11">
        <f>SUM(G17:G17)</f>
        <v/>
      </c>
    </row>
    <row r="20" ht="42" customHeight="1">
      <c r="A20"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0:G20"/>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Reconciliation of Net Assets - Form 990 Part XI (USD)</t>
        </is>
      </c>
    </row>
    <row r="3">
      <c r="A3" s="2" t="inlineStr">
        <is>
          <t>Entity ID: cawc_0080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519816</v>
      </c>
      <c r="C7" s="9" t="n">
        <v>556960</v>
      </c>
      <c r="D7" s="9" t="n">
        <v>1065364</v>
      </c>
      <c r="E7" s="9" t="n">
        <v>1079546</v>
      </c>
      <c r="F7" s="9" t="n">
        <v>1479446</v>
      </c>
      <c r="G7" s="9" t="n">
        <v>1457662</v>
      </c>
    </row>
    <row r="8">
      <c r="A8" s="8" t="inlineStr">
        <is>
          <t xml:space="preserve">    3. Revenue less expenses</t>
        </is>
      </c>
      <c r="B8" s="9" t="n">
        <v>40300</v>
      </c>
      <c r="C8" s="9" t="n">
        <v>30183</v>
      </c>
      <c r="D8" s="9" t="n">
        <v>14182</v>
      </c>
      <c r="E8" s="9" t="n">
        <v>-346</v>
      </c>
      <c r="F8" s="9" t="n">
        <v>-21784</v>
      </c>
      <c r="G8" s="9" t="n">
        <v>80561</v>
      </c>
    </row>
    <row r="9">
      <c r="A9" s="8" t="inlineStr">
        <is>
          <t xml:space="preserve">    8. Prior period adjustments</t>
        </is>
      </c>
      <c r="B9" s="9" t="n">
        <v>-3156</v>
      </c>
      <c r="C9" s="17" t="inlineStr">
        <is>
          <t>not reported</t>
        </is>
      </c>
      <c r="D9" s="17" t="inlineStr">
        <is>
          <t>not reported</t>
        </is>
      </c>
      <c r="E9" s="17" t="inlineStr">
        <is>
          <t>not reported</t>
        </is>
      </c>
      <c r="F9" s="17" t="inlineStr">
        <is>
          <t>not reported</t>
        </is>
      </c>
      <c r="G9" s="17" t="inlineStr">
        <is>
          <t>not reported</t>
        </is>
      </c>
    </row>
    <row r="10">
      <c r="A10" s="8" t="inlineStr">
        <is>
          <t xml:space="preserve">    9. Other changes in net assets</t>
        </is>
      </c>
      <c r="B10" s="17" t="inlineStr">
        <is>
          <t>not reported</t>
        </is>
      </c>
      <c r="C10" s="9" t="n">
        <v>478221</v>
      </c>
      <c r="D10" s="17" t="inlineStr">
        <is>
          <t>not reported</t>
        </is>
      </c>
      <c r="E10" s="9" t="n">
        <v>400246</v>
      </c>
      <c r="F10" s="17" t="inlineStr">
        <is>
          <t>not reported</t>
        </is>
      </c>
      <c r="G10" s="17"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Cash Flow Proxies - derived (USD)</t>
        </is>
      </c>
    </row>
    <row r="3">
      <c r="A3" s="2" t="inlineStr">
        <is>
          <t>Entity ID: cawc_0080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40300</v>
      </c>
      <c r="C9" s="9" t="n">
        <v>30183</v>
      </c>
      <c r="D9" s="9" t="n">
        <v>14182</v>
      </c>
      <c r="E9" s="9" t="n">
        <v>-346</v>
      </c>
      <c r="F9" s="9" t="n">
        <v>-21784</v>
      </c>
      <c r="G9" s="9" t="n">
        <v>80561</v>
      </c>
    </row>
    <row r="10">
      <c r="A10" s="8" t="inlineStr">
        <is>
          <t xml:space="preserve">    + Depreciation (reported)</t>
        </is>
      </c>
      <c r="B10" s="9" t="n">
        <v>7521</v>
      </c>
      <c r="C10" s="9" t="n">
        <v>2579</v>
      </c>
      <c r="D10" s="9" t="n">
        <v>4240</v>
      </c>
      <c r="E10" s="9" t="n">
        <v>9725</v>
      </c>
      <c r="F10" s="9" t="n">
        <v>18313</v>
      </c>
      <c r="G10" s="9" t="n">
        <v>16933</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v>20000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32762</v>
      </c>
      <c r="D15" s="11" t="n">
        <v>18422</v>
      </c>
      <c r="E15" s="11" t="n">
        <v>9379</v>
      </c>
      <c r="F15" s="11" t="n">
        <v>-3471</v>
      </c>
      <c r="G15" s="11" t="n">
        <v>117494</v>
      </c>
    </row>
    <row r="17">
      <c r="A17" s="6" t="inlineStr">
        <is>
          <t>Investing</t>
        </is>
      </c>
      <c r="B17" s="7" t="n"/>
      <c r="C17" s="7" t="n"/>
      <c r="D17" s="7" t="n"/>
      <c r="E17" s="7" t="n"/>
      <c r="F17" s="7" t="n"/>
      <c r="G17" s="7" t="n"/>
    </row>
    <row r="18">
      <c r="A18" s="8" t="inlineStr">
        <is>
          <t xml:space="preserve">    − Δ PP&amp;E gross (capex proxy)</t>
        </is>
      </c>
      <c r="B18" s="9" t="n"/>
      <c r="C18" s="9" t="n">
        <v>0</v>
      </c>
      <c r="D18" s="9" t="n">
        <v>-123331</v>
      </c>
      <c r="E18" s="9" t="n">
        <v>80831</v>
      </c>
      <c r="F18" s="9" t="n">
        <v>-29725</v>
      </c>
      <c r="G18" s="9" t="n">
        <v>-434285</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510983</v>
      </c>
      <c r="D24" s="11" t="n">
        <v>-104910</v>
      </c>
      <c r="E24" s="11" t="n">
        <v>480731</v>
      </c>
      <c r="F24" s="11" t="n">
        <v>-43087</v>
      </c>
      <c r="G24" s="11" t="n">
        <v>-900420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Brock Mutual Water Company</t>
        </is>
      </c>
    </row>
    <row r="2">
      <c r="A2" s="2" t="inlineStr">
        <is>
          <t>Financial Ratios</t>
        </is>
      </c>
    </row>
    <row r="3">
      <c r="A3" s="2" t="inlineStr">
        <is>
          <t>Entity ID: cawc_0080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0.2481557654650919</v>
      </c>
      <c r="C7" s="12" t="n">
        <v>0.184222412109375</v>
      </c>
      <c r="D7" s="12" t="n">
        <v>0.08548059478388756</v>
      </c>
      <c r="E7" s="12" t="n">
        <v>-0.002068215237844753</v>
      </c>
      <c r="F7" s="12" t="n">
        <v>-0.1187274837992359</v>
      </c>
      <c r="G7" s="12" t="n">
        <v>0.2963195915725047</v>
      </c>
    </row>
    <row r="8">
      <c r="A8" s="8" t="inlineStr">
        <is>
          <t xml:space="preserve">    Expense ratio (expenses / revenue)</t>
        </is>
      </c>
      <c r="B8" s="12" t="n">
        <v>0.7518442345349081</v>
      </c>
      <c r="C8" s="12" t="n">
        <v>0.815777587890625</v>
      </c>
      <c r="D8" s="12" t="n">
        <v>0.9145194052161124</v>
      </c>
      <c r="E8" s="12" t="n">
        <v>1.002068215237845</v>
      </c>
      <c r="F8" s="12" t="n">
        <v>1.118727483799236</v>
      </c>
      <c r="G8" s="12" t="n">
        <v>0.7036804084274952</v>
      </c>
    </row>
    <row r="9">
      <c r="A9" s="8" t="inlineStr">
        <is>
          <t xml:space="preserve">    Return on assets (NI / assets)</t>
        </is>
      </c>
      <c r="B9" s="12" t="n">
        <v>0.07235708129847745</v>
      </c>
      <c r="C9" s="12" t="n">
        <v>0.02833116193150886</v>
      </c>
      <c r="D9" s="12" t="n">
        <v>0.01313700388867172</v>
      </c>
      <c r="E9" s="12" t="n">
        <v>-0.000233871327510433</v>
      </c>
      <c r="F9" s="12" t="n">
        <v>-0.01494447958443041</v>
      </c>
      <c r="G9" s="12" t="n">
        <v>0.01796225476118703</v>
      </c>
    </row>
    <row r="10">
      <c r="A10" s="8" t="inlineStr">
        <is>
          <t xml:space="preserve">    Revenue growth (YoY)</t>
        </is>
      </c>
      <c r="B10" s="12" t="n">
        <v>-0.01141994472649354</v>
      </c>
      <c r="C10" s="12" t="n">
        <v>0.008879419697286912</v>
      </c>
      <c r="D10" s="12" t="n">
        <v>0.012628173828125</v>
      </c>
      <c r="E10" s="12" t="n">
        <v>0.008347949779698509</v>
      </c>
      <c r="F10" s="12" t="n">
        <v>0.0967458486257726</v>
      </c>
      <c r="G10" s="12" t="n">
        <v>0.4817608554657482</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c r="C18" s="19" t="n"/>
      <c r="D18" s="19" t="n"/>
      <c r="E18" s="19" t="n"/>
      <c r="F18" s="19" t="n"/>
      <c r="G18" s="19" t="n"/>
    </row>
    <row r="19">
      <c r="A19" s="8" t="inlineStr">
        <is>
          <t xml:space="preserve">    Asset age proxy (accum. deprec. / gross PP&amp;E)</t>
        </is>
      </c>
      <c r="B19" s="12" t="n">
        <v>0.9863273560256273</v>
      </c>
      <c r="C19" s="12" t="n">
        <v>0.9929208019511896</v>
      </c>
      <c r="D19" s="12" t="n">
        <v>0.7631361557465154</v>
      </c>
      <c r="E19" s="12" t="n">
        <v>0.9053836539481512</v>
      </c>
      <c r="F19" s="12" t="n">
        <v>0.9086412399567517</v>
      </c>
      <c r="G19" s="12" t="n">
        <v>0.4795277923837194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Brock Mutual Water Company</t>
        </is>
      </c>
    </row>
    <row r="2">
      <c r="A2" s="2" t="inlineStr">
        <is>
          <t>Unit economics - per-customer revenue by category (USD)</t>
        </is>
      </c>
    </row>
    <row r="3">
      <c r="A3" s="2" t="inlineStr">
        <is>
          <t>Entity ID: cawc_0080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Brock Mutual Water Company</t>
        </is>
      </c>
    </row>
    <row r="2">
      <c r="A2" s="2" t="inlineStr">
        <is>
          <t>Rate structure and representative bill - eAR Section 8a</t>
        </is>
      </c>
    </row>
    <row r="3">
      <c r="A3" s="2" t="inlineStr">
        <is>
          <t>Entity ID: cawc_0080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Brock Mutual Water Company</t>
        </is>
      </c>
    </row>
    <row r="2">
      <c r="A2" s="2" t="inlineStr">
        <is>
          <t>Operational metrics - plant per acre, density, terrain</t>
        </is>
      </c>
    </row>
    <row r="3">
      <c r="A3" s="2" t="inlineStr">
        <is>
          <t>Entity ID: cawc_0080   |   Fiscal year ends December 31.</t>
        </is>
      </c>
    </row>
    <row r="5">
      <c r="A5" s="6" t="inlineStr">
        <is>
          <t>Plant assets per acre</t>
        </is>
      </c>
      <c r="B5" s="7" t="n"/>
      <c r="C5" s="7" t="n"/>
    </row>
    <row r="6">
      <c r="A6" s="20" t="inlineStr">
        <is>
          <t>Service-area acres</t>
        </is>
      </c>
      <c r="B6" s="26" t="n">
        <v>125.8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3109.2687</v>
      </c>
      <c r="C8" s="9" t="n">
        <v>22.0111</v>
      </c>
    </row>
    <row r="9">
      <c r="A9" s="18" t="inlineStr">
        <is>
          <t>FY2022</t>
        </is>
      </c>
      <c r="B9" s="9" t="n">
        <v>4089.6423</v>
      </c>
      <c r="C9" s="9" t="n">
        <v>968.6884</v>
      </c>
    </row>
    <row r="10">
      <c r="A10" s="18" t="inlineStr">
        <is>
          <t>FY2023</t>
        </is>
      </c>
      <c r="B10" s="9" t="n">
        <v>3447.1065</v>
      </c>
      <c r="C10" s="9" t="n">
        <v>326.1526</v>
      </c>
    </row>
    <row r="11">
      <c r="A11" s="18" t="inlineStr">
        <is>
          <t>FY2024</t>
        </is>
      </c>
      <c r="B11" s="9" t="n">
        <v>3683.3943</v>
      </c>
      <c r="C11" s="9" t="n">
        <v>336.5103</v>
      </c>
    </row>
    <row r="12">
      <c r="A12" s="18" t="inlineStr">
        <is>
          <t>FY2025</t>
        </is>
      </c>
      <c r="B12" s="9" t="n">
        <v>7135.5803</v>
      </c>
      <c r="C12" s="9" t="n">
        <v>3713.8712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1.23</v>
      </c>
      <c r="C19" s="22" t="inlineStr">
        <is>
          <t>155 connections / 125.8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Brock Mutual Water Company</t>
        </is>
      </c>
    </row>
    <row r="2">
      <c r="A2" s="2" t="inlineStr">
        <is>
          <t>Supply and weather indicators (DWR water year)</t>
        </is>
      </c>
    </row>
    <row r="3">
      <c r="A3" s="2" t="inlineStr">
        <is>
          <t>Entity ID: cawc_0080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Brock Mutual Water Company</t>
        </is>
      </c>
    </row>
    <row r="2">
      <c r="A2" s="2" t="inlineStr">
        <is>
          <t>How this was built - forensic lineage</t>
        </is>
      </c>
    </row>
    <row r="3">
      <c r="A3" s="2" t="inlineStr">
        <is>
          <t>Entity ID: cawc_0080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6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Brock Mutual Water Company</t>
        </is>
      </c>
    </row>
    <row r="2">
      <c r="A2" s="2" t="inlineStr">
        <is>
          <t>Sources &amp; audit - full provenance and tie-outs (kept off the statements so they read clean)</t>
        </is>
      </c>
    </row>
    <row r="3">
      <c r="A3" s="2" t="inlineStr">
        <is>
          <t>Entity ID: cawc_0080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3111cd29-4008-4a57-92c6-b12710cec95d</t>
        </is>
      </c>
      <c r="F10" s="8" t="inlineStr">
        <is>
          <t>202120739349300407</t>
        </is>
      </c>
      <c r="G10" s="8" t="inlineStr">
        <is>
          <t>claude-opus-5</t>
        </is>
      </c>
      <c r="H10" s="8" t="inlineStr">
        <is>
          <t>2026-09-21T02:50:01+00:00</t>
        </is>
      </c>
      <c r="I10" s="8" t="inlineStr">
        <is>
          <t>https://apps.irs.gov/pub/epostcard/990/xml/2021/2021_TEOS_XML_01A.zip#202120739349300407_public.xml</t>
        </is>
      </c>
    </row>
    <row r="11">
      <c r="A11" s="27" t="inlineStr">
        <is>
          <t>FY2021</t>
        </is>
      </c>
      <c r="B11" s="8" t="inlineStr">
        <is>
          <t>2021-12-31</t>
        </is>
      </c>
      <c r="C11" s="8" t="inlineStr">
        <is>
          <t>990</t>
        </is>
      </c>
      <c r="D11" s="8" t="inlineStr">
        <is>
          <t>high</t>
        </is>
      </c>
      <c r="E11" s="8" t="inlineStr">
        <is>
          <t>fe25e547-94cb-40fb-afe4-985bd7464dc9</t>
        </is>
      </c>
      <c r="F11" s="8" t="inlineStr">
        <is>
          <t>202220679349300832</t>
        </is>
      </c>
      <c r="G11" s="8" t="inlineStr">
        <is>
          <t>claude-opus-5</t>
        </is>
      </c>
      <c r="H11" s="8" t="inlineStr">
        <is>
          <t>2026-09-21T02:50:01+00:00</t>
        </is>
      </c>
      <c r="I11" s="8" t="inlineStr">
        <is>
          <t>https://apps.irs.gov/pub/epostcard/990/xml/2022/2022_TEOS_XML_01A.zip#202220679349300832_public.xml</t>
        </is>
      </c>
    </row>
    <row r="12">
      <c r="A12" s="27" t="inlineStr">
        <is>
          <t>FY2022</t>
        </is>
      </c>
      <c r="B12" s="8" t="inlineStr">
        <is>
          <t>2022-12-31</t>
        </is>
      </c>
      <c r="C12" s="8" t="inlineStr">
        <is>
          <t>990</t>
        </is>
      </c>
      <c r="D12" s="8" t="inlineStr">
        <is>
          <t>high</t>
        </is>
      </c>
      <c r="E12" s="8" t="inlineStr">
        <is>
          <t>06f85e87-c2bb-4ea5-9596-3b899b4ea6c7</t>
        </is>
      </c>
      <c r="F12" s="8" t="inlineStr">
        <is>
          <t>202330699349300813</t>
        </is>
      </c>
      <c r="G12" s="8" t="inlineStr">
        <is>
          <t>claude-opus-5</t>
        </is>
      </c>
      <c r="H12" s="8" t="inlineStr">
        <is>
          <t>2026-09-21T02:50:01+00:00</t>
        </is>
      </c>
      <c r="I12" s="8" t="inlineStr">
        <is>
          <t>https://apps.irs.gov/pub/epostcard/990/xml/2023/2023_TEOS_XML_03A.zip#202330699349300813_public.xml</t>
        </is>
      </c>
    </row>
    <row r="13">
      <c r="A13" s="27" t="inlineStr">
        <is>
          <t>FY2023</t>
        </is>
      </c>
      <c r="B13" s="8" t="inlineStr">
        <is>
          <t>2023-12-31</t>
        </is>
      </c>
      <c r="C13" s="8" t="inlineStr">
        <is>
          <t>990</t>
        </is>
      </c>
      <c r="D13" s="8" t="inlineStr">
        <is>
          <t>high</t>
        </is>
      </c>
      <c r="E13" s="8" t="inlineStr">
        <is>
          <t>f3c436e3-6667-44d4-937d-318b6cef5b18</t>
        </is>
      </c>
      <c r="F13" s="8" t="inlineStr">
        <is>
          <t>202420759349300617</t>
        </is>
      </c>
      <c r="G13" s="8" t="inlineStr">
        <is>
          <t>claude-opus-5</t>
        </is>
      </c>
      <c r="H13" s="8" t="inlineStr">
        <is>
          <t>2026-09-21T02:50:01+00:00</t>
        </is>
      </c>
      <c r="I13" s="8" t="inlineStr">
        <is>
          <t>https://apps.irs.gov/pub/epostcard/990/xml/2024/2024_TEOS_XML_03A.zip#202420759349300617_public.xml</t>
        </is>
      </c>
    </row>
    <row r="14">
      <c r="A14" s="27" t="inlineStr">
        <is>
          <t>FY2024</t>
        </is>
      </c>
      <c r="B14" s="8" t="inlineStr">
        <is>
          <t>2024-12-31</t>
        </is>
      </c>
      <c r="C14" s="8" t="inlineStr">
        <is>
          <t>990</t>
        </is>
      </c>
      <c r="D14" s="8" t="inlineStr">
        <is>
          <t>high</t>
        </is>
      </c>
      <c r="E14" s="8" t="inlineStr">
        <is>
          <t>eee6ce85-aa30-47e9-b3d3-e897d061815f</t>
        </is>
      </c>
      <c r="F14" s="8" t="inlineStr">
        <is>
          <t>202520699349300767</t>
        </is>
      </c>
      <c r="G14" s="8" t="inlineStr">
        <is>
          <t>claude-opus-5</t>
        </is>
      </c>
      <c r="H14" s="8" t="inlineStr">
        <is>
          <t>2026-09-21T02:50:01+00:00</t>
        </is>
      </c>
      <c r="I14" s="8" t="inlineStr">
        <is>
          <t>https://apps.irs.gov/pub/epostcard/990/xml/2025/2025_TEOS_XML_03A.zip#202520699349300767_public.xml</t>
        </is>
      </c>
    </row>
    <row r="15">
      <c r="A15" s="27" t="inlineStr">
        <is>
          <t>FY2025</t>
        </is>
      </c>
      <c r="B15" s="8" t="inlineStr">
        <is>
          <t>2025-12-31</t>
        </is>
      </c>
      <c r="C15" s="8" t="inlineStr">
        <is>
          <t>990</t>
        </is>
      </c>
      <c r="D15" s="8" t="inlineStr">
        <is>
          <t>high</t>
        </is>
      </c>
      <c r="E15" s="8" t="inlineStr">
        <is>
          <t>b7b3cb9e-9eb5-46b4-9829-620422dd4bd9</t>
        </is>
      </c>
      <c r="F15" s="8" t="inlineStr">
        <is>
          <t>202610719349301526</t>
        </is>
      </c>
      <c r="G15" s="8" t="inlineStr">
        <is>
          <t>claude-opus-5</t>
        </is>
      </c>
      <c r="H15" s="8" t="inlineStr">
        <is>
          <t>2026-09-21T02:50:01+00:00</t>
        </is>
      </c>
      <c r="I15" s="8" t="inlineStr">
        <is>
          <t>https://apps.irs.gov/pub/epostcard/990/xml/2026/2026_TEOS_XML_03A.zip#202610719349301526_public.xml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162936</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165285</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167294</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183479</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185137</v>
      </c>
    </row>
    <row r="25">
      <c r="A25" s="8" t="inlineStr">
        <is>
          <t>Financial Statements</t>
        </is>
      </c>
      <c r="B25" s="8" t="inlineStr">
        <is>
          <t>B74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C74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D74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E74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Financial Statements</t>
        </is>
      </c>
      <c r="B29" s="8" t="inlineStr">
        <is>
          <t>F74</t>
        </is>
      </c>
      <c r="C29" s="8" t="inlineStr">
        <is>
          <t>11b. Gross income from other sources</t>
        </is>
      </c>
      <c r="D29" s="8" t="inlineStr">
        <is>
          <t>11b</t>
        </is>
      </c>
      <c r="E29" s="8" t="inlineStr">
        <is>
          <t>part_v_other_irs_filings.other_sources_gross_income</t>
        </is>
      </c>
      <c r="F29" s="8" t="inlineStr">
        <is>
          <t>high</t>
        </is>
      </c>
      <c r="G29" s="9" t="n">
        <v>0</v>
      </c>
    </row>
    <row r="30">
      <c r="A30" s="8" t="inlineStr">
        <is>
          <t>Financial Statements</t>
        </is>
      </c>
      <c r="B30" s="8" t="inlineStr">
        <is>
          <t>G74</t>
        </is>
      </c>
      <c r="C30" s="8" t="inlineStr">
        <is>
          <t>11b. Gross income from other sources</t>
        </is>
      </c>
      <c r="D30" s="8" t="inlineStr">
        <is>
          <t>11b</t>
        </is>
      </c>
      <c r="E30" s="8" t="inlineStr">
        <is>
          <t>part_v_other_irs_filings.other_sources_gross_income</t>
        </is>
      </c>
      <c r="F30" s="8" t="inlineStr">
        <is>
          <t>high</t>
        </is>
      </c>
      <c r="G30" s="9" t="n">
        <v>86735</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162398</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163840</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165909</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167294</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183479</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271872</v>
      </c>
    </row>
    <row r="37">
      <c r="A37" s="8" t="inlineStr">
        <is>
          <t>Operating expenses (detail)</t>
        </is>
      </c>
      <c r="B37" s="8" t="inlineStr">
        <is>
          <t>B7</t>
        </is>
      </c>
      <c r="C37" s="8" t="inlineStr">
        <is>
          <t>11b. Fees for services: legal</t>
        </is>
      </c>
      <c r="D37" s="8" t="inlineStr">
        <is>
          <t>11b</t>
        </is>
      </c>
      <c r="E37" s="8" t="inlineStr">
        <is>
          <t>part_ix_expenses.fees_legal</t>
        </is>
      </c>
      <c r="F37" s="8" t="inlineStr">
        <is>
          <t>high</t>
        </is>
      </c>
      <c r="G37" s="9" t="n">
        <v>2782</v>
      </c>
    </row>
    <row r="38">
      <c r="A38" s="8" t="inlineStr">
        <is>
          <t>Operating expenses (detail)</t>
        </is>
      </c>
      <c r="B38" s="8" t="inlineStr">
        <is>
          <t>E7</t>
        </is>
      </c>
      <c r="C38" s="8" t="inlineStr">
        <is>
          <t>11b. Fees for services: legal</t>
        </is>
      </c>
      <c r="D38" s="8" t="inlineStr">
        <is>
          <t>11b</t>
        </is>
      </c>
      <c r="E38" s="8" t="inlineStr">
        <is>
          <t>part_ix_expenses.fees_legal</t>
        </is>
      </c>
      <c r="F38" s="8" t="inlineStr">
        <is>
          <t>high</t>
        </is>
      </c>
      <c r="G38" s="9" t="n">
        <v>2875</v>
      </c>
    </row>
    <row r="39">
      <c r="A39" s="8" t="inlineStr">
        <is>
          <t>Operating expenses (detail)</t>
        </is>
      </c>
      <c r="B39" s="8" t="inlineStr">
        <is>
          <t>F7</t>
        </is>
      </c>
      <c r="C39" s="8" t="inlineStr">
        <is>
          <t>11b. Fees for services: legal</t>
        </is>
      </c>
      <c r="D39" s="8" t="inlineStr">
        <is>
          <t>11b</t>
        </is>
      </c>
      <c r="E39" s="8" t="inlineStr">
        <is>
          <t>part_ix_expenses.fees_legal</t>
        </is>
      </c>
      <c r="F39" s="8" t="inlineStr">
        <is>
          <t>high</t>
        </is>
      </c>
      <c r="G39" s="9" t="n">
        <v>2250</v>
      </c>
    </row>
    <row r="40">
      <c r="A40" s="8" t="inlineStr">
        <is>
          <t>Operating expenses (detail)</t>
        </is>
      </c>
      <c r="B40" s="8" t="inlineStr">
        <is>
          <t>B8</t>
        </is>
      </c>
      <c r="C40" s="8" t="inlineStr">
        <is>
          <t>11c. Fees for services: accounting</t>
        </is>
      </c>
      <c r="D40" s="8" t="inlineStr">
        <is>
          <t>11c</t>
        </is>
      </c>
      <c r="E40" s="8" t="inlineStr">
        <is>
          <t>part_ix_expenses.fees_accounting</t>
        </is>
      </c>
      <c r="F40" s="8" t="inlineStr">
        <is>
          <t>high</t>
        </is>
      </c>
      <c r="G40" s="9" t="n">
        <v>14050</v>
      </c>
    </row>
    <row r="41">
      <c r="A41" s="8" t="inlineStr">
        <is>
          <t>Operating expenses (detail)</t>
        </is>
      </c>
      <c r="B41" s="8" t="inlineStr">
        <is>
          <t>C8</t>
        </is>
      </c>
      <c r="C41" s="8" t="inlineStr">
        <is>
          <t>11c. Fees for services: accounting</t>
        </is>
      </c>
      <c r="D41" s="8" t="inlineStr">
        <is>
          <t>11c</t>
        </is>
      </c>
      <c r="E41" s="8" t="inlineStr">
        <is>
          <t>part_ix_expenses.fees_accounting</t>
        </is>
      </c>
      <c r="F41" s="8" t="inlineStr">
        <is>
          <t>high</t>
        </is>
      </c>
      <c r="G41" s="9" t="n">
        <v>13200</v>
      </c>
    </row>
    <row r="42">
      <c r="A42" s="8" t="inlineStr">
        <is>
          <t>Operating expenses (detail)</t>
        </is>
      </c>
      <c r="B42" s="8" t="inlineStr">
        <is>
          <t>D8</t>
        </is>
      </c>
      <c r="C42" s="8" t="inlineStr">
        <is>
          <t>11c. Fees for services: accounting</t>
        </is>
      </c>
      <c r="D42" s="8" t="inlineStr">
        <is>
          <t>11c</t>
        </is>
      </c>
      <c r="E42" s="8" t="inlineStr">
        <is>
          <t>part_ix_expenses.fees_accounting</t>
        </is>
      </c>
      <c r="F42" s="8" t="inlineStr">
        <is>
          <t>high</t>
        </is>
      </c>
      <c r="G42" s="9" t="n">
        <v>13200</v>
      </c>
    </row>
    <row r="43">
      <c r="A43" s="8" t="inlineStr">
        <is>
          <t>Operating expenses (detail)</t>
        </is>
      </c>
      <c r="B43" s="8" t="inlineStr">
        <is>
          <t>E8</t>
        </is>
      </c>
      <c r="C43" s="8" t="inlineStr">
        <is>
          <t>11c. Fees for services: accounting</t>
        </is>
      </c>
      <c r="D43" s="8" t="inlineStr">
        <is>
          <t>11c</t>
        </is>
      </c>
      <c r="E43" s="8" t="inlineStr">
        <is>
          <t>part_ix_expenses.fees_accounting</t>
        </is>
      </c>
      <c r="F43" s="8" t="inlineStr">
        <is>
          <t>high</t>
        </is>
      </c>
      <c r="G43" s="9" t="n">
        <v>13000</v>
      </c>
    </row>
    <row r="44">
      <c r="A44" s="8" t="inlineStr">
        <is>
          <t>Operating expenses (detail)</t>
        </is>
      </c>
      <c r="B44" s="8" t="inlineStr">
        <is>
          <t>F8</t>
        </is>
      </c>
      <c r="C44" s="8" t="inlineStr">
        <is>
          <t>11c. Fees for services: accounting</t>
        </is>
      </c>
      <c r="D44" s="8" t="inlineStr">
        <is>
          <t>11c</t>
        </is>
      </c>
      <c r="E44" s="8" t="inlineStr">
        <is>
          <t>part_ix_expenses.fees_accounting</t>
        </is>
      </c>
      <c r="F44" s="8" t="inlineStr">
        <is>
          <t>high</t>
        </is>
      </c>
      <c r="G44" s="9" t="n">
        <v>13000</v>
      </c>
    </row>
    <row r="45">
      <c r="A45" s="8" t="inlineStr">
        <is>
          <t>Operating expenses (detail)</t>
        </is>
      </c>
      <c r="B45" s="8" t="inlineStr">
        <is>
          <t>G8</t>
        </is>
      </c>
      <c r="C45" s="8" t="inlineStr">
        <is>
          <t>11c. Fees for services: accounting</t>
        </is>
      </c>
      <c r="D45" s="8" t="inlineStr">
        <is>
          <t>11c</t>
        </is>
      </c>
      <c r="E45" s="8" t="inlineStr">
        <is>
          <t>part_ix_expenses.fees_accounting</t>
        </is>
      </c>
      <c r="F45" s="8" t="inlineStr">
        <is>
          <t>high</t>
        </is>
      </c>
      <c r="G45" s="9" t="n">
        <v>13000</v>
      </c>
    </row>
    <row r="46">
      <c r="A46" s="8" t="inlineStr">
        <is>
          <t>Operating expenses (detail)</t>
        </is>
      </c>
      <c r="B46" s="8" t="inlineStr">
        <is>
          <t>B9</t>
        </is>
      </c>
      <c r="C46" s="8" t="inlineStr">
        <is>
          <t>13. Office expenses</t>
        </is>
      </c>
      <c r="D46" s="8" t="inlineStr">
        <is>
          <t>13</t>
        </is>
      </c>
      <c r="E46" s="8" t="inlineStr">
        <is>
          <t>part_ix_expenses.office_expenses</t>
        </is>
      </c>
      <c r="F46" s="8" t="inlineStr">
        <is>
          <t>high</t>
        </is>
      </c>
      <c r="G46" s="9" t="n">
        <v>2007</v>
      </c>
    </row>
    <row r="47">
      <c r="A47" s="8" t="inlineStr">
        <is>
          <t>Operating expenses (detail)</t>
        </is>
      </c>
      <c r="B47" s="8" t="inlineStr">
        <is>
          <t>C9</t>
        </is>
      </c>
      <c r="C47" s="8" t="inlineStr">
        <is>
          <t>13. Office expenses</t>
        </is>
      </c>
      <c r="D47" s="8" t="inlineStr">
        <is>
          <t>13</t>
        </is>
      </c>
      <c r="E47" s="8" t="inlineStr">
        <is>
          <t>part_ix_expenses.office_expenses</t>
        </is>
      </c>
      <c r="F47" s="8" t="inlineStr">
        <is>
          <t>high</t>
        </is>
      </c>
      <c r="G47" s="9" t="n">
        <v>2243</v>
      </c>
    </row>
    <row r="48">
      <c r="A48" s="8" t="inlineStr">
        <is>
          <t>Operating expenses (detail)</t>
        </is>
      </c>
      <c r="B48" s="8" t="inlineStr">
        <is>
          <t>D9</t>
        </is>
      </c>
      <c r="C48" s="8" t="inlineStr">
        <is>
          <t>13. Office expenses</t>
        </is>
      </c>
      <c r="D48" s="8" t="inlineStr">
        <is>
          <t>13</t>
        </is>
      </c>
      <c r="E48" s="8" t="inlineStr">
        <is>
          <t>part_ix_expenses.office_expenses</t>
        </is>
      </c>
      <c r="F48" s="8" t="inlineStr">
        <is>
          <t>high</t>
        </is>
      </c>
      <c r="G48" s="9" t="n">
        <v>2956</v>
      </c>
    </row>
    <row r="49">
      <c r="A49" s="8" t="inlineStr">
        <is>
          <t>Operating expenses (detail)</t>
        </is>
      </c>
      <c r="B49" s="8" t="inlineStr">
        <is>
          <t>E9</t>
        </is>
      </c>
      <c r="C49" s="8" t="inlineStr">
        <is>
          <t>13. Office expenses</t>
        </is>
      </c>
      <c r="D49" s="8" t="inlineStr">
        <is>
          <t>13</t>
        </is>
      </c>
      <c r="E49" s="8" t="inlineStr">
        <is>
          <t>part_ix_expenses.office_expenses</t>
        </is>
      </c>
      <c r="F49" s="8" t="inlineStr">
        <is>
          <t>high</t>
        </is>
      </c>
      <c r="G49" s="9" t="n">
        <v>2961</v>
      </c>
    </row>
    <row r="50">
      <c r="A50" s="8" t="inlineStr">
        <is>
          <t>Operating expenses (detail)</t>
        </is>
      </c>
      <c r="B50" s="8" t="inlineStr">
        <is>
          <t>F9</t>
        </is>
      </c>
      <c r="C50" s="8" t="inlineStr">
        <is>
          <t>13. Office expenses</t>
        </is>
      </c>
      <c r="D50" s="8" t="inlineStr">
        <is>
          <t>13</t>
        </is>
      </c>
      <c r="E50" s="8" t="inlineStr">
        <is>
          <t>part_ix_expenses.office_expenses</t>
        </is>
      </c>
      <c r="F50" s="8" t="inlineStr">
        <is>
          <t>high</t>
        </is>
      </c>
      <c r="G50" s="9" t="n">
        <v>4469</v>
      </c>
    </row>
    <row r="51">
      <c r="A51" s="8" t="inlineStr">
        <is>
          <t>Operating expenses (detail)</t>
        </is>
      </c>
      <c r="B51" s="8" t="inlineStr">
        <is>
          <t>G9</t>
        </is>
      </c>
      <c r="C51" s="8" t="inlineStr">
        <is>
          <t>13. Office expenses</t>
        </is>
      </c>
      <c r="D51" s="8" t="inlineStr">
        <is>
          <t>13</t>
        </is>
      </c>
      <c r="E51" s="8" t="inlineStr">
        <is>
          <t>part_ix_expenses.office_expenses</t>
        </is>
      </c>
      <c r="F51" s="8" t="inlineStr">
        <is>
          <t>high</t>
        </is>
      </c>
      <c r="G51" s="9" t="n">
        <v>2414</v>
      </c>
    </row>
    <row r="52">
      <c r="A52" s="8" t="inlineStr">
        <is>
          <t>Operating expenses (detail)</t>
        </is>
      </c>
      <c r="B52" s="8" t="inlineStr">
        <is>
          <t>B10</t>
        </is>
      </c>
      <c r="C52" s="8" t="inlineStr">
        <is>
          <t>22. Depreciation, depletion, and amortization</t>
        </is>
      </c>
      <c r="D52" s="8" t="inlineStr">
        <is>
          <t>22</t>
        </is>
      </c>
      <c r="E52" s="8" t="inlineStr">
        <is>
          <t>part_ix_expenses.depreciation</t>
        </is>
      </c>
      <c r="F52" s="8" t="inlineStr">
        <is>
          <t>high</t>
        </is>
      </c>
      <c r="G52" s="9" t="n">
        <v>7521</v>
      </c>
    </row>
    <row r="53">
      <c r="A53" s="8" t="inlineStr">
        <is>
          <t>Operating expenses (detail)</t>
        </is>
      </c>
      <c r="B53" s="8" t="inlineStr">
        <is>
          <t>C10</t>
        </is>
      </c>
      <c r="C53" s="8" t="inlineStr">
        <is>
          <t>22. Depreciation, depletion, and amortization</t>
        </is>
      </c>
      <c r="D53" s="8" t="inlineStr">
        <is>
          <t>22</t>
        </is>
      </c>
      <c r="E53" s="8" t="inlineStr">
        <is>
          <t>part_ix_expenses.depreciation</t>
        </is>
      </c>
      <c r="F53" s="8" t="inlineStr">
        <is>
          <t>high</t>
        </is>
      </c>
      <c r="G53" s="9" t="n">
        <v>2579</v>
      </c>
    </row>
    <row r="54">
      <c r="A54" s="8" t="inlineStr">
        <is>
          <t>Operating expenses (detail)</t>
        </is>
      </c>
      <c r="B54" s="8" t="inlineStr">
        <is>
          <t>D10</t>
        </is>
      </c>
      <c r="C54" s="8" t="inlineStr">
        <is>
          <t>22. Depreciation, depletion, and amortization</t>
        </is>
      </c>
      <c r="D54" s="8" t="inlineStr">
        <is>
          <t>22</t>
        </is>
      </c>
      <c r="E54" s="8" t="inlineStr">
        <is>
          <t>part_ix_expenses.depreciation</t>
        </is>
      </c>
      <c r="F54" s="8" t="inlineStr">
        <is>
          <t>high</t>
        </is>
      </c>
      <c r="G54" s="9" t="n">
        <v>4240</v>
      </c>
    </row>
    <row r="55">
      <c r="A55" s="8" t="inlineStr">
        <is>
          <t>Operating expenses (detail)</t>
        </is>
      </c>
      <c r="B55" s="8" t="inlineStr">
        <is>
          <t>E10</t>
        </is>
      </c>
      <c r="C55" s="8" t="inlineStr">
        <is>
          <t>22. Depreciation, depletion, and amortization</t>
        </is>
      </c>
      <c r="D55" s="8" t="inlineStr">
        <is>
          <t>22</t>
        </is>
      </c>
      <c r="E55" s="8" t="inlineStr">
        <is>
          <t>part_ix_expenses.depreciation</t>
        </is>
      </c>
      <c r="F55" s="8" t="inlineStr">
        <is>
          <t>high</t>
        </is>
      </c>
      <c r="G55" s="9" t="n">
        <v>9725</v>
      </c>
    </row>
    <row r="56">
      <c r="A56" s="8" t="inlineStr">
        <is>
          <t>Operating expenses (detail)</t>
        </is>
      </c>
      <c r="B56" s="8" t="inlineStr">
        <is>
          <t>F10</t>
        </is>
      </c>
      <c r="C56" s="8" t="inlineStr">
        <is>
          <t>22. Depreciation, depletion, and amortization</t>
        </is>
      </c>
      <c r="D56" s="8" t="inlineStr">
        <is>
          <t>22</t>
        </is>
      </c>
      <c r="E56" s="8" t="inlineStr">
        <is>
          <t>part_ix_expenses.depreciation</t>
        </is>
      </c>
      <c r="F56" s="8" t="inlineStr">
        <is>
          <t>high</t>
        </is>
      </c>
      <c r="G56" s="9" t="n">
        <v>18313</v>
      </c>
    </row>
    <row r="57">
      <c r="A57" s="8" t="inlineStr">
        <is>
          <t>Operating expenses (detail)</t>
        </is>
      </c>
      <c r="B57" s="8" t="inlineStr">
        <is>
          <t>G10</t>
        </is>
      </c>
      <c r="C57" s="8" t="inlineStr">
        <is>
          <t>22. Depreciation, depletion, and amortization</t>
        </is>
      </c>
      <c r="D57" s="8" t="inlineStr">
        <is>
          <t>22</t>
        </is>
      </c>
      <c r="E57" s="8" t="inlineStr">
        <is>
          <t>part_ix_expenses.depreciation</t>
        </is>
      </c>
      <c r="F57" s="8" t="inlineStr">
        <is>
          <t>high</t>
        </is>
      </c>
      <c r="G57" s="9" t="n">
        <v>16933</v>
      </c>
    </row>
    <row r="58">
      <c r="A58" s="8" t="inlineStr">
        <is>
          <t>Operating expenses (detail)</t>
        </is>
      </c>
      <c r="B58" s="8" t="inlineStr">
        <is>
          <t>B11</t>
        </is>
      </c>
      <c r="C58" s="8" t="inlineStr">
        <is>
          <t>23. Insurance</t>
        </is>
      </c>
      <c r="D58" s="8" t="inlineStr">
        <is>
          <t>23</t>
        </is>
      </c>
      <c r="E58" s="8" t="inlineStr">
        <is>
          <t>part_ix_expenses.insurance</t>
        </is>
      </c>
      <c r="F58" s="8" t="inlineStr">
        <is>
          <t>high</t>
        </is>
      </c>
      <c r="G58" s="9" t="n">
        <v>4384</v>
      </c>
    </row>
    <row r="59">
      <c r="A59" s="8" t="inlineStr">
        <is>
          <t>Operating expenses (detail)</t>
        </is>
      </c>
      <c r="B59" s="8" t="inlineStr">
        <is>
          <t>C11</t>
        </is>
      </c>
      <c r="C59" s="8" t="inlineStr">
        <is>
          <t>23. Insurance</t>
        </is>
      </c>
      <c r="D59" s="8" t="inlineStr">
        <is>
          <t>23</t>
        </is>
      </c>
      <c r="E59" s="8" t="inlineStr">
        <is>
          <t>part_ix_expenses.insurance</t>
        </is>
      </c>
      <c r="F59" s="8" t="inlineStr">
        <is>
          <t>high</t>
        </is>
      </c>
      <c r="G59" s="9" t="n">
        <v>10</v>
      </c>
    </row>
    <row r="60">
      <c r="A60" s="8" t="inlineStr">
        <is>
          <t>Operating expenses (detail)</t>
        </is>
      </c>
      <c r="B60" s="8" t="inlineStr">
        <is>
          <t>E11</t>
        </is>
      </c>
      <c r="C60" s="8" t="inlineStr">
        <is>
          <t>23. Insurance</t>
        </is>
      </c>
      <c r="D60" s="8" t="inlineStr">
        <is>
          <t>23</t>
        </is>
      </c>
      <c r="E60" s="8" t="inlineStr">
        <is>
          <t>part_ix_expenses.insurance</t>
        </is>
      </c>
      <c r="F60" s="8" t="inlineStr">
        <is>
          <t>high</t>
        </is>
      </c>
      <c r="G60" s="9" t="n">
        <v>6188</v>
      </c>
    </row>
    <row r="61">
      <c r="A61" s="8" t="inlineStr">
        <is>
          <t>Operating expenses (detail)</t>
        </is>
      </c>
      <c r="B61" s="8" t="inlineStr">
        <is>
          <t>F11</t>
        </is>
      </c>
      <c r="C61" s="8" t="inlineStr">
        <is>
          <t>23. Insurance</t>
        </is>
      </c>
      <c r="D61" s="8" t="inlineStr">
        <is>
          <t>23</t>
        </is>
      </c>
      <c r="E61" s="8" t="inlineStr">
        <is>
          <t>part_ix_expenses.insurance</t>
        </is>
      </c>
      <c r="F61" s="8" t="inlineStr">
        <is>
          <t>high</t>
        </is>
      </c>
      <c r="G61" s="9" t="n">
        <v>7084</v>
      </c>
    </row>
    <row r="62">
      <c r="A62" s="8" t="inlineStr">
        <is>
          <t>Operating expenses (detail)</t>
        </is>
      </c>
      <c r="B62" s="8" t="inlineStr">
        <is>
          <t>G11</t>
        </is>
      </c>
      <c r="C62" s="8" t="inlineStr">
        <is>
          <t>23. Insurance</t>
        </is>
      </c>
      <c r="D62" s="8" t="inlineStr">
        <is>
          <t>23</t>
        </is>
      </c>
      <c r="E62" s="8" t="inlineStr">
        <is>
          <t>part_ix_expenses.insurance</t>
        </is>
      </c>
      <c r="F62" s="8" t="inlineStr">
        <is>
          <t>high</t>
        </is>
      </c>
      <c r="G62" s="9" t="n">
        <v>8128</v>
      </c>
    </row>
    <row r="63">
      <c r="A63" s="8" t="inlineStr">
        <is>
          <t>Operating expenses (detail)</t>
        </is>
      </c>
      <c r="B63" s="8" t="inlineStr">
        <is>
          <t>B16</t>
        </is>
      </c>
      <c r="C63" s="8" t="inlineStr">
        <is>
          <t>24e. All other expenses</t>
        </is>
      </c>
      <c r="D63" s="8" t="inlineStr">
        <is>
          <t>24e</t>
        </is>
      </c>
      <c r="E63" s="8" t="inlineStr">
        <is>
          <t>part_ix_expenses.all_other_expenses</t>
        </is>
      </c>
      <c r="F63" s="8" t="inlineStr">
        <is>
          <t>high</t>
        </is>
      </c>
      <c r="G63" s="9" t="n">
        <v>566</v>
      </c>
    </row>
    <row r="64">
      <c r="A64" s="8" t="inlineStr">
        <is>
          <t>Operating expenses (detail)</t>
        </is>
      </c>
      <c r="B64" s="8" t="inlineStr">
        <is>
          <t>C16</t>
        </is>
      </c>
      <c r="C64" s="8" t="inlineStr">
        <is>
          <t>24e. All other expenses</t>
        </is>
      </c>
      <c r="D64" s="8" t="inlineStr">
        <is>
          <t>24e</t>
        </is>
      </c>
      <c r="E64" s="8" t="inlineStr">
        <is>
          <t>part_ix_expenses.all_other_expenses</t>
        </is>
      </c>
      <c r="F64" s="8" t="inlineStr">
        <is>
          <t>high</t>
        </is>
      </c>
      <c r="G64" s="9" t="n">
        <v>1019</v>
      </c>
    </row>
    <row r="65">
      <c r="A65" s="8" t="inlineStr">
        <is>
          <t>Operating expenses (detail)</t>
        </is>
      </c>
      <c r="B65" s="8" t="inlineStr">
        <is>
          <t>D16</t>
        </is>
      </c>
      <c r="C65" s="8" t="inlineStr">
        <is>
          <t>24e. All other expenses</t>
        </is>
      </c>
      <c r="D65" s="8" t="inlineStr">
        <is>
          <t>24e</t>
        </is>
      </c>
      <c r="E65" s="8" t="inlineStr">
        <is>
          <t>part_ix_expenses.all_other_expenses</t>
        </is>
      </c>
      <c r="F65" s="8" t="inlineStr">
        <is>
          <t>high</t>
        </is>
      </c>
      <c r="G65" s="9" t="n">
        <v>9109</v>
      </c>
    </row>
    <row r="66">
      <c r="A66" s="8" t="inlineStr">
        <is>
          <t>Operating expenses (detail)</t>
        </is>
      </c>
      <c r="B66" s="8" t="inlineStr">
        <is>
          <t>E16</t>
        </is>
      </c>
      <c r="C66" s="8" t="inlineStr">
        <is>
          <t>24e. All other expenses</t>
        </is>
      </c>
      <c r="D66" s="8" t="inlineStr">
        <is>
          <t>24e</t>
        </is>
      </c>
      <c r="E66" s="8" t="inlineStr">
        <is>
          <t>part_ix_expenses.all_other_expenses</t>
        </is>
      </c>
      <c r="F66" s="8" t="inlineStr">
        <is>
          <t>high</t>
        </is>
      </c>
      <c r="G66" s="9" t="n">
        <v>3754</v>
      </c>
    </row>
    <row r="67">
      <c r="A67" s="8" t="inlineStr">
        <is>
          <t>Operating expenses (detail)</t>
        </is>
      </c>
      <c r="B67" s="8" t="inlineStr">
        <is>
          <t>F16</t>
        </is>
      </c>
      <c r="C67" s="8" t="inlineStr">
        <is>
          <t>24e. All other expenses</t>
        </is>
      </c>
      <c r="D67" s="8" t="inlineStr">
        <is>
          <t>24e</t>
        </is>
      </c>
      <c r="E67" s="8" t="inlineStr">
        <is>
          <t>part_ix_expenses.all_other_expenses</t>
        </is>
      </c>
      <c r="F67" s="8" t="inlineStr">
        <is>
          <t>high</t>
        </is>
      </c>
      <c r="G67" s="9" t="n">
        <v>5983</v>
      </c>
    </row>
    <row r="68">
      <c r="A68" s="8" t="inlineStr">
        <is>
          <t>Operating expenses (detail)</t>
        </is>
      </c>
      <c r="B68" s="8" t="inlineStr">
        <is>
          <t>G16</t>
        </is>
      </c>
      <c r="C68" s="8" t="inlineStr">
        <is>
          <t>24e. All other expenses</t>
        </is>
      </c>
      <c r="D68" s="8" t="inlineStr">
        <is>
          <t>24e</t>
        </is>
      </c>
      <c r="E68" s="8" t="inlineStr">
        <is>
          <t>part_ix_expenses.all_other_expenses</t>
        </is>
      </c>
      <c r="F68" s="8" t="inlineStr">
        <is>
          <t>high</t>
        </is>
      </c>
      <c r="G68" s="9" t="n">
        <v>4077</v>
      </c>
    </row>
    <row r="69">
      <c r="A69" s="8" t="inlineStr">
        <is>
          <t>Balance sheet (detail)</t>
        </is>
      </c>
      <c r="B69" s="8" t="inlineStr">
        <is>
          <t>B7</t>
        </is>
      </c>
      <c r="C69" s="8" t="inlineStr">
        <is>
          <t>1. Cash - non-interest-bearing</t>
        </is>
      </c>
      <c r="D69" s="8" t="inlineStr">
        <is>
          <t>1E</t>
        </is>
      </c>
      <c r="E69" s="8" t="inlineStr">
        <is>
          <t>part_x_balance_sheet.cash_noninterest_eoy</t>
        </is>
      </c>
      <c r="F69" s="8" t="inlineStr">
        <is>
          <t>high</t>
        </is>
      </c>
      <c r="G69" s="9" t="n">
        <v>551612</v>
      </c>
    </row>
    <row r="70">
      <c r="A70" s="8" t="inlineStr">
        <is>
          <t>Balance sheet (detail)</t>
        </is>
      </c>
      <c r="B70" s="8" t="inlineStr">
        <is>
          <t>C7</t>
        </is>
      </c>
      <c r="C70" s="8" t="inlineStr">
        <is>
          <t>1. Cash - non-interest-bearing</t>
        </is>
      </c>
      <c r="D70" s="8" t="inlineStr">
        <is>
          <t>1E</t>
        </is>
      </c>
      <c r="E70" s="8" t="inlineStr">
        <is>
          <t>part_x_balance_sheet.cash_noninterest_eoy</t>
        </is>
      </c>
      <c r="F70" s="8" t="inlineStr">
        <is>
          <t>high</t>
        </is>
      </c>
      <c r="G70" s="9" t="n">
        <v>1062595</v>
      </c>
    </row>
    <row r="71">
      <c r="A71" s="8" t="inlineStr">
        <is>
          <t>Balance sheet (detail)</t>
        </is>
      </c>
      <c r="B71" s="8" t="inlineStr">
        <is>
          <t>D7</t>
        </is>
      </c>
      <c r="C71" s="8" t="inlineStr">
        <is>
          <t>1. Cash - non-interest-bearing</t>
        </is>
      </c>
      <c r="D71" s="8" t="inlineStr">
        <is>
          <t>1E</t>
        </is>
      </c>
      <c r="E71" s="8" t="inlineStr">
        <is>
          <t>part_x_balance_sheet.cash_noninterest_eoy</t>
        </is>
      </c>
      <c r="F71" s="8" t="inlineStr">
        <is>
          <t>high</t>
        </is>
      </c>
      <c r="G71" s="9" t="n">
        <v>957685</v>
      </c>
    </row>
    <row r="72">
      <c r="A72" s="8" t="inlineStr">
        <is>
          <t>Balance sheet (detail)</t>
        </is>
      </c>
      <c r="B72" s="8" t="inlineStr">
        <is>
          <t>E7</t>
        </is>
      </c>
      <c r="C72" s="8" t="inlineStr">
        <is>
          <t>1. Cash - non-interest-bearing</t>
        </is>
      </c>
      <c r="D72" s="8" t="inlineStr">
        <is>
          <t>1E</t>
        </is>
      </c>
      <c r="E72" s="8" t="inlineStr">
        <is>
          <t>part_x_balance_sheet.cash_noninterest_eoy</t>
        </is>
      </c>
      <c r="F72" s="8" t="inlineStr">
        <is>
          <t>high</t>
        </is>
      </c>
      <c r="G72" s="9" t="n">
        <v>1438416</v>
      </c>
    </row>
    <row r="73">
      <c r="A73" s="8" t="inlineStr">
        <is>
          <t>Balance sheet (detail)</t>
        </is>
      </c>
      <c r="B73" s="8" t="inlineStr">
        <is>
          <t>F7</t>
        </is>
      </c>
      <c r="C73" s="8" t="inlineStr">
        <is>
          <t>1. Cash - non-interest-bearing</t>
        </is>
      </c>
      <c r="D73" s="8" t="inlineStr">
        <is>
          <t>1E</t>
        </is>
      </c>
      <c r="E73" s="8" t="inlineStr">
        <is>
          <t>part_x_balance_sheet.cash_noninterest_eoy</t>
        </is>
      </c>
      <c r="F73" s="8" t="inlineStr">
        <is>
          <t>high</t>
        </is>
      </c>
      <c r="G73" s="9" t="n">
        <v>1395329</v>
      </c>
    </row>
    <row r="74">
      <c r="A74" s="8" t="inlineStr">
        <is>
          <t>Balance sheet (detail)</t>
        </is>
      </c>
      <c r="B74" s="8" t="inlineStr">
        <is>
          <t>G7</t>
        </is>
      </c>
      <c r="C74" s="8" t="inlineStr">
        <is>
          <t>1. Cash - non-interest-bearing</t>
        </is>
      </c>
      <c r="D74" s="8" t="inlineStr">
        <is>
          <t>1E</t>
        </is>
      </c>
      <c r="E74" s="8" t="inlineStr">
        <is>
          <t>part_x_balance_sheet.cash_noninterest_eoy</t>
        </is>
      </c>
      <c r="F74" s="8" t="inlineStr">
        <is>
          <t>high</t>
        </is>
      </c>
      <c r="G74" s="9" t="n">
        <v>494909</v>
      </c>
    </row>
    <row r="75">
      <c r="A75" s="8" t="inlineStr">
        <is>
          <t>Balance sheet (detail)</t>
        </is>
      </c>
      <c r="B75" s="8" t="inlineStr">
        <is>
          <t>F8</t>
        </is>
      </c>
      <c r="C75" s="8" t="inlineStr">
        <is>
          <t>9. Prepaid expenses and deferred charges</t>
        </is>
      </c>
      <c r="D75" s="8" t="inlineStr">
        <is>
          <t>9E</t>
        </is>
      </c>
      <c r="E75" s="8" t="inlineStr">
        <is>
          <t>part_x_balance_sheet.prepaid_expenses_eoy</t>
        </is>
      </c>
      <c r="F75" s="8" t="inlineStr">
        <is>
          <t>high</t>
        </is>
      </c>
      <c r="G75" s="9" t="n">
        <v>20000</v>
      </c>
    </row>
    <row r="76">
      <c r="A76" s="8" t="inlineStr">
        <is>
          <t>Balance sheet (detail)</t>
        </is>
      </c>
      <c r="B76" s="8" t="inlineStr">
        <is>
          <t>G8</t>
        </is>
      </c>
      <c r="C76" s="8" t="inlineStr">
        <is>
          <t>9. Prepaid expenses and deferred charges</t>
        </is>
      </c>
      <c r="D76" s="8" t="inlineStr">
        <is>
          <t>9E</t>
        </is>
      </c>
      <c r="E76" s="8" t="inlineStr">
        <is>
          <t>part_x_balance_sheet.prepaid_expenses_eoy</t>
        </is>
      </c>
      <c r="F76" s="8" t="inlineStr">
        <is>
          <t>high</t>
        </is>
      </c>
      <c r="G76" s="9" t="n">
        <v>0</v>
      </c>
    </row>
    <row r="77">
      <c r="A77" s="8" t="inlineStr">
        <is>
          <t>Balance sheet (detail)</t>
        </is>
      </c>
      <c r="B77" s="8" t="inlineStr">
        <is>
          <t>B9</t>
        </is>
      </c>
      <c r="C77" s="8" t="inlineStr">
        <is>
          <t>10c. Land, buildings, and equipment, net</t>
        </is>
      </c>
      <c r="D77" s="8" t="inlineStr">
        <is>
          <t>10cE</t>
        </is>
      </c>
      <c r="E77" s="8" t="inlineStr">
        <is>
          <t>part_x_balance_sheet.land_bldg_equip_net_eoy</t>
        </is>
      </c>
      <c r="F77" s="8" t="inlineStr">
        <is>
          <t>high</t>
        </is>
      </c>
      <c r="G77" s="9" t="n">
        <v>5348</v>
      </c>
    </row>
    <row r="78">
      <c r="A78" s="8" t="inlineStr">
        <is>
          <t>Balance sheet (detail)</t>
        </is>
      </c>
      <c r="B78" s="8" t="inlineStr">
        <is>
          <t>C9</t>
        </is>
      </c>
      <c r="C78" s="8" t="inlineStr">
        <is>
          <t>10c. Land, buildings, and equipment, net</t>
        </is>
      </c>
      <c r="D78" s="8" t="inlineStr">
        <is>
          <t>10cE</t>
        </is>
      </c>
      <c r="E78" s="8" t="inlineStr">
        <is>
          <t>part_x_balance_sheet.land_bldg_equip_net_eoy</t>
        </is>
      </c>
      <c r="F78" s="8" t="inlineStr">
        <is>
          <t>high</t>
        </is>
      </c>
      <c r="G78" s="9" t="n">
        <v>2769</v>
      </c>
    </row>
    <row r="79">
      <c r="A79" s="8" t="inlineStr">
        <is>
          <t>Balance sheet (detail)</t>
        </is>
      </c>
      <c r="B79" s="8" t="inlineStr">
        <is>
          <t>D9</t>
        </is>
      </c>
      <c r="C79" s="8" t="inlineStr">
        <is>
          <t>10c. Land, buildings, and equipment, net</t>
        </is>
      </c>
      <c r="D79" s="8" t="inlineStr">
        <is>
          <t>10cE</t>
        </is>
      </c>
      <c r="E79" s="8" t="inlineStr">
        <is>
          <t>part_x_balance_sheet.land_bldg_equip_net_eoy</t>
        </is>
      </c>
      <c r="F79" s="8" t="inlineStr">
        <is>
          <t>high</t>
        </is>
      </c>
      <c r="G79" s="9" t="n">
        <v>121861</v>
      </c>
    </row>
    <row r="80">
      <c r="A80" s="8" t="inlineStr">
        <is>
          <t>Balance sheet (detail)</t>
        </is>
      </c>
      <c r="B80" s="8" t="inlineStr">
        <is>
          <t>E9</t>
        </is>
      </c>
      <c r="C80" s="8" t="inlineStr">
        <is>
          <t>10c. Land, buildings, and equipment, net</t>
        </is>
      </c>
      <c r="D80" s="8" t="inlineStr">
        <is>
          <t>10cE</t>
        </is>
      </c>
      <c r="E80" s="8" t="inlineStr">
        <is>
          <t>part_x_balance_sheet.land_bldg_equip_net_eoy</t>
        </is>
      </c>
      <c r="F80" s="8" t="inlineStr">
        <is>
          <t>high</t>
        </is>
      </c>
      <c r="G80" s="9" t="n">
        <v>41030</v>
      </c>
    </row>
    <row r="81">
      <c r="A81" s="8" t="inlineStr">
        <is>
          <t>Balance sheet (detail)</t>
        </is>
      </c>
      <c r="B81" s="8" t="inlineStr">
        <is>
          <t>F9</t>
        </is>
      </c>
      <c r="C81" s="8" t="inlineStr">
        <is>
          <t>10c. Land, buildings, and equipment, net</t>
        </is>
      </c>
      <c r="D81" s="8" t="inlineStr">
        <is>
          <t>10cE</t>
        </is>
      </c>
      <c r="E81" s="8" t="inlineStr">
        <is>
          <t>part_x_balance_sheet.land_bldg_equip_net_eoy</t>
        </is>
      </c>
      <c r="F81" s="8" t="inlineStr">
        <is>
          <t>high</t>
        </is>
      </c>
      <c r="G81" s="9" t="n">
        <v>42333</v>
      </c>
    </row>
    <row r="82">
      <c r="A82" s="8" t="inlineStr">
        <is>
          <t>Balance sheet (detail)</t>
        </is>
      </c>
      <c r="B82" s="8" t="inlineStr">
        <is>
          <t>G9</t>
        </is>
      </c>
      <c r="C82" s="8" t="inlineStr">
        <is>
          <t>10c. Land, buildings, and equipment, net</t>
        </is>
      </c>
      <c r="D82" s="8" t="inlineStr">
        <is>
          <t>10cE</t>
        </is>
      </c>
      <c r="E82" s="8" t="inlineStr">
        <is>
          <t>part_x_balance_sheet.land_bldg_equip_net_eoy</t>
        </is>
      </c>
      <c r="F82" s="8" t="inlineStr">
        <is>
          <t>high</t>
        </is>
      </c>
      <c r="G82" s="9" t="n">
        <v>467205</v>
      </c>
    </row>
    <row r="83">
      <c r="A83" s="8" t="inlineStr">
        <is>
          <t>Balance sheet (detail)</t>
        </is>
      </c>
      <c r="B83" s="8" t="inlineStr">
        <is>
          <t>G10</t>
        </is>
      </c>
      <c r="C83" s="8" t="inlineStr">
        <is>
          <t>12. Investments - other securities</t>
        </is>
      </c>
      <c r="D83" s="8" t="inlineStr">
        <is>
          <t>12E</t>
        </is>
      </c>
      <c r="E83" s="8" t="inlineStr">
        <is>
          <t>part_x_balance_sheet.investments_other_securities_eoy</t>
        </is>
      </c>
      <c r="F83" s="8" t="inlineStr">
        <is>
          <t>high</t>
        </is>
      </c>
      <c r="G83" s="9" t="n">
        <v>3522902</v>
      </c>
    </row>
    <row r="84">
      <c r="A84" s="8" t="inlineStr">
        <is>
          <t>Balance sheet (detail)</t>
        </is>
      </c>
      <c r="B84" s="8" t="inlineStr">
        <is>
          <t>B17</t>
        </is>
      </c>
      <c r="C84" s="8" t="inlineStr">
        <is>
          <t>27. Net assets without donor restrictions</t>
        </is>
      </c>
      <c r="D84" s="8" t="inlineStr">
        <is>
          <t>27E</t>
        </is>
      </c>
      <c r="E84" s="8" t="inlineStr">
        <is>
          <t>part_x_balance_sheet.net_assets_no_donor_restriction_eoy</t>
        </is>
      </c>
      <c r="F84" s="8" t="inlineStr">
        <is>
          <t>high</t>
        </is>
      </c>
      <c r="G84" s="9" t="n">
        <v>556960</v>
      </c>
    </row>
    <row r="85">
      <c r="A85" s="8" t="inlineStr">
        <is>
          <t>Balance sheet (detail)</t>
        </is>
      </c>
      <c r="B85" s="8" t="inlineStr">
        <is>
          <t>C17</t>
        </is>
      </c>
      <c r="C85" s="8" t="inlineStr">
        <is>
          <t>27. Net assets without donor restrictions</t>
        </is>
      </c>
      <c r="D85" s="8" t="inlineStr">
        <is>
          <t>27E</t>
        </is>
      </c>
      <c r="E85" s="8" t="inlineStr">
        <is>
          <t>part_x_balance_sheet.net_assets_no_donor_restriction_eoy</t>
        </is>
      </c>
      <c r="F85" s="8" t="inlineStr">
        <is>
          <t>high</t>
        </is>
      </c>
      <c r="G85" s="9" t="n">
        <v>1065364</v>
      </c>
    </row>
    <row r="86">
      <c r="A86" s="8" t="inlineStr">
        <is>
          <t>Balance sheet (detail)</t>
        </is>
      </c>
      <c r="B86" s="8" t="inlineStr">
        <is>
          <t>D17</t>
        </is>
      </c>
      <c r="C86" s="8" t="inlineStr">
        <is>
          <t>27. Net assets without donor restrictions</t>
        </is>
      </c>
      <c r="D86" s="8" t="inlineStr">
        <is>
          <t>27E</t>
        </is>
      </c>
      <c r="E86" s="8" t="inlineStr">
        <is>
          <t>part_x_balance_sheet.net_assets_no_donor_restriction_eoy</t>
        </is>
      </c>
      <c r="F86" s="8" t="inlineStr">
        <is>
          <t>high</t>
        </is>
      </c>
      <c r="G86" s="9" t="n">
        <v>1079546</v>
      </c>
    </row>
    <row r="87">
      <c r="A87" s="8" t="inlineStr">
        <is>
          <t>Balance sheet (detail)</t>
        </is>
      </c>
      <c r="B87" s="8" t="inlineStr">
        <is>
          <t>E17</t>
        </is>
      </c>
      <c r="C87" s="8" t="inlineStr">
        <is>
          <t>27. Net assets without donor restrictions</t>
        </is>
      </c>
      <c r="D87" s="8" t="inlineStr">
        <is>
          <t>27E</t>
        </is>
      </c>
      <c r="E87" s="8" t="inlineStr">
        <is>
          <t>part_x_balance_sheet.net_assets_no_donor_restriction_eoy</t>
        </is>
      </c>
      <c r="F87" s="8" t="inlineStr">
        <is>
          <t>high</t>
        </is>
      </c>
      <c r="G87" s="9" t="n">
        <v>1479446</v>
      </c>
    </row>
    <row r="88">
      <c r="A88" s="8" t="inlineStr">
        <is>
          <t>Balance sheet (detail)</t>
        </is>
      </c>
      <c r="B88" s="8" t="inlineStr">
        <is>
          <t>F17</t>
        </is>
      </c>
      <c r="C88" s="8" t="inlineStr">
        <is>
          <t>27. Net assets without donor restrictions</t>
        </is>
      </c>
      <c r="D88" s="8" t="inlineStr">
        <is>
          <t>27E</t>
        </is>
      </c>
      <c r="E88" s="8" t="inlineStr">
        <is>
          <t>part_x_balance_sheet.net_assets_no_donor_restriction_eoy</t>
        </is>
      </c>
      <c r="F88" s="8" t="inlineStr">
        <is>
          <t>high</t>
        </is>
      </c>
      <c r="G88" s="9" t="n">
        <v>1457662</v>
      </c>
    </row>
    <row r="89">
      <c r="A89" s="8" t="inlineStr">
        <is>
          <t>Balance sheet (detail)</t>
        </is>
      </c>
      <c r="B89" s="8" t="inlineStr">
        <is>
          <t>G17</t>
        </is>
      </c>
      <c r="C89" s="8" t="inlineStr">
        <is>
          <t>27. Net assets without donor restrictions</t>
        </is>
      </c>
      <c r="D89" s="8" t="inlineStr">
        <is>
          <t>27E</t>
        </is>
      </c>
      <c r="E89" s="8" t="inlineStr">
        <is>
          <t>part_x_balance_sheet.net_assets_no_donor_restriction_eoy</t>
        </is>
      </c>
      <c r="F89" s="8" t="inlineStr">
        <is>
          <t>high</t>
        </is>
      </c>
      <c r="G89" s="9" t="n">
        <v>4485016</v>
      </c>
    </row>
    <row r="90">
      <c r="A90" s="8" t="inlineStr">
        <is>
          <t>Net-assets reconciliation</t>
        </is>
      </c>
      <c r="B90" s="8" t="inlineStr">
        <is>
          <t>B7</t>
        </is>
      </c>
      <c r="C90" s="8" t="inlineStr">
        <is>
          <t>4. Net assets, beginning of year</t>
        </is>
      </c>
      <c r="D90" s="8" t="inlineStr">
        <is>
          <t>Part XI line 4</t>
        </is>
      </c>
      <c r="E90" s="8" t="inlineStr">
        <is>
          <t>part_xi_reconciliation.net_assets_boy</t>
        </is>
      </c>
      <c r="F90" s="8" t="inlineStr">
        <is>
          <t>high</t>
        </is>
      </c>
      <c r="G90" s="9" t="n">
        <v>519816</v>
      </c>
    </row>
    <row r="91">
      <c r="A91" s="8" t="inlineStr">
        <is>
          <t>Net-assets reconciliation</t>
        </is>
      </c>
      <c r="B91" s="8" t="inlineStr">
        <is>
          <t>C7</t>
        </is>
      </c>
      <c r="C91" s="8" t="inlineStr">
        <is>
          <t>4. Net assets, beginning of year</t>
        </is>
      </c>
      <c r="D91" s="8" t="inlineStr">
        <is>
          <t>Part XI line 4</t>
        </is>
      </c>
      <c r="E91" s="8" t="inlineStr">
        <is>
          <t>part_xi_reconciliation.net_assets_boy</t>
        </is>
      </c>
      <c r="F91" s="8" t="inlineStr">
        <is>
          <t>high</t>
        </is>
      </c>
      <c r="G91" s="9" t="n">
        <v>556960</v>
      </c>
    </row>
    <row r="92">
      <c r="A92" s="8" t="inlineStr">
        <is>
          <t>Net-assets reconciliation</t>
        </is>
      </c>
      <c r="B92" s="8" t="inlineStr">
        <is>
          <t>D7</t>
        </is>
      </c>
      <c r="C92" s="8" t="inlineStr">
        <is>
          <t>4. Net assets, beginning of year</t>
        </is>
      </c>
      <c r="D92" s="8" t="inlineStr">
        <is>
          <t>Part XI line 4</t>
        </is>
      </c>
      <c r="E92" s="8" t="inlineStr">
        <is>
          <t>part_xi_reconciliation.net_assets_boy</t>
        </is>
      </c>
      <c r="F92" s="8" t="inlineStr">
        <is>
          <t>high</t>
        </is>
      </c>
      <c r="G92" s="9" t="n">
        <v>1065364</v>
      </c>
    </row>
    <row r="93">
      <c r="A93" s="8" t="inlineStr">
        <is>
          <t>Net-assets reconciliation</t>
        </is>
      </c>
      <c r="B93" s="8" t="inlineStr">
        <is>
          <t>E7</t>
        </is>
      </c>
      <c r="C93" s="8" t="inlineStr">
        <is>
          <t>4. Net assets, beginning of year</t>
        </is>
      </c>
      <c r="D93" s="8" t="inlineStr">
        <is>
          <t>Part XI line 4</t>
        </is>
      </c>
      <c r="E93" s="8" t="inlineStr">
        <is>
          <t>part_xi_reconciliation.net_assets_boy</t>
        </is>
      </c>
      <c r="F93" s="8" t="inlineStr">
        <is>
          <t>high</t>
        </is>
      </c>
      <c r="G93" s="9" t="n">
        <v>1079546</v>
      </c>
    </row>
    <row r="94">
      <c r="A94" s="8" t="inlineStr">
        <is>
          <t>Net-assets reconciliation</t>
        </is>
      </c>
      <c r="B94" s="8" t="inlineStr">
        <is>
          <t>F7</t>
        </is>
      </c>
      <c r="C94" s="8" t="inlineStr">
        <is>
          <t>4. Net assets, beginning of year</t>
        </is>
      </c>
      <c r="D94" s="8" t="inlineStr">
        <is>
          <t>Part XI line 4</t>
        </is>
      </c>
      <c r="E94" s="8" t="inlineStr">
        <is>
          <t>part_xi_reconciliation.net_assets_boy</t>
        </is>
      </c>
      <c r="F94" s="8" t="inlineStr">
        <is>
          <t>high</t>
        </is>
      </c>
      <c r="G94" s="9" t="n">
        <v>1479446</v>
      </c>
    </row>
    <row r="95">
      <c r="A95" s="8" t="inlineStr">
        <is>
          <t>Net-assets reconciliation</t>
        </is>
      </c>
      <c r="B95" s="8" t="inlineStr">
        <is>
          <t>G7</t>
        </is>
      </c>
      <c r="C95" s="8" t="inlineStr">
        <is>
          <t>4. Net assets, beginning of year</t>
        </is>
      </c>
      <c r="D95" s="8" t="inlineStr">
        <is>
          <t>Part XI line 4</t>
        </is>
      </c>
      <c r="E95" s="8" t="inlineStr">
        <is>
          <t>part_xi_reconciliation.net_assets_boy</t>
        </is>
      </c>
      <c r="F95" s="8" t="inlineStr">
        <is>
          <t>high</t>
        </is>
      </c>
      <c r="G95" s="9" t="n">
        <v>1457662</v>
      </c>
    </row>
    <row r="96">
      <c r="A96" s="8" t="inlineStr">
        <is>
          <t>Net-assets reconciliation</t>
        </is>
      </c>
      <c r="B96" s="8" t="inlineStr">
        <is>
          <t>B8</t>
        </is>
      </c>
      <c r="C96" s="8" t="inlineStr">
        <is>
          <t>3. Revenue less expenses</t>
        </is>
      </c>
      <c r="D96" s="8" t="inlineStr">
        <is>
          <t>Part XI line 3</t>
        </is>
      </c>
      <c r="E96" s="8" t="inlineStr">
        <is>
          <t>part_xi_reconciliation.reconciliation_revenue_expenses</t>
        </is>
      </c>
      <c r="F96" s="8" t="inlineStr">
        <is>
          <t>high</t>
        </is>
      </c>
      <c r="G96" s="9" t="n">
        <v>40300</v>
      </c>
    </row>
    <row r="97">
      <c r="A97" s="8" t="inlineStr">
        <is>
          <t>Net-assets reconciliation</t>
        </is>
      </c>
      <c r="B97" s="8" t="inlineStr">
        <is>
          <t>C8</t>
        </is>
      </c>
      <c r="C97" s="8" t="inlineStr">
        <is>
          <t>3. Revenue less expenses</t>
        </is>
      </c>
      <c r="D97" s="8" t="inlineStr">
        <is>
          <t>Part XI line 3</t>
        </is>
      </c>
      <c r="E97" s="8" t="inlineStr">
        <is>
          <t>part_xi_reconciliation.reconciliation_revenue_expenses</t>
        </is>
      </c>
      <c r="F97" s="8" t="inlineStr">
        <is>
          <t>high</t>
        </is>
      </c>
      <c r="G97" s="9" t="n">
        <v>30183</v>
      </c>
    </row>
    <row r="98">
      <c r="A98" s="8" t="inlineStr">
        <is>
          <t>Net-assets reconciliation</t>
        </is>
      </c>
      <c r="B98" s="8" t="inlineStr">
        <is>
          <t>D8</t>
        </is>
      </c>
      <c r="C98" s="8" t="inlineStr">
        <is>
          <t>3. Revenue less expenses</t>
        </is>
      </c>
      <c r="D98" s="8" t="inlineStr">
        <is>
          <t>Part XI line 3</t>
        </is>
      </c>
      <c r="E98" s="8" t="inlineStr">
        <is>
          <t>part_xi_reconciliation.reconciliation_revenue_expenses</t>
        </is>
      </c>
      <c r="F98" s="8" t="inlineStr">
        <is>
          <t>high</t>
        </is>
      </c>
      <c r="G98" s="9" t="n">
        <v>14182</v>
      </c>
    </row>
    <row r="99">
      <c r="A99" s="8" t="inlineStr">
        <is>
          <t>Net-assets reconciliation</t>
        </is>
      </c>
      <c r="B99" s="8" t="inlineStr">
        <is>
          <t>E8</t>
        </is>
      </c>
      <c r="C99" s="8" t="inlineStr">
        <is>
          <t>3. Revenue less expenses</t>
        </is>
      </c>
      <c r="D99" s="8" t="inlineStr">
        <is>
          <t>Part XI line 3</t>
        </is>
      </c>
      <c r="E99" s="8" t="inlineStr">
        <is>
          <t>part_xi_reconciliation.reconciliation_revenue_expenses</t>
        </is>
      </c>
      <c r="F99" s="8" t="inlineStr">
        <is>
          <t>high</t>
        </is>
      </c>
      <c r="G99" s="9" t="n">
        <v>-346</v>
      </c>
    </row>
    <row r="100">
      <c r="A100" s="8" t="inlineStr">
        <is>
          <t>Net-assets reconciliation</t>
        </is>
      </c>
      <c r="B100" s="8" t="inlineStr">
        <is>
          <t>F8</t>
        </is>
      </c>
      <c r="C100" s="8" t="inlineStr">
        <is>
          <t>3. Revenue less expenses</t>
        </is>
      </c>
      <c r="D100" s="8" t="inlineStr">
        <is>
          <t>Part XI line 3</t>
        </is>
      </c>
      <c r="E100" s="8" t="inlineStr">
        <is>
          <t>part_xi_reconciliation.reconciliation_revenue_expenses</t>
        </is>
      </c>
      <c r="F100" s="8" t="inlineStr">
        <is>
          <t>high</t>
        </is>
      </c>
      <c r="G100" s="9" t="n">
        <v>-21784</v>
      </c>
    </row>
    <row r="101">
      <c r="A101" s="8" t="inlineStr">
        <is>
          <t>Net-assets reconciliation</t>
        </is>
      </c>
      <c r="B101" s="8" t="inlineStr">
        <is>
          <t>G8</t>
        </is>
      </c>
      <c r="C101" s="8" t="inlineStr">
        <is>
          <t>3. Revenue less expenses</t>
        </is>
      </c>
      <c r="D101" s="8" t="inlineStr">
        <is>
          <t>Part XI line 3</t>
        </is>
      </c>
      <c r="E101" s="8" t="inlineStr">
        <is>
          <t>part_xi_reconciliation.reconciliation_revenue_expenses</t>
        </is>
      </c>
      <c r="F101" s="8" t="inlineStr">
        <is>
          <t>high</t>
        </is>
      </c>
      <c r="G101" s="9" t="n">
        <v>80561</v>
      </c>
    </row>
    <row r="102">
      <c r="A102" s="8" t="inlineStr">
        <is>
          <t>Net-assets reconciliation</t>
        </is>
      </c>
      <c r="B102" s="8" t="inlineStr">
        <is>
          <t>B9</t>
        </is>
      </c>
      <c r="C102" s="8" t="inlineStr">
        <is>
          <t>8. Prior period adjustments</t>
        </is>
      </c>
      <c r="D102" s="8" t="inlineStr">
        <is>
          <t>Part XI line 8</t>
        </is>
      </c>
      <c r="E102" s="8" t="inlineStr">
        <is>
          <t>part_xi_reconciliation.prior_period_adjustments</t>
        </is>
      </c>
      <c r="F102" s="8" t="inlineStr">
        <is>
          <t>high</t>
        </is>
      </c>
      <c r="G102" s="9" t="n">
        <v>-3156</v>
      </c>
    </row>
    <row r="103">
      <c r="A103" s="8" t="inlineStr">
        <is>
          <t>Net-assets reconciliation</t>
        </is>
      </c>
      <c r="B103" s="8" t="inlineStr">
        <is>
          <t>C10</t>
        </is>
      </c>
      <c r="C103" s="8" t="inlineStr">
        <is>
          <t>9. Other changes in net assets</t>
        </is>
      </c>
      <c r="D103" s="8" t="inlineStr">
        <is>
          <t>Part XI line 9</t>
        </is>
      </c>
      <c r="E103" s="8" t="inlineStr">
        <is>
          <t>part_xi_reconciliation.other_changes_net_assets</t>
        </is>
      </c>
      <c r="F103" s="8" t="inlineStr">
        <is>
          <t>high</t>
        </is>
      </c>
      <c r="G103" s="9" t="n">
        <v>478221</v>
      </c>
    </row>
    <row r="104">
      <c r="A104" s="8" t="inlineStr">
        <is>
          <t>Net-assets reconciliation</t>
        </is>
      </c>
      <c r="B104" s="8" t="inlineStr">
        <is>
          <t>E10</t>
        </is>
      </c>
      <c r="C104" s="8" t="inlineStr">
        <is>
          <t>9. Other changes in net assets</t>
        </is>
      </c>
      <c r="D104" s="8" t="inlineStr">
        <is>
          <t>Part XI line 9</t>
        </is>
      </c>
      <c r="E104" s="8" t="inlineStr">
        <is>
          <t>part_xi_reconciliation.other_changes_net_assets</t>
        </is>
      </c>
      <c r="F104" s="8" t="inlineStr">
        <is>
          <t>high</t>
        </is>
      </c>
      <c r="G104" s="9" t="n">
        <v>400246</v>
      </c>
    </row>
    <row r="106">
      <c r="A106" s="29" t="inlineStr">
        <is>
          <t>C. Tie-out checks (filed vs computed; any nonzero variance is flagged red)</t>
        </is>
      </c>
      <c r="B106" s="7" t="n"/>
      <c r="C106" s="7" t="n"/>
      <c r="D106" s="7" t="n"/>
      <c r="E106" s="7" t="n"/>
      <c r="F106" s="7" t="n"/>
      <c r="G106" s="7" t="n"/>
      <c r="H106" s="7" t="n"/>
      <c r="I106" s="7" t="n"/>
      <c r="J106" s="7" t="n"/>
      <c r="K106" s="7" t="n"/>
    </row>
    <row r="107">
      <c r="A107" s="5" t="inlineStr">
        <is>
          <t>Tab</t>
        </is>
      </c>
      <c r="B107" s="5" t="inlineStr">
        <is>
          <t>Check</t>
        </is>
      </c>
      <c r="C107" s="5" t="inlineStr">
        <is>
          <t>Fiscal year</t>
        </is>
      </c>
      <c r="D107" s="5" t="inlineStr">
        <is>
          <t>Filed</t>
        </is>
      </c>
      <c r="E107" s="5" t="inlineStr">
        <is>
          <t>Computed</t>
        </is>
      </c>
      <c r="F107" s="5" t="inlineStr">
        <is>
          <t>Variance (computed - filed)</t>
        </is>
      </c>
    </row>
    <row r="108">
      <c r="A108" s="18" t="inlineStr">
        <is>
          <t>Revenue (detail)</t>
        </is>
      </c>
      <c r="B108" s="18" t="inlineStr">
        <is>
          <t>12. Total revenue</t>
        </is>
      </c>
      <c r="C108" s="18" t="inlineStr">
        <is>
          <t>FY2020</t>
        </is>
      </c>
      <c r="D108" s="9" t="n">
        <v>162398</v>
      </c>
      <c r="E108" s="9">
        <f>'Revenue (detail)'!B13</f>
        <v/>
      </c>
      <c r="F108" s="9">
        <f>E108-D108</f>
        <v/>
      </c>
    </row>
    <row r="109">
      <c r="A109" s="18" t="inlineStr">
        <is>
          <t>Revenue (detail)</t>
        </is>
      </c>
      <c r="B109" s="18" t="inlineStr">
        <is>
          <t>12. Total revenue</t>
        </is>
      </c>
      <c r="C109" s="18" t="inlineStr">
        <is>
          <t>FY2021</t>
        </is>
      </c>
      <c r="D109" s="9" t="n">
        <v>163840</v>
      </c>
      <c r="E109" s="9">
        <f>'Revenue (detail)'!C13</f>
        <v/>
      </c>
      <c r="F109" s="9">
        <f>E109-D109</f>
        <v/>
      </c>
    </row>
    <row r="110">
      <c r="A110" s="18" t="inlineStr">
        <is>
          <t>Revenue (detail)</t>
        </is>
      </c>
      <c r="B110" s="18" t="inlineStr">
        <is>
          <t>12. Total revenue</t>
        </is>
      </c>
      <c r="C110" s="18" t="inlineStr">
        <is>
          <t>FY2022</t>
        </is>
      </c>
      <c r="D110" s="9" t="n">
        <v>165909</v>
      </c>
      <c r="E110" s="9">
        <f>'Revenue (detail)'!D13</f>
        <v/>
      </c>
      <c r="F110" s="9">
        <f>E110-D110</f>
        <v/>
      </c>
    </row>
    <row r="111">
      <c r="A111" s="18" t="inlineStr">
        <is>
          <t>Revenue (detail)</t>
        </is>
      </c>
      <c r="B111" s="18" t="inlineStr">
        <is>
          <t>12. Total revenue</t>
        </is>
      </c>
      <c r="C111" s="18" t="inlineStr">
        <is>
          <t>FY2023</t>
        </is>
      </c>
      <c r="D111" s="9" t="n">
        <v>167294</v>
      </c>
      <c r="E111" s="9">
        <f>'Revenue (detail)'!E13</f>
        <v/>
      </c>
      <c r="F111" s="9">
        <f>E111-D111</f>
        <v/>
      </c>
    </row>
    <row r="112">
      <c r="A112" s="18" t="inlineStr">
        <is>
          <t>Revenue (detail)</t>
        </is>
      </c>
      <c r="B112" s="18" t="inlineStr">
        <is>
          <t>12. Total revenue</t>
        </is>
      </c>
      <c r="C112" s="18" t="inlineStr">
        <is>
          <t>FY2024</t>
        </is>
      </c>
      <c r="D112" s="9" t="n">
        <v>183479</v>
      </c>
      <c r="E112" s="9">
        <f>'Revenue (detail)'!F13</f>
        <v/>
      </c>
      <c r="F112" s="9">
        <f>E112-D112</f>
        <v/>
      </c>
    </row>
    <row r="113">
      <c r="A113" s="18" t="inlineStr">
        <is>
          <t>Revenue (detail)</t>
        </is>
      </c>
      <c r="B113" s="18" t="inlineStr">
        <is>
          <t>12. Total revenue</t>
        </is>
      </c>
      <c r="C113" s="18" t="inlineStr">
        <is>
          <t>FY2025</t>
        </is>
      </c>
      <c r="D113" s="9" t="n">
        <v>271872</v>
      </c>
      <c r="E113" s="9">
        <f>'Revenue (detail)'!G13</f>
        <v/>
      </c>
      <c r="F113" s="9">
        <f>E113-D113</f>
        <v/>
      </c>
    </row>
    <row r="114">
      <c r="A114" s="18" t="inlineStr">
        <is>
          <t>Revenue (detail)</t>
        </is>
      </c>
      <c r="B114" s="18" t="inlineStr">
        <is>
          <t>2g program service revenue = sum of lines 2a-2f (FY2025)</t>
        </is>
      </c>
      <c r="C114" s="18" t="inlineStr">
        <is>
          <t>FY2025</t>
        </is>
      </c>
      <c r="D114" s="9" t="n">
        <v>271872</v>
      </c>
      <c r="E114" s="9">
        <f>SUM('Revenue (detail)'!C17:C17)</f>
        <v/>
      </c>
      <c r="F114" s="9">
        <f>E114-D114</f>
        <v/>
      </c>
    </row>
    <row r="115">
      <c r="A115" s="18" t="inlineStr">
        <is>
          <t>Operating expenses (detail)</t>
        </is>
      </c>
      <c r="B115" s="18" t="inlineStr">
        <is>
          <t>25. Total functional expenses</t>
        </is>
      </c>
      <c r="C115" s="18" t="inlineStr">
        <is>
          <t>FY2020</t>
        </is>
      </c>
      <c r="D115" s="9" t="n">
        <v>122098</v>
      </c>
      <c r="E115" s="9">
        <f>'Operating expenses (detail)'!B17</f>
        <v/>
      </c>
      <c r="F115" s="9">
        <f>E115-D115</f>
        <v/>
      </c>
    </row>
    <row r="116">
      <c r="A116" s="18" t="inlineStr">
        <is>
          <t>Operating expenses (detail)</t>
        </is>
      </c>
      <c r="B116" s="18" t="inlineStr">
        <is>
          <t>25. Total functional expenses</t>
        </is>
      </c>
      <c r="C116" s="18" t="inlineStr">
        <is>
          <t>FY2021</t>
        </is>
      </c>
      <c r="D116" s="9" t="n">
        <v>133657</v>
      </c>
      <c r="E116" s="9">
        <f>'Operating expenses (detail)'!C17</f>
        <v/>
      </c>
      <c r="F116" s="9">
        <f>E116-D116</f>
        <v/>
      </c>
    </row>
    <row r="117">
      <c r="A117" s="18" t="inlineStr">
        <is>
          <t>Operating expenses (detail)</t>
        </is>
      </c>
      <c r="B117" s="18" t="inlineStr">
        <is>
          <t>25. Total functional expenses</t>
        </is>
      </c>
      <c r="C117" s="18" t="inlineStr">
        <is>
          <t>FY2022</t>
        </is>
      </c>
      <c r="D117" s="9" t="n">
        <v>151727</v>
      </c>
      <c r="E117" s="9">
        <f>'Operating expenses (detail)'!D17</f>
        <v/>
      </c>
      <c r="F117" s="9">
        <f>E117-D117</f>
        <v/>
      </c>
    </row>
    <row r="118">
      <c r="A118" s="18" t="inlineStr">
        <is>
          <t>Operating expenses (detail)</t>
        </is>
      </c>
      <c r="B118" s="18" t="inlineStr">
        <is>
          <t>25. Total functional expenses</t>
        </is>
      </c>
      <c r="C118" s="18" t="inlineStr">
        <is>
          <t>FY2023</t>
        </is>
      </c>
      <c r="D118" s="9" t="n">
        <v>167640</v>
      </c>
      <c r="E118" s="9">
        <f>'Operating expenses (detail)'!E17</f>
        <v/>
      </c>
      <c r="F118" s="9">
        <f>E118-D118</f>
        <v/>
      </c>
    </row>
    <row r="119">
      <c r="A119" s="18" t="inlineStr">
        <is>
          <t>Operating expenses (detail)</t>
        </is>
      </c>
      <c r="B119" s="18" t="inlineStr">
        <is>
          <t>25. Total functional expenses</t>
        </is>
      </c>
      <c r="C119" s="18" t="inlineStr">
        <is>
          <t>FY2024</t>
        </is>
      </c>
      <c r="D119" s="9" t="n">
        <v>205263</v>
      </c>
      <c r="E119" s="9">
        <f>'Operating expenses (detail)'!F17</f>
        <v/>
      </c>
      <c r="F119" s="9">
        <f>E119-D119</f>
        <v/>
      </c>
    </row>
    <row r="120">
      <c r="A120" s="18" t="inlineStr">
        <is>
          <t>Operating expenses (detail)</t>
        </is>
      </c>
      <c r="B120" s="18" t="inlineStr">
        <is>
          <t>25. Total functional expenses</t>
        </is>
      </c>
      <c r="C120" s="18" t="inlineStr">
        <is>
          <t>FY2025</t>
        </is>
      </c>
      <c r="D120" s="9" t="n">
        <v>191311</v>
      </c>
      <c r="E120" s="9">
        <f>'Operating expenses (detail)'!G17</f>
        <v/>
      </c>
      <c r="F120" s="9">
        <f>E120-D120</f>
        <v/>
      </c>
    </row>
    <row r="121">
      <c r="A121" s="18" t="inlineStr">
        <is>
          <t>Operating expenses (detail)</t>
        </is>
      </c>
      <c r="B121" s="18" t="inlineStr">
        <is>
          <t>Part IX column split: col A = B + C + D (FY2025)</t>
        </is>
      </c>
      <c r="C121" s="18" t="inlineStr">
        <is>
          <t>FY2025</t>
        </is>
      </c>
      <c r="D121" s="9">
        <f>'Operating expenses (detail)'!B25</f>
        <v/>
      </c>
      <c r="E121" s="9">
        <f>'Operating expenses (detail)'!C25+'Operating expenses (detail)'!D25+'Operating expenses (detail)'!E25</f>
        <v/>
      </c>
      <c r="F121" s="9">
        <f>E121-D121</f>
        <v/>
      </c>
    </row>
    <row r="122">
      <c r="A122" s="18" t="inlineStr">
        <is>
          <t>Balance sheet (detail)</t>
        </is>
      </c>
      <c r="B122" s="18" t="inlineStr">
        <is>
          <t>16. Total assets</t>
        </is>
      </c>
      <c r="C122" s="18" t="inlineStr">
        <is>
          <t>FY2020</t>
        </is>
      </c>
      <c r="D122" s="9" t="n">
        <v>556960</v>
      </c>
      <c r="E122" s="9">
        <f>'Balance sheet (detail)'!B11</f>
        <v/>
      </c>
      <c r="F122" s="9">
        <f>E122-D122</f>
        <v/>
      </c>
    </row>
    <row r="123">
      <c r="A123" s="18" t="inlineStr">
        <is>
          <t>Balance sheet (detail)</t>
        </is>
      </c>
      <c r="B123" s="18" t="inlineStr">
        <is>
          <t>16. Total assets</t>
        </is>
      </c>
      <c r="C123" s="18" t="inlineStr">
        <is>
          <t>FY2021</t>
        </is>
      </c>
      <c r="D123" s="9" t="n">
        <v>1065364</v>
      </c>
      <c r="E123" s="9">
        <f>'Balance sheet (detail)'!C11</f>
        <v/>
      </c>
      <c r="F123" s="9">
        <f>E123-D123</f>
        <v/>
      </c>
    </row>
    <row r="124">
      <c r="A124" s="18" t="inlineStr">
        <is>
          <t>Balance sheet (detail)</t>
        </is>
      </c>
      <c r="B124" s="18" t="inlineStr">
        <is>
          <t>16. Total assets</t>
        </is>
      </c>
      <c r="C124" s="18" t="inlineStr">
        <is>
          <t>FY2022</t>
        </is>
      </c>
      <c r="D124" s="9" t="n">
        <v>1079546</v>
      </c>
      <c r="E124" s="9">
        <f>'Balance sheet (detail)'!D11</f>
        <v/>
      </c>
      <c r="F124" s="9">
        <f>E124-D124</f>
        <v/>
      </c>
    </row>
    <row r="125">
      <c r="A125" s="18" t="inlineStr">
        <is>
          <t>Balance sheet (detail)</t>
        </is>
      </c>
      <c r="B125" s="18" t="inlineStr">
        <is>
          <t>16. Total assets</t>
        </is>
      </c>
      <c r="C125" s="18" t="inlineStr">
        <is>
          <t>FY2023</t>
        </is>
      </c>
      <c r="D125" s="9" t="n">
        <v>1479446</v>
      </c>
      <c r="E125" s="9">
        <f>'Balance sheet (detail)'!E11</f>
        <v/>
      </c>
      <c r="F125" s="9">
        <f>E125-D125</f>
        <v/>
      </c>
    </row>
    <row r="126">
      <c r="A126" s="18" t="inlineStr">
        <is>
          <t>Balance sheet (detail)</t>
        </is>
      </c>
      <c r="B126" s="18" t="inlineStr">
        <is>
          <t>16. Total assets</t>
        </is>
      </c>
      <c r="C126" s="18" t="inlineStr">
        <is>
          <t>FY2024</t>
        </is>
      </c>
      <c r="D126" s="9" t="n">
        <v>1457662</v>
      </c>
      <c r="E126" s="9">
        <f>'Balance sheet (detail)'!F11</f>
        <v/>
      </c>
      <c r="F126" s="9">
        <f>E126-D126</f>
        <v/>
      </c>
    </row>
    <row r="127">
      <c r="A127" s="18" t="inlineStr">
        <is>
          <t>Balance sheet (detail)</t>
        </is>
      </c>
      <c r="B127" s="18" t="inlineStr">
        <is>
          <t>16. Total assets</t>
        </is>
      </c>
      <c r="C127" s="18" t="inlineStr">
        <is>
          <t>FY2025</t>
        </is>
      </c>
      <c r="D127" s="9" t="n">
        <v>4485016</v>
      </c>
      <c r="E127" s="9">
        <f>'Balance sheet (detail)'!G11</f>
        <v/>
      </c>
      <c r="F127" s="9">
        <f>E127-D127</f>
        <v/>
      </c>
    </row>
    <row r="128">
      <c r="A128" s="18" t="inlineStr">
        <is>
          <t>Balance sheet (detail)</t>
        </is>
      </c>
      <c r="B128" s="18" t="inlineStr">
        <is>
          <t>26. Total liabilities</t>
        </is>
      </c>
      <c r="C128" s="18" t="inlineStr">
        <is>
          <t>FY2020</t>
        </is>
      </c>
      <c r="D128" s="9" t="n">
        <v>0</v>
      </c>
      <c r="E128" s="9">
        <f>'Balance sheet (detail)'!B14</f>
        <v/>
      </c>
      <c r="F128" s="9">
        <f>E128-D128</f>
        <v/>
      </c>
    </row>
    <row r="129">
      <c r="A129" s="18" t="inlineStr">
        <is>
          <t>Balance sheet (detail)</t>
        </is>
      </c>
      <c r="B129" s="18" t="inlineStr">
        <is>
          <t>26. Total liabilities</t>
        </is>
      </c>
      <c r="C129" s="18" t="inlineStr">
        <is>
          <t>FY2021</t>
        </is>
      </c>
      <c r="D129" s="9" t="n">
        <v>0</v>
      </c>
      <c r="E129" s="9">
        <f>'Balance sheet (detail)'!C14</f>
        <v/>
      </c>
      <c r="F129" s="9">
        <f>E129-D129</f>
        <v/>
      </c>
    </row>
    <row r="130">
      <c r="A130" s="18" t="inlineStr">
        <is>
          <t>Balance sheet (detail)</t>
        </is>
      </c>
      <c r="B130" s="18" t="inlineStr">
        <is>
          <t>26. Total liabilities</t>
        </is>
      </c>
      <c r="C130" s="18" t="inlineStr">
        <is>
          <t>FY2022</t>
        </is>
      </c>
      <c r="D130" s="9" t="n">
        <v>0</v>
      </c>
      <c r="E130" s="9">
        <f>'Balance sheet (detail)'!D14</f>
        <v/>
      </c>
      <c r="F130" s="9">
        <f>E130-D130</f>
        <v/>
      </c>
    </row>
    <row r="131">
      <c r="A131" s="18" t="inlineStr">
        <is>
          <t>Balance sheet (detail)</t>
        </is>
      </c>
      <c r="B131" s="18" t="inlineStr">
        <is>
          <t>26. Total liabilities</t>
        </is>
      </c>
      <c r="C131" s="18" t="inlineStr">
        <is>
          <t>FY2023</t>
        </is>
      </c>
      <c r="D131" s="9" t="n">
        <v>0</v>
      </c>
      <c r="E131" s="9">
        <f>'Balance sheet (detail)'!E14</f>
        <v/>
      </c>
      <c r="F131" s="9">
        <f>E131-D131</f>
        <v/>
      </c>
    </row>
    <row r="132">
      <c r="A132" s="18" t="inlineStr">
        <is>
          <t>Balance sheet (detail)</t>
        </is>
      </c>
      <c r="B132" s="18" t="inlineStr">
        <is>
          <t>26. Total liabilities</t>
        </is>
      </c>
      <c r="C132" s="18" t="inlineStr">
        <is>
          <t>FY2024</t>
        </is>
      </c>
      <c r="D132" s="9" t="n">
        <v>0</v>
      </c>
      <c r="E132" s="9">
        <f>'Balance sheet (detail)'!F14</f>
        <v/>
      </c>
      <c r="F132" s="9">
        <f>E132-D132</f>
        <v/>
      </c>
    </row>
    <row r="133">
      <c r="A133" s="18" t="inlineStr">
        <is>
          <t>Balance sheet (detail)</t>
        </is>
      </c>
      <c r="B133" s="18" t="inlineStr">
        <is>
          <t>26. Total liabilities</t>
        </is>
      </c>
      <c r="C133" s="18" t="inlineStr">
        <is>
          <t>FY2025</t>
        </is>
      </c>
      <c r="D133" s="9" t="n">
        <v>0</v>
      </c>
      <c r="E133" s="9">
        <f>'Balance sheet (detail)'!G14</f>
        <v/>
      </c>
      <c r="F133" s="9">
        <f>E133-D133</f>
        <v/>
      </c>
    </row>
    <row r="134">
      <c r="A134" s="18" t="inlineStr">
        <is>
          <t>Balance sheet (detail)</t>
        </is>
      </c>
      <c r="B134" s="18" t="inlineStr">
        <is>
          <t>32. Total net assets / fund balances</t>
        </is>
      </c>
      <c r="C134" s="18" t="inlineStr">
        <is>
          <t>FY2020</t>
        </is>
      </c>
      <c r="D134" s="9" t="n">
        <v>556960</v>
      </c>
      <c r="E134" s="9">
        <f>'Balance sheet (detail)'!B18</f>
        <v/>
      </c>
      <c r="F134" s="9">
        <f>E134-D134</f>
        <v/>
      </c>
    </row>
    <row r="135">
      <c r="A135" s="18" t="inlineStr">
        <is>
          <t>Balance sheet (detail)</t>
        </is>
      </c>
      <c r="B135" s="18" t="inlineStr">
        <is>
          <t>32. Total net assets / fund balances</t>
        </is>
      </c>
      <c r="C135" s="18" t="inlineStr">
        <is>
          <t>FY2021</t>
        </is>
      </c>
      <c r="D135" s="9" t="n">
        <v>1065364</v>
      </c>
      <c r="E135" s="9">
        <f>'Balance sheet (detail)'!C18</f>
        <v/>
      </c>
      <c r="F135" s="9">
        <f>E135-D135</f>
        <v/>
      </c>
    </row>
    <row r="136">
      <c r="A136" s="18" t="inlineStr">
        <is>
          <t>Balance sheet (detail)</t>
        </is>
      </c>
      <c r="B136" s="18" t="inlineStr">
        <is>
          <t>32. Total net assets / fund balances</t>
        </is>
      </c>
      <c r="C136" s="18" t="inlineStr">
        <is>
          <t>FY2022</t>
        </is>
      </c>
      <c r="D136" s="9" t="n">
        <v>1079546</v>
      </c>
      <c r="E136" s="9">
        <f>'Balance sheet (detail)'!D18</f>
        <v/>
      </c>
      <c r="F136" s="9">
        <f>E136-D136</f>
        <v/>
      </c>
    </row>
    <row r="137">
      <c r="A137" s="18" t="inlineStr">
        <is>
          <t>Balance sheet (detail)</t>
        </is>
      </c>
      <c r="B137" s="18" t="inlineStr">
        <is>
          <t>32. Total net assets / fund balances</t>
        </is>
      </c>
      <c r="C137" s="18" t="inlineStr">
        <is>
          <t>FY2023</t>
        </is>
      </c>
      <c r="D137" s="9" t="n">
        <v>1479446</v>
      </c>
      <c r="E137" s="9">
        <f>'Balance sheet (detail)'!E18</f>
        <v/>
      </c>
      <c r="F137" s="9">
        <f>E137-D137</f>
        <v/>
      </c>
    </row>
    <row r="138">
      <c r="A138" s="18" t="inlineStr">
        <is>
          <t>Balance sheet (detail)</t>
        </is>
      </c>
      <c r="B138" s="18" t="inlineStr">
        <is>
          <t>32. Total net assets / fund balances</t>
        </is>
      </c>
      <c r="C138" s="18" t="inlineStr">
        <is>
          <t>FY2024</t>
        </is>
      </c>
      <c r="D138" s="9" t="n">
        <v>1457662</v>
      </c>
      <c r="E138" s="9">
        <f>'Balance sheet (detail)'!F18</f>
        <v/>
      </c>
      <c r="F138" s="9">
        <f>E138-D138</f>
        <v/>
      </c>
    </row>
    <row r="139">
      <c r="A139" s="18" t="inlineStr">
        <is>
          <t>Balance sheet (detail)</t>
        </is>
      </c>
      <c r="B139" s="18" t="inlineStr">
        <is>
          <t>32. Total net assets / fund balances</t>
        </is>
      </c>
      <c r="C139" s="18" t="inlineStr">
        <is>
          <t>FY2025</t>
        </is>
      </c>
      <c r="D139" s="9" t="n">
        <v>4485016</v>
      </c>
      <c r="E139" s="9">
        <f>'Balance sheet (detail)'!G18</f>
        <v/>
      </c>
      <c r="F139" s="9">
        <f>E139-D139</f>
        <v/>
      </c>
    </row>
    <row r="140">
      <c r="A140" s="18" t="inlineStr">
        <is>
          <t>Balance sheet (detail)</t>
        </is>
      </c>
      <c r="B140" s="18" t="inlineStr">
        <is>
          <t>Balance sheet identity: line 16 = line 26 + line 32 (EOY)</t>
        </is>
      </c>
      <c r="C140" s="18" t="inlineStr">
        <is>
          <t>FY2020</t>
        </is>
      </c>
      <c r="D140" s="9">
        <f>'Balance sheet (detail)'!B11</f>
        <v/>
      </c>
      <c r="E140" s="9">
        <f>SUM('Balance sheet (detail)'!B14,'Balance sheet (detail)'!B18)</f>
        <v/>
      </c>
      <c r="F140" s="9">
        <f>E140-D140</f>
        <v/>
      </c>
    </row>
    <row r="141">
      <c r="A141" s="18" t="inlineStr">
        <is>
          <t>Balance sheet (detail)</t>
        </is>
      </c>
      <c r="B141" s="18" t="inlineStr">
        <is>
          <t>Balance sheet identity: line 16 = line 26 + line 32 (EOY)</t>
        </is>
      </c>
      <c r="C141" s="18" t="inlineStr">
        <is>
          <t>FY2021</t>
        </is>
      </c>
      <c r="D141" s="9">
        <f>'Balance sheet (detail)'!C11</f>
        <v/>
      </c>
      <c r="E141" s="9">
        <f>SUM('Balance sheet (detail)'!C14,'Balance sheet (detail)'!C18)</f>
        <v/>
      </c>
      <c r="F141" s="9">
        <f>E141-D141</f>
        <v/>
      </c>
    </row>
    <row r="142">
      <c r="A142" s="18" t="inlineStr">
        <is>
          <t>Balance sheet (detail)</t>
        </is>
      </c>
      <c r="B142" s="18" t="inlineStr">
        <is>
          <t>Balance sheet identity: line 16 = line 26 + line 32 (EOY)</t>
        </is>
      </c>
      <c r="C142" s="18" t="inlineStr">
        <is>
          <t>FY2022</t>
        </is>
      </c>
      <c r="D142" s="9">
        <f>'Balance sheet (detail)'!D11</f>
        <v/>
      </c>
      <c r="E142" s="9">
        <f>SUM('Balance sheet (detail)'!D14,'Balance sheet (detail)'!D18)</f>
        <v/>
      </c>
      <c r="F142" s="9">
        <f>E142-D142</f>
        <v/>
      </c>
    </row>
    <row r="143">
      <c r="A143" s="18" t="inlineStr">
        <is>
          <t>Balance sheet (detail)</t>
        </is>
      </c>
      <c r="B143" s="18" t="inlineStr">
        <is>
          <t>Balance sheet identity: line 16 = line 26 + line 32 (EOY)</t>
        </is>
      </c>
      <c r="C143" s="18" t="inlineStr">
        <is>
          <t>FY2023</t>
        </is>
      </c>
      <c r="D143" s="9">
        <f>'Balance sheet (detail)'!E11</f>
        <v/>
      </c>
      <c r="E143" s="9">
        <f>SUM('Balance sheet (detail)'!E14,'Balance sheet (detail)'!E18)</f>
        <v/>
      </c>
      <c r="F143" s="9">
        <f>E143-D143</f>
        <v/>
      </c>
    </row>
    <row r="144">
      <c r="A144" s="18" t="inlineStr">
        <is>
          <t>Balance sheet (detail)</t>
        </is>
      </c>
      <c r="B144" s="18" t="inlineStr">
        <is>
          <t>Balance sheet identity: line 16 = line 26 + line 32 (EOY)</t>
        </is>
      </c>
      <c r="C144" s="18" t="inlineStr">
        <is>
          <t>FY2024</t>
        </is>
      </c>
      <c r="D144" s="9">
        <f>'Balance sheet (detail)'!F11</f>
        <v/>
      </c>
      <c r="E144" s="9">
        <f>SUM('Balance sheet (detail)'!F14,'Balance sheet (detail)'!F18)</f>
        <v/>
      </c>
      <c r="F144" s="9">
        <f>E144-D144</f>
        <v/>
      </c>
    </row>
    <row r="145">
      <c r="A145" s="18" t="inlineStr">
        <is>
          <t>Balance sheet (detail)</t>
        </is>
      </c>
      <c r="B145" s="18" t="inlineStr">
        <is>
          <t>Balance sheet identity: line 16 = line 26 + line 32 (EOY)</t>
        </is>
      </c>
      <c r="C145" s="18" t="inlineStr">
        <is>
          <t>FY2025</t>
        </is>
      </c>
      <c r="D145" s="9">
        <f>'Balance sheet (detail)'!G11</f>
        <v/>
      </c>
      <c r="E145" s="9">
        <f>SUM('Balance sheet (detail)'!G14,'Balance sheet (detail)'!G18)</f>
        <v/>
      </c>
      <c r="F145" s="9">
        <f>E145-D145</f>
        <v/>
      </c>
    </row>
    <row r="146">
      <c r="A146" s="18" t="inlineStr">
        <is>
          <t>Net-assets reconciliation</t>
        </is>
      </c>
      <c r="B146" s="18" t="inlineStr">
        <is>
          <t>10. Net assets, end of year</t>
        </is>
      </c>
      <c r="C146" s="18" t="inlineStr">
        <is>
          <t>FY2020</t>
        </is>
      </c>
      <c r="D146" s="9" t="n">
        <v>556960</v>
      </c>
      <c r="E146" s="9">
        <f>'Net-assets reconciliation'!B11</f>
        <v/>
      </c>
      <c r="F146" s="9">
        <f>E146-D146</f>
        <v/>
      </c>
    </row>
    <row r="147">
      <c r="A147" s="18" t="inlineStr">
        <is>
          <t>Net-assets reconciliation</t>
        </is>
      </c>
      <c r="B147" s="18" t="inlineStr">
        <is>
          <t>10. Net assets, end of year</t>
        </is>
      </c>
      <c r="C147" s="18" t="inlineStr">
        <is>
          <t>FY2021</t>
        </is>
      </c>
      <c r="D147" s="9" t="n">
        <v>1065364</v>
      </c>
      <c r="E147" s="9">
        <f>'Net-assets reconciliation'!C11</f>
        <v/>
      </c>
      <c r="F147" s="9">
        <f>E147-D147</f>
        <v/>
      </c>
    </row>
    <row r="148">
      <c r="A148" s="18" t="inlineStr">
        <is>
          <t>Net-assets reconciliation</t>
        </is>
      </c>
      <c r="B148" s="18" t="inlineStr">
        <is>
          <t>10. Net assets, end of year</t>
        </is>
      </c>
      <c r="C148" s="18" t="inlineStr">
        <is>
          <t>FY2022</t>
        </is>
      </c>
      <c r="D148" s="9" t="n">
        <v>1079546</v>
      </c>
      <c r="E148" s="9">
        <f>'Net-assets reconciliation'!D11</f>
        <v/>
      </c>
      <c r="F148" s="9">
        <f>E148-D148</f>
        <v/>
      </c>
    </row>
    <row r="149">
      <c r="A149" s="18" t="inlineStr">
        <is>
          <t>Net-assets reconciliation</t>
        </is>
      </c>
      <c r="B149" s="18" t="inlineStr">
        <is>
          <t>10. Net assets, end of year</t>
        </is>
      </c>
      <c r="C149" s="18" t="inlineStr">
        <is>
          <t>FY2023</t>
        </is>
      </c>
      <c r="D149" s="9" t="n">
        <v>1479446</v>
      </c>
      <c r="E149" s="9">
        <f>'Net-assets reconciliation'!E11</f>
        <v/>
      </c>
      <c r="F149" s="9">
        <f>E149-D149</f>
        <v/>
      </c>
    </row>
    <row r="150">
      <c r="A150" s="18" t="inlineStr">
        <is>
          <t>Net-assets reconciliation</t>
        </is>
      </c>
      <c r="B150" s="18" t="inlineStr">
        <is>
          <t>10. Net assets, end of year</t>
        </is>
      </c>
      <c r="C150" s="18" t="inlineStr">
        <is>
          <t>FY2024</t>
        </is>
      </c>
      <c r="D150" s="9" t="n">
        <v>1457662</v>
      </c>
      <c r="E150" s="9">
        <f>'Net-assets reconciliation'!F11</f>
        <v/>
      </c>
      <c r="F150" s="9">
        <f>E150-D150</f>
        <v/>
      </c>
    </row>
    <row r="151">
      <c r="A151" s="18" t="inlineStr">
        <is>
          <t>Net-assets reconciliation</t>
        </is>
      </c>
      <c r="B151" s="18" t="inlineStr">
        <is>
          <t>10. Net assets, end of year</t>
        </is>
      </c>
      <c r="C151" s="18" t="inlineStr">
        <is>
          <t>FY2025</t>
        </is>
      </c>
      <c r="D151" s="9" t="n">
        <v>4485016</v>
      </c>
      <c r="E151" s="9">
        <f>'Net-assets reconciliation'!G11</f>
        <v/>
      </c>
      <c r="F151" s="9">
        <f>E151-D151</f>
        <v/>
      </c>
    </row>
    <row r="153">
      <c r="A153" s="29" t="inlineStr">
        <is>
          <t>D. Preparer / auditor trail (one row per fiscal year, as filed)</t>
        </is>
      </c>
      <c r="B153" s="7" t="n"/>
      <c r="C153" s="7" t="n"/>
      <c r="D153" s="7" t="n"/>
      <c r="E153" s="7" t="n"/>
      <c r="F153" s="7" t="n"/>
      <c r="G153" s="7" t="n"/>
      <c r="H153" s="7" t="n"/>
      <c r="I153" s="7" t="n"/>
      <c r="J153" s="7" t="n"/>
      <c r="K153" s="7" t="n"/>
    </row>
    <row r="154">
      <c r="A154" s="5" t="inlineStr">
        <is>
          <t>Fiscal year</t>
        </is>
      </c>
      <c r="B154" s="5" t="inlineStr">
        <is>
          <t>Paid preparer</t>
        </is>
      </c>
      <c r="C154" s="5" t="inlineStr">
        <is>
          <t>Preparer firm</t>
        </is>
      </c>
      <c r="D154" s="5" t="inlineStr">
        <is>
          <t>Independent auditor</t>
        </is>
      </c>
      <c r="E154" s="5" t="inlineStr">
        <is>
          <t>Citation</t>
        </is>
      </c>
    </row>
    <row r="155" ht="42" customHeight="1">
      <c r="A155" s="27" t="inlineStr">
        <is>
          <t>FY2020</t>
        </is>
      </c>
      <c r="B155" s="8" t="inlineStr">
        <is>
          <t>MICHAEL C NICHOLAS</t>
        </is>
      </c>
      <c r="C155" s="8" t="inlineStr">
        <is>
          <t>MICHAEL C NICHOLAS</t>
        </is>
      </c>
      <c r="D155" s="30" t="inlineStr">
        <is>
          <t>not reported</t>
        </is>
      </c>
      <c r="E155" s="21" t="inlineStr">
        <is>
          <t>Form 990 Return Header, Paid Preparer block (return_header.preparer_person_name / preparer_firm_name); auditor: Part XII line 2 reports audited financial statements but does not name the firm.</t>
        </is>
      </c>
    </row>
    <row r="156" ht="42" customHeight="1">
      <c r="A156" s="27" t="inlineStr">
        <is>
          <t>FY2021</t>
        </is>
      </c>
      <c r="B156" s="8" t="inlineStr">
        <is>
          <t>MICHAEL C NICHOLAS</t>
        </is>
      </c>
      <c r="C156" s="8" t="inlineStr">
        <is>
          <t>NICHOLAS ACCOUNTING SERVICES</t>
        </is>
      </c>
      <c r="D156" s="30" t="inlineStr">
        <is>
          <t>not reported</t>
        </is>
      </c>
      <c r="E156" s="21" t="inlineStr">
        <is>
          <t>Form 990 Return Header, Paid Preparer block (return_header.preparer_person_name / preparer_firm_name); auditor: Part XII line 2 reports audited financial statements but does not name the firm.</t>
        </is>
      </c>
    </row>
    <row r="157" ht="42" customHeight="1">
      <c r="A157" s="27" t="inlineStr">
        <is>
          <t>FY2022</t>
        </is>
      </c>
      <c r="B157" s="8" t="inlineStr">
        <is>
          <t>MICHAEL C NICHOLAS</t>
        </is>
      </c>
      <c r="C157" s="8" t="inlineStr">
        <is>
          <t>NICHOLAS ACCOUNTING SERVICES</t>
        </is>
      </c>
      <c r="D157" s="30" t="inlineStr">
        <is>
          <t>not reported</t>
        </is>
      </c>
      <c r="E157" s="21" t="inlineStr">
        <is>
          <t>Form 990 Return Header, Paid Preparer block (return_header.preparer_person_name / preparer_firm_name); auditor: Part XII line 2 reports audited financial statements but does not name the firm.</t>
        </is>
      </c>
    </row>
    <row r="158" ht="42" customHeight="1">
      <c r="A158" s="27" t="inlineStr">
        <is>
          <t>FY2023</t>
        </is>
      </c>
      <c r="B158" s="8" t="inlineStr">
        <is>
          <t>MICHAEL C NICHOLAS</t>
        </is>
      </c>
      <c r="C158" s="8" t="inlineStr">
        <is>
          <t>NICHOLAS ACCOUNTING SERVICES</t>
        </is>
      </c>
      <c r="D158" s="30" t="inlineStr">
        <is>
          <t>not reported</t>
        </is>
      </c>
      <c r="E158" s="21" t="inlineStr">
        <is>
          <t>Form 990 Return Header, Paid Preparer block (return_header.preparer_person_name / preparer_firm_name); auditor: Part XII line 2 reports audited financial statements but does not name the firm.</t>
        </is>
      </c>
    </row>
    <row r="159" ht="42" customHeight="1">
      <c r="A159" s="27" t="inlineStr">
        <is>
          <t>FY2024</t>
        </is>
      </c>
      <c r="B159" s="8" t="inlineStr">
        <is>
          <t>MICHAEL C NICHOLAS</t>
        </is>
      </c>
      <c r="C159" s="8" t="inlineStr">
        <is>
          <t>NICHOLAS ACCOUNTING SERVICES</t>
        </is>
      </c>
      <c r="D159" s="30" t="inlineStr">
        <is>
          <t>not reported</t>
        </is>
      </c>
      <c r="E159" s="21" t="inlineStr">
        <is>
          <t>Form 990 Return Header, Paid Preparer block (return_header.preparer_person_name / preparer_firm_name); auditor: Part XII line 2 reports audited financial statements but does not name the firm.</t>
        </is>
      </c>
    </row>
    <row r="160" ht="42" customHeight="1">
      <c r="A160" s="27" t="inlineStr">
        <is>
          <t>FY2025</t>
        </is>
      </c>
      <c r="B160" s="8" t="inlineStr">
        <is>
          <t>MICHAEL C NICHOLAS</t>
        </is>
      </c>
      <c r="C160" s="8" t="inlineStr">
        <is>
          <t>NICHOLAS ACCOUNTING SERVICES</t>
        </is>
      </c>
      <c r="D160" s="30" t="inlineStr">
        <is>
          <t>not reported</t>
        </is>
      </c>
      <c r="E160" s="21" t="inlineStr">
        <is>
          <t>Form 990 Return Header, Paid Preparer block (return_header.preparer_person_name / preparer_firm_name); auditor: Part XII line 2 reports audited financial statements but does not name the firm.</t>
        </is>
      </c>
    </row>
    <row r="162" ht="42" customHeight="1">
      <c r="A16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62:K162"/>
    <mergeCell ref="A2:K2"/>
    <mergeCell ref="A5:K5"/>
    <mergeCell ref="A1:K1"/>
  </mergeCells>
  <conditionalFormatting sqref="F108:F151">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