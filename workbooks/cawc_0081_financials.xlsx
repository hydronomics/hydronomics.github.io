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New Auberry Water Association</t>
        </is>
      </c>
    </row>
    <row r="2">
      <c r="A2" s="2" t="inlineStr">
        <is>
          <t>Financial Summary - multi-year overview (USD)</t>
        </is>
      </c>
    </row>
    <row r="3">
      <c r="A3" s="2" t="inlineStr">
        <is>
          <t>Entity ID: cawc_0081   |   Fiscal year ends January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67733</v>
      </c>
      <c r="C10" s="9" t="n">
        <v>82985</v>
      </c>
      <c r="D10" s="9" t="n">
        <v>170657</v>
      </c>
      <c r="E10" s="9" t="n">
        <v>407311</v>
      </c>
      <c r="F10" s="9" t="n">
        <v>244350</v>
      </c>
    </row>
    <row r="11">
      <c r="A11" s="8" t="inlineStr">
        <is>
          <t xml:space="preserve">    Total expenses</t>
        </is>
      </c>
      <c r="B11" s="9" t="n">
        <v>61083</v>
      </c>
      <c r="C11" s="9" t="n">
        <v>64834</v>
      </c>
      <c r="D11" s="9" t="n">
        <v>163629</v>
      </c>
      <c r="E11" s="9" t="n">
        <v>373520</v>
      </c>
      <c r="F11" s="9" t="n">
        <v>271997</v>
      </c>
    </row>
    <row r="12">
      <c r="A12" s="10" t="inlineStr">
        <is>
          <t xml:space="preserve">    Net income</t>
        </is>
      </c>
      <c r="B12" s="11" t="n">
        <v>6650</v>
      </c>
      <c r="C12" s="11" t="n">
        <v>18151</v>
      </c>
      <c r="D12" s="11" t="n">
        <v>7028</v>
      </c>
      <c r="E12" s="11" t="n">
        <v>33791</v>
      </c>
      <c r="F12" s="11" t="n">
        <v>-27647</v>
      </c>
    </row>
    <row r="14">
      <c r="A14" s="6" t="inlineStr">
        <is>
          <t>Financial position (USD, end of year)</t>
        </is>
      </c>
      <c r="B14" s="7" t="n"/>
      <c r="C14" s="7" t="n"/>
      <c r="D14" s="7" t="n"/>
      <c r="E14" s="7" t="n"/>
      <c r="F14" s="7" t="n"/>
    </row>
    <row r="15">
      <c r="A15" s="8" t="inlineStr">
        <is>
          <t xml:space="preserve">    Total assets</t>
        </is>
      </c>
      <c r="B15" s="9" t="n">
        <v>192210</v>
      </c>
      <c r="C15" s="9" t="n">
        <v>210361</v>
      </c>
      <c r="D15" s="9" t="n">
        <v>201719</v>
      </c>
      <c r="E15" s="9" t="n">
        <v>235510</v>
      </c>
      <c r="F15" s="9" t="n">
        <v>207863</v>
      </c>
    </row>
    <row r="16">
      <c r="A16" s="8" t="inlineStr">
        <is>
          <t xml:space="preserve">    Total liabilities</t>
        </is>
      </c>
      <c r="B16" s="9" t="n">
        <v>0</v>
      </c>
      <c r="C16" s="9" t="n">
        <v>0</v>
      </c>
      <c r="D16" s="9" t="n">
        <v>0</v>
      </c>
      <c r="E16" s="9" t="n">
        <v>0</v>
      </c>
      <c r="F16" s="9" t="n">
        <v>0</v>
      </c>
    </row>
    <row r="17">
      <c r="A17" s="10" t="inlineStr">
        <is>
          <t xml:space="preserve">    Net assets</t>
        </is>
      </c>
      <c r="B17" s="11" t="n">
        <v>192210</v>
      </c>
      <c r="C17" s="11" t="n">
        <v>210361</v>
      </c>
      <c r="D17" s="11" t="n">
        <v>201719</v>
      </c>
      <c r="E17" s="11" t="n">
        <v>235510</v>
      </c>
      <c r="F17" s="11" t="n">
        <v>207863</v>
      </c>
    </row>
    <row r="19">
      <c r="A19" s="6" t="inlineStr">
        <is>
          <t>Headline ratios</t>
        </is>
      </c>
      <c r="B19" s="7" t="n"/>
      <c r="C19" s="7" t="n"/>
      <c r="D19" s="7" t="n"/>
      <c r="E19" s="7" t="n"/>
      <c r="F19" s="7" t="n"/>
    </row>
    <row r="20">
      <c r="A20" s="8" t="inlineStr">
        <is>
          <t xml:space="preserve">    Operating margin</t>
        </is>
      </c>
      <c r="B20" s="12" t="n">
        <v>0.09817961702567433</v>
      </c>
      <c r="C20" s="12" t="n">
        <v>0.2187262758329819</v>
      </c>
      <c r="D20" s="12" t="n">
        <v>0.04118202007535583</v>
      </c>
      <c r="E20" s="12" t="n">
        <v>0.08296117708581403</v>
      </c>
      <c r="F20" s="12" t="n">
        <v>-0.1131450787804379</v>
      </c>
    </row>
    <row r="21">
      <c r="A21" s="8" t="inlineStr">
        <is>
          <t xml:space="preserve">    Revenue growth (YoY)</t>
        </is>
      </c>
      <c r="B21" s="12" t="n"/>
      <c r="C21" s="12" t="n"/>
      <c r="D21" s="12" t="n"/>
      <c r="E21" s="12" t="n">
        <v>1.386723076111733</v>
      </c>
      <c r="F21" s="12" t="n">
        <v>-0.4000898576272185</v>
      </c>
    </row>
    <row r="22">
      <c r="A22" s="8" t="inlineStr">
        <is>
          <t xml:space="preserve">    Return on assets</t>
        </is>
      </c>
      <c r="B22" s="12" t="n">
        <v>0.03459757556838874</v>
      </c>
      <c r="C22" s="12" t="n">
        <v>0.08628500530041215</v>
      </c>
      <c r="D22" s="12" t="n">
        <v>0.03484054551133012</v>
      </c>
      <c r="E22" s="12" t="n">
        <v>0.1434801070018258</v>
      </c>
      <c r="F22" s="12" t="n">
        <v>-0.1330058740612808</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New Auberry Water Association</t>
        </is>
      </c>
    </row>
    <row r="2">
      <c r="A2" s="2" t="inlineStr">
        <is>
          <t>Financial Statements - income statement, balance sheet, cash flow, member income test (USD)</t>
        </is>
      </c>
    </row>
    <row r="3">
      <c r="A3" s="2" t="inlineStr">
        <is>
          <t>Entity ID: cawc_0081   |   Fiscal year ends January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c r="C8" s="9" t="n"/>
      <c r="D8" s="9" t="n"/>
      <c r="E8" s="9" t="n"/>
      <c r="F8" s="9" t="n"/>
    </row>
    <row r="9">
      <c r="A9" s="8" t="inlineStr">
        <is>
          <t xml:space="preserve">    Investment income</t>
        </is>
      </c>
      <c r="B9" s="9" t="n"/>
      <c r="C9" s="9" t="n"/>
      <c r="D9" s="9" t="n"/>
      <c r="E9" s="9" t="n">
        <v>7</v>
      </c>
      <c r="F9" s="9" t="n">
        <v>7</v>
      </c>
    </row>
    <row r="10">
      <c r="A10" s="8" t="inlineStr">
        <is>
          <t xml:space="preserve">    Net rental income</t>
        </is>
      </c>
      <c r="B10" s="9" t="n"/>
      <c r="C10" s="9" t="n"/>
      <c r="D10" s="9" t="n"/>
      <c r="E10" s="9" t="n">
        <v>13300</v>
      </c>
      <c r="F10" s="9" t="n">
        <v>14400</v>
      </c>
    </row>
    <row r="11">
      <c r="A11" s="8" t="inlineStr">
        <is>
          <t xml:space="preserve">    Net gain/(loss) on investment sales</t>
        </is>
      </c>
      <c r="B11" s="9" t="n"/>
      <c r="C11" s="9" t="n"/>
      <c r="D11" s="9" t="n"/>
      <c r="E11" s="9" t="n"/>
      <c r="F11" s="9" t="n"/>
    </row>
    <row r="12">
      <c r="A12" s="8" t="inlineStr">
        <is>
          <t xml:space="preserve">    Other revenue</t>
        </is>
      </c>
      <c r="B12" s="9" t="n"/>
      <c r="C12" s="9" t="n"/>
      <c r="D12" s="9" t="n"/>
      <c r="E12" s="9" t="n"/>
      <c r="F12" s="9" t="n"/>
    </row>
    <row r="13">
      <c r="A13" s="8" t="inlineStr">
        <is>
          <t xml:space="preserve">    Contributions &amp; grants</t>
        </is>
      </c>
      <c r="B13" s="9" t="n"/>
      <c r="C13" s="9" t="n"/>
      <c r="D13" s="9" t="n"/>
      <c r="E13" s="9" t="n">
        <v>394004</v>
      </c>
      <c r="F13" s="9" t="n">
        <v>229943</v>
      </c>
    </row>
    <row r="14">
      <c r="A14" s="10" t="inlineStr">
        <is>
          <t>Total revenue</t>
        </is>
      </c>
      <c r="B14" s="11" t="n"/>
      <c r="C14" s="11" t="n"/>
      <c r="D14" s="11" t="n"/>
      <c r="E14" s="11" t="n">
        <v>407311</v>
      </c>
      <c r="F14" s="11" t="n">
        <v>244350</v>
      </c>
    </row>
    <row r="16">
      <c r="A16" s="6" t="inlineStr">
        <is>
          <t>Expenses</t>
        </is>
      </c>
      <c r="B16" s="7" t="n"/>
      <c r="C16" s="7" t="n"/>
      <c r="D16" s="7" t="n"/>
      <c r="E16" s="7" t="n"/>
      <c r="F16" s="7" t="n"/>
    </row>
    <row r="17">
      <c r="A17" s="8" t="inlineStr">
        <is>
          <t xml:space="preserve">    Depreciation</t>
        </is>
      </c>
      <c r="B17" s="9" t="n"/>
      <c r="C17" s="9" t="n"/>
      <c r="D17" s="9" t="n"/>
      <c r="E17" s="9" t="n"/>
      <c r="F17" s="9" t="n"/>
    </row>
    <row r="18">
      <c r="A18" s="8" t="inlineStr">
        <is>
          <t xml:space="preserve">    Interest expense</t>
        </is>
      </c>
      <c r="B18" s="9" t="n"/>
      <c r="C18" s="9" t="n"/>
      <c r="D18" s="9" t="n"/>
      <c r="E18" s="9" t="n"/>
      <c r="F18" s="9" t="n"/>
    </row>
    <row r="19">
      <c r="A19" s="10" t="inlineStr">
        <is>
          <t>Total expenses</t>
        </is>
      </c>
      <c r="B19" s="11" t="n">
        <v>61083</v>
      </c>
      <c r="C19" s="11" t="n">
        <v>64834</v>
      </c>
      <c r="D19" s="11" t="n">
        <v>163629</v>
      </c>
      <c r="E19" s="11" t="n">
        <v>373520</v>
      </c>
      <c r="F19" s="11" t="n">
        <v>271997</v>
      </c>
    </row>
    <row r="21">
      <c r="A21" s="10" t="inlineStr">
        <is>
          <t>Net income</t>
        </is>
      </c>
      <c r="B21" s="11" t="n">
        <v>6650</v>
      </c>
      <c r="C21" s="11" t="n">
        <v>18151</v>
      </c>
      <c r="D21" s="11" t="n">
        <v>7028</v>
      </c>
      <c r="E21" s="11" t="n">
        <v>33791</v>
      </c>
      <c r="F21" s="11" t="n">
        <v>-27647</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22210</v>
      </c>
      <c r="C27" s="9" t="n">
        <v>40361</v>
      </c>
      <c r="D27" s="9" t="n">
        <v>31719</v>
      </c>
      <c r="E27" s="9" t="n">
        <v>65510</v>
      </c>
      <c r="F27" s="9" t="n">
        <v>74718</v>
      </c>
    </row>
    <row r="28">
      <c r="A28" s="8" t="inlineStr">
        <is>
          <t xml:space="preserve">    Savings &amp; temporary investments</t>
        </is>
      </c>
      <c r="B28" s="9" t="n"/>
      <c r="C28" s="9" t="n"/>
      <c r="D28" s="9" t="n"/>
      <c r="E28" s="9" t="n">
        <v>170000</v>
      </c>
      <c r="F28" s="9" t="n">
        <v>133145</v>
      </c>
    </row>
    <row r="29">
      <c r="A29" s="8" t="inlineStr">
        <is>
          <t xml:space="preserve">    Accounts receivable</t>
        </is>
      </c>
      <c r="B29" s="9" t="n"/>
      <c r="C29" s="9" t="n"/>
      <c r="D29" s="9" t="n"/>
      <c r="E29" s="9" t="n"/>
      <c r="F29" s="9" t="n"/>
    </row>
    <row r="30">
      <c r="A30" s="8" t="inlineStr">
        <is>
          <t xml:space="preserve">    Inventories</t>
        </is>
      </c>
      <c r="B30" s="9" t="n"/>
      <c r="C30" s="9" t="n"/>
      <c r="D30" s="9" t="n"/>
      <c r="E30" s="9" t="n"/>
      <c r="F30" s="9" t="n"/>
    </row>
    <row r="31">
      <c r="A31" s="8" t="inlineStr">
        <is>
          <t xml:space="preserve">    Prepaid expenses</t>
        </is>
      </c>
      <c r="B31" s="9" t="n"/>
      <c r="C31" s="9" t="n"/>
      <c r="D31" s="9" t="n"/>
      <c r="E31" s="9" t="n"/>
      <c r="F31" s="9" t="n"/>
    </row>
    <row r="32">
      <c r="A32" s="8" t="inlineStr">
        <is>
          <t xml:space="preserve">    Property, plant &amp; equipment (gross)</t>
        </is>
      </c>
      <c r="B32" s="9" t="n"/>
      <c r="C32" s="9" t="n"/>
      <c r="D32" s="9" t="n"/>
      <c r="E32" s="9" t="n"/>
      <c r="F32" s="9" t="n"/>
    </row>
    <row r="33">
      <c r="A33" s="8" t="inlineStr">
        <is>
          <t xml:space="preserve">    Less: accumulated depreciation</t>
        </is>
      </c>
      <c r="B33" s="9" t="n"/>
      <c r="C33" s="9" t="n"/>
      <c r="D33" s="9" t="n"/>
      <c r="E33" s="9" t="n"/>
      <c r="F33" s="9" t="n"/>
    </row>
    <row r="34">
      <c r="A34" s="10" t="inlineStr">
        <is>
          <t xml:space="preserve">    Net property, plant &amp; equipment</t>
        </is>
      </c>
      <c r="B34" s="11" t="n">
        <v>170000</v>
      </c>
      <c r="C34" s="11" t="n">
        <v>170000</v>
      </c>
      <c r="D34" s="11" t="n">
        <v>170000</v>
      </c>
      <c r="E34" s="11" t="n"/>
      <c r="F34" s="11" t="n"/>
    </row>
    <row r="35">
      <c r="A35" s="10" t="inlineStr">
        <is>
          <t>Total assets</t>
        </is>
      </c>
      <c r="B35" s="11" t="n">
        <v>192210</v>
      </c>
      <c r="C35" s="11" t="n">
        <v>210361</v>
      </c>
      <c r="D35" s="11" t="n">
        <v>201719</v>
      </c>
      <c r="E35" s="11" t="n">
        <v>235510</v>
      </c>
      <c r="F35" s="11" t="n">
        <v>207863</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v>0</v>
      </c>
      <c r="C40" s="11" t="n">
        <v>0</v>
      </c>
      <c r="D40" s="11" t="n">
        <v>0</v>
      </c>
      <c r="E40" s="11" t="n">
        <v>0</v>
      </c>
      <c r="F40" s="11" t="n">
        <v>0</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c r="C45" s="9" t="n"/>
      <c r="D45" s="9" t="n"/>
      <c r="E45" s="9" t="n"/>
      <c r="F45" s="9" t="n"/>
    </row>
    <row r="46">
      <c r="A46" s="10" t="inlineStr">
        <is>
          <t>Net assets</t>
        </is>
      </c>
      <c r="B46" s="11" t="n">
        <v>192210</v>
      </c>
      <c r="C46" s="11" t="n">
        <v>210361</v>
      </c>
      <c r="D46" s="11" t="n">
        <v>201719</v>
      </c>
      <c r="E46" s="11" t="n">
        <v>235510</v>
      </c>
      <c r="F46" s="11" t="n">
        <v>207863</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6650</v>
      </c>
      <c r="C52" s="9" t="n">
        <v>18151</v>
      </c>
      <c r="D52" s="9" t="n">
        <v>7028</v>
      </c>
      <c r="E52" s="9" t="n">
        <v>33791</v>
      </c>
      <c r="F52" s="9" t="n">
        <v>-27647</v>
      </c>
    </row>
    <row r="53">
      <c r="A53" s="8" t="inlineStr">
        <is>
          <t xml:space="preserve">    + Depreciation (reported)</t>
        </is>
      </c>
      <c r="B53" s="9" t="n"/>
      <c r="C53" s="9" t="n"/>
      <c r="D53" s="9" t="n"/>
      <c r="E53" s="9" t="n"/>
      <c r="F53" s="9" t="n"/>
    </row>
    <row r="54">
      <c r="A54" s="8" t="inlineStr">
        <is>
          <t xml:space="preserve">    − Δ Accounts receivable</t>
        </is>
      </c>
      <c r="B54" s="9" t="n"/>
      <c r="C54" s="9" t="n"/>
      <c r="D54" s="9" t="n"/>
      <c r="E54" s="9" t="n"/>
      <c r="F54" s="9" t="n"/>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c r="D57" s="9" t="n"/>
      <c r="E57" s="9" t="n"/>
      <c r="F57" s="9" t="n"/>
    </row>
    <row r="58">
      <c r="A58" s="10" t="inlineStr">
        <is>
          <t xml:space="preserve">    Operating cash flow proxy</t>
        </is>
      </c>
      <c r="B58" s="11" t="n"/>
      <c r="C58" s="11" t="n">
        <v>18151</v>
      </c>
      <c r="D58" s="11" t="n">
        <v>7028</v>
      </c>
      <c r="E58" s="11" t="n">
        <v>33791</v>
      </c>
      <c r="F58" s="11" t="n">
        <v>-27647</v>
      </c>
    </row>
    <row r="60">
      <c r="A60" s="6" t="inlineStr">
        <is>
          <t>Investing</t>
        </is>
      </c>
      <c r="B60" s="7" t="n"/>
      <c r="C60" s="7" t="n"/>
      <c r="D60" s="7" t="n"/>
      <c r="E60" s="7" t="n"/>
      <c r="F60" s="7" t="n"/>
    </row>
    <row r="61">
      <c r="A61" s="8" t="inlineStr">
        <is>
          <t xml:space="preserve">    − Δ PP&amp;E gross (capex proxy)</t>
        </is>
      </c>
      <c r="B61" s="9" t="n"/>
      <c r="C61" s="9" t="n"/>
      <c r="D61" s="9" t="n"/>
      <c r="E61" s="9" t="n"/>
      <c r="F61" s="9" t="n"/>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18151</v>
      </c>
      <c r="D67" s="11" t="n">
        <v>-8642</v>
      </c>
      <c r="E67" s="11" t="n">
        <v>203791</v>
      </c>
      <c r="F67" s="11" t="n">
        <v>-27647</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FY2024</t>
        </is>
      </c>
      <c r="C72" s="5" t="inlineStr">
        <is>
          <t>FY2025</t>
        </is>
      </c>
    </row>
    <row r="73">
      <c r="A73" s="8" t="inlineStr">
        <is>
          <t xml:space="preserve">    11a. Gross income from members or shareholders</t>
        </is>
      </c>
      <c r="B73" s="9" t="n">
        <v>0</v>
      </c>
      <c r="C73" s="9" t="n">
        <v>0</v>
      </c>
    </row>
    <row r="74">
      <c r="A74" s="8" t="inlineStr">
        <is>
          <t xml:space="preserve">    11b. Gross income from other sources</t>
        </is>
      </c>
      <c r="B74" s="9" t="n">
        <v>0</v>
      </c>
      <c r="C74" s="9" t="n">
        <v>0</v>
      </c>
    </row>
    <row r="75">
      <c r="A75" s="14" t="inlineStr">
        <is>
          <t>Total gross income (11a + 11b)</t>
        </is>
      </c>
      <c r="B75" s="15">
        <f>SUM(B73,B74)</f>
        <v/>
      </c>
      <c r="C75" s="15">
        <f>SUM(C73,C74)</f>
        <v/>
      </c>
    </row>
    <row r="76">
      <c r="A76" s="14" t="inlineStr">
        <is>
          <t>Member income share (11a / total)</t>
        </is>
      </c>
      <c r="B76" s="16">
        <f>IF(B75=0,"",B73/B75)</f>
        <v/>
      </c>
      <c r="C76" s="16">
        <f>IF(C75=0,"",C73/C75)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New Auberry Water Association</t>
        </is>
      </c>
    </row>
    <row r="2">
      <c r="A2" s="2" t="inlineStr">
        <is>
          <t>Balance Sheet - as reported (USD, end of year)</t>
        </is>
      </c>
    </row>
    <row r="3">
      <c r="A3" s="2" t="inlineStr">
        <is>
          <t>Entity ID: cawc_0081   |   Fiscal year ends January 31.</t>
        </is>
      </c>
    </row>
    <row r="5">
      <c r="A5" s="4" t="inlineStr">
        <is>
          <t>Line item</t>
        </is>
      </c>
      <c r="B5" s="5" t="inlineStr">
        <is>
          <t>FY2020</t>
        </is>
      </c>
      <c r="C5" s="5" t="inlineStr">
        <is>
          <t>FY2021</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22210</v>
      </c>
      <c r="C7" s="9" t="n">
        <v>40361</v>
      </c>
      <c r="D7" s="9" t="n">
        <v>31719</v>
      </c>
      <c r="E7" s="9" t="n">
        <v>65510</v>
      </c>
      <c r="F7" s="9" t="n">
        <v>74718</v>
      </c>
    </row>
    <row r="8">
      <c r="A8" s="8" t="inlineStr">
        <is>
          <t xml:space="preserve">    Savings &amp; temporary investments</t>
        </is>
      </c>
      <c r="B8" s="9" t="n"/>
      <c r="C8" s="9" t="n"/>
      <c r="D8" s="9" t="n"/>
      <c r="E8" s="9" t="n">
        <v>170000</v>
      </c>
      <c r="F8" s="9" t="n">
        <v>133145</v>
      </c>
    </row>
    <row r="9">
      <c r="A9" s="8" t="inlineStr">
        <is>
          <t xml:space="preserve">    Accounts receivable</t>
        </is>
      </c>
      <c r="B9" s="9" t="n"/>
      <c r="C9" s="9" t="n"/>
      <c r="D9" s="9" t="n"/>
      <c r="E9" s="9" t="n"/>
      <c r="F9" s="9" t="n"/>
    </row>
    <row r="10">
      <c r="A10" s="8" t="inlineStr">
        <is>
          <t xml:space="preserve">    Inventories</t>
        </is>
      </c>
      <c r="B10" s="9" t="n"/>
      <c r="C10" s="9" t="n"/>
      <c r="D10" s="9" t="n"/>
      <c r="E10" s="9" t="n"/>
      <c r="F10" s="9" t="n"/>
    </row>
    <row r="11">
      <c r="A11" s="8" t="inlineStr">
        <is>
          <t xml:space="preserve">    Prepaid expenses</t>
        </is>
      </c>
      <c r="B11" s="9" t="n"/>
      <c r="C11" s="9" t="n"/>
      <c r="D11" s="9" t="n"/>
      <c r="E11" s="9" t="n"/>
      <c r="F11" s="9" t="n"/>
    </row>
    <row r="12">
      <c r="A12" s="8" t="inlineStr">
        <is>
          <t xml:space="preserve">    Property, plant &amp; equipment (gross)</t>
        </is>
      </c>
      <c r="B12" s="9" t="n"/>
      <c r="C12" s="9" t="n"/>
      <c r="D12" s="9" t="n"/>
      <c r="E12" s="9" t="n"/>
      <c r="F12" s="9" t="n"/>
    </row>
    <row r="13">
      <c r="A13" s="8" t="inlineStr">
        <is>
          <t xml:space="preserve">    Less: accumulated depreciation</t>
        </is>
      </c>
      <c r="B13" s="9" t="n"/>
      <c r="C13" s="9" t="n"/>
      <c r="D13" s="9" t="n"/>
      <c r="E13" s="9" t="n"/>
      <c r="F13" s="9" t="n"/>
    </row>
    <row r="14">
      <c r="A14" s="10" t="inlineStr">
        <is>
          <t xml:space="preserve">    Net property, plant &amp; equipment</t>
        </is>
      </c>
      <c r="B14" s="11" t="n">
        <v>170000</v>
      </c>
      <c r="C14" s="11" t="n">
        <v>170000</v>
      </c>
      <c r="D14" s="11" t="n">
        <v>170000</v>
      </c>
      <c r="E14" s="11" t="n"/>
      <c r="F14" s="11" t="n"/>
    </row>
    <row r="15">
      <c r="A15" s="10" t="inlineStr">
        <is>
          <t>Total assets</t>
        </is>
      </c>
      <c r="B15" s="11" t="n">
        <v>192210</v>
      </c>
      <c r="C15" s="11" t="n">
        <v>210361</v>
      </c>
      <c r="D15" s="11" t="n">
        <v>201719</v>
      </c>
      <c r="E15" s="11" t="n">
        <v>235510</v>
      </c>
      <c r="F15" s="11" t="n">
        <v>207863</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v>0</v>
      </c>
      <c r="C20" s="11" t="n">
        <v>0</v>
      </c>
      <c r="D20" s="11" t="n">
        <v>0</v>
      </c>
      <c r="E20" s="11" t="n">
        <v>0</v>
      </c>
      <c r="F20" s="11" t="n">
        <v>0</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c r="C25" s="9" t="n"/>
      <c r="D25" s="9" t="n"/>
      <c r="E25" s="9" t="n"/>
      <c r="F25" s="9" t="n"/>
    </row>
    <row r="26">
      <c r="A26" s="10" t="inlineStr">
        <is>
          <t>Net assets</t>
        </is>
      </c>
      <c r="B26" s="11" t="n">
        <v>192210</v>
      </c>
      <c r="C26" s="11" t="n">
        <v>210361</v>
      </c>
      <c r="D26" s="11" t="n">
        <v>201719</v>
      </c>
      <c r="E26" s="11" t="n">
        <v>235510</v>
      </c>
      <c r="F26" s="11" t="n">
        <v>207863</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New Auberry Water Association</t>
        </is>
      </c>
    </row>
    <row r="2">
      <c r="A2" s="2" t="inlineStr">
        <is>
          <t>Officers, Directors &amp; Contractors - Form 990 Part VII (FY2025; USD)</t>
        </is>
      </c>
    </row>
    <row r="3">
      <c r="A3" s="2" t="inlineStr">
        <is>
          <t>Entity ID: cawc_0081   |   Fiscal year ends January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KELLI DACKAWICH</t>
        </is>
      </c>
      <c r="B7" s="8" t="inlineStr">
        <is>
          <t>PRESIDENTTREASURER</t>
        </is>
      </c>
      <c r="C7" s="9" t="n">
        <v>0</v>
      </c>
      <c r="D7" s="9" t="n">
        <v>0</v>
      </c>
      <c r="E7" s="9" t="n">
        <v>0</v>
      </c>
      <c r="F7" s="9" t="n">
        <v>0</v>
      </c>
    </row>
    <row r="8">
      <c r="A8" s="8" t="inlineStr">
        <is>
          <t>MARK OLIVER</t>
        </is>
      </c>
      <c r="B8" s="8" t="inlineStr">
        <is>
          <t>VICE PRESIDENT</t>
        </is>
      </c>
      <c r="C8" s="9" t="n">
        <v>0</v>
      </c>
      <c r="D8" s="9" t="n">
        <v>0</v>
      </c>
      <c r="E8" s="9" t="n">
        <v>0</v>
      </c>
      <c r="F8" s="9" t="n">
        <v>0</v>
      </c>
    </row>
    <row r="9">
      <c r="A9" s="8" t="inlineStr">
        <is>
          <t>EVA MALIK</t>
        </is>
      </c>
      <c r="B9" s="8" t="inlineStr">
        <is>
          <t>SECRETARY</t>
        </is>
      </c>
      <c r="C9" s="9" t="n">
        <v>0</v>
      </c>
      <c r="D9" s="9" t="n">
        <v>0</v>
      </c>
      <c r="E9" s="9" t="n">
        <v>0</v>
      </c>
      <c r="F9" s="9" t="n">
        <v>0</v>
      </c>
    </row>
    <row r="10">
      <c r="A10" s="8" t="inlineStr">
        <is>
          <t>SUE CHESTERMAN</t>
        </is>
      </c>
      <c r="B10" s="8" t="inlineStr">
        <is>
          <t>MEMBER</t>
        </is>
      </c>
      <c r="C10" s="9" t="n">
        <v>0</v>
      </c>
      <c r="D10" s="9" t="n">
        <v>0</v>
      </c>
      <c r="E10" s="9" t="n">
        <v>0</v>
      </c>
      <c r="F10" s="9" t="n">
        <v>0</v>
      </c>
    </row>
    <row r="11">
      <c r="A11" s="8" t="inlineStr">
        <is>
          <t>MINDY SMITH</t>
        </is>
      </c>
      <c r="B11" s="8" t="inlineStr">
        <is>
          <t>MEMBER</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s>
  <sheetData>
    <row r="1">
      <c r="A1" s="1" t="inlineStr">
        <is>
          <t>New Auberry Water Association</t>
        </is>
      </c>
    </row>
    <row r="2">
      <c r="A2" s="2" t="inlineStr">
        <is>
          <t>Revenue - Form 990 Part VIII (USD)</t>
        </is>
      </c>
    </row>
    <row r="3">
      <c r="A3" s="2" t="inlineStr">
        <is>
          <t>Entity ID: cawc_0081   |   Fiscal year ends January 31.</t>
        </is>
      </c>
    </row>
    <row r="5">
      <c r="A5" s="4" t="inlineStr">
        <is>
          <t>Part VIII line</t>
        </is>
      </c>
      <c r="B5" s="5" t="inlineStr">
        <is>
          <t>FY2024</t>
        </is>
      </c>
      <c r="C5" s="5" t="inlineStr">
        <is>
          <t>FY2025</t>
        </is>
      </c>
    </row>
    <row r="6">
      <c r="A6" s="6" t="inlineStr">
        <is>
          <t>Revenue by category</t>
        </is>
      </c>
      <c r="B6" s="7" t="n"/>
      <c r="C6" s="7" t="n"/>
    </row>
    <row r="7">
      <c r="A7" s="8" t="inlineStr">
        <is>
          <t xml:space="preserve">    1h. Total contributions, gifts, grants</t>
        </is>
      </c>
      <c r="B7" s="9" t="n">
        <v>394004</v>
      </c>
      <c r="C7" s="9" t="n">
        <v>229943</v>
      </c>
    </row>
    <row r="8">
      <c r="A8" s="8" t="inlineStr">
        <is>
          <t xml:space="preserve">    2g. Total program service revenue</t>
        </is>
      </c>
      <c r="B8" s="17" t="inlineStr">
        <is>
          <t>not reported</t>
        </is>
      </c>
      <c r="C8" s="17" t="inlineStr">
        <is>
          <t>not reported</t>
        </is>
      </c>
    </row>
    <row r="9">
      <c r="A9" s="8" t="inlineStr">
        <is>
          <t xml:space="preserve">    3. Investment income</t>
        </is>
      </c>
      <c r="B9" s="9" t="n">
        <v>7</v>
      </c>
      <c r="C9" s="9" t="n">
        <v>7</v>
      </c>
    </row>
    <row r="10">
      <c r="A10" s="8" t="inlineStr">
        <is>
          <t xml:space="preserve">    6d. Net rental income</t>
        </is>
      </c>
      <c r="B10" s="9" t="n">
        <v>13300</v>
      </c>
      <c r="C10" s="9" t="n">
        <v>14400</v>
      </c>
    </row>
    <row r="11">
      <c r="A11" s="8" t="inlineStr">
        <is>
          <t xml:space="preserve">    7d. Net gain/(loss) from investment sales</t>
        </is>
      </c>
      <c r="B11" s="17" t="inlineStr">
        <is>
          <t>not reported</t>
        </is>
      </c>
      <c r="C11" s="17" t="inlineStr">
        <is>
          <t>not reported</t>
        </is>
      </c>
    </row>
    <row r="12">
      <c r="A12" s="8" t="inlineStr">
        <is>
          <t xml:space="preserve">    11e. Other revenue</t>
        </is>
      </c>
      <c r="B12" s="17" t="inlineStr">
        <is>
          <t>not reported</t>
        </is>
      </c>
      <c r="C12" s="17" t="inlineStr">
        <is>
          <t>not reported</t>
        </is>
      </c>
    </row>
    <row r="13">
      <c r="A13" s="10" t="inlineStr">
        <is>
          <t>12. Total revenue</t>
        </is>
      </c>
      <c r="B13" s="11">
        <f>SUM(B7:B12)</f>
        <v/>
      </c>
      <c r="C13" s="11">
        <f>SUM(C7:C12)</f>
        <v/>
      </c>
    </row>
    <row r="15" ht="42" customHeight="1">
      <c r="A15"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C1"/>
    <mergeCell ref="A3:C3"/>
    <mergeCell ref="A2:C2"/>
    <mergeCell ref="A15:C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s>
  <sheetData>
    <row r="1">
      <c r="A1" s="1" t="inlineStr">
        <is>
          <t>New Auberry Water Association</t>
        </is>
      </c>
    </row>
    <row r="2">
      <c r="A2" s="2" t="inlineStr">
        <is>
          <t>Statement of Functional Expenses - Form 990 Part IX (USD)</t>
        </is>
      </c>
    </row>
    <row r="3">
      <c r="A3" s="2" t="inlineStr">
        <is>
          <t>Entity ID: cawc_0081   |   Fiscal year ends January 31.</t>
        </is>
      </c>
    </row>
    <row r="5">
      <c r="A5" s="4" t="inlineStr">
        <is>
          <t>Part IX line (column A Total)</t>
        </is>
      </c>
      <c r="B5" s="5" t="inlineStr">
        <is>
          <t>FY2024</t>
        </is>
      </c>
      <c r="C5" s="5" t="inlineStr">
        <is>
          <t>FY2025</t>
        </is>
      </c>
    </row>
    <row r="6">
      <c r="A6" s="6" t="inlineStr">
        <is>
          <t>Functional expenses, column A Total - by year</t>
        </is>
      </c>
      <c r="B6" s="7" t="n"/>
      <c r="C6" s="7" t="n"/>
    </row>
    <row r="7">
      <c r="A7" s="8" t="inlineStr">
        <is>
          <t xml:space="preserve">    11b. Fees for services: legal</t>
        </is>
      </c>
      <c r="B7" s="9" t="n">
        <v>385</v>
      </c>
      <c r="C7" s="9" t="n">
        <v>85</v>
      </c>
    </row>
    <row r="8">
      <c r="A8" s="8" t="inlineStr">
        <is>
          <t xml:space="preserve">    11c. Fees for services: accounting</t>
        </is>
      </c>
      <c r="B8" s="9" t="n">
        <v>9142</v>
      </c>
      <c r="C8" s="9" t="n">
        <v>12980</v>
      </c>
    </row>
    <row r="9">
      <c r="A9" s="8" t="inlineStr">
        <is>
          <t xml:space="preserve">    13. Office expenses</t>
        </is>
      </c>
      <c r="B9" s="9" t="n">
        <v>1264</v>
      </c>
      <c r="C9" s="9" t="n">
        <v>1192</v>
      </c>
    </row>
    <row r="10">
      <c r="A10" s="8" t="inlineStr">
        <is>
          <t xml:space="preserve">    16. Occupancy</t>
        </is>
      </c>
      <c r="B10" s="9" t="n">
        <v>24576</v>
      </c>
      <c r="C10" s="9" t="n">
        <v>22303</v>
      </c>
    </row>
    <row r="11">
      <c r="A11" s="8" t="inlineStr">
        <is>
          <t xml:space="preserve">    23. Insurance</t>
        </is>
      </c>
      <c r="B11" s="9" t="n">
        <v>2289</v>
      </c>
      <c r="C11" s="9" t="n">
        <v>2621</v>
      </c>
    </row>
    <row r="12">
      <c r="A12" s="8" t="inlineStr">
        <is>
          <t xml:space="preserve">    24. SWRCB WATER SYS CONSTRUCTION</t>
        </is>
      </c>
      <c r="B12" s="9" t="n">
        <v>291600</v>
      </c>
      <c r="C12" s="9" t="n">
        <v>168636</v>
      </c>
    </row>
    <row r="13">
      <c r="A13" s="8" t="inlineStr">
        <is>
          <t xml:space="preserve">    24. CHISHOLD EXPENSES</t>
        </is>
      </c>
      <c r="B13" s="9" t="n">
        <v>8780</v>
      </c>
      <c r="C13" s="9" t="n">
        <v>9137</v>
      </c>
    </row>
    <row r="14">
      <c r="A14" s="8" t="inlineStr">
        <is>
          <t xml:space="preserve">    24. REPAIRS SPEC PROJECTS</t>
        </is>
      </c>
      <c r="B14" s="9" t="n">
        <v>19350</v>
      </c>
      <c r="C14" s="9" t="n">
        <v>38893</v>
      </c>
    </row>
    <row r="15">
      <c r="A15" s="8" t="inlineStr">
        <is>
          <t xml:space="preserve">    24. REPAIRS</t>
        </is>
      </c>
      <c r="B15" s="9" t="n">
        <v>4179</v>
      </c>
      <c r="C15" s="9" t="n">
        <v>4303</v>
      </c>
    </row>
    <row r="16">
      <c r="A16" s="8" t="inlineStr">
        <is>
          <t xml:space="preserve">    24e. All other expenses</t>
        </is>
      </c>
      <c r="B16" s="9" t="n">
        <v>11955</v>
      </c>
      <c r="C16" s="9" t="n">
        <v>11847</v>
      </c>
    </row>
    <row r="17">
      <c r="A17" s="10" t="inlineStr">
        <is>
          <t>25. Total functional expenses</t>
        </is>
      </c>
      <c r="B17" s="11">
        <f>SUM(B7:B16)</f>
        <v/>
      </c>
      <c r="C17" s="11">
        <f>SUM(C7:C16)</f>
        <v/>
      </c>
    </row>
    <row r="19">
      <c r="A19" s="6" t="inlineStr">
        <is>
          <t>Functional column split - FY2025 (col A = B + C + D)</t>
        </is>
      </c>
      <c r="B19" s="7" t="n"/>
      <c r="C19" s="7" t="n"/>
    </row>
    <row r="20">
      <c r="A20" s="5" t="inlineStr">
        <is>
          <t>Part IX line</t>
        </is>
      </c>
      <c r="B20" s="5" t="inlineStr">
        <is>
          <t>A. Total</t>
        </is>
      </c>
      <c r="C20" s="5" t="inlineStr">
        <is>
          <t>B. Program services</t>
        </is>
      </c>
      <c r="D20" s="5" t="inlineStr">
        <is>
          <t>C. Management &amp; general</t>
        </is>
      </c>
      <c r="E20" s="5" t="inlineStr">
        <is>
          <t>D. Fundraising</t>
        </is>
      </c>
    </row>
    <row r="21">
      <c r="A21" s="18" t="inlineStr">
        <is>
          <t>11b. Fees for services: legal</t>
        </is>
      </c>
      <c r="B21" s="9" t="n">
        <v>85</v>
      </c>
      <c r="C21" s="9" t="n">
        <v>85</v>
      </c>
      <c r="D21" s="9" t="n"/>
      <c r="E21" s="9" t="n"/>
    </row>
    <row r="22">
      <c r="A22" s="18" t="inlineStr">
        <is>
          <t>11c. Fees for services: accounting</t>
        </is>
      </c>
      <c r="B22" s="9" t="n">
        <v>12980</v>
      </c>
      <c r="C22" s="9" t="n">
        <v>12980</v>
      </c>
      <c r="D22" s="9" t="n"/>
      <c r="E22" s="9" t="n"/>
    </row>
    <row r="23">
      <c r="A23" s="18" t="inlineStr">
        <is>
          <t>13. Office expenses</t>
        </is>
      </c>
      <c r="B23" s="9" t="n">
        <v>1192</v>
      </c>
      <c r="C23" s="9" t="n">
        <v>1192</v>
      </c>
      <c r="D23" s="9" t="n"/>
      <c r="E23" s="9" t="n"/>
    </row>
    <row r="24">
      <c r="A24" s="18" t="inlineStr">
        <is>
          <t>16. Occupancy</t>
        </is>
      </c>
      <c r="B24" s="9" t="n">
        <v>22303</v>
      </c>
      <c r="C24" s="9" t="n">
        <v>22303</v>
      </c>
      <c r="D24" s="9" t="n"/>
      <c r="E24" s="9" t="n"/>
    </row>
    <row r="25">
      <c r="A25" s="18" t="inlineStr">
        <is>
          <t>23. Insurance</t>
        </is>
      </c>
      <c r="B25" s="9" t="n">
        <v>2621</v>
      </c>
      <c r="C25" s="9" t="n">
        <v>2621</v>
      </c>
      <c r="D25" s="9" t="n"/>
      <c r="E25" s="9" t="n"/>
    </row>
    <row r="26">
      <c r="A26" s="10" t="inlineStr">
        <is>
          <t>25. Total (filed col A / B / C / D)</t>
        </is>
      </c>
      <c r="B26" s="11" t="n">
        <v>271997</v>
      </c>
      <c r="C26" s="11" t="n">
        <v>271997</v>
      </c>
      <c r="D26" s="11" t="n">
        <v>0</v>
      </c>
      <c r="E26" s="11" t="n">
        <v>0</v>
      </c>
    </row>
    <row r="28" ht="42" customHeight="1">
      <c r="A2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1:C1"/>
    <mergeCell ref="A28:C28"/>
    <mergeCell ref="A3:C3"/>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s>
  <sheetData>
    <row r="1">
      <c r="A1" s="1" t="inlineStr">
        <is>
          <t>New Auberry Water Association</t>
        </is>
      </c>
    </row>
    <row r="2">
      <c r="A2" s="2" t="inlineStr">
        <is>
          <t>Balance Sheet - Form 990 Part X (end of year, USD)</t>
        </is>
      </c>
    </row>
    <row r="3">
      <c r="A3" s="2" t="inlineStr">
        <is>
          <t>Entity ID: cawc_0081   |   Fiscal year ends January 31.</t>
        </is>
      </c>
    </row>
    <row r="5">
      <c r="A5" s="4" t="inlineStr">
        <is>
          <t>Part X line (column B, EOY)</t>
        </is>
      </c>
      <c r="B5" s="5" t="inlineStr">
        <is>
          <t>FY2024</t>
        </is>
      </c>
      <c r="C5" s="5" t="inlineStr">
        <is>
          <t>FY2025</t>
        </is>
      </c>
    </row>
    <row r="6">
      <c r="A6" s="6" t="inlineStr">
        <is>
          <t>Assets</t>
        </is>
      </c>
      <c r="B6" s="7" t="n"/>
      <c r="C6" s="7" t="n"/>
    </row>
    <row r="7">
      <c r="A7" s="8" t="inlineStr">
        <is>
          <t xml:space="preserve">    1. Cash - non-interest-bearing</t>
        </is>
      </c>
      <c r="B7" s="9" t="n">
        <v>65510</v>
      </c>
      <c r="C7" s="9" t="n">
        <v>74718</v>
      </c>
    </row>
    <row r="8">
      <c r="A8" s="8" t="inlineStr">
        <is>
          <t xml:space="preserve">    2. Savings and temporary cash investments</t>
        </is>
      </c>
      <c r="B8" s="9" t="n">
        <v>170000</v>
      </c>
      <c r="C8" s="9" t="n">
        <v>133145</v>
      </c>
    </row>
    <row r="9">
      <c r="A9" s="10" t="inlineStr">
        <is>
          <t>16. Total assets</t>
        </is>
      </c>
      <c r="B9" s="11">
        <f>SUM(B7:B8)</f>
        <v/>
      </c>
      <c r="C9" s="11">
        <f>SUM(C7:C8)</f>
        <v/>
      </c>
    </row>
    <row r="11">
      <c r="A11" s="6" t="inlineStr">
        <is>
          <t>Liabilities</t>
        </is>
      </c>
      <c r="B11" s="7" t="n"/>
      <c r="C11" s="7" t="n"/>
    </row>
    <row r="12">
      <c r="A12" s="10" t="inlineStr">
        <is>
          <t>26. Total liabilities</t>
        </is>
      </c>
      <c r="B12" s="11">
        <f>SUM(B12:B11)</f>
        <v/>
      </c>
      <c r="C12" s="11">
        <f>SUM(C12:C11)</f>
        <v/>
      </c>
    </row>
    <row r="14">
      <c r="A14" s="6" t="inlineStr">
        <is>
          <t>Net assets / fund balances</t>
        </is>
      </c>
      <c r="B14" s="7" t="n"/>
      <c r="C14" s="7" t="n"/>
    </row>
    <row r="15">
      <c r="A15" s="8" t="inlineStr">
        <is>
          <t xml:space="preserve">    27. Net assets without donor restrictions</t>
        </is>
      </c>
      <c r="B15" s="9" t="n">
        <v>235510</v>
      </c>
      <c r="C15" s="9" t="n">
        <v>207863</v>
      </c>
    </row>
    <row r="16">
      <c r="A16" s="10" t="inlineStr">
        <is>
          <t>32. Total net assets / fund balances</t>
        </is>
      </c>
      <c r="B16" s="11">
        <f>SUM(B15:B15)</f>
        <v/>
      </c>
      <c r="C16" s="11">
        <f>SUM(C15:C15)</f>
        <v/>
      </c>
    </row>
    <row r="18" ht="42" customHeight="1">
      <c r="A18"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1:C1"/>
    <mergeCell ref="A18:C18"/>
    <mergeCell ref="A3:C3"/>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s>
  <sheetData>
    <row r="1">
      <c r="A1" s="1" t="inlineStr">
        <is>
          <t>New Auberry Water Association</t>
        </is>
      </c>
    </row>
    <row r="2">
      <c r="A2" s="2" t="inlineStr">
        <is>
          <t>Reconciliation of Net Assets - Form 990 Part XI (USD)</t>
        </is>
      </c>
    </row>
    <row r="3">
      <c r="A3" s="2" t="inlineStr">
        <is>
          <t>Entity ID: cawc_0081   |   Fiscal year ends January 31.</t>
        </is>
      </c>
    </row>
    <row r="5">
      <c r="A5" s="4" t="inlineStr">
        <is>
          <t>Part XI line</t>
        </is>
      </c>
      <c r="B5" s="5" t="inlineStr">
        <is>
          <t>FY2024</t>
        </is>
      </c>
      <c r="C5" s="5" t="inlineStr">
        <is>
          <t>FY2025</t>
        </is>
      </c>
    </row>
    <row r="6">
      <c r="A6" s="6" t="inlineStr">
        <is>
          <t>Reconciliation</t>
        </is>
      </c>
      <c r="B6" s="7" t="n"/>
      <c r="C6" s="7" t="n"/>
    </row>
    <row r="7">
      <c r="A7" s="8" t="inlineStr">
        <is>
          <t xml:space="preserve">    4. Net assets, beginning of year</t>
        </is>
      </c>
      <c r="B7" s="9" t="n">
        <v>201719</v>
      </c>
      <c r="C7" s="9" t="n">
        <v>235510</v>
      </c>
    </row>
    <row r="8">
      <c r="A8" s="8" t="inlineStr">
        <is>
          <t xml:space="preserve">    3. Revenue less expenses</t>
        </is>
      </c>
      <c r="B8" s="9" t="n">
        <v>33791</v>
      </c>
      <c r="C8" s="9" t="n">
        <v>-27647</v>
      </c>
    </row>
    <row r="9">
      <c r="A9" s="8" t="inlineStr">
        <is>
          <t xml:space="preserve">    8. Prior period adjustments</t>
        </is>
      </c>
      <c r="B9" s="17" t="inlineStr">
        <is>
          <t>not reported</t>
        </is>
      </c>
      <c r="C9" s="17" t="inlineStr">
        <is>
          <t>not reported</t>
        </is>
      </c>
    </row>
    <row r="10">
      <c r="A10" s="8" t="inlineStr">
        <is>
          <t xml:space="preserve">    9. Other changes in net assets</t>
        </is>
      </c>
      <c r="B10" s="9" t="n">
        <v>0</v>
      </c>
      <c r="C10" s="9" t="n">
        <v>0</v>
      </c>
    </row>
    <row r="11">
      <c r="A11" s="10" t="inlineStr">
        <is>
          <t>10. Net assets, end of year</t>
        </is>
      </c>
      <c r="B11" s="11">
        <f>SUM(B7,B8,B9,B10)</f>
        <v/>
      </c>
      <c r="C11" s="11">
        <f>SUM(C7,C8,C9,C10)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C1"/>
    <mergeCell ref="A13:C13"/>
    <mergeCell ref="A3:C3"/>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New Auberry Water Association</t>
        </is>
      </c>
    </row>
    <row r="2">
      <c r="A2" s="2" t="inlineStr">
        <is>
          <t>Cash Flow Proxies - derived (USD)</t>
        </is>
      </c>
    </row>
    <row r="3">
      <c r="A3" s="2" t="inlineStr">
        <is>
          <t>Entity ID: cawc_0081   |   Fiscal year ends January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6650</v>
      </c>
      <c r="C9" s="9" t="n">
        <v>18151</v>
      </c>
      <c r="D9" s="9" t="n">
        <v>7028</v>
      </c>
      <c r="E9" s="9" t="n">
        <v>33791</v>
      </c>
      <c r="F9" s="9" t="n">
        <v>-27647</v>
      </c>
    </row>
    <row r="10">
      <c r="A10" s="8" t="inlineStr">
        <is>
          <t xml:space="preserve">    + Depreciation (reported)</t>
        </is>
      </c>
      <c r="B10" s="9" t="n"/>
      <c r="C10" s="9" t="n"/>
      <c r="D10" s="9" t="n"/>
      <c r="E10" s="9" t="n"/>
      <c r="F10" s="9" t="n"/>
    </row>
    <row r="11">
      <c r="A11" s="8" t="inlineStr">
        <is>
          <t xml:space="preserve">    − Δ Accounts receivable</t>
        </is>
      </c>
      <c r="B11" s="9" t="n"/>
      <c r="C11" s="9" t="n"/>
      <c r="D11" s="9" t="n"/>
      <c r="E11" s="9" t="n"/>
      <c r="F11" s="9" t="n"/>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c r="D14" s="9" t="n"/>
      <c r="E14" s="9" t="n"/>
      <c r="F14" s="9" t="n"/>
    </row>
    <row r="15">
      <c r="A15" s="10" t="inlineStr">
        <is>
          <t xml:space="preserve">    Operating cash flow proxy</t>
        </is>
      </c>
      <c r="B15" s="11" t="n"/>
      <c r="C15" s="11" t="n">
        <v>18151</v>
      </c>
      <c r="D15" s="11" t="n">
        <v>7028</v>
      </c>
      <c r="E15" s="11" t="n">
        <v>33791</v>
      </c>
      <c r="F15" s="11" t="n">
        <v>-27647</v>
      </c>
    </row>
    <row r="17">
      <c r="A17" s="6" t="inlineStr">
        <is>
          <t>Investing</t>
        </is>
      </c>
      <c r="B17" s="7" t="n"/>
      <c r="C17" s="7" t="n"/>
      <c r="D17" s="7" t="n"/>
      <c r="E17" s="7" t="n"/>
      <c r="F17" s="7" t="n"/>
    </row>
    <row r="18">
      <c r="A18" s="8" t="inlineStr">
        <is>
          <t xml:space="preserve">    − Δ PP&amp;E gross (capex proxy)</t>
        </is>
      </c>
      <c r="B18" s="9" t="n"/>
      <c r="C18" s="9" t="n"/>
      <c r="D18" s="9" t="n"/>
      <c r="E18" s="9" t="n"/>
      <c r="F18" s="9" t="n"/>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18151</v>
      </c>
      <c r="D24" s="11" t="n">
        <v>-8642</v>
      </c>
      <c r="E24" s="11" t="n">
        <v>203791</v>
      </c>
      <c r="F24" s="11" t="n">
        <v>-27647</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New Auberry Water Association</t>
        </is>
      </c>
    </row>
    <row r="2">
      <c r="A2" s="2" t="inlineStr">
        <is>
          <t>Financial Ratios</t>
        </is>
      </c>
    </row>
    <row r="3">
      <c r="A3" s="2" t="inlineStr">
        <is>
          <t>Entity ID: cawc_0081   |   Fiscal year ends January 31.</t>
        </is>
      </c>
    </row>
    <row r="5">
      <c r="A5" s="4" t="inlineStr">
        <is>
          <t>Ratio</t>
        </is>
      </c>
      <c r="B5" s="5" t="inlineStr">
        <is>
          <t>FY2020</t>
        </is>
      </c>
      <c r="C5" s="5" t="inlineStr">
        <is>
          <t>FY2021</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0.09817961702567433</v>
      </c>
      <c r="C7" s="12" t="n">
        <v>0.2187262758329819</v>
      </c>
      <c r="D7" s="12" t="n">
        <v>0.04118202007535583</v>
      </c>
      <c r="E7" s="12" t="n">
        <v>0.08296117708581403</v>
      </c>
      <c r="F7" s="12" t="n">
        <v>-0.1131450787804379</v>
      </c>
    </row>
    <row r="8">
      <c r="A8" s="8" t="inlineStr">
        <is>
          <t xml:space="preserve">    Expense ratio (expenses / revenue)</t>
        </is>
      </c>
      <c r="B8" s="12" t="n">
        <v>0.9018203829743257</v>
      </c>
      <c r="C8" s="12" t="n">
        <v>0.7812737241670181</v>
      </c>
      <c r="D8" s="12" t="n">
        <v>0.9588179799246441</v>
      </c>
      <c r="E8" s="12" t="n">
        <v>0.9170388229141859</v>
      </c>
      <c r="F8" s="12" t="n">
        <v>1.113145078780438</v>
      </c>
    </row>
    <row r="9">
      <c r="A9" s="8" t="inlineStr">
        <is>
          <t xml:space="preserve">    Return on assets (NI / assets)</t>
        </is>
      </c>
      <c r="B9" s="12" t="n">
        <v>0.03459757556838874</v>
      </c>
      <c r="C9" s="12" t="n">
        <v>0.08628500530041215</v>
      </c>
      <c r="D9" s="12" t="n">
        <v>0.03484054551133012</v>
      </c>
      <c r="E9" s="12" t="n">
        <v>0.1434801070018258</v>
      </c>
      <c r="F9" s="12" t="n">
        <v>-0.1330058740612808</v>
      </c>
    </row>
    <row r="10">
      <c r="A10" s="8" t="inlineStr">
        <is>
          <t xml:space="preserve">    Revenue growth (YoY)</t>
        </is>
      </c>
      <c r="B10" s="12" t="n"/>
      <c r="C10" s="12" t="n"/>
      <c r="D10" s="12" t="n"/>
      <c r="E10" s="12" t="n">
        <v>1.386723076111733</v>
      </c>
      <c r="F10" s="12" t="n">
        <v>-0.4000898576272185</v>
      </c>
    </row>
    <row r="12">
      <c r="A12" s="6" t="inlineStr">
        <is>
          <t>Leverage &amp; solvency</t>
        </is>
      </c>
      <c r="B12" s="7" t="n"/>
      <c r="C12" s="7" t="n"/>
      <c r="D12" s="7" t="n"/>
      <c r="E12" s="7" t="n"/>
      <c r="F12" s="7" t="n"/>
    </row>
    <row r="13">
      <c r="A13" s="8" t="inlineStr">
        <is>
          <t xml:space="preserve">    Debt-to-assets (liab. / assets)</t>
        </is>
      </c>
      <c r="B13" s="12" t="n">
        <v>0</v>
      </c>
      <c r="C13" s="12" t="n">
        <v>0</v>
      </c>
      <c r="D13" s="12" t="n">
        <v>0</v>
      </c>
      <c r="E13" s="12" t="n">
        <v>0</v>
      </c>
      <c r="F13" s="12" t="n">
        <v>0</v>
      </c>
    </row>
    <row r="14">
      <c r="A14" s="8" t="inlineStr">
        <is>
          <t xml:space="preserve">    Equity ratio (net assets / assets)</t>
        </is>
      </c>
      <c r="B14" s="12" t="n">
        <v>1</v>
      </c>
      <c r="C14" s="12" t="n">
        <v>1</v>
      </c>
      <c r="D14" s="12" t="n">
        <v>1</v>
      </c>
      <c r="E14" s="12" t="n">
        <v>1</v>
      </c>
      <c r="F14" s="12" t="n">
        <v>1</v>
      </c>
    </row>
    <row r="16">
      <c r="A16" s="6" t="inlineStr">
        <is>
          <t>Liquidity &amp; asset profile (derived here)</t>
        </is>
      </c>
      <c r="B16" s="7" t="n"/>
      <c r="C16" s="7" t="n"/>
      <c r="D16" s="7" t="n"/>
      <c r="E16" s="7" t="n"/>
      <c r="F16" s="7" t="n"/>
    </row>
    <row r="17">
      <c r="A17" s="8" t="inlineStr">
        <is>
          <t xml:space="preserve">    Current ratio (current assets / AP)</t>
        </is>
      </c>
      <c r="B17" s="19" t="n"/>
      <c r="C17" s="19" t="n"/>
      <c r="D17" s="19" t="n"/>
      <c r="E17" s="19" t="n"/>
      <c r="F17" s="19" t="n"/>
    </row>
    <row r="18">
      <c r="A18" s="8" t="inlineStr">
        <is>
          <t xml:space="preserve">    Cash ratio ((cash+temp inv.) / total liab.)</t>
        </is>
      </c>
      <c r="B18" s="19" t="n"/>
      <c r="C18" s="19" t="n"/>
      <c r="D18" s="19" t="n"/>
      <c r="E18" s="19" t="n"/>
      <c r="F18" s="19" t="n"/>
    </row>
    <row r="19">
      <c r="A19" s="8" t="inlineStr">
        <is>
          <t xml:space="preserve">    Asset age proxy (accum. deprec. / gross PP&amp;E)</t>
        </is>
      </c>
      <c r="B19" s="12" t="n"/>
      <c r="C19" s="12" t="n"/>
      <c r="D19" s="12" t="n"/>
      <c r="E19" s="12" t="n"/>
      <c r="F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New Auberry Water Association</t>
        </is>
      </c>
    </row>
    <row r="2">
      <c r="A2" s="2" t="inlineStr">
        <is>
          <t>Unit economics - per-customer revenue by category (USD)</t>
        </is>
      </c>
    </row>
    <row r="3">
      <c r="A3" s="2" t="inlineStr">
        <is>
          <t>Entity ID: cawc_0081   |   Fiscal year ends January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New Auberry Water Association</t>
        </is>
      </c>
    </row>
    <row r="2">
      <c r="A2" s="2" t="inlineStr">
        <is>
          <t>Rate structure and representative bill - eAR Section 8a</t>
        </is>
      </c>
    </row>
    <row r="3">
      <c r="A3" s="2" t="inlineStr">
        <is>
          <t>Entity ID: cawc_0081   |   Fiscal year ends January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New Auberry Water Association</t>
        </is>
      </c>
    </row>
    <row r="2">
      <c r="A2" s="2" t="inlineStr">
        <is>
          <t>Operational metrics - plant per acre, density, terrain</t>
        </is>
      </c>
    </row>
    <row r="3">
      <c r="A3" s="2" t="inlineStr">
        <is>
          <t>Entity ID: cawc_0081   |   Fiscal year ends January 31.</t>
        </is>
      </c>
    </row>
    <row r="5">
      <c r="A5" s="6" t="inlineStr">
        <is>
          <t>Connections per acre</t>
        </is>
      </c>
      <c r="B5" s="7" t="n"/>
      <c r="C5" s="7" t="n"/>
    </row>
    <row r="6">
      <c r="A6" s="20" t="inlineStr">
        <is>
          <t>Connections per acre</t>
        </is>
      </c>
      <c r="B6" s="19" t="n">
        <v>0.18</v>
      </c>
      <c r="C6" s="22" t="inlineStr">
        <is>
          <t>35 connections / 199.1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New Auberry Water Association</t>
        </is>
      </c>
    </row>
    <row r="2">
      <c r="A2" s="2" t="inlineStr">
        <is>
          <t>Supply and weather indicators (DWR water year)</t>
        </is>
      </c>
    </row>
    <row r="3">
      <c r="A3" s="2" t="inlineStr">
        <is>
          <t>Entity ID: cawc_0081   |   Fiscal year ends January 31.</t>
        </is>
      </c>
    </row>
    <row r="5" ht="96" customHeight="1">
      <c r="A5" s="3" t="inlineStr">
        <is>
          <t>Reporting calendar: Different reporting periods. The DWR water year runs October 1 to September 30; this system's fiscal year ends January 31, so the two period ends are four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WY2023</t>
        </is>
      </c>
      <c r="E7" s="5" t="inlineStr">
        <is>
          <t>WY2024</t>
        </is>
      </c>
      <c r="F7" s="5" t="inlineStr">
        <is>
          <t>WY2025</t>
        </is>
      </c>
    </row>
    <row r="8">
      <c r="A8" s="8" t="inlineStr">
        <is>
          <t>Water-year type (Sacramento Valley)</t>
        </is>
      </c>
      <c r="B8" s="26" t="inlineStr">
        <is>
          <t>Dry</t>
        </is>
      </c>
      <c r="C8" s="26" t="inlineStr">
        <is>
          <t>Critical</t>
        </is>
      </c>
      <c r="D8" s="26" t="inlineStr">
        <is>
          <t>Wet</t>
        </is>
      </c>
      <c r="E8" s="26" t="inlineStr">
        <is>
          <t>Above Normal</t>
        </is>
      </c>
      <c r="F8" s="27" t="inlineStr">
        <is>
          <t>not reported</t>
        </is>
      </c>
    </row>
    <row r="9">
      <c r="A9" s="8" t="inlineStr">
        <is>
          <t>Peak drought, county County</t>
        </is>
      </c>
      <c r="B9" s="27" t="inlineStr">
        <is>
          <t>not reported</t>
        </is>
      </c>
      <c r="C9" s="27" t="inlineStr">
        <is>
          <t>not reported</t>
        </is>
      </c>
      <c r="D9" s="27" t="inlineStr">
        <is>
          <t>not reported</t>
        </is>
      </c>
      <c r="E9" s="27" t="inlineStr">
        <is>
          <t>not reported</t>
        </is>
      </c>
      <c r="F9" s="27" t="inlineStr">
        <is>
          <t>not reported</t>
        </is>
      </c>
    </row>
    <row r="10">
      <c r="A10" s="8" t="inlineStr">
        <is>
          <t>Precip, percent of normal (8-Station Index)</t>
        </is>
      </c>
      <c r="B10" s="26" t="inlineStr">
        <is>
          <t>63</t>
        </is>
      </c>
      <c r="C10" s="26" t="inlineStr">
        <is>
          <t>48</t>
        </is>
      </c>
      <c r="D10" s="26" t="inlineStr">
        <is>
          <t>133</t>
        </is>
      </c>
      <c r="E10" s="26" t="inlineStr">
        <is>
          <t>96</t>
        </is>
      </c>
      <c r="F10" s="26" t="inlineStr">
        <is>
          <t>113</t>
        </is>
      </c>
    </row>
    <row r="11">
      <c r="A11" s="8" t="inlineStr">
        <is>
          <t>Snowpack, April 1 percent of average</t>
        </is>
      </c>
      <c r="B11" s="26" t="inlineStr">
        <is>
          <t>53%</t>
        </is>
      </c>
      <c r="C11" s="26" t="inlineStr">
        <is>
          <t>59%</t>
        </is>
      </c>
      <c r="D11" s="26" t="inlineStr">
        <is>
          <t>237%</t>
        </is>
      </c>
      <c r="E11" s="26" t="inlineStr">
        <is>
          <t>110%</t>
        </is>
      </c>
      <c r="F11" s="26" t="inlineStr">
        <is>
          <t>96%</t>
        </is>
      </c>
    </row>
    <row r="12">
      <c r="A12" s="8" t="inlineStr">
        <is>
          <t>State Water Project allocation</t>
        </is>
      </c>
      <c r="B12" s="26" t="inlineStr">
        <is>
          <t>20%</t>
        </is>
      </c>
      <c r="C12" s="26" t="inlineStr">
        <is>
          <t>5%</t>
        </is>
      </c>
      <c r="D12" s="26" t="inlineStr">
        <is>
          <t>100%</t>
        </is>
      </c>
      <c r="E12" s="26" t="inlineStr">
        <is>
          <t>40%</t>
        </is>
      </c>
      <c r="F12" s="26"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New Auberry Water Association</t>
        </is>
      </c>
    </row>
    <row r="2">
      <c r="A2" s="2" t="inlineStr">
        <is>
          <t>How this was built - forensic lineage</t>
        </is>
      </c>
    </row>
    <row r="3">
      <c r="A3" s="2" t="inlineStr">
        <is>
          <t>Entity ID: cawc_0081   |   Fiscal year ends January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7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New Auberry Water Association</t>
        </is>
      </c>
    </row>
    <row r="2">
      <c r="A2" s="2" t="inlineStr">
        <is>
          <t>Sources &amp; audit - full provenance and tie-outs (kept off the statements so they read clean)</t>
        </is>
      </c>
    </row>
    <row r="3">
      <c r="A3" s="2" t="inlineStr">
        <is>
          <t>Entity ID: cawc_0081   |   Fiscal year ends January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8"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6" t="inlineStr">
        <is>
          <t>FY2020</t>
        </is>
      </c>
      <c r="B10" s="8" t="inlineStr">
        <is>
          <t>2020-01-31</t>
        </is>
      </c>
      <c r="C10" s="8" t="inlineStr">
        <is>
          <t>990-EZ</t>
        </is>
      </c>
      <c r="D10" s="8" t="inlineStr">
        <is>
          <t>high</t>
        </is>
      </c>
      <c r="E10" s="8" t="inlineStr">
        <is>
          <t>e2ee2aac-e25a-4de2-a67a-ddc6245faa46</t>
        </is>
      </c>
      <c r="F10" s="8" t="inlineStr">
        <is>
          <t>202021879349200502</t>
        </is>
      </c>
      <c r="G10" s="8" t="inlineStr">
        <is>
          <t>claude-opus-5</t>
        </is>
      </c>
      <c r="H10" s="8" t="inlineStr">
        <is>
          <t>2026-09-21T02:50:01+00:00</t>
        </is>
      </c>
      <c r="I10" s="8" t="inlineStr">
        <is>
          <t>https://apps.irs.gov/pub/epostcard/990/xml/2020/download990xml_2020_4.zip#202021879349200502_public.xml</t>
        </is>
      </c>
    </row>
    <row r="11">
      <c r="A11" s="26" t="inlineStr">
        <is>
          <t>FY2021</t>
        </is>
      </c>
      <c r="B11" s="8" t="inlineStr">
        <is>
          <t>2021-01-31</t>
        </is>
      </c>
      <c r="C11" s="8" t="inlineStr">
        <is>
          <t>990-EZ</t>
        </is>
      </c>
      <c r="D11" s="8" t="inlineStr">
        <is>
          <t>high</t>
        </is>
      </c>
      <c r="E11" s="8" t="inlineStr">
        <is>
          <t>117b96e2-e7da-4895-8e92-889a5f3dd0f9</t>
        </is>
      </c>
      <c r="F11" s="8" t="inlineStr">
        <is>
          <t>202132639349200888</t>
        </is>
      </c>
      <c r="G11" s="8" t="inlineStr">
        <is>
          <t>claude-opus-5</t>
        </is>
      </c>
      <c r="H11" s="8" t="inlineStr">
        <is>
          <t>2026-09-21T02:50:01+00:00</t>
        </is>
      </c>
      <c r="I11" s="8" t="inlineStr">
        <is>
          <t>https://apps.irs.gov/pub/epostcard/990/xml/2021/2021_TEOS_XML_01A.zip#202132639349200888_public.xml</t>
        </is>
      </c>
    </row>
    <row r="12">
      <c r="A12" s="26" t="inlineStr">
        <is>
          <t>FY2023</t>
        </is>
      </c>
      <c r="B12" s="8" t="inlineStr">
        <is>
          <t>2023-01-31</t>
        </is>
      </c>
      <c r="C12" s="8" t="inlineStr">
        <is>
          <t>990-EZ</t>
        </is>
      </c>
      <c r="D12" s="8" t="inlineStr">
        <is>
          <t>high</t>
        </is>
      </c>
      <c r="E12" s="8" t="inlineStr">
        <is>
          <t>064e0720-8c02-4611-b508-9c49d66e84a9</t>
        </is>
      </c>
      <c r="F12" s="8" t="inlineStr">
        <is>
          <t>202302519349201410</t>
        </is>
      </c>
      <c r="G12" s="8" t="inlineStr">
        <is>
          <t>claude-opus-5</t>
        </is>
      </c>
      <c r="H12" s="8" t="inlineStr">
        <is>
          <t>2026-09-21T02:50:01+00:00</t>
        </is>
      </c>
      <c r="I12" s="8" t="inlineStr">
        <is>
          <t>https://apps.irs.gov/pub/epostcard/990/xml/2023/2023_TEOS_XML_09A.zip#202302519349201410_public.xml</t>
        </is>
      </c>
    </row>
    <row r="13">
      <c r="A13" s="26" t="inlineStr">
        <is>
          <t>FY2024</t>
        </is>
      </c>
      <c r="B13" s="8" t="inlineStr">
        <is>
          <t>2024-01-31</t>
        </is>
      </c>
      <c r="C13" s="8" t="inlineStr">
        <is>
          <t>990</t>
        </is>
      </c>
      <c r="D13" s="8" t="inlineStr">
        <is>
          <t>high</t>
        </is>
      </c>
      <c r="E13" s="8" t="inlineStr">
        <is>
          <t>273623c1-b7a1-40b4-92b7-851dcf081ef3</t>
        </is>
      </c>
      <c r="F13" s="8" t="inlineStr">
        <is>
          <t>202401709349301450</t>
        </is>
      </c>
      <c r="G13" s="8" t="inlineStr">
        <is>
          <t>claude-opus-5</t>
        </is>
      </c>
      <c r="H13" s="8" t="inlineStr">
        <is>
          <t>2026-09-21T02:50:01+00:00</t>
        </is>
      </c>
      <c r="I13" s="8" t="inlineStr">
        <is>
          <t>https://apps.irs.gov/pub/epostcard/990/xml/2024/2024_TEOS_XML_06A.zip#202401709349301450_public.xml</t>
        </is>
      </c>
    </row>
    <row r="14">
      <c r="A14" s="26" t="inlineStr">
        <is>
          <t>FY2025</t>
        </is>
      </c>
      <c r="B14" s="8" t="inlineStr">
        <is>
          <t>2025-01-31</t>
        </is>
      </c>
      <c r="C14" s="8" t="inlineStr">
        <is>
          <t>990</t>
        </is>
      </c>
      <c r="D14" s="8" t="inlineStr">
        <is>
          <t>high</t>
        </is>
      </c>
      <c r="E14" s="8" t="inlineStr">
        <is>
          <t>ca45586e-ad9c-46d2-95dc-d6254d6de869</t>
        </is>
      </c>
      <c r="F14" s="8" t="inlineStr">
        <is>
          <t>202522099349300642</t>
        </is>
      </c>
      <c r="G14" s="8" t="inlineStr">
        <is>
          <t>claude-opus-5</t>
        </is>
      </c>
      <c r="H14" s="8" t="inlineStr">
        <is>
          <t>2026-09-21T02:50:01+00:00</t>
        </is>
      </c>
      <c r="I14" s="8" t="inlineStr">
        <is>
          <t>https://apps.irs.gov/pub/epostcard/990/xml/2025/2025_TEOS_XML_08A.zip#202522099349300642_public.xml</t>
        </is>
      </c>
    </row>
    <row r="16">
      <c r="A16" s="28"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0</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0</v>
      </c>
    </row>
    <row r="20">
      <c r="A20" s="8" t="inlineStr">
        <is>
          <t>Financial Statements</t>
        </is>
      </c>
      <c r="B20" s="8" t="inlineStr">
        <is>
          <t>B74</t>
        </is>
      </c>
      <c r="C20" s="8" t="inlineStr">
        <is>
          <t>11b. Gross income from other sources</t>
        </is>
      </c>
      <c r="D20" s="8" t="inlineStr">
        <is>
          <t>11b</t>
        </is>
      </c>
      <c r="E20" s="8" t="inlineStr">
        <is>
          <t>part_v_other_irs_filings.other_sources_gross_income</t>
        </is>
      </c>
      <c r="F20" s="8" t="inlineStr">
        <is>
          <t>high</t>
        </is>
      </c>
      <c r="G20" s="9" t="n">
        <v>0</v>
      </c>
    </row>
    <row r="21">
      <c r="A21" s="8" t="inlineStr">
        <is>
          <t>Financial Statements</t>
        </is>
      </c>
      <c r="B21" s="8" t="inlineStr">
        <is>
          <t>C74</t>
        </is>
      </c>
      <c r="C21" s="8" t="inlineStr">
        <is>
          <t>11b. Gross income from other sources</t>
        </is>
      </c>
      <c r="D21" s="8" t="inlineStr">
        <is>
          <t>11b</t>
        </is>
      </c>
      <c r="E21" s="8" t="inlineStr">
        <is>
          <t>part_v_other_irs_filings.other_sources_gross_income</t>
        </is>
      </c>
      <c r="F21" s="8" t="inlineStr">
        <is>
          <t>high</t>
        </is>
      </c>
      <c r="G21" s="9" t="n">
        <v>0</v>
      </c>
    </row>
    <row r="22">
      <c r="A22" s="8" t="inlineStr">
        <is>
          <t>Revenue (detail)</t>
        </is>
      </c>
      <c r="B22" s="8" t="inlineStr">
        <is>
          <t>B7</t>
        </is>
      </c>
      <c r="C22" s="8" t="inlineStr">
        <is>
          <t>1h. Total contributions, gifts, grants</t>
        </is>
      </c>
      <c r="D22" s="8" t="inlineStr">
        <is>
          <t>1h</t>
        </is>
      </c>
      <c r="E22" s="8" t="inlineStr">
        <is>
          <t>part_viii_revenue.total_contributions</t>
        </is>
      </c>
      <c r="F22" s="8" t="inlineStr">
        <is>
          <t>high</t>
        </is>
      </c>
      <c r="G22" s="9" t="n">
        <v>394004</v>
      </c>
    </row>
    <row r="23">
      <c r="A23" s="8" t="inlineStr">
        <is>
          <t>Revenue (detail)</t>
        </is>
      </c>
      <c r="B23" s="8" t="inlineStr">
        <is>
          <t>C7</t>
        </is>
      </c>
      <c r="C23" s="8" t="inlineStr">
        <is>
          <t>1h. Total contributions, gifts, grants</t>
        </is>
      </c>
      <c r="D23" s="8" t="inlineStr">
        <is>
          <t>1h</t>
        </is>
      </c>
      <c r="E23" s="8" t="inlineStr">
        <is>
          <t>part_viii_revenue.total_contributions</t>
        </is>
      </c>
      <c r="F23" s="8" t="inlineStr">
        <is>
          <t>high</t>
        </is>
      </c>
      <c r="G23" s="9" t="n">
        <v>229943</v>
      </c>
    </row>
    <row r="24">
      <c r="A24" s="8" t="inlineStr">
        <is>
          <t>Revenue (detail)</t>
        </is>
      </c>
      <c r="B24" s="8" t="inlineStr">
        <is>
          <t>B9</t>
        </is>
      </c>
      <c r="C24" s="8" t="inlineStr">
        <is>
          <t>3. Investment income</t>
        </is>
      </c>
      <c r="D24" s="8" t="inlineStr">
        <is>
          <t>3</t>
        </is>
      </c>
      <c r="E24" s="8" t="inlineStr">
        <is>
          <t>part_viii_revenue.investment_income</t>
        </is>
      </c>
      <c r="F24" s="8" t="inlineStr">
        <is>
          <t>high</t>
        </is>
      </c>
      <c r="G24" s="9" t="n">
        <v>7</v>
      </c>
    </row>
    <row r="25">
      <c r="A25" s="8" t="inlineStr">
        <is>
          <t>Revenue (detail)</t>
        </is>
      </c>
      <c r="B25" s="8" t="inlineStr">
        <is>
          <t>C9</t>
        </is>
      </c>
      <c r="C25" s="8" t="inlineStr">
        <is>
          <t>3. Investment income</t>
        </is>
      </c>
      <c r="D25" s="8" t="inlineStr">
        <is>
          <t>3</t>
        </is>
      </c>
      <c r="E25" s="8" t="inlineStr">
        <is>
          <t>part_viii_revenue.investment_income</t>
        </is>
      </c>
      <c r="F25" s="8" t="inlineStr">
        <is>
          <t>high</t>
        </is>
      </c>
      <c r="G25" s="9" t="n">
        <v>7</v>
      </c>
    </row>
    <row r="26">
      <c r="A26" s="8" t="inlineStr">
        <is>
          <t>Revenue (detail)</t>
        </is>
      </c>
      <c r="B26" s="8" t="inlineStr">
        <is>
          <t>B10</t>
        </is>
      </c>
      <c r="C26" s="8" t="inlineStr">
        <is>
          <t>6d. Net rental income</t>
        </is>
      </c>
      <c r="D26" s="8" t="inlineStr">
        <is>
          <t>6d</t>
        </is>
      </c>
      <c r="E26" s="8" t="inlineStr">
        <is>
          <t>part_viii_revenue.net_rental_income</t>
        </is>
      </c>
      <c r="F26" s="8" t="inlineStr">
        <is>
          <t>high</t>
        </is>
      </c>
      <c r="G26" s="9" t="n">
        <v>13300</v>
      </c>
    </row>
    <row r="27">
      <c r="A27" s="8" t="inlineStr">
        <is>
          <t>Revenue (detail)</t>
        </is>
      </c>
      <c r="B27" s="8" t="inlineStr">
        <is>
          <t>C10</t>
        </is>
      </c>
      <c r="C27" s="8" t="inlineStr">
        <is>
          <t>6d. Net rental income</t>
        </is>
      </c>
      <c r="D27" s="8" t="inlineStr">
        <is>
          <t>6d</t>
        </is>
      </c>
      <c r="E27" s="8" t="inlineStr">
        <is>
          <t>part_viii_revenue.net_rental_income</t>
        </is>
      </c>
      <c r="F27" s="8" t="inlineStr">
        <is>
          <t>high</t>
        </is>
      </c>
      <c r="G27" s="9" t="n">
        <v>14400</v>
      </c>
    </row>
    <row r="28">
      <c r="A28" s="8" t="inlineStr">
        <is>
          <t>Operating expenses (detail)</t>
        </is>
      </c>
      <c r="B28" s="8" t="inlineStr">
        <is>
          <t>B7</t>
        </is>
      </c>
      <c r="C28" s="8" t="inlineStr">
        <is>
          <t>11b. Fees for services: legal</t>
        </is>
      </c>
      <c r="D28" s="8" t="inlineStr">
        <is>
          <t>11b</t>
        </is>
      </c>
      <c r="E28" s="8" t="inlineStr">
        <is>
          <t>part_ix_expenses.fees_legal</t>
        </is>
      </c>
      <c r="F28" s="8" t="inlineStr">
        <is>
          <t>high</t>
        </is>
      </c>
      <c r="G28" s="9" t="n">
        <v>385</v>
      </c>
    </row>
    <row r="29">
      <c r="A29" s="8" t="inlineStr">
        <is>
          <t>Operating expenses (detail)</t>
        </is>
      </c>
      <c r="B29" s="8" t="inlineStr">
        <is>
          <t>C7</t>
        </is>
      </c>
      <c r="C29" s="8" t="inlineStr">
        <is>
          <t>11b. Fees for services: legal</t>
        </is>
      </c>
      <c r="D29" s="8" t="inlineStr">
        <is>
          <t>11b</t>
        </is>
      </c>
      <c r="E29" s="8" t="inlineStr">
        <is>
          <t>part_ix_expenses.fees_legal</t>
        </is>
      </c>
      <c r="F29" s="8" t="inlineStr">
        <is>
          <t>high</t>
        </is>
      </c>
      <c r="G29" s="9" t="n">
        <v>85</v>
      </c>
    </row>
    <row r="30">
      <c r="A30" s="8" t="inlineStr">
        <is>
          <t>Operating expenses (detail)</t>
        </is>
      </c>
      <c r="B30" s="8" t="inlineStr">
        <is>
          <t>B8</t>
        </is>
      </c>
      <c r="C30" s="8" t="inlineStr">
        <is>
          <t>11c. Fees for services: accounting</t>
        </is>
      </c>
      <c r="D30" s="8" t="inlineStr">
        <is>
          <t>11c</t>
        </is>
      </c>
      <c r="E30" s="8" t="inlineStr">
        <is>
          <t>part_ix_expenses.fees_accounting</t>
        </is>
      </c>
      <c r="F30" s="8" t="inlineStr">
        <is>
          <t>high</t>
        </is>
      </c>
      <c r="G30" s="9" t="n">
        <v>9142</v>
      </c>
    </row>
    <row r="31">
      <c r="A31" s="8" t="inlineStr">
        <is>
          <t>Operating expenses (detail)</t>
        </is>
      </c>
      <c r="B31" s="8" t="inlineStr">
        <is>
          <t>C8</t>
        </is>
      </c>
      <c r="C31" s="8" t="inlineStr">
        <is>
          <t>11c. Fees for services: accounting</t>
        </is>
      </c>
      <c r="D31" s="8" t="inlineStr">
        <is>
          <t>11c</t>
        </is>
      </c>
      <c r="E31" s="8" t="inlineStr">
        <is>
          <t>part_ix_expenses.fees_accounting</t>
        </is>
      </c>
      <c r="F31" s="8" t="inlineStr">
        <is>
          <t>high</t>
        </is>
      </c>
      <c r="G31" s="9" t="n">
        <v>12980</v>
      </c>
    </row>
    <row r="32">
      <c r="A32" s="8" t="inlineStr">
        <is>
          <t>Operating expenses (detail)</t>
        </is>
      </c>
      <c r="B32" s="8" t="inlineStr">
        <is>
          <t>B9</t>
        </is>
      </c>
      <c r="C32" s="8" t="inlineStr">
        <is>
          <t>13. Office expenses</t>
        </is>
      </c>
      <c r="D32" s="8" t="inlineStr">
        <is>
          <t>13</t>
        </is>
      </c>
      <c r="E32" s="8" t="inlineStr">
        <is>
          <t>part_ix_expenses.office_expenses</t>
        </is>
      </c>
      <c r="F32" s="8" t="inlineStr">
        <is>
          <t>high</t>
        </is>
      </c>
      <c r="G32" s="9" t="n">
        <v>1264</v>
      </c>
    </row>
    <row r="33">
      <c r="A33" s="8" t="inlineStr">
        <is>
          <t>Operating expenses (detail)</t>
        </is>
      </c>
      <c r="B33" s="8" t="inlineStr">
        <is>
          <t>C9</t>
        </is>
      </c>
      <c r="C33" s="8" t="inlineStr">
        <is>
          <t>13. Office expenses</t>
        </is>
      </c>
      <c r="D33" s="8" t="inlineStr">
        <is>
          <t>13</t>
        </is>
      </c>
      <c r="E33" s="8" t="inlineStr">
        <is>
          <t>part_ix_expenses.office_expenses</t>
        </is>
      </c>
      <c r="F33" s="8" t="inlineStr">
        <is>
          <t>high</t>
        </is>
      </c>
      <c r="G33" s="9" t="n">
        <v>1192</v>
      </c>
    </row>
    <row r="34">
      <c r="A34" s="8" t="inlineStr">
        <is>
          <t>Operating expenses (detail)</t>
        </is>
      </c>
      <c r="B34" s="8" t="inlineStr">
        <is>
          <t>B10</t>
        </is>
      </c>
      <c r="C34" s="8" t="inlineStr">
        <is>
          <t>16. Occupancy</t>
        </is>
      </c>
      <c r="D34" s="8" t="inlineStr">
        <is>
          <t>16</t>
        </is>
      </c>
      <c r="E34" s="8" t="inlineStr">
        <is>
          <t>part_ix_expenses.occupancy</t>
        </is>
      </c>
      <c r="F34" s="8" t="inlineStr">
        <is>
          <t>high</t>
        </is>
      </c>
      <c r="G34" s="9" t="n">
        <v>24576</v>
      </c>
    </row>
    <row r="35">
      <c r="A35" s="8" t="inlineStr">
        <is>
          <t>Operating expenses (detail)</t>
        </is>
      </c>
      <c r="B35" s="8" t="inlineStr">
        <is>
          <t>C10</t>
        </is>
      </c>
      <c r="C35" s="8" t="inlineStr">
        <is>
          <t>16. Occupancy</t>
        </is>
      </c>
      <c r="D35" s="8" t="inlineStr">
        <is>
          <t>16</t>
        </is>
      </c>
      <c r="E35" s="8" t="inlineStr">
        <is>
          <t>part_ix_expenses.occupancy</t>
        </is>
      </c>
      <c r="F35" s="8" t="inlineStr">
        <is>
          <t>high</t>
        </is>
      </c>
      <c r="G35" s="9" t="n">
        <v>22303</v>
      </c>
    </row>
    <row r="36">
      <c r="A36" s="8" t="inlineStr">
        <is>
          <t>Operating expenses (detail)</t>
        </is>
      </c>
      <c r="B36" s="8" t="inlineStr">
        <is>
          <t>B11</t>
        </is>
      </c>
      <c r="C36" s="8" t="inlineStr">
        <is>
          <t>23. Insurance</t>
        </is>
      </c>
      <c r="D36" s="8" t="inlineStr">
        <is>
          <t>23</t>
        </is>
      </c>
      <c r="E36" s="8" t="inlineStr">
        <is>
          <t>part_ix_expenses.insurance</t>
        </is>
      </c>
      <c r="F36" s="8" t="inlineStr">
        <is>
          <t>high</t>
        </is>
      </c>
      <c r="G36" s="9" t="n">
        <v>2289</v>
      </c>
    </row>
    <row r="37">
      <c r="A37" s="8" t="inlineStr">
        <is>
          <t>Operating expenses (detail)</t>
        </is>
      </c>
      <c r="B37" s="8" t="inlineStr">
        <is>
          <t>C11</t>
        </is>
      </c>
      <c r="C37" s="8" t="inlineStr">
        <is>
          <t>23. Insurance</t>
        </is>
      </c>
      <c r="D37" s="8" t="inlineStr">
        <is>
          <t>23</t>
        </is>
      </c>
      <c r="E37" s="8" t="inlineStr">
        <is>
          <t>part_ix_expenses.insurance</t>
        </is>
      </c>
      <c r="F37" s="8" t="inlineStr">
        <is>
          <t>high</t>
        </is>
      </c>
      <c r="G37" s="9" t="n">
        <v>2621</v>
      </c>
    </row>
    <row r="38">
      <c r="A38" s="8" t="inlineStr">
        <is>
          <t>Operating expenses (detail)</t>
        </is>
      </c>
      <c r="B38" s="8" t="inlineStr">
        <is>
          <t>B16</t>
        </is>
      </c>
      <c r="C38" s="8" t="inlineStr">
        <is>
          <t>24e. All other expenses</t>
        </is>
      </c>
      <c r="D38" s="8" t="inlineStr">
        <is>
          <t>24e</t>
        </is>
      </c>
      <c r="E38" s="8" t="inlineStr">
        <is>
          <t>part_ix_expenses.all_other_expenses</t>
        </is>
      </c>
      <c r="F38" s="8" t="inlineStr">
        <is>
          <t>high</t>
        </is>
      </c>
      <c r="G38" s="9" t="n">
        <v>11955</v>
      </c>
    </row>
    <row r="39">
      <c r="A39" s="8" t="inlineStr">
        <is>
          <t>Operating expenses (detail)</t>
        </is>
      </c>
      <c r="B39" s="8" t="inlineStr">
        <is>
          <t>C16</t>
        </is>
      </c>
      <c r="C39" s="8" t="inlineStr">
        <is>
          <t>24e. All other expenses</t>
        </is>
      </c>
      <c r="D39" s="8" t="inlineStr">
        <is>
          <t>24e</t>
        </is>
      </c>
      <c r="E39" s="8" t="inlineStr">
        <is>
          <t>part_ix_expenses.all_other_expenses</t>
        </is>
      </c>
      <c r="F39" s="8" t="inlineStr">
        <is>
          <t>high</t>
        </is>
      </c>
      <c r="G39" s="9" t="n">
        <v>11847</v>
      </c>
    </row>
    <row r="40">
      <c r="A40" s="8" t="inlineStr">
        <is>
          <t>Balance sheet (detail)</t>
        </is>
      </c>
      <c r="B40" s="8" t="inlineStr">
        <is>
          <t>B7</t>
        </is>
      </c>
      <c r="C40" s="8" t="inlineStr">
        <is>
          <t>1. Cash - non-interest-bearing</t>
        </is>
      </c>
      <c r="D40" s="8" t="inlineStr">
        <is>
          <t>1E</t>
        </is>
      </c>
      <c r="E40" s="8" t="inlineStr">
        <is>
          <t>part_x_balance_sheet.cash_noninterest_eoy</t>
        </is>
      </c>
      <c r="F40" s="8" t="inlineStr">
        <is>
          <t>high</t>
        </is>
      </c>
      <c r="G40" s="9" t="n">
        <v>65510</v>
      </c>
    </row>
    <row r="41">
      <c r="A41" s="8" t="inlineStr">
        <is>
          <t>Balance sheet (detail)</t>
        </is>
      </c>
      <c r="B41" s="8" t="inlineStr">
        <is>
          <t>C7</t>
        </is>
      </c>
      <c r="C41" s="8" t="inlineStr">
        <is>
          <t>1. Cash - non-interest-bearing</t>
        </is>
      </c>
      <c r="D41" s="8" t="inlineStr">
        <is>
          <t>1E</t>
        </is>
      </c>
      <c r="E41" s="8" t="inlineStr">
        <is>
          <t>part_x_balance_sheet.cash_noninterest_eoy</t>
        </is>
      </c>
      <c r="F41" s="8" t="inlineStr">
        <is>
          <t>high</t>
        </is>
      </c>
      <c r="G41" s="9" t="n">
        <v>74718</v>
      </c>
    </row>
    <row r="42">
      <c r="A42" s="8" t="inlineStr">
        <is>
          <t>Balance sheet (detail)</t>
        </is>
      </c>
      <c r="B42" s="8" t="inlineStr">
        <is>
          <t>B8</t>
        </is>
      </c>
      <c r="C42" s="8" t="inlineStr">
        <is>
          <t>2. Savings and temporary cash investments</t>
        </is>
      </c>
      <c r="D42" s="8" t="inlineStr">
        <is>
          <t>2E</t>
        </is>
      </c>
      <c r="E42" s="8" t="inlineStr">
        <is>
          <t>part_x_balance_sheet.savings_temp_invest_eoy</t>
        </is>
      </c>
      <c r="F42" s="8" t="inlineStr">
        <is>
          <t>high</t>
        </is>
      </c>
      <c r="G42" s="9" t="n">
        <v>170000</v>
      </c>
    </row>
    <row r="43">
      <c r="A43" s="8" t="inlineStr">
        <is>
          <t>Balance sheet (detail)</t>
        </is>
      </c>
      <c r="B43" s="8" t="inlineStr">
        <is>
          <t>C8</t>
        </is>
      </c>
      <c r="C43" s="8" t="inlineStr">
        <is>
          <t>2. Savings and temporary cash investments</t>
        </is>
      </c>
      <c r="D43" s="8" t="inlineStr">
        <is>
          <t>2E</t>
        </is>
      </c>
      <c r="E43" s="8" t="inlineStr">
        <is>
          <t>part_x_balance_sheet.savings_temp_invest_eoy</t>
        </is>
      </c>
      <c r="F43" s="8" t="inlineStr">
        <is>
          <t>high</t>
        </is>
      </c>
      <c r="G43" s="9" t="n">
        <v>133145</v>
      </c>
    </row>
    <row r="44">
      <c r="A44" s="8" t="inlineStr">
        <is>
          <t>Balance sheet (detail)</t>
        </is>
      </c>
      <c r="B44" s="8" t="inlineStr">
        <is>
          <t>B15</t>
        </is>
      </c>
      <c r="C44" s="8" t="inlineStr">
        <is>
          <t>27. Net assets without donor restrictions</t>
        </is>
      </c>
      <c r="D44" s="8" t="inlineStr">
        <is>
          <t>27E</t>
        </is>
      </c>
      <c r="E44" s="8" t="inlineStr">
        <is>
          <t>part_x_balance_sheet.net_assets_no_donor_restriction_eoy</t>
        </is>
      </c>
      <c r="F44" s="8" t="inlineStr">
        <is>
          <t>high</t>
        </is>
      </c>
      <c r="G44" s="9" t="n">
        <v>235510</v>
      </c>
    </row>
    <row r="45">
      <c r="A45" s="8" t="inlineStr">
        <is>
          <t>Balance sheet (detail)</t>
        </is>
      </c>
      <c r="B45" s="8" t="inlineStr">
        <is>
          <t>C15</t>
        </is>
      </c>
      <c r="C45" s="8" t="inlineStr">
        <is>
          <t>27. Net assets without donor restrictions</t>
        </is>
      </c>
      <c r="D45" s="8" t="inlineStr">
        <is>
          <t>27E</t>
        </is>
      </c>
      <c r="E45" s="8" t="inlineStr">
        <is>
          <t>part_x_balance_sheet.net_assets_no_donor_restriction_eoy</t>
        </is>
      </c>
      <c r="F45" s="8" t="inlineStr">
        <is>
          <t>high</t>
        </is>
      </c>
      <c r="G45" s="9" t="n">
        <v>207863</v>
      </c>
    </row>
    <row r="46">
      <c r="A46" s="8" t="inlineStr">
        <is>
          <t>Net-assets reconciliation</t>
        </is>
      </c>
      <c r="B46" s="8" t="inlineStr">
        <is>
          <t>B7</t>
        </is>
      </c>
      <c r="C46" s="8" t="inlineStr">
        <is>
          <t>4. Net assets, beginning of year</t>
        </is>
      </c>
      <c r="D46" s="8" t="inlineStr">
        <is>
          <t>Part XI line 4</t>
        </is>
      </c>
      <c r="E46" s="8" t="inlineStr">
        <is>
          <t>part_xi_reconciliation.net_assets_boy</t>
        </is>
      </c>
      <c r="F46" s="8" t="inlineStr">
        <is>
          <t>high</t>
        </is>
      </c>
      <c r="G46" s="9" t="n">
        <v>201719</v>
      </c>
    </row>
    <row r="47">
      <c r="A47" s="8" t="inlineStr">
        <is>
          <t>Net-assets reconciliation</t>
        </is>
      </c>
      <c r="B47" s="8" t="inlineStr">
        <is>
          <t>C7</t>
        </is>
      </c>
      <c r="C47" s="8" t="inlineStr">
        <is>
          <t>4. Net assets, beginning of year</t>
        </is>
      </c>
      <c r="D47" s="8" t="inlineStr">
        <is>
          <t>Part XI line 4</t>
        </is>
      </c>
      <c r="E47" s="8" t="inlineStr">
        <is>
          <t>part_xi_reconciliation.net_assets_boy</t>
        </is>
      </c>
      <c r="F47" s="8" t="inlineStr">
        <is>
          <t>high</t>
        </is>
      </c>
      <c r="G47" s="9" t="n">
        <v>235510</v>
      </c>
    </row>
    <row r="48">
      <c r="A48" s="8" t="inlineStr">
        <is>
          <t>Net-assets reconciliation</t>
        </is>
      </c>
      <c r="B48" s="8" t="inlineStr">
        <is>
          <t>B8</t>
        </is>
      </c>
      <c r="C48" s="8" t="inlineStr">
        <is>
          <t>3. Revenue less expenses</t>
        </is>
      </c>
      <c r="D48" s="8" t="inlineStr">
        <is>
          <t>Part XI line 3</t>
        </is>
      </c>
      <c r="E48" s="8" t="inlineStr">
        <is>
          <t>part_xi_reconciliation.reconciliation_revenue_expenses</t>
        </is>
      </c>
      <c r="F48" s="8" t="inlineStr">
        <is>
          <t>high</t>
        </is>
      </c>
      <c r="G48" s="9" t="n">
        <v>33791</v>
      </c>
    </row>
    <row r="49">
      <c r="A49" s="8" t="inlineStr">
        <is>
          <t>Net-assets reconciliation</t>
        </is>
      </c>
      <c r="B49" s="8" t="inlineStr">
        <is>
          <t>C8</t>
        </is>
      </c>
      <c r="C49" s="8" t="inlineStr">
        <is>
          <t>3. Revenue less expenses</t>
        </is>
      </c>
      <c r="D49" s="8" t="inlineStr">
        <is>
          <t>Part XI line 3</t>
        </is>
      </c>
      <c r="E49" s="8" t="inlineStr">
        <is>
          <t>part_xi_reconciliation.reconciliation_revenue_expenses</t>
        </is>
      </c>
      <c r="F49" s="8" t="inlineStr">
        <is>
          <t>high</t>
        </is>
      </c>
      <c r="G49" s="9" t="n">
        <v>-27647</v>
      </c>
    </row>
    <row r="50">
      <c r="A50" s="8" t="inlineStr">
        <is>
          <t>Net-assets reconciliation</t>
        </is>
      </c>
      <c r="B50" s="8" t="inlineStr">
        <is>
          <t>B10</t>
        </is>
      </c>
      <c r="C50" s="8" t="inlineStr">
        <is>
          <t>9. Other changes in net assets</t>
        </is>
      </c>
      <c r="D50" s="8" t="inlineStr">
        <is>
          <t>Part XI line 9</t>
        </is>
      </c>
      <c r="E50" s="8" t="inlineStr">
        <is>
          <t>part_xi_reconciliation.other_changes_net_assets</t>
        </is>
      </c>
      <c r="F50" s="8" t="inlineStr">
        <is>
          <t>high</t>
        </is>
      </c>
      <c r="G50" s="9" t="n">
        <v>0</v>
      </c>
    </row>
    <row r="51">
      <c r="A51" s="8" t="inlineStr">
        <is>
          <t>Net-assets reconciliation</t>
        </is>
      </c>
      <c r="B51" s="8" t="inlineStr">
        <is>
          <t>C10</t>
        </is>
      </c>
      <c r="C51" s="8" t="inlineStr">
        <is>
          <t>9. Other changes in net assets</t>
        </is>
      </c>
      <c r="D51" s="8" t="inlineStr">
        <is>
          <t>Part XI line 9</t>
        </is>
      </c>
      <c r="E51" s="8" t="inlineStr">
        <is>
          <t>part_xi_reconciliation.other_changes_net_assets</t>
        </is>
      </c>
      <c r="F51" s="8" t="inlineStr">
        <is>
          <t>high</t>
        </is>
      </c>
      <c r="G51" s="9" t="n">
        <v>0</v>
      </c>
    </row>
    <row r="53">
      <c r="A53" s="28" t="inlineStr">
        <is>
          <t>C. Tie-out checks (filed vs computed; any nonzero variance is flagged red)</t>
        </is>
      </c>
      <c r="B53" s="7" t="n"/>
      <c r="C53" s="7" t="n"/>
      <c r="D53" s="7" t="n"/>
      <c r="E53" s="7" t="n"/>
      <c r="F53" s="7" t="n"/>
      <c r="G53" s="7" t="n"/>
      <c r="H53" s="7" t="n"/>
      <c r="I53" s="7" t="n"/>
      <c r="J53" s="7" t="n"/>
      <c r="K53" s="7" t="n"/>
    </row>
    <row r="54">
      <c r="A54" s="5" t="inlineStr">
        <is>
          <t>Tab</t>
        </is>
      </c>
      <c r="B54" s="5" t="inlineStr">
        <is>
          <t>Check</t>
        </is>
      </c>
      <c r="C54" s="5" t="inlineStr">
        <is>
          <t>Fiscal year</t>
        </is>
      </c>
      <c r="D54" s="5" t="inlineStr">
        <is>
          <t>Filed</t>
        </is>
      </c>
      <c r="E54" s="5" t="inlineStr">
        <is>
          <t>Computed</t>
        </is>
      </c>
      <c r="F54" s="5" t="inlineStr">
        <is>
          <t>Variance (computed - filed)</t>
        </is>
      </c>
    </row>
    <row r="55">
      <c r="A55" s="18" t="inlineStr">
        <is>
          <t>Revenue (detail)</t>
        </is>
      </c>
      <c r="B55" s="18" t="inlineStr">
        <is>
          <t>12. Total revenue</t>
        </is>
      </c>
      <c r="C55" s="18" t="inlineStr">
        <is>
          <t>FY2024</t>
        </is>
      </c>
      <c r="D55" s="9" t="n">
        <v>407311</v>
      </c>
      <c r="E55" s="9">
        <f>'Revenue (detail)'!B13</f>
        <v/>
      </c>
      <c r="F55" s="9">
        <f>E55-D55</f>
        <v/>
      </c>
    </row>
    <row r="56">
      <c r="A56" s="18" t="inlineStr">
        <is>
          <t>Revenue (detail)</t>
        </is>
      </c>
      <c r="B56" s="18" t="inlineStr">
        <is>
          <t>12. Total revenue</t>
        </is>
      </c>
      <c r="C56" s="18" t="inlineStr">
        <is>
          <t>FY2025</t>
        </is>
      </c>
      <c r="D56" s="9" t="n">
        <v>244350</v>
      </c>
      <c r="E56" s="9">
        <f>'Revenue (detail)'!C13</f>
        <v/>
      </c>
      <c r="F56" s="9">
        <f>E56-D56</f>
        <v/>
      </c>
    </row>
    <row r="57">
      <c r="A57" s="18" t="inlineStr">
        <is>
          <t>Operating expenses (detail)</t>
        </is>
      </c>
      <c r="B57" s="18" t="inlineStr">
        <is>
          <t>25. Total functional expenses</t>
        </is>
      </c>
      <c r="C57" s="18" t="inlineStr">
        <is>
          <t>FY2024</t>
        </is>
      </c>
      <c r="D57" s="9" t="n">
        <v>373520</v>
      </c>
      <c r="E57" s="9">
        <f>'Operating expenses (detail)'!B17</f>
        <v/>
      </c>
      <c r="F57" s="9">
        <f>E57-D57</f>
        <v/>
      </c>
    </row>
    <row r="58">
      <c r="A58" s="18" t="inlineStr">
        <is>
          <t>Operating expenses (detail)</t>
        </is>
      </c>
      <c r="B58" s="18" t="inlineStr">
        <is>
          <t>25. Total functional expenses</t>
        </is>
      </c>
      <c r="C58" s="18" t="inlineStr">
        <is>
          <t>FY2025</t>
        </is>
      </c>
      <c r="D58" s="9" t="n">
        <v>271997</v>
      </c>
      <c r="E58" s="9">
        <f>'Operating expenses (detail)'!C17</f>
        <v/>
      </c>
      <c r="F58" s="9">
        <f>E58-D58</f>
        <v/>
      </c>
    </row>
    <row r="59">
      <c r="A59" s="18" t="inlineStr">
        <is>
          <t>Operating expenses (detail)</t>
        </is>
      </c>
      <c r="B59" s="18" t="inlineStr">
        <is>
          <t>Part IX column split: col A = B + C + D (FY2025)</t>
        </is>
      </c>
      <c r="C59" s="18" t="inlineStr">
        <is>
          <t>FY2025</t>
        </is>
      </c>
      <c r="D59" s="9">
        <f>'Operating expenses (detail)'!B26</f>
        <v/>
      </c>
      <c r="E59" s="9">
        <f>'Operating expenses (detail)'!C26+'Operating expenses (detail)'!D26+'Operating expenses (detail)'!E26</f>
        <v/>
      </c>
      <c r="F59" s="9">
        <f>E59-D59</f>
        <v/>
      </c>
    </row>
    <row r="60">
      <c r="A60" s="18" t="inlineStr">
        <is>
          <t>Balance sheet (detail)</t>
        </is>
      </c>
      <c r="B60" s="18" t="inlineStr">
        <is>
          <t>16. Total assets</t>
        </is>
      </c>
      <c r="C60" s="18" t="inlineStr">
        <is>
          <t>FY2024</t>
        </is>
      </c>
      <c r="D60" s="9" t="n">
        <v>235510</v>
      </c>
      <c r="E60" s="9">
        <f>'Balance sheet (detail)'!B9</f>
        <v/>
      </c>
      <c r="F60" s="9">
        <f>E60-D60</f>
        <v/>
      </c>
    </row>
    <row r="61">
      <c r="A61" s="18" t="inlineStr">
        <is>
          <t>Balance sheet (detail)</t>
        </is>
      </c>
      <c r="B61" s="18" t="inlineStr">
        <is>
          <t>16. Total assets</t>
        </is>
      </c>
      <c r="C61" s="18" t="inlineStr">
        <is>
          <t>FY2025</t>
        </is>
      </c>
      <c r="D61" s="9" t="n">
        <v>207863</v>
      </c>
      <c r="E61" s="9">
        <f>'Balance sheet (detail)'!C9</f>
        <v/>
      </c>
      <c r="F61" s="9">
        <f>E61-D61</f>
        <v/>
      </c>
    </row>
    <row r="62">
      <c r="A62" s="18" t="inlineStr">
        <is>
          <t>Balance sheet (detail)</t>
        </is>
      </c>
      <c r="B62" s="18" t="inlineStr">
        <is>
          <t>26. Total liabilities</t>
        </is>
      </c>
      <c r="C62" s="18" t="inlineStr">
        <is>
          <t>FY2024</t>
        </is>
      </c>
      <c r="D62" s="9" t="n">
        <v>0</v>
      </c>
      <c r="E62" s="9">
        <f>'Balance sheet (detail)'!B12</f>
        <v/>
      </c>
      <c r="F62" s="9">
        <f>E62-D62</f>
        <v/>
      </c>
    </row>
    <row r="63">
      <c r="A63" s="18" t="inlineStr">
        <is>
          <t>Balance sheet (detail)</t>
        </is>
      </c>
      <c r="B63" s="18" t="inlineStr">
        <is>
          <t>26. Total liabilities</t>
        </is>
      </c>
      <c r="C63" s="18" t="inlineStr">
        <is>
          <t>FY2025</t>
        </is>
      </c>
      <c r="D63" s="9" t="n">
        <v>0</v>
      </c>
      <c r="E63" s="9">
        <f>'Balance sheet (detail)'!C12</f>
        <v/>
      </c>
      <c r="F63" s="9">
        <f>E63-D63</f>
        <v/>
      </c>
    </row>
    <row r="64">
      <c r="A64" s="18" t="inlineStr">
        <is>
          <t>Balance sheet (detail)</t>
        </is>
      </c>
      <c r="B64" s="18" t="inlineStr">
        <is>
          <t>32. Total net assets / fund balances</t>
        </is>
      </c>
      <c r="C64" s="18" t="inlineStr">
        <is>
          <t>FY2024</t>
        </is>
      </c>
      <c r="D64" s="9" t="n">
        <v>235510</v>
      </c>
      <c r="E64" s="9">
        <f>'Balance sheet (detail)'!B16</f>
        <v/>
      </c>
      <c r="F64" s="9">
        <f>E64-D64</f>
        <v/>
      </c>
    </row>
    <row r="65">
      <c r="A65" s="18" t="inlineStr">
        <is>
          <t>Balance sheet (detail)</t>
        </is>
      </c>
      <c r="B65" s="18" t="inlineStr">
        <is>
          <t>32. Total net assets / fund balances</t>
        </is>
      </c>
      <c r="C65" s="18" t="inlineStr">
        <is>
          <t>FY2025</t>
        </is>
      </c>
      <c r="D65" s="9" t="n">
        <v>207863</v>
      </c>
      <c r="E65" s="9">
        <f>'Balance sheet (detail)'!C16</f>
        <v/>
      </c>
      <c r="F65" s="9">
        <f>E65-D65</f>
        <v/>
      </c>
    </row>
    <row r="66">
      <c r="A66" s="18" t="inlineStr">
        <is>
          <t>Balance sheet (detail)</t>
        </is>
      </c>
      <c r="B66" s="18" t="inlineStr">
        <is>
          <t>Balance sheet identity: line 16 = line 26 + line 32 (EOY)</t>
        </is>
      </c>
      <c r="C66" s="18" t="inlineStr">
        <is>
          <t>FY2024</t>
        </is>
      </c>
      <c r="D66" s="9">
        <f>'Balance sheet (detail)'!B9</f>
        <v/>
      </c>
      <c r="E66" s="9">
        <f>SUM('Balance sheet (detail)'!B12,'Balance sheet (detail)'!B16)</f>
        <v/>
      </c>
      <c r="F66" s="9">
        <f>E66-D66</f>
        <v/>
      </c>
    </row>
    <row r="67">
      <c r="A67" s="18" t="inlineStr">
        <is>
          <t>Balance sheet (detail)</t>
        </is>
      </c>
      <c r="B67" s="18" t="inlineStr">
        <is>
          <t>Balance sheet identity: line 16 = line 26 + line 32 (EOY)</t>
        </is>
      </c>
      <c r="C67" s="18" t="inlineStr">
        <is>
          <t>FY2025</t>
        </is>
      </c>
      <c r="D67" s="9">
        <f>'Balance sheet (detail)'!C9</f>
        <v/>
      </c>
      <c r="E67" s="9">
        <f>SUM('Balance sheet (detail)'!C12,'Balance sheet (detail)'!C16)</f>
        <v/>
      </c>
      <c r="F67" s="9">
        <f>E67-D67</f>
        <v/>
      </c>
    </row>
    <row r="68">
      <c r="A68" s="18" t="inlineStr">
        <is>
          <t>Net-assets reconciliation</t>
        </is>
      </c>
      <c r="B68" s="18" t="inlineStr">
        <is>
          <t>10. Net assets, end of year</t>
        </is>
      </c>
      <c r="C68" s="18" t="inlineStr">
        <is>
          <t>FY2024</t>
        </is>
      </c>
      <c r="D68" s="9" t="n">
        <v>235510</v>
      </c>
      <c r="E68" s="9">
        <f>'Net-assets reconciliation'!B11</f>
        <v/>
      </c>
      <c r="F68" s="9">
        <f>E68-D68</f>
        <v/>
      </c>
    </row>
    <row r="69">
      <c r="A69" s="18" t="inlineStr">
        <is>
          <t>Net-assets reconciliation</t>
        </is>
      </c>
      <c r="B69" s="18" t="inlineStr">
        <is>
          <t>10. Net assets, end of year</t>
        </is>
      </c>
      <c r="C69" s="18" t="inlineStr">
        <is>
          <t>FY2025</t>
        </is>
      </c>
      <c r="D69" s="9" t="n">
        <v>207863</v>
      </c>
      <c r="E69" s="9">
        <f>'Net-assets reconciliation'!C11</f>
        <v/>
      </c>
      <c r="F69" s="9">
        <f>E69-D69</f>
        <v/>
      </c>
    </row>
    <row r="71">
      <c r="A71" s="28" t="inlineStr">
        <is>
          <t>D. Preparer / auditor trail (one row per fiscal year, as filed)</t>
        </is>
      </c>
      <c r="B71" s="7" t="n"/>
      <c r="C71" s="7" t="n"/>
      <c r="D71" s="7" t="n"/>
      <c r="E71" s="7" t="n"/>
      <c r="F71" s="7" t="n"/>
      <c r="G71" s="7" t="n"/>
      <c r="H71" s="7" t="n"/>
      <c r="I71" s="7" t="n"/>
      <c r="J71" s="7" t="n"/>
      <c r="K71" s="7" t="n"/>
    </row>
    <row r="72">
      <c r="A72" s="5" t="inlineStr">
        <is>
          <t>Fiscal year</t>
        </is>
      </c>
      <c r="B72" s="5" t="inlineStr">
        <is>
          <t>Paid preparer</t>
        </is>
      </c>
      <c r="C72" s="5" t="inlineStr">
        <is>
          <t>Preparer firm</t>
        </is>
      </c>
      <c r="D72" s="5" t="inlineStr">
        <is>
          <t>Independent auditor</t>
        </is>
      </c>
      <c r="E72" s="5" t="inlineStr">
        <is>
          <t>Citation</t>
        </is>
      </c>
    </row>
    <row r="73" ht="42" customHeight="1">
      <c r="A73" s="26" t="inlineStr">
        <is>
          <t>FY2024</t>
        </is>
      </c>
      <c r="B73" s="8" t="inlineStr">
        <is>
          <t>WENDELL STANDRIDGE</t>
        </is>
      </c>
      <c r="C73" s="8" t="inlineStr">
        <is>
          <t>WENDELL STANDRIDGE</t>
        </is>
      </c>
      <c r="D73" s="29" t="inlineStr">
        <is>
          <t>not reported</t>
        </is>
      </c>
      <c r="E73" s="21" t="inlineStr">
        <is>
          <t>Form 990 Return Header, Paid Preparer block (return_header.preparer_person_name / preparer_firm_name); auditor: Part XII line 2 reports audited financial statements but does not name the firm.</t>
        </is>
      </c>
    </row>
    <row r="74" ht="42" customHeight="1">
      <c r="A74" s="26" t="inlineStr">
        <is>
          <t>FY2025</t>
        </is>
      </c>
      <c r="B74" s="8" t="inlineStr">
        <is>
          <t>WENDELL STANDRIDGE</t>
        </is>
      </c>
      <c r="C74" s="8" t="inlineStr">
        <is>
          <t>WENDELL STANDRIDGE</t>
        </is>
      </c>
      <c r="D74" s="29" t="inlineStr">
        <is>
          <t>not reported</t>
        </is>
      </c>
      <c r="E74" s="21" t="inlineStr">
        <is>
          <t>Form 990 Return Header, Paid Preparer block (return_header.preparer_person_name / preparer_firm_name); auditor: Part XII line 2 reports audited financial statements but does not name the firm.</t>
        </is>
      </c>
    </row>
    <row r="76" ht="42" customHeight="1">
      <c r="A7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76:K76"/>
    <mergeCell ref="A1:K1"/>
  </mergeCells>
  <conditionalFormatting sqref="F55:F69">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