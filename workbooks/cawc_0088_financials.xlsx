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Financial Summary - multi-year overview (USD)</t>
        </is>
      </c>
    </row>
    <row r="3">
      <c r="A3" s="2" t="inlineStr">
        <is>
          <t>Entity ID: cawc_0088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155199</v>
      </c>
      <c r="C10" s="9" t="n">
        <v>155516</v>
      </c>
      <c r="D10" s="9" t="n">
        <v>158048</v>
      </c>
      <c r="E10" s="9" t="n">
        <v>170957</v>
      </c>
      <c r="F10" s="9" t="n">
        <v>193123</v>
      </c>
      <c r="G10" s="9" t="n">
        <v>185560</v>
      </c>
    </row>
    <row r="11">
      <c r="A11" s="8" t="inlineStr">
        <is>
          <t xml:space="preserve">    Total expenses</t>
        </is>
      </c>
      <c r="B11" s="9" t="n">
        <v>135821</v>
      </c>
      <c r="C11" s="9" t="n">
        <v>141501</v>
      </c>
      <c r="D11" s="9" t="n">
        <v>170843</v>
      </c>
      <c r="E11" s="9" t="n">
        <v>152378</v>
      </c>
      <c r="F11" s="9" t="n">
        <v>170866</v>
      </c>
      <c r="G11" s="9" t="n">
        <v>182547</v>
      </c>
    </row>
    <row r="12">
      <c r="A12" s="10" t="inlineStr">
        <is>
          <t xml:space="preserve">    Net income</t>
        </is>
      </c>
      <c r="B12" s="11" t="n">
        <v>19378</v>
      </c>
      <c r="C12" s="11" t="n">
        <v>14015</v>
      </c>
      <c r="D12" s="11" t="n">
        <v>-12795</v>
      </c>
      <c r="E12" s="11" t="n">
        <v>18579</v>
      </c>
      <c r="F12" s="11" t="n">
        <v>22257</v>
      </c>
      <c r="G12" s="11" t="n">
        <v>3013</v>
      </c>
    </row>
    <row r="14">
      <c r="A14" s="6" t="inlineStr">
        <is>
          <t>Financial position (USD, end of year)</t>
        </is>
      </c>
      <c r="B14" s="7" t="n"/>
      <c r="C14" s="7" t="n"/>
      <c r="D14" s="7" t="n"/>
      <c r="E14" s="7" t="n"/>
      <c r="F14" s="7" t="n"/>
      <c r="G14" s="7" t="n"/>
    </row>
    <row r="15">
      <c r="A15" s="8" t="inlineStr">
        <is>
          <t xml:space="preserve">    Total assets</t>
        </is>
      </c>
      <c r="B15" s="9" t="n">
        <v>436947</v>
      </c>
      <c r="C15" s="9" t="n">
        <v>448938</v>
      </c>
      <c r="D15" s="9" t="n">
        <v>437692</v>
      </c>
      <c r="E15" s="9" t="n">
        <v>456308</v>
      </c>
      <c r="F15" s="9" t="n">
        <v>481049</v>
      </c>
      <c r="G15" s="9" t="n">
        <v>489703</v>
      </c>
    </row>
    <row r="16">
      <c r="A16" s="8" t="inlineStr">
        <is>
          <t xml:space="preserve">    Total liabilities</t>
        </is>
      </c>
      <c r="B16" s="9" t="n">
        <v>7496</v>
      </c>
      <c r="C16" s="9" t="n">
        <v>5472</v>
      </c>
      <c r="D16" s="9" t="n">
        <v>7021</v>
      </c>
      <c r="E16" s="9" t="n">
        <v>7058</v>
      </c>
      <c r="F16" s="9" t="n">
        <v>9542</v>
      </c>
      <c r="G16" s="9" t="n">
        <v>15183</v>
      </c>
    </row>
    <row r="17">
      <c r="A17" s="10" t="inlineStr">
        <is>
          <t xml:space="preserve">    Net assets</t>
        </is>
      </c>
      <c r="B17" s="11" t="n">
        <v>429451</v>
      </c>
      <c r="C17" s="11" t="n">
        <v>443466</v>
      </c>
      <c r="D17" s="11" t="n">
        <v>430671</v>
      </c>
      <c r="E17" s="11" t="n">
        <v>449250</v>
      </c>
      <c r="F17" s="11" t="n">
        <v>471507</v>
      </c>
      <c r="G17" s="11" t="n">
        <v>474520</v>
      </c>
    </row>
    <row r="19">
      <c r="A19" s="6" t="inlineStr">
        <is>
          <t>Headline ratios</t>
        </is>
      </c>
      <c r="B19" s="7" t="n"/>
      <c r="C19" s="7" t="n"/>
      <c r="D19" s="7" t="n"/>
      <c r="E19" s="7" t="n"/>
      <c r="F19" s="7" t="n"/>
      <c r="G19" s="7" t="n"/>
    </row>
    <row r="20">
      <c r="A20" s="8" t="inlineStr">
        <is>
          <t xml:space="preserve">    Operating margin</t>
        </is>
      </c>
      <c r="B20" s="12" t="n">
        <v>0.124859051926881</v>
      </c>
      <c r="C20" s="12" t="n">
        <v>0.09011934463334963</v>
      </c>
      <c r="D20" s="12" t="n">
        <v>-0.08095641830330026</v>
      </c>
      <c r="E20" s="12" t="n">
        <v>0.1086764508034184</v>
      </c>
      <c r="F20" s="12" t="n">
        <v>0.1152477954464253</v>
      </c>
      <c r="G20" s="12" t="n">
        <v>0.01623733563267946</v>
      </c>
    </row>
    <row r="21">
      <c r="A21" s="8" t="inlineStr">
        <is>
          <t xml:space="preserve">    Revenue growth (YoY)</t>
        </is>
      </c>
      <c r="B21" s="12" t="n"/>
      <c r="C21" s="12" t="n"/>
      <c r="D21" s="12" t="n"/>
      <c r="E21" s="12" t="n"/>
      <c r="F21" s="12" t="n"/>
      <c r="G21" s="12" t="n"/>
    </row>
    <row r="22">
      <c r="A22" s="8" t="inlineStr">
        <is>
          <t xml:space="preserve">    Return on assets</t>
        </is>
      </c>
      <c r="B22" s="12" t="n">
        <v>0.04434862809448285</v>
      </c>
      <c r="C22" s="12" t="n">
        <v>0.03121811920577006</v>
      </c>
      <c r="D22" s="12" t="n">
        <v>-0.02923288522522687</v>
      </c>
      <c r="E22" s="12" t="n">
        <v>0.04071591994880651</v>
      </c>
      <c r="F22" s="12" t="n">
        <v>0.04626763593729537</v>
      </c>
      <c r="G22" s="12" t="n">
        <v>0.00615270888681507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Financial Statements - income statement, balance sheet, cash flow, member income test (USD)</t>
        </is>
      </c>
    </row>
    <row r="3">
      <c r="A3" s="2" t="inlineStr">
        <is>
          <t>Entity ID: cawc_0088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135821</v>
      </c>
      <c r="C19" s="11" t="n">
        <v>141501</v>
      </c>
      <c r="D19" s="11" t="n">
        <v>170843</v>
      </c>
      <c r="E19" s="11" t="n">
        <v>152378</v>
      </c>
      <c r="F19" s="11" t="n">
        <v>170866</v>
      </c>
      <c r="G19" s="11" t="n">
        <v>182547</v>
      </c>
    </row>
    <row r="21">
      <c r="A21" s="10" t="inlineStr">
        <is>
          <t>Net income</t>
        </is>
      </c>
      <c r="B21" s="11" t="n">
        <v>19378</v>
      </c>
      <c r="C21" s="11" t="n">
        <v>14015</v>
      </c>
      <c r="D21" s="11" t="n">
        <v>-12795</v>
      </c>
      <c r="E21" s="11" t="n">
        <v>18579</v>
      </c>
      <c r="F21" s="11" t="n">
        <v>22257</v>
      </c>
      <c r="G21" s="11" t="n">
        <v>3013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179411</v>
      </c>
      <c r="C27" s="9" t="n">
        <v>203150</v>
      </c>
      <c r="D27" s="9" t="n">
        <v>192023</v>
      </c>
      <c r="E27" s="9" t="n">
        <v>198661</v>
      </c>
      <c r="F27" s="9" t="n">
        <v>229703</v>
      </c>
      <c r="G27" s="9" t="n">
        <v>239994</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43235</v>
      </c>
      <c r="C34" s="11" t="n">
        <v>43235</v>
      </c>
      <c r="D34" s="11" t="n">
        <v>43235</v>
      </c>
      <c r="E34" s="11" t="n">
        <v>43235</v>
      </c>
      <c r="F34" s="11" t="n">
        <v>43235</v>
      </c>
      <c r="G34" s="11" t="n">
        <v>43235</v>
      </c>
    </row>
    <row r="35">
      <c r="A35" s="10" t="inlineStr">
        <is>
          <t>Total assets</t>
        </is>
      </c>
      <c r="B35" s="11" t="n">
        <v>436947</v>
      </c>
      <c r="C35" s="11" t="n">
        <v>448938</v>
      </c>
      <c r="D35" s="11" t="n">
        <v>437692</v>
      </c>
      <c r="E35" s="11" t="n">
        <v>456308</v>
      </c>
      <c r="F35" s="11" t="n">
        <v>481049</v>
      </c>
      <c r="G35" s="11" t="n">
        <v>489703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7496</v>
      </c>
      <c r="C40" s="11" t="n">
        <v>5472</v>
      </c>
      <c r="D40" s="11" t="n">
        <v>7021</v>
      </c>
      <c r="E40" s="11" t="n">
        <v>7058</v>
      </c>
      <c r="F40" s="11" t="n">
        <v>9542</v>
      </c>
      <c r="G40" s="11" t="n">
        <v>15183</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429451</v>
      </c>
      <c r="C46" s="11" t="n">
        <v>443466</v>
      </c>
      <c r="D46" s="11" t="n">
        <v>430671</v>
      </c>
      <c r="E46" s="11" t="n">
        <v>449250</v>
      </c>
      <c r="F46" s="11" t="n">
        <v>471507</v>
      </c>
      <c r="G46" s="11" t="n">
        <v>474520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19378</v>
      </c>
      <c r="C52" s="9" t="n">
        <v>14015</v>
      </c>
      <c r="D52" s="9" t="n">
        <v>-12795</v>
      </c>
      <c r="E52" s="9" t="n">
        <v>18579</v>
      </c>
      <c r="F52" s="9" t="n">
        <v>22257</v>
      </c>
      <c r="G52" s="9" t="n">
        <v>3013</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14015</v>
      </c>
      <c r="D58" s="11" t="n">
        <v>-12795</v>
      </c>
      <c r="E58" s="11" t="n">
        <v>18579</v>
      </c>
      <c r="F58" s="11" t="n">
        <v>22257</v>
      </c>
      <c r="G58" s="11" t="n">
        <v>3013</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23739</v>
      </c>
      <c r="D67" s="11" t="n">
        <v>-11127</v>
      </c>
      <c r="E67" s="11" t="n">
        <v>6638</v>
      </c>
      <c r="F67" s="11" t="n">
        <v>31042</v>
      </c>
      <c r="G67" s="11" t="n">
        <v>10291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Balance Sheet - as reported (USD, end of year)</t>
        </is>
      </c>
    </row>
    <row r="3">
      <c r="A3" s="2" t="inlineStr">
        <is>
          <t>Entity ID: cawc_0088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179411</v>
      </c>
      <c r="C7" s="9" t="n">
        <v>203150</v>
      </c>
      <c r="D7" s="9" t="n">
        <v>192023</v>
      </c>
      <c r="E7" s="9" t="n">
        <v>198661</v>
      </c>
      <c r="F7" s="9" t="n">
        <v>229703</v>
      </c>
      <c r="G7" s="9" t="n">
        <v>239994</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43235</v>
      </c>
      <c r="C14" s="11" t="n">
        <v>43235</v>
      </c>
      <c r="D14" s="11" t="n">
        <v>43235</v>
      </c>
      <c r="E14" s="11" t="n">
        <v>43235</v>
      </c>
      <c r="F14" s="11" t="n">
        <v>43235</v>
      </c>
      <c r="G14" s="11" t="n">
        <v>43235</v>
      </c>
    </row>
    <row r="15">
      <c r="A15" s="10" t="inlineStr">
        <is>
          <t>Total assets</t>
        </is>
      </c>
      <c r="B15" s="11" t="n">
        <v>436947</v>
      </c>
      <c r="C15" s="11" t="n">
        <v>448938</v>
      </c>
      <c r="D15" s="11" t="n">
        <v>437692</v>
      </c>
      <c r="E15" s="11" t="n">
        <v>456308</v>
      </c>
      <c r="F15" s="11" t="n">
        <v>481049</v>
      </c>
      <c r="G15" s="11" t="n">
        <v>489703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7496</v>
      </c>
      <c r="C20" s="11" t="n">
        <v>5472</v>
      </c>
      <c r="D20" s="11" t="n">
        <v>7021</v>
      </c>
      <c r="E20" s="11" t="n">
        <v>7058</v>
      </c>
      <c r="F20" s="11" t="n">
        <v>9542</v>
      </c>
      <c r="G20" s="11" t="n">
        <v>15183</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429451</v>
      </c>
      <c r="C26" s="11" t="n">
        <v>443466</v>
      </c>
      <c r="D26" s="11" t="n">
        <v>430671</v>
      </c>
      <c r="E26" s="11" t="n">
        <v>449250</v>
      </c>
      <c r="F26" s="11" t="n">
        <v>471507</v>
      </c>
      <c r="G26" s="11" t="n">
        <v>474520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Form 990-EZ - Part I (revenue, expenses, net assets) and Part II (balance sheet), as filed (USD)</t>
        </is>
      </c>
    </row>
    <row r="3">
      <c r="A3" s="2" t="inlineStr">
        <is>
          <t>Entity ID: cawc_0088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14" t="inlineStr">
        <is>
          <t>not reported</t>
        </is>
      </c>
      <c r="C7" s="9" t="n">
        <v>155422</v>
      </c>
      <c r="D7" s="9" t="n">
        <v>157949</v>
      </c>
      <c r="E7" s="9" t="n">
        <v>167884</v>
      </c>
      <c r="F7" s="9" t="n">
        <v>188480</v>
      </c>
      <c r="G7" s="9" t="n">
        <v>180572</v>
      </c>
    </row>
    <row r="8">
      <c r="A8" s="8" t="inlineStr">
        <is>
          <t xml:space="preserve">    3. Membership dues and assessments</t>
        </is>
      </c>
      <c r="B8" s="9" t="n">
        <v>155105</v>
      </c>
      <c r="C8" s="14" t="inlineStr">
        <is>
          <t>not reported</t>
        </is>
      </c>
      <c r="D8" s="14" t="inlineStr">
        <is>
          <t>not reported</t>
        </is>
      </c>
      <c r="E8" s="14" t="inlineStr">
        <is>
          <t>not reported</t>
        </is>
      </c>
      <c r="F8" s="14" t="inlineStr">
        <is>
          <t>not reported</t>
        </is>
      </c>
      <c r="G8" s="14" t="inlineStr">
        <is>
          <t>not reported</t>
        </is>
      </c>
    </row>
    <row r="9">
      <c r="A9" s="8" t="inlineStr">
        <is>
          <t xml:space="preserve">    4. Investment income</t>
        </is>
      </c>
      <c r="B9" s="9" t="n">
        <v>94</v>
      </c>
      <c r="C9" s="9" t="n">
        <v>94</v>
      </c>
      <c r="D9" s="9" t="n">
        <v>99</v>
      </c>
      <c r="E9" s="9" t="n">
        <v>3073</v>
      </c>
      <c r="F9" s="9" t="n">
        <v>4643</v>
      </c>
      <c r="G9" s="9" t="n">
        <v>4988</v>
      </c>
    </row>
    <row r="10">
      <c r="A10" s="10" t="inlineStr">
        <is>
          <t>9. Total revenue</t>
        </is>
      </c>
      <c r="B10" s="11" t="n">
        <v>155199</v>
      </c>
      <c r="C10" s="11" t="n">
        <v>155516</v>
      </c>
      <c r="D10" s="11" t="n">
        <v>158048</v>
      </c>
      <c r="E10" s="11" t="n">
        <v>170957</v>
      </c>
      <c r="F10" s="11" t="n">
        <v>193123</v>
      </c>
      <c r="G10" s="11" t="n">
        <v>185560</v>
      </c>
    </row>
    <row r="12">
      <c r="A12" s="6" t="inlineStr">
        <is>
          <t>Expenses (Part I)</t>
        </is>
      </c>
      <c r="B12" s="7" t="n"/>
      <c r="C12" s="7" t="n"/>
      <c r="D12" s="7" t="n"/>
      <c r="E12" s="7" t="n"/>
      <c r="F12" s="7" t="n"/>
      <c r="G12" s="7" t="n"/>
    </row>
    <row r="13">
      <c r="A13" s="8" t="inlineStr">
        <is>
          <t xml:space="preserve">    12. Salaries, other compensation, benefits</t>
        </is>
      </c>
      <c r="B13" s="9" t="n">
        <v>46824</v>
      </c>
      <c r="C13" s="9" t="n">
        <v>43010</v>
      </c>
      <c r="D13" s="9" t="n">
        <v>55323</v>
      </c>
      <c r="E13" s="9" t="n">
        <v>57006</v>
      </c>
      <c r="F13" s="9" t="n">
        <v>58275</v>
      </c>
      <c r="G13" s="9" t="n">
        <v>59452</v>
      </c>
    </row>
    <row r="14">
      <c r="A14" s="8" t="inlineStr">
        <is>
          <t xml:space="preserve">    13. Fees for services (independent contractors)</t>
        </is>
      </c>
      <c r="B14" s="9" t="n">
        <v>14865</v>
      </c>
      <c r="C14" s="9" t="n">
        <v>14865</v>
      </c>
      <c r="D14" s="9" t="n">
        <v>3100</v>
      </c>
      <c r="E14" s="9" t="n">
        <v>2835</v>
      </c>
      <c r="F14" s="9" t="n">
        <v>2923</v>
      </c>
      <c r="G14" s="9" t="n">
        <v>2578</v>
      </c>
    </row>
    <row r="15">
      <c r="A15" s="8" t="inlineStr">
        <is>
          <t xml:space="preserve">    14. Occupancy, rent, utilities, maintenance</t>
        </is>
      </c>
      <c r="B15" s="9" t="n">
        <v>28138</v>
      </c>
      <c r="C15" s="9" t="n">
        <v>33441</v>
      </c>
      <c r="D15" s="9" t="n">
        <v>59951</v>
      </c>
      <c r="E15" s="9" t="n">
        <v>35416</v>
      </c>
      <c r="F15" s="9" t="n">
        <v>51365</v>
      </c>
      <c r="G15" s="9" t="n">
        <v>57872</v>
      </c>
    </row>
    <row r="16">
      <c r="A16" s="8" t="inlineStr">
        <is>
          <t xml:space="preserve">    15. Printing, publications, postage</t>
        </is>
      </c>
      <c r="B16" s="9" t="n">
        <v>843</v>
      </c>
      <c r="C16" s="9" t="n">
        <v>1077</v>
      </c>
      <c r="D16" s="9" t="n">
        <v>956</v>
      </c>
      <c r="E16" s="9" t="n">
        <v>841</v>
      </c>
      <c r="F16" s="9" t="n">
        <v>1361</v>
      </c>
      <c r="G16" s="9" t="n">
        <v>1456</v>
      </c>
    </row>
    <row r="17">
      <c r="A17" s="8" t="inlineStr">
        <is>
          <t xml:space="preserve">    16. Other expenses</t>
        </is>
      </c>
      <c r="B17" s="9" t="n">
        <v>45151</v>
      </c>
      <c r="C17" s="9" t="n">
        <v>49108</v>
      </c>
      <c r="D17" s="9" t="n">
        <v>51513</v>
      </c>
      <c r="E17" s="9" t="n">
        <v>56280</v>
      </c>
      <c r="F17" s="9" t="n">
        <v>56942</v>
      </c>
      <c r="G17" s="9" t="n">
        <v>61189</v>
      </c>
    </row>
    <row r="18">
      <c r="A18" s="10" t="inlineStr">
        <is>
          <t>17. Total expenses</t>
        </is>
      </c>
      <c r="B18" s="11">
        <f>SUM(B13:B17)</f>
        <v/>
      </c>
      <c r="C18" s="11">
        <f>SUM(C13:C17)</f>
        <v/>
      </c>
      <c r="D18" s="11">
        <f>SUM(D13:D17)</f>
        <v/>
      </c>
      <c r="E18" s="11">
        <f>SUM(E13:E17)</f>
        <v/>
      </c>
      <c r="F18" s="11">
        <f>SUM(F13:F17)</f>
        <v/>
      </c>
      <c r="G18" s="11">
        <f>SUM(G13:G17)</f>
        <v/>
      </c>
    </row>
    <row r="20">
      <c r="A20" s="6" t="inlineStr">
        <is>
          <t>Net-assets reconciliation (Part I)</t>
        </is>
      </c>
      <c r="B20" s="7" t="n"/>
      <c r="C20" s="7" t="n"/>
      <c r="D20" s="7" t="n"/>
      <c r="E20" s="7" t="n"/>
      <c r="F20" s="7" t="n"/>
      <c r="G20" s="7" t="n"/>
    </row>
    <row r="21">
      <c r="A21" s="8" t="inlineStr">
        <is>
          <t xml:space="preserve">    19. Net assets or fund balances, beginning of year</t>
        </is>
      </c>
      <c r="B21" s="9" t="n">
        <v>410073</v>
      </c>
      <c r="C21" s="9" t="n">
        <v>386216</v>
      </c>
      <c r="D21" s="9" t="n">
        <v>443466</v>
      </c>
      <c r="E21" s="9" t="n">
        <v>430671</v>
      </c>
      <c r="F21" s="9" t="n">
        <v>449250</v>
      </c>
      <c r="G21" s="9" t="n">
        <v>471507</v>
      </c>
    </row>
    <row r="22">
      <c r="A22" s="8" t="inlineStr">
        <is>
          <t xml:space="preserve">    18. Excess or (deficit) for the year</t>
        </is>
      </c>
      <c r="B22" s="9" t="n">
        <v>19378</v>
      </c>
      <c r="C22" s="9" t="n">
        <v>14015</v>
      </c>
      <c r="D22" s="9" t="n">
        <v>-12795</v>
      </c>
      <c r="E22" s="9" t="n">
        <v>18579</v>
      </c>
      <c r="F22" s="9" t="n">
        <v>22257</v>
      </c>
      <c r="G22" s="9" t="n">
        <v>3013</v>
      </c>
    </row>
    <row r="23">
      <c r="A23" s="10" t="inlineStr">
        <is>
          <t>21. Net assets or fund balances, end of year</t>
        </is>
      </c>
      <c r="B23" s="11">
        <f>SUM(B21,B22)</f>
        <v/>
      </c>
      <c r="C23" s="11">
        <f>SUM(C21,C22)</f>
        <v/>
      </c>
      <c r="D23" s="11">
        <f>SUM(D21,D22)</f>
        <v/>
      </c>
      <c r="E23" s="11">
        <f>SUM(E21,E22)</f>
        <v/>
      </c>
      <c r="F23" s="11">
        <f>SUM(F21,F22)</f>
        <v/>
      </c>
      <c r="G23" s="11">
        <f>SUM(G21,G22)</f>
        <v/>
      </c>
    </row>
    <row r="25">
      <c r="A25" s="6" t="inlineStr">
        <is>
          <t>Balance sheet (Part II, end of year - column B)</t>
        </is>
      </c>
      <c r="B25" s="7" t="n"/>
      <c r="C25" s="7" t="n"/>
      <c r="D25" s="7" t="n"/>
      <c r="E25" s="7" t="n"/>
      <c r="F25" s="7" t="n"/>
      <c r="G25" s="7" t="n"/>
    </row>
    <row r="26">
      <c r="A26" s="8" t="inlineStr">
        <is>
          <t xml:space="preserve">    22. Cash, savings, and investments</t>
        </is>
      </c>
      <c r="B26" s="9" t="n">
        <v>179411</v>
      </c>
      <c r="C26" s="9" t="n">
        <v>203150</v>
      </c>
      <c r="D26" s="9" t="n">
        <v>192023</v>
      </c>
      <c r="E26" s="9" t="n">
        <v>198661</v>
      </c>
      <c r="F26" s="9" t="n">
        <v>229703</v>
      </c>
      <c r="G26" s="9" t="n">
        <v>239994</v>
      </c>
    </row>
    <row r="27">
      <c r="A27" s="8" t="inlineStr">
        <is>
          <t xml:space="preserve">    23. Land and buildings</t>
        </is>
      </c>
      <c r="B27" s="9" t="n">
        <v>43235</v>
      </c>
      <c r="C27" s="9" t="n">
        <v>43235</v>
      </c>
      <c r="D27" s="9" t="n">
        <v>43235</v>
      </c>
      <c r="E27" s="9" t="n">
        <v>43235</v>
      </c>
      <c r="F27" s="9" t="n">
        <v>43235</v>
      </c>
      <c r="G27" s="9" t="n">
        <v>43235</v>
      </c>
    </row>
    <row r="28">
      <c r="A28" s="8" t="inlineStr">
        <is>
          <t xml:space="preserve">    24. Other assets</t>
        </is>
      </c>
      <c r="B28" s="9" t="n">
        <v>214301</v>
      </c>
      <c r="C28" s="9" t="n">
        <v>202553</v>
      </c>
      <c r="D28" s="9" t="n">
        <v>202434</v>
      </c>
      <c r="E28" s="9" t="n">
        <v>214412</v>
      </c>
      <c r="F28" s="9" t="n">
        <v>208111</v>
      </c>
      <c r="G28" s="9" t="n">
        <v>206474</v>
      </c>
    </row>
    <row r="29">
      <c r="A29" s="10" t="inlineStr">
        <is>
          <t>25. Total assets</t>
        </is>
      </c>
      <c r="B29" s="11">
        <f>SUM(B26:B28)</f>
        <v/>
      </c>
      <c r="C29" s="11">
        <f>SUM(C26:C28)</f>
        <v/>
      </c>
      <c r="D29" s="11">
        <f>SUM(D26:D28)</f>
        <v/>
      </c>
      <c r="E29" s="11">
        <f>SUM(E26:E28)</f>
        <v/>
      </c>
      <c r="F29" s="11">
        <f>SUM(F26:F28)</f>
        <v/>
      </c>
      <c r="G29" s="11">
        <f>SUM(G26:G28)</f>
        <v/>
      </c>
    </row>
    <row r="30">
      <c r="A30" s="10" t="inlineStr">
        <is>
          <t>26. Total liabilities</t>
        </is>
      </c>
      <c r="B30" s="11" t="n">
        <v>7496</v>
      </c>
      <c r="C30" s="11" t="n">
        <v>5472</v>
      </c>
      <c r="D30" s="11" t="n">
        <v>7021</v>
      </c>
      <c r="E30" s="11" t="n">
        <v>7058</v>
      </c>
      <c r="F30" s="11" t="n">
        <v>9542</v>
      </c>
      <c r="G30" s="11" t="n">
        <v>15183</v>
      </c>
    </row>
    <row r="31">
      <c r="A31" s="10" t="inlineStr">
        <is>
          <t>27. Net assets or fund balances</t>
        </is>
      </c>
      <c r="B31" s="11" t="n">
        <v>429451</v>
      </c>
      <c r="C31" s="11" t="n">
        <v>443466</v>
      </c>
      <c r="D31" s="11" t="n">
        <v>430671</v>
      </c>
      <c r="E31" s="11" t="n">
        <v>449250</v>
      </c>
      <c r="F31" s="11" t="n">
        <v>471507</v>
      </c>
      <c r="G31" s="11" t="n">
        <v>474520</v>
      </c>
    </row>
    <row r="33" ht="42" customHeight="1">
      <c r="A33"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3:G33"/>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Cash Flow Proxies - derived (USD)</t>
        </is>
      </c>
    </row>
    <row r="3">
      <c r="A3" s="2" t="inlineStr">
        <is>
          <t>Entity ID: cawc_0088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19378</v>
      </c>
      <c r="C9" s="9" t="n">
        <v>14015</v>
      </c>
      <c r="D9" s="9" t="n">
        <v>-12795</v>
      </c>
      <c r="E9" s="9" t="n">
        <v>18579</v>
      </c>
      <c r="F9" s="9" t="n">
        <v>22257</v>
      </c>
      <c r="G9" s="9" t="n">
        <v>3013</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14015</v>
      </c>
      <c r="D15" s="11" t="n">
        <v>-12795</v>
      </c>
      <c r="E15" s="11" t="n">
        <v>18579</v>
      </c>
      <c r="F15" s="11" t="n">
        <v>22257</v>
      </c>
      <c r="G15" s="11" t="n">
        <v>3013</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23739</v>
      </c>
      <c r="D24" s="11" t="n">
        <v>-11127</v>
      </c>
      <c r="E24" s="11" t="n">
        <v>6638</v>
      </c>
      <c r="F24" s="11" t="n">
        <v>31042</v>
      </c>
      <c r="G24" s="11" t="n">
        <v>10291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Mountain Mutual Water Company</t>
        </is>
      </c>
    </row>
    <row r="2">
      <c r="A2" s="2" t="inlineStr">
        <is>
          <t>Financial Ratios</t>
        </is>
      </c>
    </row>
    <row r="3">
      <c r="A3" s="2" t="inlineStr">
        <is>
          <t>Entity ID: cawc_0088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0.124859051926881</v>
      </c>
      <c r="C7" s="12" t="n">
        <v>0.09011934463334963</v>
      </c>
      <c r="D7" s="12" t="n">
        <v>-0.08095641830330026</v>
      </c>
      <c r="E7" s="12" t="n">
        <v>0.1086764508034184</v>
      </c>
      <c r="F7" s="12" t="n">
        <v>0.1152477954464253</v>
      </c>
      <c r="G7" s="12" t="n">
        <v>0.01623733563267946</v>
      </c>
    </row>
    <row r="8">
      <c r="A8" s="8" t="inlineStr">
        <is>
          <t xml:space="preserve">    Expense ratio (expenses / revenue)</t>
        </is>
      </c>
      <c r="B8" s="12" t="n">
        <v>0.875140948073119</v>
      </c>
      <c r="C8" s="12" t="n">
        <v>0.9098806553666504</v>
      </c>
      <c r="D8" s="12" t="n">
        <v>1.0809564183033</v>
      </c>
      <c r="E8" s="12" t="n">
        <v>0.8913235491965816</v>
      </c>
      <c r="F8" s="12" t="n">
        <v>0.8847522045535746</v>
      </c>
      <c r="G8" s="12" t="n">
        <v>0.9837626643673205</v>
      </c>
    </row>
    <row r="9">
      <c r="A9" s="8" t="inlineStr">
        <is>
          <t xml:space="preserve">    Return on assets (NI / assets)</t>
        </is>
      </c>
      <c r="B9" s="12" t="n">
        <v>0.04434862809448285</v>
      </c>
      <c r="C9" s="12" t="n">
        <v>0.03121811920577006</v>
      </c>
      <c r="D9" s="12" t="n">
        <v>-0.02923288522522687</v>
      </c>
      <c r="E9" s="12" t="n">
        <v>0.04071591994880651</v>
      </c>
      <c r="F9" s="12" t="n">
        <v>0.04626763593729537</v>
      </c>
      <c r="G9" s="12" t="n">
        <v>0.00615270888681507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0.01715539870968332</v>
      </c>
      <c r="C13" s="12" t="n">
        <v>0.01218876548654825</v>
      </c>
      <c r="D13" s="12" t="n">
        <v>0.01604096030998967</v>
      </c>
      <c r="E13" s="12" t="n">
        <v>0.01546762274603996</v>
      </c>
      <c r="F13" s="12" t="n">
        <v>0.01983581714128914</v>
      </c>
      <c r="G13" s="12" t="n">
        <v>0.03100450681331338</v>
      </c>
    </row>
    <row r="14">
      <c r="A14" s="8" t="inlineStr">
        <is>
          <t xml:space="preserve">    Equity ratio (net assets / assets)</t>
        </is>
      </c>
      <c r="B14" s="12" t="n">
        <v>0.9828446012903167</v>
      </c>
      <c r="C14" s="12" t="n">
        <v>0.9878112345134518</v>
      </c>
      <c r="D14" s="12" t="n">
        <v>0.9839590396900103</v>
      </c>
      <c r="E14" s="12" t="n">
        <v>0.98453237725396</v>
      </c>
      <c r="F14" s="12" t="n">
        <v>0.9801641828587109</v>
      </c>
      <c r="G14" s="12" t="n">
        <v>0.9689954931866867</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23.93423159018143</v>
      </c>
      <c r="C18" s="15" t="n">
        <v>37.12536549707603</v>
      </c>
      <c r="D18" s="15" t="n">
        <v>27.34980771969805</v>
      </c>
      <c r="E18" s="15" t="n">
        <v>28.14692547463871</v>
      </c>
      <c r="F18" s="15" t="n">
        <v>24.07283588346259</v>
      </c>
      <c r="G18" s="15" t="n">
        <v>15.8067575577949</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Pine Mountain Mutual Water Company</t>
        </is>
      </c>
    </row>
    <row r="2">
      <c r="A2" s="2" t="inlineStr">
        <is>
          <t>Unit economics - per-customer revenue by category (USD)</t>
        </is>
      </c>
    </row>
    <row r="3">
      <c r="A3" s="2" t="inlineStr">
        <is>
          <t>Entity ID: cawc_0088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Pine Mountain Mutual Water Company</t>
        </is>
      </c>
    </row>
    <row r="2">
      <c r="A2" s="2" t="inlineStr">
        <is>
          <t>Rate structure and representative bill - eAR Section 8a</t>
        </is>
      </c>
    </row>
    <row r="3">
      <c r="A3" s="2" t="inlineStr">
        <is>
          <t>Entity ID: cawc_0088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Pine Mountain Mutual Water Company</t>
        </is>
      </c>
    </row>
    <row r="2">
      <c r="A2" s="2" t="inlineStr">
        <is>
          <t>Operational metrics - plant per acre, density, terrain</t>
        </is>
      </c>
    </row>
    <row r="3">
      <c r="A3" s="2" t="inlineStr">
        <is>
          <t>Entity ID: cawc_0088   |   Fiscal year ends December 31.</t>
        </is>
      </c>
    </row>
    <row r="5">
      <c r="A5" s="6" t="inlineStr">
        <is>
          <t>Connections per acre</t>
        </is>
      </c>
      <c r="B5" s="7" t="n"/>
      <c r="C5" s="7" t="n"/>
    </row>
    <row r="6">
      <c r="A6" s="16" t="inlineStr">
        <is>
          <t>Connections per acre</t>
        </is>
      </c>
      <c r="B6" s="15" t="n">
        <v>0.18</v>
      </c>
      <c r="C6" s="18" t="inlineStr">
        <is>
          <t>125 connections / 680.5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Pine Mountain Mutual Water Company</t>
        </is>
      </c>
    </row>
    <row r="2">
      <c r="A2" s="2" t="inlineStr">
        <is>
          <t>Supply and weather indicators (DWR water year)</t>
        </is>
      </c>
    </row>
    <row r="3">
      <c r="A3" s="2" t="inlineStr">
        <is>
          <t>Entity ID: cawc_0088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Pine Mountain Mutual Water Company</t>
        </is>
      </c>
    </row>
    <row r="2">
      <c r="A2" s="2" t="inlineStr">
        <is>
          <t>How this was built - forensic lineage</t>
        </is>
      </c>
    </row>
    <row r="3">
      <c r="A3" s="2" t="inlineStr">
        <is>
          <t>Entity ID: cawc_0088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Pine Mountain Mutual Water Company</t>
        </is>
      </c>
    </row>
    <row r="2">
      <c r="A2" s="2" t="inlineStr">
        <is>
          <t>Anomaly Flags (automated; kept separate from the clean statements)</t>
        </is>
      </c>
    </row>
    <row r="3">
      <c r="A3" s="2" t="inlineStr">
        <is>
          <t>Entity ID: cawc_0088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opening net assets differ from FY2020 closing</t>
        </is>
      </c>
      <c r="B7" s="7" t="n"/>
    </row>
    <row r="8">
      <c r="A8" s="16" t="inlineStr">
        <is>
          <t>Affected figure</t>
        </is>
      </c>
      <c r="B8" s="18" t="inlineStr">
        <is>
          <t>Net assets FY2021</t>
        </is>
      </c>
    </row>
    <row r="9">
      <c r="A9" s="16" t="inlineStr">
        <is>
          <t>Confidence</t>
        </is>
      </c>
      <c r="B9" s="18" t="inlineStr">
        <is>
          <t>high</t>
        </is>
      </c>
    </row>
    <row r="10" ht="72" customHeight="1">
      <c r="A10" s="16" t="inlineStr">
        <is>
          <t>What happened (filed, sourced)</t>
        </is>
      </c>
      <c r="B10" s="18" t="inlineStr">
        <is>
          <t>The company filed $386,216 as its beginning net assets for FY2021 and $429,451 as its ending net assets for FY2020, a difference of $-43,235. Both figures are carried exactly as each year's own filing reports them. Neither is adjusted to match the other.</t>
        </is>
      </c>
    </row>
    <row r="11" ht="54" customHeight="1">
      <c r="A11" s="16" t="inlineStr">
        <is>
          <t>Source lines</t>
        </is>
      </c>
      <c r="B11" s="18" t="inlineStr">
        <is>
          <t>- FY2021 net assets, beginning of year (as filed): $386,216
- FY2020 net assets, end of year (as filed): $429,451
- Difference: $-43,235</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Pine Mountain Mutual Water Company</t>
        </is>
      </c>
    </row>
    <row r="2">
      <c r="A2" s="2" t="inlineStr">
        <is>
          <t>Sources &amp; audit - full provenance and tie-outs (kept off the statements so they read clean)</t>
        </is>
      </c>
    </row>
    <row r="3">
      <c r="A3" s="2" t="inlineStr">
        <is>
          <t>Entity ID: cawc_0088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c3cb2266-09d3-4306-b5bd-1d65ed569fde</t>
        </is>
      </c>
      <c r="F10" s="8" t="inlineStr">
        <is>
          <t>202130749349200213</t>
        </is>
      </c>
      <c r="G10" s="8" t="inlineStr">
        <is>
          <t>claude-opus-5</t>
        </is>
      </c>
      <c r="H10" s="8" t="inlineStr">
        <is>
          <t>2026-09-21T02:50:02+00:00</t>
        </is>
      </c>
      <c r="I10" s="8" t="inlineStr">
        <is>
          <t>https://apps.irs.gov/pub/epostcard/990/xml/2021/2021_TEOS_XML_01A.zip#202130749349200213_public.xml</t>
        </is>
      </c>
    </row>
    <row r="11">
      <c r="A11" s="22" t="inlineStr">
        <is>
          <t>FY2021</t>
        </is>
      </c>
      <c r="B11" s="8" t="inlineStr">
        <is>
          <t>2021-12-31</t>
        </is>
      </c>
      <c r="C11" s="8" t="inlineStr">
        <is>
          <t>990-EZ</t>
        </is>
      </c>
      <c r="D11" s="8" t="inlineStr">
        <is>
          <t>low</t>
        </is>
      </c>
      <c r="E11" s="8" t="inlineStr">
        <is>
          <t>acf1deec-fa52-4f55-bd46-ededb90501e1</t>
        </is>
      </c>
      <c r="F11" s="8" t="inlineStr">
        <is>
          <t>202200739349200345</t>
        </is>
      </c>
      <c r="G11" s="8" t="inlineStr">
        <is>
          <t>claude-opus-5</t>
        </is>
      </c>
      <c r="H11" s="8" t="inlineStr">
        <is>
          <t>2026-09-21T02:50:02+00:00</t>
        </is>
      </c>
      <c r="I11" s="8" t="inlineStr">
        <is>
          <t>https://apps.irs.gov/pub/epostcard/990/xml/2022/2022_TEOS_XML_01A.zip#202200739349200345_public.xml</t>
        </is>
      </c>
    </row>
    <row r="12">
      <c r="A12" s="22" t="inlineStr">
        <is>
          <t>FY2022</t>
        </is>
      </c>
      <c r="B12" s="8" t="inlineStr">
        <is>
          <t>2022-12-31</t>
        </is>
      </c>
      <c r="C12" s="8" t="inlineStr">
        <is>
          <t>990-EZ</t>
        </is>
      </c>
      <c r="D12" s="8" t="inlineStr">
        <is>
          <t>high</t>
        </is>
      </c>
      <c r="E12" s="8" t="inlineStr">
        <is>
          <t>4abaec00-8e2b-45b9-a7b2-7dd1d6c47e9a</t>
        </is>
      </c>
      <c r="F12" s="8" t="inlineStr">
        <is>
          <t>202310699349201026</t>
        </is>
      </c>
      <c r="G12" s="8" t="inlineStr">
        <is>
          <t>claude-opus-5</t>
        </is>
      </c>
      <c r="H12" s="8" t="inlineStr">
        <is>
          <t>2026-09-21T02:50:02+00:00</t>
        </is>
      </c>
      <c r="I12" s="8" t="inlineStr">
        <is>
          <t>https://apps.irs.gov/pub/epostcard/990/xml/2023/2023_TEOS_XML_03A.zip#202310699349201026_public.xml</t>
        </is>
      </c>
    </row>
    <row r="13">
      <c r="A13" s="22" t="inlineStr">
        <is>
          <t>FY2023</t>
        </is>
      </c>
      <c r="B13" s="8" t="inlineStr">
        <is>
          <t>2023-12-31</t>
        </is>
      </c>
      <c r="C13" s="8" t="inlineStr">
        <is>
          <t>990-EZ</t>
        </is>
      </c>
      <c r="D13" s="8" t="inlineStr">
        <is>
          <t>high</t>
        </is>
      </c>
      <c r="E13" s="8" t="inlineStr">
        <is>
          <t>f9c5921c-f320-4b60-b478-f1f0427b1e6c</t>
        </is>
      </c>
      <c r="F13" s="8" t="inlineStr">
        <is>
          <t>202410869349201221</t>
        </is>
      </c>
      <c r="G13" s="8" t="inlineStr">
        <is>
          <t>claude-opus-5</t>
        </is>
      </c>
      <c r="H13" s="8" t="inlineStr">
        <is>
          <t>2026-09-21T02:50:02+00:00</t>
        </is>
      </c>
      <c r="I13" s="8" t="inlineStr">
        <is>
          <t>https://apps.irs.gov/pub/epostcard/990/xml/2024/2024_TEOS_XML_04A.zip#202410869349201221_public.xml</t>
        </is>
      </c>
    </row>
    <row r="14">
      <c r="A14" s="22" t="inlineStr">
        <is>
          <t>FY2024</t>
        </is>
      </c>
      <c r="B14" s="8" t="inlineStr">
        <is>
          <t>2024-12-31</t>
        </is>
      </c>
      <c r="C14" s="8" t="inlineStr">
        <is>
          <t>990-EZ</t>
        </is>
      </c>
      <c r="D14" s="8" t="inlineStr">
        <is>
          <t>high</t>
        </is>
      </c>
      <c r="E14" s="8" t="inlineStr">
        <is>
          <t>3278aa8f-daa4-4a39-9d8e-a46557222101</t>
        </is>
      </c>
      <c r="F14" s="8" t="inlineStr">
        <is>
          <t>202530849349200708</t>
        </is>
      </c>
      <c r="G14" s="8" t="inlineStr">
        <is>
          <t>claude-opus-5</t>
        </is>
      </c>
      <c r="H14" s="8" t="inlineStr">
        <is>
          <t>2026-09-21T02:50:02+00:00</t>
        </is>
      </c>
      <c r="I14" s="8" t="inlineStr">
        <is>
          <t>https://apps.irs.gov/pub/epostcard/990/xml/2025/2025_TEOS_XML_04A.zip#202530849349200708_public.xml</t>
        </is>
      </c>
    </row>
    <row r="15">
      <c r="A15" s="22" t="inlineStr">
        <is>
          <t>FY2025</t>
        </is>
      </c>
      <c r="B15" s="8" t="inlineStr">
        <is>
          <t>2025-12-31</t>
        </is>
      </c>
      <c r="C15" s="8" t="inlineStr">
        <is>
          <t>990-EZ</t>
        </is>
      </c>
      <c r="D15" s="8" t="inlineStr">
        <is>
          <t>high</t>
        </is>
      </c>
      <c r="E15" s="8" t="inlineStr">
        <is>
          <t>95cfa8fd-d00c-4631-95d4-93550d0036e9</t>
        </is>
      </c>
      <c r="F15" s="8" t="inlineStr">
        <is>
          <t>202600719349201805</t>
        </is>
      </c>
      <c r="G15" s="8" t="inlineStr">
        <is>
          <t>claude-opus-5</t>
        </is>
      </c>
      <c r="H15" s="8" t="inlineStr">
        <is>
          <t>2026-09-21T02:50:02+00:00</t>
        </is>
      </c>
      <c r="I15" s="8" t="inlineStr">
        <is>
          <t>https://apps.irs.gov/pub/epostcard/990/xml/2026/2026_TEOS_XML_03A.zip#202600719349201805_public.xml</t>
        </is>
      </c>
    </row>
    <row r="17">
      <c r="A17" s="25"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C7</t>
        </is>
      </c>
      <c r="C19" s="8" t="inlineStr">
        <is>
          <t>2. Program service revenue</t>
        </is>
      </c>
      <c r="D19" s="8" t="inlineStr">
        <is>
          <t>Part I line 2</t>
        </is>
      </c>
      <c r="E19" s="8" t="inlineStr">
        <is>
          <t>part_i_revenue_expenses.program_service_revenue</t>
        </is>
      </c>
      <c r="F19" s="8" t="inlineStr">
        <is>
          <t>high</t>
        </is>
      </c>
      <c r="G19" s="9" t="n">
        <v>155422</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157949</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167884</v>
      </c>
    </row>
    <row r="22">
      <c r="A22" s="8" t="inlineStr">
        <is>
          <t>Form 990-EZ Parts I &amp; II</t>
        </is>
      </c>
      <c r="B22" s="8" t="inlineStr">
        <is>
          <t>F7</t>
        </is>
      </c>
      <c r="C22" s="8" t="inlineStr">
        <is>
          <t>2. Program service revenue</t>
        </is>
      </c>
      <c r="D22" s="8" t="inlineStr">
        <is>
          <t>Part I line 2</t>
        </is>
      </c>
      <c r="E22" s="8" t="inlineStr">
        <is>
          <t>part_i_revenue_expenses.program_service_revenue</t>
        </is>
      </c>
      <c r="F22" s="8" t="inlineStr">
        <is>
          <t>high</t>
        </is>
      </c>
      <c r="G22" s="9" t="n">
        <v>188480</v>
      </c>
    </row>
    <row r="23">
      <c r="A23" s="8" t="inlineStr">
        <is>
          <t>Form 990-EZ Parts I &amp; II</t>
        </is>
      </c>
      <c r="B23" s="8" t="inlineStr">
        <is>
          <t>G7</t>
        </is>
      </c>
      <c r="C23" s="8" t="inlineStr">
        <is>
          <t>2. Program service revenue</t>
        </is>
      </c>
      <c r="D23" s="8" t="inlineStr">
        <is>
          <t>Part I line 2</t>
        </is>
      </c>
      <c r="E23" s="8" t="inlineStr">
        <is>
          <t>part_i_revenue_expenses.program_service_revenue</t>
        </is>
      </c>
      <c r="F23" s="8" t="inlineStr">
        <is>
          <t>high</t>
        </is>
      </c>
      <c r="G23" s="9" t="n">
        <v>180572</v>
      </c>
    </row>
    <row r="24">
      <c r="A24" s="8" t="inlineStr">
        <is>
          <t>Form 990-EZ Parts I &amp; II</t>
        </is>
      </c>
      <c r="B24" s="8" t="inlineStr">
        <is>
          <t>B8</t>
        </is>
      </c>
      <c r="C24" s="8" t="inlineStr">
        <is>
          <t>3. Membership dues and assessments</t>
        </is>
      </c>
      <c r="D24" s="8" t="inlineStr">
        <is>
          <t>Part I line 3</t>
        </is>
      </c>
      <c r="E24" s="8" t="inlineStr">
        <is>
          <t>part_i_revenue_expenses.membership_dues</t>
        </is>
      </c>
      <c r="F24" s="8" t="inlineStr">
        <is>
          <t>high</t>
        </is>
      </c>
      <c r="G24" s="9" t="n">
        <v>155105</v>
      </c>
    </row>
    <row r="25">
      <c r="A25" s="8" t="inlineStr">
        <is>
          <t>Form 990-EZ Parts I &amp; II</t>
        </is>
      </c>
      <c r="B25" s="8" t="inlineStr">
        <is>
          <t>B9</t>
        </is>
      </c>
      <c r="C25" s="8" t="inlineStr">
        <is>
          <t>4. Investment income</t>
        </is>
      </c>
      <c r="D25" s="8" t="inlineStr">
        <is>
          <t>Part I line 4</t>
        </is>
      </c>
      <c r="E25" s="8" t="inlineStr">
        <is>
          <t>part_i_revenue_expenses.investment_income</t>
        </is>
      </c>
      <c r="F25" s="8" t="inlineStr">
        <is>
          <t>high</t>
        </is>
      </c>
      <c r="G25" s="9" t="n">
        <v>94</v>
      </c>
    </row>
    <row r="26">
      <c r="A26" s="8" t="inlineStr">
        <is>
          <t>Form 990-EZ Parts I &amp; II</t>
        </is>
      </c>
      <c r="B26" s="8" t="inlineStr">
        <is>
          <t>C9</t>
        </is>
      </c>
      <c r="C26" s="8" t="inlineStr">
        <is>
          <t>4. Investment income</t>
        </is>
      </c>
      <c r="D26" s="8" t="inlineStr">
        <is>
          <t>Part I line 4</t>
        </is>
      </c>
      <c r="E26" s="8" t="inlineStr">
        <is>
          <t>part_i_revenue_expenses.investment_income</t>
        </is>
      </c>
      <c r="F26" s="8" t="inlineStr">
        <is>
          <t>high</t>
        </is>
      </c>
      <c r="G26" s="9" t="n">
        <v>94</v>
      </c>
    </row>
    <row r="27">
      <c r="A27" s="8" t="inlineStr">
        <is>
          <t>Form 990-EZ Parts I &amp; II</t>
        </is>
      </c>
      <c r="B27" s="8" t="inlineStr">
        <is>
          <t>D9</t>
        </is>
      </c>
      <c r="C27" s="8" t="inlineStr">
        <is>
          <t>4. Investment income</t>
        </is>
      </c>
      <c r="D27" s="8" t="inlineStr">
        <is>
          <t>Part I line 4</t>
        </is>
      </c>
      <c r="E27" s="8" t="inlineStr">
        <is>
          <t>part_i_revenue_expenses.investment_income</t>
        </is>
      </c>
      <c r="F27" s="8" t="inlineStr">
        <is>
          <t>high</t>
        </is>
      </c>
      <c r="G27" s="9" t="n">
        <v>99</v>
      </c>
    </row>
    <row r="28">
      <c r="A28" s="8" t="inlineStr">
        <is>
          <t>Form 990-EZ Parts I &amp; II</t>
        </is>
      </c>
      <c r="B28" s="8" t="inlineStr">
        <is>
          <t>E9</t>
        </is>
      </c>
      <c r="C28" s="8" t="inlineStr">
        <is>
          <t>4. Investment income</t>
        </is>
      </c>
      <c r="D28" s="8" t="inlineStr">
        <is>
          <t>Part I line 4</t>
        </is>
      </c>
      <c r="E28" s="8" t="inlineStr">
        <is>
          <t>part_i_revenue_expenses.investment_income</t>
        </is>
      </c>
      <c r="F28" s="8" t="inlineStr">
        <is>
          <t>high</t>
        </is>
      </c>
      <c r="G28" s="9" t="n">
        <v>3073</v>
      </c>
    </row>
    <row r="29">
      <c r="A29" s="8" t="inlineStr">
        <is>
          <t>Form 990-EZ Parts I &amp; II</t>
        </is>
      </c>
      <c r="B29" s="8" t="inlineStr">
        <is>
          <t>F9</t>
        </is>
      </c>
      <c r="C29" s="8" t="inlineStr">
        <is>
          <t>4. Investment income</t>
        </is>
      </c>
      <c r="D29" s="8" t="inlineStr">
        <is>
          <t>Part I line 4</t>
        </is>
      </c>
      <c r="E29" s="8" t="inlineStr">
        <is>
          <t>part_i_revenue_expenses.investment_income</t>
        </is>
      </c>
      <c r="F29" s="8" t="inlineStr">
        <is>
          <t>high</t>
        </is>
      </c>
      <c r="G29" s="9" t="n">
        <v>4643</v>
      </c>
    </row>
    <row r="30">
      <c r="A30" s="8" t="inlineStr">
        <is>
          <t>Form 990-EZ Parts I &amp; II</t>
        </is>
      </c>
      <c r="B30" s="8" t="inlineStr">
        <is>
          <t>G9</t>
        </is>
      </c>
      <c r="C30" s="8" t="inlineStr">
        <is>
          <t>4. Investment income</t>
        </is>
      </c>
      <c r="D30" s="8" t="inlineStr">
        <is>
          <t>Part I line 4</t>
        </is>
      </c>
      <c r="E30" s="8" t="inlineStr">
        <is>
          <t>part_i_revenue_expenses.investment_income</t>
        </is>
      </c>
      <c r="F30" s="8" t="inlineStr">
        <is>
          <t>high</t>
        </is>
      </c>
      <c r="G30" s="9" t="n">
        <v>4988</v>
      </c>
    </row>
    <row r="31">
      <c r="A31" s="8" t="inlineStr">
        <is>
          <t>Form 990-EZ Parts I &amp; II</t>
        </is>
      </c>
      <c r="B31" s="8" t="inlineStr">
        <is>
          <t>B10</t>
        </is>
      </c>
      <c r="C31" s="8" t="inlineStr">
        <is>
          <t>9. Total revenue</t>
        </is>
      </c>
      <c r="D31" s="8" t="inlineStr">
        <is>
          <t>Part I line 9</t>
        </is>
      </c>
      <c r="E31" s="8" t="inlineStr">
        <is>
          <t>part_i_revenue_expenses.total_revenue</t>
        </is>
      </c>
      <c r="F31" s="8" t="inlineStr">
        <is>
          <t>high</t>
        </is>
      </c>
      <c r="G31" s="9" t="n">
        <v>155199</v>
      </c>
    </row>
    <row r="32">
      <c r="A32" s="8" t="inlineStr">
        <is>
          <t>Form 990-EZ Parts I &amp; II</t>
        </is>
      </c>
      <c r="B32" s="8" t="inlineStr">
        <is>
          <t>C10</t>
        </is>
      </c>
      <c r="C32" s="8" t="inlineStr">
        <is>
          <t>9. Total revenue</t>
        </is>
      </c>
      <c r="D32" s="8" t="inlineStr">
        <is>
          <t>Part I line 9</t>
        </is>
      </c>
      <c r="E32" s="8" t="inlineStr">
        <is>
          <t>part_i_revenue_expenses.total_revenue</t>
        </is>
      </c>
      <c r="F32" s="8" t="inlineStr">
        <is>
          <t>high</t>
        </is>
      </c>
      <c r="G32" s="9" t="n">
        <v>155516</v>
      </c>
    </row>
    <row r="33">
      <c r="A33" s="8" t="inlineStr">
        <is>
          <t>Form 990-EZ Parts I &amp; II</t>
        </is>
      </c>
      <c r="B33" s="8" t="inlineStr">
        <is>
          <t>D10</t>
        </is>
      </c>
      <c r="C33" s="8" t="inlineStr">
        <is>
          <t>9. Total revenue</t>
        </is>
      </c>
      <c r="D33" s="8" t="inlineStr">
        <is>
          <t>Part I line 9</t>
        </is>
      </c>
      <c r="E33" s="8" t="inlineStr">
        <is>
          <t>part_i_revenue_expenses.total_revenue</t>
        </is>
      </c>
      <c r="F33" s="8" t="inlineStr">
        <is>
          <t>high</t>
        </is>
      </c>
      <c r="G33" s="9" t="n">
        <v>158048</v>
      </c>
    </row>
    <row r="34">
      <c r="A34" s="8" t="inlineStr">
        <is>
          <t>Form 990-EZ Parts I &amp; II</t>
        </is>
      </c>
      <c r="B34" s="8" t="inlineStr">
        <is>
          <t>E10</t>
        </is>
      </c>
      <c r="C34" s="8" t="inlineStr">
        <is>
          <t>9. Total revenue</t>
        </is>
      </c>
      <c r="D34" s="8" t="inlineStr">
        <is>
          <t>Part I line 9</t>
        </is>
      </c>
      <c r="E34" s="8" t="inlineStr">
        <is>
          <t>part_i_revenue_expenses.total_revenue</t>
        </is>
      </c>
      <c r="F34" s="8" t="inlineStr">
        <is>
          <t>high</t>
        </is>
      </c>
      <c r="G34" s="9" t="n">
        <v>170957</v>
      </c>
    </row>
    <row r="35">
      <c r="A35" s="8" t="inlineStr">
        <is>
          <t>Form 990-EZ Parts I &amp; II</t>
        </is>
      </c>
      <c r="B35" s="8" t="inlineStr">
        <is>
          <t>F10</t>
        </is>
      </c>
      <c r="C35" s="8" t="inlineStr">
        <is>
          <t>9. Total revenue</t>
        </is>
      </c>
      <c r="D35" s="8" t="inlineStr">
        <is>
          <t>Part I line 9</t>
        </is>
      </c>
      <c r="E35" s="8" t="inlineStr">
        <is>
          <t>part_i_revenue_expenses.total_revenue</t>
        </is>
      </c>
      <c r="F35" s="8" t="inlineStr">
        <is>
          <t>high</t>
        </is>
      </c>
      <c r="G35" s="9" t="n">
        <v>193123</v>
      </c>
    </row>
    <row r="36">
      <c r="A36" s="8" t="inlineStr">
        <is>
          <t>Form 990-EZ Parts I &amp; II</t>
        </is>
      </c>
      <c r="B36" s="8" t="inlineStr">
        <is>
          <t>G10</t>
        </is>
      </c>
      <c r="C36" s="8" t="inlineStr">
        <is>
          <t>9. Total revenue</t>
        </is>
      </c>
      <c r="D36" s="8" t="inlineStr">
        <is>
          <t>Part I line 9</t>
        </is>
      </c>
      <c r="E36" s="8" t="inlineStr">
        <is>
          <t>part_i_revenue_expenses.total_revenue</t>
        </is>
      </c>
      <c r="F36" s="8" t="inlineStr">
        <is>
          <t>high</t>
        </is>
      </c>
      <c r="G36" s="9" t="n">
        <v>185560</v>
      </c>
    </row>
    <row r="37">
      <c r="A37" s="8" t="inlineStr">
        <is>
          <t>Form 990-EZ Parts I &amp; II</t>
        </is>
      </c>
      <c r="B37" s="8" t="inlineStr">
        <is>
          <t>B13</t>
        </is>
      </c>
      <c r="C37" s="8" t="inlineStr">
        <is>
          <t>12. Salaries, other compensation, benefits</t>
        </is>
      </c>
      <c r="D37" s="8" t="inlineStr">
        <is>
          <t>Part I line 12</t>
        </is>
      </c>
      <c r="E37" s="8" t="inlineStr">
        <is>
          <t>part_i_revenue_expenses.salaries_other_comp_benefits</t>
        </is>
      </c>
      <c r="F37" s="8" t="inlineStr">
        <is>
          <t>high</t>
        </is>
      </c>
      <c r="G37" s="9" t="n">
        <v>46824</v>
      </c>
    </row>
    <row r="38">
      <c r="A38" s="8" t="inlineStr">
        <is>
          <t>Form 990-EZ Parts I &amp; II</t>
        </is>
      </c>
      <c r="B38" s="8" t="inlineStr">
        <is>
          <t>C13</t>
        </is>
      </c>
      <c r="C38" s="8" t="inlineStr">
        <is>
          <t>12. Salaries, other compensation, benefits</t>
        </is>
      </c>
      <c r="D38" s="8" t="inlineStr">
        <is>
          <t>Part I line 12</t>
        </is>
      </c>
      <c r="E38" s="8" t="inlineStr">
        <is>
          <t>part_i_revenue_expenses.salaries_other_comp_benefits</t>
        </is>
      </c>
      <c r="F38" s="8" t="inlineStr">
        <is>
          <t>high</t>
        </is>
      </c>
      <c r="G38" s="9" t="n">
        <v>43010</v>
      </c>
    </row>
    <row r="39">
      <c r="A39" s="8" t="inlineStr">
        <is>
          <t>Form 990-EZ Parts I &amp; II</t>
        </is>
      </c>
      <c r="B39" s="8" t="inlineStr">
        <is>
          <t>D13</t>
        </is>
      </c>
      <c r="C39" s="8" t="inlineStr">
        <is>
          <t>12. Salaries, other compensation, benefits</t>
        </is>
      </c>
      <c r="D39" s="8" t="inlineStr">
        <is>
          <t>Part I line 12</t>
        </is>
      </c>
      <c r="E39" s="8" t="inlineStr">
        <is>
          <t>part_i_revenue_expenses.salaries_other_comp_benefits</t>
        </is>
      </c>
      <c r="F39" s="8" t="inlineStr">
        <is>
          <t>high</t>
        </is>
      </c>
      <c r="G39" s="9" t="n">
        <v>55323</v>
      </c>
    </row>
    <row r="40">
      <c r="A40" s="8" t="inlineStr">
        <is>
          <t>Form 990-EZ Parts I &amp; II</t>
        </is>
      </c>
      <c r="B40" s="8" t="inlineStr">
        <is>
          <t>E13</t>
        </is>
      </c>
      <c r="C40" s="8" t="inlineStr">
        <is>
          <t>12. Salaries, other compensation, benefits</t>
        </is>
      </c>
      <c r="D40" s="8" t="inlineStr">
        <is>
          <t>Part I line 12</t>
        </is>
      </c>
      <c r="E40" s="8" t="inlineStr">
        <is>
          <t>part_i_revenue_expenses.salaries_other_comp_benefits</t>
        </is>
      </c>
      <c r="F40" s="8" t="inlineStr">
        <is>
          <t>high</t>
        </is>
      </c>
      <c r="G40" s="9" t="n">
        <v>57006</v>
      </c>
    </row>
    <row r="41">
      <c r="A41" s="8" t="inlineStr">
        <is>
          <t>Form 990-EZ Parts I &amp; II</t>
        </is>
      </c>
      <c r="B41" s="8" t="inlineStr">
        <is>
          <t>F13</t>
        </is>
      </c>
      <c r="C41" s="8" t="inlineStr">
        <is>
          <t>12. Salaries, other compensation, benefits</t>
        </is>
      </c>
      <c r="D41" s="8" t="inlineStr">
        <is>
          <t>Part I line 12</t>
        </is>
      </c>
      <c r="E41" s="8" t="inlineStr">
        <is>
          <t>part_i_revenue_expenses.salaries_other_comp_benefits</t>
        </is>
      </c>
      <c r="F41" s="8" t="inlineStr">
        <is>
          <t>high</t>
        </is>
      </c>
      <c r="G41" s="9" t="n">
        <v>58275</v>
      </c>
    </row>
    <row r="42">
      <c r="A42" s="8" t="inlineStr">
        <is>
          <t>Form 990-EZ Parts I &amp; II</t>
        </is>
      </c>
      <c r="B42" s="8" t="inlineStr">
        <is>
          <t>G13</t>
        </is>
      </c>
      <c r="C42" s="8" t="inlineStr">
        <is>
          <t>12. Salaries, other compensation, benefits</t>
        </is>
      </c>
      <c r="D42" s="8" t="inlineStr">
        <is>
          <t>Part I line 12</t>
        </is>
      </c>
      <c r="E42" s="8" t="inlineStr">
        <is>
          <t>part_i_revenue_expenses.salaries_other_comp_benefits</t>
        </is>
      </c>
      <c r="F42" s="8" t="inlineStr">
        <is>
          <t>high</t>
        </is>
      </c>
      <c r="G42" s="9" t="n">
        <v>59452</v>
      </c>
    </row>
    <row r="43">
      <c r="A43" s="8" t="inlineStr">
        <is>
          <t>Form 990-EZ Parts I &amp; II</t>
        </is>
      </c>
      <c r="B43" s="8" t="inlineStr">
        <is>
          <t>B14</t>
        </is>
      </c>
      <c r="C43" s="8" t="inlineStr">
        <is>
          <t>13. Fees for services (independent contractors)</t>
        </is>
      </c>
      <c r="D43" s="8" t="inlineStr">
        <is>
          <t>Part I line 13</t>
        </is>
      </c>
      <c r="E43" s="8" t="inlineStr">
        <is>
          <t>part_i_revenue_expenses.fees_ind_contractors</t>
        </is>
      </c>
      <c r="F43" s="8" t="inlineStr">
        <is>
          <t>high</t>
        </is>
      </c>
      <c r="G43" s="9" t="n">
        <v>14865</v>
      </c>
    </row>
    <row r="44">
      <c r="A44" s="8" t="inlineStr">
        <is>
          <t>Form 990-EZ Parts I &amp; II</t>
        </is>
      </c>
      <c r="B44" s="8" t="inlineStr">
        <is>
          <t>C14</t>
        </is>
      </c>
      <c r="C44" s="8" t="inlineStr">
        <is>
          <t>13. Fees for services (independent contractors)</t>
        </is>
      </c>
      <c r="D44" s="8" t="inlineStr">
        <is>
          <t>Part I line 13</t>
        </is>
      </c>
      <c r="E44" s="8" t="inlineStr">
        <is>
          <t>part_i_revenue_expenses.fees_ind_contractors</t>
        </is>
      </c>
      <c r="F44" s="8" t="inlineStr">
        <is>
          <t>high</t>
        </is>
      </c>
      <c r="G44" s="9" t="n">
        <v>14865</v>
      </c>
    </row>
    <row r="45">
      <c r="A45" s="8" t="inlineStr">
        <is>
          <t>Form 990-EZ Parts I &amp; II</t>
        </is>
      </c>
      <c r="B45" s="8" t="inlineStr">
        <is>
          <t>D14</t>
        </is>
      </c>
      <c r="C45" s="8" t="inlineStr">
        <is>
          <t>13. Fees for services (independent contractors)</t>
        </is>
      </c>
      <c r="D45" s="8" t="inlineStr">
        <is>
          <t>Part I line 13</t>
        </is>
      </c>
      <c r="E45" s="8" t="inlineStr">
        <is>
          <t>part_i_revenue_expenses.fees_ind_contractors</t>
        </is>
      </c>
      <c r="F45" s="8" t="inlineStr">
        <is>
          <t>high</t>
        </is>
      </c>
      <c r="G45" s="9" t="n">
        <v>3100</v>
      </c>
    </row>
    <row r="46">
      <c r="A46" s="8" t="inlineStr">
        <is>
          <t>Form 990-EZ Parts I &amp; II</t>
        </is>
      </c>
      <c r="B46" s="8" t="inlineStr">
        <is>
          <t>E14</t>
        </is>
      </c>
      <c r="C46" s="8" t="inlineStr">
        <is>
          <t>13. Fees for services (independent contractors)</t>
        </is>
      </c>
      <c r="D46" s="8" t="inlineStr">
        <is>
          <t>Part I line 13</t>
        </is>
      </c>
      <c r="E46" s="8" t="inlineStr">
        <is>
          <t>part_i_revenue_expenses.fees_ind_contractors</t>
        </is>
      </c>
      <c r="F46" s="8" t="inlineStr">
        <is>
          <t>high</t>
        </is>
      </c>
      <c r="G46" s="9" t="n">
        <v>2835</v>
      </c>
    </row>
    <row r="47">
      <c r="A47" s="8" t="inlineStr">
        <is>
          <t>Form 990-EZ Parts I &amp; II</t>
        </is>
      </c>
      <c r="B47" s="8" t="inlineStr">
        <is>
          <t>F14</t>
        </is>
      </c>
      <c r="C47" s="8" t="inlineStr">
        <is>
          <t>13. Fees for services (independent contractors)</t>
        </is>
      </c>
      <c r="D47" s="8" t="inlineStr">
        <is>
          <t>Part I line 13</t>
        </is>
      </c>
      <c r="E47" s="8" t="inlineStr">
        <is>
          <t>part_i_revenue_expenses.fees_ind_contractors</t>
        </is>
      </c>
      <c r="F47" s="8" t="inlineStr">
        <is>
          <t>high</t>
        </is>
      </c>
      <c r="G47" s="9" t="n">
        <v>2923</v>
      </c>
    </row>
    <row r="48">
      <c r="A48" s="8" t="inlineStr">
        <is>
          <t>Form 990-EZ Parts I &amp; II</t>
        </is>
      </c>
      <c r="B48" s="8" t="inlineStr">
        <is>
          <t>G14</t>
        </is>
      </c>
      <c r="C48" s="8" t="inlineStr">
        <is>
          <t>13. Fees for services (independent contractors)</t>
        </is>
      </c>
      <c r="D48" s="8" t="inlineStr">
        <is>
          <t>Part I line 13</t>
        </is>
      </c>
      <c r="E48" s="8" t="inlineStr">
        <is>
          <t>part_i_revenue_expenses.fees_ind_contractors</t>
        </is>
      </c>
      <c r="F48" s="8" t="inlineStr">
        <is>
          <t>high</t>
        </is>
      </c>
      <c r="G48" s="9" t="n">
        <v>2578</v>
      </c>
    </row>
    <row r="49">
      <c r="A49" s="8" t="inlineStr">
        <is>
          <t>Form 990-EZ Parts I &amp; II</t>
        </is>
      </c>
      <c r="B49" s="8" t="inlineStr">
        <is>
          <t>B15</t>
        </is>
      </c>
      <c r="C49" s="8" t="inlineStr">
        <is>
          <t>14. Occupancy, rent, utilities, maintenance</t>
        </is>
      </c>
      <c r="D49" s="8" t="inlineStr">
        <is>
          <t>Part I line 14</t>
        </is>
      </c>
      <c r="E49" s="8" t="inlineStr">
        <is>
          <t>part_i_revenue_expenses.occupancy_utilities_maint</t>
        </is>
      </c>
      <c r="F49" s="8" t="inlineStr">
        <is>
          <t>high</t>
        </is>
      </c>
      <c r="G49" s="9" t="n">
        <v>28138</v>
      </c>
    </row>
    <row r="50">
      <c r="A50" s="8" t="inlineStr">
        <is>
          <t>Form 990-EZ Parts I &amp; II</t>
        </is>
      </c>
      <c r="B50" s="8" t="inlineStr">
        <is>
          <t>C15</t>
        </is>
      </c>
      <c r="C50" s="8" t="inlineStr">
        <is>
          <t>14. Occupancy, rent, utilities, maintenance</t>
        </is>
      </c>
      <c r="D50" s="8" t="inlineStr">
        <is>
          <t>Part I line 14</t>
        </is>
      </c>
      <c r="E50" s="8" t="inlineStr">
        <is>
          <t>part_i_revenue_expenses.occupancy_utilities_maint</t>
        </is>
      </c>
      <c r="F50" s="8" t="inlineStr">
        <is>
          <t>high</t>
        </is>
      </c>
      <c r="G50" s="9" t="n">
        <v>33441</v>
      </c>
    </row>
    <row r="51">
      <c r="A51" s="8" t="inlineStr">
        <is>
          <t>Form 990-EZ Parts I &amp; II</t>
        </is>
      </c>
      <c r="B51" s="8" t="inlineStr">
        <is>
          <t>D15</t>
        </is>
      </c>
      <c r="C51" s="8" t="inlineStr">
        <is>
          <t>14. Occupancy, rent, utilities, maintenance</t>
        </is>
      </c>
      <c r="D51" s="8" t="inlineStr">
        <is>
          <t>Part I line 14</t>
        </is>
      </c>
      <c r="E51" s="8" t="inlineStr">
        <is>
          <t>part_i_revenue_expenses.occupancy_utilities_maint</t>
        </is>
      </c>
      <c r="F51" s="8" t="inlineStr">
        <is>
          <t>high</t>
        </is>
      </c>
      <c r="G51" s="9" t="n">
        <v>59951</v>
      </c>
    </row>
    <row r="52">
      <c r="A52" s="8" t="inlineStr">
        <is>
          <t>Form 990-EZ Parts I &amp; II</t>
        </is>
      </c>
      <c r="B52" s="8" t="inlineStr">
        <is>
          <t>E15</t>
        </is>
      </c>
      <c r="C52" s="8" t="inlineStr">
        <is>
          <t>14. Occupancy, rent, utilities, maintenance</t>
        </is>
      </c>
      <c r="D52" s="8" t="inlineStr">
        <is>
          <t>Part I line 14</t>
        </is>
      </c>
      <c r="E52" s="8" t="inlineStr">
        <is>
          <t>part_i_revenue_expenses.occupancy_utilities_maint</t>
        </is>
      </c>
      <c r="F52" s="8" t="inlineStr">
        <is>
          <t>high</t>
        </is>
      </c>
      <c r="G52" s="9" t="n">
        <v>35416</v>
      </c>
    </row>
    <row r="53">
      <c r="A53" s="8" t="inlineStr">
        <is>
          <t>Form 990-EZ Parts I &amp; II</t>
        </is>
      </c>
      <c r="B53" s="8" t="inlineStr">
        <is>
          <t>F15</t>
        </is>
      </c>
      <c r="C53" s="8" t="inlineStr">
        <is>
          <t>14. Occupancy, rent, utilities, maintenance</t>
        </is>
      </c>
      <c r="D53" s="8" t="inlineStr">
        <is>
          <t>Part I line 14</t>
        </is>
      </c>
      <c r="E53" s="8" t="inlineStr">
        <is>
          <t>part_i_revenue_expenses.occupancy_utilities_maint</t>
        </is>
      </c>
      <c r="F53" s="8" t="inlineStr">
        <is>
          <t>high</t>
        </is>
      </c>
      <c r="G53" s="9" t="n">
        <v>51365</v>
      </c>
    </row>
    <row r="54">
      <c r="A54" s="8" t="inlineStr">
        <is>
          <t>Form 990-EZ Parts I &amp; II</t>
        </is>
      </c>
      <c r="B54" s="8" t="inlineStr">
        <is>
          <t>G15</t>
        </is>
      </c>
      <c r="C54" s="8" t="inlineStr">
        <is>
          <t>14. Occupancy, rent, utilities, maintenance</t>
        </is>
      </c>
      <c r="D54" s="8" t="inlineStr">
        <is>
          <t>Part I line 14</t>
        </is>
      </c>
      <c r="E54" s="8" t="inlineStr">
        <is>
          <t>part_i_revenue_expenses.occupancy_utilities_maint</t>
        </is>
      </c>
      <c r="F54" s="8" t="inlineStr">
        <is>
          <t>high</t>
        </is>
      </c>
      <c r="G54" s="9" t="n">
        <v>57872</v>
      </c>
    </row>
    <row r="55">
      <c r="A55" s="8" t="inlineStr">
        <is>
          <t>Form 990-EZ Parts I &amp; II</t>
        </is>
      </c>
      <c r="B55" s="8" t="inlineStr">
        <is>
          <t>B16</t>
        </is>
      </c>
      <c r="C55" s="8" t="inlineStr">
        <is>
          <t>15. Printing, publications, postage</t>
        </is>
      </c>
      <c r="D55" s="8" t="inlineStr">
        <is>
          <t>Part I line 15</t>
        </is>
      </c>
      <c r="E55" s="8" t="inlineStr">
        <is>
          <t>part_i_revenue_expenses.printing_publications_postage</t>
        </is>
      </c>
      <c r="F55" s="8" t="inlineStr">
        <is>
          <t>high</t>
        </is>
      </c>
      <c r="G55" s="9" t="n">
        <v>843</v>
      </c>
    </row>
    <row r="56">
      <c r="A56" s="8" t="inlineStr">
        <is>
          <t>Form 990-EZ Parts I &amp; II</t>
        </is>
      </c>
      <c r="B56" s="8" t="inlineStr">
        <is>
          <t>C16</t>
        </is>
      </c>
      <c r="C56" s="8" t="inlineStr">
        <is>
          <t>15. Printing, publications, postage</t>
        </is>
      </c>
      <c r="D56" s="8" t="inlineStr">
        <is>
          <t>Part I line 15</t>
        </is>
      </c>
      <c r="E56" s="8" t="inlineStr">
        <is>
          <t>part_i_revenue_expenses.printing_publications_postage</t>
        </is>
      </c>
      <c r="F56" s="8" t="inlineStr">
        <is>
          <t>high</t>
        </is>
      </c>
      <c r="G56" s="9" t="n">
        <v>1077</v>
      </c>
    </row>
    <row r="57">
      <c r="A57" s="8" t="inlineStr">
        <is>
          <t>Form 990-EZ Parts I &amp; II</t>
        </is>
      </c>
      <c r="B57" s="8" t="inlineStr">
        <is>
          <t>D16</t>
        </is>
      </c>
      <c r="C57" s="8" t="inlineStr">
        <is>
          <t>15. Printing, publications, postage</t>
        </is>
      </c>
      <c r="D57" s="8" t="inlineStr">
        <is>
          <t>Part I line 15</t>
        </is>
      </c>
      <c r="E57" s="8" t="inlineStr">
        <is>
          <t>part_i_revenue_expenses.printing_publications_postage</t>
        </is>
      </c>
      <c r="F57" s="8" t="inlineStr">
        <is>
          <t>high</t>
        </is>
      </c>
      <c r="G57" s="9" t="n">
        <v>956</v>
      </c>
    </row>
    <row r="58">
      <c r="A58" s="8" t="inlineStr">
        <is>
          <t>Form 990-EZ Parts I &amp; II</t>
        </is>
      </c>
      <c r="B58" s="8" t="inlineStr">
        <is>
          <t>E16</t>
        </is>
      </c>
      <c r="C58" s="8" t="inlineStr">
        <is>
          <t>15. Printing, publications, postage</t>
        </is>
      </c>
      <c r="D58" s="8" t="inlineStr">
        <is>
          <t>Part I line 15</t>
        </is>
      </c>
      <c r="E58" s="8" t="inlineStr">
        <is>
          <t>part_i_revenue_expenses.printing_publications_postage</t>
        </is>
      </c>
      <c r="F58" s="8" t="inlineStr">
        <is>
          <t>high</t>
        </is>
      </c>
      <c r="G58" s="9" t="n">
        <v>841</v>
      </c>
    </row>
    <row r="59">
      <c r="A59" s="8" t="inlineStr">
        <is>
          <t>Form 990-EZ Parts I &amp; II</t>
        </is>
      </c>
      <c r="B59" s="8" t="inlineStr">
        <is>
          <t>F16</t>
        </is>
      </c>
      <c r="C59" s="8" t="inlineStr">
        <is>
          <t>15. Printing, publications, postage</t>
        </is>
      </c>
      <c r="D59" s="8" t="inlineStr">
        <is>
          <t>Part I line 15</t>
        </is>
      </c>
      <c r="E59" s="8" t="inlineStr">
        <is>
          <t>part_i_revenue_expenses.printing_publications_postage</t>
        </is>
      </c>
      <c r="F59" s="8" t="inlineStr">
        <is>
          <t>high</t>
        </is>
      </c>
      <c r="G59" s="9" t="n">
        <v>1361</v>
      </c>
    </row>
    <row r="60">
      <c r="A60" s="8" t="inlineStr">
        <is>
          <t>Form 990-EZ Parts I &amp; II</t>
        </is>
      </c>
      <c r="B60" s="8" t="inlineStr">
        <is>
          <t>G16</t>
        </is>
      </c>
      <c r="C60" s="8" t="inlineStr">
        <is>
          <t>15. Printing, publications, postage</t>
        </is>
      </c>
      <c r="D60" s="8" t="inlineStr">
        <is>
          <t>Part I line 15</t>
        </is>
      </c>
      <c r="E60" s="8" t="inlineStr">
        <is>
          <t>part_i_revenue_expenses.printing_publications_postage</t>
        </is>
      </c>
      <c r="F60" s="8" t="inlineStr">
        <is>
          <t>high</t>
        </is>
      </c>
      <c r="G60" s="9" t="n">
        <v>1456</v>
      </c>
    </row>
    <row r="61">
      <c r="A61" s="8" t="inlineStr">
        <is>
          <t>Form 990-EZ Parts I &amp; II</t>
        </is>
      </c>
      <c r="B61" s="8" t="inlineStr">
        <is>
          <t>B17</t>
        </is>
      </c>
      <c r="C61" s="8" t="inlineStr">
        <is>
          <t>16. Other expenses</t>
        </is>
      </c>
      <c r="D61" s="8" t="inlineStr">
        <is>
          <t>Part I line 16</t>
        </is>
      </c>
      <c r="E61" s="8" t="inlineStr">
        <is>
          <t>part_i_revenue_expenses.other_expenses_total</t>
        </is>
      </c>
      <c r="F61" s="8" t="inlineStr">
        <is>
          <t>high</t>
        </is>
      </c>
      <c r="G61" s="9" t="n">
        <v>45151</v>
      </c>
    </row>
    <row r="62">
      <c r="A62" s="8" t="inlineStr">
        <is>
          <t>Form 990-EZ Parts I &amp; II</t>
        </is>
      </c>
      <c r="B62" s="8" t="inlineStr">
        <is>
          <t>C17</t>
        </is>
      </c>
      <c r="C62" s="8" t="inlineStr">
        <is>
          <t>16. Other expenses</t>
        </is>
      </c>
      <c r="D62" s="8" t="inlineStr">
        <is>
          <t>Part I line 16</t>
        </is>
      </c>
      <c r="E62" s="8" t="inlineStr">
        <is>
          <t>part_i_revenue_expenses.other_expenses_total</t>
        </is>
      </c>
      <c r="F62" s="8" t="inlineStr">
        <is>
          <t>high</t>
        </is>
      </c>
      <c r="G62" s="9" t="n">
        <v>49108</v>
      </c>
    </row>
    <row r="63">
      <c r="A63" s="8" t="inlineStr">
        <is>
          <t>Form 990-EZ Parts I &amp; II</t>
        </is>
      </c>
      <c r="B63" s="8" t="inlineStr">
        <is>
          <t>D17</t>
        </is>
      </c>
      <c r="C63" s="8" t="inlineStr">
        <is>
          <t>16. Other expenses</t>
        </is>
      </c>
      <c r="D63" s="8" t="inlineStr">
        <is>
          <t>Part I line 16</t>
        </is>
      </c>
      <c r="E63" s="8" t="inlineStr">
        <is>
          <t>part_i_revenue_expenses.other_expenses_total</t>
        </is>
      </c>
      <c r="F63" s="8" t="inlineStr">
        <is>
          <t>high</t>
        </is>
      </c>
      <c r="G63" s="9" t="n">
        <v>51513</v>
      </c>
    </row>
    <row r="64">
      <c r="A64" s="8" t="inlineStr">
        <is>
          <t>Form 990-EZ Parts I &amp; II</t>
        </is>
      </c>
      <c r="B64" s="8" t="inlineStr">
        <is>
          <t>E17</t>
        </is>
      </c>
      <c r="C64" s="8" t="inlineStr">
        <is>
          <t>16. Other expenses</t>
        </is>
      </c>
      <c r="D64" s="8" t="inlineStr">
        <is>
          <t>Part I line 16</t>
        </is>
      </c>
      <c r="E64" s="8" t="inlineStr">
        <is>
          <t>part_i_revenue_expenses.other_expenses_total</t>
        </is>
      </c>
      <c r="F64" s="8" t="inlineStr">
        <is>
          <t>high</t>
        </is>
      </c>
      <c r="G64" s="9" t="n">
        <v>56280</v>
      </c>
    </row>
    <row r="65">
      <c r="A65" s="8" t="inlineStr">
        <is>
          <t>Form 990-EZ Parts I &amp; II</t>
        </is>
      </c>
      <c r="B65" s="8" t="inlineStr">
        <is>
          <t>F17</t>
        </is>
      </c>
      <c r="C65" s="8" t="inlineStr">
        <is>
          <t>16. Other expenses</t>
        </is>
      </c>
      <c r="D65" s="8" t="inlineStr">
        <is>
          <t>Part I line 16</t>
        </is>
      </c>
      <c r="E65" s="8" t="inlineStr">
        <is>
          <t>part_i_revenue_expenses.other_expenses_total</t>
        </is>
      </c>
      <c r="F65" s="8" t="inlineStr">
        <is>
          <t>high</t>
        </is>
      </c>
      <c r="G65" s="9" t="n">
        <v>56942</v>
      </c>
    </row>
    <row r="66">
      <c r="A66" s="8" t="inlineStr">
        <is>
          <t>Form 990-EZ Parts I &amp; II</t>
        </is>
      </c>
      <c r="B66" s="8" t="inlineStr">
        <is>
          <t>G17</t>
        </is>
      </c>
      <c r="C66" s="8" t="inlineStr">
        <is>
          <t>16. Other expenses</t>
        </is>
      </c>
      <c r="D66" s="8" t="inlineStr">
        <is>
          <t>Part I line 16</t>
        </is>
      </c>
      <c r="E66" s="8" t="inlineStr">
        <is>
          <t>part_i_revenue_expenses.other_expenses_total</t>
        </is>
      </c>
      <c r="F66" s="8" t="inlineStr">
        <is>
          <t>high</t>
        </is>
      </c>
      <c r="G66" s="9" t="n">
        <v>61189</v>
      </c>
    </row>
    <row r="67">
      <c r="A67" s="8" t="inlineStr">
        <is>
          <t>Form 990-EZ Parts I &amp; II</t>
        </is>
      </c>
      <c r="B67" s="8" t="inlineStr">
        <is>
          <t>B21</t>
        </is>
      </c>
      <c r="C67" s="8" t="inlineStr">
        <is>
          <t>19. Net assets or fund balances, beginning of year</t>
        </is>
      </c>
      <c r="D67" s="8" t="inlineStr">
        <is>
          <t>Part I line 19</t>
        </is>
      </c>
      <c r="E67" s="8" t="inlineStr">
        <is>
          <t>part_i_revenue_expenses.net_assets_boy</t>
        </is>
      </c>
      <c r="F67" s="8" t="inlineStr">
        <is>
          <t>high</t>
        </is>
      </c>
      <c r="G67" s="9" t="n">
        <v>410073</v>
      </c>
    </row>
    <row r="68">
      <c r="A68" s="8" t="inlineStr">
        <is>
          <t>Form 990-EZ Parts I &amp; II</t>
        </is>
      </c>
      <c r="B68" s="8" t="inlineStr">
        <is>
          <t>C21</t>
        </is>
      </c>
      <c r="C68" s="8" t="inlineStr">
        <is>
          <t>19. Net assets or fund balances, beginning of year</t>
        </is>
      </c>
      <c r="D68" s="8" t="inlineStr">
        <is>
          <t>Part I line 19</t>
        </is>
      </c>
      <c r="E68" s="8" t="inlineStr">
        <is>
          <t>part_i_revenue_expenses.net_assets_boy</t>
        </is>
      </c>
      <c r="F68" s="8" t="inlineStr">
        <is>
          <t>high</t>
        </is>
      </c>
      <c r="G68" s="9" t="n">
        <v>386216</v>
      </c>
    </row>
    <row r="69">
      <c r="A69" s="8" t="inlineStr">
        <is>
          <t>Form 990-EZ Parts I &amp; II</t>
        </is>
      </c>
      <c r="B69" s="8" t="inlineStr">
        <is>
          <t>D21</t>
        </is>
      </c>
      <c r="C69" s="8" t="inlineStr">
        <is>
          <t>19. Net assets or fund balances, beginning of year</t>
        </is>
      </c>
      <c r="D69" s="8" t="inlineStr">
        <is>
          <t>Part I line 19</t>
        </is>
      </c>
      <c r="E69" s="8" t="inlineStr">
        <is>
          <t>part_i_revenue_expenses.net_assets_boy</t>
        </is>
      </c>
      <c r="F69" s="8" t="inlineStr">
        <is>
          <t>high</t>
        </is>
      </c>
      <c r="G69" s="9" t="n">
        <v>443466</v>
      </c>
    </row>
    <row r="70">
      <c r="A70" s="8" t="inlineStr">
        <is>
          <t>Form 990-EZ Parts I &amp; II</t>
        </is>
      </c>
      <c r="B70" s="8" t="inlineStr">
        <is>
          <t>E21</t>
        </is>
      </c>
      <c r="C70" s="8" t="inlineStr">
        <is>
          <t>19. Net assets or fund balances, beginning of year</t>
        </is>
      </c>
      <c r="D70" s="8" t="inlineStr">
        <is>
          <t>Part I line 19</t>
        </is>
      </c>
      <c r="E70" s="8" t="inlineStr">
        <is>
          <t>part_i_revenue_expenses.net_assets_boy</t>
        </is>
      </c>
      <c r="F70" s="8" t="inlineStr">
        <is>
          <t>high</t>
        </is>
      </c>
      <c r="G70" s="9" t="n">
        <v>430671</v>
      </c>
    </row>
    <row r="71">
      <c r="A71" s="8" t="inlineStr">
        <is>
          <t>Form 990-EZ Parts I &amp; II</t>
        </is>
      </c>
      <c r="B71" s="8" t="inlineStr">
        <is>
          <t>F21</t>
        </is>
      </c>
      <c r="C71" s="8" t="inlineStr">
        <is>
          <t>19. Net assets or fund balances, beginning of year</t>
        </is>
      </c>
      <c r="D71" s="8" t="inlineStr">
        <is>
          <t>Part I line 19</t>
        </is>
      </c>
      <c r="E71" s="8" t="inlineStr">
        <is>
          <t>part_i_revenue_expenses.net_assets_boy</t>
        </is>
      </c>
      <c r="F71" s="8" t="inlineStr">
        <is>
          <t>high</t>
        </is>
      </c>
      <c r="G71" s="9" t="n">
        <v>449250</v>
      </c>
    </row>
    <row r="72">
      <c r="A72" s="8" t="inlineStr">
        <is>
          <t>Form 990-EZ Parts I &amp; II</t>
        </is>
      </c>
      <c r="B72" s="8" t="inlineStr">
        <is>
          <t>G21</t>
        </is>
      </c>
      <c r="C72" s="8" t="inlineStr">
        <is>
          <t>19. Net assets or fund balances, beginning of year</t>
        </is>
      </c>
      <c r="D72" s="8" t="inlineStr">
        <is>
          <t>Part I line 19</t>
        </is>
      </c>
      <c r="E72" s="8" t="inlineStr">
        <is>
          <t>part_i_revenue_expenses.net_assets_boy</t>
        </is>
      </c>
      <c r="F72" s="8" t="inlineStr">
        <is>
          <t>high</t>
        </is>
      </c>
      <c r="G72" s="9" t="n">
        <v>471507</v>
      </c>
    </row>
    <row r="73">
      <c r="A73" s="8" t="inlineStr">
        <is>
          <t>Form 990-EZ Parts I &amp; II</t>
        </is>
      </c>
      <c r="B73" s="8" t="inlineStr">
        <is>
          <t>B22</t>
        </is>
      </c>
      <c r="C73" s="8" t="inlineStr">
        <is>
          <t>18. Excess or (deficit) for the year</t>
        </is>
      </c>
      <c r="D73" s="8" t="inlineStr">
        <is>
          <t>Part I line 18</t>
        </is>
      </c>
      <c r="E73" s="8" t="inlineStr">
        <is>
          <t>part_i_revenue_expenses.excess_or_deficit</t>
        </is>
      </c>
      <c r="F73" s="8" t="inlineStr">
        <is>
          <t>high</t>
        </is>
      </c>
      <c r="G73" s="9" t="n">
        <v>19378</v>
      </c>
    </row>
    <row r="74">
      <c r="A74" s="8" t="inlineStr">
        <is>
          <t>Form 990-EZ Parts I &amp; II</t>
        </is>
      </c>
      <c r="B74" s="8" t="inlineStr">
        <is>
          <t>C22</t>
        </is>
      </c>
      <c r="C74" s="8" t="inlineStr">
        <is>
          <t>18. Excess or (deficit) for the year</t>
        </is>
      </c>
      <c r="D74" s="8" t="inlineStr">
        <is>
          <t>Part I line 18</t>
        </is>
      </c>
      <c r="E74" s="8" t="inlineStr">
        <is>
          <t>part_i_revenue_expenses.excess_or_deficit</t>
        </is>
      </c>
      <c r="F74" s="8" t="inlineStr">
        <is>
          <t>high</t>
        </is>
      </c>
      <c r="G74" s="9" t="n">
        <v>14015</v>
      </c>
    </row>
    <row r="75">
      <c r="A75" s="8" t="inlineStr">
        <is>
          <t>Form 990-EZ Parts I &amp; II</t>
        </is>
      </c>
      <c r="B75" s="8" t="inlineStr">
        <is>
          <t>D22</t>
        </is>
      </c>
      <c r="C75" s="8" t="inlineStr">
        <is>
          <t>18. Excess or (deficit) for the year</t>
        </is>
      </c>
      <c r="D75" s="8" t="inlineStr">
        <is>
          <t>Part I line 18</t>
        </is>
      </c>
      <c r="E75" s="8" t="inlineStr">
        <is>
          <t>part_i_revenue_expenses.excess_or_deficit</t>
        </is>
      </c>
      <c r="F75" s="8" t="inlineStr">
        <is>
          <t>high</t>
        </is>
      </c>
      <c r="G75" s="9" t="n">
        <v>-12795</v>
      </c>
    </row>
    <row r="76">
      <c r="A76" s="8" t="inlineStr">
        <is>
          <t>Form 990-EZ Parts I &amp; II</t>
        </is>
      </c>
      <c r="B76" s="8" t="inlineStr">
        <is>
          <t>E22</t>
        </is>
      </c>
      <c r="C76" s="8" t="inlineStr">
        <is>
          <t>18. Excess or (deficit) for the year</t>
        </is>
      </c>
      <c r="D76" s="8" t="inlineStr">
        <is>
          <t>Part I line 18</t>
        </is>
      </c>
      <c r="E76" s="8" t="inlineStr">
        <is>
          <t>part_i_revenue_expenses.excess_or_deficit</t>
        </is>
      </c>
      <c r="F76" s="8" t="inlineStr">
        <is>
          <t>high</t>
        </is>
      </c>
      <c r="G76" s="9" t="n">
        <v>18579</v>
      </c>
    </row>
    <row r="77">
      <c r="A77" s="8" t="inlineStr">
        <is>
          <t>Form 990-EZ Parts I &amp; II</t>
        </is>
      </c>
      <c r="B77" s="8" t="inlineStr">
        <is>
          <t>F22</t>
        </is>
      </c>
      <c r="C77" s="8" t="inlineStr">
        <is>
          <t>18. Excess or (deficit) for the year</t>
        </is>
      </c>
      <c r="D77" s="8" t="inlineStr">
        <is>
          <t>Part I line 18</t>
        </is>
      </c>
      <c r="E77" s="8" t="inlineStr">
        <is>
          <t>part_i_revenue_expenses.excess_or_deficit</t>
        </is>
      </c>
      <c r="F77" s="8" t="inlineStr">
        <is>
          <t>high</t>
        </is>
      </c>
      <c r="G77" s="9" t="n">
        <v>22257</v>
      </c>
    </row>
    <row r="78">
      <c r="A78" s="8" t="inlineStr">
        <is>
          <t>Form 990-EZ Parts I &amp; II</t>
        </is>
      </c>
      <c r="B78" s="8" t="inlineStr">
        <is>
          <t>G22</t>
        </is>
      </c>
      <c r="C78" s="8" t="inlineStr">
        <is>
          <t>18. Excess or (deficit) for the year</t>
        </is>
      </c>
      <c r="D78" s="8" t="inlineStr">
        <is>
          <t>Part I line 18</t>
        </is>
      </c>
      <c r="E78" s="8" t="inlineStr">
        <is>
          <t>part_i_revenue_expenses.excess_or_deficit</t>
        </is>
      </c>
      <c r="F78" s="8" t="inlineStr">
        <is>
          <t>high</t>
        </is>
      </c>
      <c r="G78" s="9" t="n">
        <v>3013</v>
      </c>
    </row>
    <row r="79">
      <c r="A79" s="8" t="inlineStr">
        <is>
          <t>Form 990-EZ Parts I &amp; II</t>
        </is>
      </c>
      <c r="B79" s="8" t="inlineStr">
        <is>
          <t>B26</t>
        </is>
      </c>
      <c r="C79" s="8" t="inlineStr">
        <is>
          <t>22. Cash, savings, and investments</t>
        </is>
      </c>
      <c r="D79" s="8" t="inlineStr">
        <is>
          <t>Part II line 22 col B</t>
        </is>
      </c>
      <c r="E79" s="8" t="inlineStr">
        <is>
          <t>part_ii_balance_sheet.cash_savings_investments_eoy</t>
        </is>
      </c>
      <c r="F79" s="8" t="inlineStr">
        <is>
          <t>high</t>
        </is>
      </c>
      <c r="G79" s="9" t="n">
        <v>179411</v>
      </c>
    </row>
    <row r="80">
      <c r="A80" s="8" t="inlineStr">
        <is>
          <t>Form 990-EZ Parts I &amp; II</t>
        </is>
      </c>
      <c r="B80" s="8" t="inlineStr">
        <is>
          <t>C26</t>
        </is>
      </c>
      <c r="C80" s="8" t="inlineStr">
        <is>
          <t>22. Cash, savings, and investments</t>
        </is>
      </c>
      <c r="D80" s="8" t="inlineStr">
        <is>
          <t>Part II line 22 col B</t>
        </is>
      </c>
      <c r="E80" s="8" t="inlineStr">
        <is>
          <t>part_ii_balance_sheet.cash_savings_investments_eoy</t>
        </is>
      </c>
      <c r="F80" s="8" t="inlineStr">
        <is>
          <t>high</t>
        </is>
      </c>
      <c r="G80" s="9" t="n">
        <v>203150</v>
      </c>
    </row>
    <row r="81">
      <c r="A81" s="8" t="inlineStr">
        <is>
          <t>Form 990-EZ Parts I &amp; II</t>
        </is>
      </c>
      <c r="B81" s="8" t="inlineStr">
        <is>
          <t>D26</t>
        </is>
      </c>
      <c r="C81" s="8" t="inlineStr">
        <is>
          <t>22. Cash, savings, and investments</t>
        </is>
      </c>
      <c r="D81" s="8" t="inlineStr">
        <is>
          <t>Part II line 22 col B</t>
        </is>
      </c>
      <c r="E81" s="8" t="inlineStr">
        <is>
          <t>part_ii_balance_sheet.cash_savings_investments_eoy</t>
        </is>
      </c>
      <c r="F81" s="8" t="inlineStr">
        <is>
          <t>high</t>
        </is>
      </c>
      <c r="G81" s="9" t="n">
        <v>192023</v>
      </c>
    </row>
    <row r="82">
      <c r="A82" s="8" t="inlineStr">
        <is>
          <t>Form 990-EZ Parts I &amp; II</t>
        </is>
      </c>
      <c r="B82" s="8" t="inlineStr">
        <is>
          <t>E26</t>
        </is>
      </c>
      <c r="C82" s="8" t="inlineStr">
        <is>
          <t>22. Cash, savings, and investments</t>
        </is>
      </c>
      <c r="D82" s="8" t="inlineStr">
        <is>
          <t>Part II line 22 col B</t>
        </is>
      </c>
      <c r="E82" s="8" t="inlineStr">
        <is>
          <t>part_ii_balance_sheet.cash_savings_investments_eoy</t>
        </is>
      </c>
      <c r="F82" s="8" t="inlineStr">
        <is>
          <t>high</t>
        </is>
      </c>
      <c r="G82" s="9" t="n">
        <v>198661</v>
      </c>
    </row>
    <row r="83">
      <c r="A83" s="8" t="inlineStr">
        <is>
          <t>Form 990-EZ Parts I &amp; II</t>
        </is>
      </c>
      <c r="B83" s="8" t="inlineStr">
        <is>
          <t>F26</t>
        </is>
      </c>
      <c r="C83" s="8" t="inlineStr">
        <is>
          <t>22. Cash, savings, and investments</t>
        </is>
      </c>
      <c r="D83" s="8" t="inlineStr">
        <is>
          <t>Part II line 22 col B</t>
        </is>
      </c>
      <c r="E83" s="8" t="inlineStr">
        <is>
          <t>part_ii_balance_sheet.cash_savings_investments_eoy</t>
        </is>
      </c>
      <c r="F83" s="8" t="inlineStr">
        <is>
          <t>high</t>
        </is>
      </c>
      <c r="G83" s="9" t="n">
        <v>229703</v>
      </c>
    </row>
    <row r="84">
      <c r="A84" s="8" t="inlineStr">
        <is>
          <t>Form 990-EZ Parts I &amp; II</t>
        </is>
      </c>
      <c r="B84" s="8" t="inlineStr">
        <is>
          <t>G26</t>
        </is>
      </c>
      <c r="C84" s="8" t="inlineStr">
        <is>
          <t>22. Cash, savings, and investments</t>
        </is>
      </c>
      <c r="D84" s="8" t="inlineStr">
        <is>
          <t>Part II line 22 col B</t>
        </is>
      </c>
      <c r="E84" s="8" t="inlineStr">
        <is>
          <t>part_ii_balance_sheet.cash_savings_investments_eoy</t>
        </is>
      </c>
      <c r="F84" s="8" t="inlineStr">
        <is>
          <t>high</t>
        </is>
      </c>
      <c r="G84" s="9" t="n">
        <v>239994</v>
      </c>
    </row>
    <row r="85">
      <c r="A85" s="8" t="inlineStr">
        <is>
          <t>Form 990-EZ Parts I &amp; II</t>
        </is>
      </c>
      <c r="B85" s="8" t="inlineStr">
        <is>
          <t>B27</t>
        </is>
      </c>
      <c r="C85" s="8" t="inlineStr">
        <is>
          <t>23. Land and buildings</t>
        </is>
      </c>
      <c r="D85" s="8" t="inlineStr">
        <is>
          <t>Part II line 23 col B</t>
        </is>
      </c>
      <c r="E85" s="8" t="inlineStr">
        <is>
          <t>part_ii_balance_sheet.land_and_buildings_eoy</t>
        </is>
      </c>
      <c r="F85" s="8" t="inlineStr">
        <is>
          <t>high</t>
        </is>
      </c>
      <c r="G85" s="9" t="n">
        <v>43235</v>
      </c>
    </row>
    <row r="86">
      <c r="A86" s="8" t="inlineStr">
        <is>
          <t>Form 990-EZ Parts I &amp; II</t>
        </is>
      </c>
      <c r="B86" s="8" t="inlineStr">
        <is>
          <t>C27</t>
        </is>
      </c>
      <c r="C86" s="8" t="inlineStr">
        <is>
          <t>23. Land and buildings</t>
        </is>
      </c>
      <c r="D86" s="8" t="inlineStr">
        <is>
          <t>Part II line 23 col B</t>
        </is>
      </c>
      <c r="E86" s="8" t="inlineStr">
        <is>
          <t>part_ii_balance_sheet.land_and_buildings_eoy</t>
        </is>
      </c>
      <c r="F86" s="8" t="inlineStr">
        <is>
          <t>high</t>
        </is>
      </c>
      <c r="G86" s="9" t="n">
        <v>43235</v>
      </c>
    </row>
    <row r="87">
      <c r="A87" s="8" t="inlineStr">
        <is>
          <t>Form 990-EZ Parts I &amp; II</t>
        </is>
      </c>
      <c r="B87" s="8" t="inlineStr">
        <is>
          <t>D27</t>
        </is>
      </c>
      <c r="C87" s="8" t="inlineStr">
        <is>
          <t>23. Land and buildings</t>
        </is>
      </c>
      <c r="D87" s="8" t="inlineStr">
        <is>
          <t>Part II line 23 col B</t>
        </is>
      </c>
      <c r="E87" s="8" t="inlineStr">
        <is>
          <t>part_ii_balance_sheet.land_and_buildings_eoy</t>
        </is>
      </c>
      <c r="F87" s="8" t="inlineStr">
        <is>
          <t>high</t>
        </is>
      </c>
      <c r="G87" s="9" t="n">
        <v>43235</v>
      </c>
    </row>
    <row r="88">
      <c r="A88" s="8" t="inlineStr">
        <is>
          <t>Form 990-EZ Parts I &amp; II</t>
        </is>
      </c>
      <c r="B88" s="8" t="inlineStr">
        <is>
          <t>E27</t>
        </is>
      </c>
      <c r="C88" s="8" t="inlineStr">
        <is>
          <t>23. Land and buildings</t>
        </is>
      </c>
      <c r="D88" s="8" t="inlineStr">
        <is>
          <t>Part II line 23 col B</t>
        </is>
      </c>
      <c r="E88" s="8" t="inlineStr">
        <is>
          <t>part_ii_balance_sheet.land_and_buildings_eoy</t>
        </is>
      </c>
      <c r="F88" s="8" t="inlineStr">
        <is>
          <t>high</t>
        </is>
      </c>
      <c r="G88" s="9" t="n">
        <v>43235</v>
      </c>
    </row>
    <row r="89">
      <c r="A89" s="8" t="inlineStr">
        <is>
          <t>Form 990-EZ Parts I &amp; II</t>
        </is>
      </c>
      <c r="B89" s="8" t="inlineStr">
        <is>
          <t>F27</t>
        </is>
      </c>
      <c r="C89" s="8" t="inlineStr">
        <is>
          <t>23. Land and buildings</t>
        </is>
      </c>
      <c r="D89" s="8" t="inlineStr">
        <is>
          <t>Part II line 23 col B</t>
        </is>
      </c>
      <c r="E89" s="8" t="inlineStr">
        <is>
          <t>part_ii_balance_sheet.land_and_buildings_eoy</t>
        </is>
      </c>
      <c r="F89" s="8" t="inlineStr">
        <is>
          <t>high</t>
        </is>
      </c>
      <c r="G89" s="9" t="n">
        <v>43235</v>
      </c>
    </row>
    <row r="90">
      <c r="A90" s="8" t="inlineStr">
        <is>
          <t>Form 990-EZ Parts I &amp; II</t>
        </is>
      </c>
      <c r="B90" s="8" t="inlineStr">
        <is>
          <t>G27</t>
        </is>
      </c>
      <c r="C90" s="8" t="inlineStr">
        <is>
          <t>23. Land and buildings</t>
        </is>
      </c>
      <c r="D90" s="8" t="inlineStr">
        <is>
          <t>Part II line 23 col B</t>
        </is>
      </c>
      <c r="E90" s="8" t="inlineStr">
        <is>
          <t>part_ii_balance_sheet.land_and_buildings_eoy</t>
        </is>
      </c>
      <c r="F90" s="8" t="inlineStr">
        <is>
          <t>high</t>
        </is>
      </c>
      <c r="G90" s="9" t="n">
        <v>43235</v>
      </c>
    </row>
    <row r="91">
      <c r="A91" s="8" t="inlineStr">
        <is>
          <t>Form 990-EZ Parts I &amp; II</t>
        </is>
      </c>
      <c r="B91" s="8" t="inlineStr">
        <is>
          <t>B28</t>
        </is>
      </c>
      <c r="C91" s="8" t="inlineStr">
        <is>
          <t>24. Other assets</t>
        </is>
      </c>
      <c r="D91" s="8" t="inlineStr">
        <is>
          <t>Part II line 24 col B</t>
        </is>
      </c>
      <c r="E91" s="8" t="inlineStr">
        <is>
          <t>part_ii_balance_sheet.other_assets_eoy</t>
        </is>
      </c>
      <c r="F91" s="8" t="inlineStr">
        <is>
          <t>high</t>
        </is>
      </c>
      <c r="G91" s="9" t="n">
        <v>214301</v>
      </c>
    </row>
    <row r="92">
      <c r="A92" s="8" t="inlineStr">
        <is>
          <t>Form 990-EZ Parts I &amp; II</t>
        </is>
      </c>
      <c r="B92" s="8" t="inlineStr">
        <is>
          <t>C28</t>
        </is>
      </c>
      <c r="C92" s="8" t="inlineStr">
        <is>
          <t>24. Other assets</t>
        </is>
      </c>
      <c r="D92" s="8" t="inlineStr">
        <is>
          <t>Part II line 24 col B</t>
        </is>
      </c>
      <c r="E92" s="8" t="inlineStr">
        <is>
          <t>part_ii_balance_sheet.other_assets_eoy</t>
        </is>
      </c>
      <c r="F92" s="8" t="inlineStr">
        <is>
          <t>high</t>
        </is>
      </c>
      <c r="G92" s="9" t="n">
        <v>202553</v>
      </c>
    </row>
    <row r="93">
      <c r="A93" s="8" t="inlineStr">
        <is>
          <t>Form 990-EZ Parts I &amp; II</t>
        </is>
      </c>
      <c r="B93" s="8" t="inlineStr">
        <is>
          <t>D28</t>
        </is>
      </c>
      <c r="C93" s="8" t="inlineStr">
        <is>
          <t>24. Other assets</t>
        </is>
      </c>
      <c r="D93" s="8" t="inlineStr">
        <is>
          <t>Part II line 24 col B</t>
        </is>
      </c>
      <c r="E93" s="8" t="inlineStr">
        <is>
          <t>part_ii_balance_sheet.other_assets_eoy</t>
        </is>
      </c>
      <c r="F93" s="8" t="inlineStr">
        <is>
          <t>high</t>
        </is>
      </c>
      <c r="G93" s="9" t="n">
        <v>202434</v>
      </c>
    </row>
    <row r="94">
      <c r="A94" s="8" t="inlineStr">
        <is>
          <t>Form 990-EZ Parts I &amp; II</t>
        </is>
      </c>
      <c r="B94" s="8" t="inlineStr">
        <is>
          <t>E28</t>
        </is>
      </c>
      <c r="C94" s="8" t="inlineStr">
        <is>
          <t>24. Other assets</t>
        </is>
      </c>
      <c r="D94" s="8" t="inlineStr">
        <is>
          <t>Part II line 24 col B</t>
        </is>
      </c>
      <c r="E94" s="8" t="inlineStr">
        <is>
          <t>part_ii_balance_sheet.other_assets_eoy</t>
        </is>
      </c>
      <c r="F94" s="8" t="inlineStr">
        <is>
          <t>high</t>
        </is>
      </c>
      <c r="G94" s="9" t="n">
        <v>214412</v>
      </c>
    </row>
    <row r="95">
      <c r="A95" s="8" t="inlineStr">
        <is>
          <t>Form 990-EZ Parts I &amp; II</t>
        </is>
      </c>
      <c r="B95" s="8" t="inlineStr">
        <is>
          <t>F28</t>
        </is>
      </c>
      <c r="C95" s="8" t="inlineStr">
        <is>
          <t>24. Other assets</t>
        </is>
      </c>
      <c r="D95" s="8" t="inlineStr">
        <is>
          <t>Part II line 24 col B</t>
        </is>
      </c>
      <c r="E95" s="8" t="inlineStr">
        <is>
          <t>part_ii_balance_sheet.other_assets_eoy</t>
        </is>
      </c>
      <c r="F95" s="8" t="inlineStr">
        <is>
          <t>high</t>
        </is>
      </c>
      <c r="G95" s="9" t="n">
        <v>208111</v>
      </c>
    </row>
    <row r="96">
      <c r="A96" s="8" t="inlineStr">
        <is>
          <t>Form 990-EZ Parts I &amp; II</t>
        </is>
      </c>
      <c r="B96" s="8" t="inlineStr">
        <is>
          <t>G28</t>
        </is>
      </c>
      <c r="C96" s="8" t="inlineStr">
        <is>
          <t>24. Other assets</t>
        </is>
      </c>
      <c r="D96" s="8" t="inlineStr">
        <is>
          <t>Part II line 24 col B</t>
        </is>
      </c>
      <c r="E96" s="8" t="inlineStr">
        <is>
          <t>part_ii_balance_sheet.other_assets_eoy</t>
        </is>
      </c>
      <c r="F96" s="8" t="inlineStr">
        <is>
          <t>high</t>
        </is>
      </c>
      <c r="G96" s="9" t="n">
        <v>206474</v>
      </c>
    </row>
    <row r="97">
      <c r="A97" s="8" t="inlineStr">
        <is>
          <t>Form 990-EZ Parts I &amp; II</t>
        </is>
      </c>
      <c r="B97" s="8" t="inlineStr">
        <is>
          <t>B30</t>
        </is>
      </c>
      <c r="C97" s="8" t="inlineStr">
        <is>
          <t>26. Total liabilities</t>
        </is>
      </c>
      <c r="D97" s="8" t="inlineStr">
        <is>
          <t>Part II line 26 col B</t>
        </is>
      </c>
      <c r="E97" s="8" t="inlineStr">
        <is>
          <t>part_ii_balance_sheet.total_liabilities_eoy</t>
        </is>
      </c>
      <c r="F97" s="8" t="inlineStr">
        <is>
          <t>high</t>
        </is>
      </c>
      <c r="G97" s="9" t="n">
        <v>7496</v>
      </c>
    </row>
    <row r="98">
      <c r="A98" s="8" t="inlineStr">
        <is>
          <t>Form 990-EZ Parts I &amp; II</t>
        </is>
      </c>
      <c r="B98" s="8" t="inlineStr">
        <is>
          <t>C30</t>
        </is>
      </c>
      <c r="C98" s="8" t="inlineStr">
        <is>
          <t>26. Total liabilities</t>
        </is>
      </c>
      <c r="D98" s="8" t="inlineStr">
        <is>
          <t>Part II line 26 col B</t>
        </is>
      </c>
      <c r="E98" s="8" t="inlineStr">
        <is>
          <t>part_ii_balance_sheet.total_liabilities_eoy</t>
        </is>
      </c>
      <c r="F98" s="8" t="inlineStr">
        <is>
          <t>high</t>
        </is>
      </c>
      <c r="G98" s="9" t="n">
        <v>5472</v>
      </c>
    </row>
    <row r="99">
      <c r="A99" s="8" t="inlineStr">
        <is>
          <t>Form 990-EZ Parts I &amp; II</t>
        </is>
      </c>
      <c r="B99" s="8" t="inlineStr">
        <is>
          <t>D30</t>
        </is>
      </c>
      <c r="C99" s="8" t="inlineStr">
        <is>
          <t>26. Total liabilities</t>
        </is>
      </c>
      <c r="D99" s="8" t="inlineStr">
        <is>
          <t>Part II line 26 col B</t>
        </is>
      </c>
      <c r="E99" s="8" t="inlineStr">
        <is>
          <t>part_ii_balance_sheet.total_liabilities_eoy</t>
        </is>
      </c>
      <c r="F99" s="8" t="inlineStr">
        <is>
          <t>high</t>
        </is>
      </c>
      <c r="G99" s="9" t="n">
        <v>7021</v>
      </c>
    </row>
    <row r="100">
      <c r="A100" s="8" t="inlineStr">
        <is>
          <t>Form 990-EZ Parts I &amp; II</t>
        </is>
      </c>
      <c r="B100" s="8" t="inlineStr">
        <is>
          <t>E30</t>
        </is>
      </c>
      <c r="C100" s="8" t="inlineStr">
        <is>
          <t>26. Total liabilities</t>
        </is>
      </c>
      <c r="D100" s="8" t="inlineStr">
        <is>
          <t>Part II line 26 col B</t>
        </is>
      </c>
      <c r="E100" s="8" t="inlineStr">
        <is>
          <t>part_ii_balance_sheet.total_liabilities_eoy</t>
        </is>
      </c>
      <c r="F100" s="8" t="inlineStr">
        <is>
          <t>high</t>
        </is>
      </c>
      <c r="G100" s="9" t="n">
        <v>7058</v>
      </c>
    </row>
    <row r="101">
      <c r="A101" s="8" t="inlineStr">
        <is>
          <t>Form 990-EZ Parts I &amp; II</t>
        </is>
      </c>
      <c r="B101" s="8" t="inlineStr">
        <is>
          <t>F30</t>
        </is>
      </c>
      <c r="C101" s="8" t="inlineStr">
        <is>
          <t>26. Total liabilities</t>
        </is>
      </c>
      <c r="D101" s="8" t="inlineStr">
        <is>
          <t>Part II line 26 col B</t>
        </is>
      </c>
      <c r="E101" s="8" t="inlineStr">
        <is>
          <t>part_ii_balance_sheet.total_liabilities_eoy</t>
        </is>
      </c>
      <c r="F101" s="8" t="inlineStr">
        <is>
          <t>high</t>
        </is>
      </c>
      <c r="G101" s="9" t="n">
        <v>9542</v>
      </c>
    </row>
    <row r="102">
      <c r="A102" s="8" t="inlineStr">
        <is>
          <t>Form 990-EZ Parts I &amp; II</t>
        </is>
      </c>
      <c r="B102" s="8" t="inlineStr">
        <is>
          <t>G30</t>
        </is>
      </c>
      <c r="C102" s="8" t="inlineStr">
        <is>
          <t>26. Total liabilities</t>
        </is>
      </c>
      <c r="D102" s="8" t="inlineStr">
        <is>
          <t>Part II line 26 col B</t>
        </is>
      </c>
      <c r="E102" s="8" t="inlineStr">
        <is>
          <t>part_ii_balance_sheet.total_liabilities_eoy</t>
        </is>
      </c>
      <c r="F102" s="8" t="inlineStr">
        <is>
          <t>high</t>
        </is>
      </c>
      <c r="G102" s="9" t="n">
        <v>15183</v>
      </c>
    </row>
    <row r="103">
      <c r="A103" s="8" t="inlineStr">
        <is>
          <t>Form 990-EZ Parts I &amp; II</t>
        </is>
      </c>
      <c r="B103" s="8" t="inlineStr">
        <is>
          <t>B31</t>
        </is>
      </c>
      <c r="C103" s="8" t="inlineStr">
        <is>
          <t>27. Net assets or fund balances</t>
        </is>
      </c>
      <c r="D103" s="8" t="inlineStr">
        <is>
          <t>Part II line 27 col B</t>
        </is>
      </c>
      <c r="E103" s="8" t="inlineStr">
        <is>
          <t>part_ii_balance_sheet.net_assets_eoy</t>
        </is>
      </c>
      <c r="F103" s="8" t="inlineStr">
        <is>
          <t>high</t>
        </is>
      </c>
      <c r="G103" s="9" t="n">
        <v>429451</v>
      </c>
    </row>
    <row r="104">
      <c r="A104" s="8" t="inlineStr">
        <is>
          <t>Form 990-EZ Parts I &amp; II</t>
        </is>
      </c>
      <c r="B104" s="8" t="inlineStr">
        <is>
          <t>C31</t>
        </is>
      </c>
      <c r="C104" s="8" t="inlineStr">
        <is>
          <t>27. Net assets or fund balances</t>
        </is>
      </c>
      <c r="D104" s="8" t="inlineStr">
        <is>
          <t>Part II line 27 col B</t>
        </is>
      </c>
      <c r="E104" s="8" t="inlineStr">
        <is>
          <t>part_ii_balance_sheet.net_assets_eoy</t>
        </is>
      </c>
      <c r="F104" s="8" t="inlineStr">
        <is>
          <t>high</t>
        </is>
      </c>
      <c r="G104" s="9" t="n">
        <v>443466</v>
      </c>
    </row>
    <row r="105">
      <c r="A105" s="8" t="inlineStr">
        <is>
          <t>Form 990-EZ Parts I &amp; II</t>
        </is>
      </c>
      <c r="B105" s="8" t="inlineStr">
        <is>
          <t>D31</t>
        </is>
      </c>
      <c r="C105" s="8" t="inlineStr">
        <is>
          <t>27. Net assets or fund balances</t>
        </is>
      </c>
      <c r="D105" s="8" t="inlineStr">
        <is>
          <t>Part II line 27 col B</t>
        </is>
      </c>
      <c r="E105" s="8" t="inlineStr">
        <is>
          <t>part_ii_balance_sheet.net_assets_eoy</t>
        </is>
      </c>
      <c r="F105" s="8" t="inlineStr">
        <is>
          <t>high</t>
        </is>
      </c>
      <c r="G105" s="9" t="n">
        <v>430671</v>
      </c>
    </row>
    <row r="106">
      <c r="A106" s="8" t="inlineStr">
        <is>
          <t>Form 990-EZ Parts I &amp; II</t>
        </is>
      </c>
      <c r="B106" s="8" t="inlineStr">
        <is>
          <t>E31</t>
        </is>
      </c>
      <c r="C106" s="8" t="inlineStr">
        <is>
          <t>27. Net assets or fund balances</t>
        </is>
      </c>
      <c r="D106" s="8" t="inlineStr">
        <is>
          <t>Part II line 27 col B</t>
        </is>
      </c>
      <c r="E106" s="8" t="inlineStr">
        <is>
          <t>part_ii_balance_sheet.net_assets_eoy</t>
        </is>
      </c>
      <c r="F106" s="8" t="inlineStr">
        <is>
          <t>high</t>
        </is>
      </c>
      <c r="G106" s="9" t="n">
        <v>449250</v>
      </c>
    </row>
    <row r="107">
      <c r="A107" s="8" t="inlineStr">
        <is>
          <t>Form 990-EZ Parts I &amp; II</t>
        </is>
      </c>
      <c r="B107" s="8" t="inlineStr">
        <is>
          <t>F31</t>
        </is>
      </c>
      <c r="C107" s="8" t="inlineStr">
        <is>
          <t>27. Net assets or fund balances</t>
        </is>
      </c>
      <c r="D107" s="8" t="inlineStr">
        <is>
          <t>Part II line 27 col B</t>
        </is>
      </c>
      <c r="E107" s="8" t="inlineStr">
        <is>
          <t>part_ii_balance_sheet.net_assets_eoy</t>
        </is>
      </c>
      <c r="F107" s="8" t="inlineStr">
        <is>
          <t>high</t>
        </is>
      </c>
      <c r="G107" s="9" t="n">
        <v>471507</v>
      </c>
    </row>
    <row r="108">
      <c r="A108" s="8" t="inlineStr">
        <is>
          <t>Form 990-EZ Parts I &amp; II</t>
        </is>
      </c>
      <c r="B108" s="8" t="inlineStr">
        <is>
          <t>G31</t>
        </is>
      </c>
      <c r="C108" s="8" t="inlineStr">
        <is>
          <t>27. Net assets or fund balances</t>
        </is>
      </c>
      <c r="D108" s="8" t="inlineStr">
        <is>
          <t>Part II line 27 col B</t>
        </is>
      </c>
      <c r="E108" s="8" t="inlineStr">
        <is>
          <t>part_ii_balance_sheet.net_assets_eoy</t>
        </is>
      </c>
      <c r="F108" s="8" t="inlineStr">
        <is>
          <t>high</t>
        </is>
      </c>
      <c r="G108" s="9" t="n">
        <v>474520</v>
      </c>
    </row>
    <row r="110">
      <c r="A110" s="25" t="inlineStr">
        <is>
          <t>C. Tie-out checks (filed vs computed; any nonzero variance is flagged red)</t>
        </is>
      </c>
      <c r="B110" s="7" t="n"/>
      <c r="C110" s="7" t="n"/>
      <c r="D110" s="7" t="n"/>
      <c r="E110" s="7" t="n"/>
      <c r="F110" s="7" t="n"/>
      <c r="G110" s="7" t="n"/>
      <c r="H110" s="7" t="n"/>
      <c r="I110" s="7" t="n"/>
      <c r="J110" s="7" t="n"/>
      <c r="K110" s="7" t="n"/>
    </row>
    <row r="111">
      <c r="A111" s="5" t="inlineStr">
        <is>
          <t>Tab</t>
        </is>
      </c>
      <c r="B111" s="5" t="inlineStr">
        <is>
          <t>Check</t>
        </is>
      </c>
      <c r="C111" s="5" t="inlineStr">
        <is>
          <t>Fiscal year</t>
        </is>
      </c>
      <c r="D111" s="5" t="inlineStr">
        <is>
          <t>Filed</t>
        </is>
      </c>
      <c r="E111" s="5" t="inlineStr">
        <is>
          <t>Computed</t>
        </is>
      </c>
      <c r="F111" s="5" t="inlineStr">
        <is>
          <t>Variance (computed - filed)</t>
        </is>
      </c>
    </row>
    <row r="112">
      <c r="A112" s="26" t="inlineStr">
        <is>
          <t>Form 990-EZ Parts I &amp; II</t>
        </is>
      </c>
      <c r="B112" s="26" t="inlineStr">
        <is>
          <t>17. Total expenses</t>
        </is>
      </c>
      <c r="C112" s="26" t="inlineStr">
        <is>
          <t>FY2020</t>
        </is>
      </c>
      <c r="D112" s="9" t="n">
        <v>135821</v>
      </c>
      <c r="E112" s="9">
        <f>'Form 990-EZ Parts I &amp; II'!B18</f>
        <v/>
      </c>
      <c r="F112" s="9">
        <f>E112-D112</f>
        <v/>
      </c>
    </row>
    <row r="113">
      <c r="A113" s="26" t="inlineStr">
        <is>
          <t>Form 990-EZ Parts I &amp; II</t>
        </is>
      </c>
      <c r="B113" s="26" t="inlineStr">
        <is>
          <t>17. Total expenses</t>
        </is>
      </c>
      <c r="C113" s="26" t="inlineStr">
        <is>
          <t>FY2021</t>
        </is>
      </c>
      <c r="D113" s="9" t="n">
        <v>141501</v>
      </c>
      <c r="E113" s="9">
        <f>'Form 990-EZ Parts I &amp; II'!C18</f>
        <v/>
      </c>
      <c r="F113" s="9">
        <f>E113-D113</f>
        <v/>
      </c>
    </row>
    <row r="114">
      <c r="A114" s="26" t="inlineStr">
        <is>
          <t>Form 990-EZ Parts I &amp; II</t>
        </is>
      </c>
      <c r="B114" s="26" t="inlineStr">
        <is>
          <t>17. Total expenses</t>
        </is>
      </c>
      <c r="C114" s="26" t="inlineStr">
        <is>
          <t>FY2022</t>
        </is>
      </c>
      <c r="D114" s="9" t="n">
        <v>170843</v>
      </c>
      <c r="E114" s="9">
        <f>'Form 990-EZ Parts I &amp; II'!D18</f>
        <v/>
      </c>
      <c r="F114" s="9">
        <f>E114-D114</f>
        <v/>
      </c>
    </row>
    <row r="115">
      <c r="A115" s="26" t="inlineStr">
        <is>
          <t>Form 990-EZ Parts I &amp; II</t>
        </is>
      </c>
      <c r="B115" s="26" t="inlineStr">
        <is>
          <t>17. Total expenses</t>
        </is>
      </c>
      <c r="C115" s="26" t="inlineStr">
        <is>
          <t>FY2023</t>
        </is>
      </c>
      <c r="D115" s="9" t="n">
        <v>152378</v>
      </c>
      <c r="E115" s="9">
        <f>'Form 990-EZ Parts I &amp; II'!E18</f>
        <v/>
      </c>
      <c r="F115" s="9">
        <f>E115-D115</f>
        <v/>
      </c>
    </row>
    <row r="116">
      <c r="A116" s="26" t="inlineStr">
        <is>
          <t>Form 990-EZ Parts I &amp; II</t>
        </is>
      </c>
      <c r="B116" s="26" t="inlineStr">
        <is>
          <t>17. Total expenses</t>
        </is>
      </c>
      <c r="C116" s="26" t="inlineStr">
        <is>
          <t>FY2024</t>
        </is>
      </c>
      <c r="D116" s="9" t="n">
        <v>170866</v>
      </c>
      <c r="E116" s="9">
        <f>'Form 990-EZ Parts I &amp; II'!F18</f>
        <v/>
      </c>
      <c r="F116" s="9">
        <f>E116-D116</f>
        <v/>
      </c>
    </row>
    <row r="117">
      <c r="A117" s="26" t="inlineStr">
        <is>
          <t>Form 990-EZ Parts I &amp; II</t>
        </is>
      </c>
      <c r="B117" s="26" t="inlineStr">
        <is>
          <t>17. Total expenses</t>
        </is>
      </c>
      <c r="C117" s="26" t="inlineStr">
        <is>
          <t>FY2025</t>
        </is>
      </c>
      <c r="D117" s="9" t="n">
        <v>182547</v>
      </c>
      <c r="E117" s="9">
        <f>'Form 990-EZ Parts I &amp; II'!G18</f>
        <v/>
      </c>
      <c r="F117" s="9">
        <f>E117-D117</f>
        <v/>
      </c>
    </row>
    <row r="118">
      <c r="A118" s="26" t="inlineStr">
        <is>
          <t>Form 990-EZ Parts I &amp; II</t>
        </is>
      </c>
      <c r="B118" s="26" t="inlineStr">
        <is>
          <t>21. Net assets or fund balances, end of year</t>
        </is>
      </c>
      <c r="C118" s="26" t="inlineStr">
        <is>
          <t>FY2020</t>
        </is>
      </c>
      <c r="D118" s="9" t="n">
        <v>429451</v>
      </c>
      <c r="E118" s="9">
        <f>'Form 990-EZ Parts I &amp; II'!B23</f>
        <v/>
      </c>
      <c r="F118" s="9">
        <f>E118-D118</f>
        <v/>
      </c>
    </row>
    <row r="119">
      <c r="A119" s="26" t="inlineStr">
        <is>
          <t>Form 990-EZ Parts I &amp; II</t>
        </is>
      </c>
      <c r="B119" s="26" t="inlineStr">
        <is>
          <t>21. Net assets or fund balances, end of year</t>
        </is>
      </c>
      <c r="C119" s="26" t="inlineStr">
        <is>
          <t>FY2021</t>
        </is>
      </c>
      <c r="D119" s="9" t="n">
        <v>400231</v>
      </c>
      <c r="E119" s="9">
        <f>'Form 990-EZ Parts I &amp; II'!C23</f>
        <v/>
      </c>
      <c r="F119" s="9">
        <f>E119-D119</f>
        <v/>
      </c>
    </row>
    <row r="120">
      <c r="A120" s="26" t="inlineStr">
        <is>
          <t>Form 990-EZ Parts I &amp; II</t>
        </is>
      </c>
      <c r="B120" s="26" t="inlineStr">
        <is>
          <t>21. Net assets or fund balances, end of year</t>
        </is>
      </c>
      <c r="C120" s="26" t="inlineStr">
        <is>
          <t>FY2022</t>
        </is>
      </c>
      <c r="D120" s="9" t="n">
        <v>430671</v>
      </c>
      <c r="E120" s="9">
        <f>'Form 990-EZ Parts I &amp; II'!D23</f>
        <v/>
      </c>
      <c r="F120" s="9">
        <f>E120-D120</f>
        <v/>
      </c>
    </row>
    <row r="121">
      <c r="A121" s="26" t="inlineStr">
        <is>
          <t>Form 990-EZ Parts I &amp; II</t>
        </is>
      </c>
      <c r="B121" s="26" t="inlineStr">
        <is>
          <t>21. Net assets or fund balances, end of year</t>
        </is>
      </c>
      <c r="C121" s="26" t="inlineStr">
        <is>
          <t>FY2023</t>
        </is>
      </c>
      <c r="D121" s="9" t="n">
        <v>449250</v>
      </c>
      <c r="E121" s="9">
        <f>'Form 990-EZ Parts I &amp; II'!E23</f>
        <v/>
      </c>
      <c r="F121" s="9">
        <f>E121-D121</f>
        <v/>
      </c>
    </row>
    <row r="122">
      <c r="A122" s="26" t="inlineStr">
        <is>
          <t>Form 990-EZ Parts I &amp; II</t>
        </is>
      </c>
      <c r="B122" s="26" t="inlineStr">
        <is>
          <t>21. Net assets or fund balances, end of year</t>
        </is>
      </c>
      <c r="C122" s="26" t="inlineStr">
        <is>
          <t>FY2024</t>
        </is>
      </c>
      <c r="D122" s="9" t="n">
        <v>471507</v>
      </c>
      <c r="E122" s="9">
        <f>'Form 990-EZ Parts I &amp; II'!F23</f>
        <v/>
      </c>
      <c r="F122" s="9">
        <f>E122-D122</f>
        <v/>
      </c>
    </row>
    <row r="123">
      <c r="A123" s="26" t="inlineStr">
        <is>
          <t>Form 990-EZ Parts I &amp; II</t>
        </is>
      </c>
      <c r="B123" s="26" t="inlineStr">
        <is>
          <t>21. Net assets or fund balances, end of year</t>
        </is>
      </c>
      <c r="C123" s="26" t="inlineStr">
        <is>
          <t>FY2025</t>
        </is>
      </c>
      <c r="D123" s="9" t="n">
        <v>474520</v>
      </c>
      <c r="E123" s="9">
        <f>'Form 990-EZ Parts I &amp; II'!G23</f>
        <v/>
      </c>
      <c r="F123" s="9">
        <f>E123-D123</f>
        <v/>
      </c>
    </row>
    <row r="124">
      <c r="A124" s="26" t="inlineStr">
        <is>
          <t>Form 990-EZ Parts I &amp; II</t>
        </is>
      </c>
      <c r="B124" s="26" t="inlineStr">
        <is>
          <t>25. Total assets</t>
        </is>
      </c>
      <c r="C124" s="26" t="inlineStr">
        <is>
          <t>FY2020</t>
        </is>
      </c>
      <c r="D124" s="9" t="n">
        <v>436947</v>
      </c>
      <c r="E124" s="9">
        <f>'Form 990-EZ Parts I &amp; II'!B29</f>
        <v/>
      </c>
      <c r="F124" s="9">
        <f>E124-D124</f>
        <v/>
      </c>
    </row>
    <row r="125">
      <c r="A125" s="26" t="inlineStr">
        <is>
          <t>Form 990-EZ Parts I &amp; II</t>
        </is>
      </c>
      <c r="B125" s="26" t="inlineStr">
        <is>
          <t>25. Total assets</t>
        </is>
      </c>
      <c r="C125" s="26" t="inlineStr">
        <is>
          <t>FY2021</t>
        </is>
      </c>
      <c r="D125" s="9" t="n">
        <v>448938</v>
      </c>
      <c r="E125" s="9">
        <f>'Form 990-EZ Parts I &amp; II'!C29</f>
        <v/>
      </c>
      <c r="F125" s="9">
        <f>E125-D125</f>
        <v/>
      </c>
    </row>
    <row r="126">
      <c r="A126" s="26" t="inlineStr">
        <is>
          <t>Form 990-EZ Parts I &amp; II</t>
        </is>
      </c>
      <c r="B126" s="26" t="inlineStr">
        <is>
          <t>25. Total assets</t>
        </is>
      </c>
      <c r="C126" s="26" t="inlineStr">
        <is>
          <t>FY2022</t>
        </is>
      </c>
      <c r="D126" s="9" t="n">
        <v>437692</v>
      </c>
      <c r="E126" s="9">
        <f>'Form 990-EZ Parts I &amp; II'!D29</f>
        <v/>
      </c>
      <c r="F126" s="9">
        <f>E126-D126</f>
        <v/>
      </c>
    </row>
    <row r="127">
      <c r="A127" s="26" t="inlineStr">
        <is>
          <t>Form 990-EZ Parts I &amp; II</t>
        </is>
      </c>
      <c r="B127" s="26" t="inlineStr">
        <is>
          <t>25. Total assets</t>
        </is>
      </c>
      <c r="C127" s="26" t="inlineStr">
        <is>
          <t>FY2023</t>
        </is>
      </c>
      <c r="D127" s="9" t="n">
        <v>456308</v>
      </c>
      <c r="E127" s="9">
        <f>'Form 990-EZ Parts I &amp; II'!E29</f>
        <v/>
      </c>
      <c r="F127" s="9">
        <f>E127-D127</f>
        <v/>
      </c>
    </row>
    <row r="128">
      <c r="A128" s="26" t="inlineStr">
        <is>
          <t>Form 990-EZ Parts I &amp; II</t>
        </is>
      </c>
      <c r="B128" s="26" t="inlineStr">
        <is>
          <t>25. Total assets</t>
        </is>
      </c>
      <c r="C128" s="26" t="inlineStr">
        <is>
          <t>FY2024</t>
        </is>
      </c>
      <c r="D128" s="9" t="n">
        <v>481049</v>
      </c>
      <c r="E128" s="9">
        <f>'Form 990-EZ Parts I &amp; II'!F29</f>
        <v/>
      </c>
      <c r="F128" s="9">
        <f>E128-D128</f>
        <v/>
      </c>
    </row>
    <row r="129">
      <c r="A129" s="26" t="inlineStr">
        <is>
          <t>Form 990-EZ Parts I &amp; II</t>
        </is>
      </c>
      <c r="B129" s="26" t="inlineStr">
        <is>
          <t>25. Total assets</t>
        </is>
      </c>
      <c r="C129" s="26" t="inlineStr">
        <is>
          <t>FY2025</t>
        </is>
      </c>
      <c r="D129" s="9" t="n">
        <v>489703</v>
      </c>
      <c r="E129" s="9">
        <f>'Form 990-EZ Parts I &amp; II'!G29</f>
        <v/>
      </c>
      <c r="F129" s="9">
        <f>E129-D129</f>
        <v/>
      </c>
    </row>
    <row r="130">
      <c r="A130" s="26" t="inlineStr">
        <is>
          <t>Form 990-EZ Parts I &amp; II</t>
        </is>
      </c>
      <c r="B130" s="26" t="inlineStr">
        <is>
          <t>Balance sheet identity: line 25 = line 26 + line 27 (EOY)</t>
        </is>
      </c>
      <c r="C130" s="26" t="inlineStr">
        <is>
          <t>FY2020</t>
        </is>
      </c>
      <c r="D130" s="9">
        <f>'Form 990-EZ Parts I &amp; II'!B29</f>
        <v/>
      </c>
      <c r="E130" s="9">
        <f>SUM('Form 990-EZ Parts I &amp; II'!B30,'Form 990-EZ Parts I &amp; II'!B31)</f>
        <v/>
      </c>
      <c r="F130" s="9">
        <f>E130-D130</f>
        <v/>
      </c>
    </row>
    <row r="131">
      <c r="A131" s="26" t="inlineStr">
        <is>
          <t>Form 990-EZ Parts I &amp; II</t>
        </is>
      </c>
      <c r="B131" s="26" t="inlineStr">
        <is>
          <t>Balance sheet identity: line 25 = line 26 + line 27 (EOY)</t>
        </is>
      </c>
      <c r="C131" s="26" t="inlineStr">
        <is>
          <t>FY2021</t>
        </is>
      </c>
      <c r="D131" s="9">
        <f>'Form 990-EZ Parts I &amp; II'!C29</f>
        <v/>
      </c>
      <c r="E131" s="9">
        <f>SUM('Form 990-EZ Parts I &amp; II'!C30,'Form 990-EZ Parts I &amp; II'!C31)</f>
        <v/>
      </c>
      <c r="F131" s="9">
        <f>E131-D131</f>
        <v/>
      </c>
    </row>
    <row r="132">
      <c r="A132" s="26" t="inlineStr">
        <is>
          <t>Form 990-EZ Parts I &amp; II</t>
        </is>
      </c>
      <c r="B132" s="26" t="inlineStr">
        <is>
          <t>Balance sheet identity: line 25 = line 26 + line 27 (EOY)</t>
        </is>
      </c>
      <c r="C132" s="26" t="inlineStr">
        <is>
          <t>FY2022</t>
        </is>
      </c>
      <c r="D132" s="9">
        <f>'Form 990-EZ Parts I &amp; II'!D29</f>
        <v/>
      </c>
      <c r="E132" s="9">
        <f>SUM('Form 990-EZ Parts I &amp; II'!D30,'Form 990-EZ Parts I &amp; II'!D31)</f>
        <v/>
      </c>
      <c r="F132" s="9">
        <f>E132-D132</f>
        <v/>
      </c>
    </row>
    <row r="133">
      <c r="A133" s="26" t="inlineStr">
        <is>
          <t>Form 990-EZ Parts I &amp; II</t>
        </is>
      </c>
      <c r="B133" s="26" t="inlineStr">
        <is>
          <t>Balance sheet identity: line 25 = line 26 + line 27 (EOY)</t>
        </is>
      </c>
      <c r="C133" s="26" t="inlineStr">
        <is>
          <t>FY2023</t>
        </is>
      </c>
      <c r="D133" s="9">
        <f>'Form 990-EZ Parts I &amp; II'!E29</f>
        <v/>
      </c>
      <c r="E133" s="9">
        <f>SUM('Form 990-EZ Parts I &amp; II'!E30,'Form 990-EZ Parts I &amp; II'!E31)</f>
        <v/>
      </c>
      <c r="F133" s="9">
        <f>E133-D133</f>
        <v/>
      </c>
    </row>
    <row r="134">
      <c r="A134" s="26" t="inlineStr">
        <is>
          <t>Form 990-EZ Parts I &amp; II</t>
        </is>
      </c>
      <c r="B134" s="26" t="inlineStr">
        <is>
          <t>Balance sheet identity: line 25 = line 26 + line 27 (EOY)</t>
        </is>
      </c>
      <c r="C134" s="26" t="inlineStr">
        <is>
          <t>FY2024</t>
        </is>
      </c>
      <c r="D134" s="9">
        <f>'Form 990-EZ Parts I &amp; II'!F29</f>
        <v/>
      </c>
      <c r="E134" s="9">
        <f>SUM('Form 990-EZ Parts I &amp; II'!F30,'Form 990-EZ Parts I &amp; II'!F31)</f>
        <v/>
      </c>
      <c r="F134" s="9">
        <f>E134-D134</f>
        <v/>
      </c>
    </row>
    <row r="135">
      <c r="A135" s="26" t="inlineStr">
        <is>
          <t>Form 990-EZ Parts I &amp; II</t>
        </is>
      </c>
      <c r="B135" s="26" t="inlineStr">
        <is>
          <t>Balance sheet identity: line 25 = line 26 + line 27 (EOY)</t>
        </is>
      </c>
      <c r="C135" s="26" t="inlineStr">
        <is>
          <t>FY2025</t>
        </is>
      </c>
      <c r="D135" s="9">
        <f>'Form 990-EZ Parts I &amp; II'!G29</f>
        <v/>
      </c>
      <c r="E135" s="9">
        <f>SUM('Form 990-EZ Parts I &amp; II'!G30,'Form 990-EZ Parts I &amp; II'!G31)</f>
        <v/>
      </c>
      <c r="F135" s="9">
        <f>E135-D135</f>
        <v/>
      </c>
    </row>
    <row r="137">
      <c r="A137" s="25" t="inlineStr">
        <is>
          <t>D. Preparer / auditor trail (one row per fiscal year, as filed)</t>
        </is>
      </c>
      <c r="B137" s="7" t="n"/>
      <c r="C137" s="7" t="n"/>
      <c r="D137" s="7" t="n"/>
      <c r="E137" s="7" t="n"/>
      <c r="F137" s="7" t="n"/>
      <c r="G137" s="7" t="n"/>
      <c r="H137" s="7" t="n"/>
      <c r="I137" s="7" t="n"/>
      <c r="J137" s="7" t="n"/>
      <c r="K137" s="7" t="n"/>
    </row>
    <row r="138">
      <c r="A138" s="5" t="inlineStr">
        <is>
          <t>Fiscal year</t>
        </is>
      </c>
      <c r="B138" s="5" t="inlineStr">
        <is>
          <t>Paid preparer</t>
        </is>
      </c>
      <c r="C138" s="5" t="inlineStr">
        <is>
          <t>Preparer firm</t>
        </is>
      </c>
      <c r="D138" s="5" t="inlineStr">
        <is>
          <t>Independent auditor</t>
        </is>
      </c>
      <c r="E138" s="5" t="inlineStr">
        <is>
          <t>Citation</t>
        </is>
      </c>
    </row>
    <row r="139" ht="42" customHeight="1">
      <c r="A139" s="22" t="inlineStr">
        <is>
          <t>FY2020</t>
        </is>
      </c>
      <c r="B139" s="8" t="inlineStr">
        <is>
          <t>KRISTY A MCMENOMEY</t>
        </is>
      </c>
      <c r="C139" s="8" t="inlineStr">
        <is>
          <t>KRISTY MCMENOMEY CPA</t>
        </is>
      </c>
      <c r="D139" s="27" t="inlineStr">
        <is>
          <t>not reported</t>
        </is>
      </c>
      <c r="E139" s="17" t="inlineStr">
        <is>
          <t>Form 990 Return Header, Paid Preparer block (return_header.preparer_person_name / preparer_firm_name); auditor: Part XII line 2 reports audited financial statements but does not name the firm.</t>
        </is>
      </c>
    </row>
    <row r="140" ht="42" customHeight="1">
      <c r="A140" s="22" t="inlineStr">
        <is>
          <t>FY2021</t>
        </is>
      </c>
      <c r="B140" s="8" t="inlineStr">
        <is>
          <t>KRISTY A MCMENOMEY</t>
        </is>
      </c>
      <c r="C140" s="8" t="inlineStr">
        <is>
          <t>KRISTY MCMENOMEY CPA</t>
        </is>
      </c>
      <c r="D140" s="27" t="inlineStr">
        <is>
          <t>not reported</t>
        </is>
      </c>
      <c r="E140" s="17" t="inlineStr">
        <is>
          <t>Form 990 Return Header, Paid Preparer block (return_header.preparer_person_name / preparer_firm_name); auditor: Part XII line 2 reports audited financial statements but does not name the firm.</t>
        </is>
      </c>
    </row>
    <row r="141" ht="42" customHeight="1">
      <c r="A141" s="22" t="inlineStr">
        <is>
          <t>FY2022</t>
        </is>
      </c>
      <c r="B141" s="8" t="inlineStr">
        <is>
          <t>KRISTY A MCMENOMEY</t>
        </is>
      </c>
      <c r="C141" s="8" t="inlineStr">
        <is>
          <t>KRISTY MCMENOMEY CPA</t>
        </is>
      </c>
      <c r="D141" s="27" t="inlineStr">
        <is>
          <t>not reported</t>
        </is>
      </c>
      <c r="E141" s="17" t="inlineStr">
        <is>
          <t>Form 990 Return Header, Paid Preparer block (return_header.preparer_person_name / preparer_firm_name); auditor: Part XII line 2 reports audited financial statements but does not name the firm.</t>
        </is>
      </c>
    </row>
    <row r="142" ht="42" customHeight="1">
      <c r="A142" s="22" t="inlineStr">
        <is>
          <t>FY2023</t>
        </is>
      </c>
      <c r="B142" s="8" t="inlineStr">
        <is>
          <t>KRISTY A MCMENOMEY</t>
        </is>
      </c>
      <c r="C142" s="8" t="inlineStr">
        <is>
          <t>KRISTY MCMENOMEY CPA</t>
        </is>
      </c>
      <c r="D142" s="27" t="inlineStr">
        <is>
          <t>not reported</t>
        </is>
      </c>
      <c r="E142" s="17" t="inlineStr">
        <is>
          <t>Form 990 Return Header, Paid Preparer block (return_header.preparer_person_name / preparer_firm_name); auditor: Part XII line 2 reports audited financial statements but does not name the firm.</t>
        </is>
      </c>
    </row>
    <row r="143" ht="42" customHeight="1">
      <c r="A143" s="22" t="inlineStr">
        <is>
          <t>FY2024</t>
        </is>
      </c>
      <c r="B143" s="8" t="inlineStr">
        <is>
          <t>KRISTY A MCMENOMEY</t>
        </is>
      </c>
      <c r="C143" s="8" t="inlineStr">
        <is>
          <t>KRISTY MCMENOMEY CPA</t>
        </is>
      </c>
      <c r="D143" s="27" t="inlineStr">
        <is>
          <t>not reported</t>
        </is>
      </c>
      <c r="E143" s="17" t="inlineStr">
        <is>
          <t>Form 990 Return Header, Paid Preparer block (return_header.preparer_person_name / preparer_firm_name); auditor: Part XII line 2 reports audited financial statements but does not name the firm.</t>
        </is>
      </c>
    </row>
    <row r="144" ht="42" customHeight="1">
      <c r="A144" s="22" t="inlineStr">
        <is>
          <t>FY2025</t>
        </is>
      </c>
      <c r="B144" s="8" t="inlineStr">
        <is>
          <t>KRISTY A MCMENOMEY</t>
        </is>
      </c>
      <c r="C144" s="8" t="inlineStr">
        <is>
          <t>KRISTY MCMENOMEY CPA</t>
        </is>
      </c>
      <c r="D144" s="27" t="inlineStr">
        <is>
          <t>not reported</t>
        </is>
      </c>
      <c r="E144" s="17" t="inlineStr">
        <is>
          <t>Form 990 Return Header, Paid Preparer block (return_header.preparer_person_name / preparer_firm_name); auditor: Part XII line 2 reports audited financial statements but does not name the firm.</t>
        </is>
      </c>
    </row>
    <row r="146" ht="42" customHeight="1">
      <c r="A14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46:K146"/>
  </mergeCells>
  <conditionalFormatting sqref="F112:F135">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