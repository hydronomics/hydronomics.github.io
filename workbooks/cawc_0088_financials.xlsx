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1.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Notes" sheetId="2" state="visible" r:id="rId2"/>
    <sheet name="Financial Statements" sheetId="3" state="visible" r:id="rId3"/>
    <sheet name="Balance Sheet" sheetId="4" state="visible" r:id="rId4"/>
    <sheet name="Form 990-EZ Parts I &amp; II" sheetId="5" state="visible" r:id="rId5"/>
    <sheet name="Cash flow proxies" sheetId="6" state="visible" r:id="rId6"/>
    <sheet name="Ratios" sheetId="7" state="visible" r:id="rId7"/>
    <sheet name="Unit economics" sheetId="8" state="visible" r:id="rId8"/>
    <sheet name="Rate structure" sheetId="9" state="visible" r:id="rId9"/>
    <sheet name="Operational metrics" sheetId="10" state="visible" r:id="rId10"/>
    <sheet name="Supply &amp; weather" sheetId="11" state="visible" r:id="rId11"/>
    <sheet name="How this was built" sheetId="12" state="visible" r:id="rId12"/>
    <sheet name="Anomaly Flags" sheetId="13" state="visible" r:id="rId13"/>
    <sheet name="Sources &amp; audit" sheetId="14" state="visible" r:id="rId14"/>
    <sheet name="Provenance" sheetId="15" state="visible" r:id="rId15"/>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11">
    <font>
      <name val="Calibri"/>
      <family val="2"/>
      <color theme="1"/>
      <sz val="11"/>
      <scheme val="minor"/>
    </font>
    <font>
      <name val="Calibri"/>
      <b val="1"/>
      <color rgb="001F3864"/>
      <sz val="16"/>
    </font>
    <font>
      <name val="Calibri"/>
      <i val="1"/>
      <color rgb="00595959"/>
      <sz val="10"/>
    </font>
    <font>
      <name val="Calibri"/>
      <i val="1"/>
      <color rgb="00808080"/>
      <sz val="9"/>
    </font>
    <font>
      <name val="Calibri"/>
      <b val="1"/>
      <color rgb="00FFFFFF"/>
      <sz val="10"/>
    </font>
    <font>
      <name val="Calibri"/>
      <b val="1"/>
      <color rgb="00FFFFFF"/>
      <sz val="11"/>
    </font>
    <font>
      <name val="Calibri"/>
      <sz val="10"/>
    </font>
    <font>
      <name val="Calibri"/>
      <b val="1"/>
      <sz val="10"/>
    </font>
    <font>
      <name val="Calibri"/>
      <i val="1"/>
      <color rgb="00A6A6A6"/>
      <sz val="10"/>
    </font>
    <font>
      <name val="Calibri"/>
      <b val="1"/>
      <color rgb="001F3864"/>
      <sz val="10"/>
    </font>
    <font>
      <name val="Calibri"/>
      <i val="1"/>
      <color rgb="007F4F00"/>
      <sz val="10"/>
    </font>
  </fonts>
  <fills count="6">
    <fill>
      <patternFill/>
    </fill>
    <fill>
      <patternFill patternType="gray125"/>
    </fill>
    <fill>
      <patternFill patternType="solid">
        <fgColor rgb="002E5496"/>
      </patternFill>
    </fill>
    <fill>
      <patternFill patternType="solid">
        <fgColor rgb="001F3864"/>
      </patternFill>
    </fill>
    <fill>
      <patternFill patternType="solid">
        <fgColor rgb="00D9E1F2"/>
      </patternFill>
    </fill>
    <fill>
      <patternFill patternType="solid">
        <fgColor rgb="00FDF2DE"/>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8">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top" wrapText="1"/>
    </xf>
    <xf numFmtId="0" fontId="4" fillId="2" borderId="1" applyAlignment="1" pivotButton="0" quotePrefix="0" xfId="0">
      <alignment horizontal="left" vertical="center"/>
    </xf>
    <xf numFmtId="0" fontId="4" fillId="2" borderId="1" applyAlignment="1" pivotButton="0" quotePrefix="0" xfId="0">
      <alignment horizontal="center" vertical="center"/>
    </xf>
    <xf numFmtId="0" fontId="5" fillId="3" borderId="0" pivotButton="0" quotePrefix="0" xfId="0"/>
    <xf numFmtId="0" fontId="0" fillId="3" borderId="0" pivotButton="0" quotePrefix="0" xfId="0"/>
    <xf numFmtId="0" fontId="6" fillId="0" borderId="1" applyAlignment="1" pivotButton="0" quotePrefix="0" xfId="0">
      <alignment horizontal="left" vertical="center"/>
    </xf>
    <xf numFmtId="164" fontId="6" fillId="0" borderId="1" applyAlignment="1" pivotButton="0" quotePrefix="0" xfId="0">
      <alignment horizontal="right"/>
    </xf>
    <xf numFmtId="0" fontId="7" fillId="4" borderId="1" applyAlignment="1" pivotButton="0" quotePrefix="0" xfId="0">
      <alignment horizontal="left" vertical="center"/>
    </xf>
    <xf numFmtId="164" fontId="7" fillId="4" borderId="1" applyAlignment="1" pivotButton="0" quotePrefix="0" xfId="0">
      <alignment horizontal="right"/>
    </xf>
    <xf numFmtId="165" fontId="6" fillId="0" borderId="1" applyAlignment="1" pivotButton="0" quotePrefix="0" xfId="0">
      <alignment horizontal="right"/>
    </xf>
    <xf numFmtId="0" fontId="3" fillId="0" borderId="0" pivotButton="0" quotePrefix="0" xfId="0"/>
    <xf numFmtId="0" fontId="8" fillId="0" borderId="1" applyAlignment="1" pivotButton="0" quotePrefix="0" xfId="0">
      <alignment horizontal="right"/>
    </xf>
    <xf numFmtId="2" fontId="6" fillId="0" borderId="1" applyAlignment="1" pivotButton="0" quotePrefix="0" xfId="0">
      <alignment horizontal="right"/>
    </xf>
    <xf numFmtId="0" fontId="6" fillId="0" borderId="1" applyAlignment="1" pivotButton="0" quotePrefix="0" xfId="0">
      <alignment horizontal="left" vertical="top"/>
    </xf>
    <xf numFmtId="0" fontId="6" fillId="0" borderId="1" applyAlignment="1" pivotButton="0" quotePrefix="0" xfId="0">
      <alignment horizontal="left" vertical="top" wrapText="1"/>
    </xf>
    <xf numFmtId="0" fontId="3" fillId="0" borderId="1" applyAlignment="1" pivotButton="0" quotePrefix="0" xfId="0">
      <alignment horizontal="left" vertical="top" wrapText="1"/>
    </xf>
    <xf numFmtId="0" fontId="9" fillId="0" borderId="1" applyAlignment="1" pivotButton="0" quotePrefix="0" xfId="0">
      <alignment horizontal="center" vertical="center"/>
    </xf>
    <xf numFmtId="0" fontId="6" fillId="0" borderId="1" applyAlignment="1" pivotButton="0" quotePrefix="0" xfId="0">
      <alignment horizontal="right"/>
    </xf>
    <xf numFmtId="0" fontId="2" fillId="0" borderId="0" applyAlignment="1" pivotButton="0" quotePrefix="0" xfId="0">
      <alignment horizontal="left" vertical="top" wrapText="1"/>
    </xf>
    <xf numFmtId="0" fontId="6" fillId="0" borderId="1" applyAlignment="1" pivotButton="0" quotePrefix="0" xfId="0">
      <alignment horizontal="center" vertical="center"/>
    </xf>
    <xf numFmtId="0" fontId="8" fillId="0" borderId="1" applyAlignment="1" pivotButton="0" quotePrefix="0" xfId="0">
      <alignment horizontal="center" vertical="center"/>
    </xf>
    <xf numFmtId="0" fontId="10" fillId="5" borderId="1" applyAlignment="1" pivotButton="0" quotePrefix="0" xfId="0">
      <alignment horizontal="left" vertical="top" wrapText="1"/>
    </xf>
    <xf numFmtId="0" fontId="5" fillId="3" borderId="0" applyAlignment="1" pivotButton="0" quotePrefix="0" xfId="0">
      <alignment horizontal="left" vertical="center"/>
    </xf>
    <xf numFmtId="0" fontId="6" fillId="0" borderId="1" pivotButton="0" quotePrefix="0" xfId="0"/>
    <xf numFmtId="0" fontId="8" fillId="0" borderId="1" applyAlignment="1" pivotButton="0" quotePrefix="0" xfId="0">
      <alignment horizontal="left" vertical="center"/>
    </xf>
  </cellXfs>
  <cellStyles count="1">
    <cellStyle name="Normal" xfId="0" builtinId="0" hidden="0"/>
  </cellStyles>
  <dxfs count="1">
    <dxf>
      <font>
        <name val="Calibri"/>
        <b val="1"/>
        <color rgb="009C0006"/>
        <sz val="10"/>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comments/comment1.xml><?xml version="1.0" encoding="utf-8"?>
<comments xmlns="http://schemas.openxmlformats.org/spreadsheetml/2006/main">
  <authors>
    <author>hydronomics</author>
  </authors>
  <commentList>
    <comment ref="B8" authorId="0" shapeId="0">
      <text>
        <t>Sacramento and San Joaquin Valley index classification</t>
      </text>
    </comment>
    <comment ref="C8" authorId="0" shapeId="0">
      <text>
        <t>Sacramento and San Joaquin Valley index classification</t>
      </text>
    </comment>
    <comment ref="D8" authorId="0" shapeId="0">
      <text>
        <t>Sacramento and San Joaquin Valley index classification</t>
      </text>
    </comment>
    <comment ref="E8" authorId="0" shapeId="0">
      <text>
        <t>Sacramento and San Joaquin Valley index classification</t>
      </text>
    </comment>
    <comment ref="F8" authorId="0" shapeId="0">
      <text>
        <t>no water-year-type record for WY2025 (year may be incomplete)</t>
      </text>
    </comment>
    <comment ref="B9" authorId="0" shapeId="0">
      <text>
        <t>not available</t>
      </text>
    </comment>
    <comment ref="C9" authorId="0" shapeId="0">
      <text>
        <t>not available</t>
      </text>
    </comment>
    <comment ref="D9" authorId="0" shapeId="0">
      <text>
        <t>not available</t>
      </text>
    </comment>
    <comment ref="E9" authorId="0" shapeId="0">
      <text>
        <t>not available</t>
      </text>
    </comment>
    <comment ref="F9" authorId="0" shapeId="0">
      <text>
        <t>not available</t>
      </text>
    </comment>
    <comment ref="B10" authorId="0" shapeId="0">
      <text>
        <t>water-year cumulative 24.0 in / 50 in seasonal normal; statewide SWP-supply index, not local precipitation</t>
      </text>
    </comment>
    <comment ref="C10" authorId="0" shapeId="0">
      <text>
        <t>water-year cumulative 43.0 in / 50 in seasonal normal; statewide SWP-supply index, not local precipitation</t>
      </text>
    </comment>
    <comment ref="D10" authorId="0" shapeId="0">
      <text>
        <t>water-year cumulative 66.6 in / 50 in seasonal normal; statewide SWP-supply index, not local precipitation</t>
      </text>
    </comment>
    <comment ref="E10" authorId="0" shapeId="0">
      <text>
        <t>water-year cumulative 48.2 in / 50 in seasonal normal; statewide SWP-supply index, not local precipitation</t>
      </text>
    </comment>
    <comment ref="F10" authorId="0" shapeId="0">
      <text>
        <t>water-year cumulative 56.5 in / 50 in seasonal normal; statewide SWP-supply index, not local precipitation</t>
      </text>
    </comment>
    <comment ref="B11" authorId="0" shapeId="0">
      <text>
        <t>April 1 statewide Sierra snowpack, percent of average; SWP-import indicator (no per-year API)</t>
      </text>
    </comment>
    <comment ref="C11" authorId="0" shapeId="0">
      <text>
        <t>April 1 statewide Sierra snowpack, percent of average; SWP-import indicator (no per-year API)</t>
      </text>
    </comment>
    <comment ref="D11" authorId="0" shapeId="0">
      <text>
        <t>April 1 statewide Sierra snowpack, percent of average; SWP-import indicator (no per-year API)</t>
      </text>
    </comment>
    <comment ref="E11" authorId="0" shapeId="0">
      <text>
        <t>April 1 statewide Sierra snowpack, percent of average; SWP-import indicator (no per-year API)</t>
      </text>
    </comment>
    <comment ref="F11" authorId="0" shapeId="0">
      <text>
        <t>April 1 statewide Sierra snowpack, percent of average; SWP-import indicator (no per-year API)</t>
      </text>
    </comment>
    <comment ref="B12" authorId="0" shapeId="0">
      <text>
        <t>final State Water Project Table A allocation; published DWR notice (no structured API)</t>
      </text>
    </comment>
    <comment ref="C12" authorId="0" shapeId="0">
      <text>
        <t>final State Water Project Table A allocation; published DWR notice (no structured API)</t>
      </text>
    </comment>
    <comment ref="D12" authorId="0" shapeId="0">
      <text>
        <t>final State Water Project Table A allocation; published DWR notice (no structured API)</t>
      </text>
    </comment>
    <comment ref="E12" authorId="0" shapeId="0">
      <text>
        <t>final State Water Project Table A allocation; published DWR notice (no structured API)</t>
      </text>
    </comment>
    <comment ref="F12" authorId="0" shapeId="0">
      <text>
        <t>final State Water Project Table A allocation; published DWR notice (no structured API)</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G24"/>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3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Pine Mountain Mutual Water Company</t>
        </is>
      </c>
    </row>
    <row r="2">
      <c r="A2" s="2" t="inlineStr">
        <is>
          <t>Financial Summary - multi-year overview (USD)</t>
        </is>
      </c>
    </row>
    <row r="3">
      <c r="A3" s="2" t="inlineStr">
        <is>
          <t>Entity ID: cawc_0088   |   Fiscal year ends December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4" t="inlineStr">
        <is>
          <t>Metric</t>
        </is>
      </c>
      <c r="B8" s="5" t="inlineStr">
        <is>
          <t>FY2020</t>
        </is>
      </c>
      <c r="C8" s="5" t="inlineStr">
        <is>
          <t>FY2021</t>
        </is>
      </c>
      <c r="D8" s="5" t="inlineStr">
        <is>
          <t>FY2022</t>
        </is>
      </c>
      <c r="E8" s="5" t="inlineStr">
        <is>
          <t>FY2023</t>
        </is>
      </c>
      <c r="F8" s="5" t="inlineStr">
        <is>
          <t>FY2024</t>
        </is>
      </c>
      <c r="G8" s="5" t="inlineStr">
        <is>
          <t>FY2025</t>
        </is>
      </c>
    </row>
    <row r="9">
      <c r="A9" s="6" t="inlineStr">
        <is>
          <t>Operating results (USD)</t>
        </is>
      </c>
      <c r="B9" s="7" t="n"/>
      <c r="C9" s="7" t="n"/>
      <c r="D9" s="7" t="n"/>
      <c r="E9" s="7" t="n"/>
      <c r="F9" s="7" t="n"/>
      <c r="G9" s="7" t="n"/>
    </row>
    <row r="10">
      <c r="A10" s="8" t="inlineStr">
        <is>
          <t xml:space="preserve">    Total revenue</t>
        </is>
      </c>
      <c r="B10" s="9" t="n">
        <v>155199</v>
      </c>
      <c r="C10" s="9" t="n">
        <v>155516</v>
      </c>
      <c r="D10" s="9" t="n">
        <v>158048</v>
      </c>
      <c r="E10" s="9" t="n">
        <v>170957</v>
      </c>
      <c r="F10" s="9" t="n">
        <v>193123</v>
      </c>
      <c r="G10" s="9" t="n">
        <v>185560</v>
      </c>
    </row>
    <row r="11">
      <c r="A11" s="8" t="inlineStr">
        <is>
          <t xml:space="preserve">    Total expenses</t>
        </is>
      </c>
      <c r="B11" s="9" t="n">
        <v>135821</v>
      </c>
      <c r="C11" s="9" t="n">
        <v>141501</v>
      </c>
      <c r="D11" s="9" t="n">
        <v>170843</v>
      </c>
      <c r="E11" s="9" t="n">
        <v>152378</v>
      </c>
      <c r="F11" s="9" t="n">
        <v>170866</v>
      </c>
      <c r="G11" s="9" t="n">
        <v>182547</v>
      </c>
    </row>
    <row r="12">
      <c r="A12" s="10" t="inlineStr">
        <is>
          <t xml:space="preserve">    Net income</t>
        </is>
      </c>
      <c r="B12" s="11" t="n">
        <v>19378</v>
      </c>
      <c r="C12" s="11" t="n">
        <v>14015</v>
      </c>
      <c r="D12" s="11" t="n">
        <v>-12795</v>
      </c>
      <c r="E12" s="11" t="n">
        <v>18579</v>
      </c>
      <c r="F12" s="11" t="n">
        <v>22257</v>
      </c>
      <c r="G12" s="11" t="n">
        <v>3013</v>
      </c>
    </row>
    <row r="14">
      <c r="A14" s="6" t="inlineStr">
        <is>
          <t>Financial position (USD, end of year)</t>
        </is>
      </c>
      <c r="B14" s="7" t="n"/>
      <c r="C14" s="7" t="n"/>
      <c r="D14" s="7" t="n"/>
      <c r="E14" s="7" t="n"/>
      <c r="F14" s="7" t="n"/>
      <c r="G14" s="7" t="n"/>
    </row>
    <row r="15">
      <c r="A15" s="8" t="inlineStr">
        <is>
          <t xml:space="preserve">    Total assets</t>
        </is>
      </c>
      <c r="B15" s="9" t="n">
        <v>436947</v>
      </c>
      <c r="C15" s="9" t="n">
        <v>448938</v>
      </c>
      <c r="D15" s="9" t="n">
        <v>437692</v>
      </c>
      <c r="E15" s="9" t="n">
        <v>456308</v>
      </c>
      <c r="F15" s="9" t="n">
        <v>481049</v>
      </c>
      <c r="G15" s="9" t="n">
        <v>489703</v>
      </c>
    </row>
    <row r="16">
      <c r="A16" s="8" t="inlineStr">
        <is>
          <t xml:space="preserve">    Total liabilities</t>
        </is>
      </c>
      <c r="B16" s="9" t="n">
        <v>7496</v>
      </c>
      <c r="C16" s="9" t="n">
        <v>5472</v>
      </c>
      <c r="D16" s="9" t="n">
        <v>7021</v>
      </c>
      <c r="E16" s="9" t="n">
        <v>7058</v>
      </c>
      <c r="F16" s="9" t="n">
        <v>9542</v>
      </c>
      <c r="G16" s="9" t="n">
        <v>15183</v>
      </c>
    </row>
    <row r="17">
      <c r="A17" s="10" t="inlineStr">
        <is>
          <t xml:space="preserve">    Net assets</t>
        </is>
      </c>
      <c r="B17" s="11" t="n">
        <v>429451</v>
      </c>
      <c r="C17" s="11" t="n">
        <v>443466</v>
      </c>
      <c r="D17" s="11" t="n">
        <v>430671</v>
      </c>
      <c r="E17" s="11" t="n">
        <v>449250</v>
      </c>
      <c r="F17" s="11" t="n">
        <v>471507</v>
      </c>
      <c r="G17" s="11" t="n">
        <v>474520</v>
      </c>
    </row>
    <row r="19">
      <c r="A19" s="6" t="inlineStr">
        <is>
          <t>Headline ratios</t>
        </is>
      </c>
      <c r="B19" s="7" t="n"/>
      <c r="C19" s="7" t="n"/>
      <c r="D19" s="7" t="n"/>
      <c r="E19" s="7" t="n"/>
      <c r="F19" s="7" t="n"/>
      <c r="G19" s="7" t="n"/>
    </row>
    <row r="20">
      <c r="A20" s="8" t="inlineStr">
        <is>
          <t xml:space="preserve">    Operating margin</t>
        </is>
      </c>
      <c r="B20" s="12" t="n">
        <v>0.124859051926881</v>
      </c>
      <c r="C20" s="12" t="n">
        <v>0.09011934463334963</v>
      </c>
      <c r="D20" s="12" t="n">
        <v>-0.08095641830330026</v>
      </c>
      <c r="E20" s="12" t="n">
        <v>0.1086764508034184</v>
      </c>
      <c r="F20" s="12" t="n">
        <v>0.1152477954464253</v>
      </c>
      <c r="G20" s="12" t="n">
        <v>0.01623733563267946</v>
      </c>
    </row>
    <row r="21">
      <c r="A21" s="8" t="inlineStr">
        <is>
          <t xml:space="preserve">    Revenue growth (YoY)</t>
        </is>
      </c>
      <c r="B21" s="12" t="n"/>
      <c r="C21" s="12" t="n"/>
      <c r="D21" s="12" t="n"/>
      <c r="E21" s="12" t="n"/>
      <c r="F21" s="12" t="n"/>
      <c r="G21" s="12" t="n"/>
    </row>
    <row r="22">
      <c r="A22" s="8" t="inlineStr">
        <is>
          <t xml:space="preserve">    Return on assets</t>
        </is>
      </c>
      <c r="B22" s="12" t="n">
        <v>0.04434862809448285</v>
      </c>
      <c r="C22" s="12" t="n">
        <v>0.03121811920577006</v>
      </c>
      <c r="D22" s="12" t="n">
        <v>-0.02923288522522687</v>
      </c>
      <c r="E22" s="12" t="n">
        <v>0.04071591994880651</v>
      </c>
      <c r="F22" s="12" t="n">
        <v>0.04626763593729537</v>
      </c>
      <c r="G22" s="12" t="n">
        <v>0.00615270888681507</v>
      </c>
    </row>
    <row r="24" ht="42" customHeight="1">
      <c r="A24" s="3" t="inlineStr">
        <is>
          <t>Figures as reported in source filings (full provenance on the Sources &amp; audit tab). Parentheses denote negatives; ratios are computed upstream in financials_annual.</t>
        </is>
      </c>
    </row>
  </sheetData>
  <mergeCells count="6">
    <mergeCell ref="A1:G1"/>
    <mergeCell ref="A3:G3"/>
    <mergeCell ref="A6:G6"/>
    <mergeCell ref="A24:G24"/>
    <mergeCell ref="A2:G2"/>
    <mergeCell ref="A5:G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16" customWidth="1" min="3" max="3"/>
    <col width="90" customWidth="1" min="4" max="4"/>
  </cols>
  <sheetData>
    <row r="1">
      <c r="A1" s="1" t="inlineStr">
        <is>
          <t>Notes</t>
        </is>
      </c>
    </row>
    <row r="2">
      <c r="A2" s="2" t="inlineStr">
        <is>
          <t>Human annotations from the versioned store (data/notes/). Annotations only: they never change a reported figure or a confidence tier.</t>
        </is>
      </c>
    </row>
    <row r="4">
      <c r="A4" s="4" t="inlineStr">
        <is>
          <t>Date</t>
        </is>
      </c>
      <c r="B4" s="4" t="inlineStr">
        <is>
          <t>Tag</t>
        </is>
      </c>
      <c r="C4" s="4" t="inlineStr">
        <is>
          <t>Author</t>
        </is>
      </c>
      <c r="D4" s="4" t="inlineStr">
        <is>
          <t>Note</t>
        </is>
      </c>
    </row>
    <row r="5">
      <c r="A5" s="13" t="inlineStr">
        <is>
          <t>No notes recorded yet.</t>
        </is>
      </c>
    </row>
  </sheetData>
  <mergeCells count="3">
    <mergeCell ref="A1:D1"/>
    <mergeCell ref="A5:D5"/>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69"/>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Pine Mountain Mutual Water Company</t>
        </is>
      </c>
    </row>
    <row r="2">
      <c r="A2" s="2" t="inlineStr">
        <is>
          <t>Financial Statements - income statement, balance sheet, cash flow, member income test (USD)</t>
        </is>
      </c>
    </row>
    <row r="3">
      <c r="A3" s="2" t="inlineStr">
        <is>
          <t>Entity ID: cawc_0088   |   Fiscal year ends December 31.</t>
        </is>
      </c>
    </row>
    <row r="5">
      <c r="A5" s="6" t="inlineStr">
        <is>
          <t>INCOME STATEMENT - as reported (USD)</t>
        </is>
      </c>
      <c r="B5" s="7" t="n"/>
      <c r="C5" s="7" t="n"/>
      <c r="D5" s="7" t="n"/>
      <c r="E5" s="7" t="n"/>
      <c r="F5" s="7" t="n"/>
      <c r="G5" s="7" t="n"/>
    </row>
    <row r="6">
      <c r="A6" s="4" t="inlineStr">
        <is>
          <t>Line item</t>
        </is>
      </c>
      <c r="B6" s="5" t="inlineStr">
        <is>
          <t>FY2020</t>
        </is>
      </c>
      <c r="C6" s="5" t="inlineStr">
        <is>
          <t>FY2021</t>
        </is>
      </c>
      <c r="D6" s="5" t="inlineStr">
        <is>
          <t>FY2022</t>
        </is>
      </c>
      <c r="E6" s="5" t="inlineStr">
        <is>
          <t>FY2023</t>
        </is>
      </c>
      <c r="F6" s="5" t="inlineStr">
        <is>
          <t>FY2024</t>
        </is>
      </c>
      <c r="G6" s="5" t="inlineStr">
        <is>
          <t>FY2025</t>
        </is>
      </c>
    </row>
    <row r="7">
      <c r="A7" s="6" t="inlineStr">
        <is>
          <t>Revenue</t>
        </is>
      </c>
      <c r="B7" s="7" t="n"/>
      <c r="C7" s="7" t="n"/>
      <c r="D7" s="7" t="n"/>
      <c r="E7" s="7" t="n"/>
      <c r="F7" s="7" t="n"/>
      <c r="G7" s="7" t="n"/>
    </row>
    <row r="8">
      <c r="A8" s="8" t="inlineStr">
        <is>
          <t xml:space="preserve">    Program service revenue</t>
        </is>
      </c>
      <c r="B8" s="9" t="n"/>
      <c r="C8" s="9" t="n"/>
      <c r="D8" s="9" t="n"/>
      <c r="E8" s="9" t="n"/>
      <c r="F8" s="9" t="n"/>
      <c r="G8" s="9" t="n"/>
    </row>
    <row r="9">
      <c r="A9" s="8" t="inlineStr">
        <is>
          <t xml:space="preserve">    Investment income</t>
        </is>
      </c>
      <c r="B9" s="9" t="n"/>
      <c r="C9" s="9" t="n"/>
      <c r="D9" s="9" t="n"/>
      <c r="E9" s="9" t="n"/>
      <c r="F9" s="9" t="n"/>
      <c r="G9" s="9" t="n"/>
    </row>
    <row r="10">
      <c r="A10" s="8" t="inlineStr">
        <is>
          <t xml:space="preserve">    Net rental income</t>
        </is>
      </c>
      <c r="B10" s="9" t="n"/>
      <c r="C10" s="9" t="n"/>
      <c r="D10" s="9" t="n"/>
      <c r="E10" s="9" t="n"/>
      <c r="F10" s="9" t="n"/>
      <c r="G10" s="9" t="n"/>
    </row>
    <row r="11">
      <c r="A11" s="8" t="inlineStr">
        <is>
          <t xml:space="preserve">    Net gain/(loss) on investment sales</t>
        </is>
      </c>
      <c r="B11" s="9" t="n"/>
      <c r="C11" s="9" t="n"/>
      <c r="D11" s="9" t="n"/>
      <c r="E11" s="9" t="n"/>
      <c r="F11" s="9" t="n"/>
      <c r="G11" s="9" t="n"/>
    </row>
    <row r="12">
      <c r="A12" s="8" t="inlineStr">
        <is>
          <t xml:space="preserve">    Other revenue</t>
        </is>
      </c>
      <c r="B12" s="9" t="n"/>
      <c r="C12" s="9" t="n"/>
      <c r="D12" s="9" t="n"/>
      <c r="E12" s="9" t="n"/>
      <c r="F12" s="9" t="n"/>
      <c r="G12" s="9" t="n"/>
    </row>
    <row r="13">
      <c r="A13" s="8" t="inlineStr">
        <is>
          <t xml:space="preserve">    Contributions &amp; grants</t>
        </is>
      </c>
      <c r="B13" s="9" t="n"/>
      <c r="C13" s="9" t="n"/>
      <c r="D13" s="9" t="n"/>
      <c r="E13" s="9" t="n"/>
      <c r="F13" s="9" t="n"/>
      <c r="G13" s="9" t="n"/>
    </row>
    <row r="14">
      <c r="A14" s="10" t="inlineStr">
        <is>
          <t>Total revenue</t>
        </is>
      </c>
      <c r="B14" s="11" t="n"/>
      <c r="C14" s="11" t="n"/>
      <c r="D14" s="11" t="n"/>
      <c r="E14" s="11" t="n"/>
      <c r="F14" s="11" t="n"/>
      <c r="G14" s="11" t="n"/>
    </row>
    <row r="16">
      <c r="A16" s="6" t="inlineStr">
        <is>
          <t>Expenses</t>
        </is>
      </c>
      <c r="B16" s="7" t="n"/>
      <c r="C16" s="7" t="n"/>
      <c r="D16" s="7" t="n"/>
      <c r="E16" s="7" t="n"/>
      <c r="F16" s="7" t="n"/>
      <c r="G16" s="7" t="n"/>
    </row>
    <row r="17">
      <c r="A17" s="8" t="inlineStr">
        <is>
          <t xml:space="preserve">    Depreciation</t>
        </is>
      </c>
      <c r="B17" s="9" t="n"/>
      <c r="C17" s="9" t="n"/>
      <c r="D17" s="9" t="n"/>
      <c r="E17" s="9" t="n"/>
      <c r="F17" s="9" t="n"/>
      <c r="G17" s="9" t="n"/>
    </row>
    <row r="18">
      <c r="A18" s="8" t="inlineStr">
        <is>
          <t xml:space="preserve">    Interest expense</t>
        </is>
      </c>
      <c r="B18" s="9" t="n"/>
      <c r="C18" s="9" t="n"/>
      <c r="D18" s="9" t="n"/>
      <c r="E18" s="9" t="n"/>
      <c r="F18" s="9" t="n"/>
      <c r="G18" s="9" t="n"/>
    </row>
    <row r="19">
      <c r="A19" s="10" t="inlineStr">
        <is>
          <t>Total expenses</t>
        </is>
      </c>
      <c r="B19" s="11" t="n">
        <v>135821</v>
      </c>
      <c r="C19" s="11" t="n">
        <v>141501</v>
      </c>
      <c r="D19" s="11" t="n">
        <v>170843</v>
      </c>
      <c r="E19" s="11" t="n">
        <v>152378</v>
      </c>
      <c r="F19" s="11" t="n">
        <v>170866</v>
      </c>
      <c r="G19" s="11" t="n">
        <v>182547</v>
      </c>
    </row>
    <row r="21">
      <c r="A21" s="10" t="inlineStr">
        <is>
          <t>Net income</t>
        </is>
      </c>
      <c r="B21" s="11" t="n">
        <v>19378</v>
      </c>
      <c r="C21" s="11" t="n">
        <v>14015</v>
      </c>
      <c r="D21" s="11" t="n">
        <v>-12795</v>
      </c>
      <c r="E21" s="11" t="n">
        <v>18579</v>
      </c>
      <c r="F21" s="11" t="n">
        <v>22257</v>
      </c>
      <c r="G21" s="11" t="n">
        <v>3013</v>
      </c>
    </row>
    <row r="24">
      <c r="A24" s="6" t="inlineStr">
        <is>
          <t>BALANCE SHEET - as reported (USD, end of year)</t>
        </is>
      </c>
      <c r="B24" s="7" t="n"/>
      <c r="C24" s="7" t="n"/>
      <c r="D24" s="7" t="n"/>
      <c r="E24" s="7" t="n"/>
      <c r="F24" s="7" t="n"/>
      <c r="G24" s="7" t="n"/>
    </row>
    <row r="25">
      <c r="A25" s="4" t="inlineStr">
        <is>
          <t>Line item</t>
        </is>
      </c>
      <c r="B25" s="5" t="inlineStr">
        <is>
          <t>FY2020</t>
        </is>
      </c>
      <c r="C25" s="5" t="inlineStr">
        <is>
          <t>FY2021</t>
        </is>
      </c>
      <c r="D25" s="5" t="inlineStr">
        <is>
          <t>FY2022</t>
        </is>
      </c>
      <c r="E25" s="5" t="inlineStr">
        <is>
          <t>FY2023</t>
        </is>
      </c>
      <c r="F25" s="5" t="inlineStr">
        <is>
          <t>FY2024</t>
        </is>
      </c>
      <c r="G25" s="5" t="inlineStr">
        <is>
          <t>FY2025</t>
        </is>
      </c>
    </row>
    <row r="26">
      <c r="A26" s="6" t="inlineStr">
        <is>
          <t>Assets</t>
        </is>
      </c>
      <c r="B26" s="7" t="n"/>
      <c r="C26" s="7" t="n"/>
      <c r="D26" s="7" t="n"/>
      <c r="E26" s="7" t="n"/>
      <c r="F26" s="7" t="n"/>
      <c r="G26" s="7" t="n"/>
    </row>
    <row r="27">
      <c r="A27" s="8" t="inlineStr">
        <is>
          <t xml:space="preserve">    Cash</t>
        </is>
      </c>
      <c r="B27" s="9" t="n">
        <v>179411</v>
      </c>
      <c r="C27" s="9" t="n">
        <v>203150</v>
      </c>
      <c r="D27" s="9" t="n">
        <v>192023</v>
      </c>
      <c r="E27" s="9" t="n">
        <v>198661</v>
      </c>
      <c r="F27" s="9" t="n">
        <v>229703</v>
      </c>
      <c r="G27" s="9" t="n">
        <v>239994</v>
      </c>
    </row>
    <row r="28">
      <c r="A28" s="8" t="inlineStr">
        <is>
          <t xml:space="preserve">    Savings &amp; temporary investments</t>
        </is>
      </c>
      <c r="B28" s="9" t="n"/>
      <c r="C28" s="9" t="n"/>
      <c r="D28" s="9" t="n"/>
      <c r="E28" s="9" t="n"/>
      <c r="F28" s="9" t="n"/>
      <c r="G28" s="9" t="n"/>
    </row>
    <row r="29">
      <c r="A29" s="8" t="inlineStr">
        <is>
          <t xml:space="preserve">    Accounts receivable</t>
        </is>
      </c>
      <c r="B29" s="9" t="n"/>
      <c r="C29" s="9" t="n"/>
      <c r="D29" s="9" t="n"/>
      <c r="E29" s="9" t="n"/>
      <c r="F29" s="9" t="n"/>
      <c r="G29" s="9" t="n"/>
    </row>
    <row r="30">
      <c r="A30" s="8" t="inlineStr">
        <is>
          <t xml:space="preserve">    Inventories</t>
        </is>
      </c>
      <c r="B30" s="9" t="n"/>
      <c r="C30" s="9" t="n"/>
      <c r="D30" s="9" t="n"/>
      <c r="E30" s="9" t="n"/>
      <c r="F30" s="9" t="n"/>
      <c r="G30" s="9" t="n"/>
    </row>
    <row r="31">
      <c r="A31" s="8" t="inlineStr">
        <is>
          <t xml:space="preserve">    Prepaid expenses</t>
        </is>
      </c>
      <c r="B31" s="9" t="n"/>
      <c r="C31" s="9" t="n"/>
      <c r="D31" s="9" t="n"/>
      <c r="E31" s="9" t="n"/>
      <c r="F31" s="9" t="n"/>
      <c r="G31" s="9" t="n"/>
    </row>
    <row r="32">
      <c r="A32" s="8" t="inlineStr">
        <is>
          <t xml:space="preserve">    Property, plant &amp; equipment (gross)</t>
        </is>
      </c>
      <c r="B32" s="9" t="n"/>
      <c r="C32" s="9" t="n"/>
      <c r="D32" s="9" t="n"/>
      <c r="E32" s="9" t="n"/>
      <c r="F32" s="9" t="n"/>
      <c r="G32" s="9" t="n"/>
    </row>
    <row r="33">
      <c r="A33" s="8" t="inlineStr">
        <is>
          <t xml:space="preserve">    Less: accumulated depreciation</t>
        </is>
      </c>
      <c r="B33" s="9" t="n"/>
      <c r="C33" s="9" t="n"/>
      <c r="D33" s="9" t="n"/>
      <c r="E33" s="9" t="n"/>
      <c r="F33" s="9" t="n"/>
      <c r="G33" s="9" t="n"/>
    </row>
    <row r="34">
      <c r="A34" s="10" t="inlineStr">
        <is>
          <t xml:space="preserve">    Net property, plant &amp; equipment</t>
        </is>
      </c>
      <c r="B34" s="11" t="n">
        <v>43235</v>
      </c>
      <c r="C34" s="11" t="n">
        <v>43235</v>
      </c>
      <c r="D34" s="11" t="n">
        <v>43235</v>
      </c>
      <c r="E34" s="11" t="n">
        <v>43235</v>
      </c>
      <c r="F34" s="11" t="n">
        <v>43235</v>
      </c>
      <c r="G34" s="11" t="n">
        <v>43235</v>
      </c>
    </row>
    <row r="35">
      <c r="A35" s="10" t="inlineStr">
        <is>
          <t>Total assets</t>
        </is>
      </c>
      <c r="B35" s="11" t="n">
        <v>436947</v>
      </c>
      <c r="C35" s="11" t="n">
        <v>448938</v>
      </c>
      <c r="D35" s="11" t="n">
        <v>437692</v>
      </c>
      <c r="E35" s="11" t="n">
        <v>456308</v>
      </c>
      <c r="F35" s="11" t="n">
        <v>481049</v>
      </c>
      <c r="G35" s="11" t="n">
        <v>489703</v>
      </c>
    </row>
    <row r="37">
      <c r="A37" s="6" t="inlineStr">
        <is>
          <t>Liabilities</t>
        </is>
      </c>
      <c r="B37" s="7" t="n"/>
      <c r="C37" s="7" t="n"/>
      <c r="D37" s="7" t="n"/>
      <c r="E37" s="7" t="n"/>
      <c r="F37" s="7" t="n"/>
      <c r="G37" s="7" t="n"/>
    </row>
    <row r="38">
      <c r="A38" s="8" t="inlineStr">
        <is>
          <t xml:space="preserve">    Accounts payable</t>
        </is>
      </c>
      <c r="B38" s="9" t="n"/>
      <c r="C38" s="9" t="n"/>
      <c r="D38" s="9" t="n"/>
      <c r="E38" s="9" t="n"/>
      <c r="F38" s="9" t="n"/>
      <c r="G38" s="9" t="n"/>
    </row>
    <row r="39">
      <c r="A39" s="8" t="inlineStr">
        <is>
          <t xml:space="preserve">    Mortgages &amp; notes payable</t>
        </is>
      </c>
      <c r="B39" s="9" t="n"/>
      <c r="C39" s="9" t="n"/>
      <c r="D39" s="9" t="n"/>
      <c r="E39" s="9" t="n"/>
      <c r="F39" s="9" t="n"/>
      <c r="G39" s="9" t="n"/>
    </row>
    <row r="40">
      <c r="A40" s="10" t="inlineStr">
        <is>
          <t>Total liabilities</t>
        </is>
      </c>
      <c r="B40" s="11" t="n">
        <v>7496</v>
      </c>
      <c r="C40" s="11" t="n">
        <v>5472</v>
      </c>
      <c r="D40" s="11" t="n">
        <v>7021</v>
      </c>
      <c r="E40" s="11" t="n">
        <v>7058</v>
      </c>
      <c r="F40" s="11" t="n">
        <v>9542</v>
      </c>
      <c r="G40" s="11" t="n">
        <v>15183</v>
      </c>
    </row>
    <row r="42">
      <c r="A42" s="6" t="inlineStr">
        <is>
          <t>Net Assets / Equity</t>
        </is>
      </c>
      <c r="B42" s="7" t="n"/>
      <c r="C42" s="7" t="n"/>
      <c r="D42" s="7" t="n"/>
      <c r="E42" s="7" t="n"/>
      <c r="F42" s="7" t="n"/>
      <c r="G42" s="7" t="n"/>
    </row>
    <row r="43">
      <c r="A43" s="8" t="inlineStr">
        <is>
          <t xml:space="preserve">    Capital stock</t>
        </is>
      </c>
      <c r="B43" s="9" t="n"/>
      <c r="C43" s="9" t="n"/>
      <c r="D43" s="9" t="n"/>
      <c r="E43" s="9" t="n"/>
      <c r="F43" s="9" t="n"/>
      <c r="G43" s="9" t="n"/>
    </row>
    <row r="44">
      <c r="A44" s="8" t="inlineStr">
        <is>
          <t xml:space="preserve">    Paid-in capital</t>
        </is>
      </c>
      <c r="B44" s="9" t="n"/>
      <c r="C44" s="9" t="n"/>
      <c r="D44" s="9" t="n"/>
      <c r="E44" s="9" t="n"/>
      <c r="F44" s="9" t="n"/>
      <c r="G44" s="9" t="n"/>
    </row>
    <row r="45">
      <c r="A45" s="8" t="inlineStr">
        <is>
          <t xml:space="preserve">    Retained earnings</t>
        </is>
      </c>
      <c r="B45" s="9" t="n"/>
      <c r="C45" s="9" t="n"/>
      <c r="D45" s="9" t="n"/>
      <c r="E45" s="9" t="n"/>
      <c r="F45" s="9" t="n"/>
      <c r="G45" s="9" t="n"/>
    </row>
    <row r="46">
      <c r="A46" s="10" t="inlineStr">
        <is>
          <t>Net assets</t>
        </is>
      </c>
      <c r="B46" s="11" t="n">
        <v>429451</v>
      </c>
      <c r="C46" s="11" t="n">
        <v>443466</v>
      </c>
      <c r="D46" s="11" t="n">
        <v>430671</v>
      </c>
      <c r="E46" s="11" t="n">
        <v>449250</v>
      </c>
      <c r="F46" s="11" t="n">
        <v>471507</v>
      </c>
      <c r="G46" s="11" t="n">
        <v>474520</v>
      </c>
    </row>
    <row r="49">
      <c r="A49" s="6" t="inlineStr">
        <is>
          <t>CASH FLOW - derived proxy (USD)</t>
        </is>
      </c>
      <c r="B49" s="7" t="n"/>
      <c r="C49" s="7" t="n"/>
      <c r="D49" s="7" t="n"/>
      <c r="E49" s="7" t="n"/>
      <c r="F49" s="7" t="n"/>
      <c r="G49" s="7" t="n"/>
    </row>
    <row r="50">
      <c r="A50" s="4" t="inlineStr">
        <is>
          <t>Proxy line</t>
        </is>
      </c>
      <c r="B50" s="5" t="inlineStr">
        <is>
          <t>FY2020</t>
        </is>
      </c>
      <c r="C50" s="5" t="inlineStr">
        <is>
          <t>FY2021</t>
        </is>
      </c>
      <c r="D50" s="5" t="inlineStr">
        <is>
          <t>FY2022</t>
        </is>
      </c>
      <c r="E50" s="5" t="inlineStr">
        <is>
          <t>FY2023</t>
        </is>
      </c>
      <c r="F50" s="5" t="inlineStr">
        <is>
          <t>FY2024</t>
        </is>
      </c>
      <c r="G50" s="5" t="inlineStr">
        <is>
          <t>FY2025</t>
        </is>
      </c>
    </row>
    <row r="51">
      <c r="A51" s="6" t="inlineStr">
        <is>
          <t>Operating</t>
        </is>
      </c>
      <c r="B51" s="7" t="n"/>
      <c r="C51" s="7" t="n"/>
      <c r="D51" s="7" t="n"/>
      <c r="E51" s="7" t="n"/>
      <c r="F51" s="7" t="n"/>
      <c r="G51" s="7" t="n"/>
    </row>
    <row r="52">
      <c r="A52" s="8" t="inlineStr">
        <is>
          <t xml:space="preserve">    Net income</t>
        </is>
      </c>
      <c r="B52" s="9" t="n">
        <v>19378</v>
      </c>
      <c r="C52" s="9" t="n">
        <v>14015</v>
      </c>
      <c r="D52" s="9" t="n">
        <v>-12795</v>
      </c>
      <c r="E52" s="9" t="n">
        <v>18579</v>
      </c>
      <c r="F52" s="9" t="n">
        <v>22257</v>
      </c>
      <c r="G52" s="9" t="n">
        <v>3013</v>
      </c>
    </row>
    <row r="53">
      <c r="A53" s="8" t="inlineStr">
        <is>
          <t xml:space="preserve">    + Depreciation (reported)</t>
        </is>
      </c>
      <c r="B53" s="9" t="n"/>
      <c r="C53" s="9" t="n"/>
      <c r="D53" s="9" t="n"/>
      <c r="E53" s="9" t="n"/>
      <c r="F53" s="9" t="n"/>
      <c r="G53" s="9" t="n"/>
    </row>
    <row r="54">
      <c r="A54" s="8" t="inlineStr">
        <is>
          <t xml:space="preserve">    − Δ Accounts receivable</t>
        </is>
      </c>
      <c r="B54" s="9" t="n"/>
      <c r="C54" s="9" t="n"/>
      <c r="D54" s="9" t="n"/>
      <c r="E54" s="9" t="n"/>
      <c r="F54" s="9" t="n"/>
      <c r="G54" s="9" t="n"/>
    </row>
    <row r="55">
      <c r="A55" s="8" t="inlineStr">
        <is>
          <t xml:space="preserve">    − Δ Inventories</t>
        </is>
      </c>
      <c r="B55" s="9" t="n"/>
      <c r="C55" s="9" t="n"/>
      <c r="D55" s="9" t="n"/>
      <c r="E55" s="9" t="n"/>
      <c r="F55" s="9" t="n"/>
      <c r="G55" s="9" t="n"/>
    </row>
    <row r="56">
      <c r="A56" s="8" t="inlineStr">
        <is>
          <t xml:space="preserve">    − Δ Prepaid expenses</t>
        </is>
      </c>
      <c r="B56" s="9" t="n"/>
      <c r="C56" s="9" t="n"/>
      <c r="D56" s="9" t="n"/>
      <c r="E56" s="9" t="n"/>
      <c r="F56" s="9" t="n"/>
      <c r="G56" s="9" t="n"/>
    </row>
    <row r="57">
      <c r="A57" s="8" t="inlineStr">
        <is>
          <t xml:space="preserve">    + Δ Accounts payable</t>
        </is>
      </c>
      <c r="B57" s="9" t="n"/>
      <c r="C57" s="9" t="n"/>
      <c r="D57" s="9" t="n"/>
      <c r="E57" s="9" t="n"/>
      <c r="F57" s="9" t="n"/>
      <c r="G57" s="9" t="n"/>
    </row>
    <row r="58">
      <c r="A58" s="10" t="inlineStr">
        <is>
          <t xml:space="preserve">    Operating cash flow proxy</t>
        </is>
      </c>
      <c r="B58" s="11" t="n"/>
      <c r="C58" s="11" t="n">
        <v>14015</v>
      </c>
      <c r="D58" s="11" t="n">
        <v>-12795</v>
      </c>
      <c r="E58" s="11" t="n">
        <v>18579</v>
      </c>
      <c r="F58" s="11" t="n">
        <v>22257</v>
      </c>
      <c r="G58" s="11" t="n">
        <v>3013</v>
      </c>
    </row>
    <row r="60">
      <c r="A60" s="6" t="inlineStr">
        <is>
          <t>Investing</t>
        </is>
      </c>
      <c r="B60" s="7" t="n"/>
      <c r="C60" s="7" t="n"/>
      <c r="D60" s="7" t="n"/>
      <c r="E60" s="7" t="n"/>
      <c r="F60" s="7" t="n"/>
      <c r="G60" s="7" t="n"/>
    </row>
    <row r="61">
      <c r="A61" s="8" t="inlineStr">
        <is>
          <t xml:space="preserve">    − Δ PP&amp;E gross (capex proxy)</t>
        </is>
      </c>
      <c r="B61" s="9" t="n"/>
      <c r="C61" s="9" t="n"/>
      <c r="D61" s="9" t="n"/>
      <c r="E61" s="9" t="n"/>
      <c r="F61" s="9" t="n"/>
      <c r="G61" s="9" t="n"/>
    </row>
    <row r="63">
      <c r="A63" s="6" t="inlineStr">
        <is>
          <t>Financing</t>
        </is>
      </c>
      <c r="B63" s="7" t="n"/>
      <c r="C63" s="7" t="n"/>
      <c r="D63" s="7" t="n"/>
      <c r="E63" s="7" t="n"/>
      <c r="F63" s="7" t="n"/>
      <c r="G63" s="7" t="n"/>
    </row>
    <row r="64">
      <c r="A64" s="8" t="inlineStr">
        <is>
          <t xml:space="preserve">    Δ Mortgages &amp; notes payable</t>
        </is>
      </c>
      <c r="B64" s="9" t="n"/>
      <c r="C64" s="9" t="n"/>
      <c r="D64" s="9" t="n"/>
      <c r="E64" s="9" t="n"/>
      <c r="F64" s="9" t="n"/>
      <c r="G64" s="9" t="n"/>
    </row>
    <row r="66">
      <c r="A66" s="6" t="inlineStr">
        <is>
          <t>Reconciliation</t>
        </is>
      </c>
      <c r="B66" s="7" t="n"/>
      <c r="C66" s="7" t="n"/>
      <c r="D66" s="7" t="n"/>
      <c r="E66" s="7" t="n"/>
      <c r="F66" s="7" t="n"/>
      <c r="G66" s="7" t="n"/>
    </row>
    <row r="67">
      <c r="A67" s="10" t="inlineStr">
        <is>
          <t xml:space="preserve">    Δ Cash + temp. investments (actual)</t>
        </is>
      </c>
      <c r="B67" s="11" t="n"/>
      <c r="C67" s="11" t="n">
        <v>23739</v>
      </c>
      <c r="D67" s="11" t="n">
        <v>-11127</v>
      </c>
      <c r="E67" s="11" t="n">
        <v>6638</v>
      </c>
      <c r="F67" s="11" t="n">
        <v>31042</v>
      </c>
      <c r="G67" s="11" t="n">
        <v>10291</v>
      </c>
    </row>
    <row r="69" ht="42" customHeight="1">
      <c r="A69" s="3" t="inlineStr">
        <is>
          <t>Income statement and balance sheet are as reported in source filings (full provenance on the Sources &amp; audit tab). The cash flow block is a PROXY: the filings contain no statement of cash flows, so it is derived from net income, reported depreciation, and year-over-year balance-sheet changes - treat as directional. The earliest year has no prior period, so its delta cells are blank. Parentheses denote negatives.</t>
        </is>
      </c>
    </row>
  </sheetData>
  <mergeCells count="4">
    <mergeCell ref="A69:G69"/>
    <mergeCell ref="A3:G3"/>
    <mergeCell ref="A2:G2"/>
    <mergeCell ref="A1:G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Pine Mountain Mutual Water Company</t>
        </is>
      </c>
    </row>
    <row r="2">
      <c r="A2" s="2" t="inlineStr">
        <is>
          <t>Balance Sheet - as reported (USD, end of year)</t>
        </is>
      </c>
    </row>
    <row r="3">
      <c r="A3" s="2" t="inlineStr">
        <is>
          <t>Entity ID: cawc_0088   |   Fiscal year ends December 31.</t>
        </is>
      </c>
    </row>
    <row r="5">
      <c r="A5" s="4" t="inlineStr">
        <is>
          <t>Line item</t>
        </is>
      </c>
      <c r="B5" s="5" t="inlineStr">
        <is>
          <t>FY2020</t>
        </is>
      </c>
      <c r="C5" s="5" t="inlineStr">
        <is>
          <t>FY2021</t>
        </is>
      </c>
      <c r="D5" s="5" t="inlineStr">
        <is>
          <t>FY2022</t>
        </is>
      </c>
      <c r="E5" s="5" t="inlineStr">
        <is>
          <t>FY2023</t>
        </is>
      </c>
      <c r="F5" s="5" t="inlineStr">
        <is>
          <t>FY2024</t>
        </is>
      </c>
      <c r="G5" s="5" t="inlineStr">
        <is>
          <t>FY2025</t>
        </is>
      </c>
    </row>
    <row r="6">
      <c r="A6" s="6" t="inlineStr">
        <is>
          <t>Assets</t>
        </is>
      </c>
      <c r="B6" s="7" t="n"/>
      <c r="C6" s="7" t="n"/>
      <c r="D6" s="7" t="n"/>
      <c r="E6" s="7" t="n"/>
      <c r="F6" s="7" t="n"/>
      <c r="G6" s="7" t="n"/>
    </row>
    <row r="7">
      <c r="A7" s="8" t="inlineStr">
        <is>
          <t xml:space="preserve">    Cash</t>
        </is>
      </c>
      <c r="B7" s="9" t="n">
        <v>179411</v>
      </c>
      <c r="C7" s="9" t="n">
        <v>203150</v>
      </c>
      <c r="D7" s="9" t="n">
        <v>192023</v>
      </c>
      <c r="E7" s="9" t="n">
        <v>198661</v>
      </c>
      <c r="F7" s="9" t="n">
        <v>229703</v>
      </c>
      <c r="G7" s="9" t="n">
        <v>239994</v>
      </c>
    </row>
    <row r="8">
      <c r="A8" s="8" t="inlineStr">
        <is>
          <t xml:space="preserve">    Savings &amp; temporary investments</t>
        </is>
      </c>
      <c r="B8" s="9" t="n"/>
      <c r="C8" s="9" t="n"/>
      <c r="D8" s="9" t="n"/>
      <c r="E8" s="9" t="n"/>
      <c r="F8" s="9" t="n"/>
      <c r="G8" s="9" t="n"/>
    </row>
    <row r="9">
      <c r="A9" s="8" t="inlineStr">
        <is>
          <t xml:space="preserve">    Accounts receivable</t>
        </is>
      </c>
      <c r="B9" s="9" t="n"/>
      <c r="C9" s="9" t="n"/>
      <c r="D9" s="9" t="n"/>
      <c r="E9" s="9" t="n"/>
      <c r="F9" s="9" t="n"/>
      <c r="G9" s="9" t="n"/>
    </row>
    <row r="10">
      <c r="A10" s="8" t="inlineStr">
        <is>
          <t xml:space="preserve">    Inventories</t>
        </is>
      </c>
      <c r="B10" s="9" t="n"/>
      <c r="C10" s="9" t="n"/>
      <c r="D10" s="9" t="n"/>
      <c r="E10" s="9" t="n"/>
      <c r="F10" s="9" t="n"/>
      <c r="G10" s="9" t="n"/>
    </row>
    <row r="11">
      <c r="A11" s="8" t="inlineStr">
        <is>
          <t xml:space="preserve">    Prepaid expenses</t>
        </is>
      </c>
      <c r="B11" s="9" t="n"/>
      <c r="C11" s="9" t="n"/>
      <c r="D11" s="9" t="n"/>
      <c r="E11" s="9" t="n"/>
      <c r="F11" s="9" t="n"/>
      <c r="G11" s="9" t="n"/>
    </row>
    <row r="12">
      <c r="A12" s="8" t="inlineStr">
        <is>
          <t xml:space="preserve">    Property, plant &amp; equipment (gross)</t>
        </is>
      </c>
      <c r="B12" s="9" t="n"/>
      <c r="C12" s="9" t="n"/>
      <c r="D12" s="9" t="n"/>
      <c r="E12" s="9" t="n"/>
      <c r="F12" s="9" t="n"/>
      <c r="G12" s="9" t="n"/>
    </row>
    <row r="13">
      <c r="A13" s="8" t="inlineStr">
        <is>
          <t xml:space="preserve">    Less: accumulated depreciation</t>
        </is>
      </c>
      <c r="B13" s="9" t="n"/>
      <c r="C13" s="9" t="n"/>
      <c r="D13" s="9" t="n"/>
      <c r="E13" s="9" t="n"/>
      <c r="F13" s="9" t="n"/>
      <c r="G13" s="9" t="n"/>
    </row>
    <row r="14">
      <c r="A14" s="10" t="inlineStr">
        <is>
          <t xml:space="preserve">    Net property, plant &amp; equipment</t>
        </is>
      </c>
      <c r="B14" s="11" t="n">
        <v>43235</v>
      </c>
      <c r="C14" s="11" t="n">
        <v>43235</v>
      </c>
      <c r="D14" s="11" t="n">
        <v>43235</v>
      </c>
      <c r="E14" s="11" t="n">
        <v>43235</v>
      </c>
      <c r="F14" s="11" t="n">
        <v>43235</v>
      </c>
      <c r="G14" s="11" t="n">
        <v>43235</v>
      </c>
    </row>
    <row r="15">
      <c r="A15" s="10" t="inlineStr">
        <is>
          <t>Total assets</t>
        </is>
      </c>
      <c r="B15" s="11" t="n">
        <v>436947</v>
      </c>
      <c r="C15" s="11" t="n">
        <v>448938</v>
      </c>
      <c r="D15" s="11" t="n">
        <v>437692</v>
      </c>
      <c r="E15" s="11" t="n">
        <v>456308</v>
      </c>
      <c r="F15" s="11" t="n">
        <v>481049</v>
      </c>
      <c r="G15" s="11" t="n">
        <v>489703</v>
      </c>
    </row>
    <row r="17">
      <c r="A17" s="6" t="inlineStr">
        <is>
          <t>Liabilities</t>
        </is>
      </c>
      <c r="B17" s="7" t="n"/>
      <c r="C17" s="7" t="n"/>
      <c r="D17" s="7" t="n"/>
      <c r="E17" s="7" t="n"/>
      <c r="F17" s="7" t="n"/>
      <c r="G17" s="7" t="n"/>
    </row>
    <row r="18">
      <c r="A18" s="8" t="inlineStr">
        <is>
          <t xml:space="preserve">    Accounts payable</t>
        </is>
      </c>
      <c r="B18" s="9" t="n"/>
      <c r="C18" s="9" t="n"/>
      <c r="D18" s="9" t="n"/>
      <c r="E18" s="9" t="n"/>
      <c r="F18" s="9" t="n"/>
      <c r="G18" s="9" t="n"/>
    </row>
    <row r="19">
      <c r="A19" s="8" t="inlineStr">
        <is>
          <t xml:space="preserve">    Mortgages &amp; notes payable</t>
        </is>
      </c>
      <c r="B19" s="9" t="n"/>
      <c r="C19" s="9" t="n"/>
      <c r="D19" s="9" t="n"/>
      <c r="E19" s="9" t="n"/>
      <c r="F19" s="9" t="n"/>
      <c r="G19" s="9" t="n"/>
    </row>
    <row r="20">
      <c r="A20" s="10" t="inlineStr">
        <is>
          <t>Total liabilities</t>
        </is>
      </c>
      <c r="B20" s="11" t="n">
        <v>7496</v>
      </c>
      <c r="C20" s="11" t="n">
        <v>5472</v>
      </c>
      <c r="D20" s="11" t="n">
        <v>7021</v>
      </c>
      <c r="E20" s="11" t="n">
        <v>7058</v>
      </c>
      <c r="F20" s="11" t="n">
        <v>9542</v>
      </c>
      <c r="G20" s="11" t="n">
        <v>15183</v>
      </c>
    </row>
    <row r="22">
      <c r="A22" s="6" t="inlineStr">
        <is>
          <t>Net Assets / Equity</t>
        </is>
      </c>
      <c r="B22" s="7" t="n"/>
      <c r="C22" s="7" t="n"/>
      <c r="D22" s="7" t="n"/>
      <c r="E22" s="7" t="n"/>
      <c r="F22" s="7" t="n"/>
      <c r="G22" s="7" t="n"/>
    </row>
    <row r="23">
      <c r="A23" s="8" t="inlineStr">
        <is>
          <t xml:space="preserve">    Capital stock</t>
        </is>
      </c>
      <c r="B23" s="9" t="n"/>
      <c r="C23" s="9" t="n"/>
      <c r="D23" s="9" t="n"/>
      <c r="E23" s="9" t="n"/>
      <c r="F23" s="9" t="n"/>
      <c r="G23" s="9" t="n"/>
    </row>
    <row r="24">
      <c r="A24" s="8" t="inlineStr">
        <is>
          <t xml:space="preserve">    Paid-in capital</t>
        </is>
      </c>
      <c r="B24" s="9" t="n"/>
      <c r="C24" s="9" t="n"/>
      <c r="D24" s="9" t="n"/>
      <c r="E24" s="9" t="n"/>
      <c r="F24" s="9" t="n"/>
      <c r="G24" s="9" t="n"/>
    </row>
    <row r="25">
      <c r="A25" s="8" t="inlineStr">
        <is>
          <t xml:space="preserve">    Retained earnings</t>
        </is>
      </c>
      <c r="B25" s="9" t="n"/>
      <c r="C25" s="9" t="n"/>
      <c r="D25" s="9" t="n"/>
      <c r="E25" s="9" t="n"/>
      <c r="F25" s="9" t="n"/>
      <c r="G25" s="9" t="n"/>
    </row>
    <row r="26">
      <c r="A26" s="10" t="inlineStr">
        <is>
          <t>Net assets</t>
        </is>
      </c>
      <c r="B26" s="11" t="n">
        <v>429451</v>
      </c>
      <c r="C26" s="11" t="n">
        <v>443466</v>
      </c>
      <c r="D26" s="11" t="n">
        <v>430671</v>
      </c>
      <c r="E26" s="11" t="n">
        <v>449250</v>
      </c>
      <c r="F26" s="11" t="n">
        <v>471507</v>
      </c>
      <c r="G26" s="11" t="n">
        <v>474520</v>
      </c>
    </row>
    <row r="28">
      <c r="A28" s="8" t="inlineStr">
        <is>
          <t>Balance check (assets − liab. − net assets)</t>
        </is>
      </c>
      <c r="B28" s="9" t="n">
        <v>0</v>
      </c>
      <c r="C28" s="9" t="n">
        <v>0</v>
      </c>
      <c r="D28" s="9" t="n">
        <v>0</v>
      </c>
      <c r="E28" s="9" t="n">
        <v>0</v>
      </c>
      <c r="F28" s="9" t="n">
        <v>0</v>
      </c>
      <c r="G28" s="9" t="n">
        <v>0</v>
      </c>
    </row>
    <row r="30" ht="42" customHeight="1">
      <c r="A30" s="3" t="inlineStr">
        <is>
          <t>Net PP&amp;E is the reported ppe_net column (gross less accumulated depreciation). The balance check should be ~0 where all three totals are reported; a non-zero value flags a reporting or extraction discrepancy worth reviewing.</t>
        </is>
      </c>
    </row>
  </sheetData>
  <mergeCells count="4">
    <mergeCell ref="A3:G3"/>
    <mergeCell ref="A2:G2"/>
    <mergeCell ref="A30:G30"/>
    <mergeCell ref="A1:G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Pine Mountain Mutual Water Company</t>
        </is>
      </c>
    </row>
    <row r="2">
      <c r="A2" s="2" t="inlineStr">
        <is>
          <t>Form 990-EZ - Part I (revenue, expenses, net assets) and Part II (balance sheet), as filed (USD)</t>
        </is>
      </c>
    </row>
    <row r="3">
      <c r="A3" s="2" t="inlineStr">
        <is>
          <t>Entity ID: cawc_0088   |   Fiscal year ends December 31.</t>
        </is>
      </c>
    </row>
    <row r="5">
      <c r="A5" s="4" t="inlineStr">
        <is>
          <t>Form 990-EZ line</t>
        </is>
      </c>
      <c r="B5" s="5" t="inlineStr">
        <is>
          <t>FY2020</t>
        </is>
      </c>
      <c r="C5" s="5" t="inlineStr">
        <is>
          <t>FY2021</t>
        </is>
      </c>
      <c r="D5" s="5" t="inlineStr">
        <is>
          <t>FY2022</t>
        </is>
      </c>
      <c r="E5" s="5" t="inlineStr">
        <is>
          <t>FY2023</t>
        </is>
      </c>
      <c r="F5" s="5" t="inlineStr">
        <is>
          <t>FY2024</t>
        </is>
      </c>
      <c r="G5" s="5" t="inlineStr">
        <is>
          <t>FY2025</t>
        </is>
      </c>
    </row>
    <row r="6">
      <c r="A6" s="6" t="inlineStr">
        <is>
          <t>Revenue (Part I)</t>
        </is>
      </c>
      <c r="B6" s="7" t="n"/>
      <c r="C6" s="7" t="n"/>
      <c r="D6" s="7" t="n"/>
      <c r="E6" s="7" t="n"/>
      <c r="F6" s="7" t="n"/>
      <c r="G6" s="7" t="n"/>
    </row>
    <row r="7">
      <c r="A7" s="8" t="inlineStr">
        <is>
          <t xml:space="preserve">    2. Program service revenue</t>
        </is>
      </c>
      <c r="B7" s="14" t="inlineStr">
        <is>
          <t>not reported</t>
        </is>
      </c>
      <c r="C7" s="9" t="n">
        <v>155422</v>
      </c>
      <c r="D7" s="9" t="n">
        <v>157949</v>
      </c>
      <c r="E7" s="9" t="n">
        <v>167884</v>
      </c>
      <c r="F7" s="9" t="n">
        <v>188480</v>
      </c>
      <c r="G7" s="9" t="n">
        <v>180572</v>
      </c>
    </row>
    <row r="8">
      <c r="A8" s="8" t="inlineStr">
        <is>
          <t xml:space="preserve">    3. Membership dues and assessments</t>
        </is>
      </c>
      <c r="B8" s="9" t="n">
        <v>155105</v>
      </c>
      <c r="C8" s="14" t="inlineStr">
        <is>
          <t>not reported</t>
        </is>
      </c>
      <c r="D8" s="14" t="inlineStr">
        <is>
          <t>not reported</t>
        </is>
      </c>
      <c r="E8" s="14" t="inlineStr">
        <is>
          <t>not reported</t>
        </is>
      </c>
      <c r="F8" s="14" t="inlineStr">
        <is>
          <t>not reported</t>
        </is>
      </c>
      <c r="G8" s="14" t="inlineStr">
        <is>
          <t>not reported</t>
        </is>
      </c>
    </row>
    <row r="9">
      <c r="A9" s="8" t="inlineStr">
        <is>
          <t xml:space="preserve">    4. Investment income</t>
        </is>
      </c>
      <c r="B9" s="9" t="n">
        <v>94</v>
      </c>
      <c r="C9" s="9" t="n">
        <v>94</v>
      </c>
      <c r="D9" s="9" t="n">
        <v>99</v>
      </c>
      <c r="E9" s="9" t="n">
        <v>3073</v>
      </c>
      <c r="F9" s="9" t="n">
        <v>4643</v>
      </c>
      <c r="G9" s="9" t="n">
        <v>4988</v>
      </c>
    </row>
    <row r="10">
      <c r="A10" s="10" t="inlineStr">
        <is>
          <t>9. Total revenue</t>
        </is>
      </c>
      <c r="B10" s="11" t="n">
        <v>155199</v>
      </c>
      <c r="C10" s="11" t="n">
        <v>155516</v>
      </c>
      <c r="D10" s="11" t="n">
        <v>158048</v>
      </c>
      <c r="E10" s="11" t="n">
        <v>170957</v>
      </c>
      <c r="F10" s="11" t="n">
        <v>193123</v>
      </c>
      <c r="G10" s="11" t="n">
        <v>185560</v>
      </c>
    </row>
    <row r="12">
      <c r="A12" s="6" t="inlineStr">
        <is>
          <t>Expenses (Part I)</t>
        </is>
      </c>
      <c r="B12" s="7" t="n"/>
      <c r="C12" s="7" t="n"/>
      <c r="D12" s="7" t="n"/>
      <c r="E12" s="7" t="n"/>
      <c r="F12" s="7" t="n"/>
      <c r="G12" s="7" t="n"/>
    </row>
    <row r="13">
      <c r="A13" s="8" t="inlineStr">
        <is>
          <t xml:space="preserve">    12. Salaries, other compensation, benefits</t>
        </is>
      </c>
      <c r="B13" s="9" t="n">
        <v>46824</v>
      </c>
      <c r="C13" s="9" t="n">
        <v>43010</v>
      </c>
      <c r="D13" s="9" t="n">
        <v>55323</v>
      </c>
      <c r="E13" s="9" t="n">
        <v>57006</v>
      </c>
      <c r="F13" s="9" t="n">
        <v>58275</v>
      </c>
      <c r="G13" s="9" t="n">
        <v>59452</v>
      </c>
    </row>
    <row r="14">
      <c r="A14" s="8" t="inlineStr">
        <is>
          <t xml:space="preserve">    13. Fees for services (independent contractors)</t>
        </is>
      </c>
      <c r="B14" s="9" t="n">
        <v>14865</v>
      </c>
      <c r="C14" s="9" t="n">
        <v>14865</v>
      </c>
      <c r="D14" s="9" t="n">
        <v>3100</v>
      </c>
      <c r="E14" s="9" t="n">
        <v>2835</v>
      </c>
      <c r="F14" s="9" t="n">
        <v>2923</v>
      </c>
      <c r="G14" s="9" t="n">
        <v>2578</v>
      </c>
    </row>
    <row r="15">
      <c r="A15" s="8" t="inlineStr">
        <is>
          <t xml:space="preserve">    14. Occupancy, rent, utilities, maintenance</t>
        </is>
      </c>
      <c r="B15" s="9" t="n">
        <v>28138</v>
      </c>
      <c r="C15" s="9" t="n">
        <v>33441</v>
      </c>
      <c r="D15" s="9" t="n">
        <v>59951</v>
      </c>
      <c r="E15" s="9" t="n">
        <v>35416</v>
      </c>
      <c r="F15" s="9" t="n">
        <v>51365</v>
      </c>
      <c r="G15" s="9" t="n">
        <v>57872</v>
      </c>
    </row>
    <row r="16">
      <c r="A16" s="8" t="inlineStr">
        <is>
          <t xml:space="preserve">    15. Printing, publications, postage</t>
        </is>
      </c>
      <c r="B16" s="9" t="n">
        <v>843</v>
      </c>
      <c r="C16" s="9" t="n">
        <v>1077</v>
      </c>
      <c r="D16" s="9" t="n">
        <v>956</v>
      </c>
      <c r="E16" s="9" t="n">
        <v>841</v>
      </c>
      <c r="F16" s="9" t="n">
        <v>1361</v>
      </c>
      <c r="G16" s="9" t="n">
        <v>1456</v>
      </c>
    </row>
    <row r="17">
      <c r="A17" s="8" t="inlineStr">
        <is>
          <t xml:space="preserve">    16. Other expenses</t>
        </is>
      </c>
      <c r="B17" s="9" t="n">
        <v>45151</v>
      </c>
      <c r="C17" s="9" t="n">
        <v>49108</v>
      </c>
      <c r="D17" s="9" t="n">
        <v>51513</v>
      </c>
      <c r="E17" s="9" t="n">
        <v>56280</v>
      </c>
      <c r="F17" s="9" t="n">
        <v>56942</v>
      </c>
      <c r="G17" s="9" t="n">
        <v>61189</v>
      </c>
    </row>
    <row r="18">
      <c r="A18" s="10" t="inlineStr">
        <is>
          <t>17. Total expenses</t>
        </is>
      </c>
      <c r="B18" s="11">
        <f>SUM(B13:B17)</f>
        <v/>
      </c>
      <c r="C18" s="11">
        <f>SUM(C13:C17)</f>
        <v/>
      </c>
      <c r="D18" s="11">
        <f>SUM(D13:D17)</f>
        <v/>
      </c>
      <c r="E18" s="11">
        <f>SUM(E13:E17)</f>
        <v/>
      </c>
      <c r="F18" s="11">
        <f>SUM(F13:F17)</f>
        <v/>
      </c>
      <c r="G18" s="11">
        <f>SUM(G13:G17)</f>
        <v/>
      </c>
    </row>
    <row r="20">
      <c r="A20" s="6" t="inlineStr">
        <is>
          <t>Net-assets reconciliation (Part I)</t>
        </is>
      </c>
      <c r="B20" s="7" t="n"/>
      <c r="C20" s="7" t="n"/>
      <c r="D20" s="7" t="n"/>
      <c r="E20" s="7" t="n"/>
      <c r="F20" s="7" t="n"/>
      <c r="G20" s="7" t="n"/>
    </row>
    <row r="21">
      <c r="A21" s="8" t="inlineStr">
        <is>
          <t xml:space="preserve">    19. Net assets or fund balances, beginning of year</t>
        </is>
      </c>
      <c r="B21" s="9" t="n">
        <v>410073</v>
      </c>
      <c r="C21" s="9" t="n">
        <v>386216</v>
      </c>
      <c r="D21" s="9" t="n">
        <v>443466</v>
      </c>
      <c r="E21" s="9" t="n">
        <v>430671</v>
      </c>
      <c r="F21" s="9" t="n">
        <v>449250</v>
      </c>
      <c r="G21" s="9" t="n">
        <v>471507</v>
      </c>
    </row>
    <row r="22">
      <c r="A22" s="8" t="inlineStr">
        <is>
          <t xml:space="preserve">    18. Excess or (deficit) for the year</t>
        </is>
      </c>
      <c r="B22" s="9" t="n">
        <v>19378</v>
      </c>
      <c r="C22" s="9" t="n">
        <v>14015</v>
      </c>
      <c r="D22" s="9" t="n">
        <v>-12795</v>
      </c>
      <c r="E22" s="9" t="n">
        <v>18579</v>
      </c>
      <c r="F22" s="9" t="n">
        <v>22257</v>
      </c>
      <c r="G22" s="9" t="n">
        <v>3013</v>
      </c>
    </row>
    <row r="23">
      <c r="A23" s="10" t="inlineStr">
        <is>
          <t>21. Net assets or fund balances, end of year</t>
        </is>
      </c>
      <c r="B23" s="11">
        <f>SUM(B21,B22)</f>
        <v/>
      </c>
      <c r="C23" s="11">
        <f>SUM(C21,C22)</f>
        <v/>
      </c>
      <c r="D23" s="11">
        <f>SUM(D21,D22)</f>
        <v/>
      </c>
      <c r="E23" s="11">
        <f>SUM(E21,E22)</f>
        <v/>
      </c>
      <c r="F23" s="11">
        <f>SUM(F21,F22)</f>
        <v/>
      </c>
      <c r="G23" s="11">
        <f>SUM(G21,G22)</f>
        <v/>
      </c>
    </row>
    <row r="25">
      <c r="A25" s="6" t="inlineStr">
        <is>
          <t>Balance sheet (Part II, end of year - column B)</t>
        </is>
      </c>
      <c r="B25" s="7" t="n"/>
      <c r="C25" s="7" t="n"/>
      <c r="D25" s="7" t="n"/>
      <c r="E25" s="7" t="n"/>
      <c r="F25" s="7" t="n"/>
      <c r="G25" s="7" t="n"/>
    </row>
    <row r="26">
      <c r="A26" s="8" t="inlineStr">
        <is>
          <t xml:space="preserve">    22. Cash, savings, and investments</t>
        </is>
      </c>
      <c r="B26" s="9" t="n">
        <v>179411</v>
      </c>
      <c r="C26" s="9" t="n">
        <v>203150</v>
      </c>
      <c r="D26" s="9" t="n">
        <v>192023</v>
      </c>
      <c r="E26" s="9" t="n">
        <v>198661</v>
      </c>
      <c r="F26" s="9" t="n">
        <v>229703</v>
      </c>
      <c r="G26" s="9" t="n">
        <v>239994</v>
      </c>
    </row>
    <row r="27">
      <c r="A27" s="8" t="inlineStr">
        <is>
          <t xml:space="preserve">    23. Land and buildings</t>
        </is>
      </c>
      <c r="B27" s="9" t="n">
        <v>43235</v>
      </c>
      <c r="C27" s="9" t="n">
        <v>43235</v>
      </c>
      <c r="D27" s="9" t="n">
        <v>43235</v>
      </c>
      <c r="E27" s="9" t="n">
        <v>43235</v>
      </c>
      <c r="F27" s="9" t="n">
        <v>43235</v>
      </c>
      <c r="G27" s="9" t="n">
        <v>43235</v>
      </c>
    </row>
    <row r="28">
      <c r="A28" s="8" t="inlineStr">
        <is>
          <t xml:space="preserve">    24. Other assets</t>
        </is>
      </c>
      <c r="B28" s="9" t="n">
        <v>214301</v>
      </c>
      <c r="C28" s="9" t="n">
        <v>202553</v>
      </c>
      <c r="D28" s="9" t="n">
        <v>202434</v>
      </c>
      <c r="E28" s="9" t="n">
        <v>214412</v>
      </c>
      <c r="F28" s="9" t="n">
        <v>208111</v>
      </c>
      <c r="G28" s="9" t="n">
        <v>206474</v>
      </c>
    </row>
    <row r="29">
      <c r="A29" s="10" t="inlineStr">
        <is>
          <t>25. Total assets</t>
        </is>
      </c>
      <c r="B29" s="11">
        <f>SUM(B26:B28)</f>
        <v/>
      </c>
      <c r="C29" s="11">
        <f>SUM(C26:C28)</f>
        <v/>
      </c>
      <c r="D29" s="11">
        <f>SUM(D26:D28)</f>
        <v/>
      </c>
      <c r="E29" s="11">
        <f>SUM(E26:E28)</f>
        <v/>
      </c>
      <c r="F29" s="11">
        <f>SUM(F26:F28)</f>
        <v/>
      </c>
      <c r="G29" s="11">
        <f>SUM(G26:G28)</f>
        <v/>
      </c>
    </row>
    <row r="30">
      <c r="A30" s="10" t="inlineStr">
        <is>
          <t>26. Total liabilities</t>
        </is>
      </c>
      <c r="B30" s="11" t="n">
        <v>7496</v>
      </c>
      <c r="C30" s="11" t="n">
        <v>5472</v>
      </c>
      <c r="D30" s="11" t="n">
        <v>7021</v>
      </c>
      <c r="E30" s="11" t="n">
        <v>7058</v>
      </c>
      <c r="F30" s="11" t="n">
        <v>9542</v>
      </c>
      <c r="G30" s="11" t="n">
        <v>15183</v>
      </c>
    </row>
    <row r="31">
      <c r="A31" s="10" t="inlineStr">
        <is>
          <t>27. Net assets or fund balances</t>
        </is>
      </c>
      <c r="B31" s="11" t="n">
        <v>429451</v>
      </c>
      <c r="C31" s="11" t="n">
        <v>443466</v>
      </c>
      <c r="D31" s="11" t="n">
        <v>430671</v>
      </c>
      <c r="E31" s="11" t="n">
        <v>449250</v>
      </c>
      <c r="F31" s="11" t="n">
        <v>471507</v>
      </c>
      <c r="G31" s="11" t="n">
        <v>474520</v>
      </c>
    </row>
    <row r="33" ht="42" customHeight="1">
      <c r="A33" s="3" t="inlineStr">
        <is>
          <t>Form 990-EZ is the short form: revenue and expenses are on Part I and the balance sheet is the six-line Part II (no full-990 Parts VII-XI). Total expenses (line 17) and Total assets (line 25) are live SUMs of the lines above; Total revenue (line 9) is shown as filed because the EZ nets its lines 5-7 (sales of assets, gaming, inventory) into line 9 without itemizing them. Ending net assets (line 21) is recomputed live as beginning net assets (line 19) plus the excess or deficit (line 18); where the filer's own line 21 does not equal that sum, the variance is flagged red on the Sources &amp; audit tab and carried exactly as filed, not reconciled. Every figure's citation and confidence are on the Sources &amp; audit tab.</t>
        </is>
      </c>
    </row>
  </sheetData>
  <mergeCells count="4">
    <mergeCell ref="A33:G33"/>
    <mergeCell ref="A3:G3"/>
    <mergeCell ref="A2:G2"/>
    <mergeCell ref="A1:G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6"/>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Pine Mountain Mutual Water Company</t>
        </is>
      </c>
    </row>
    <row r="2">
      <c r="A2" s="2" t="inlineStr">
        <is>
          <t>Cash Flow Proxies - derived (USD)</t>
        </is>
      </c>
    </row>
    <row r="3">
      <c r="A3" s="2" t="inlineStr">
        <is>
          <t>Entity ID: cawc_0088   |   Fiscal year ends December 31.</t>
        </is>
      </c>
    </row>
    <row r="5" ht="42" customHeight="1">
      <c r="A5" s="3" t="inlineStr">
        <is>
          <t>PROXY ONLY. The source filings contain no statement of cash flows. Lines below are derived from the reported income statement and year-over-year balance-sheet changes; treat as directional estimates, not GAAP cash flows. The earliest year has no prior period, so its delta cells are blank.</t>
        </is>
      </c>
    </row>
    <row r="7">
      <c r="A7" s="4" t="inlineStr">
        <is>
          <t>Proxy line (USD)</t>
        </is>
      </c>
      <c r="B7" s="5" t="inlineStr">
        <is>
          <t>FY2020</t>
        </is>
      </c>
      <c r="C7" s="5" t="inlineStr">
        <is>
          <t>FY2021</t>
        </is>
      </c>
      <c r="D7" s="5" t="inlineStr">
        <is>
          <t>FY2022</t>
        </is>
      </c>
      <c r="E7" s="5" t="inlineStr">
        <is>
          <t>FY2023</t>
        </is>
      </c>
      <c r="F7" s="5" t="inlineStr">
        <is>
          <t>FY2024</t>
        </is>
      </c>
      <c r="G7" s="5" t="inlineStr">
        <is>
          <t>FY2025</t>
        </is>
      </c>
    </row>
    <row r="8">
      <c r="A8" s="6" t="inlineStr">
        <is>
          <t>Operating</t>
        </is>
      </c>
      <c r="B8" s="7" t="n"/>
      <c r="C8" s="7" t="n"/>
      <c r="D8" s="7" t="n"/>
      <c r="E8" s="7" t="n"/>
      <c r="F8" s="7" t="n"/>
      <c r="G8" s="7" t="n"/>
    </row>
    <row r="9">
      <c r="A9" s="8" t="inlineStr">
        <is>
          <t xml:space="preserve">    Net income</t>
        </is>
      </c>
      <c r="B9" s="9" t="n">
        <v>19378</v>
      </c>
      <c r="C9" s="9" t="n">
        <v>14015</v>
      </c>
      <c r="D9" s="9" t="n">
        <v>-12795</v>
      </c>
      <c r="E9" s="9" t="n">
        <v>18579</v>
      </c>
      <c r="F9" s="9" t="n">
        <v>22257</v>
      </c>
      <c r="G9" s="9" t="n">
        <v>3013</v>
      </c>
    </row>
    <row r="10">
      <c r="A10" s="8" t="inlineStr">
        <is>
          <t xml:space="preserve">    + Depreciation (reported)</t>
        </is>
      </c>
      <c r="B10" s="9" t="n"/>
      <c r="C10" s="9" t="n"/>
      <c r="D10" s="9" t="n"/>
      <c r="E10" s="9" t="n"/>
      <c r="F10" s="9" t="n"/>
      <c r="G10" s="9" t="n"/>
    </row>
    <row r="11">
      <c r="A11" s="8" t="inlineStr">
        <is>
          <t xml:space="preserve">    − Δ Accounts receivable</t>
        </is>
      </c>
      <c r="B11" s="9" t="n"/>
      <c r="C11" s="9" t="n"/>
      <c r="D11" s="9" t="n"/>
      <c r="E11" s="9" t="n"/>
      <c r="F11" s="9" t="n"/>
      <c r="G11" s="9" t="n"/>
    </row>
    <row r="12">
      <c r="A12" s="8" t="inlineStr">
        <is>
          <t xml:space="preserve">    − Δ Inventories</t>
        </is>
      </c>
      <c r="B12" s="9" t="n"/>
      <c r="C12" s="9" t="n"/>
      <c r="D12" s="9" t="n"/>
      <c r="E12" s="9" t="n"/>
      <c r="F12" s="9" t="n"/>
      <c r="G12" s="9" t="n"/>
    </row>
    <row r="13">
      <c r="A13" s="8" t="inlineStr">
        <is>
          <t xml:space="preserve">    − Δ Prepaid expenses</t>
        </is>
      </c>
      <c r="B13" s="9" t="n"/>
      <c r="C13" s="9" t="n"/>
      <c r="D13" s="9" t="n"/>
      <c r="E13" s="9" t="n"/>
      <c r="F13" s="9" t="n"/>
      <c r="G13" s="9" t="n"/>
    </row>
    <row r="14">
      <c r="A14" s="8" t="inlineStr">
        <is>
          <t xml:space="preserve">    + Δ Accounts payable</t>
        </is>
      </c>
      <c r="B14" s="9" t="n"/>
      <c r="C14" s="9" t="n"/>
      <c r="D14" s="9" t="n"/>
      <c r="E14" s="9" t="n"/>
      <c r="F14" s="9" t="n"/>
      <c r="G14" s="9" t="n"/>
    </row>
    <row r="15">
      <c r="A15" s="10" t="inlineStr">
        <is>
          <t xml:space="preserve">    Operating cash flow proxy</t>
        </is>
      </c>
      <c r="B15" s="11" t="n"/>
      <c r="C15" s="11" t="n">
        <v>14015</v>
      </c>
      <c r="D15" s="11" t="n">
        <v>-12795</v>
      </c>
      <c r="E15" s="11" t="n">
        <v>18579</v>
      </c>
      <c r="F15" s="11" t="n">
        <v>22257</v>
      </c>
      <c r="G15" s="11" t="n">
        <v>3013</v>
      </c>
    </row>
    <row r="17">
      <c r="A17" s="6" t="inlineStr">
        <is>
          <t>Investing</t>
        </is>
      </c>
      <c r="B17" s="7" t="n"/>
      <c r="C17" s="7" t="n"/>
      <c r="D17" s="7" t="n"/>
      <c r="E17" s="7" t="n"/>
      <c r="F17" s="7" t="n"/>
      <c r="G17" s="7" t="n"/>
    </row>
    <row r="18">
      <c r="A18" s="8" t="inlineStr">
        <is>
          <t xml:space="preserve">    − Δ PP&amp;E gross (capex proxy)</t>
        </is>
      </c>
      <c r="B18" s="9" t="n"/>
      <c r="C18" s="9" t="n"/>
      <c r="D18" s="9" t="n"/>
      <c r="E18" s="9" t="n"/>
      <c r="F18" s="9" t="n"/>
      <c r="G18" s="9" t="n"/>
    </row>
    <row r="20">
      <c r="A20" s="6" t="inlineStr">
        <is>
          <t>Financing</t>
        </is>
      </c>
      <c r="B20" s="7" t="n"/>
      <c r="C20" s="7" t="n"/>
      <c r="D20" s="7" t="n"/>
      <c r="E20" s="7" t="n"/>
      <c r="F20" s="7" t="n"/>
      <c r="G20" s="7" t="n"/>
    </row>
    <row r="21">
      <c r="A21" s="8" t="inlineStr">
        <is>
          <t xml:space="preserve">    Δ Mortgages &amp; notes payable</t>
        </is>
      </c>
      <c r="B21" s="9" t="n"/>
      <c r="C21" s="9" t="n"/>
      <c r="D21" s="9" t="n"/>
      <c r="E21" s="9" t="n"/>
      <c r="F21" s="9" t="n"/>
      <c r="G21" s="9" t="n"/>
    </row>
    <row r="23">
      <c r="A23" s="6" t="inlineStr">
        <is>
          <t>Reconciliation</t>
        </is>
      </c>
      <c r="B23" s="7" t="n"/>
      <c r="C23" s="7" t="n"/>
      <c r="D23" s="7" t="n"/>
      <c r="E23" s="7" t="n"/>
      <c r="F23" s="7" t="n"/>
      <c r="G23" s="7" t="n"/>
    </row>
    <row r="24">
      <c r="A24" s="10" t="inlineStr">
        <is>
          <t xml:space="preserve">    Δ Cash + temp. investments (actual)</t>
        </is>
      </c>
      <c r="B24" s="11" t="n"/>
      <c r="C24" s="11" t="n">
        <v>23739</v>
      </c>
      <c r="D24" s="11" t="n">
        <v>-11127</v>
      </c>
      <c r="E24" s="11" t="n">
        <v>6638</v>
      </c>
      <c r="F24" s="11" t="n">
        <v>31042</v>
      </c>
      <c r="G24" s="11" t="n">
        <v>10291</v>
      </c>
    </row>
    <row r="26" ht="42" customHeight="1">
      <c r="A26" s="3" t="inlineStr">
        <is>
          <t>The capex proxy assumes gross PP&amp;E rises only via capital spending (it ignores disposals). 'Δ Cash + temp. investments (actual)' is the real reported change in liquid funds and is the most reliable line here; the operating/investing/financing proxies will not perfectly reconcile to it.</t>
        </is>
      </c>
    </row>
  </sheetData>
  <mergeCells count="5">
    <mergeCell ref="A1:G1"/>
    <mergeCell ref="A3:G3"/>
    <mergeCell ref="A26:G26"/>
    <mergeCell ref="A2:G2"/>
    <mergeCell ref="A5:G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21"/>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Pine Mountain Mutual Water Company</t>
        </is>
      </c>
    </row>
    <row r="2">
      <c r="A2" s="2" t="inlineStr">
        <is>
          <t>Financial Ratios</t>
        </is>
      </c>
    </row>
    <row r="3">
      <c r="A3" s="2" t="inlineStr">
        <is>
          <t>Entity ID: cawc_0088   |   Fiscal year ends December 31.</t>
        </is>
      </c>
    </row>
    <row r="5">
      <c r="A5" s="4" t="inlineStr">
        <is>
          <t>Ratio</t>
        </is>
      </c>
      <c r="B5" s="5" t="inlineStr">
        <is>
          <t>FY2020</t>
        </is>
      </c>
      <c r="C5" s="5" t="inlineStr">
        <is>
          <t>FY2021</t>
        </is>
      </c>
      <c r="D5" s="5" t="inlineStr">
        <is>
          <t>FY2022</t>
        </is>
      </c>
      <c r="E5" s="5" t="inlineStr">
        <is>
          <t>FY2023</t>
        </is>
      </c>
      <c r="F5" s="5" t="inlineStr">
        <is>
          <t>FY2024</t>
        </is>
      </c>
      <c r="G5" s="5" t="inlineStr">
        <is>
          <t>FY2025</t>
        </is>
      </c>
    </row>
    <row r="6">
      <c r="A6" s="6" t="inlineStr">
        <is>
          <t>Profitability (computed upstream)</t>
        </is>
      </c>
      <c r="B6" s="7" t="n"/>
      <c r="C6" s="7" t="n"/>
      <c r="D6" s="7" t="n"/>
      <c r="E6" s="7" t="n"/>
      <c r="F6" s="7" t="n"/>
      <c r="G6" s="7" t="n"/>
    </row>
    <row r="7">
      <c r="A7" s="8" t="inlineStr">
        <is>
          <t xml:space="preserve">    Operating margin (NI / revenue)</t>
        </is>
      </c>
      <c r="B7" s="12" t="n">
        <v>0.124859051926881</v>
      </c>
      <c r="C7" s="12" t="n">
        <v>0.09011934463334963</v>
      </c>
      <c r="D7" s="12" t="n">
        <v>-0.08095641830330026</v>
      </c>
      <c r="E7" s="12" t="n">
        <v>0.1086764508034184</v>
      </c>
      <c r="F7" s="12" t="n">
        <v>0.1152477954464253</v>
      </c>
      <c r="G7" s="12" t="n">
        <v>0.01623733563267946</v>
      </c>
    </row>
    <row r="8">
      <c r="A8" s="8" t="inlineStr">
        <is>
          <t xml:space="preserve">    Expense ratio (expenses / revenue)</t>
        </is>
      </c>
      <c r="B8" s="12" t="n">
        <v>0.875140948073119</v>
      </c>
      <c r="C8" s="12" t="n">
        <v>0.9098806553666504</v>
      </c>
      <c r="D8" s="12" t="n">
        <v>1.0809564183033</v>
      </c>
      <c r="E8" s="12" t="n">
        <v>0.8913235491965816</v>
      </c>
      <c r="F8" s="12" t="n">
        <v>0.8847522045535746</v>
      </c>
      <c r="G8" s="12" t="n">
        <v>0.9837626643673205</v>
      </c>
    </row>
    <row r="9">
      <c r="A9" s="8" t="inlineStr">
        <is>
          <t xml:space="preserve">    Return on assets (NI / assets)</t>
        </is>
      </c>
      <c r="B9" s="12" t="n">
        <v>0.04434862809448285</v>
      </c>
      <c r="C9" s="12" t="n">
        <v>0.03121811920577006</v>
      </c>
      <c r="D9" s="12" t="n">
        <v>-0.02923288522522687</v>
      </c>
      <c r="E9" s="12" t="n">
        <v>0.04071591994880651</v>
      </c>
      <c r="F9" s="12" t="n">
        <v>0.04626763593729537</v>
      </c>
      <c r="G9" s="12" t="n">
        <v>0.00615270888681507</v>
      </c>
    </row>
    <row r="10">
      <c r="A10" s="8" t="inlineStr">
        <is>
          <t xml:space="preserve">    Revenue growth (YoY)</t>
        </is>
      </c>
      <c r="B10" s="12" t="n"/>
      <c r="C10" s="12" t="n"/>
      <c r="D10" s="12" t="n"/>
      <c r="E10" s="12" t="n"/>
      <c r="F10" s="12" t="n"/>
      <c r="G10" s="12" t="n"/>
    </row>
    <row r="12">
      <c r="A12" s="6" t="inlineStr">
        <is>
          <t>Leverage &amp; solvency</t>
        </is>
      </c>
      <c r="B12" s="7" t="n"/>
      <c r="C12" s="7" t="n"/>
      <c r="D12" s="7" t="n"/>
      <c r="E12" s="7" t="n"/>
      <c r="F12" s="7" t="n"/>
      <c r="G12" s="7" t="n"/>
    </row>
    <row r="13">
      <c r="A13" s="8" t="inlineStr">
        <is>
          <t xml:space="preserve">    Debt-to-assets (liab. / assets)</t>
        </is>
      </c>
      <c r="B13" s="12" t="n">
        <v>0.01715539870968332</v>
      </c>
      <c r="C13" s="12" t="n">
        <v>0.01218876548654825</v>
      </c>
      <c r="D13" s="12" t="n">
        <v>0.01604096030998967</v>
      </c>
      <c r="E13" s="12" t="n">
        <v>0.01546762274603996</v>
      </c>
      <c r="F13" s="12" t="n">
        <v>0.01983581714128914</v>
      </c>
      <c r="G13" s="12" t="n">
        <v>0.03100450681331338</v>
      </c>
    </row>
    <row r="14">
      <c r="A14" s="8" t="inlineStr">
        <is>
          <t xml:space="preserve">    Equity ratio (net assets / assets)</t>
        </is>
      </c>
      <c r="B14" s="12" t="n">
        <v>0.9828446012903167</v>
      </c>
      <c r="C14" s="12" t="n">
        <v>0.9878112345134518</v>
      </c>
      <c r="D14" s="12" t="n">
        <v>0.9839590396900103</v>
      </c>
      <c r="E14" s="12" t="n">
        <v>0.98453237725396</v>
      </c>
      <c r="F14" s="12" t="n">
        <v>0.9801641828587109</v>
      </c>
      <c r="G14" s="12" t="n">
        <v>0.9689954931866867</v>
      </c>
    </row>
    <row r="16">
      <c r="A16" s="6" t="inlineStr">
        <is>
          <t>Liquidity &amp; asset profile (derived here)</t>
        </is>
      </c>
      <c r="B16" s="7" t="n"/>
      <c r="C16" s="7" t="n"/>
      <c r="D16" s="7" t="n"/>
      <c r="E16" s="7" t="n"/>
      <c r="F16" s="7" t="n"/>
      <c r="G16" s="7" t="n"/>
    </row>
    <row r="17">
      <c r="A17" s="8" t="inlineStr">
        <is>
          <t xml:space="preserve">    Current ratio (current assets / AP)</t>
        </is>
      </c>
      <c r="B17" s="15" t="n"/>
      <c r="C17" s="15" t="n"/>
      <c r="D17" s="15" t="n"/>
      <c r="E17" s="15" t="n"/>
      <c r="F17" s="15" t="n"/>
      <c r="G17" s="15" t="n"/>
    </row>
    <row r="18">
      <c r="A18" s="8" t="inlineStr">
        <is>
          <t xml:space="preserve">    Cash ratio ((cash+temp inv.) / total liab.)</t>
        </is>
      </c>
      <c r="B18" s="15" t="n">
        <v>23.93423159018143</v>
      </c>
      <c r="C18" s="15" t="n">
        <v>37.12536549707603</v>
      </c>
      <c r="D18" s="15" t="n">
        <v>27.34980771969805</v>
      </c>
      <c r="E18" s="15" t="n">
        <v>28.14692547463871</v>
      </c>
      <c r="F18" s="15" t="n">
        <v>24.07283588346259</v>
      </c>
      <c r="G18" s="15" t="n">
        <v>15.8067575577949</v>
      </c>
    </row>
    <row r="19">
      <c r="A19" s="8" t="inlineStr">
        <is>
          <t xml:space="preserve">    Asset age proxy (accum. deprec. / gross PP&amp;E)</t>
        </is>
      </c>
      <c r="B19" s="12" t="n"/>
      <c r="C19" s="12" t="n"/>
      <c r="D19" s="12" t="n"/>
      <c r="E19" s="12" t="n"/>
      <c r="F19" s="12" t="n"/>
      <c r="G19" s="12" t="n"/>
    </row>
    <row r="21" ht="42" customHeight="1">
      <c r="A21" s="3" t="inlineStr">
        <is>
          <t>Upstream ratios are read from financials_annual; derived ratios are computed only where inputs are reported. Current ratio uses accounts payable as the current-liability proxy (the filings do not split current vs. long-term liabilities). Asset age proxy: a higher % implies older / more depreciated infrastructure.</t>
        </is>
      </c>
    </row>
  </sheetData>
  <mergeCells count="4">
    <mergeCell ref="A21:G21"/>
    <mergeCell ref="A3:G3"/>
    <mergeCell ref="A2:G2"/>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1"/>
  <sheetViews>
    <sheetView workbookViewId="0">
      <pane ySplit="4" topLeftCell="A5" activePane="bottomLeft" state="frozen"/>
      <selection pane="bottomLeft" activeCell="A1" sqref="A1"/>
    </sheetView>
  </sheetViews>
  <sheetFormatPr baseColWidth="8" defaultRowHeight="15"/>
  <cols>
    <col width="42" customWidth="1" min="1" max="1"/>
    <col width="18" customWidth="1" min="2" max="2"/>
    <col width="20" customWidth="1" min="3" max="3"/>
    <col width="16" customWidth="1" min="4" max="4"/>
    <col width="60" customWidth="1" min="5" max="5"/>
  </cols>
  <sheetData>
    <row r="1">
      <c r="A1" s="1" t="inlineStr">
        <is>
          <t>Pine Mountain Mutual Water Company</t>
        </is>
      </c>
    </row>
    <row r="2">
      <c r="A2" s="2" t="inlineStr">
        <is>
          <t>Unit economics - per-customer revenue by category (USD)</t>
        </is>
      </c>
    </row>
    <row r="3">
      <c r="A3" s="2" t="inlineStr">
        <is>
          <t>Entity ID: cawc_0088   |   Fiscal year ends December 31.</t>
        </is>
      </c>
    </row>
    <row r="5" ht="96" customHeight="1">
      <c r="A5" s="3" t="inlineStr">
        <is>
          <t>Every metric here is PER CUSTOMER (a metered service connection). It is not a per-member figure; the member (shareholder) count is a different denominator, shown in the denominator block. The visible cell shows the value and its classification; the numerator, denominator, formula, and rationale are in each metric's LOGIC popup.</t>
        </is>
      </c>
    </row>
    <row r="6">
      <c r="A6" s="16" t="inlineStr">
        <is>
          <t>Per-customer denominator (service connections)</t>
        </is>
      </c>
      <c r="B6" s="17" t="n"/>
      <c r="C6" s="18" t="inlineStr">
        <is>
          <t>State Water Board eAR Section 4</t>
        </is>
      </c>
    </row>
    <row r="7">
      <c r="A7" s="16" t="inlineStr">
        <is>
          <t>Total annual revenue (eAR Section 8b B1.8)</t>
        </is>
      </c>
      <c r="B7" s="17" t="n"/>
      <c r="C7" s="18" t="inlineStr">
        <is>
          <t>eAR Section 8b total annual revenue not reported for this system.</t>
        </is>
      </c>
    </row>
    <row r="8">
      <c r="A8" s="16" t="inlineStr">
        <is>
          <t>Primary source</t>
        </is>
      </c>
      <c r="B8" s="17" t="inlineStr"/>
      <c r="C8" s="18" t="n"/>
    </row>
    <row r="10">
      <c r="A10" s="6" t="inlineStr">
        <is>
          <t>Revenue categories (value, classification, per customer, share)</t>
        </is>
      </c>
      <c r="B10" s="7" t="n"/>
      <c r="C10" s="7" t="n"/>
      <c r="D10" s="7" t="n"/>
      <c r="E10" s="7" t="n"/>
    </row>
    <row r="11">
      <c r="A11" s="5" t="inlineStr">
        <is>
          <t>Revenue category</t>
        </is>
      </c>
      <c r="B11" s="5" t="inlineStr">
        <is>
          <t>Classification</t>
        </is>
      </c>
      <c r="C11" s="5" t="inlineStr">
        <is>
          <t>Value (USD)</t>
        </is>
      </c>
      <c r="D11" s="5" t="inlineStr">
        <is>
          <t>Per customer</t>
        </is>
      </c>
      <c r="E11" s="5" t="inlineStr">
        <is>
          <t>Share of revenue</t>
        </is>
      </c>
    </row>
    <row r="12">
      <c r="A12" s="8" t="inlineStr">
        <is>
          <t>Water sales revenue</t>
        </is>
      </c>
      <c r="B12" s="19" t="inlineStr">
        <is>
          <t>not reported</t>
        </is>
      </c>
      <c r="C12" s="20" t="inlineStr">
        <is>
          <t>not reported</t>
        </is>
      </c>
      <c r="D12" s="20" t="inlineStr">
        <is>
          <t>not reported</t>
        </is>
      </c>
      <c r="E12" s="20" t="inlineStr">
        <is>
          <t>not reported</t>
        </is>
      </c>
    </row>
    <row r="13">
      <c r="A13" s="8" t="inlineStr">
        <is>
          <t>Assessment revenue (990 program-service revenue not matched to eAR water-rate revenue)</t>
        </is>
      </c>
      <c r="B13" s="19" t="inlineStr">
        <is>
          <t>IMPOSSIBLE</t>
        </is>
      </c>
      <c r="C13" s="20" t="inlineStr">
        <is>
          <t>IMPOSSIBLE</t>
        </is>
      </c>
      <c r="D13" s="20" t="inlineStr">
        <is>
          <t>IMPOSSIBLE</t>
        </is>
      </c>
      <c r="E13" s="20" t="inlineStr">
        <is>
          <t>IMPOSSIBLE</t>
        </is>
      </c>
    </row>
    <row r="14">
      <c r="A14" s="8" t="inlineStr">
        <is>
          <t>Meter revenue</t>
        </is>
      </c>
      <c r="B14" s="19" t="inlineStr">
        <is>
          <t>not reported</t>
        </is>
      </c>
      <c r="C14" s="20" t="inlineStr">
        <is>
          <t>not reported</t>
        </is>
      </c>
      <c r="D14" s="20" t="inlineStr">
        <is>
          <t>not reported</t>
        </is>
      </c>
      <c r="E14" s="20" t="inlineStr">
        <is>
          <t>not reported</t>
        </is>
      </c>
    </row>
    <row r="15">
      <c r="A15" s="8" t="inlineStr">
        <is>
          <t>Overage or tiered penalty revenue</t>
        </is>
      </c>
      <c r="B15" s="19" t="inlineStr">
        <is>
          <t>not reported</t>
        </is>
      </c>
      <c r="C15" s="20" t="inlineStr">
        <is>
          <t>not reported</t>
        </is>
      </c>
      <c r="D15" s="20" t="inlineStr">
        <is>
          <t>not reported</t>
        </is>
      </c>
      <c r="E15" s="20" t="inlineStr">
        <is>
          <t>not reported</t>
        </is>
      </c>
    </row>
    <row r="17">
      <c r="A17" s="6" t="inlineStr">
        <is>
          <t>Water sales revenue - not reported</t>
        </is>
      </c>
      <c r="B17" s="7" t="n"/>
      <c r="C17" s="7" t="n"/>
      <c r="D17" s="7" t="n"/>
      <c r="E17" s="7" t="n"/>
    </row>
    <row r="18" ht="51" customHeight="1">
      <c r="A18" s="3" t="inlineStr">
        <is>
          <t>Not reported: this system filed an eAR but no Section 8b revenue block, so there is no filed water-sales figure. Not fallen back to a different year.</t>
        </is>
      </c>
    </row>
    <row r="19" ht="36" customHeight="1">
      <c r="A19" s="3" t="inlineStr">
        <is>
          <t>Reason: No filed eAR Section 8b water-rate revenue for this system.</t>
        </is>
      </c>
    </row>
    <row r="21">
      <c r="A21" s="6" t="inlineStr">
        <is>
          <t>Assessment revenue (990 program-service revenue not matched to eAR water-rate revenue) - IMPOSSIBLE</t>
        </is>
      </c>
      <c r="B21" s="7" t="n"/>
      <c r="C21" s="7" t="n"/>
      <c r="D21" s="7" t="n"/>
      <c r="E21" s="7" t="n"/>
    </row>
    <row r="22" ht="36" customHeight="1">
      <c r="A22" s="3" t="inlineStr">
        <is>
          <t>Not computed. A period-aligned residual is not possible for this filer.</t>
        </is>
      </c>
    </row>
    <row r="23" ht="66" customHeight="1">
      <c r="A23" s="3" t="inlineStr">
        <is>
          <t>Reason: Not derivable. The eAR Section 8b is reporting year None while the Form 990 fiscal year ends None; the two period ends are not aligned, so a period-aligned residual cannot be computed.</t>
        </is>
      </c>
    </row>
    <row r="25">
      <c r="A25" s="6" t="inlineStr">
        <is>
          <t>Meter revenue - not reported</t>
        </is>
      </c>
      <c r="B25" s="7" t="n"/>
      <c r="C25" s="7" t="n"/>
      <c r="D25" s="7" t="n"/>
      <c r="E25" s="7" t="n"/>
    </row>
    <row r="26" ht="36" customHeight="1">
      <c r="A26" s="3" t="inlineStr">
        <is>
          <t>Not reported. This category is not built because doing so would double-count.</t>
        </is>
      </c>
    </row>
    <row r="27" ht="81" customHeight="1">
      <c r="A27" s="3" t="inlineStr">
        <is>
          <t>Reason: 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9">
      <c r="A29" s="6" t="inlineStr">
        <is>
          <t>Overage or tiered penalty revenue - not reported</t>
        </is>
      </c>
      <c r="B29" s="7" t="n"/>
      <c r="C29" s="7" t="n"/>
      <c r="D29" s="7" t="n"/>
      <c r="E29" s="7" t="n"/>
    </row>
    <row r="30" ht="36" customHeight="1">
      <c r="A30" s="3" t="inlineStr">
        <is>
          <t>Not reported. This category is not built because doing so would double-count.</t>
        </is>
      </c>
    </row>
    <row r="31" ht="81" customHeight="1">
      <c r="A31" s="3" t="inlineStr">
        <is>
          <t>Reason: The eAR Section 8a reports tiered/overage rate PRICES, but the filing carries no overage revenue and no tier consumption volume, and any overage billed is already inside the water-sales revenue. Building it would double-count. Not backed into from a total.</t>
        </is>
      </c>
    </row>
  </sheetData>
  <mergeCells count="12">
    <mergeCell ref="A30:E30"/>
    <mergeCell ref="A26:E26"/>
    <mergeCell ref="A2:E2"/>
    <mergeCell ref="A19:E19"/>
    <mergeCell ref="A1:E1"/>
    <mergeCell ref="A5:E5"/>
    <mergeCell ref="A23:E23"/>
    <mergeCell ref="A31:E31"/>
    <mergeCell ref="A22:E22"/>
    <mergeCell ref="A18:E18"/>
    <mergeCell ref="A27:E27"/>
    <mergeCell ref="A3:E3"/>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4" customWidth="1" min="1" max="1"/>
    <col width="16" customWidth="1" min="2" max="2"/>
    <col width="16" customWidth="1" min="3" max="3"/>
    <col width="16" customWidth="1" min="4" max="4"/>
  </cols>
  <sheetData>
    <row r="1">
      <c r="A1" s="1" t="inlineStr">
        <is>
          <t>Pine Mountain Mutual Water Company</t>
        </is>
      </c>
    </row>
    <row r="2">
      <c r="A2" s="2" t="inlineStr">
        <is>
          <t>Rate structure and representative bill - eAR Section 8a</t>
        </is>
      </c>
    </row>
    <row r="3">
      <c r="A3" s="2" t="inlineStr">
        <is>
          <t>Entity ID: cawc_0088   |   Fiscal year ends December 31.</t>
        </is>
      </c>
    </row>
    <row r="5" ht="81" customHeight="1">
      <c r="A5" s="21" t="inlineStr">
        <is>
          <t>This block is a rate-schedule illustration at defined usage levels. It is NOT billed revenue and not a claim about any real customer's usage. The revenue side of unit economics is the separate Unit Economics block.</t>
        </is>
      </c>
    </row>
    <row r="6" ht="36" customHeight="1">
      <c r="A6" s="3" t="inlineStr">
        <is>
          <t>No filed eAR Section 8a rate schedule is staged for this system.</t>
        </is>
      </c>
    </row>
  </sheetData>
  <mergeCells count="5">
    <mergeCell ref="A1:D1"/>
    <mergeCell ref="A5:D5"/>
    <mergeCell ref="A6:D6"/>
    <mergeCell ref="A3:D3"/>
    <mergeCell ref="A2:D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6"/>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60" customWidth="1" min="3" max="3"/>
  </cols>
  <sheetData>
    <row r="1">
      <c r="A1" s="1" t="inlineStr">
        <is>
          <t>Pine Mountain Mutual Water Company</t>
        </is>
      </c>
    </row>
    <row r="2">
      <c r="A2" s="2" t="inlineStr">
        <is>
          <t>Operational metrics - plant per acre, density, terrain</t>
        </is>
      </c>
    </row>
    <row r="3">
      <c r="A3" s="2" t="inlineStr">
        <is>
          <t>Entity ID: cawc_0088   |   Fiscal year ends December 31.</t>
        </is>
      </c>
    </row>
    <row r="5">
      <c r="A5" s="6" t="inlineStr">
        <is>
          <t>Connections per acre</t>
        </is>
      </c>
      <c r="B5" s="7" t="n"/>
      <c r="C5" s="7" t="n"/>
    </row>
    <row r="6">
      <c r="A6" s="16" t="inlineStr">
        <is>
          <t>Connections per acre</t>
        </is>
      </c>
      <c r="B6" s="15" t="n">
        <v>0.18</v>
      </c>
      <c r="C6" s="18" t="inlineStr">
        <is>
          <t>125 connections / 680.5 acres. CA State Water Board SABL SERVICE_CONNECTIONS; Geodesic area (WGS84 spherical excess) of the SABL service-area polygon.</t>
        </is>
      </c>
    </row>
  </sheetData>
  <mergeCells count="3">
    <mergeCell ref="A1:C1"/>
    <mergeCell ref="A3:C3"/>
    <mergeCell ref="A2:C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s>
  <sheetData>
    <row r="1">
      <c r="A1" s="1" t="inlineStr">
        <is>
          <t>Pine Mountain Mutual Water Company</t>
        </is>
      </c>
    </row>
    <row r="2">
      <c r="A2" s="2" t="inlineStr">
        <is>
          <t>Supply and weather indicators (DWR water year)</t>
        </is>
      </c>
    </row>
    <row r="3">
      <c r="A3" s="2" t="inlineStr">
        <is>
          <t>Entity ID: cawc_0088   |   Fiscal year ends December 31.</t>
        </is>
      </c>
    </row>
    <row r="5" ht="96" customHeight="1">
      <c r="A5" s="3" t="inlineStr">
        <is>
          <t>Reporting calendar: Different reporting periods. The DWR water year runs October 1 to September 30; this system's fiscal year ends December 31, so the two period ends are three months apart. Read the two side by side with that in mind. Neither series is recast: both are reported as filed. A water year is named for the calendar year it ends in, so WY2024 and FY2024 share a number without covering the same twelve months.</t>
        </is>
      </c>
    </row>
    <row r="7">
      <c r="A7" s="4" t="inlineStr">
        <is>
          <t>Indicator</t>
        </is>
      </c>
      <c r="B7" s="5" t="inlineStr">
        <is>
          <t>WY2021</t>
        </is>
      </c>
      <c r="C7" s="5" t="inlineStr">
        <is>
          <t>WY2022</t>
        </is>
      </c>
      <c r="D7" s="5" t="inlineStr">
        <is>
          <t>WY2023</t>
        </is>
      </c>
      <c r="E7" s="5" t="inlineStr">
        <is>
          <t>WY2024</t>
        </is>
      </c>
      <c r="F7" s="5" t="inlineStr">
        <is>
          <t>WY2025</t>
        </is>
      </c>
    </row>
    <row r="8">
      <c r="A8" s="8" t="inlineStr">
        <is>
          <t>Water-year type (Sacramento Valley)</t>
        </is>
      </c>
      <c r="B8" s="22" t="inlineStr">
        <is>
          <t>Critical</t>
        </is>
      </c>
      <c r="C8" s="22" t="inlineStr">
        <is>
          <t>Critical</t>
        </is>
      </c>
      <c r="D8" s="22" t="inlineStr">
        <is>
          <t>Wet</t>
        </is>
      </c>
      <c r="E8" s="22" t="inlineStr">
        <is>
          <t>Above Normal</t>
        </is>
      </c>
      <c r="F8" s="23" t="inlineStr">
        <is>
          <t>not reported</t>
        </is>
      </c>
    </row>
    <row r="9">
      <c r="A9" s="8" t="inlineStr">
        <is>
          <t>Peak drought, county County</t>
        </is>
      </c>
      <c r="B9" s="23" t="inlineStr">
        <is>
          <t>not reported</t>
        </is>
      </c>
      <c r="C9" s="23" t="inlineStr">
        <is>
          <t>not reported</t>
        </is>
      </c>
      <c r="D9" s="23" t="inlineStr">
        <is>
          <t>not reported</t>
        </is>
      </c>
      <c r="E9" s="23" t="inlineStr">
        <is>
          <t>not reported</t>
        </is>
      </c>
      <c r="F9" s="23" t="inlineStr">
        <is>
          <t>not reported</t>
        </is>
      </c>
    </row>
    <row r="10">
      <c r="A10" s="8" t="inlineStr">
        <is>
          <t>Precip, percent of normal (8-Station Index)</t>
        </is>
      </c>
      <c r="B10" s="22" t="inlineStr">
        <is>
          <t>48</t>
        </is>
      </c>
      <c r="C10" s="22" t="inlineStr">
        <is>
          <t>86</t>
        </is>
      </c>
      <c r="D10" s="22" t="inlineStr">
        <is>
          <t>133</t>
        </is>
      </c>
      <c r="E10" s="22" t="inlineStr">
        <is>
          <t>96</t>
        </is>
      </c>
      <c r="F10" s="22" t="inlineStr">
        <is>
          <t>113</t>
        </is>
      </c>
    </row>
    <row r="11">
      <c r="A11" s="8" t="inlineStr">
        <is>
          <t>Snowpack, April 1 percent of average</t>
        </is>
      </c>
      <c r="B11" s="22" t="inlineStr">
        <is>
          <t>59%</t>
        </is>
      </c>
      <c r="C11" s="22" t="inlineStr">
        <is>
          <t>38%</t>
        </is>
      </c>
      <c r="D11" s="22" t="inlineStr">
        <is>
          <t>237%</t>
        </is>
      </c>
      <c r="E11" s="22" t="inlineStr">
        <is>
          <t>110%</t>
        </is>
      </c>
      <c r="F11" s="22" t="inlineStr">
        <is>
          <t>96%</t>
        </is>
      </c>
    </row>
    <row r="12">
      <c r="A12" s="8" t="inlineStr">
        <is>
          <t>State Water Project allocation</t>
        </is>
      </c>
      <c r="B12" s="22" t="inlineStr">
        <is>
          <t>5%</t>
        </is>
      </c>
      <c r="C12" s="22" t="inlineStr">
        <is>
          <t>5%</t>
        </is>
      </c>
      <c r="D12" s="22" t="inlineStr">
        <is>
          <t>100%</t>
        </is>
      </c>
      <c r="E12" s="22" t="inlineStr">
        <is>
          <t>40%</t>
        </is>
      </c>
      <c r="F12" s="22" t="inlineStr">
        <is>
          <t>50%</t>
        </is>
      </c>
    </row>
  </sheetData>
  <mergeCells count="4">
    <mergeCell ref="A3:F3"/>
    <mergeCell ref="A2:F2"/>
    <mergeCell ref="A1:F1"/>
    <mergeCell ref="A5:F5"/>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B36"/>
  <sheetViews>
    <sheetView workbookViewId="0">
      <pane ySplit="4" topLeftCell="A5" activePane="bottomLeft" state="frozen"/>
      <selection pane="bottomLeft" activeCell="A1" sqref="A1"/>
    </sheetView>
  </sheetViews>
  <sheetFormatPr baseColWidth="8" defaultRowHeight="15"/>
  <cols>
    <col width="26" customWidth="1" min="1" max="1"/>
    <col width="104" customWidth="1" min="2" max="2"/>
  </cols>
  <sheetData>
    <row r="1">
      <c r="A1" s="1" t="inlineStr">
        <is>
          <t>Pine Mountain Mutual Water Company</t>
        </is>
      </c>
    </row>
    <row r="2">
      <c r="A2" s="2" t="inlineStr">
        <is>
          <t>How this was built - forensic lineage</t>
        </is>
      </c>
    </row>
    <row r="3">
      <c r="A3" s="2" t="inlineStr">
        <is>
          <t>Entity ID: cawc_0088   |   Fiscal year ends December 31.</t>
        </is>
      </c>
    </row>
    <row r="5" ht="171" customHeight="1">
      <c r="A5" s="3" t="inlineStr">
        <is>
          <t>A plain account of the forensic lineage behind the hard-to-source metrics: what sources were checked, what was found, what was derived, and what could not be built and why. Every figure marked DERIVED or IMPOSSIBLE above is traceable to a line here.</t>
        </is>
      </c>
    </row>
    <row r="7">
      <c r="A7" s="6" t="inlineStr">
        <is>
          <t>Water-sales revenue per customer - not reported</t>
        </is>
      </c>
      <c r="B7" s="7" t="n"/>
    </row>
    <row r="8" ht="72" customHeight="1">
      <c r="A8" s="16" t="inlineStr">
        <is>
          <t>Sources checked</t>
        </is>
      </c>
      <c r="B8" s="18" t="inlineStr">
        <is>
          <t>State Water Board eAR Section 8b (water-rate revenue B1.1/B1.2); State Water Board eAR Section 4 (connection count, same reporting year); audited financial statement (secondary cross-check, where published)</t>
        </is>
      </c>
    </row>
    <row r="9" ht="72" customHeight="1">
      <c r="A9" s="16" t="inlineStr">
        <is>
          <t>What was found</t>
        </is>
      </c>
      <c r="B9" s="18" t="inlineStr">
        <is>
          <t>The eAR Section 8b reports water-rate revenue for reporting year None, so this is a DIRECT filed figure; per customer it is divided by the eAR Section 4 connection count for the same reporting year, so numerator and denominator share the year.</t>
        </is>
      </c>
    </row>
    <row r="11">
      <c r="A11" s="6" t="inlineStr">
        <is>
          <t>Assessment revenue (residual) - IMPOSSIBLE</t>
        </is>
      </c>
      <c r="B11" s="7" t="n"/>
    </row>
    <row r="12" ht="72" customHeight="1">
      <c r="A12" s="16" t="inlineStr">
        <is>
          <t>Sources checked</t>
        </is>
      </c>
      <c r="B12" s="18" t="inlineStr">
        <is>
          <t>Form 990 Part VIII line 2 (program-service revenue); State Water Board eAR Section 8b (water-rate revenue B1.1/B1.2); eAR Section 8b filer comment (WRRevenueComments)</t>
        </is>
      </c>
    </row>
    <row r="13" ht="72" customHeight="1">
      <c r="A13" s="16" t="inlineStr">
        <is>
          <t>What was found</t>
        </is>
      </c>
      <c r="B13" s="18" t="inlineStr">
        <is>
          <t>A period-aligned residual cannot be computed for this filer, so the metric is rendered IMPOSSIBLE rather than guessed.</t>
        </is>
      </c>
    </row>
    <row r="14" ht="72" customHeight="1">
      <c r="A14" s="16" t="inlineStr">
        <is>
          <t>Caveat</t>
        </is>
      </c>
      <c r="B14" s="18" t="inlineStr">
        <is>
          <t>Not derivable. The eAR Section 8b is reporting year None while the Form 990 fiscal year ends None; the two period ends are not aligned, so a period-aligned residual cannot be computed.</t>
        </is>
      </c>
    </row>
    <row r="16">
      <c r="A16" s="6" t="inlineStr">
        <is>
          <t>Meter revenue - not reported</t>
        </is>
      </c>
      <c r="B16" s="7" t="n"/>
    </row>
    <row r="17" ht="72" customHeight="1">
      <c r="A17" s="16" t="inlineStr">
        <is>
          <t>Sources checked</t>
        </is>
      </c>
      <c r="B17" s="18" t="inlineStr">
        <is>
          <t>State Water Board eAR Section 8a (rate prices); State Water Board eAR Section 8b (revenue lines); audited financial statement</t>
        </is>
      </c>
    </row>
    <row r="18" ht="72" customHeight="1">
      <c r="A18" s="16" t="inlineStr">
        <is>
          <t>What was found</t>
        </is>
      </c>
      <c r="B18" s="18" t="inlineStr">
        <is>
          <t>The rate price exists in Section 8a but no revenue or tier volume is reported, and the base charge is already inside water sales.</t>
        </is>
      </c>
    </row>
    <row r="19" ht="72" customHeight="1">
      <c r="A19" s="16" t="inlineStr">
        <is>
          <t>Caveat</t>
        </is>
      </c>
      <c r="B19" s="18" t="inlineStr">
        <is>
          <t>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1">
      <c r="A21" s="6" t="inlineStr">
        <is>
          <t>Overage / tiered-penalty revenue - not reported</t>
        </is>
      </c>
      <c r="B21" s="7" t="n"/>
    </row>
    <row r="22" ht="72" customHeight="1">
      <c r="A22" s="16" t="inlineStr">
        <is>
          <t>Sources checked</t>
        </is>
      </c>
      <c r="B22" s="18" t="inlineStr">
        <is>
          <t>State Water Board eAR Section 8a (rate prices); State Water Board eAR Section 8b (revenue lines); audited financial statement</t>
        </is>
      </c>
    </row>
    <row r="23" ht="72" customHeight="1">
      <c r="A23" s="16" t="inlineStr">
        <is>
          <t>What was found</t>
        </is>
      </c>
      <c r="B23" s="18" t="inlineStr">
        <is>
          <t>The rate price exists in Section 8a but no revenue or tier volume is reported, and the base charge is already inside water sales.</t>
        </is>
      </c>
    </row>
    <row r="24" ht="72" customHeight="1">
      <c r="A24" s="16" t="inlineStr">
        <is>
          <t>Caveat</t>
        </is>
      </c>
      <c r="B24" s="18" t="inlineStr">
        <is>
          <t>The eAR Section 8a reports tiered/overage rate PRICES, but the filing carries no overage revenue and no tier consumption volume, and any overage billed is already inside the water-sales revenue. Building it would double-count. Not backed into from a total.</t>
        </is>
      </c>
    </row>
    <row r="26">
      <c r="A26" s="6" t="inlineStr">
        <is>
          <t>eAR Section 8b reporting-period basis - sourced</t>
        </is>
      </c>
      <c r="B26" s="7" t="n"/>
    </row>
    <row r="27" ht="72" customHeight="1">
      <c r="A27" s="16" t="inlineStr">
        <is>
          <t>Sources checked</t>
        </is>
      </c>
      <c r="B27" s="18" t="inlineStr">
        <is>
          <t>eAR Section 8b B0.1 (WRFinancialReportingPeriod); eAR Section 8b B0.2 (WRFiscalYearStartDate)</t>
        </is>
      </c>
    </row>
    <row r="28" ht="72" customHeight="1">
      <c r="A28" s="16" t="inlineStr">
        <is>
          <t>What was found</t>
        </is>
      </c>
      <c r="B28" s="18" t="inlineStr">
        <is>
          <t>The reporting basis (fiscal vs calendar year) is read from the filer's own B0.1/B0.2 answer and staged verbatim, never hardcoded, so the 990 comparison and the residual are period-aligned.</t>
        </is>
      </c>
    </row>
    <row r="30">
      <c r="A30" s="6" t="inlineStr">
        <is>
          <t>Member (shareholder) count denominator - not reported</t>
        </is>
      </c>
      <c r="B30" s="7" t="n"/>
    </row>
    <row r="31" ht="72" customHeight="1">
      <c r="A31" s="16" t="inlineStr">
        <is>
          <t>Sources checked</t>
        </is>
      </c>
      <c r="B31" s="18" t="inlineStr">
        <is>
          <t>Form 990 (no member count stated); company website</t>
        </is>
      </c>
    </row>
    <row r="32" ht="72" customHeight="1">
      <c r="A32" s="16" t="inlineStr">
        <is>
          <t>What was found</t>
        </is>
      </c>
      <c r="B32" s="18" t="inlineStr">
        <is>
          <t>No filing states a member/shareholder count, so the per-member unit economics read not reported rather than borrowing the connection count.</t>
        </is>
      </c>
    </row>
    <row r="34">
      <c r="A34" s="6" t="inlineStr">
        <is>
          <t>Water volume delivered (acre-feet) - not reported</t>
        </is>
      </c>
      <c r="B34" s="7" t="n"/>
    </row>
    <row r="35" ht="72" customHeight="1">
      <c r="A35" s="16" t="inlineStr">
        <is>
          <t>Sources checked</t>
        </is>
      </c>
      <c r="B35" s="18" t="inlineStr">
        <is>
          <t>Form 990 (not in the filing); Consumer Confidence Report; eAR Section 6 (PRA-gated)</t>
        </is>
      </c>
    </row>
    <row r="36" ht="72" customHeight="1">
      <c r="A36" s="16" t="inlineStr">
        <is>
          <t>What was found</t>
        </is>
      </c>
      <c r="B36" s="18" t="inlineStr">
        <is>
          <t>Volume delivered in acre-feet is not in the Form 990 and the CCR states only a source mix, so the per-acre-foot metrics read not reported; the eAR Section 6 is named as the source still needed.</t>
        </is>
      </c>
    </row>
  </sheetData>
  <mergeCells count="4">
    <mergeCell ref="A3:B3"/>
    <mergeCell ref="A2:B2"/>
    <mergeCell ref="A1:B1"/>
    <mergeCell ref="A5:B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B14"/>
  <sheetViews>
    <sheetView workbookViewId="0">
      <pane ySplit="4" topLeftCell="A5" activePane="bottomLeft" state="frozen"/>
      <selection pane="bottomLeft" activeCell="A1" sqref="A1"/>
    </sheetView>
  </sheetViews>
  <sheetFormatPr baseColWidth="8" defaultRowHeight="15"/>
  <cols>
    <col width="32" customWidth="1" min="1" max="1"/>
    <col width="96" customWidth="1" min="2" max="2"/>
  </cols>
  <sheetData>
    <row r="1">
      <c r="A1" s="1" t="inlineStr">
        <is>
          <t>Pine Mountain Mutual Water Company</t>
        </is>
      </c>
    </row>
    <row r="2">
      <c r="A2" s="2" t="inlineStr">
        <is>
          <t>Anomaly Flags (automated; kept separate from the clean statements)</t>
        </is>
      </c>
    </row>
    <row r="3">
      <c r="A3" s="2" t="inlineStr">
        <is>
          <t>Entity ID: cawc_0088   |   Fiscal year ends December 31.</t>
        </is>
      </c>
    </row>
    <row r="5" ht="42" customHeight="1">
      <c r="A5" s="3" t="inlineStr">
        <is>
          <t>Material irregularities found automatically in the filed financials by the Hydronomics anomaly flagger. Each flag has two clearly separated layers. WHAT is mechanical, certain, and sourced: the exact filed lines, years, and amounts, carried as filed and never reconciled. WHY is attempted: the filing's own narrative is checked first, and when it states no reason a single best-guess hypothesis is shown, clearly labelled as a guess that is not in the filing and is not a verified figure.</t>
        </is>
      </c>
    </row>
    <row r="7">
      <c r="A7" s="6" t="inlineStr">
        <is>
          <t>Flag: FY2021 opening net assets differ from FY2020 closing</t>
        </is>
      </c>
      <c r="B7" s="7" t="n"/>
    </row>
    <row r="8">
      <c r="A8" s="16" t="inlineStr">
        <is>
          <t>Affected figure</t>
        </is>
      </c>
      <c r="B8" s="18" t="inlineStr">
        <is>
          <t>Net assets FY2021</t>
        </is>
      </c>
    </row>
    <row r="9">
      <c r="A9" s="16" t="inlineStr">
        <is>
          <t>Confidence</t>
        </is>
      </c>
      <c r="B9" s="18" t="inlineStr">
        <is>
          <t>high</t>
        </is>
      </c>
    </row>
    <row r="10" ht="72" customHeight="1">
      <c r="A10" s="16" t="inlineStr">
        <is>
          <t>What happened (filed, sourced)</t>
        </is>
      </c>
      <c r="B10" s="18" t="inlineStr">
        <is>
          <t>The company filed $386,216 as its beginning net assets for FY2021 and $429,451 as its ending net assets for FY2020, a difference of $-43,235. Both figures are carried exactly as each year's own filing reports them. Neither is adjusted to match the other.</t>
        </is>
      </c>
    </row>
    <row r="11" ht="54" customHeight="1">
      <c r="A11" s="16" t="inlineStr">
        <is>
          <t>Source lines</t>
        </is>
      </c>
      <c r="B11" s="18" t="inlineStr">
        <is>
          <t>- FY2021 net assets, beginning of year (as filed): $386,216
- FY2020 net assets, end of year (as filed): $429,451
- Difference: $-43,235</t>
        </is>
      </c>
    </row>
    <row r="12" ht="72" customHeight="1">
      <c r="A12" s="16" t="inlineStr">
        <is>
          <t>Confidence reasoning</t>
        </is>
      </c>
      <c r="B12" s="18" t="inlineStr">
        <is>
          <t>Both are direct filed line items read from two different returns, so the difference between them is high confidence as an observation. What caused it is not stated on either form.</t>
        </is>
      </c>
    </row>
    <row r="13">
      <c r="A13" s="16" t="inlineStr">
        <is>
          <t>Why (not stated in the filing)</t>
        </is>
      </c>
      <c r="B13" s="18" t="inlineStr">
        <is>
          <t>The filing does not state a reason.</t>
        </is>
      </c>
    </row>
    <row r="14" ht="60" customHeight="1">
      <c r="A14" s="16" t="inlineStr">
        <is>
          <t>Possible explanation (guess)</t>
        </is>
      </c>
      <c r="B14" s="24" t="inlineStr">
        <is>
          <t>Possible explanation, not stated in filing: a beginning balance that differs from the prior year's ending balance usually means the earlier year was restated, or a balance-sheet line was reclassified between the two filings. This is an educated guess, not something either filing says.</t>
        </is>
      </c>
    </row>
  </sheetData>
  <mergeCells count="4">
    <mergeCell ref="A3:B3"/>
    <mergeCell ref="A2:B2"/>
    <mergeCell ref="A1:B1"/>
    <mergeCell ref="A5:B5"/>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146"/>
  <sheetViews>
    <sheetView workbookViewId="0">
      <pane ySplit="5" topLeftCell="A6" activePane="bottomLeft" state="frozen"/>
      <selection pane="bottomLeft" activeCell="A1" sqref="A1"/>
    </sheetView>
  </sheetViews>
  <sheetFormatPr baseColWidth="8" defaultRowHeight="15"/>
  <cols>
    <col width="22" customWidth="1" min="1" max="1"/>
    <col width="10" customWidth="1" min="2" max="2"/>
    <col width="40" customWidth="1" min="3" max="3"/>
    <col width="16" customWidth="1" min="4" max="4"/>
    <col width="46" customWidth="1" min="5" max="5"/>
    <col width="12" customWidth="1" min="6" max="6"/>
    <col width="18" customWidth="1" min="7" max="7"/>
  </cols>
  <sheetData>
    <row r="1">
      <c r="A1" s="1" t="inlineStr">
        <is>
          <t>Pine Mountain Mutual Water Company</t>
        </is>
      </c>
    </row>
    <row r="2">
      <c r="A2" s="2" t="inlineStr">
        <is>
          <t>Sources &amp; audit - full provenance and tie-outs (kept off the statements so they read clean)</t>
        </is>
      </c>
    </row>
    <row r="3">
      <c r="A3" s="2" t="inlineStr">
        <is>
          <t>Entity ID: cawc_0088   |   Fiscal year ends December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25" t="inlineStr">
        <is>
          <t>A. Filing provenance (one row per staged extraction)</t>
        </is>
      </c>
      <c r="B8" s="7" t="n"/>
      <c r="C8" s="7" t="n"/>
      <c r="D8" s="7" t="n"/>
      <c r="E8" s="7" t="n"/>
      <c r="F8" s="7" t="n"/>
      <c r="G8" s="7" t="n"/>
      <c r="H8" s="7" t="n"/>
      <c r="I8" s="7" t="n"/>
      <c r="J8" s="7" t="n"/>
      <c r="K8" s="7" t="n"/>
    </row>
    <row r="9">
      <c r="A9" s="5" t="inlineStr">
        <is>
          <t>Fiscal year</t>
        </is>
      </c>
      <c r="B9" s="5" t="inlineStr">
        <is>
          <t>Period end</t>
        </is>
      </c>
      <c r="C9" s="5" t="inlineStr">
        <is>
          <t>Filing type</t>
        </is>
      </c>
      <c r="D9" s="5" t="inlineStr">
        <is>
          <t>Confidence</t>
        </is>
      </c>
      <c r="E9" s="5" t="inlineStr">
        <is>
          <t>Extraction ID</t>
        </is>
      </c>
      <c r="F9" s="5" t="inlineStr">
        <is>
          <t>Object ID</t>
        </is>
      </c>
      <c r="G9" s="5" t="inlineStr">
        <is>
          <t>Extracted by</t>
        </is>
      </c>
      <c r="H9" s="5" t="inlineStr">
        <is>
          <t>Extracted at</t>
        </is>
      </c>
      <c r="I9" s="5" t="inlineStr">
        <is>
          <t>Source URL</t>
        </is>
      </c>
    </row>
    <row r="10">
      <c r="A10" s="22" t="inlineStr">
        <is>
          <t>FY2020</t>
        </is>
      </c>
      <c r="B10" s="8" t="inlineStr">
        <is>
          <t>2020-12-31</t>
        </is>
      </c>
      <c r="C10" s="8" t="inlineStr">
        <is>
          <t>990-EZ</t>
        </is>
      </c>
      <c r="D10" s="8" t="inlineStr">
        <is>
          <t>high</t>
        </is>
      </c>
      <c r="E10" s="8" t="inlineStr">
        <is>
          <t>c3cb2266-09d3-4306-b5bd-1d65ed569fde</t>
        </is>
      </c>
      <c r="F10" s="8" t="inlineStr">
        <is>
          <t>202130749349200213</t>
        </is>
      </c>
      <c r="G10" s="8" t="inlineStr">
        <is>
          <t>claude-opus-5</t>
        </is>
      </c>
      <c r="H10" s="8" t="inlineStr">
        <is>
          <t>2026-09-21T02:50:02+00:00</t>
        </is>
      </c>
      <c r="I10" s="8" t="inlineStr">
        <is>
          <t>https://apps.irs.gov/pub/epostcard/990/xml/2021/2021_TEOS_XML_01A.zip#202130749349200213_public.xml</t>
        </is>
      </c>
    </row>
    <row r="11">
      <c r="A11" s="22" t="inlineStr">
        <is>
          <t>FY2021</t>
        </is>
      </c>
      <c r="B11" s="8" t="inlineStr">
        <is>
          <t>2021-12-31</t>
        </is>
      </c>
      <c r="C11" s="8" t="inlineStr">
        <is>
          <t>990-EZ</t>
        </is>
      </c>
      <c r="D11" s="8" t="inlineStr">
        <is>
          <t>low</t>
        </is>
      </c>
      <c r="E11" s="8" t="inlineStr">
        <is>
          <t>acf1deec-fa52-4f55-bd46-ededb90501e1</t>
        </is>
      </c>
      <c r="F11" s="8" t="inlineStr">
        <is>
          <t>202200739349200345</t>
        </is>
      </c>
      <c r="G11" s="8" t="inlineStr">
        <is>
          <t>claude-opus-5</t>
        </is>
      </c>
      <c r="H11" s="8" t="inlineStr">
        <is>
          <t>2026-09-21T02:50:02+00:00</t>
        </is>
      </c>
      <c r="I11" s="8" t="inlineStr">
        <is>
          <t>https://apps.irs.gov/pub/epostcard/990/xml/2022/2022_TEOS_XML_01A.zip#202200739349200345_public.xml</t>
        </is>
      </c>
    </row>
    <row r="12">
      <c r="A12" s="22" t="inlineStr">
        <is>
          <t>FY2022</t>
        </is>
      </c>
      <c r="B12" s="8" t="inlineStr">
        <is>
          <t>2022-12-31</t>
        </is>
      </c>
      <c r="C12" s="8" t="inlineStr">
        <is>
          <t>990-EZ</t>
        </is>
      </c>
      <c r="D12" s="8" t="inlineStr">
        <is>
          <t>high</t>
        </is>
      </c>
      <c r="E12" s="8" t="inlineStr">
        <is>
          <t>4abaec00-8e2b-45b9-a7b2-7dd1d6c47e9a</t>
        </is>
      </c>
      <c r="F12" s="8" t="inlineStr">
        <is>
          <t>202310699349201026</t>
        </is>
      </c>
      <c r="G12" s="8" t="inlineStr">
        <is>
          <t>claude-opus-5</t>
        </is>
      </c>
      <c r="H12" s="8" t="inlineStr">
        <is>
          <t>2026-09-21T02:50:02+00:00</t>
        </is>
      </c>
      <c r="I12" s="8" t="inlineStr">
        <is>
          <t>https://apps.irs.gov/pub/epostcard/990/xml/2023/2023_TEOS_XML_03A.zip#202310699349201026_public.xml</t>
        </is>
      </c>
    </row>
    <row r="13">
      <c r="A13" s="22" t="inlineStr">
        <is>
          <t>FY2023</t>
        </is>
      </c>
      <c r="B13" s="8" t="inlineStr">
        <is>
          <t>2023-12-31</t>
        </is>
      </c>
      <c r="C13" s="8" t="inlineStr">
        <is>
          <t>990-EZ</t>
        </is>
      </c>
      <c r="D13" s="8" t="inlineStr">
        <is>
          <t>high</t>
        </is>
      </c>
      <c r="E13" s="8" t="inlineStr">
        <is>
          <t>f9c5921c-f320-4b60-b478-f1f0427b1e6c</t>
        </is>
      </c>
      <c r="F13" s="8" t="inlineStr">
        <is>
          <t>202410869349201221</t>
        </is>
      </c>
      <c r="G13" s="8" t="inlineStr">
        <is>
          <t>claude-opus-5</t>
        </is>
      </c>
      <c r="H13" s="8" t="inlineStr">
        <is>
          <t>2026-09-21T02:50:02+00:00</t>
        </is>
      </c>
      <c r="I13" s="8" t="inlineStr">
        <is>
          <t>https://apps.irs.gov/pub/epostcard/990/xml/2024/2024_TEOS_XML_04A.zip#202410869349201221_public.xml</t>
        </is>
      </c>
    </row>
    <row r="14">
      <c r="A14" s="22" t="inlineStr">
        <is>
          <t>FY2024</t>
        </is>
      </c>
      <c r="B14" s="8" t="inlineStr">
        <is>
          <t>2024-12-31</t>
        </is>
      </c>
      <c r="C14" s="8" t="inlineStr">
        <is>
          <t>990-EZ</t>
        </is>
      </c>
      <c r="D14" s="8" t="inlineStr">
        <is>
          <t>high</t>
        </is>
      </c>
      <c r="E14" s="8" t="inlineStr">
        <is>
          <t>3278aa8f-daa4-4a39-9d8e-a46557222101</t>
        </is>
      </c>
      <c r="F14" s="8" t="inlineStr">
        <is>
          <t>202530849349200708</t>
        </is>
      </c>
      <c r="G14" s="8" t="inlineStr">
        <is>
          <t>claude-opus-5</t>
        </is>
      </c>
      <c r="H14" s="8" t="inlineStr">
        <is>
          <t>2026-09-21T02:50:02+00:00</t>
        </is>
      </c>
      <c r="I14" s="8" t="inlineStr">
        <is>
          <t>https://apps.irs.gov/pub/epostcard/990/xml/2025/2025_TEOS_XML_04A.zip#202530849349200708_public.xml</t>
        </is>
      </c>
    </row>
    <row r="15">
      <c r="A15" s="22" t="inlineStr">
        <is>
          <t>FY2025</t>
        </is>
      </c>
      <c r="B15" s="8" t="inlineStr">
        <is>
          <t>2025-12-31</t>
        </is>
      </c>
      <c r="C15" s="8" t="inlineStr">
        <is>
          <t>990-EZ</t>
        </is>
      </c>
      <c r="D15" s="8" t="inlineStr">
        <is>
          <t>high</t>
        </is>
      </c>
      <c r="E15" s="8" t="inlineStr">
        <is>
          <t>95cfa8fd-d00c-4631-95d4-93550d0036e9</t>
        </is>
      </c>
      <c r="F15" s="8" t="inlineStr">
        <is>
          <t>202600719349201805</t>
        </is>
      </c>
      <c r="G15" s="8" t="inlineStr">
        <is>
          <t>claude-opus-5</t>
        </is>
      </c>
      <c r="H15" s="8" t="inlineStr">
        <is>
          <t>2026-09-21T02:50:02+00:00</t>
        </is>
      </c>
      <c r="I15" s="8" t="inlineStr">
        <is>
          <t>https://apps.irs.gov/pub/epostcard/990/xml/2026/2026_TEOS_XML_03A.zip#202600719349201805_public.xml</t>
        </is>
      </c>
    </row>
    <row r="17">
      <c r="A17" s="25" t="inlineStr">
        <is>
          <t>B. Figure citations (every figure on the statement tabs, keyed by cell)</t>
        </is>
      </c>
      <c r="B17" s="7" t="n"/>
      <c r="C17" s="7" t="n"/>
      <c r="D17" s="7" t="n"/>
      <c r="E17" s="7" t="n"/>
      <c r="F17" s="7" t="n"/>
      <c r="G17" s="7" t="n"/>
      <c r="H17" s="7" t="n"/>
      <c r="I17" s="7" t="n"/>
      <c r="J17" s="7" t="n"/>
      <c r="K17" s="7" t="n"/>
    </row>
    <row r="18">
      <c r="A18" s="5" t="inlineStr">
        <is>
          <t>Tab</t>
        </is>
      </c>
      <c r="B18" s="5" t="inlineStr">
        <is>
          <t>Cell</t>
        </is>
      </c>
      <c r="C18" s="5" t="inlineStr">
        <is>
          <t>Line item</t>
        </is>
      </c>
      <c r="D18" s="5" t="inlineStr">
        <is>
          <t>Form 990 line</t>
        </is>
      </c>
      <c r="E18" s="5" t="inlineStr">
        <is>
          <t>Key path</t>
        </is>
      </c>
      <c r="F18" s="5" t="inlineStr">
        <is>
          <t>Confidence</t>
        </is>
      </c>
      <c r="G18" s="5" t="inlineStr">
        <is>
          <t>As filed</t>
        </is>
      </c>
    </row>
    <row r="19">
      <c r="A19" s="8" t="inlineStr">
        <is>
          <t>Form 990-EZ Parts I &amp; II</t>
        </is>
      </c>
      <c r="B19" s="8" t="inlineStr">
        <is>
          <t>C7</t>
        </is>
      </c>
      <c r="C19" s="8" t="inlineStr">
        <is>
          <t>2. Program service revenue</t>
        </is>
      </c>
      <c r="D19" s="8" t="inlineStr">
        <is>
          <t>Part I line 2</t>
        </is>
      </c>
      <c r="E19" s="8" t="inlineStr">
        <is>
          <t>part_i_revenue_expenses.program_service_revenue</t>
        </is>
      </c>
      <c r="F19" s="8" t="inlineStr">
        <is>
          <t>high</t>
        </is>
      </c>
      <c r="G19" s="9" t="n">
        <v>155422</v>
      </c>
    </row>
    <row r="20">
      <c r="A20" s="8" t="inlineStr">
        <is>
          <t>Form 990-EZ Parts I &amp; II</t>
        </is>
      </c>
      <c r="B20" s="8" t="inlineStr">
        <is>
          <t>D7</t>
        </is>
      </c>
      <c r="C20" s="8" t="inlineStr">
        <is>
          <t>2. Program service revenue</t>
        </is>
      </c>
      <c r="D20" s="8" t="inlineStr">
        <is>
          <t>Part I line 2</t>
        </is>
      </c>
      <c r="E20" s="8" t="inlineStr">
        <is>
          <t>part_i_revenue_expenses.program_service_revenue</t>
        </is>
      </c>
      <c r="F20" s="8" t="inlineStr">
        <is>
          <t>high</t>
        </is>
      </c>
      <c r="G20" s="9" t="n">
        <v>157949</v>
      </c>
    </row>
    <row r="21">
      <c r="A21" s="8" t="inlineStr">
        <is>
          <t>Form 990-EZ Parts I &amp; II</t>
        </is>
      </c>
      <c r="B21" s="8" t="inlineStr">
        <is>
          <t>E7</t>
        </is>
      </c>
      <c r="C21" s="8" t="inlineStr">
        <is>
          <t>2. Program service revenue</t>
        </is>
      </c>
      <c r="D21" s="8" t="inlineStr">
        <is>
          <t>Part I line 2</t>
        </is>
      </c>
      <c r="E21" s="8" t="inlineStr">
        <is>
          <t>part_i_revenue_expenses.program_service_revenue</t>
        </is>
      </c>
      <c r="F21" s="8" t="inlineStr">
        <is>
          <t>high</t>
        </is>
      </c>
      <c r="G21" s="9" t="n">
        <v>167884</v>
      </c>
    </row>
    <row r="22">
      <c r="A22" s="8" t="inlineStr">
        <is>
          <t>Form 990-EZ Parts I &amp; II</t>
        </is>
      </c>
      <c r="B22" s="8" t="inlineStr">
        <is>
          <t>F7</t>
        </is>
      </c>
      <c r="C22" s="8" t="inlineStr">
        <is>
          <t>2. Program service revenue</t>
        </is>
      </c>
      <c r="D22" s="8" t="inlineStr">
        <is>
          <t>Part I line 2</t>
        </is>
      </c>
      <c r="E22" s="8" t="inlineStr">
        <is>
          <t>part_i_revenue_expenses.program_service_revenue</t>
        </is>
      </c>
      <c r="F22" s="8" t="inlineStr">
        <is>
          <t>high</t>
        </is>
      </c>
      <c r="G22" s="9" t="n">
        <v>188480</v>
      </c>
    </row>
    <row r="23">
      <c r="A23" s="8" t="inlineStr">
        <is>
          <t>Form 990-EZ Parts I &amp; II</t>
        </is>
      </c>
      <c r="B23" s="8" t="inlineStr">
        <is>
          <t>G7</t>
        </is>
      </c>
      <c r="C23" s="8" t="inlineStr">
        <is>
          <t>2. Program service revenue</t>
        </is>
      </c>
      <c r="D23" s="8" t="inlineStr">
        <is>
          <t>Part I line 2</t>
        </is>
      </c>
      <c r="E23" s="8" t="inlineStr">
        <is>
          <t>part_i_revenue_expenses.program_service_revenue</t>
        </is>
      </c>
      <c r="F23" s="8" t="inlineStr">
        <is>
          <t>high</t>
        </is>
      </c>
      <c r="G23" s="9" t="n">
        <v>180572</v>
      </c>
    </row>
    <row r="24">
      <c r="A24" s="8" t="inlineStr">
        <is>
          <t>Form 990-EZ Parts I &amp; II</t>
        </is>
      </c>
      <c r="B24" s="8" t="inlineStr">
        <is>
          <t>B8</t>
        </is>
      </c>
      <c r="C24" s="8" t="inlineStr">
        <is>
          <t>3. Membership dues and assessments</t>
        </is>
      </c>
      <c r="D24" s="8" t="inlineStr">
        <is>
          <t>Part I line 3</t>
        </is>
      </c>
      <c r="E24" s="8" t="inlineStr">
        <is>
          <t>part_i_revenue_expenses.membership_dues</t>
        </is>
      </c>
      <c r="F24" s="8" t="inlineStr">
        <is>
          <t>high</t>
        </is>
      </c>
      <c r="G24" s="9" t="n">
        <v>155105</v>
      </c>
    </row>
    <row r="25">
      <c r="A25" s="8" t="inlineStr">
        <is>
          <t>Form 990-EZ Parts I &amp; II</t>
        </is>
      </c>
      <c r="B25" s="8" t="inlineStr">
        <is>
          <t>B9</t>
        </is>
      </c>
      <c r="C25" s="8" t="inlineStr">
        <is>
          <t>4. Investment income</t>
        </is>
      </c>
      <c r="D25" s="8" t="inlineStr">
        <is>
          <t>Part I line 4</t>
        </is>
      </c>
      <c r="E25" s="8" t="inlineStr">
        <is>
          <t>part_i_revenue_expenses.investment_income</t>
        </is>
      </c>
      <c r="F25" s="8" t="inlineStr">
        <is>
          <t>high</t>
        </is>
      </c>
      <c r="G25" s="9" t="n">
        <v>94</v>
      </c>
    </row>
    <row r="26">
      <c r="A26" s="8" t="inlineStr">
        <is>
          <t>Form 990-EZ Parts I &amp; II</t>
        </is>
      </c>
      <c r="B26" s="8" t="inlineStr">
        <is>
          <t>C9</t>
        </is>
      </c>
      <c r="C26" s="8" t="inlineStr">
        <is>
          <t>4. Investment income</t>
        </is>
      </c>
      <c r="D26" s="8" t="inlineStr">
        <is>
          <t>Part I line 4</t>
        </is>
      </c>
      <c r="E26" s="8" t="inlineStr">
        <is>
          <t>part_i_revenue_expenses.investment_income</t>
        </is>
      </c>
      <c r="F26" s="8" t="inlineStr">
        <is>
          <t>high</t>
        </is>
      </c>
      <c r="G26" s="9" t="n">
        <v>94</v>
      </c>
    </row>
    <row r="27">
      <c r="A27" s="8" t="inlineStr">
        <is>
          <t>Form 990-EZ Parts I &amp; II</t>
        </is>
      </c>
      <c r="B27" s="8" t="inlineStr">
        <is>
          <t>D9</t>
        </is>
      </c>
      <c r="C27" s="8" t="inlineStr">
        <is>
          <t>4. Investment income</t>
        </is>
      </c>
      <c r="D27" s="8" t="inlineStr">
        <is>
          <t>Part I line 4</t>
        </is>
      </c>
      <c r="E27" s="8" t="inlineStr">
        <is>
          <t>part_i_revenue_expenses.investment_income</t>
        </is>
      </c>
      <c r="F27" s="8" t="inlineStr">
        <is>
          <t>high</t>
        </is>
      </c>
      <c r="G27" s="9" t="n">
        <v>99</v>
      </c>
    </row>
    <row r="28">
      <c r="A28" s="8" t="inlineStr">
        <is>
          <t>Form 990-EZ Parts I &amp; II</t>
        </is>
      </c>
      <c r="B28" s="8" t="inlineStr">
        <is>
          <t>E9</t>
        </is>
      </c>
      <c r="C28" s="8" t="inlineStr">
        <is>
          <t>4. Investment income</t>
        </is>
      </c>
      <c r="D28" s="8" t="inlineStr">
        <is>
          <t>Part I line 4</t>
        </is>
      </c>
      <c r="E28" s="8" t="inlineStr">
        <is>
          <t>part_i_revenue_expenses.investment_income</t>
        </is>
      </c>
      <c r="F28" s="8" t="inlineStr">
        <is>
          <t>high</t>
        </is>
      </c>
      <c r="G28" s="9" t="n">
        <v>3073</v>
      </c>
    </row>
    <row r="29">
      <c r="A29" s="8" t="inlineStr">
        <is>
          <t>Form 990-EZ Parts I &amp; II</t>
        </is>
      </c>
      <c r="B29" s="8" t="inlineStr">
        <is>
          <t>F9</t>
        </is>
      </c>
      <c r="C29" s="8" t="inlineStr">
        <is>
          <t>4. Investment income</t>
        </is>
      </c>
      <c r="D29" s="8" t="inlineStr">
        <is>
          <t>Part I line 4</t>
        </is>
      </c>
      <c r="E29" s="8" t="inlineStr">
        <is>
          <t>part_i_revenue_expenses.investment_income</t>
        </is>
      </c>
      <c r="F29" s="8" t="inlineStr">
        <is>
          <t>high</t>
        </is>
      </c>
      <c r="G29" s="9" t="n">
        <v>4643</v>
      </c>
    </row>
    <row r="30">
      <c r="A30" s="8" t="inlineStr">
        <is>
          <t>Form 990-EZ Parts I &amp; II</t>
        </is>
      </c>
      <c r="B30" s="8" t="inlineStr">
        <is>
          <t>G9</t>
        </is>
      </c>
      <c r="C30" s="8" t="inlineStr">
        <is>
          <t>4. Investment income</t>
        </is>
      </c>
      <c r="D30" s="8" t="inlineStr">
        <is>
          <t>Part I line 4</t>
        </is>
      </c>
      <c r="E30" s="8" t="inlineStr">
        <is>
          <t>part_i_revenue_expenses.investment_income</t>
        </is>
      </c>
      <c r="F30" s="8" t="inlineStr">
        <is>
          <t>high</t>
        </is>
      </c>
      <c r="G30" s="9" t="n">
        <v>4988</v>
      </c>
    </row>
    <row r="31">
      <c r="A31" s="8" t="inlineStr">
        <is>
          <t>Form 990-EZ Parts I &amp; II</t>
        </is>
      </c>
      <c r="B31" s="8" t="inlineStr">
        <is>
          <t>B10</t>
        </is>
      </c>
      <c r="C31" s="8" t="inlineStr">
        <is>
          <t>9. Total revenue</t>
        </is>
      </c>
      <c r="D31" s="8" t="inlineStr">
        <is>
          <t>Part I line 9</t>
        </is>
      </c>
      <c r="E31" s="8" t="inlineStr">
        <is>
          <t>part_i_revenue_expenses.total_revenue</t>
        </is>
      </c>
      <c r="F31" s="8" t="inlineStr">
        <is>
          <t>high</t>
        </is>
      </c>
      <c r="G31" s="9" t="n">
        <v>155199</v>
      </c>
    </row>
    <row r="32">
      <c r="A32" s="8" t="inlineStr">
        <is>
          <t>Form 990-EZ Parts I &amp; II</t>
        </is>
      </c>
      <c r="B32" s="8" t="inlineStr">
        <is>
          <t>C10</t>
        </is>
      </c>
      <c r="C32" s="8" t="inlineStr">
        <is>
          <t>9. Total revenue</t>
        </is>
      </c>
      <c r="D32" s="8" t="inlineStr">
        <is>
          <t>Part I line 9</t>
        </is>
      </c>
      <c r="E32" s="8" t="inlineStr">
        <is>
          <t>part_i_revenue_expenses.total_revenue</t>
        </is>
      </c>
      <c r="F32" s="8" t="inlineStr">
        <is>
          <t>high</t>
        </is>
      </c>
      <c r="G32" s="9" t="n">
        <v>155516</v>
      </c>
    </row>
    <row r="33">
      <c r="A33" s="8" t="inlineStr">
        <is>
          <t>Form 990-EZ Parts I &amp; II</t>
        </is>
      </c>
      <c r="B33" s="8" t="inlineStr">
        <is>
          <t>D10</t>
        </is>
      </c>
      <c r="C33" s="8" t="inlineStr">
        <is>
          <t>9. Total revenue</t>
        </is>
      </c>
      <c r="D33" s="8" t="inlineStr">
        <is>
          <t>Part I line 9</t>
        </is>
      </c>
      <c r="E33" s="8" t="inlineStr">
        <is>
          <t>part_i_revenue_expenses.total_revenue</t>
        </is>
      </c>
      <c r="F33" s="8" t="inlineStr">
        <is>
          <t>high</t>
        </is>
      </c>
      <c r="G33" s="9" t="n">
        <v>158048</v>
      </c>
    </row>
    <row r="34">
      <c r="A34" s="8" t="inlineStr">
        <is>
          <t>Form 990-EZ Parts I &amp; II</t>
        </is>
      </c>
      <c r="B34" s="8" t="inlineStr">
        <is>
          <t>E10</t>
        </is>
      </c>
      <c r="C34" s="8" t="inlineStr">
        <is>
          <t>9. Total revenue</t>
        </is>
      </c>
      <c r="D34" s="8" t="inlineStr">
        <is>
          <t>Part I line 9</t>
        </is>
      </c>
      <c r="E34" s="8" t="inlineStr">
        <is>
          <t>part_i_revenue_expenses.total_revenue</t>
        </is>
      </c>
      <c r="F34" s="8" t="inlineStr">
        <is>
          <t>high</t>
        </is>
      </c>
      <c r="G34" s="9" t="n">
        <v>170957</v>
      </c>
    </row>
    <row r="35">
      <c r="A35" s="8" t="inlineStr">
        <is>
          <t>Form 990-EZ Parts I &amp; II</t>
        </is>
      </c>
      <c r="B35" s="8" t="inlineStr">
        <is>
          <t>F10</t>
        </is>
      </c>
      <c r="C35" s="8" t="inlineStr">
        <is>
          <t>9. Total revenue</t>
        </is>
      </c>
      <c r="D35" s="8" t="inlineStr">
        <is>
          <t>Part I line 9</t>
        </is>
      </c>
      <c r="E35" s="8" t="inlineStr">
        <is>
          <t>part_i_revenue_expenses.total_revenue</t>
        </is>
      </c>
      <c r="F35" s="8" t="inlineStr">
        <is>
          <t>high</t>
        </is>
      </c>
      <c r="G35" s="9" t="n">
        <v>193123</v>
      </c>
    </row>
    <row r="36">
      <c r="A36" s="8" t="inlineStr">
        <is>
          <t>Form 990-EZ Parts I &amp; II</t>
        </is>
      </c>
      <c r="B36" s="8" t="inlineStr">
        <is>
          <t>G10</t>
        </is>
      </c>
      <c r="C36" s="8" t="inlineStr">
        <is>
          <t>9. Total revenue</t>
        </is>
      </c>
      <c r="D36" s="8" t="inlineStr">
        <is>
          <t>Part I line 9</t>
        </is>
      </c>
      <c r="E36" s="8" t="inlineStr">
        <is>
          <t>part_i_revenue_expenses.total_revenue</t>
        </is>
      </c>
      <c r="F36" s="8" t="inlineStr">
        <is>
          <t>high</t>
        </is>
      </c>
      <c r="G36" s="9" t="n">
        <v>185560</v>
      </c>
    </row>
    <row r="37">
      <c r="A37" s="8" t="inlineStr">
        <is>
          <t>Form 990-EZ Parts I &amp; II</t>
        </is>
      </c>
      <c r="B37" s="8" t="inlineStr">
        <is>
          <t>B13</t>
        </is>
      </c>
      <c r="C37" s="8" t="inlineStr">
        <is>
          <t>12. Salaries, other compensation, benefits</t>
        </is>
      </c>
      <c r="D37" s="8" t="inlineStr">
        <is>
          <t>Part I line 12</t>
        </is>
      </c>
      <c r="E37" s="8" t="inlineStr">
        <is>
          <t>part_i_revenue_expenses.salaries_other_comp_benefits</t>
        </is>
      </c>
      <c r="F37" s="8" t="inlineStr">
        <is>
          <t>high</t>
        </is>
      </c>
      <c r="G37" s="9" t="n">
        <v>46824</v>
      </c>
    </row>
    <row r="38">
      <c r="A38" s="8" t="inlineStr">
        <is>
          <t>Form 990-EZ Parts I &amp; II</t>
        </is>
      </c>
      <c r="B38" s="8" t="inlineStr">
        <is>
          <t>C13</t>
        </is>
      </c>
      <c r="C38" s="8" t="inlineStr">
        <is>
          <t>12. Salaries, other compensation, benefits</t>
        </is>
      </c>
      <c r="D38" s="8" t="inlineStr">
        <is>
          <t>Part I line 12</t>
        </is>
      </c>
      <c r="E38" s="8" t="inlineStr">
        <is>
          <t>part_i_revenue_expenses.salaries_other_comp_benefits</t>
        </is>
      </c>
      <c r="F38" s="8" t="inlineStr">
        <is>
          <t>high</t>
        </is>
      </c>
      <c r="G38" s="9" t="n">
        <v>43010</v>
      </c>
    </row>
    <row r="39">
      <c r="A39" s="8" t="inlineStr">
        <is>
          <t>Form 990-EZ Parts I &amp; II</t>
        </is>
      </c>
      <c r="B39" s="8" t="inlineStr">
        <is>
          <t>D13</t>
        </is>
      </c>
      <c r="C39" s="8" t="inlineStr">
        <is>
          <t>12. Salaries, other compensation, benefits</t>
        </is>
      </c>
      <c r="D39" s="8" t="inlineStr">
        <is>
          <t>Part I line 12</t>
        </is>
      </c>
      <c r="E39" s="8" t="inlineStr">
        <is>
          <t>part_i_revenue_expenses.salaries_other_comp_benefits</t>
        </is>
      </c>
      <c r="F39" s="8" t="inlineStr">
        <is>
          <t>high</t>
        </is>
      </c>
      <c r="G39" s="9" t="n">
        <v>55323</v>
      </c>
    </row>
    <row r="40">
      <c r="A40" s="8" t="inlineStr">
        <is>
          <t>Form 990-EZ Parts I &amp; II</t>
        </is>
      </c>
      <c r="B40" s="8" t="inlineStr">
        <is>
          <t>E13</t>
        </is>
      </c>
      <c r="C40" s="8" t="inlineStr">
        <is>
          <t>12. Salaries, other compensation, benefits</t>
        </is>
      </c>
      <c r="D40" s="8" t="inlineStr">
        <is>
          <t>Part I line 12</t>
        </is>
      </c>
      <c r="E40" s="8" t="inlineStr">
        <is>
          <t>part_i_revenue_expenses.salaries_other_comp_benefits</t>
        </is>
      </c>
      <c r="F40" s="8" t="inlineStr">
        <is>
          <t>high</t>
        </is>
      </c>
      <c r="G40" s="9" t="n">
        <v>57006</v>
      </c>
    </row>
    <row r="41">
      <c r="A41" s="8" t="inlineStr">
        <is>
          <t>Form 990-EZ Parts I &amp; II</t>
        </is>
      </c>
      <c r="B41" s="8" t="inlineStr">
        <is>
          <t>F13</t>
        </is>
      </c>
      <c r="C41" s="8" t="inlineStr">
        <is>
          <t>12. Salaries, other compensation, benefits</t>
        </is>
      </c>
      <c r="D41" s="8" t="inlineStr">
        <is>
          <t>Part I line 12</t>
        </is>
      </c>
      <c r="E41" s="8" t="inlineStr">
        <is>
          <t>part_i_revenue_expenses.salaries_other_comp_benefits</t>
        </is>
      </c>
      <c r="F41" s="8" t="inlineStr">
        <is>
          <t>high</t>
        </is>
      </c>
      <c r="G41" s="9" t="n">
        <v>58275</v>
      </c>
    </row>
    <row r="42">
      <c r="A42" s="8" t="inlineStr">
        <is>
          <t>Form 990-EZ Parts I &amp; II</t>
        </is>
      </c>
      <c r="B42" s="8" t="inlineStr">
        <is>
          <t>G13</t>
        </is>
      </c>
      <c r="C42" s="8" t="inlineStr">
        <is>
          <t>12. Salaries, other compensation, benefits</t>
        </is>
      </c>
      <c r="D42" s="8" t="inlineStr">
        <is>
          <t>Part I line 12</t>
        </is>
      </c>
      <c r="E42" s="8" t="inlineStr">
        <is>
          <t>part_i_revenue_expenses.salaries_other_comp_benefits</t>
        </is>
      </c>
      <c r="F42" s="8" t="inlineStr">
        <is>
          <t>high</t>
        </is>
      </c>
      <c r="G42" s="9" t="n">
        <v>59452</v>
      </c>
    </row>
    <row r="43">
      <c r="A43" s="8" t="inlineStr">
        <is>
          <t>Form 990-EZ Parts I &amp; II</t>
        </is>
      </c>
      <c r="B43" s="8" t="inlineStr">
        <is>
          <t>B14</t>
        </is>
      </c>
      <c r="C43" s="8" t="inlineStr">
        <is>
          <t>13. Fees for services (independent contractors)</t>
        </is>
      </c>
      <c r="D43" s="8" t="inlineStr">
        <is>
          <t>Part I line 13</t>
        </is>
      </c>
      <c r="E43" s="8" t="inlineStr">
        <is>
          <t>part_i_revenue_expenses.fees_ind_contractors</t>
        </is>
      </c>
      <c r="F43" s="8" t="inlineStr">
        <is>
          <t>high</t>
        </is>
      </c>
      <c r="G43" s="9" t="n">
        <v>14865</v>
      </c>
    </row>
    <row r="44">
      <c r="A44" s="8" t="inlineStr">
        <is>
          <t>Form 990-EZ Parts I &amp; II</t>
        </is>
      </c>
      <c r="B44" s="8" t="inlineStr">
        <is>
          <t>C14</t>
        </is>
      </c>
      <c r="C44" s="8" t="inlineStr">
        <is>
          <t>13. Fees for services (independent contractors)</t>
        </is>
      </c>
      <c r="D44" s="8" t="inlineStr">
        <is>
          <t>Part I line 13</t>
        </is>
      </c>
      <c r="E44" s="8" t="inlineStr">
        <is>
          <t>part_i_revenue_expenses.fees_ind_contractors</t>
        </is>
      </c>
      <c r="F44" s="8" t="inlineStr">
        <is>
          <t>high</t>
        </is>
      </c>
      <c r="G44" s="9" t="n">
        <v>14865</v>
      </c>
    </row>
    <row r="45">
      <c r="A45" s="8" t="inlineStr">
        <is>
          <t>Form 990-EZ Parts I &amp; II</t>
        </is>
      </c>
      <c r="B45" s="8" t="inlineStr">
        <is>
          <t>D14</t>
        </is>
      </c>
      <c r="C45" s="8" t="inlineStr">
        <is>
          <t>13. Fees for services (independent contractors)</t>
        </is>
      </c>
      <c r="D45" s="8" t="inlineStr">
        <is>
          <t>Part I line 13</t>
        </is>
      </c>
      <c r="E45" s="8" t="inlineStr">
        <is>
          <t>part_i_revenue_expenses.fees_ind_contractors</t>
        </is>
      </c>
      <c r="F45" s="8" t="inlineStr">
        <is>
          <t>high</t>
        </is>
      </c>
      <c r="G45" s="9" t="n">
        <v>3100</v>
      </c>
    </row>
    <row r="46">
      <c r="A46" s="8" t="inlineStr">
        <is>
          <t>Form 990-EZ Parts I &amp; II</t>
        </is>
      </c>
      <c r="B46" s="8" t="inlineStr">
        <is>
          <t>E14</t>
        </is>
      </c>
      <c r="C46" s="8" t="inlineStr">
        <is>
          <t>13. Fees for services (independent contractors)</t>
        </is>
      </c>
      <c r="D46" s="8" t="inlineStr">
        <is>
          <t>Part I line 13</t>
        </is>
      </c>
      <c r="E46" s="8" t="inlineStr">
        <is>
          <t>part_i_revenue_expenses.fees_ind_contractors</t>
        </is>
      </c>
      <c r="F46" s="8" t="inlineStr">
        <is>
          <t>high</t>
        </is>
      </c>
      <c r="G46" s="9" t="n">
        <v>2835</v>
      </c>
    </row>
    <row r="47">
      <c r="A47" s="8" t="inlineStr">
        <is>
          <t>Form 990-EZ Parts I &amp; II</t>
        </is>
      </c>
      <c r="B47" s="8" t="inlineStr">
        <is>
          <t>F14</t>
        </is>
      </c>
      <c r="C47" s="8" t="inlineStr">
        <is>
          <t>13. Fees for services (independent contractors)</t>
        </is>
      </c>
      <c r="D47" s="8" t="inlineStr">
        <is>
          <t>Part I line 13</t>
        </is>
      </c>
      <c r="E47" s="8" t="inlineStr">
        <is>
          <t>part_i_revenue_expenses.fees_ind_contractors</t>
        </is>
      </c>
      <c r="F47" s="8" t="inlineStr">
        <is>
          <t>high</t>
        </is>
      </c>
      <c r="G47" s="9" t="n">
        <v>2923</v>
      </c>
    </row>
    <row r="48">
      <c r="A48" s="8" t="inlineStr">
        <is>
          <t>Form 990-EZ Parts I &amp; II</t>
        </is>
      </c>
      <c r="B48" s="8" t="inlineStr">
        <is>
          <t>G14</t>
        </is>
      </c>
      <c r="C48" s="8" t="inlineStr">
        <is>
          <t>13. Fees for services (independent contractors)</t>
        </is>
      </c>
      <c r="D48" s="8" t="inlineStr">
        <is>
          <t>Part I line 13</t>
        </is>
      </c>
      <c r="E48" s="8" t="inlineStr">
        <is>
          <t>part_i_revenue_expenses.fees_ind_contractors</t>
        </is>
      </c>
      <c r="F48" s="8" t="inlineStr">
        <is>
          <t>high</t>
        </is>
      </c>
      <c r="G48" s="9" t="n">
        <v>2578</v>
      </c>
    </row>
    <row r="49">
      <c r="A49" s="8" t="inlineStr">
        <is>
          <t>Form 990-EZ Parts I &amp; II</t>
        </is>
      </c>
      <c r="B49" s="8" t="inlineStr">
        <is>
          <t>B15</t>
        </is>
      </c>
      <c r="C49" s="8" t="inlineStr">
        <is>
          <t>14. Occupancy, rent, utilities, maintenance</t>
        </is>
      </c>
      <c r="D49" s="8" t="inlineStr">
        <is>
          <t>Part I line 14</t>
        </is>
      </c>
      <c r="E49" s="8" t="inlineStr">
        <is>
          <t>part_i_revenue_expenses.occupancy_utilities_maint</t>
        </is>
      </c>
      <c r="F49" s="8" t="inlineStr">
        <is>
          <t>high</t>
        </is>
      </c>
      <c r="G49" s="9" t="n">
        <v>28138</v>
      </c>
    </row>
    <row r="50">
      <c r="A50" s="8" t="inlineStr">
        <is>
          <t>Form 990-EZ Parts I &amp; II</t>
        </is>
      </c>
      <c r="B50" s="8" t="inlineStr">
        <is>
          <t>C15</t>
        </is>
      </c>
      <c r="C50" s="8" t="inlineStr">
        <is>
          <t>14. Occupancy, rent, utilities, maintenance</t>
        </is>
      </c>
      <c r="D50" s="8" t="inlineStr">
        <is>
          <t>Part I line 14</t>
        </is>
      </c>
      <c r="E50" s="8" t="inlineStr">
        <is>
          <t>part_i_revenue_expenses.occupancy_utilities_maint</t>
        </is>
      </c>
      <c r="F50" s="8" t="inlineStr">
        <is>
          <t>high</t>
        </is>
      </c>
      <c r="G50" s="9" t="n">
        <v>33441</v>
      </c>
    </row>
    <row r="51">
      <c r="A51" s="8" t="inlineStr">
        <is>
          <t>Form 990-EZ Parts I &amp; II</t>
        </is>
      </c>
      <c r="B51" s="8" t="inlineStr">
        <is>
          <t>D15</t>
        </is>
      </c>
      <c r="C51" s="8" t="inlineStr">
        <is>
          <t>14. Occupancy, rent, utilities, maintenance</t>
        </is>
      </c>
      <c r="D51" s="8" t="inlineStr">
        <is>
          <t>Part I line 14</t>
        </is>
      </c>
      <c r="E51" s="8" t="inlineStr">
        <is>
          <t>part_i_revenue_expenses.occupancy_utilities_maint</t>
        </is>
      </c>
      <c r="F51" s="8" t="inlineStr">
        <is>
          <t>high</t>
        </is>
      </c>
      <c r="G51" s="9" t="n">
        <v>59951</v>
      </c>
    </row>
    <row r="52">
      <c r="A52" s="8" t="inlineStr">
        <is>
          <t>Form 990-EZ Parts I &amp; II</t>
        </is>
      </c>
      <c r="B52" s="8" t="inlineStr">
        <is>
          <t>E15</t>
        </is>
      </c>
      <c r="C52" s="8" t="inlineStr">
        <is>
          <t>14. Occupancy, rent, utilities, maintenance</t>
        </is>
      </c>
      <c r="D52" s="8" t="inlineStr">
        <is>
          <t>Part I line 14</t>
        </is>
      </c>
      <c r="E52" s="8" t="inlineStr">
        <is>
          <t>part_i_revenue_expenses.occupancy_utilities_maint</t>
        </is>
      </c>
      <c r="F52" s="8" t="inlineStr">
        <is>
          <t>high</t>
        </is>
      </c>
      <c r="G52" s="9" t="n">
        <v>35416</v>
      </c>
    </row>
    <row r="53">
      <c r="A53" s="8" t="inlineStr">
        <is>
          <t>Form 990-EZ Parts I &amp; II</t>
        </is>
      </c>
      <c r="B53" s="8" t="inlineStr">
        <is>
          <t>F15</t>
        </is>
      </c>
      <c r="C53" s="8" t="inlineStr">
        <is>
          <t>14. Occupancy, rent, utilities, maintenance</t>
        </is>
      </c>
      <c r="D53" s="8" t="inlineStr">
        <is>
          <t>Part I line 14</t>
        </is>
      </c>
      <c r="E53" s="8" t="inlineStr">
        <is>
          <t>part_i_revenue_expenses.occupancy_utilities_maint</t>
        </is>
      </c>
      <c r="F53" s="8" t="inlineStr">
        <is>
          <t>high</t>
        </is>
      </c>
      <c r="G53" s="9" t="n">
        <v>51365</v>
      </c>
    </row>
    <row r="54">
      <c r="A54" s="8" t="inlineStr">
        <is>
          <t>Form 990-EZ Parts I &amp; II</t>
        </is>
      </c>
      <c r="B54" s="8" t="inlineStr">
        <is>
          <t>G15</t>
        </is>
      </c>
      <c r="C54" s="8" t="inlineStr">
        <is>
          <t>14. Occupancy, rent, utilities, maintenance</t>
        </is>
      </c>
      <c r="D54" s="8" t="inlineStr">
        <is>
          <t>Part I line 14</t>
        </is>
      </c>
      <c r="E54" s="8" t="inlineStr">
        <is>
          <t>part_i_revenue_expenses.occupancy_utilities_maint</t>
        </is>
      </c>
      <c r="F54" s="8" t="inlineStr">
        <is>
          <t>high</t>
        </is>
      </c>
      <c r="G54" s="9" t="n">
        <v>57872</v>
      </c>
    </row>
    <row r="55">
      <c r="A55" s="8" t="inlineStr">
        <is>
          <t>Form 990-EZ Parts I &amp; II</t>
        </is>
      </c>
      <c r="B55" s="8" t="inlineStr">
        <is>
          <t>B16</t>
        </is>
      </c>
      <c r="C55" s="8" t="inlineStr">
        <is>
          <t>15. Printing, publications, postage</t>
        </is>
      </c>
      <c r="D55" s="8" t="inlineStr">
        <is>
          <t>Part I line 15</t>
        </is>
      </c>
      <c r="E55" s="8" t="inlineStr">
        <is>
          <t>part_i_revenue_expenses.printing_publications_postage</t>
        </is>
      </c>
      <c r="F55" s="8" t="inlineStr">
        <is>
          <t>high</t>
        </is>
      </c>
      <c r="G55" s="9" t="n">
        <v>843</v>
      </c>
    </row>
    <row r="56">
      <c r="A56" s="8" t="inlineStr">
        <is>
          <t>Form 990-EZ Parts I &amp; II</t>
        </is>
      </c>
      <c r="B56" s="8" t="inlineStr">
        <is>
          <t>C16</t>
        </is>
      </c>
      <c r="C56" s="8" t="inlineStr">
        <is>
          <t>15. Printing, publications, postage</t>
        </is>
      </c>
      <c r="D56" s="8" t="inlineStr">
        <is>
          <t>Part I line 15</t>
        </is>
      </c>
      <c r="E56" s="8" t="inlineStr">
        <is>
          <t>part_i_revenue_expenses.printing_publications_postage</t>
        </is>
      </c>
      <c r="F56" s="8" t="inlineStr">
        <is>
          <t>high</t>
        </is>
      </c>
      <c r="G56" s="9" t="n">
        <v>1077</v>
      </c>
    </row>
    <row r="57">
      <c r="A57" s="8" t="inlineStr">
        <is>
          <t>Form 990-EZ Parts I &amp; II</t>
        </is>
      </c>
      <c r="B57" s="8" t="inlineStr">
        <is>
          <t>D16</t>
        </is>
      </c>
      <c r="C57" s="8" t="inlineStr">
        <is>
          <t>15. Printing, publications, postage</t>
        </is>
      </c>
      <c r="D57" s="8" t="inlineStr">
        <is>
          <t>Part I line 15</t>
        </is>
      </c>
      <c r="E57" s="8" t="inlineStr">
        <is>
          <t>part_i_revenue_expenses.printing_publications_postage</t>
        </is>
      </c>
      <c r="F57" s="8" t="inlineStr">
        <is>
          <t>high</t>
        </is>
      </c>
      <c r="G57" s="9" t="n">
        <v>956</v>
      </c>
    </row>
    <row r="58">
      <c r="A58" s="8" t="inlineStr">
        <is>
          <t>Form 990-EZ Parts I &amp; II</t>
        </is>
      </c>
      <c r="B58" s="8" t="inlineStr">
        <is>
          <t>E16</t>
        </is>
      </c>
      <c r="C58" s="8" t="inlineStr">
        <is>
          <t>15. Printing, publications, postage</t>
        </is>
      </c>
      <c r="D58" s="8" t="inlineStr">
        <is>
          <t>Part I line 15</t>
        </is>
      </c>
      <c r="E58" s="8" t="inlineStr">
        <is>
          <t>part_i_revenue_expenses.printing_publications_postage</t>
        </is>
      </c>
      <c r="F58" s="8" t="inlineStr">
        <is>
          <t>high</t>
        </is>
      </c>
      <c r="G58" s="9" t="n">
        <v>841</v>
      </c>
    </row>
    <row r="59">
      <c r="A59" s="8" t="inlineStr">
        <is>
          <t>Form 990-EZ Parts I &amp; II</t>
        </is>
      </c>
      <c r="B59" s="8" t="inlineStr">
        <is>
          <t>F16</t>
        </is>
      </c>
      <c r="C59" s="8" t="inlineStr">
        <is>
          <t>15. Printing, publications, postage</t>
        </is>
      </c>
      <c r="D59" s="8" t="inlineStr">
        <is>
          <t>Part I line 15</t>
        </is>
      </c>
      <c r="E59" s="8" t="inlineStr">
        <is>
          <t>part_i_revenue_expenses.printing_publications_postage</t>
        </is>
      </c>
      <c r="F59" s="8" t="inlineStr">
        <is>
          <t>high</t>
        </is>
      </c>
      <c r="G59" s="9" t="n">
        <v>1361</v>
      </c>
    </row>
    <row r="60">
      <c r="A60" s="8" t="inlineStr">
        <is>
          <t>Form 990-EZ Parts I &amp; II</t>
        </is>
      </c>
      <c r="B60" s="8" t="inlineStr">
        <is>
          <t>G16</t>
        </is>
      </c>
      <c r="C60" s="8" t="inlineStr">
        <is>
          <t>15. Printing, publications, postage</t>
        </is>
      </c>
      <c r="D60" s="8" t="inlineStr">
        <is>
          <t>Part I line 15</t>
        </is>
      </c>
      <c r="E60" s="8" t="inlineStr">
        <is>
          <t>part_i_revenue_expenses.printing_publications_postage</t>
        </is>
      </c>
      <c r="F60" s="8" t="inlineStr">
        <is>
          <t>high</t>
        </is>
      </c>
      <c r="G60" s="9" t="n">
        <v>1456</v>
      </c>
    </row>
    <row r="61">
      <c r="A61" s="8" t="inlineStr">
        <is>
          <t>Form 990-EZ Parts I &amp; II</t>
        </is>
      </c>
      <c r="B61" s="8" t="inlineStr">
        <is>
          <t>B17</t>
        </is>
      </c>
      <c r="C61" s="8" t="inlineStr">
        <is>
          <t>16. Other expenses</t>
        </is>
      </c>
      <c r="D61" s="8" t="inlineStr">
        <is>
          <t>Part I line 16</t>
        </is>
      </c>
      <c r="E61" s="8" t="inlineStr">
        <is>
          <t>part_i_revenue_expenses.other_expenses_total</t>
        </is>
      </c>
      <c r="F61" s="8" t="inlineStr">
        <is>
          <t>high</t>
        </is>
      </c>
      <c r="G61" s="9" t="n">
        <v>45151</v>
      </c>
    </row>
    <row r="62">
      <c r="A62" s="8" t="inlineStr">
        <is>
          <t>Form 990-EZ Parts I &amp; II</t>
        </is>
      </c>
      <c r="B62" s="8" t="inlineStr">
        <is>
          <t>C17</t>
        </is>
      </c>
      <c r="C62" s="8" t="inlineStr">
        <is>
          <t>16. Other expenses</t>
        </is>
      </c>
      <c r="D62" s="8" t="inlineStr">
        <is>
          <t>Part I line 16</t>
        </is>
      </c>
      <c r="E62" s="8" t="inlineStr">
        <is>
          <t>part_i_revenue_expenses.other_expenses_total</t>
        </is>
      </c>
      <c r="F62" s="8" t="inlineStr">
        <is>
          <t>high</t>
        </is>
      </c>
      <c r="G62" s="9" t="n">
        <v>49108</v>
      </c>
    </row>
    <row r="63">
      <c r="A63" s="8" t="inlineStr">
        <is>
          <t>Form 990-EZ Parts I &amp; II</t>
        </is>
      </c>
      <c r="B63" s="8" t="inlineStr">
        <is>
          <t>D17</t>
        </is>
      </c>
      <c r="C63" s="8" t="inlineStr">
        <is>
          <t>16. Other expenses</t>
        </is>
      </c>
      <c r="D63" s="8" t="inlineStr">
        <is>
          <t>Part I line 16</t>
        </is>
      </c>
      <c r="E63" s="8" t="inlineStr">
        <is>
          <t>part_i_revenue_expenses.other_expenses_total</t>
        </is>
      </c>
      <c r="F63" s="8" t="inlineStr">
        <is>
          <t>high</t>
        </is>
      </c>
      <c r="G63" s="9" t="n">
        <v>51513</v>
      </c>
    </row>
    <row r="64">
      <c r="A64" s="8" t="inlineStr">
        <is>
          <t>Form 990-EZ Parts I &amp; II</t>
        </is>
      </c>
      <c r="B64" s="8" t="inlineStr">
        <is>
          <t>E17</t>
        </is>
      </c>
      <c r="C64" s="8" t="inlineStr">
        <is>
          <t>16. Other expenses</t>
        </is>
      </c>
      <c r="D64" s="8" t="inlineStr">
        <is>
          <t>Part I line 16</t>
        </is>
      </c>
      <c r="E64" s="8" t="inlineStr">
        <is>
          <t>part_i_revenue_expenses.other_expenses_total</t>
        </is>
      </c>
      <c r="F64" s="8" t="inlineStr">
        <is>
          <t>high</t>
        </is>
      </c>
      <c r="G64" s="9" t="n">
        <v>56280</v>
      </c>
    </row>
    <row r="65">
      <c r="A65" s="8" t="inlineStr">
        <is>
          <t>Form 990-EZ Parts I &amp; II</t>
        </is>
      </c>
      <c r="B65" s="8" t="inlineStr">
        <is>
          <t>F17</t>
        </is>
      </c>
      <c r="C65" s="8" t="inlineStr">
        <is>
          <t>16. Other expenses</t>
        </is>
      </c>
      <c r="D65" s="8" t="inlineStr">
        <is>
          <t>Part I line 16</t>
        </is>
      </c>
      <c r="E65" s="8" t="inlineStr">
        <is>
          <t>part_i_revenue_expenses.other_expenses_total</t>
        </is>
      </c>
      <c r="F65" s="8" t="inlineStr">
        <is>
          <t>high</t>
        </is>
      </c>
      <c r="G65" s="9" t="n">
        <v>56942</v>
      </c>
    </row>
    <row r="66">
      <c r="A66" s="8" t="inlineStr">
        <is>
          <t>Form 990-EZ Parts I &amp; II</t>
        </is>
      </c>
      <c r="B66" s="8" t="inlineStr">
        <is>
          <t>G17</t>
        </is>
      </c>
      <c r="C66" s="8" t="inlineStr">
        <is>
          <t>16. Other expenses</t>
        </is>
      </c>
      <c r="D66" s="8" t="inlineStr">
        <is>
          <t>Part I line 16</t>
        </is>
      </c>
      <c r="E66" s="8" t="inlineStr">
        <is>
          <t>part_i_revenue_expenses.other_expenses_total</t>
        </is>
      </c>
      <c r="F66" s="8" t="inlineStr">
        <is>
          <t>high</t>
        </is>
      </c>
      <c r="G66" s="9" t="n">
        <v>61189</v>
      </c>
    </row>
    <row r="67">
      <c r="A67" s="8" t="inlineStr">
        <is>
          <t>Form 990-EZ Parts I &amp; II</t>
        </is>
      </c>
      <c r="B67" s="8" t="inlineStr">
        <is>
          <t>B21</t>
        </is>
      </c>
      <c r="C67" s="8" t="inlineStr">
        <is>
          <t>19. Net assets or fund balances, beginning of year</t>
        </is>
      </c>
      <c r="D67" s="8" t="inlineStr">
        <is>
          <t>Part I line 19</t>
        </is>
      </c>
      <c r="E67" s="8" t="inlineStr">
        <is>
          <t>part_i_revenue_expenses.net_assets_boy</t>
        </is>
      </c>
      <c r="F67" s="8" t="inlineStr">
        <is>
          <t>high</t>
        </is>
      </c>
      <c r="G67" s="9" t="n">
        <v>410073</v>
      </c>
    </row>
    <row r="68">
      <c r="A68" s="8" t="inlineStr">
        <is>
          <t>Form 990-EZ Parts I &amp; II</t>
        </is>
      </c>
      <c r="B68" s="8" t="inlineStr">
        <is>
          <t>C21</t>
        </is>
      </c>
      <c r="C68" s="8" t="inlineStr">
        <is>
          <t>19. Net assets or fund balances, beginning of year</t>
        </is>
      </c>
      <c r="D68" s="8" t="inlineStr">
        <is>
          <t>Part I line 19</t>
        </is>
      </c>
      <c r="E68" s="8" t="inlineStr">
        <is>
          <t>part_i_revenue_expenses.net_assets_boy</t>
        </is>
      </c>
      <c r="F68" s="8" t="inlineStr">
        <is>
          <t>high</t>
        </is>
      </c>
      <c r="G68" s="9" t="n">
        <v>386216</v>
      </c>
    </row>
    <row r="69">
      <c r="A69" s="8" t="inlineStr">
        <is>
          <t>Form 990-EZ Parts I &amp; II</t>
        </is>
      </c>
      <c r="B69" s="8" t="inlineStr">
        <is>
          <t>D21</t>
        </is>
      </c>
      <c r="C69" s="8" t="inlineStr">
        <is>
          <t>19. Net assets or fund balances, beginning of year</t>
        </is>
      </c>
      <c r="D69" s="8" t="inlineStr">
        <is>
          <t>Part I line 19</t>
        </is>
      </c>
      <c r="E69" s="8" t="inlineStr">
        <is>
          <t>part_i_revenue_expenses.net_assets_boy</t>
        </is>
      </c>
      <c r="F69" s="8" t="inlineStr">
        <is>
          <t>high</t>
        </is>
      </c>
      <c r="G69" s="9" t="n">
        <v>443466</v>
      </c>
    </row>
    <row r="70">
      <c r="A70" s="8" t="inlineStr">
        <is>
          <t>Form 990-EZ Parts I &amp; II</t>
        </is>
      </c>
      <c r="B70" s="8" t="inlineStr">
        <is>
          <t>E21</t>
        </is>
      </c>
      <c r="C70" s="8" t="inlineStr">
        <is>
          <t>19. Net assets or fund balances, beginning of year</t>
        </is>
      </c>
      <c r="D70" s="8" t="inlineStr">
        <is>
          <t>Part I line 19</t>
        </is>
      </c>
      <c r="E70" s="8" t="inlineStr">
        <is>
          <t>part_i_revenue_expenses.net_assets_boy</t>
        </is>
      </c>
      <c r="F70" s="8" t="inlineStr">
        <is>
          <t>high</t>
        </is>
      </c>
      <c r="G70" s="9" t="n">
        <v>430671</v>
      </c>
    </row>
    <row r="71">
      <c r="A71" s="8" t="inlineStr">
        <is>
          <t>Form 990-EZ Parts I &amp; II</t>
        </is>
      </c>
      <c r="B71" s="8" t="inlineStr">
        <is>
          <t>F21</t>
        </is>
      </c>
      <c r="C71" s="8" t="inlineStr">
        <is>
          <t>19. Net assets or fund balances, beginning of year</t>
        </is>
      </c>
      <c r="D71" s="8" t="inlineStr">
        <is>
          <t>Part I line 19</t>
        </is>
      </c>
      <c r="E71" s="8" t="inlineStr">
        <is>
          <t>part_i_revenue_expenses.net_assets_boy</t>
        </is>
      </c>
      <c r="F71" s="8" t="inlineStr">
        <is>
          <t>high</t>
        </is>
      </c>
      <c r="G71" s="9" t="n">
        <v>449250</v>
      </c>
    </row>
    <row r="72">
      <c r="A72" s="8" t="inlineStr">
        <is>
          <t>Form 990-EZ Parts I &amp; II</t>
        </is>
      </c>
      <c r="B72" s="8" t="inlineStr">
        <is>
          <t>G21</t>
        </is>
      </c>
      <c r="C72" s="8" t="inlineStr">
        <is>
          <t>19. Net assets or fund balances, beginning of year</t>
        </is>
      </c>
      <c r="D72" s="8" t="inlineStr">
        <is>
          <t>Part I line 19</t>
        </is>
      </c>
      <c r="E72" s="8" t="inlineStr">
        <is>
          <t>part_i_revenue_expenses.net_assets_boy</t>
        </is>
      </c>
      <c r="F72" s="8" t="inlineStr">
        <is>
          <t>high</t>
        </is>
      </c>
      <c r="G72" s="9" t="n">
        <v>471507</v>
      </c>
    </row>
    <row r="73">
      <c r="A73" s="8" t="inlineStr">
        <is>
          <t>Form 990-EZ Parts I &amp; II</t>
        </is>
      </c>
      <c r="B73" s="8" t="inlineStr">
        <is>
          <t>B22</t>
        </is>
      </c>
      <c r="C73" s="8" t="inlineStr">
        <is>
          <t>18. Excess or (deficit) for the year</t>
        </is>
      </c>
      <c r="D73" s="8" t="inlineStr">
        <is>
          <t>Part I line 18</t>
        </is>
      </c>
      <c r="E73" s="8" t="inlineStr">
        <is>
          <t>part_i_revenue_expenses.excess_or_deficit</t>
        </is>
      </c>
      <c r="F73" s="8" t="inlineStr">
        <is>
          <t>high</t>
        </is>
      </c>
      <c r="G73" s="9" t="n">
        <v>19378</v>
      </c>
    </row>
    <row r="74">
      <c r="A74" s="8" t="inlineStr">
        <is>
          <t>Form 990-EZ Parts I &amp; II</t>
        </is>
      </c>
      <c r="B74" s="8" t="inlineStr">
        <is>
          <t>C22</t>
        </is>
      </c>
      <c r="C74" s="8" t="inlineStr">
        <is>
          <t>18. Excess or (deficit) for the year</t>
        </is>
      </c>
      <c r="D74" s="8" t="inlineStr">
        <is>
          <t>Part I line 18</t>
        </is>
      </c>
      <c r="E74" s="8" t="inlineStr">
        <is>
          <t>part_i_revenue_expenses.excess_or_deficit</t>
        </is>
      </c>
      <c r="F74" s="8" t="inlineStr">
        <is>
          <t>high</t>
        </is>
      </c>
      <c r="G74" s="9" t="n">
        <v>14015</v>
      </c>
    </row>
    <row r="75">
      <c r="A75" s="8" t="inlineStr">
        <is>
          <t>Form 990-EZ Parts I &amp; II</t>
        </is>
      </c>
      <c r="B75" s="8" t="inlineStr">
        <is>
          <t>D22</t>
        </is>
      </c>
      <c r="C75" s="8" t="inlineStr">
        <is>
          <t>18. Excess or (deficit) for the year</t>
        </is>
      </c>
      <c r="D75" s="8" t="inlineStr">
        <is>
          <t>Part I line 18</t>
        </is>
      </c>
      <c r="E75" s="8" t="inlineStr">
        <is>
          <t>part_i_revenue_expenses.excess_or_deficit</t>
        </is>
      </c>
      <c r="F75" s="8" t="inlineStr">
        <is>
          <t>high</t>
        </is>
      </c>
      <c r="G75" s="9" t="n">
        <v>-12795</v>
      </c>
    </row>
    <row r="76">
      <c r="A76" s="8" t="inlineStr">
        <is>
          <t>Form 990-EZ Parts I &amp; II</t>
        </is>
      </c>
      <c r="B76" s="8" t="inlineStr">
        <is>
          <t>E22</t>
        </is>
      </c>
      <c r="C76" s="8" t="inlineStr">
        <is>
          <t>18. Excess or (deficit) for the year</t>
        </is>
      </c>
      <c r="D76" s="8" t="inlineStr">
        <is>
          <t>Part I line 18</t>
        </is>
      </c>
      <c r="E76" s="8" t="inlineStr">
        <is>
          <t>part_i_revenue_expenses.excess_or_deficit</t>
        </is>
      </c>
      <c r="F76" s="8" t="inlineStr">
        <is>
          <t>high</t>
        </is>
      </c>
      <c r="G76" s="9" t="n">
        <v>18579</v>
      </c>
    </row>
    <row r="77">
      <c r="A77" s="8" t="inlineStr">
        <is>
          <t>Form 990-EZ Parts I &amp; II</t>
        </is>
      </c>
      <c r="B77" s="8" t="inlineStr">
        <is>
          <t>F22</t>
        </is>
      </c>
      <c r="C77" s="8" t="inlineStr">
        <is>
          <t>18. Excess or (deficit) for the year</t>
        </is>
      </c>
      <c r="D77" s="8" t="inlineStr">
        <is>
          <t>Part I line 18</t>
        </is>
      </c>
      <c r="E77" s="8" t="inlineStr">
        <is>
          <t>part_i_revenue_expenses.excess_or_deficit</t>
        </is>
      </c>
      <c r="F77" s="8" t="inlineStr">
        <is>
          <t>high</t>
        </is>
      </c>
      <c r="G77" s="9" t="n">
        <v>22257</v>
      </c>
    </row>
    <row r="78">
      <c r="A78" s="8" t="inlineStr">
        <is>
          <t>Form 990-EZ Parts I &amp; II</t>
        </is>
      </c>
      <c r="B78" s="8" t="inlineStr">
        <is>
          <t>G22</t>
        </is>
      </c>
      <c r="C78" s="8" t="inlineStr">
        <is>
          <t>18. Excess or (deficit) for the year</t>
        </is>
      </c>
      <c r="D78" s="8" t="inlineStr">
        <is>
          <t>Part I line 18</t>
        </is>
      </c>
      <c r="E78" s="8" t="inlineStr">
        <is>
          <t>part_i_revenue_expenses.excess_or_deficit</t>
        </is>
      </c>
      <c r="F78" s="8" t="inlineStr">
        <is>
          <t>high</t>
        </is>
      </c>
      <c r="G78" s="9" t="n">
        <v>3013</v>
      </c>
    </row>
    <row r="79">
      <c r="A79" s="8" t="inlineStr">
        <is>
          <t>Form 990-EZ Parts I &amp; II</t>
        </is>
      </c>
      <c r="B79" s="8" t="inlineStr">
        <is>
          <t>B26</t>
        </is>
      </c>
      <c r="C79" s="8" t="inlineStr">
        <is>
          <t>22. Cash, savings, and investments</t>
        </is>
      </c>
      <c r="D79" s="8" t="inlineStr">
        <is>
          <t>Part II line 22 col B</t>
        </is>
      </c>
      <c r="E79" s="8" t="inlineStr">
        <is>
          <t>part_ii_balance_sheet.cash_savings_investments_eoy</t>
        </is>
      </c>
      <c r="F79" s="8" t="inlineStr">
        <is>
          <t>high</t>
        </is>
      </c>
      <c r="G79" s="9" t="n">
        <v>179411</v>
      </c>
    </row>
    <row r="80">
      <c r="A80" s="8" t="inlineStr">
        <is>
          <t>Form 990-EZ Parts I &amp; II</t>
        </is>
      </c>
      <c r="B80" s="8" t="inlineStr">
        <is>
          <t>C26</t>
        </is>
      </c>
      <c r="C80" s="8" t="inlineStr">
        <is>
          <t>22. Cash, savings, and investments</t>
        </is>
      </c>
      <c r="D80" s="8" t="inlineStr">
        <is>
          <t>Part II line 22 col B</t>
        </is>
      </c>
      <c r="E80" s="8" t="inlineStr">
        <is>
          <t>part_ii_balance_sheet.cash_savings_investments_eoy</t>
        </is>
      </c>
      <c r="F80" s="8" t="inlineStr">
        <is>
          <t>high</t>
        </is>
      </c>
      <c r="G80" s="9" t="n">
        <v>203150</v>
      </c>
    </row>
    <row r="81">
      <c r="A81" s="8" t="inlineStr">
        <is>
          <t>Form 990-EZ Parts I &amp; II</t>
        </is>
      </c>
      <c r="B81" s="8" t="inlineStr">
        <is>
          <t>D26</t>
        </is>
      </c>
      <c r="C81" s="8" t="inlineStr">
        <is>
          <t>22. Cash, savings, and investments</t>
        </is>
      </c>
      <c r="D81" s="8" t="inlineStr">
        <is>
          <t>Part II line 22 col B</t>
        </is>
      </c>
      <c r="E81" s="8" t="inlineStr">
        <is>
          <t>part_ii_balance_sheet.cash_savings_investments_eoy</t>
        </is>
      </c>
      <c r="F81" s="8" t="inlineStr">
        <is>
          <t>high</t>
        </is>
      </c>
      <c r="G81" s="9" t="n">
        <v>192023</v>
      </c>
    </row>
    <row r="82">
      <c r="A82" s="8" t="inlineStr">
        <is>
          <t>Form 990-EZ Parts I &amp; II</t>
        </is>
      </c>
      <c r="B82" s="8" t="inlineStr">
        <is>
          <t>E26</t>
        </is>
      </c>
      <c r="C82" s="8" t="inlineStr">
        <is>
          <t>22. Cash, savings, and investments</t>
        </is>
      </c>
      <c r="D82" s="8" t="inlineStr">
        <is>
          <t>Part II line 22 col B</t>
        </is>
      </c>
      <c r="E82" s="8" t="inlineStr">
        <is>
          <t>part_ii_balance_sheet.cash_savings_investments_eoy</t>
        </is>
      </c>
      <c r="F82" s="8" t="inlineStr">
        <is>
          <t>high</t>
        </is>
      </c>
      <c r="G82" s="9" t="n">
        <v>198661</v>
      </c>
    </row>
    <row r="83">
      <c r="A83" s="8" t="inlineStr">
        <is>
          <t>Form 990-EZ Parts I &amp; II</t>
        </is>
      </c>
      <c r="B83" s="8" t="inlineStr">
        <is>
          <t>F26</t>
        </is>
      </c>
      <c r="C83" s="8" t="inlineStr">
        <is>
          <t>22. Cash, savings, and investments</t>
        </is>
      </c>
      <c r="D83" s="8" t="inlineStr">
        <is>
          <t>Part II line 22 col B</t>
        </is>
      </c>
      <c r="E83" s="8" t="inlineStr">
        <is>
          <t>part_ii_balance_sheet.cash_savings_investments_eoy</t>
        </is>
      </c>
      <c r="F83" s="8" t="inlineStr">
        <is>
          <t>high</t>
        </is>
      </c>
      <c r="G83" s="9" t="n">
        <v>229703</v>
      </c>
    </row>
    <row r="84">
      <c r="A84" s="8" t="inlineStr">
        <is>
          <t>Form 990-EZ Parts I &amp; II</t>
        </is>
      </c>
      <c r="B84" s="8" t="inlineStr">
        <is>
          <t>G26</t>
        </is>
      </c>
      <c r="C84" s="8" t="inlineStr">
        <is>
          <t>22. Cash, savings, and investments</t>
        </is>
      </c>
      <c r="D84" s="8" t="inlineStr">
        <is>
          <t>Part II line 22 col B</t>
        </is>
      </c>
      <c r="E84" s="8" t="inlineStr">
        <is>
          <t>part_ii_balance_sheet.cash_savings_investments_eoy</t>
        </is>
      </c>
      <c r="F84" s="8" t="inlineStr">
        <is>
          <t>high</t>
        </is>
      </c>
      <c r="G84" s="9" t="n">
        <v>239994</v>
      </c>
    </row>
    <row r="85">
      <c r="A85" s="8" t="inlineStr">
        <is>
          <t>Form 990-EZ Parts I &amp; II</t>
        </is>
      </c>
      <c r="B85" s="8" t="inlineStr">
        <is>
          <t>B27</t>
        </is>
      </c>
      <c r="C85" s="8" t="inlineStr">
        <is>
          <t>23. Land and buildings</t>
        </is>
      </c>
      <c r="D85" s="8" t="inlineStr">
        <is>
          <t>Part II line 23 col B</t>
        </is>
      </c>
      <c r="E85" s="8" t="inlineStr">
        <is>
          <t>part_ii_balance_sheet.land_and_buildings_eoy</t>
        </is>
      </c>
      <c r="F85" s="8" t="inlineStr">
        <is>
          <t>high</t>
        </is>
      </c>
      <c r="G85" s="9" t="n">
        <v>43235</v>
      </c>
    </row>
    <row r="86">
      <c r="A86" s="8" t="inlineStr">
        <is>
          <t>Form 990-EZ Parts I &amp; II</t>
        </is>
      </c>
      <c r="B86" s="8" t="inlineStr">
        <is>
          <t>C27</t>
        </is>
      </c>
      <c r="C86" s="8" t="inlineStr">
        <is>
          <t>23. Land and buildings</t>
        </is>
      </c>
      <c r="D86" s="8" t="inlineStr">
        <is>
          <t>Part II line 23 col B</t>
        </is>
      </c>
      <c r="E86" s="8" t="inlineStr">
        <is>
          <t>part_ii_balance_sheet.land_and_buildings_eoy</t>
        </is>
      </c>
      <c r="F86" s="8" t="inlineStr">
        <is>
          <t>high</t>
        </is>
      </c>
      <c r="G86" s="9" t="n">
        <v>43235</v>
      </c>
    </row>
    <row r="87">
      <c r="A87" s="8" t="inlineStr">
        <is>
          <t>Form 990-EZ Parts I &amp; II</t>
        </is>
      </c>
      <c r="B87" s="8" t="inlineStr">
        <is>
          <t>D27</t>
        </is>
      </c>
      <c r="C87" s="8" t="inlineStr">
        <is>
          <t>23. Land and buildings</t>
        </is>
      </c>
      <c r="D87" s="8" t="inlineStr">
        <is>
          <t>Part II line 23 col B</t>
        </is>
      </c>
      <c r="E87" s="8" t="inlineStr">
        <is>
          <t>part_ii_balance_sheet.land_and_buildings_eoy</t>
        </is>
      </c>
      <c r="F87" s="8" t="inlineStr">
        <is>
          <t>high</t>
        </is>
      </c>
      <c r="G87" s="9" t="n">
        <v>43235</v>
      </c>
    </row>
    <row r="88">
      <c r="A88" s="8" t="inlineStr">
        <is>
          <t>Form 990-EZ Parts I &amp; II</t>
        </is>
      </c>
      <c r="B88" s="8" t="inlineStr">
        <is>
          <t>E27</t>
        </is>
      </c>
      <c r="C88" s="8" t="inlineStr">
        <is>
          <t>23. Land and buildings</t>
        </is>
      </c>
      <c r="D88" s="8" t="inlineStr">
        <is>
          <t>Part II line 23 col B</t>
        </is>
      </c>
      <c r="E88" s="8" t="inlineStr">
        <is>
          <t>part_ii_balance_sheet.land_and_buildings_eoy</t>
        </is>
      </c>
      <c r="F88" s="8" t="inlineStr">
        <is>
          <t>high</t>
        </is>
      </c>
      <c r="G88" s="9" t="n">
        <v>43235</v>
      </c>
    </row>
    <row r="89">
      <c r="A89" s="8" t="inlineStr">
        <is>
          <t>Form 990-EZ Parts I &amp; II</t>
        </is>
      </c>
      <c r="B89" s="8" t="inlineStr">
        <is>
          <t>F27</t>
        </is>
      </c>
      <c r="C89" s="8" t="inlineStr">
        <is>
          <t>23. Land and buildings</t>
        </is>
      </c>
      <c r="D89" s="8" t="inlineStr">
        <is>
          <t>Part II line 23 col B</t>
        </is>
      </c>
      <c r="E89" s="8" t="inlineStr">
        <is>
          <t>part_ii_balance_sheet.land_and_buildings_eoy</t>
        </is>
      </c>
      <c r="F89" s="8" t="inlineStr">
        <is>
          <t>high</t>
        </is>
      </c>
      <c r="G89" s="9" t="n">
        <v>43235</v>
      </c>
    </row>
    <row r="90">
      <c r="A90" s="8" t="inlineStr">
        <is>
          <t>Form 990-EZ Parts I &amp; II</t>
        </is>
      </c>
      <c r="B90" s="8" t="inlineStr">
        <is>
          <t>G27</t>
        </is>
      </c>
      <c r="C90" s="8" t="inlineStr">
        <is>
          <t>23. Land and buildings</t>
        </is>
      </c>
      <c r="D90" s="8" t="inlineStr">
        <is>
          <t>Part II line 23 col B</t>
        </is>
      </c>
      <c r="E90" s="8" t="inlineStr">
        <is>
          <t>part_ii_balance_sheet.land_and_buildings_eoy</t>
        </is>
      </c>
      <c r="F90" s="8" t="inlineStr">
        <is>
          <t>high</t>
        </is>
      </c>
      <c r="G90" s="9" t="n">
        <v>43235</v>
      </c>
    </row>
    <row r="91">
      <c r="A91" s="8" t="inlineStr">
        <is>
          <t>Form 990-EZ Parts I &amp; II</t>
        </is>
      </c>
      <c r="B91" s="8" t="inlineStr">
        <is>
          <t>B28</t>
        </is>
      </c>
      <c r="C91" s="8" t="inlineStr">
        <is>
          <t>24. Other assets</t>
        </is>
      </c>
      <c r="D91" s="8" t="inlineStr">
        <is>
          <t>Part II line 24 col B</t>
        </is>
      </c>
      <c r="E91" s="8" t="inlineStr">
        <is>
          <t>part_ii_balance_sheet.other_assets_eoy</t>
        </is>
      </c>
      <c r="F91" s="8" t="inlineStr">
        <is>
          <t>high</t>
        </is>
      </c>
      <c r="G91" s="9" t="n">
        <v>214301</v>
      </c>
    </row>
    <row r="92">
      <c r="A92" s="8" t="inlineStr">
        <is>
          <t>Form 990-EZ Parts I &amp; II</t>
        </is>
      </c>
      <c r="B92" s="8" t="inlineStr">
        <is>
          <t>C28</t>
        </is>
      </c>
      <c r="C92" s="8" t="inlineStr">
        <is>
          <t>24. Other assets</t>
        </is>
      </c>
      <c r="D92" s="8" t="inlineStr">
        <is>
          <t>Part II line 24 col B</t>
        </is>
      </c>
      <c r="E92" s="8" t="inlineStr">
        <is>
          <t>part_ii_balance_sheet.other_assets_eoy</t>
        </is>
      </c>
      <c r="F92" s="8" t="inlineStr">
        <is>
          <t>high</t>
        </is>
      </c>
      <c r="G92" s="9" t="n">
        <v>202553</v>
      </c>
    </row>
    <row r="93">
      <c r="A93" s="8" t="inlineStr">
        <is>
          <t>Form 990-EZ Parts I &amp; II</t>
        </is>
      </c>
      <c r="B93" s="8" t="inlineStr">
        <is>
          <t>D28</t>
        </is>
      </c>
      <c r="C93" s="8" t="inlineStr">
        <is>
          <t>24. Other assets</t>
        </is>
      </c>
      <c r="D93" s="8" t="inlineStr">
        <is>
          <t>Part II line 24 col B</t>
        </is>
      </c>
      <c r="E93" s="8" t="inlineStr">
        <is>
          <t>part_ii_balance_sheet.other_assets_eoy</t>
        </is>
      </c>
      <c r="F93" s="8" t="inlineStr">
        <is>
          <t>high</t>
        </is>
      </c>
      <c r="G93" s="9" t="n">
        <v>202434</v>
      </c>
    </row>
    <row r="94">
      <c r="A94" s="8" t="inlineStr">
        <is>
          <t>Form 990-EZ Parts I &amp; II</t>
        </is>
      </c>
      <c r="B94" s="8" t="inlineStr">
        <is>
          <t>E28</t>
        </is>
      </c>
      <c r="C94" s="8" t="inlineStr">
        <is>
          <t>24. Other assets</t>
        </is>
      </c>
      <c r="D94" s="8" t="inlineStr">
        <is>
          <t>Part II line 24 col B</t>
        </is>
      </c>
      <c r="E94" s="8" t="inlineStr">
        <is>
          <t>part_ii_balance_sheet.other_assets_eoy</t>
        </is>
      </c>
      <c r="F94" s="8" t="inlineStr">
        <is>
          <t>high</t>
        </is>
      </c>
      <c r="G94" s="9" t="n">
        <v>214412</v>
      </c>
    </row>
    <row r="95">
      <c r="A95" s="8" t="inlineStr">
        <is>
          <t>Form 990-EZ Parts I &amp; II</t>
        </is>
      </c>
      <c r="B95" s="8" t="inlineStr">
        <is>
          <t>F28</t>
        </is>
      </c>
      <c r="C95" s="8" t="inlineStr">
        <is>
          <t>24. Other assets</t>
        </is>
      </c>
      <c r="D95" s="8" t="inlineStr">
        <is>
          <t>Part II line 24 col B</t>
        </is>
      </c>
      <c r="E95" s="8" t="inlineStr">
        <is>
          <t>part_ii_balance_sheet.other_assets_eoy</t>
        </is>
      </c>
      <c r="F95" s="8" t="inlineStr">
        <is>
          <t>high</t>
        </is>
      </c>
      <c r="G95" s="9" t="n">
        <v>208111</v>
      </c>
    </row>
    <row r="96">
      <c r="A96" s="8" t="inlineStr">
        <is>
          <t>Form 990-EZ Parts I &amp; II</t>
        </is>
      </c>
      <c r="B96" s="8" t="inlineStr">
        <is>
          <t>G28</t>
        </is>
      </c>
      <c r="C96" s="8" t="inlineStr">
        <is>
          <t>24. Other assets</t>
        </is>
      </c>
      <c r="D96" s="8" t="inlineStr">
        <is>
          <t>Part II line 24 col B</t>
        </is>
      </c>
      <c r="E96" s="8" t="inlineStr">
        <is>
          <t>part_ii_balance_sheet.other_assets_eoy</t>
        </is>
      </c>
      <c r="F96" s="8" t="inlineStr">
        <is>
          <t>high</t>
        </is>
      </c>
      <c r="G96" s="9" t="n">
        <v>206474</v>
      </c>
    </row>
    <row r="97">
      <c r="A97" s="8" t="inlineStr">
        <is>
          <t>Form 990-EZ Parts I &amp; II</t>
        </is>
      </c>
      <c r="B97" s="8" t="inlineStr">
        <is>
          <t>B30</t>
        </is>
      </c>
      <c r="C97" s="8" t="inlineStr">
        <is>
          <t>26. Total liabilities</t>
        </is>
      </c>
      <c r="D97" s="8" t="inlineStr">
        <is>
          <t>Part II line 26 col B</t>
        </is>
      </c>
      <c r="E97" s="8" t="inlineStr">
        <is>
          <t>part_ii_balance_sheet.total_liabilities_eoy</t>
        </is>
      </c>
      <c r="F97" s="8" t="inlineStr">
        <is>
          <t>high</t>
        </is>
      </c>
      <c r="G97" s="9" t="n">
        <v>7496</v>
      </c>
    </row>
    <row r="98">
      <c r="A98" s="8" t="inlineStr">
        <is>
          <t>Form 990-EZ Parts I &amp; II</t>
        </is>
      </c>
      <c r="B98" s="8" t="inlineStr">
        <is>
          <t>C30</t>
        </is>
      </c>
      <c r="C98" s="8" t="inlineStr">
        <is>
          <t>26. Total liabilities</t>
        </is>
      </c>
      <c r="D98" s="8" t="inlineStr">
        <is>
          <t>Part II line 26 col B</t>
        </is>
      </c>
      <c r="E98" s="8" t="inlineStr">
        <is>
          <t>part_ii_balance_sheet.total_liabilities_eoy</t>
        </is>
      </c>
      <c r="F98" s="8" t="inlineStr">
        <is>
          <t>high</t>
        </is>
      </c>
      <c r="G98" s="9" t="n">
        <v>5472</v>
      </c>
    </row>
    <row r="99">
      <c r="A99" s="8" t="inlineStr">
        <is>
          <t>Form 990-EZ Parts I &amp; II</t>
        </is>
      </c>
      <c r="B99" s="8" t="inlineStr">
        <is>
          <t>D30</t>
        </is>
      </c>
      <c r="C99" s="8" t="inlineStr">
        <is>
          <t>26. Total liabilities</t>
        </is>
      </c>
      <c r="D99" s="8" t="inlineStr">
        <is>
          <t>Part II line 26 col B</t>
        </is>
      </c>
      <c r="E99" s="8" t="inlineStr">
        <is>
          <t>part_ii_balance_sheet.total_liabilities_eoy</t>
        </is>
      </c>
      <c r="F99" s="8" t="inlineStr">
        <is>
          <t>high</t>
        </is>
      </c>
      <c r="G99" s="9" t="n">
        <v>7021</v>
      </c>
    </row>
    <row r="100">
      <c r="A100" s="8" t="inlineStr">
        <is>
          <t>Form 990-EZ Parts I &amp; II</t>
        </is>
      </c>
      <c r="B100" s="8" t="inlineStr">
        <is>
          <t>E30</t>
        </is>
      </c>
      <c r="C100" s="8" t="inlineStr">
        <is>
          <t>26. Total liabilities</t>
        </is>
      </c>
      <c r="D100" s="8" t="inlineStr">
        <is>
          <t>Part II line 26 col B</t>
        </is>
      </c>
      <c r="E100" s="8" t="inlineStr">
        <is>
          <t>part_ii_balance_sheet.total_liabilities_eoy</t>
        </is>
      </c>
      <c r="F100" s="8" t="inlineStr">
        <is>
          <t>high</t>
        </is>
      </c>
      <c r="G100" s="9" t="n">
        <v>7058</v>
      </c>
    </row>
    <row r="101">
      <c r="A101" s="8" t="inlineStr">
        <is>
          <t>Form 990-EZ Parts I &amp; II</t>
        </is>
      </c>
      <c r="B101" s="8" t="inlineStr">
        <is>
          <t>F30</t>
        </is>
      </c>
      <c r="C101" s="8" t="inlineStr">
        <is>
          <t>26. Total liabilities</t>
        </is>
      </c>
      <c r="D101" s="8" t="inlineStr">
        <is>
          <t>Part II line 26 col B</t>
        </is>
      </c>
      <c r="E101" s="8" t="inlineStr">
        <is>
          <t>part_ii_balance_sheet.total_liabilities_eoy</t>
        </is>
      </c>
      <c r="F101" s="8" t="inlineStr">
        <is>
          <t>high</t>
        </is>
      </c>
      <c r="G101" s="9" t="n">
        <v>9542</v>
      </c>
    </row>
    <row r="102">
      <c r="A102" s="8" t="inlineStr">
        <is>
          <t>Form 990-EZ Parts I &amp; II</t>
        </is>
      </c>
      <c r="B102" s="8" t="inlineStr">
        <is>
          <t>G30</t>
        </is>
      </c>
      <c r="C102" s="8" t="inlineStr">
        <is>
          <t>26. Total liabilities</t>
        </is>
      </c>
      <c r="D102" s="8" t="inlineStr">
        <is>
          <t>Part II line 26 col B</t>
        </is>
      </c>
      <c r="E102" s="8" t="inlineStr">
        <is>
          <t>part_ii_balance_sheet.total_liabilities_eoy</t>
        </is>
      </c>
      <c r="F102" s="8" t="inlineStr">
        <is>
          <t>high</t>
        </is>
      </c>
      <c r="G102" s="9" t="n">
        <v>15183</v>
      </c>
    </row>
    <row r="103">
      <c r="A103" s="8" t="inlineStr">
        <is>
          <t>Form 990-EZ Parts I &amp; II</t>
        </is>
      </c>
      <c r="B103" s="8" t="inlineStr">
        <is>
          <t>B31</t>
        </is>
      </c>
      <c r="C103" s="8" t="inlineStr">
        <is>
          <t>27. Net assets or fund balances</t>
        </is>
      </c>
      <c r="D103" s="8" t="inlineStr">
        <is>
          <t>Part II line 27 col B</t>
        </is>
      </c>
      <c r="E103" s="8" t="inlineStr">
        <is>
          <t>part_ii_balance_sheet.net_assets_eoy</t>
        </is>
      </c>
      <c r="F103" s="8" t="inlineStr">
        <is>
          <t>high</t>
        </is>
      </c>
      <c r="G103" s="9" t="n">
        <v>429451</v>
      </c>
    </row>
    <row r="104">
      <c r="A104" s="8" t="inlineStr">
        <is>
          <t>Form 990-EZ Parts I &amp; II</t>
        </is>
      </c>
      <c r="B104" s="8" t="inlineStr">
        <is>
          <t>C31</t>
        </is>
      </c>
      <c r="C104" s="8" t="inlineStr">
        <is>
          <t>27. Net assets or fund balances</t>
        </is>
      </c>
      <c r="D104" s="8" t="inlineStr">
        <is>
          <t>Part II line 27 col B</t>
        </is>
      </c>
      <c r="E104" s="8" t="inlineStr">
        <is>
          <t>part_ii_balance_sheet.net_assets_eoy</t>
        </is>
      </c>
      <c r="F104" s="8" t="inlineStr">
        <is>
          <t>high</t>
        </is>
      </c>
      <c r="G104" s="9" t="n">
        <v>443466</v>
      </c>
    </row>
    <row r="105">
      <c r="A105" s="8" t="inlineStr">
        <is>
          <t>Form 990-EZ Parts I &amp; II</t>
        </is>
      </c>
      <c r="B105" s="8" t="inlineStr">
        <is>
          <t>D31</t>
        </is>
      </c>
      <c r="C105" s="8" t="inlineStr">
        <is>
          <t>27. Net assets or fund balances</t>
        </is>
      </c>
      <c r="D105" s="8" t="inlineStr">
        <is>
          <t>Part II line 27 col B</t>
        </is>
      </c>
      <c r="E105" s="8" t="inlineStr">
        <is>
          <t>part_ii_balance_sheet.net_assets_eoy</t>
        </is>
      </c>
      <c r="F105" s="8" t="inlineStr">
        <is>
          <t>high</t>
        </is>
      </c>
      <c r="G105" s="9" t="n">
        <v>430671</v>
      </c>
    </row>
    <row r="106">
      <c r="A106" s="8" t="inlineStr">
        <is>
          <t>Form 990-EZ Parts I &amp; II</t>
        </is>
      </c>
      <c r="B106" s="8" t="inlineStr">
        <is>
          <t>E31</t>
        </is>
      </c>
      <c r="C106" s="8" t="inlineStr">
        <is>
          <t>27. Net assets or fund balances</t>
        </is>
      </c>
      <c r="D106" s="8" t="inlineStr">
        <is>
          <t>Part II line 27 col B</t>
        </is>
      </c>
      <c r="E106" s="8" t="inlineStr">
        <is>
          <t>part_ii_balance_sheet.net_assets_eoy</t>
        </is>
      </c>
      <c r="F106" s="8" t="inlineStr">
        <is>
          <t>high</t>
        </is>
      </c>
      <c r="G106" s="9" t="n">
        <v>449250</v>
      </c>
    </row>
    <row r="107">
      <c r="A107" s="8" t="inlineStr">
        <is>
          <t>Form 990-EZ Parts I &amp; II</t>
        </is>
      </c>
      <c r="B107" s="8" t="inlineStr">
        <is>
          <t>F31</t>
        </is>
      </c>
      <c r="C107" s="8" t="inlineStr">
        <is>
          <t>27. Net assets or fund balances</t>
        </is>
      </c>
      <c r="D107" s="8" t="inlineStr">
        <is>
          <t>Part II line 27 col B</t>
        </is>
      </c>
      <c r="E107" s="8" t="inlineStr">
        <is>
          <t>part_ii_balance_sheet.net_assets_eoy</t>
        </is>
      </c>
      <c r="F107" s="8" t="inlineStr">
        <is>
          <t>high</t>
        </is>
      </c>
      <c r="G107" s="9" t="n">
        <v>471507</v>
      </c>
    </row>
    <row r="108">
      <c r="A108" s="8" t="inlineStr">
        <is>
          <t>Form 990-EZ Parts I &amp; II</t>
        </is>
      </c>
      <c r="B108" s="8" t="inlineStr">
        <is>
          <t>G31</t>
        </is>
      </c>
      <c r="C108" s="8" t="inlineStr">
        <is>
          <t>27. Net assets or fund balances</t>
        </is>
      </c>
      <c r="D108" s="8" t="inlineStr">
        <is>
          <t>Part II line 27 col B</t>
        </is>
      </c>
      <c r="E108" s="8" t="inlineStr">
        <is>
          <t>part_ii_balance_sheet.net_assets_eoy</t>
        </is>
      </c>
      <c r="F108" s="8" t="inlineStr">
        <is>
          <t>high</t>
        </is>
      </c>
      <c r="G108" s="9" t="n">
        <v>474520</v>
      </c>
    </row>
    <row r="110">
      <c r="A110" s="25" t="inlineStr">
        <is>
          <t>C. Tie-out checks (filed vs computed; any nonzero variance is flagged red)</t>
        </is>
      </c>
      <c r="B110" s="7" t="n"/>
      <c r="C110" s="7" t="n"/>
      <c r="D110" s="7" t="n"/>
      <c r="E110" s="7" t="n"/>
      <c r="F110" s="7" t="n"/>
      <c r="G110" s="7" t="n"/>
      <c r="H110" s="7" t="n"/>
      <c r="I110" s="7" t="n"/>
      <c r="J110" s="7" t="n"/>
      <c r="K110" s="7" t="n"/>
    </row>
    <row r="111">
      <c r="A111" s="5" t="inlineStr">
        <is>
          <t>Tab</t>
        </is>
      </c>
      <c r="B111" s="5" t="inlineStr">
        <is>
          <t>Check</t>
        </is>
      </c>
      <c r="C111" s="5" t="inlineStr">
        <is>
          <t>Fiscal year</t>
        </is>
      </c>
      <c r="D111" s="5" t="inlineStr">
        <is>
          <t>Filed</t>
        </is>
      </c>
      <c r="E111" s="5" t="inlineStr">
        <is>
          <t>Computed</t>
        </is>
      </c>
      <c r="F111" s="5" t="inlineStr">
        <is>
          <t>Variance (computed - filed)</t>
        </is>
      </c>
    </row>
    <row r="112">
      <c r="A112" s="26" t="inlineStr">
        <is>
          <t>Form 990-EZ Parts I &amp; II</t>
        </is>
      </c>
      <c r="B112" s="26" t="inlineStr">
        <is>
          <t>17. Total expenses</t>
        </is>
      </c>
      <c r="C112" s="26" t="inlineStr">
        <is>
          <t>FY2020</t>
        </is>
      </c>
      <c r="D112" s="9" t="n">
        <v>135821</v>
      </c>
      <c r="E112" s="9">
        <f>'Form 990-EZ Parts I &amp; II'!B18</f>
        <v/>
      </c>
      <c r="F112" s="9">
        <f>E112-D112</f>
        <v/>
      </c>
    </row>
    <row r="113">
      <c r="A113" s="26" t="inlineStr">
        <is>
          <t>Form 990-EZ Parts I &amp; II</t>
        </is>
      </c>
      <c r="B113" s="26" t="inlineStr">
        <is>
          <t>17. Total expenses</t>
        </is>
      </c>
      <c r="C113" s="26" t="inlineStr">
        <is>
          <t>FY2021</t>
        </is>
      </c>
      <c r="D113" s="9" t="n">
        <v>141501</v>
      </c>
      <c r="E113" s="9">
        <f>'Form 990-EZ Parts I &amp; II'!C18</f>
        <v/>
      </c>
      <c r="F113" s="9">
        <f>E113-D113</f>
        <v/>
      </c>
    </row>
    <row r="114">
      <c r="A114" s="26" t="inlineStr">
        <is>
          <t>Form 990-EZ Parts I &amp; II</t>
        </is>
      </c>
      <c r="B114" s="26" t="inlineStr">
        <is>
          <t>17. Total expenses</t>
        </is>
      </c>
      <c r="C114" s="26" t="inlineStr">
        <is>
          <t>FY2022</t>
        </is>
      </c>
      <c r="D114" s="9" t="n">
        <v>170843</v>
      </c>
      <c r="E114" s="9">
        <f>'Form 990-EZ Parts I &amp; II'!D18</f>
        <v/>
      </c>
      <c r="F114" s="9">
        <f>E114-D114</f>
        <v/>
      </c>
    </row>
    <row r="115">
      <c r="A115" s="26" t="inlineStr">
        <is>
          <t>Form 990-EZ Parts I &amp; II</t>
        </is>
      </c>
      <c r="B115" s="26" t="inlineStr">
        <is>
          <t>17. Total expenses</t>
        </is>
      </c>
      <c r="C115" s="26" t="inlineStr">
        <is>
          <t>FY2023</t>
        </is>
      </c>
      <c r="D115" s="9" t="n">
        <v>152378</v>
      </c>
      <c r="E115" s="9">
        <f>'Form 990-EZ Parts I &amp; II'!E18</f>
        <v/>
      </c>
      <c r="F115" s="9">
        <f>E115-D115</f>
        <v/>
      </c>
    </row>
    <row r="116">
      <c r="A116" s="26" t="inlineStr">
        <is>
          <t>Form 990-EZ Parts I &amp; II</t>
        </is>
      </c>
      <c r="B116" s="26" t="inlineStr">
        <is>
          <t>17. Total expenses</t>
        </is>
      </c>
      <c r="C116" s="26" t="inlineStr">
        <is>
          <t>FY2024</t>
        </is>
      </c>
      <c r="D116" s="9" t="n">
        <v>170866</v>
      </c>
      <c r="E116" s="9">
        <f>'Form 990-EZ Parts I &amp; II'!F18</f>
        <v/>
      </c>
      <c r="F116" s="9">
        <f>E116-D116</f>
        <v/>
      </c>
    </row>
    <row r="117">
      <c r="A117" s="26" t="inlineStr">
        <is>
          <t>Form 990-EZ Parts I &amp; II</t>
        </is>
      </c>
      <c r="B117" s="26" t="inlineStr">
        <is>
          <t>17. Total expenses</t>
        </is>
      </c>
      <c r="C117" s="26" t="inlineStr">
        <is>
          <t>FY2025</t>
        </is>
      </c>
      <c r="D117" s="9" t="n">
        <v>182547</v>
      </c>
      <c r="E117" s="9">
        <f>'Form 990-EZ Parts I &amp; II'!G18</f>
        <v/>
      </c>
      <c r="F117" s="9">
        <f>E117-D117</f>
        <v/>
      </c>
    </row>
    <row r="118">
      <c r="A118" s="26" t="inlineStr">
        <is>
          <t>Form 990-EZ Parts I &amp; II</t>
        </is>
      </c>
      <c r="B118" s="26" t="inlineStr">
        <is>
          <t>21. Net assets or fund balances, end of year</t>
        </is>
      </c>
      <c r="C118" s="26" t="inlineStr">
        <is>
          <t>FY2020</t>
        </is>
      </c>
      <c r="D118" s="9" t="n">
        <v>429451</v>
      </c>
      <c r="E118" s="9">
        <f>'Form 990-EZ Parts I &amp; II'!B23</f>
        <v/>
      </c>
      <c r="F118" s="9">
        <f>E118-D118</f>
        <v/>
      </c>
    </row>
    <row r="119">
      <c r="A119" s="26" t="inlineStr">
        <is>
          <t>Form 990-EZ Parts I &amp; II</t>
        </is>
      </c>
      <c r="B119" s="26" t="inlineStr">
        <is>
          <t>21. Net assets or fund balances, end of year</t>
        </is>
      </c>
      <c r="C119" s="26" t="inlineStr">
        <is>
          <t>FY2021</t>
        </is>
      </c>
      <c r="D119" s="9" t="n">
        <v>400231</v>
      </c>
      <c r="E119" s="9">
        <f>'Form 990-EZ Parts I &amp; II'!C23</f>
        <v/>
      </c>
      <c r="F119" s="9">
        <f>E119-D119</f>
        <v/>
      </c>
    </row>
    <row r="120">
      <c r="A120" s="26" t="inlineStr">
        <is>
          <t>Form 990-EZ Parts I &amp; II</t>
        </is>
      </c>
      <c r="B120" s="26" t="inlineStr">
        <is>
          <t>21. Net assets or fund balances, end of year</t>
        </is>
      </c>
      <c r="C120" s="26" t="inlineStr">
        <is>
          <t>FY2022</t>
        </is>
      </c>
      <c r="D120" s="9" t="n">
        <v>430671</v>
      </c>
      <c r="E120" s="9">
        <f>'Form 990-EZ Parts I &amp; II'!D23</f>
        <v/>
      </c>
      <c r="F120" s="9">
        <f>E120-D120</f>
        <v/>
      </c>
    </row>
    <row r="121">
      <c r="A121" s="26" t="inlineStr">
        <is>
          <t>Form 990-EZ Parts I &amp; II</t>
        </is>
      </c>
      <c r="B121" s="26" t="inlineStr">
        <is>
          <t>21. Net assets or fund balances, end of year</t>
        </is>
      </c>
      <c r="C121" s="26" t="inlineStr">
        <is>
          <t>FY2023</t>
        </is>
      </c>
      <c r="D121" s="9" t="n">
        <v>449250</v>
      </c>
      <c r="E121" s="9">
        <f>'Form 990-EZ Parts I &amp; II'!E23</f>
        <v/>
      </c>
      <c r="F121" s="9">
        <f>E121-D121</f>
        <v/>
      </c>
    </row>
    <row r="122">
      <c r="A122" s="26" t="inlineStr">
        <is>
          <t>Form 990-EZ Parts I &amp; II</t>
        </is>
      </c>
      <c r="B122" s="26" t="inlineStr">
        <is>
          <t>21. Net assets or fund balances, end of year</t>
        </is>
      </c>
      <c r="C122" s="26" t="inlineStr">
        <is>
          <t>FY2024</t>
        </is>
      </c>
      <c r="D122" s="9" t="n">
        <v>471507</v>
      </c>
      <c r="E122" s="9">
        <f>'Form 990-EZ Parts I &amp; II'!F23</f>
        <v/>
      </c>
      <c r="F122" s="9">
        <f>E122-D122</f>
        <v/>
      </c>
    </row>
    <row r="123">
      <c r="A123" s="26" t="inlineStr">
        <is>
          <t>Form 990-EZ Parts I &amp; II</t>
        </is>
      </c>
      <c r="B123" s="26" t="inlineStr">
        <is>
          <t>21. Net assets or fund balances, end of year</t>
        </is>
      </c>
      <c r="C123" s="26" t="inlineStr">
        <is>
          <t>FY2025</t>
        </is>
      </c>
      <c r="D123" s="9" t="n">
        <v>474520</v>
      </c>
      <c r="E123" s="9">
        <f>'Form 990-EZ Parts I &amp; II'!G23</f>
        <v/>
      </c>
      <c r="F123" s="9">
        <f>E123-D123</f>
        <v/>
      </c>
    </row>
    <row r="124">
      <c r="A124" s="26" t="inlineStr">
        <is>
          <t>Form 990-EZ Parts I &amp; II</t>
        </is>
      </c>
      <c r="B124" s="26" t="inlineStr">
        <is>
          <t>25. Total assets</t>
        </is>
      </c>
      <c r="C124" s="26" t="inlineStr">
        <is>
          <t>FY2020</t>
        </is>
      </c>
      <c r="D124" s="9" t="n">
        <v>436947</v>
      </c>
      <c r="E124" s="9">
        <f>'Form 990-EZ Parts I &amp; II'!B29</f>
        <v/>
      </c>
      <c r="F124" s="9">
        <f>E124-D124</f>
        <v/>
      </c>
    </row>
    <row r="125">
      <c r="A125" s="26" t="inlineStr">
        <is>
          <t>Form 990-EZ Parts I &amp; II</t>
        </is>
      </c>
      <c r="B125" s="26" t="inlineStr">
        <is>
          <t>25. Total assets</t>
        </is>
      </c>
      <c r="C125" s="26" t="inlineStr">
        <is>
          <t>FY2021</t>
        </is>
      </c>
      <c r="D125" s="9" t="n">
        <v>448938</v>
      </c>
      <c r="E125" s="9">
        <f>'Form 990-EZ Parts I &amp; II'!C29</f>
        <v/>
      </c>
      <c r="F125" s="9">
        <f>E125-D125</f>
        <v/>
      </c>
    </row>
    <row r="126">
      <c r="A126" s="26" t="inlineStr">
        <is>
          <t>Form 990-EZ Parts I &amp; II</t>
        </is>
      </c>
      <c r="B126" s="26" t="inlineStr">
        <is>
          <t>25. Total assets</t>
        </is>
      </c>
      <c r="C126" s="26" t="inlineStr">
        <is>
          <t>FY2022</t>
        </is>
      </c>
      <c r="D126" s="9" t="n">
        <v>437692</v>
      </c>
      <c r="E126" s="9">
        <f>'Form 990-EZ Parts I &amp; II'!D29</f>
        <v/>
      </c>
      <c r="F126" s="9">
        <f>E126-D126</f>
        <v/>
      </c>
    </row>
    <row r="127">
      <c r="A127" s="26" t="inlineStr">
        <is>
          <t>Form 990-EZ Parts I &amp; II</t>
        </is>
      </c>
      <c r="B127" s="26" t="inlineStr">
        <is>
          <t>25. Total assets</t>
        </is>
      </c>
      <c r="C127" s="26" t="inlineStr">
        <is>
          <t>FY2023</t>
        </is>
      </c>
      <c r="D127" s="9" t="n">
        <v>456308</v>
      </c>
      <c r="E127" s="9">
        <f>'Form 990-EZ Parts I &amp; II'!E29</f>
        <v/>
      </c>
      <c r="F127" s="9">
        <f>E127-D127</f>
        <v/>
      </c>
    </row>
    <row r="128">
      <c r="A128" s="26" t="inlineStr">
        <is>
          <t>Form 990-EZ Parts I &amp; II</t>
        </is>
      </c>
      <c r="B128" s="26" t="inlineStr">
        <is>
          <t>25. Total assets</t>
        </is>
      </c>
      <c r="C128" s="26" t="inlineStr">
        <is>
          <t>FY2024</t>
        </is>
      </c>
      <c r="D128" s="9" t="n">
        <v>481049</v>
      </c>
      <c r="E128" s="9">
        <f>'Form 990-EZ Parts I &amp; II'!F29</f>
        <v/>
      </c>
      <c r="F128" s="9">
        <f>E128-D128</f>
        <v/>
      </c>
    </row>
    <row r="129">
      <c r="A129" s="26" t="inlineStr">
        <is>
          <t>Form 990-EZ Parts I &amp; II</t>
        </is>
      </c>
      <c r="B129" s="26" t="inlineStr">
        <is>
          <t>25. Total assets</t>
        </is>
      </c>
      <c r="C129" s="26" t="inlineStr">
        <is>
          <t>FY2025</t>
        </is>
      </c>
      <c r="D129" s="9" t="n">
        <v>489703</v>
      </c>
      <c r="E129" s="9">
        <f>'Form 990-EZ Parts I &amp; II'!G29</f>
        <v/>
      </c>
      <c r="F129" s="9">
        <f>E129-D129</f>
        <v/>
      </c>
    </row>
    <row r="130">
      <c r="A130" s="26" t="inlineStr">
        <is>
          <t>Form 990-EZ Parts I &amp; II</t>
        </is>
      </c>
      <c r="B130" s="26" t="inlineStr">
        <is>
          <t>Balance sheet identity: line 25 = line 26 + line 27 (EOY)</t>
        </is>
      </c>
      <c r="C130" s="26" t="inlineStr">
        <is>
          <t>FY2020</t>
        </is>
      </c>
      <c r="D130" s="9">
        <f>'Form 990-EZ Parts I &amp; II'!B29</f>
        <v/>
      </c>
      <c r="E130" s="9">
        <f>SUM('Form 990-EZ Parts I &amp; II'!B30,'Form 990-EZ Parts I &amp; II'!B31)</f>
        <v/>
      </c>
      <c r="F130" s="9">
        <f>E130-D130</f>
        <v/>
      </c>
    </row>
    <row r="131">
      <c r="A131" s="26" t="inlineStr">
        <is>
          <t>Form 990-EZ Parts I &amp; II</t>
        </is>
      </c>
      <c r="B131" s="26" t="inlineStr">
        <is>
          <t>Balance sheet identity: line 25 = line 26 + line 27 (EOY)</t>
        </is>
      </c>
      <c r="C131" s="26" t="inlineStr">
        <is>
          <t>FY2021</t>
        </is>
      </c>
      <c r="D131" s="9">
        <f>'Form 990-EZ Parts I &amp; II'!C29</f>
        <v/>
      </c>
      <c r="E131" s="9">
        <f>SUM('Form 990-EZ Parts I &amp; II'!C30,'Form 990-EZ Parts I &amp; II'!C31)</f>
        <v/>
      </c>
      <c r="F131" s="9">
        <f>E131-D131</f>
        <v/>
      </c>
    </row>
    <row r="132">
      <c r="A132" s="26" t="inlineStr">
        <is>
          <t>Form 990-EZ Parts I &amp; II</t>
        </is>
      </c>
      <c r="B132" s="26" t="inlineStr">
        <is>
          <t>Balance sheet identity: line 25 = line 26 + line 27 (EOY)</t>
        </is>
      </c>
      <c r="C132" s="26" t="inlineStr">
        <is>
          <t>FY2022</t>
        </is>
      </c>
      <c r="D132" s="9">
        <f>'Form 990-EZ Parts I &amp; II'!D29</f>
        <v/>
      </c>
      <c r="E132" s="9">
        <f>SUM('Form 990-EZ Parts I &amp; II'!D30,'Form 990-EZ Parts I &amp; II'!D31)</f>
        <v/>
      </c>
      <c r="F132" s="9">
        <f>E132-D132</f>
        <v/>
      </c>
    </row>
    <row r="133">
      <c r="A133" s="26" t="inlineStr">
        <is>
          <t>Form 990-EZ Parts I &amp; II</t>
        </is>
      </c>
      <c r="B133" s="26" t="inlineStr">
        <is>
          <t>Balance sheet identity: line 25 = line 26 + line 27 (EOY)</t>
        </is>
      </c>
      <c r="C133" s="26" t="inlineStr">
        <is>
          <t>FY2023</t>
        </is>
      </c>
      <c r="D133" s="9">
        <f>'Form 990-EZ Parts I &amp; II'!E29</f>
        <v/>
      </c>
      <c r="E133" s="9">
        <f>SUM('Form 990-EZ Parts I &amp; II'!E30,'Form 990-EZ Parts I &amp; II'!E31)</f>
        <v/>
      </c>
      <c r="F133" s="9">
        <f>E133-D133</f>
        <v/>
      </c>
    </row>
    <row r="134">
      <c r="A134" s="26" t="inlineStr">
        <is>
          <t>Form 990-EZ Parts I &amp; II</t>
        </is>
      </c>
      <c r="B134" s="26" t="inlineStr">
        <is>
          <t>Balance sheet identity: line 25 = line 26 + line 27 (EOY)</t>
        </is>
      </c>
      <c r="C134" s="26" t="inlineStr">
        <is>
          <t>FY2024</t>
        </is>
      </c>
      <c r="D134" s="9">
        <f>'Form 990-EZ Parts I &amp; II'!F29</f>
        <v/>
      </c>
      <c r="E134" s="9">
        <f>SUM('Form 990-EZ Parts I &amp; II'!F30,'Form 990-EZ Parts I &amp; II'!F31)</f>
        <v/>
      </c>
      <c r="F134" s="9">
        <f>E134-D134</f>
        <v/>
      </c>
    </row>
    <row r="135">
      <c r="A135" s="26" t="inlineStr">
        <is>
          <t>Form 990-EZ Parts I &amp; II</t>
        </is>
      </c>
      <c r="B135" s="26" t="inlineStr">
        <is>
          <t>Balance sheet identity: line 25 = line 26 + line 27 (EOY)</t>
        </is>
      </c>
      <c r="C135" s="26" t="inlineStr">
        <is>
          <t>FY2025</t>
        </is>
      </c>
      <c r="D135" s="9">
        <f>'Form 990-EZ Parts I &amp; II'!G29</f>
        <v/>
      </c>
      <c r="E135" s="9">
        <f>SUM('Form 990-EZ Parts I &amp; II'!G30,'Form 990-EZ Parts I &amp; II'!G31)</f>
        <v/>
      </c>
      <c r="F135" s="9">
        <f>E135-D135</f>
        <v/>
      </c>
    </row>
    <row r="137">
      <c r="A137" s="25" t="inlineStr">
        <is>
          <t>D. Preparer / auditor trail (one row per fiscal year, as filed)</t>
        </is>
      </c>
      <c r="B137" s="7" t="n"/>
      <c r="C137" s="7" t="n"/>
      <c r="D137" s="7" t="n"/>
      <c r="E137" s="7" t="n"/>
      <c r="F137" s="7" t="n"/>
      <c r="G137" s="7" t="n"/>
      <c r="H137" s="7" t="n"/>
      <c r="I137" s="7" t="n"/>
      <c r="J137" s="7" t="n"/>
      <c r="K137" s="7" t="n"/>
    </row>
    <row r="138">
      <c r="A138" s="5" t="inlineStr">
        <is>
          <t>Fiscal year</t>
        </is>
      </c>
      <c r="B138" s="5" t="inlineStr">
        <is>
          <t>Paid preparer</t>
        </is>
      </c>
      <c r="C138" s="5" t="inlineStr">
        <is>
          <t>Preparer firm</t>
        </is>
      </c>
      <c r="D138" s="5" t="inlineStr">
        <is>
          <t>Independent auditor</t>
        </is>
      </c>
      <c r="E138" s="5" t="inlineStr">
        <is>
          <t>Citation</t>
        </is>
      </c>
    </row>
    <row r="139" ht="42" customHeight="1">
      <c r="A139" s="22" t="inlineStr">
        <is>
          <t>FY2020</t>
        </is>
      </c>
      <c r="B139" s="8" t="inlineStr">
        <is>
          <t>KRISTY A MCMENOMEY</t>
        </is>
      </c>
      <c r="C139" s="8" t="inlineStr">
        <is>
          <t>KRISTY MCMENOMEY CPA</t>
        </is>
      </c>
      <c r="D139" s="27" t="inlineStr">
        <is>
          <t>not reported</t>
        </is>
      </c>
      <c r="E139" s="17" t="inlineStr">
        <is>
          <t>Form 990 Return Header, Paid Preparer block (return_header.preparer_person_name / preparer_firm_name); auditor: Part XII line 2 reports audited financial statements but does not name the firm.</t>
        </is>
      </c>
    </row>
    <row r="140" ht="42" customHeight="1">
      <c r="A140" s="22" t="inlineStr">
        <is>
          <t>FY2021</t>
        </is>
      </c>
      <c r="B140" s="8" t="inlineStr">
        <is>
          <t>KRISTY A MCMENOMEY</t>
        </is>
      </c>
      <c r="C140" s="8" t="inlineStr">
        <is>
          <t>KRISTY MCMENOMEY CPA</t>
        </is>
      </c>
      <c r="D140" s="27" t="inlineStr">
        <is>
          <t>not reported</t>
        </is>
      </c>
      <c r="E140" s="17" t="inlineStr">
        <is>
          <t>Form 990 Return Header, Paid Preparer block (return_header.preparer_person_name / preparer_firm_name); auditor: Part XII line 2 reports audited financial statements but does not name the firm.</t>
        </is>
      </c>
    </row>
    <row r="141" ht="42" customHeight="1">
      <c r="A141" s="22" t="inlineStr">
        <is>
          <t>FY2022</t>
        </is>
      </c>
      <c r="B141" s="8" t="inlineStr">
        <is>
          <t>KRISTY A MCMENOMEY</t>
        </is>
      </c>
      <c r="C141" s="8" t="inlineStr">
        <is>
          <t>KRISTY MCMENOMEY CPA</t>
        </is>
      </c>
      <c r="D141" s="27" t="inlineStr">
        <is>
          <t>not reported</t>
        </is>
      </c>
      <c r="E141" s="17" t="inlineStr">
        <is>
          <t>Form 990 Return Header, Paid Preparer block (return_header.preparer_person_name / preparer_firm_name); auditor: Part XII line 2 reports audited financial statements but does not name the firm.</t>
        </is>
      </c>
    </row>
    <row r="142" ht="42" customHeight="1">
      <c r="A142" s="22" t="inlineStr">
        <is>
          <t>FY2023</t>
        </is>
      </c>
      <c r="B142" s="8" t="inlineStr">
        <is>
          <t>KRISTY A MCMENOMEY</t>
        </is>
      </c>
      <c r="C142" s="8" t="inlineStr">
        <is>
          <t>KRISTY MCMENOMEY CPA</t>
        </is>
      </c>
      <c r="D142" s="27" t="inlineStr">
        <is>
          <t>not reported</t>
        </is>
      </c>
      <c r="E142" s="17" t="inlineStr">
        <is>
          <t>Form 990 Return Header, Paid Preparer block (return_header.preparer_person_name / preparer_firm_name); auditor: Part XII line 2 reports audited financial statements but does not name the firm.</t>
        </is>
      </c>
    </row>
    <row r="143" ht="42" customHeight="1">
      <c r="A143" s="22" t="inlineStr">
        <is>
          <t>FY2024</t>
        </is>
      </c>
      <c r="B143" s="8" t="inlineStr">
        <is>
          <t>KRISTY A MCMENOMEY</t>
        </is>
      </c>
      <c r="C143" s="8" t="inlineStr">
        <is>
          <t>KRISTY MCMENOMEY CPA</t>
        </is>
      </c>
      <c r="D143" s="27" t="inlineStr">
        <is>
          <t>not reported</t>
        </is>
      </c>
      <c r="E143" s="17" t="inlineStr">
        <is>
          <t>Form 990 Return Header, Paid Preparer block (return_header.preparer_person_name / preparer_firm_name); auditor: Part XII line 2 reports audited financial statements but does not name the firm.</t>
        </is>
      </c>
    </row>
    <row r="144" ht="42" customHeight="1">
      <c r="A144" s="22" t="inlineStr">
        <is>
          <t>FY2025</t>
        </is>
      </c>
      <c r="B144" s="8" t="inlineStr">
        <is>
          <t>KRISTY A MCMENOMEY</t>
        </is>
      </c>
      <c r="C144" s="8" t="inlineStr">
        <is>
          <t>KRISTY MCMENOMEY CPA</t>
        </is>
      </c>
      <c r="D144" s="27" t="inlineStr">
        <is>
          <t>not reported</t>
        </is>
      </c>
      <c r="E144" s="17" t="inlineStr">
        <is>
          <t>Form 990 Return Header, Paid Preparer block (return_header.preparer_person_name / preparer_firm_name); auditor: Part XII line 2 reports audited financial statements but does not name the firm.</t>
        </is>
      </c>
    </row>
    <row r="146" ht="42" customHeight="1">
      <c r="A146" s="3" t="inlineStr">
        <is>
          <t>Section B lists every figure on the statement tabs by its cell, so any number can be traced to its Form 990 line, key path, and confidence without cluttering the statements. Section C recomputes each statutory total live from the statement cells and compares it with the as-filed value; a nonzero variance turns red. A red row is a filer-internal inconsistency (e.g. an ending net-assets figure that does not equal the beginning balance plus the year's surplus or deficit), carried exactly as filed and never reconciled; the statutory totals otherwise tie to zero. Section D records the paid preparer and (where named) the auditor for each year, as filed; the 990 names the preparer but not the auditing firm, so the auditor reads "not reported". Section E lists every as-filed wording variant for Part IX line-24 rows that were consolidated across years because they differed only by capitalization or spacing. IRS efile XML has no page numbers, so 990 figures cite by Part and line (the key path), not a page.</t>
        </is>
      </c>
    </row>
  </sheetData>
  <mergeCells count="6">
    <mergeCell ref="A6:K6"/>
    <mergeCell ref="A3:K3"/>
    <mergeCell ref="A2:K2"/>
    <mergeCell ref="A5:K5"/>
    <mergeCell ref="A1:K1"/>
    <mergeCell ref="A146:K146"/>
  </mergeCells>
  <conditionalFormatting sqref="F112:F135">
    <cfRule type="cellIs" priority="1" operator="notEqual" dxfId="0">
      <formula>0</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34" customWidth="1" min="1" max="1"/>
    <col width="90" customWidth="1" min="2" max="2"/>
  </cols>
  <sheetData>
    <row r="1">
      <c r="A1" t="inlineStr">
        <is>
          <t>Build provenance</t>
        </is>
      </c>
      <c r="B1" t="inlineStr">
        <is>
          <t>Built from source commit 98dc98bc0062 (2026-09-23); source fingerprint 324dc8855ca42b84; 111 companies (99 retail mutual, 4 irrigation mutual, 3 mutual, no PWSID, purpose not stated, 2 frozen non-mutual (special district), 1 frozen non-mutual (investor-owned), 1 frozen non-mutual (municipal), 1 wholesale mutual); 88 gates; build id 5f652918e4cc.</t>
        </is>
      </c>
    </row>
    <row r="2">
      <c r="A2" t="inlineStr">
        <is>
          <t>source_commit</t>
        </is>
      </c>
      <c r="B2" t="inlineStr">
        <is>
          <t>98dc98bc00622fcb88235e1279e1d57fef7ff8b2</t>
        </is>
      </c>
    </row>
    <row r="3">
      <c r="A3" t="inlineStr">
        <is>
          <t>source_commit_date</t>
        </is>
      </c>
      <c r="B3" t="inlineStr">
        <is>
          <t>2026-09-23</t>
        </is>
      </c>
    </row>
    <row r="4">
      <c r="A4" t="inlineStr">
        <is>
          <t>source_fingerprint</t>
        </is>
      </c>
      <c r="B4" t="inlineStr">
        <is>
          <t>324dc8855ca42b84120c64d4114787c454bb5556a34f4f98da03d5c73c1e9bc3</t>
        </is>
      </c>
    </row>
    <row r="5">
      <c r="A5" t="inlineStr">
        <is>
          <t>gate_count</t>
        </is>
      </c>
      <c r="B5" t="n">
        <v>88</v>
      </c>
    </row>
    <row r="6">
      <c r="A6" t="inlineStr">
        <is>
          <t>build_id</t>
        </is>
      </c>
      <c r="B6" t="inlineStr">
        <is>
          <t>5f652918e4cc</t>
        </is>
      </c>
    </row>
    <row r="7">
      <c r="A7" t="inlineStr">
        <is>
          <t>registry: frozen non-mutual (investor-owned)</t>
        </is>
      </c>
      <c r="B7" t="n">
        <v>1</v>
      </c>
    </row>
    <row r="8">
      <c r="A8" t="inlineStr">
        <is>
          <t>registry: frozen non-mutual (municipal)</t>
        </is>
      </c>
      <c r="B8" t="n">
        <v>1</v>
      </c>
    </row>
    <row r="9">
      <c r="A9" t="inlineStr">
        <is>
          <t>registry: frozen non-mutual (special district)</t>
        </is>
      </c>
      <c r="B9" t="n">
        <v>2</v>
      </c>
    </row>
    <row r="10">
      <c r="A10" t="inlineStr">
        <is>
          <t>registry: irrigation mutual</t>
        </is>
      </c>
      <c r="B10" t="n">
        <v>4</v>
      </c>
    </row>
    <row r="11">
      <c r="A11" t="inlineStr">
        <is>
          <t>registry: mutual, no PWSID, purpose not stated</t>
        </is>
      </c>
      <c r="B11" t="n">
        <v>3</v>
      </c>
    </row>
    <row r="12">
      <c r="A12" t="inlineStr">
        <is>
          <t>registry: retail mutual</t>
        </is>
      </c>
      <c r="B12" t="n">
        <v>99</v>
      </c>
    </row>
    <row r="13">
      <c r="A13" t="inlineStr">
        <is>
          <t>registry: wholesale mutual</t>
        </is>
      </c>
      <c r="B1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2020-01-01T00:00:00Z</dcterms:created>
  <dcterms:modified xsi:type="dcterms:W3CDTF">2020-01-01T00:00:00Z</dcterms:modified>
</cp:coreProperties>
</file>