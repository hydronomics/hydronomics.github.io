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Antelope Park Mutual Water Co</t>
        </is>
      </c>
    </row>
    <row r="2">
      <c r="A2" s="2" t="inlineStr">
        <is>
          <t>Financial Summary - multi-year overview (USD)</t>
        </is>
      </c>
    </row>
    <row r="3">
      <c r="A3" s="2" t="inlineStr">
        <is>
          <t>Entity ID: cawc_0100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135798</v>
      </c>
      <c r="C10" s="9" t="n">
        <v>133880</v>
      </c>
      <c r="D10" s="9" t="n">
        <v>132123</v>
      </c>
      <c r="E10" s="9" t="n">
        <v>124413</v>
      </c>
      <c r="F10" s="9" t="n">
        <v>118296</v>
      </c>
      <c r="G10" s="9" t="n">
        <v>122235</v>
      </c>
    </row>
    <row r="11">
      <c r="A11" s="8" t="inlineStr">
        <is>
          <t xml:space="preserve">    Total expenses</t>
        </is>
      </c>
      <c r="B11" s="9" t="n">
        <v>126461</v>
      </c>
      <c r="C11" s="9" t="n">
        <v>120359</v>
      </c>
      <c r="D11" s="9" t="n">
        <v>137632</v>
      </c>
      <c r="E11" s="9" t="n">
        <v>128319</v>
      </c>
      <c r="F11" s="9" t="n">
        <v>123748</v>
      </c>
      <c r="G11" s="9" t="n">
        <v>119210</v>
      </c>
    </row>
    <row r="12">
      <c r="A12" s="10" t="inlineStr">
        <is>
          <t xml:space="preserve">    Net income</t>
        </is>
      </c>
      <c r="B12" s="11" t="n">
        <v>9337</v>
      </c>
      <c r="C12" s="11" t="n">
        <v>13521</v>
      </c>
      <c r="D12" s="11" t="n">
        <v>-5509</v>
      </c>
      <c r="E12" s="11" t="n">
        <v>-3906</v>
      </c>
      <c r="F12" s="11" t="n">
        <v>-5452</v>
      </c>
      <c r="G12" s="11" t="n">
        <v>3025</v>
      </c>
    </row>
    <row r="14">
      <c r="A14" s="6" t="inlineStr">
        <is>
          <t>Financial position (USD, end of year)</t>
        </is>
      </c>
      <c r="B14" s="7" t="n"/>
      <c r="C14" s="7" t="n"/>
      <c r="D14" s="7" t="n"/>
      <c r="E14" s="7" t="n"/>
      <c r="F14" s="7" t="n"/>
      <c r="G14" s="7" t="n"/>
    </row>
    <row r="15">
      <c r="A15" s="8" t="inlineStr">
        <is>
          <t xml:space="preserve">    Total assets</t>
        </is>
      </c>
      <c r="B15" s="9" t="n">
        <v>451606</v>
      </c>
      <c r="C15" s="9" t="n">
        <v>464228</v>
      </c>
      <c r="D15" s="9" t="n">
        <v>458719</v>
      </c>
      <c r="E15" s="9" t="n">
        <v>454813</v>
      </c>
      <c r="F15" s="9" t="n">
        <v>449676</v>
      </c>
      <c r="G15" s="9" t="n">
        <v>452764</v>
      </c>
    </row>
    <row r="16">
      <c r="A16" s="8" t="inlineStr">
        <is>
          <t xml:space="preserve">    Total liabilities</t>
        </is>
      </c>
      <c r="B16" s="9" t="n">
        <v>899</v>
      </c>
      <c r="C16" s="9" t="n"/>
      <c r="D16" s="9" t="n"/>
      <c r="E16" s="9" t="n"/>
      <c r="F16" s="9" t="n">
        <v>315</v>
      </c>
      <c r="G16" s="9" t="n">
        <v>378</v>
      </c>
    </row>
    <row r="17">
      <c r="A17" s="10" t="inlineStr">
        <is>
          <t xml:space="preserve">    Net assets</t>
        </is>
      </c>
      <c r="B17" s="11" t="n">
        <v>450707</v>
      </c>
      <c r="C17" s="11" t="n">
        <v>464228</v>
      </c>
      <c r="D17" s="11" t="n">
        <v>458719</v>
      </c>
      <c r="E17" s="11" t="n">
        <v>454813</v>
      </c>
      <c r="F17" s="11" t="n">
        <v>449361</v>
      </c>
      <c r="G17" s="11" t="n">
        <v>452386</v>
      </c>
    </row>
    <row r="19">
      <c r="A19" s="6" t="inlineStr">
        <is>
          <t>Headline ratios</t>
        </is>
      </c>
      <c r="B19" s="7" t="n"/>
      <c r="C19" s="7" t="n"/>
      <c r="D19" s="7" t="n"/>
      <c r="E19" s="7" t="n"/>
      <c r="F19" s="7" t="n"/>
      <c r="G19" s="7" t="n"/>
    </row>
    <row r="20">
      <c r="A20" s="8" t="inlineStr">
        <is>
          <t xml:space="preserve">    Operating margin</t>
        </is>
      </c>
      <c r="B20" s="12" t="n">
        <v>0.06875653544234819</v>
      </c>
      <c r="C20" s="12" t="n">
        <v>0.100993426949507</v>
      </c>
      <c r="D20" s="12" t="n">
        <v>-0.04169599539822741</v>
      </c>
      <c r="E20" s="12" t="n">
        <v>-0.03139543295314799</v>
      </c>
      <c r="F20" s="12" t="n">
        <v>-0.04608777980658687</v>
      </c>
      <c r="G20" s="12" t="n">
        <v>0.02474741277048309</v>
      </c>
    </row>
    <row r="21">
      <c r="A21" s="8" t="inlineStr">
        <is>
          <t xml:space="preserve">    Revenue growth (YoY)</t>
        </is>
      </c>
      <c r="B21" s="12" t="n"/>
      <c r="C21" s="12" t="n"/>
      <c r="D21" s="12" t="n"/>
      <c r="E21" s="12" t="n"/>
      <c r="F21" s="12" t="n"/>
      <c r="G21" s="12" t="n"/>
    </row>
    <row r="22">
      <c r="A22" s="8" t="inlineStr">
        <is>
          <t xml:space="preserve">    Return on assets</t>
        </is>
      </c>
      <c r="B22" s="12" t="n">
        <v>0.02067510174798386</v>
      </c>
      <c r="C22" s="12" t="n">
        <v>0.02912577440395668</v>
      </c>
      <c r="D22" s="12" t="n">
        <v>-0.0120095308892808</v>
      </c>
      <c r="E22" s="12" t="n">
        <v>-0.008588145017842498</v>
      </c>
      <c r="F22" s="12" t="n">
        <v>-0.01212428504078492</v>
      </c>
      <c r="G22" s="12" t="n">
        <v>0.00668118489985953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Antelope Park Mutual Water Co</t>
        </is>
      </c>
    </row>
    <row r="2">
      <c r="A2" s="2" t="inlineStr">
        <is>
          <t>Financial Statements - income statement, balance sheet, cash flow, member income test (USD)</t>
        </is>
      </c>
    </row>
    <row r="3">
      <c r="A3" s="2" t="inlineStr">
        <is>
          <t>Entity ID: cawc_0100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126461</v>
      </c>
      <c r="C19" s="11" t="n">
        <v>120359</v>
      </c>
      <c r="D19" s="11" t="n">
        <v>137632</v>
      </c>
      <c r="E19" s="11" t="n">
        <v>128319</v>
      </c>
      <c r="F19" s="11" t="n">
        <v>123748</v>
      </c>
      <c r="G19" s="11" t="n">
        <v>119210</v>
      </c>
    </row>
    <row r="21">
      <c r="A21" s="10" t="inlineStr">
        <is>
          <t>Net income</t>
        </is>
      </c>
      <c r="B21" s="11" t="n">
        <v>9337</v>
      </c>
      <c r="C21" s="11" t="n">
        <v>13521</v>
      </c>
      <c r="D21" s="11" t="n">
        <v>-5509</v>
      </c>
      <c r="E21" s="11" t="n">
        <v>-3906</v>
      </c>
      <c r="F21" s="11" t="n">
        <v>-5452</v>
      </c>
      <c r="G21" s="11" t="n">
        <v>3025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401122</v>
      </c>
      <c r="C27" s="9" t="n">
        <v>422877</v>
      </c>
      <c r="D27" s="9" t="n">
        <v>426282</v>
      </c>
      <c r="E27" s="9" t="n">
        <v>426576</v>
      </c>
      <c r="F27" s="9" t="n">
        <v>423344</v>
      </c>
      <c r="G27" s="9" t="n">
        <v>426984</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25290</v>
      </c>
      <c r="C34" s="11" t="n">
        <v>25290</v>
      </c>
      <c r="D34" s="11" t="n">
        <v>25290</v>
      </c>
      <c r="E34" s="11" t="n">
        <v>25290</v>
      </c>
      <c r="F34" s="11" t="n">
        <v>25290</v>
      </c>
      <c r="G34" s="11" t="n">
        <v>25290</v>
      </c>
    </row>
    <row r="35">
      <c r="A35" s="10" t="inlineStr">
        <is>
          <t>Total assets</t>
        </is>
      </c>
      <c r="B35" s="11" t="n">
        <v>451606</v>
      </c>
      <c r="C35" s="11" t="n">
        <v>464228</v>
      </c>
      <c r="D35" s="11" t="n">
        <v>458719</v>
      </c>
      <c r="E35" s="11" t="n">
        <v>454813</v>
      </c>
      <c r="F35" s="11" t="n">
        <v>449676</v>
      </c>
      <c r="G35" s="11" t="n">
        <v>452764</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899</v>
      </c>
      <c r="C40" s="11" t="n"/>
      <c r="D40" s="11" t="n"/>
      <c r="E40" s="11" t="n"/>
      <c r="F40" s="11" t="n">
        <v>315</v>
      </c>
      <c r="G40" s="11" t="n">
        <v>378</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450707</v>
      </c>
      <c r="C46" s="11" t="n">
        <v>464228</v>
      </c>
      <c r="D46" s="11" t="n">
        <v>458719</v>
      </c>
      <c r="E46" s="11" t="n">
        <v>454813</v>
      </c>
      <c r="F46" s="11" t="n">
        <v>449361</v>
      </c>
      <c r="G46" s="11" t="n">
        <v>452386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9337</v>
      </c>
      <c r="C52" s="9" t="n">
        <v>13521</v>
      </c>
      <c r="D52" s="9" t="n">
        <v>-5509</v>
      </c>
      <c r="E52" s="9" t="n">
        <v>-3906</v>
      </c>
      <c r="F52" s="9" t="n">
        <v>-5452</v>
      </c>
      <c r="G52" s="9" t="n">
        <v>3025</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13521</v>
      </c>
      <c r="D58" s="11" t="n">
        <v>-5509</v>
      </c>
      <c r="E58" s="11" t="n">
        <v>-3906</v>
      </c>
      <c r="F58" s="11" t="n">
        <v>-5452</v>
      </c>
      <c r="G58" s="11" t="n">
        <v>3025</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21755</v>
      </c>
      <c r="D67" s="11" t="n">
        <v>3405</v>
      </c>
      <c r="E67" s="11" t="n">
        <v>294</v>
      </c>
      <c r="F67" s="11" t="n">
        <v>-3232</v>
      </c>
      <c r="G67" s="11" t="n">
        <v>3640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Antelope Park Mutual Water Co</t>
        </is>
      </c>
    </row>
    <row r="2">
      <c r="A2" s="2" t="inlineStr">
        <is>
          <t>Balance Sheet - as reported (USD, end of year)</t>
        </is>
      </c>
    </row>
    <row r="3">
      <c r="A3" s="2" t="inlineStr">
        <is>
          <t>Entity ID: cawc_0100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401122</v>
      </c>
      <c r="C7" s="9" t="n">
        <v>422877</v>
      </c>
      <c r="D7" s="9" t="n">
        <v>426282</v>
      </c>
      <c r="E7" s="9" t="n">
        <v>426576</v>
      </c>
      <c r="F7" s="9" t="n">
        <v>423344</v>
      </c>
      <c r="G7" s="9" t="n">
        <v>426984</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25290</v>
      </c>
      <c r="C14" s="11" t="n">
        <v>25290</v>
      </c>
      <c r="D14" s="11" t="n">
        <v>25290</v>
      </c>
      <c r="E14" s="11" t="n">
        <v>25290</v>
      </c>
      <c r="F14" s="11" t="n">
        <v>25290</v>
      </c>
      <c r="G14" s="11" t="n">
        <v>25290</v>
      </c>
    </row>
    <row r="15">
      <c r="A15" s="10" t="inlineStr">
        <is>
          <t>Total assets</t>
        </is>
      </c>
      <c r="B15" s="11" t="n">
        <v>451606</v>
      </c>
      <c r="C15" s="11" t="n">
        <v>464228</v>
      </c>
      <c r="D15" s="11" t="n">
        <v>458719</v>
      </c>
      <c r="E15" s="11" t="n">
        <v>454813</v>
      </c>
      <c r="F15" s="11" t="n">
        <v>449676</v>
      </c>
      <c r="G15" s="11" t="n">
        <v>452764</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899</v>
      </c>
      <c r="C20" s="11" t="n"/>
      <c r="D20" s="11" t="n"/>
      <c r="E20" s="11" t="n"/>
      <c r="F20" s="11" t="n">
        <v>315</v>
      </c>
      <c r="G20" s="11" t="n">
        <v>378</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450707</v>
      </c>
      <c r="C26" s="11" t="n">
        <v>464228</v>
      </c>
      <c r="D26" s="11" t="n">
        <v>458719</v>
      </c>
      <c r="E26" s="11" t="n">
        <v>454813</v>
      </c>
      <c r="F26" s="11" t="n">
        <v>449361</v>
      </c>
      <c r="G26" s="11" t="n">
        <v>452386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Antelope Park Mutual Water Co</t>
        </is>
      </c>
    </row>
    <row r="2">
      <c r="A2" s="2" t="inlineStr">
        <is>
          <t>Form 990-EZ - Part I (revenue, expenses, net assets) and Part II (balance sheet), as filed (USD)</t>
        </is>
      </c>
    </row>
    <row r="3">
      <c r="A3" s="2" t="inlineStr">
        <is>
          <t>Entity ID: cawc_0100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4. Investment income</t>
        </is>
      </c>
      <c r="B7" s="9" t="n">
        <v>83</v>
      </c>
      <c r="C7" s="9" t="n">
        <v>38</v>
      </c>
      <c r="D7" s="9" t="n">
        <v>63</v>
      </c>
      <c r="E7" s="9" t="n">
        <v>382</v>
      </c>
      <c r="F7" s="9" t="n">
        <v>43</v>
      </c>
      <c r="G7" s="9" t="n">
        <v>43</v>
      </c>
    </row>
    <row r="8">
      <c r="A8" s="10" t="inlineStr">
        <is>
          <t>9. Total revenue</t>
        </is>
      </c>
      <c r="B8" s="11" t="n">
        <v>135798</v>
      </c>
      <c r="C8" s="11" t="n">
        <v>133880</v>
      </c>
      <c r="D8" s="11" t="n">
        <v>132123</v>
      </c>
      <c r="E8" s="11" t="n">
        <v>124413</v>
      </c>
      <c r="F8" s="11" t="n">
        <v>118296</v>
      </c>
      <c r="G8" s="11" t="n">
        <v>122235</v>
      </c>
    </row>
    <row r="10">
      <c r="A10" s="6" t="inlineStr">
        <is>
          <t>Expenses (Part I)</t>
        </is>
      </c>
      <c r="B10" s="7" t="n"/>
      <c r="C10" s="7" t="n"/>
      <c r="D10" s="7" t="n"/>
      <c r="E10" s="7" t="n"/>
      <c r="F10" s="7" t="n"/>
      <c r="G10" s="7" t="n"/>
    </row>
    <row r="11">
      <c r="A11" s="8" t="inlineStr">
        <is>
          <t xml:space="preserve">    12. Salaries, other compensation, benefits</t>
        </is>
      </c>
      <c r="B11" s="9" t="n">
        <v>91036</v>
      </c>
      <c r="C11" s="9" t="n">
        <v>91315</v>
      </c>
      <c r="D11" s="9" t="n">
        <v>93273</v>
      </c>
      <c r="E11" s="9" t="n">
        <v>93262</v>
      </c>
      <c r="F11" s="9" t="n">
        <v>97267</v>
      </c>
      <c r="G11" s="9" t="n">
        <v>93591</v>
      </c>
    </row>
    <row r="12">
      <c r="A12" s="8" t="inlineStr">
        <is>
          <t xml:space="preserve">    13. Fees for services (independent contractors)</t>
        </is>
      </c>
      <c r="B12" s="9" t="n">
        <v>7219</v>
      </c>
      <c r="C12" s="9" t="n">
        <v>6867</v>
      </c>
      <c r="D12" s="9" t="n">
        <v>8304</v>
      </c>
      <c r="E12" s="9" t="n">
        <v>5421</v>
      </c>
      <c r="F12" s="9" t="n">
        <v>4809</v>
      </c>
      <c r="G12" s="9" t="n">
        <v>4232</v>
      </c>
    </row>
    <row r="13">
      <c r="A13" s="8" t="inlineStr">
        <is>
          <t xml:space="preserve">    14. Occupancy, rent, utilities, maintenance</t>
        </is>
      </c>
      <c r="B13" s="14" t="inlineStr">
        <is>
          <t>not reported</t>
        </is>
      </c>
      <c r="C13" s="14" t="inlineStr">
        <is>
          <t>not reported</t>
        </is>
      </c>
      <c r="D13" s="14" t="inlineStr">
        <is>
          <t>not reported</t>
        </is>
      </c>
      <c r="E13" s="14" t="inlineStr">
        <is>
          <t>not reported</t>
        </is>
      </c>
      <c r="F13" s="9" t="n">
        <v>223</v>
      </c>
      <c r="G13" s="9" t="n">
        <v>248</v>
      </c>
    </row>
    <row r="14">
      <c r="A14" s="8" t="inlineStr">
        <is>
          <t xml:space="preserve">    15. Printing, publications, postage</t>
        </is>
      </c>
      <c r="B14" s="9" t="n">
        <v>1179</v>
      </c>
      <c r="C14" s="9" t="n">
        <v>1490</v>
      </c>
      <c r="D14" s="9" t="n">
        <v>1489</v>
      </c>
      <c r="E14" s="9" t="n">
        <v>1380</v>
      </c>
      <c r="F14" s="9" t="n">
        <v>1520</v>
      </c>
      <c r="G14" s="9" t="n">
        <v>1675</v>
      </c>
    </row>
    <row r="15">
      <c r="A15" s="8" t="inlineStr">
        <is>
          <t xml:space="preserve">    16. Other expenses</t>
        </is>
      </c>
      <c r="B15" s="9" t="n">
        <v>27027</v>
      </c>
      <c r="C15" s="9" t="n">
        <v>20687</v>
      </c>
      <c r="D15" s="9" t="n">
        <v>34566</v>
      </c>
      <c r="E15" s="9" t="n">
        <v>28256</v>
      </c>
      <c r="F15" s="9" t="n">
        <v>19929</v>
      </c>
      <c r="G15" s="9" t="n">
        <v>19464</v>
      </c>
    </row>
    <row r="16">
      <c r="A16" s="10" t="inlineStr">
        <is>
          <t>17. Total expenses</t>
        </is>
      </c>
      <c r="B16" s="11">
        <f>SUM(B11:B15)</f>
        <v/>
      </c>
      <c r="C16" s="11">
        <f>SUM(C11:C15)</f>
        <v/>
      </c>
      <c r="D16" s="11">
        <f>SUM(D11:D15)</f>
        <v/>
      </c>
      <c r="E16" s="11">
        <f>SUM(E11:E15)</f>
        <v/>
      </c>
      <c r="F16" s="11">
        <f>SUM(F11:F15)</f>
        <v/>
      </c>
      <c r="G16" s="11">
        <f>SUM(G11:G15)</f>
        <v/>
      </c>
    </row>
    <row r="18">
      <c r="A18" s="6" t="inlineStr">
        <is>
          <t>Net-assets reconciliation (Part I)</t>
        </is>
      </c>
      <c r="B18" s="7" t="n"/>
      <c r="C18" s="7" t="n"/>
      <c r="D18" s="7" t="n"/>
      <c r="E18" s="7" t="n"/>
      <c r="F18" s="7" t="n"/>
      <c r="G18" s="7" t="n"/>
    </row>
    <row r="19">
      <c r="A19" s="8" t="inlineStr">
        <is>
          <t xml:space="preserve">    19. Net assets or fund balances, beginning of year</t>
        </is>
      </c>
      <c r="B19" s="9" t="n">
        <v>441370</v>
      </c>
      <c r="C19" s="9" t="n">
        <v>450707</v>
      </c>
      <c r="D19" s="9" t="n">
        <v>464228</v>
      </c>
      <c r="E19" s="9" t="n">
        <v>458719</v>
      </c>
      <c r="F19" s="9" t="n">
        <v>454813</v>
      </c>
      <c r="G19" s="9" t="n">
        <v>449361</v>
      </c>
    </row>
    <row r="20">
      <c r="A20" s="8" t="inlineStr">
        <is>
          <t xml:space="preserve">    18. Excess or (deficit) for the year</t>
        </is>
      </c>
      <c r="B20" s="9" t="n">
        <v>9337</v>
      </c>
      <c r="C20" s="9" t="n">
        <v>13521</v>
      </c>
      <c r="D20" s="9" t="n">
        <v>-5509</v>
      </c>
      <c r="E20" s="9" t="n">
        <v>-3906</v>
      </c>
      <c r="F20" s="9" t="n">
        <v>-5452</v>
      </c>
      <c r="G20" s="9" t="n">
        <v>3025</v>
      </c>
    </row>
    <row r="21">
      <c r="A21" s="10" t="inlineStr">
        <is>
          <t>21. Net assets or fund balances, end of year</t>
        </is>
      </c>
      <c r="B21" s="11">
        <f>SUM(B19,B20)</f>
        <v/>
      </c>
      <c r="C21" s="11">
        <f>SUM(C19,C20)</f>
        <v/>
      </c>
      <c r="D21" s="11">
        <f>SUM(D19,D20)</f>
        <v/>
      </c>
      <c r="E21" s="11">
        <f>SUM(E19,E20)</f>
        <v/>
      </c>
      <c r="F21" s="11">
        <f>SUM(F19,F20)</f>
        <v/>
      </c>
      <c r="G21" s="11">
        <f>SUM(G19,G20)</f>
        <v/>
      </c>
    </row>
    <row r="23">
      <c r="A23" s="6" t="inlineStr">
        <is>
          <t>Balance sheet (Part II, end of year - column B)</t>
        </is>
      </c>
      <c r="B23" s="7" t="n"/>
      <c r="C23" s="7" t="n"/>
      <c r="D23" s="7" t="n"/>
      <c r="E23" s="7" t="n"/>
      <c r="F23" s="7" t="n"/>
      <c r="G23" s="7" t="n"/>
    </row>
    <row r="24">
      <c r="A24" s="8" t="inlineStr">
        <is>
          <t xml:space="preserve">    22. Cash, savings, and investments</t>
        </is>
      </c>
      <c r="B24" s="9" t="n">
        <v>401122</v>
      </c>
      <c r="C24" s="9" t="n">
        <v>422877</v>
      </c>
      <c r="D24" s="9" t="n">
        <v>426282</v>
      </c>
      <c r="E24" s="9" t="n">
        <v>426576</v>
      </c>
      <c r="F24" s="9" t="n">
        <v>423344</v>
      </c>
      <c r="G24" s="9" t="n">
        <v>426984</v>
      </c>
    </row>
    <row r="25">
      <c r="A25" s="8" t="inlineStr">
        <is>
          <t xml:space="preserve">    23. Land and buildings</t>
        </is>
      </c>
      <c r="B25" s="9" t="n">
        <v>25290</v>
      </c>
      <c r="C25" s="9" t="n">
        <v>25290</v>
      </c>
      <c r="D25" s="9" t="n">
        <v>25290</v>
      </c>
      <c r="E25" s="9" t="n">
        <v>25290</v>
      </c>
      <c r="F25" s="9" t="n">
        <v>25290</v>
      </c>
      <c r="G25" s="9" t="n">
        <v>25290</v>
      </c>
    </row>
    <row r="26">
      <c r="A26" s="8" t="inlineStr">
        <is>
          <t xml:space="preserve">    24. Other assets</t>
        </is>
      </c>
      <c r="B26" s="9" t="n">
        <v>25194</v>
      </c>
      <c r="C26" s="9" t="n">
        <v>16061</v>
      </c>
      <c r="D26" s="9" t="n">
        <v>7147</v>
      </c>
      <c r="E26" s="9" t="n">
        <v>2947</v>
      </c>
      <c r="F26" s="9" t="n">
        <v>1042</v>
      </c>
      <c r="G26" s="9" t="n">
        <v>490</v>
      </c>
    </row>
    <row r="27">
      <c r="A27" s="10" t="inlineStr">
        <is>
          <t>25. Total assets</t>
        </is>
      </c>
      <c r="B27" s="11">
        <f>SUM(B24:B26)</f>
        <v/>
      </c>
      <c r="C27" s="11">
        <f>SUM(C24:C26)</f>
        <v/>
      </c>
      <c r="D27" s="11">
        <f>SUM(D24:D26)</f>
        <v/>
      </c>
      <c r="E27" s="11">
        <f>SUM(E24:E26)</f>
        <v/>
      </c>
      <c r="F27" s="11">
        <f>SUM(F24:F26)</f>
        <v/>
      </c>
      <c r="G27" s="11">
        <f>SUM(G24:G26)</f>
        <v/>
      </c>
    </row>
    <row r="28">
      <c r="A28" s="10" t="inlineStr">
        <is>
          <t>26. Total liabilities</t>
        </is>
      </c>
      <c r="B28" s="11" t="n">
        <v>899</v>
      </c>
      <c r="C28" s="14" t="inlineStr">
        <is>
          <t>not reported</t>
        </is>
      </c>
      <c r="D28" s="14" t="inlineStr">
        <is>
          <t>not reported</t>
        </is>
      </c>
      <c r="E28" s="14" t="inlineStr">
        <is>
          <t>not reported</t>
        </is>
      </c>
      <c r="F28" s="11" t="n">
        <v>315</v>
      </c>
      <c r="G28" s="11" t="n">
        <v>378</v>
      </c>
    </row>
    <row r="29">
      <c r="A29" s="10" t="inlineStr">
        <is>
          <t>27. Net assets or fund balances</t>
        </is>
      </c>
      <c r="B29" s="11" t="n">
        <v>450707</v>
      </c>
      <c r="C29" s="11" t="n">
        <v>464228</v>
      </c>
      <c r="D29" s="11" t="n">
        <v>458719</v>
      </c>
      <c r="E29" s="11" t="n">
        <v>454813</v>
      </c>
      <c r="F29" s="11" t="n">
        <v>449361</v>
      </c>
      <c r="G29" s="11" t="n">
        <v>452386</v>
      </c>
    </row>
    <row r="31" ht="42" customHeight="1">
      <c r="A31"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1:G31"/>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Antelope Park Mutual Water Co</t>
        </is>
      </c>
    </row>
    <row r="2">
      <c r="A2" s="2" t="inlineStr">
        <is>
          <t>Cash Flow Proxies - derived (USD)</t>
        </is>
      </c>
    </row>
    <row r="3">
      <c r="A3" s="2" t="inlineStr">
        <is>
          <t>Entity ID: cawc_0100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9337</v>
      </c>
      <c r="C9" s="9" t="n">
        <v>13521</v>
      </c>
      <c r="D9" s="9" t="n">
        <v>-5509</v>
      </c>
      <c r="E9" s="9" t="n">
        <v>-3906</v>
      </c>
      <c r="F9" s="9" t="n">
        <v>-5452</v>
      </c>
      <c r="G9" s="9" t="n">
        <v>3025</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13521</v>
      </c>
      <c r="D15" s="11" t="n">
        <v>-5509</v>
      </c>
      <c r="E15" s="11" t="n">
        <v>-3906</v>
      </c>
      <c r="F15" s="11" t="n">
        <v>-5452</v>
      </c>
      <c r="G15" s="11" t="n">
        <v>3025</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21755</v>
      </c>
      <c r="D24" s="11" t="n">
        <v>3405</v>
      </c>
      <c r="E24" s="11" t="n">
        <v>294</v>
      </c>
      <c r="F24" s="11" t="n">
        <v>-3232</v>
      </c>
      <c r="G24" s="11" t="n">
        <v>3640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Antelope Park Mutual Water Co</t>
        </is>
      </c>
    </row>
    <row r="2">
      <c r="A2" s="2" t="inlineStr">
        <is>
          <t>Financial Ratios</t>
        </is>
      </c>
    </row>
    <row r="3">
      <c r="A3" s="2" t="inlineStr">
        <is>
          <t>Entity ID: cawc_0100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0.06875653544234819</v>
      </c>
      <c r="C7" s="12" t="n">
        <v>0.100993426949507</v>
      </c>
      <c r="D7" s="12" t="n">
        <v>-0.04169599539822741</v>
      </c>
      <c r="E7" s="12" t="n">
        <v>-0.03139543295314799</v>
      </c>
      <c r="F7" s="12" t="n">
        <v>-0.04608777980658687</v>
      </c>
      <c r="G7" s="12" t="n">
        <v>0.02474741277048309</v>
      </c>
    </row>
    <row r="8">
      <c r="A8" s="8" t="inlineStr">
        <is>
          <t xml:space="preserve">    Expense ratio (expenses / revenue)</t>
        </is>
      </c>
      <c r="B8" s="12" t="n">
        <v>0.9312434645576518</v>
      </c>
      <c r="C8" s="12" t="n">
        <v>0.899006573050493</v>
      </c>
      <c r="D8" s="12" t="n">
        <v>1.041695995398227</v>
      </c>
      <c r="E8" s="12" t="n">
        <v>1.031395432953148</v>
      </c>
      <c r="F8" s="12" t="n">
        <v>1.046087779806587</v>
      </c>
      <c r="G8" s="12" t="n">
        <v>0.9752525872295169</v>
      </c>
    </row>
    <row r="9">
      <c r="A9" s="8" t="inlineStr">
        <is>
          <t xml:space="preserve">    Return on assets (NI / assets)</t>
        </is>
      </c>
      <c r="B9" s="12" t="n">
        <v>0.02067510174798386</v>
      </c>
      <c r="C9" s="12" t="n">
        <v>0.02912577440395668</v>
      </c>
      <c r="D9" s="12" t="n">
        <v>-0.0120095308892808</v>
      </c>
      <c r="E9" s="12" t="n">
        <v>-0.008588145017842498</v>
      </c>
      <c r="F9" s="12" t="n">
        <v>-0.01212428504078492</v>
      </c>
      <c r="G9" s="12" t="n">
        <v>0.00668118489985953</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0.001990673286005943</v>
      </c>
      <c r="C13" s="12" t="n"/>
      <c r="D13" s="12" t="n"/>
      <c r="E13" s="12" t="n"/>
      <c r="F13" s="12" t="n">
        <v>0.0007005043631414619</v>
      </c>
      <c r="G13" s="12" t="n">
        <v>0.0008348720304617858</v>
      </c>
    </row>
    <row r="14">
      <c r="A14" s="8" t="inlineStr">
        <is>
          <t xml:space="preserve">    Equity ratio (net assets / assets)</t>
        </is>
      </c>
      <c r="B14" s="12" t="n">
        <v>0.998009326713994</v>
      </c>
      <c r="C14" s="12" t="n">
        <v>1</v>
      </c>
      <c r="D14" s="12" t="n">
        <v>1</v>
      </c>
      <c r="E14" s="12" t="n">
        <v>1</v>
      </c>
      <c r="F14" s="12" t="n">
        <v>0.9992994956368585</v>
      </c>
      <c r="G14" s="12" t="n">
        <v>0.9991651279695383</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v>446.1868743047831</v>
      </c>
      <c r="C18" s="15" t="n"/>
      <c r="D18" s="15" t="n"/>
      <c r="E18" s="15" t="n"/>
      <c r="F18" s="15" t="n">
        <v>1343.949206349206</v>
      </c>
      <c r="G18" s="15" t="n">
        <v>1129.587301587302</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Antelope Park Mutual Water Co</t>
        </is>
      </c>
    </row>
    <row r="2">
      <c r="A2" s="2" t="inlineStr">
        <is>
          <t>Unit economics - per-customer revenue by category (USD)</t>
        </is>
      </c>
    </row>
    <row r="3">
      <c r="A3" s="2" t="inlineStr">
        <is>
          <t>Entity ID: cawc_0100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Antelope Park Mutual Water Co</t>
        </is>
      </c>
    </row>
    <row r="2">
      <c r="A2" s="2" t="inlineStr">
        <is>
          <t>Rate structure and representative bill - eAR Section 8a</t>
        </is>
      </c>
    </row>
    <row r="3">
      <c r="A3" s="2" t="inlineStr">
        <is>
          <t>Entity ID: cawc_0100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Antelope Park Mutual Water Co</t>
        </is>
      </c>
    </row>
    <row r="2">
      <c r="A2" s="2" t="inlineStr">
        <is>
          <t>Operational metrics - plant per acre, density, terrain</t>
        </is>
      </c>
    </row>
    <row r="3">
      <c r="A3" s="2" t="inlineStr">
        <is>
          <t>Entity ID: cawc_0100   |   Fiscal year ends December 31.</t>
        </is>
      </c>
    </row>
    <row r="5">
      <c r="A5" s="6" t="inlineStr">
        <is>
          <t>Connections per acre</t>
        </is>
      </c>
      <c r="B5" s="7" t="n"/>
      <c r="C5" s="7" t="n"/>
    </row>
    <row r="6">
      <c r="A6" s="16" t="inlineStr">
        <is>
          <t>Connections per acre</t>
        </is>
      </c>
      <c r="B6" s="15" t="n">
        <v>1.96</v>
      </c>
      <c r="C6" s="18" t="inlineStr">
        <is>
          <t>146 connections / 74.6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Antelope Park Mutual Water Co</t>
        </is>
      </c>
    </row>
    <row r="2">
      <c r="A2" s="2" t="inlineStr">
        <is>
          <t>Supply and weather indicators (DWR water year)</t>
        </is>
      </c>
    </row>
    <row r="3">
      <c r="A3" s="2" t="inlineStr">
        <is>
          <t>Entity ID: cawc_0100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Antelope Park Mutual Water Co</t>
        </is>
      </c>
    </row>
    <row r="2">
      <c r="A2" s="2" t="inlineStr">
        <is>
          <t>How this was built - forensic lineage</t>
        </is>
      </c>
    </row>
    <row r="3">
      <c r="A3" s="2" t="inlineStr">
        <is>
          <t>Entity ID: cawc_0100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Antelope Park Mutual Water Co</t>
        </is>
      </c>
    </row>
    <row r="2">
      <c r="A2" s="2" t="inlineStr">
        <is>
          <t>Sources &amp; audit - full provenance and tie-outs (kept off the statements so they read clean)</t>
        </is>
      </c>
    </row>
    <row r="3">
      <c r="A3" s="2" t="inlineStr">
        <is>
          <t>Entity ID: cawc_0100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7958a466-c395-486b-bdca-d415ce2ab361</t>
        </is>
      </c>
      <c r="F10" s="8" t="inlineStr">
        <is>
          <t>202110639349201416</t>
        </is>
      </c>
      <c r="G10" s="8" t="inlineStr">
        <is>
          <t>claude-opus-5</t>
        </is>
      </c>
      <c r="H10" s="8" t="inlineStr">
        <is>
          <t>2026-09-23T07:16:52+00:00</t>
        </is>
      </c>
      <c r="I10" s="8" t="inlineStr">
        <is>
          <t>https://apps.irs.gov/pub/epostcard/990/xml/2021/2021_TEOS_XML_01A.zip#202110639349201416_public.xml</t>
        </is>
      </c>
    </row>
    <row r="11">
      <c r="A11" s="22" t="inlineStr">
        <is>
          <t>FY2021</t>
        </is>
      </c>
      <c r="B11" s="8" t="inlineStr">
        <is>
          <t>2021-12-31</t>
        </is>
      </c>
      <c r="C11" s="8" t="inlineStr">
        <is>
          <t>990-EZ</t>
        </is>
      </c>
      <c r="D11" s="8" t="inlineStr">
        <is>
          <t>high</t>
        </is>
      </c>
      <c r="E11" s="8" t="inlineStr">
        <is>
          <t>ca001562-89e0-4a34-94be-0dc9fbba1373</t>
        </is>
      </c>
      <c r="F11" s="8" t="inlineStr">
        <is>
          <t>202201039349201405</t>
        </is>
      </c>
      <c r="G11" s="8" t="inlineStr">
        <is>
          <t>claude-opus-5</t>
        </is>
      </c>
      <c r="H11" s="8" t="inlineStr">
        <is>
          <t>2026-09-23T07:16:52+00:00</t>
        </is>
      </c>
      <c r="I11" s="8" t="inlineStr">
        <is>
          <t>https://apps.irs.gov/pub/epostcard/990/xml/2022/2022_TEOS_XML_01A.zip#202201039349201405_public.xml</t>
        </is>
      </c>
    </row>
    <row r="12">
      <c r="A12" s="22" t="inlineStr">
        <is>
          <t>FY2022</t>
        </is>
      </c>
      <c r="B12" s="8" t="inlineStr">
        <is>
          <t>2022-12-31</t>
        </is>
      </c>
      <c r="C12" s="8" t="inlineStr">
        <is>
          <t>990-EZ</t>
        </is>
      </c>
      <c r="D12" s="8" t="inlineStr">
        <is>
          <t>high</t>
        </is>
      </c>
      <c r="E12" s="8" t="inlineStr">
        <is>
          <t>9f749a81-ef49-4566-869f-b724c06981aa</t>
        </is>
      </c>
      <c r="F12" s="8" t="inlineStr">
        <is>
          <t>202310419349201006</t>
        </is>
      </c>
      <c r="G12" s="8" t="inlineStr">
        <is>
          <t>claude-opus-5</t>
        </is>
      </c>
      <c r="H12" s="8" t="inlineStr">
        <is>
          <t>2026-09-23T07:16:52+00:00</t>
        </is>
      </c>
      <c r="I12" s="8" t="inlineStr">
        <is>
          <t>https://apps.irs.gov/pub/epostcard/990/xml/2023/2023_TEOS_XML_02A.zip#202310419349201006_public.xml</t>
        </is>
      </c>
    </row>
    <row r="13">
      <c r="A13" s="22" t="inlineStr">
        <is>
          <t>FY2023</t>
        </is>
      </c>
      <c r="B13" s="8" t="inlineStr">
        <is>
          <t>2023-12-31</t>
        </is>
      </c>
      <c r="C13" s="8" t="inlineStr">
        <is>
          <t>990-EZ</t>
        </is>
      </c>
      <c r="D13" s="8" t="inlineStr">
        <is>
          <t>high</t>
        </is>
      </c>
      <c r="E13" s="8" t="inlineStr">
        <is>
          <t>e6daa14b-72c1-4990-9eb2-25d2f37f26be</t>
        </is>
      </c>
      <c r="F13" s="8" t="inlineStr">
        <is>
          <t>202400589349200225</t>
        </is>
      </c>
      <c r="G13" s="8" t="inlineStr">
        <is>
          <t>claude-opus-5</t>
        </is>
      </c>
      <c r="H13" s="8" t="inlineStr">
        <is>
          <t>2026-09-23T07:16:52+00:00</t>
        </is>
      </c>
      <c r="I13" s="8" t="inlineStr">
        <is>
          <t>https://apps.irs.gov/pub/epostcard/990/xml/2024/2024_TEOS_XML_03A.zip#202400589349200225_public.xml</t>
        </is>
      </c>
    </row>
    <row r="14">
      <c r="A14" s="22" t="inlineStr">
        <is>
          <t>FY2024</t>
        </is>
      </c>
      <c r="B14" s="8" t="inlineStr">
        <is>
          <t>2024-12-31</t>
        </is>
      </c>
      <c r="C14" s="8" t="inlineStr">
        <is>
          <t>990-EZ</t>
        </is>
      </c>
      <c r="D14" s="8" t="inlineStr">
        <is>
          <t>high</t>
        </is>
      </c>
      <c r="E14" s="8" t="inlineStr">
        <is>
          <t>5d5e9f51-0bd3-4db6-94cb-58f95d797d01</t>
        </is>
      </c>
      <c r="F14" s="8" t="inlineStr">
        <is>
          <t>202520419349200622</t>
        </is>
      </c>
      <c r="G14" s="8" t="inlineStr">
        <is>
          <t>claude-opus-5</t>
        </is>
      </c>
      <c r="H14" s="8" t="inlineStr">
        <is>
          <t>2026-09-23T07:16:52+00:00</t>
        </is>
      </c>
      <c r="I14" s="8" t="inlineStr">
        <is>
          <t>https://apps.irs.gov/pub/epostcard/990/xml/2025/2025_TEOS_XML_02A.zip#202520419349200622_public.xml</t>
        </is>
      </c>
    </row>
    <row r="15">
      <c r="A15" s="22" t="inlineStr">
        <is>
          <t>FY2025</t>
        </is>
      </c>
      <c r="B15" s="8" t="inlineStr">
        <is>
          <t>2025-12-31</t>
        </is>
      </c>
      <c r="C15" s="8" t="inlineStr">
        <is>
          <t>990-EZ</t>
        </is>
      </c>
      <c r="D15" s="8" t="inlineStr">
        <is>
          <t>high</t>
        </is>
      </c>
      <c r="E15" s="8" t="inlineStr">
        <is>
          <t>5827772c-b6ae-4014-95dd-cd2d20924cb1</t>
        </is>
      </c>
      <c r="F15" s="8" t="inlineStr">
        <is>
          <t>202640489349201719</t>
        </is>
      </c>
      <c r="G15" s="8" t="inlineStr">
        <is>
          <t>claude-opus-5</t>
        </is>
      </c>
      <c r="H15" s="8" t="inlineStr">
        <is>
          <t>2026-09-23T07:16:52+00:00</t>
        </is>
      </c>
      <c r="I15" s="8" t="inlineStr">
        <is>
          <t>https://apps.irs.gov/pub/epostcard/990/xml/2026/2026_TEOS_XML_02A.zip#202640489349201719_public.xml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4. Investment income</t>
        </is>
      </c>
      <c r="D19" s="8" t="inlineStr">
        <is>
          <t>Part I line 4</t>
        </is>
      </c>
      <c r="E19" s="8" t="inlineStr">
        <is>
          <t>part_i_revenue_expenses.investment_income</t>
        </is>
      </c>
      <c r="F19" s="8" t="inlineStr">
        <is>
          <t>high</t>
        </is>
      </c>
      <c r="G19" s="9" t="n">
        <v>83</v>
      </c>
    </row>
    <row r="20">
      <c r="A20" s="8" t="inlineStr">
        <is>
          <t>Form 990-EZ Parts I &amp; II</t>
        </is>
      </c>
      <c r="B20" s="8" t="inlineStr">
        <is>
          <t>C7</t>
        </is>
      </c>
      <c r="C20" s="8" t="inlineStr">
        <is>
          <t>4. Investment income</t>
        </is>
      </c>
      <c r="D20" s="8" t="inlineStr">
        <is>
          <t>Part I line 4</t>
        </is>
      </c>
      <c r="E20" s="8" t="inlineStr">
        <is>
          <t>part_i_revenue_expenses.investment_income</t>
        </is>
      </c>
      <c r="F20" s="8" t="inlineStr">
        <is>
          <t>high</t>
        </is>
      </c>
      <c r="G20" s="9" t="n">
        <v>38</v>
      </c>
    </row>
    <row r="21">
      <c r="A21" s="8" t="inlineStr">
        <is>
          <t>Form 990-EZ Parts I &amp; II</t>
        </is>
      </c>
      <c r="B21" s="8" t="inlineStr">
        <is>
          <t>D7</t>
        </is>
      </c>
      <c r="C21" s="8" t="inlineStr">
        <is>
          <t>4. Investment income</t>
        </is>
      </c>
      <c r="D21" s="8" t="inlineStr">
        <is>
          <t>Part I line 4</t>
        </is>
      </c>
      <c r="E21" s="8" t="inlineStr">
        <is>
          <t>part_i_revenue_expenses.investment_income</t>
        </is>
      </c>
      <c r="F21" s="8" t="inlineStr">
        <is>
          <t>high</t>
        </is>
      </c>
      <c r="G21" s="9" t="n">
        <v>63</v>
      </c>
    </row>
    <row r="22">
      <c r="A22" s="8" t="inlineStr">
        <is>
          <t>Form 990-EZ Parts I &amp; II</t>
        </is>
      </c>
      <c r="B22" s="8" t="inlineStr">
        <is>
          <t>E7</t>
        </is>
      </c>
      <c r="C22" s="8" t="inlineStr">
        <is>
          <t>4. Investment income</t>
        </is>
      </c>
      <c r="D22" s="8" t="inlineStr">
        <is>
          <t>Part I line 4</t>
        </is>
      </c>
      <c r="E22" s="8" t="inlineStr">
        <is>
          <t>part_i_revenue_expenses.investment_income</t>
        </is>
      </c>
      <c r="F22" s="8" t="inlineStr">
        <is>
          <t>high</t>
        </is>
      </c>
      <c r="G22" s="9" t="n">
        <v>382</v>
      </c>
    </row>
    <row r="23">
      <c r="A23" s="8" t="inlineStr">
        <is>
          <t>Form 990-EZ Parts I &amp; II</t>
        </is>
      </c>
      <c r="B23" s="8" t="inlineStr">
        <is>
          <t>F7</t>
        </is>
      </c>
      <c r="C23" s="8" t="inlineStr">
        <is>
          <t>4. Investment income</t>
        </is>
      </c>
      <c r="D23" s="8" t="inlineStr">
        <is>
          <t>Part I line 4</t>
        </is>
      </c>
      <c r="E23" s="8" t="inlineStr">
        <is>
          <t>part_i_revenue_expenses.investment_income</t>
        </is>
      </c>
      <c r="F23" s="8" t="inlineStr">
        <is>
          <t>high</t>
        </is>
      </c>
      <c r="G23" s="9" t="n">
        <v>43</v>
      </c>
    </row>
    <row r="24">
      <c r="A24" s="8" t="inlineStr">
        <is>
          <t>Form 990-EZ Parts I &amp; II</t>
        </is>
      </c>
      <c r="B24" s="8" t="inlineStr">
        <is>
          <t>G7</t>
        </is>
      </c>
      <c r="C24" s="8" t="inlineStr">
        <is>
          <t>4. Investment income</t>
        </is>
      </c>
      <c r="D24" s="8" t="inlineStr">
        <is>
          <t>Part I line 4</t>
        </is>
      </c>
      <c r="E24" s="8" t="inlineStr">
        <is>
          <t>part_i_revenue_expenses.investment_income</t>
        </is>
      </c>
      <c r="F24" s="8" t="inlineStr">
        <is>
          <t>high</t>
        </is>
      </c>
      <c r="G24" s="9" t="n">
        <v>43</v>
      </c>
    </row>
    <row r="25">
      <c r="A25" s="8" t="inlineStr">
        <is>
          <t>Form 990-EZ Parts I &amp; II</t>
        </is>
      </c>
      <c r="B25" s="8" t="inlineStr">
        <is>
          <t>B8</t>
        </is>
      </c>
      <c r="C25" s="8" t="inlineStr">
        <is>
          <t>9. Total revenue</t>
        </is>
      </c>
      <c r="D25" s="8" t="inlineStr">
        <is>
          <t>Part I line 9</t>
        </is>
      </c>
      <c r="E25" s="8" t="inlineStr">
        <is>
          <t>part_i_revenue_expenses.total_revenue</t>
        </is>
      </c>
      <c r="F25" s="8" t="inlineStr">
        <is>
          <t>high</t>
        </is>
      </c>
      <c r="G25" s="9" t="n">
        <v>135798</v>
      </c>
    </row>
    <row r="26">
      <c r="A26" s="8" t="inlineStr">
        <is>
          <t>Form 990-EZ Parts I &amp; II</t>
        </is>
      </c>
      <c r="B26" s="8" t="inlineStr">
        <is>
          <t>C8</t>
        </is>
      </c>
      <c r="C26" s="8" t="inlineStr">
        <is>
          <t>9. Total revenue</t>
        </is>
      </c>
      <c r="D26" s="8" t="inlineStr">
        <is>
          <t>Part I line 9</t>
        </is>
      </c>
      <c r="E26" s="8" t="inlineStr">
        <is>
          <t>part_i_revenue_expenses.total_revenue</t>
        </is>
      </c>
      <c r="F26" s="8" t="inlineStr">
        <is>
          <t>high</t>
        </is>
      </c>
      <c r="G26" s="9" t="n">
        <v>133880</v>
      </c>
    </row>
    <row r="27">
      <c r="A27" s="8" t="inlineStr">
        <is>
          <t>Form 990-EZ Parts I &amp; II</t>
        </is>
      </c>
      <c r="B27" s="8" t="inlineStr">
        <is>
          <t>D8</t>
        </is>
      </c>
      <c r="C27" s="8" t="inlineStr">
        <is>
          <t>9. Total revenue</t>
        </is>
      </c>
      <c r="D27" s="8" t="inlineStr">
        <is>
          <t>Part I line 9</t>
        </is>
      </c>
      <c r="E27" s="8" t="inlineStr">
        <is>
          <t>part_i_revenue_expenses.total_revenue</t>
        </is>
      </c>
      <c r="F27" s="8" t="inlineStr">
        <is>
          <t>high</t>
        </is>
      </c>
      <c r="G27" s="9" t="n">
        <v>132123</v>
      </c>
    </row>
    <row r="28">
      <c r="A28" s="8" t="inlineStr">
        <is>
          <t>Form 990-EZ Parts I &amp; II</t>
        </is>
      </c>
      <c r="B28" s="8" t="inlineStr">
        <is>
          <t>E8</t>
        </is>
      </c>
      <c r="C28" s="8" t="inlineStr">
        <is>
          <t>9. Total revenue</t>
        </is>
      </c>
      <c r="D28" s="8" t="inlineStr">
        <is>
          <t>Part I line 9</t>
        </is>
      </c>
      <c r="E28" s="8" t="inlineStr">
        <is>
          <t>part_i_revenue_expenses.total_revenue</t>
        </is>
      </c>
      <c r="F28" s="8" t="inlineStr">
        <is>
          <t>high</t>
        </is>
      </c>
      <c r="G28" s="9" t="n">
        <v>124413</v>
      </c>
    </row>
    <row r="29">
      <c r="A29" s="8" t="inlineStr">
        <is>
          <t>Form 990-EZ Parts I &amp; II</t>
        </is>
      </c>
      <c r="B29" s="8" t="inlineStr">
        <is>
          <t>F8</t>
        </is>
      </c>
      <c r="C29" s="8" t="inlineStr">
        <is>
          <t>9. Total revenue</t>
        </is>
      </c>
      <c r="D29" s="8" t="inlineStr">
        <is>
          <t>Part I line 9</t>
        </is>
      </c>
      <c r="E29" s="8" t="inlineStr">
        <is>
          <t>part_i_revenue_expenses.total_revenue</t>
        </is>
      </c>
      <c r="F29" s="8" t="inlineStr">
        <is>
          <t>high</t>
        </is>
      </c>
      <c r="G29" s="9" t="n">
        <v>118296</v>
      </c>
    </row>
    <row r="30">
      <c r="A30" s="8" t="inlineStr">
        <is>
          <t>Form 990-EZ Parts I &amp; II</t>
        </is>
      </c>
      <c r="B30" s="8" t="inlineStr">
        <is>
          <t>G8</t>
        </is>
      </c>
      <c r="C30" s="8" t="inlineStr">
        <is>
          <t>9. Total revenue</t>
        </is>
      </c>
      <c r="D30" s="8" t="inlineStr">
        <is>
          <t>Part I line 9</t>
        </is>
      </c>
      <c r="E30" s="8" t="inlineStr">
        <is>
          <t>part_i_revenue_expenses.total_revenue</t>
        </is>
      </c>
      <c r="F30" s="8" t="inlineStr">
        <is>
          <t>high</t>
        </is>
      </c>
      <c r="G30" s="9" t="n">
        <v>122235</v>
      </c>
    </row>
    <row r="31">
      <c r="A31" s="8" t="inlineStr">
        <is>
          <t>Form 990-EZ Parts I &amp; II</t>
        </is>
      </c>
      <c r="B31" s="8" t="inlineStr">
        <is>
          <t>B11</t>
        </is>
      </c>
      <c r="C31" s="8" t="inlineStr">
        <is>
          <t>12. Salaries, other compensation, benefits</t>
        </is>
      </c>
      <c r="D31" s="8" t="inlineStr">
        <is>
          <t>Part I line 12</t>
        </is>
      </c>
      <c r="E31" s="8" t="inlineStr">
        <is>
          <t>part_i_revenue_expenses.salaries_other_comp_benefits</t>
        </is>
      </c>
      <c r="F31" s="8" t="inlineStr">
        <is>
          <t>high</t>
        </is>
      </c>
      <c r="G31" s="9" t="n">
        <v>91036</v>
      </c>
    </row>
    <row r="32">
      <c r="A32" s="8" t="inlineStr">
        <is>
          <t>Form 990-EZ Parts I &amp; II</t>
        </is>
      </c>
      <c r="B32" s="8" t="inlineStr">
        <is>
          <t>C11</t>
        </is>
      </c>
      <c r="C32" s="8" t="inlineStr">
        <is>
          <t>12. Salaries, other compensation, benefits</t>
        </is>
      </c>
      <c r="D32" s="8" t="inlineStr">
        <is>
          <t>Part I line 12</t>
        </is>
      </c>
      <c r="E32" s="8" t="inlineStr">
        <is>
          <t>part_i_revenue_expenses.salaries_other_comp_benefits</t>
        </is>
      </c>
      <c r="F32" s="8" t="inlineStr">
        <is>
          <t>high</t>
        </is>
      </c>
      <c r="G32" s="9" t="n">
        <v>91315</v>
      </c>
    </row>
    <row r="33">
      <c r="A33" s="8" t="inlineStr">
        <is>
          <t>Form 990-EZ Parts I &amp; II</t>
        </is>
      </c>
      <c r="B33" s="8" t="inlineStr">
        <is>
          <t>D11</t>
        </is>
      </c>
      <c r="C33" s="8" t="inlineStr">
        <is>
          <t>12. Salaries, other compensation, benefits</t>
        </is>
      </c>
      <c r="D33" s="8" t="inlineStr">
        <is>
          <t>Part I line 12</t>
        </is>
      </c>
      <c r="E33" s="8" t="inlineStr">
        <is>
          <t>part_i_revenue_expenses.salaries_other_comp_benefits</t>
        </is>
      </c>
      <c r="F33" s="8" t="inlineStr">
        <is>
          <t>high</t>
        </is>
      </c>
      <c r="G33" s="9" t="n">
        <v>93273</v>
      </c>
    </row>
    <row r="34">
      <c r="A34" s="8" t="inlineStr">
        <is>
          <t>Form 990-EZ Parts I &amp; II</t>
        </is>
      </c>
      <c r="B34" s="8" t="inlineStr">
        <is>
          <t>E11</t>
        </is>
      </c>
      <c r="C34" s="8" t="inlineStr">
        <is>
          <t>12. Salaries, other compensation, benefits</t>
        </is>
      </c>
      <c r="D34" s="8" t="inlineStr">
        <is>
          <t>Part I line 12</t>
        </is>
      </c>
      <c r="E34" s="8" t="inlineStr">
        <is>
          <t>part_i_revenue_expenses.salaries_other_comp_benefits</t>
        </is>
      </c>
      <c r="F34" s="8" t="inlineStr">
        <is>
          <t>high</t>
        </is>
      </c>
      <c r="G34" s="9" t="n">
        <v>93262</v>
      </c>
    </row>
    <row r="35">
      <c r="A35" s="8" t="inlineStr">
        <is>
          <t>Form 990-EZ Parts I &amp; II</t>
        </is>
      </c>
      <c r="B35" s="8" t="inlineStr">
        <is>
          <t>F11</t>
        </is>
      </c>
      <c r="C35" s="8" t="inlineStr">
        <is>
          <t>12. Salaries, other compensation, benefits</t>
        </is>
      </c>
      <c r="D35" s="8" t="inlineStr">
        <is>
          <t>Part I line 12</t>
        </is>
      </c>
      <c r="E35" s="8" t="inlineStr">
        <is>
          <t>part_i_revenue_expenses.salaries_other_comp_benefits</t>
        </is>
      </c>
      <c r="F35" s="8" t="inlineStr">
        <is>
          <t>high</t>
        </is>
      </c>
      <c r="G35" s="9" t="n">
        <v>97267</v>
      </c>
    </row>
    <row r="36">
      <c r="A36" s="8" t="inlineStr">
        <is>
          <t>Form 990-EZ Parts I &amp; II</t>
        </is>
      </c>
      <c r="B36" s="8" t="inlineStr">
        <is>
          <t>G11</t>
        </is>
      </c>
      <c r="C36" s="8" t="inlineStr">
        <is>
          <t>12. Salaries, other compensation, benefits</t>
        </is>
      </c>
      <c r="D36" s="8" t="inlineStr">
        <is>
          <t>Part I line 12</t>
        </is>
      </c>
      <c r="E36" s="8" t="inlineStr">
        <is>
          <t>part_i_revenue_expenses.salaries_other_comp_benefits</t>
        </is>
      </c>
      <c r="F36" s="8" t="inlineStr">
        <is>
          <t>high</t>
        </is>
      </c>
      <c r="G36" s="9" t="n">
        <v>93591</v>
      </c>
    </row>
    <row r="37">
      <c r="A37" s="8" t="inlineStr">
        <is>
          <t>Form 990-EZ Parts I &amp; II</t>
        </is>
      </c>
      <c r="B37" s="8" t="inlineStr">
        <is>
          <t>B12</t>
        </is>
      </c>
      <c r="C37" s="8" t="inlineStr">
        <is>
          <t>13. Fees for services (independent contractors)</t>
        </is>
      </c>
      <c r="D37" s="8" t="inlineStr">
        <is>
          <t>Part I line 13</t>
        </is>
      </c>
      <c r="E37" s="8" t="inlineStr">
        <is>
          <t>part_i_revenue_expenses.fees_ind_contractors</t>
        </is>
      </c>
      <c r="F37" s="8" t="inlineStr">
        <is>
          <t>high</t>
        </is>
      </c>
      <c r="G37" s="9" t="n">
        <v>7219</v>
      </c>
    </row>
    <row r="38">
      <c r="A38" s="8" t="inlineStr">
        <is>
          <t>Form 990-EZ Parts I &amp; II</t>
        </is>
      </c>
      <c r="B38" s="8" t="inlineStr">
        <is>
          <t>C12</t>
        </is>
      </c>
      <c r="C38" s="8" t="inlineStr">
        <is>
          <t>13. Fees for services (independent contractors)</t>
        </is>
      </c>
      <c r="D38" s="8" t="inlineStr">
        <is>
          <t>Part I line 13</t>
        </is>
      </c>
      <c r="E38" s="8" t="inlineStr">
        <is>
          <t>part_i_revenue_expenses.fees_ind_contractors</t>
        </is>
      </c>
      <c r="F38" s="8" t="inlineStr">
        <is>
          <t>high</t>
        </is>
      </c>
      <c r="G38" s="9" t="n">
        <v>6867</v>
      </c>
    </row>
    <row r="39">
      <c r="A39" s="8" t="inlineStr">
        <is>
          <t>Form 990-EZ Parts I &amp; II</t>
        </is>
      </c>
      <c r="B39" s="8" t="inlineStr">
        <is>
          <t>D12</t>
        </is>
      </c>
      <c r="C39" s="8" t="inlineStr">
        <is>
          <t>13. Fees for services (independent contractors)</t>
        </is>
      </c>
      <c r="D39" s="8" t="inlineStr">
        <is>
          <t>Part I line 13</t>
        </is>
      </c>
      <c r="E39" s="8" t="inlineStr">
        <is>
          <t>part_i_revenue_expenses.fees_ind_contractors</t>
        </is>
      </c>
      <c r="F39" s="8" t="inlineStr">
        <is>
          <t>high</t>
        </is>
      </c>
      <c r="G39" s="9" t="n">
        <v>8304</v>
      </c>
    </row>
    <row r="40">
      <c r="A40" s="8" t="inlineStr">
        <is>
          <t>Form 990-EZ Parts I &amp; II</t>
        </is>
      </c>
      <c r="B40" s="8" t="inlineStr">
        <is>
          <t>E12</t>
        </is>
      </c>
      <c r="C40" s="8" t="inlineStr">
        <is>
          <t>13. Fees for services (independent contractors)</t>
        </is>
      </c>
      <c r="D40" s="8" t="inlineStr">
        <is>
          <t>Part I line 13</t>
        </is>
      </c>
      <c r="E40" s="8" t="inlineStr">
        <is>
          <t>part_i_revenue_expenses.fees_ind_contractors</t>
        </is>
      </c>
      <c r="F40" s="8" t="inlineStr">
        <is>
          <t>high</t>
        </is>
      </c>
      <c r="G40" s="9" t="n">
        <v>5421</v>
      </c>
    </row>
    <row r="41">
      <c r="A41" s="8" t="inlineStr">
        <is>
          <t>Form 990-EZ Parts I &amp; II</t>
        </is>
      </c>
      <c r="B41" s="8" t="inlineStr">
        <is>
          <t>F12</t>
        </is>
      </c>
      <c r="C41" s="8" t="inlineStr">
        <is>
          <t>13. Fees for services (independent contractors)</t>
        </is>
      </c>
      <c r="D41" s="8" t="inlineStr">
        <is>
          <t>Part I line 13</t>
        </is>
      </c>
      <c r="E41" s="8" t="inlineStr">
        <is>
          <t>part_i_revenue_expenses.fees_ind_contractors</t>
        </is>
      </c>
      <c r="F41" s="8" t="inlineStr">
        <is>
          <t>high</t>
        </is>
      </c>
      <c r="G41" s="9" t="n">
        <v>4809</v>
      </c>
    </row>
    <row r="42">
      <c r="A42" s="8" t="inlineStr">
        <is>
          <t>Form 990-EZ Parts I &amp; II</t>
        </is>
      </c>
      <c r="B42" s="8" t="inlineStr">
        <is>
          <t>G12</t>
        </is>
      </c>
      <c r="C42" s="8" t="inlineStr">
        <is>
          <t>13. Fees for services (independent contractors)</t>
        </is>
      </c>
      <c r="D42" s="8" t="inlineStr">
        <is>
          <t>Part I line 13</t>
        </is>
      </c>
      <c r="E42" s="8" t="inlineStr">
        <is>
          <t>part_i_revenue_expenses.fees_ind_contractors</t>
        </is>
      </c>
      <c r="F42" s="8" t="inlineStr">
        <is>
          <t>high</t>
        </is>
      </c>
      <c r="G42" s="9" t="n">
        <v>4232</v>
      </c>
    </row>
    <row r="43">
      <c r="A43" s="8" t="inlineStr">
        <is>
          <t>Form 990-EZ Parts I &amp; II</t>
        </is>
      </c>
      <c r="B43" s="8" t="inlineStr">
        <is>
          <t>F13</t>
        </is>
      </c>
      <c r="C43" s="8" t="inlineStr">
        <is>
          <t>14. Occupancy, rent, utilities, maintenance</t>
        </is>
      </c>
      <c r="D43" s="8" t="inlineStr">
        <is>
          <t>Part I line 14</t>
        </is>
      </c>
      <c r="E43" s="8" t="inlineStr">
        <is>
          <t>part_i_revenue_expenses.occupancy_utilities_maint</t>
        </is>
      </c>
      <c r="F43" s="8" t="inlineStr">
        <is>
          <t>high</t>
        </is>
      </c>
      <c r="G43" s="9" t="n">
        <v>223</v>
      </c>
    </row>
    <row r="44">
      <c r="A44" s="8" t="inlineStr">
        <is>
          <t>Form 990-EZ Parts I &amp; II</t>
        </is>
      </c>
      <c r="B44" s="8" t="inlineStr">
        <is>
          <t>G13</t>
        </is>
      </c>
      <c r="C44" s="8" t="inlineStr">
        <is>
          <t>14. Occupancy, rent, utilities, maintenance</t>
        </is>
      </c>
      <c r="D44" s="8" t="inlineStr">
        <is>
          <t>Part I line 14</t>
        </is>
      </c>
      <c r="E44" s="8" t="inlineStr">
        <is>
          <t>part_i_revenue_expenses.occupancy_utilities_maint</t>
        </is>
      </c>
      <c r="F44" s="8" t="inlineStr">
        <is>
          <t>high</t>
        </is>
      </c>
      <c r="G44" s="9" t="n">
        <v>248</v>
      </c>
    </row>
    <row r="45">
      <c r="A45" s="8" t="inlineStr">
        <is>
          <t>Form 990-EZ Parts I &amp; II</t>
        </is>
      </c>
      <c r="B45" s="8" t="inlineStr">
        <is>
          <t>B14</t>
        </is>
      </c>
      <c r="C45" s="8" t="inlineStr">
        <is>
          <t>15. Printing, publications, postage</t>
        </is>
      </c>
      <c r="D45" s="8" t="inlineStr">
        <is>
          <t>Part I line 15</t>
        </is>
      </c>
      <c r="E45" s="8" t="inlineStr">
        <is>
          <t>part_i_revenue_expenses.printing_publications_postage</t>
        </is>
      </c>
      <c r="F45" s="8" t="inlineStr">
        <is>
          <t>high</t>
        </is>
      </c>
      <c r="G45" s="9" t="n">
        <v>1179</v>
      </c>
    </row>
    <row r="46">
      <c r="A46" s="8" t="inlineStr">
        <is>
          <t>Form 990-EZ Parts I &amp; II</t>
        </is>
      </c>
      <c r="B46" s="8" t="inlineStr">
        <is>
          <t>C14</t>
        </is>
      </c>
      <c r="C46" s="8" t="inlineStr">
        <is>
          <t>15. Printing, publications, postage</t>
        </is>
      </c>
      <c r="D46" s="8" t="inlineStr">
        <is>
          <t>Part I line 15</t>
        </is>
      </c>
      <c r="E46" s="8" t="inlineStr">
        <is>
          <t>part_i_revenue_expenses.printing_publications_postage</t>
        </is>
      </c>
      <c r="F46" s="8" t="inlineStr">
        <is>
          <t>high</t>
        </is>
      </c>
      <c r="G46" s="9" t="n">
        <v>1490</v>
      </c>
    </row>
    <row r="47">
      <c r="A47" s="8" t="inlineStr">
        <is>
          <t>Form 990-EZ Parts I &amp; II</t>
        </is>
      </c>
      <c r="B47" s="8" t="inlineStr">
        <is>
          <t>D14</t>
        </is>
      </c>
      <c r="C47" s="8" t="inlineStr">
        <is>
          <t>15. Printing, publications, postage</t>
        </is>
      </c>
      <c r="D47" s="8" t="inlineStr">
        <is>
          <t>Part I line 15</t>
        </is>
      </c>
      <c r="E47" s="8" t="inlineStr">
        <is>
          <t>part_i_revenue_expenses.printing_publications_postage</t>
        </is>
      </c>
      <c r="F47" s="8" t="inlineStr">
        <is>
          <t>high</t>
        </is>
      </c>
      <c r="G47" s="9" t="n">
        <v>1489</v>
      </c>
    </row>
    <row r="48">
      <c r="A48" s="8" t="inlineStr">
        <is>
          <t>Form 990-EZ Parts I &amp; II</t>
        </is>
      </c>
      <c r="B48" s="8" t="inlineStr">
        <is>
          <t>E14</t>
        </is>
      </c>
      <c r="C48" s="8" t="inlineStr">
        <is>
          <t>15. Printing, publications, postage</t>
        </is>
      </c>
      <c r="D48" s="8" t="inlineStr">
        <is>
          <t>Part I line 15</t>
        </is>
      </c>
      <c r="E48" s="8" t="inlineStr">
        <is>
          <t>part_i_revenue_expenses.printing_publications_postage</t>
        </is>
      </c>
      <c r="F48" s="8" t="inlineStr">
        <is>
          <t>high</t>
        </is>
      </c>
      <c r="G48" s="9" t="n">
        <v>1380</v>
      </c>
    </row>
    <row r="49">
      <c r="A49" s="8" t="inlineStr">
        <is>
          <t>Form 990-EZ Parts I &amp; II</t>
        </is>
      </c>
      <c r="B49" s="8" t="inlineStr">
        <is>
          <t>F14</t>
        </is>
      </c>
      <c r="C49" s="8" t="inlineStr">
        <is>
          <t>15. Printing, publications, postage</t>
        </is>
      </c>
      <c r="D49" s="8" t="inlineStr">
        <is>
          <t>Part I line 15</t>
        </is>
      </c>
      <c r="E49" s="8" t="inlineStr">
        <is>
          <t>part_i_revenue_expenses.printing_publications_postage</t>
        </is>
      </c>
      <c r="F49" s="8" t="inlineStr">
        <is>
          <t>high</t>
        </is>
      </c>
      <c r="G49" s="9" t="n">
        <v>1520</v>
      </c>
    </row>
    <row r="50">
      <c r="A50" s="8" t="inlineStr">
        <is>
          <t>Form 990-EZ Parts I &amp; II</t>
        </is>
      </c>
      <c r="B50" s="8" t="inlineStr">
        <is>
          <t>G14</t>
        </is>
      </c>
      <c r="C50" s="8" t="inlineStr">
        <is>
          <t>15. Printing, publications, postage</t>
        </is>
      </c>
      <c r="D50" s="8" t="inlineStr">
        <is>
          <t>Part I line 15</t>
        </is>
      </c>
      <c r="E50" s="8" t="inlineStr">
        <is>
          <t>part_i_revenue_expenses.printing_publications_postage</t>
        </is>
      </c>
      <c r="F50" s="8" t="inlineStr">
        <is>
          <t>high</t>
        </is>
      </c>
      <c r="G50" s="9" t="n">
        <v>1675</v>
      </c>
    </row>
    <row r="51">
      <c r="A51" s="8" t="inlineStr">
        <is>
          <t>Form 990-EZ Parts I &amp; II</t>
        </is>
      </c>
      <c r="B51" s="8" t="inlineStr">
        <is>
          <t>B15</t>
        </is>
      </c>
      <c r="C51" s="8" t="inlineStr">
        <is>
          <t>16. Other expenses</t>
        </is>
      </c>
      <c r="D51" s="8" t="inlineStr">
        <is>
          <t>Part I line 16</t>
        </is>
      </c>
      <c r="E51" s="8" t="inlineStr">
        <is>
          <t>part_i_revenue_expenses.other_expenses_total</t>
        </is>
      </c>
      <c r="F51" s="8" t="inlineStr">
        <is>
          <t>high</t>
        </is>
      </c>
      <c r="G51" s="9" t="n">
        <v>27027</v>
      </c>
    </row>
    <row r="52">
      <c r="A52" s="8" t="inlineStr">
        <is>
          <t>Form 990-EZ Parts I &amp; II</t>
        </is>
      </c>
      <c r="B52" s="8" t="inlineStr">
        <is>
          <t>C15</t>
        </is>
      </c>
      <c r="C52" s="8" t="inlineStr">
        <is>
          <t>16. Other expenses</t>
        </is>
      </c>
      <c r="D52" s="8" t="inlineStr">
        <is>
          <t>Part I line 16</t>
        </is>
      </c>
      <c r="E52" s="8" t="inlineStr">
        <is>
          <t>part_i_revenue_expenses.other_expenses_total</t>
        </is>
      </c>
      <c r="F52" s="8" t="inlineStr">
        <is>
          <t>high</t>
        </is>
      </c>
      <c r="G52" s="9" t="n">
        <v>20687</v>
      </c>
    </row>
    <row r="53">
      <c r="A53" s="8" t="inlineStr">
        <is>
          <t>Form 990-EZ Parts I &amp; II</t>
        </is>
      </c>
      <c r="B53" s="8" t="inlineStr">
        <is>
          <t>D15</t>
        </is>
      </c>
      <c r="C53" s="8" t="inlineStr">
        <is>
          <t>16. Other expenses</t>
        </is>
      </c>
      <c r="D53" s="8" t="inlineStr">
        <is>
          <t>Part I line 16</t>
        </is>
      </c>
      <c r="E53" s="8" t="inlineStr">
        <is>
          <t>part_i_revenue_expenses.other_expenses_total</t>
        </is>
      </c>
      <c r="F53" s="8" t="inlineStr">
        <is>
          <t>high</t>
        </is>
      </c>
      <c r="G53" s="9" t="n">
        <v>34566</v>
      </c>
    </row>
    <row r="54">
      <c r="A54" s="8" t="inlineStr">
        <is>
          <t>Form 990-EZ Parts I &amp; II</t>
        </is>
      </c>
      <c r="B54" s="8" t="inlineStr">
        <is>
          <t>E15</t>
        </is>
      </c>
      <c r="C54" s="8" t="inlineStr">
        <is>
          <t>16. Other expenses</t>
        </is>
      </c>
      <c r="D54" s="8" t="inlineStr">
        <is>
          <t>Part I line 16</t>
        </is>
      </c>
      <c r="E54" s="8" t="inlineStr">
        <is>
          <t>part_i_revenue_expenses.other_expenses_total</t>
        </is>
      </c>
      <c r="F54" s="8" t="inlineStr">
        <is>
          <t>high</t>
        </is>
      </c>
      <c r="G54" s="9" t="n">
        <v>28256</v>
      </c>
    </row>
    <row r="55">
      <c r="A55" s="8" t="inlineStr">
        <is>
          <t>Form 990-EZ Parts I &amp; II</t>
        </is>
      </c>
      <c r="B55" s="8" t="inlineStr">
        <is>
          <t>F15</t>
        </is>
      </c>
      <c r="C55" s="8" t="inlineStr">
        <is>
          <t>16. Other expenses</t>
        </is>
      </c>
      <c r="D55" s="8" t="inlineStr">
        <is>
          <t>Part I line 16</t>
        </is>
      </c>
      <c r="E55" s="8" t="inlineStr">
        <is>
          <t>part_i_revenue_expenses.other_expenses_total</t>
        </is>
      </c>
      <c r="F55" s="8" t="inlineStr">
        <is>
          <t>high</t>
        </is>
      </c>
      <c r="G55" s="9" t="n">
        <v>19929</v>
      </c>
    </row>
    <row r="56">
      <c r="A56" s="8" t="inlineStr">
        <is>
          <t>Form 990-EZ Parts I &amp; II</t>
        </is>
      </c>
      <c r="B56" s="8" t="inlineStr">
        <is>
          <t>G15</t>
        </is>
      </c>
      <c r="C56" s="8" t="inlineStr">
        <is>
          <t>16. Other expenses</t>
        </is>
      </c>
      <c r="D56" s="8" t="inlineStr">
        <is>
          <t>Part I line 16</t>
        </is>
      </c>
      <c r="E56" s="8" t="inlineStr">
        <is>
          <t>part_i_revenue_expenses.other_expenses_total</t>
        </is>
      </c>
      <c r="F56" s="8" t="inlineStr">
        <is>
          <t>high</t>
        </is>
      </c>
      <c r="G56" s="9" t="n">
        <v>19464</v>
      </c>
    </row>
    <row r="57">
      <c r="A57" s="8" t="inlineStr">
        <is>
          <t>Form 990-EZ Parts I &amp; II</t>
        </is>
      </c>
      <c r="B57" s="8" t="inlineStr">
        <is>
          <t>B19</t>
        </is>
      </c>
      <c r="C57" s="8" t="inlineStr">
        <is>
          <t>19. Net assets or fund balances, beginning of year</t>
        </is>
      </c>
      <c r="D57" s="8" t="inlineStr">
        <is>
          <t>Part I line 19</t>
        </is>
      </c>
      <c r="E57" s="8" t="inlineStr">
        <is>
          <t>part_i_revenue_expenses.net_assets_boy</t>
        </is>
      </c>
      <c r="F57" s="8" t="inlineStr">
        <is>
          <t>high</t>
        </is>
      </c>
      <c r="G57" s="9" t="n">
        <v>441370</v>
      </c>
    </row>
    <row r="58">
      <c r="A58" s="8" t="inlineStr">
        <is>
          <t>Form 990-EZ Parts I &amp; II</t>
        </is>
      </c>
      <c r="B58" s="8" t="inlineStr">
        <is>
          <t>C19</t>
        </is>
      </c>
      <c r="C58" s="8" t="inlineStr">
        <is>
          <t>19. Net assets or fund balances, beginning of year</t>
        </is>
      </c>
      <c r="D58" s="8" t="inlineStr">
        <is>
          <t>Part I line 19</t>
        </is>
      </c>
      <c r="E58" s="8" t="inlineStr">
        <is>
          <t>part_i_revenue_expenses.net_assets_boy</t>
        </is>
      </c>
      <c r="F58" s="8" t="inlineStr">
        <is>
          <t>high</t>
        </is>
      </c>
      <c r="G58" s="9" t="n">
        <v>450707</v>
      </c>
    </row>
    <row r="59">
      <c r="A59" s="8" t="inlineStr">
        <is>
          <t>Form 990-EZ Parts I &amp; II</t>
        </is>
      </c>
      <c r="B59" s="8" t="inlineStr">
        <is>
          <t>D19</t>
        </is>
      </c>
      <c r="C59" s="8" t="inlineStr">
        <is>
          <t>19. Net assets or fund balances, beginning of year</t>
        </is>
      </c>
      <c r="D59" s="8" t="inlineStr">
        <is>
          <t>Part I line 19</t>
        </is>
      </c>
      <c r="E59" s="8" t="inlineStr">
        <is>
          <t>part_i_revenue_expenses.net_assets_boy</t>
        </is>
      </c>
      <c r="F59" s="8" t="inlineStr">
        <is>
          <t>high</t>
        </is>
      </c>
      <c r="G59" s="9" t="n">
        <v>464228</v>
      </c>
    </row>
    <row r="60">
      <c r="A60" s="8" t="inlineStr">
        <is>
          <t>Form 990-EZ Parts I &amp; II</t>
        </is>
      </c>
      <c r="B60" s="8" t="inlineStr">
        <is>
          <t>E19</t>
        </is>
      </c>
      <c r="C60" s="8" t="inlineStr">
        <is>
          <t>19. Net assets or fund balances, beginning of year</t>
        </is>
      </c>
      <c r="D60" s="8" t="inlineStr">
        <is>
          <t>Part I line 19</t>
        </is>
      </c>
      <c r="E60" s="8" t="inlineStr">
        <is>
          <t>part_i_revenue_expenses.net_assets_boy</t>
        </is>
      </c>
      <c r="F60" s="8" t="inlineStr">
        <is>
          <t>high</t>
        </is>
      </c>
      <c r="G60" s="9" t="n">
        <v>458719</v>
      </c>
    </row>
    <row r="61">
      <c r="A61" s="8" t="inlineStr">
        <is>
          <t>Form 990-EZ Parts I &amp; II</t>
        </is>
      </c>
      <c r="B61" s="8" t="inlineStr">
        <is>
          <t>F19</t>
        </is>
      </c>
      <c r="C61" s="8" t="inlineStr">
        <is>
          <t>19. Net assets or fund balances, beginning of year</t>
        </is>
      </c>
      <c r="D61" s="8" t="inlineStr">
        <is>
          <t>Part I line 19</t>
        </is>
      </c>
      <c r="E61" s="8" t="inlineStr">
        <is>
          <t>part_i_revenue_expenses.net_assets_boy</t>
        </is>
      </c>
      <c r="F61" s="8" t="inlineStr">
        <is>
          <t>high</t>
        </is>
      </c>
      <c r="G61" s="9" t="n">
        <v>454813</v>
      </c>
    </row>
    <row r="62">
      <c r="A62" s="8" t="inlineStr">
        <is>
          <t>Form 990-EZ Parts I &amp; II</t>
        </is>
      </c>
      <c r="B62" s="8" t="inlineStr">
        <is>
          <t>G19</t>
        </is>
      </c>
      <c r="C62" s="8" t="inlineStr">
        <is>
          <t>19. Net assets or fund balances, beginning of year</t>
        </is>
      </c>
      <c r="D62" s="8" t="inlineStr">
        <is>
          <t>Part I line 19</t>
        </is>
      </c>
      <c r="E62" s="8" t="inlineStr">
        <is>
          <t>part_i_revenue_expenses.net_assets_boy</t>
        </is>
      </c>
      <c r="F62" s="8" t="inlineStr">
        <is>
          <t>high</t>
        </is>
      </c>
      <c r="G62" s="9" t="n">
        <v>449361</v>
      </c>
    </row>
    <row r="63">
      <c r="A63" s="8" t="inlineStr">
        <is>
          <t>Form 990-EZ Parts I &amp; II</t>
        </is>
      </c>
      <c r="B63" s="8" t="inlineStr">
        <is>
          <t>B20</t>
        </is>
      </c>
      <c r="C63" s="8" t="inlineStr">
        <is>
          <t>18. Excess or (deficit) for the year</t>
        </is>
      </c>
      <c r="D63" s="8" t="inlineStr">
        <is>
          <t>Part I line 18</t>
        </is>
      </c>
      <c r="E63" s="8" t="inlineStr">
        <is>
          <t>part_i_revenue_expenses.excess_or_deficit</t>
        </is>
      </c>
      <c r="F63" s="8" t="inlineStr">
        <is>
          <t>high</t>
        </is>
      </c>
      <c r="G63" s="9" t="n">
        <v>9337</v>
      </c>
    </row>
    <row r="64">
      <c r="A64" s="8" t="inlineStr">
        <is>
          <t>Form 990-EZ Parts I &amp; II</t>
        </is>
      </c>
      <c r="B64" s="8" t="inlineStr">
        <is>
          <t>C20</t>
        </is>
      </c>
      <c r="C64" s="8" t="inlineStr">
        <is>
          <t>18. Excess or (deficit) for the year</t>
        </is>
      </c>
      <c r="D64" s="8" t="inlineStr">
        <is>
          <t>Part I line 18</t>
        </is>
      </c>
      <c r="E64" s="8" t="inlineStr">
        <is>
          <t>part_i_revenue_expenses.excess_or_deficit</t>
        </is>
      </c>
      <c r="F64" s="8" t="inlineStr">
        <is>
          <t>high</t>
        </is>
      </c>
      <c r="G64" s="9" t="n">
        <v>13521</v>
      </c>
    </row>
    <row r="65">
      <c r="A65" s="8" t="inlineStr">
        <is>
          <t>Form 990-EZ Parts I &amp; II</t>
        </is>
      </c>
      <c r="B65" s="8" t="inlineStr">
        <is>
          <t>D20</t>
        </is>
      </c>
      <c r="C65" s="8" t="inlineStr">
        <is>
          <t>18. Excess or (deficit) for the year</t>
        </is>
      </c>
      <c r="D65" s="8" t="inlineStr">
        <is>
          <t>Part I line 18</t>
        </is>
      </c>
      <c r="E65" s="8" t="inlineStr">
        <is>
          <t>part_i_revenue_expenses.excess_or_deficit</t>
        </is>
      </c>
      <c r="F65" s="8" t="inlineStr">
        <is>
          <t>high</t>
        </is>
      </c>
      <c r="G65" s="9" t="n">
        <v>-5509</v>
      </c>
    </row>
    <row r="66">
      <c r="A66" s="8" t="inlineStr">
        <is>
          <t>Form 990-EZ Parts I &amp; II</t>
        </is>
      </c>
      <c r="B66" s="8" t="inlineStr">
        <is>
          <t>E20</t>
        </is>
      </c>
      <c r="C66" s="8" t="inlineStr">
        <is>
          <t>18. Excess or (deficit) for the year</t>
        </is>
      </c>
      <c r="D66" s="8" t="inlineStr">
        <is>
          <t>Part I line 18</t>
        </is>
      </c>
      <c r="E66" s="8" t="inlineStr">
        <is>
          <t>part_i_revenue_expenses.excess_or_deficit</t>
        </is>
      </c>
      <c r="F66" s="8" t="inlineStr">
        <is>
          <t>high</t>
        </is>
      </c>
      <c r="G66" s="9" t="n">
        <v>-3906</v>
      </c>
    </row>
    <row r="67">
      <c r="A67" s="8" t="inlineStr">
        <is>
          <t>Form 990-EZ Parts I &amp; II</t>
        </is>
      </c>
      <c r="B67" s="8" t="inlineStr">
        <is>
          <t>F20</t>
        </is>
      </c>
      <c r="C67" s="8" t="inlineStr">
        <is>
          <t>18. Excess or (deficit) for the year</t>
        </is>
      </c>
      <c r="D67" s="8" t="inlineStr">
        <is>
          <t>Part I line 18</t>
        </is>
      </c>
      <c r="E67" s="8" t="inlineStr">
        <is>
          <t>part_i_revenue_expenses.excess_or_deficit</t>
        </is>
      </c>
      <c r="F67" s="8" t="inlineStr">
        <is>
          <t>high</t>
        </is>
      </c>
      <c r="G67" s="9" t="n">
        <v>-5452</v>
      </c>
    </row>
    <row r="68">
      <c r="A68" s="8" t="inlineStr">
        <is>
          <t>Form 990-EZ Parts I &amp; II</t>
        </is>
      </c>
      <c r="B68" s="8" t="inlineStr">
        <is>
          <t>G20</t>
        </is>
      </c>
      <c r="C68" s="8" t="inlineStr">
        <is>
          <t>18. Excess or (deficit) for the year</t>
        </is>
      </c>
      <c r="D68" s="8" t="inlineStr">
        <is>
          <t>Part I line 18</t>
        </is>
      </c>
      <c r="E68" s="8" t="inlineStr">
        <is>
          <t>part_i_revenue_expenses.excess_or_deficit</t>
        </is>
      </c>
      <c r="F68" s="8" t="inlineStr">
        <is>
          <t>high</t>
        </is>
      </c>
      <c r="G68" s="9" t="n">
        <v>3025</v>
      </c>
    </row>
    <row r="69">
      <c r="A69" s="8" t="inlineStr">
        <is>
          <t>Form 990-EZ Parts I &amp; II</t>
        </is>
      </c>
      <c r="B69" s="8" t="inlineStr">
        <is>
          <t>B24</t>
        </is>
      </c>
      <c r="C69" s="8" t="inlineStr">
        <is>
          <t>22. Cash, savings, and investments</t>
        </is>
      </c>
      <c r="D69" s="8" t="inlineStr">
        <is>
          <t>Part II line 22 col B</t>
        </is>
      </c>
      <c r="E69" s="8" t="inlineStr">
        <is>
          <t>part_ii_balance_sheet.cash_savings_investments_eoy</t>
        </is>
      </c>
      <c r="F69" s="8" t="inlineStr">
        <is>
          <t>high</t>
        </is>
      </c>
      <c r="G69" s="9" t="n">
        <v>401122</v>
      </c>
    </row>
    <row r="70">
      <c r="A70" s="8" t="inlineStr">
        <is>
          <t>Form 990-EZ Parts I &amp; II</t>
        </is>
      </c>
      <c r="B70" s="8" t="inlineStr">
        <is>
          <t>C24</t>
        </is>
      </c>
      <c r="C70" s="8" t="inlineStr">
        <is>
          <t>22. Cash, savings, and investments</t>
        </is>
      </c>
      <c r="D70" s="8" t="inlineStr">
        <is>
          <t>Part II line 22 col B</t>
        </is>
      </c>
      <c r="E70" s="8" t="inlineStr">
        <is>
          <t>part_ii_balance_sheet.cash_savings_investments_eoy</t>
        </is>
      </c>
      <c r="F70" s="8" t="inlineStr">
        <is>
          <t>high</t>
        </is>
      </c>
      <c r="G70" s="9" t="n">
        <v>422877</v>
      </c>
    </row>
    <row r="71">
      <c r="A71" s="8" t="inlineStr">
        <is>
          <t>Form 990-EZ Parts I &amp; II</t>
        </is>
      </c>
      <c r="B71" s="8" t="inlineStr">
        <is>
          <t>D24</t>
        </is>
      </c>
      <c r="C71" s="8" t="inlineStr">
        <is>
          <t>22. Cash, savings, and investments</t>
        </is>
      </c>
      <c r="D71" s="8" t="inlineStr">
        <is>
          <t>Part II line 22 col B</t>
        </is>
      </c>
      <c r="E71" s="8" t="inlineStr">
        <is>
          <t>part_ii_balance_sheet.cash_savings_investments_eoy</t>
        </is>
      </c>
      <c r="F71" s="8" t="inlineStr">
        <is>
          <t>high</t>
        </is>
      </c>
      <c r="G71" s="9" t="n">
        <v>426282</v>
      </c>
    </row>
    <row r="72">
      <c r="A72" s="8" t="inlineStr">
        <is>
          <t>Form 990-EZ Parts I &amp; II</t>
        </is>
      </c>
      <c r="B72" s="8" t="inlineStr">
        <is>
          <t>E24</t>
        </is>
      </c>
      <c r="C72" s="8" t="inlineStr">
        <is>
          <t>22. Cash, savings, and investments</t>
        </is>
      </c>
      <c r="D72" s="8" t="inlineStr">
        <is>
          <t>Part II line 22 col B</t>
        </is>
      </c>
      <c r="E72" s="8" t="inlineStr">
        <is>
          <t>part_ii_balance_sheet.cash_savings_investments_eoy</t>
        </is>
      </c>
      <c r="F72" s="8" t="inlineStr">
        <is>
          <t>high</t>
        </is>
      </c>
      <c r="G72" s="9" t="n">
        <v>426576</v>
      </c>
    </row>
    <row r="73">
      <c r="A73" s="8" t="inlineStr">
        <is>
          <t>Form 990-EZ Parts I &amp; II</t>
        </is>
      </c>
      <c r="B73" s="8" t="inlineStr">
        <is>
          <t>F24</t>
        </is>
      </c>
      <c r="C73" s="8" t="inlineStr">
        <is>
          <t>22. Cash, savings, and investments</t>
        </is>
      </c>
      <c r="D73" s="8" t="inlineStr">
        <is>
          <t>Part II line 22 col B</t>
        </is>
      </c>
      <c r="E73" s="8" t="inlineStr">
        <is>
          <t>part_ii_balance_sheet.cash_savings_investments_eoy</t>
        </is>
      </c>
      <c r="F73" s="8" t="inlineStr">
        <is>
          <t>high</t>
        </is>
      </c>
      <c r="G73" s="9" t="n">
        <v>423344</v>
      </c>
    </row>
    <row r="74">
      <c r="A74" s="8" t="inlineStr">
        <is>
          <t>Form 990-EZ Parts I &amp; II</t>
        </is>
      </c>
      <c r="B74" s="8" t="inlineStr">
        <is>
          <t>G24</t>
        </is>
      </c>
      <c r="C74" s="8" t="inlineStr">
        <is>
          <t>22. Cash, savings, and investments</t>
        </is>
      </c>
      <c r="D74" s="8" t="inlineStr">
        <is>
          <t>Part II line 22 col B</t>
        </is>
      </c>
      <c r="E74" s="8" t="inlineStr">
        <is>
          <t>part_ii_balance_sheet.cash_savings_investments_eoy</t>
        </is>
      </c>
      <c r="F74" s="8" t="inlineStr">
        <is>
          <t>high</t>
        </is>
      </c>
      <c r="G74" s="9" t="n">
        <v>426984</v>
      </c>
    </row>
    <row r="75">
      <c r="A75" s="8" t="inlineStr">
        <is>
          <t>Form 990-EZ Parts I &amp; II</t>
        </is>
      </c>
      <c r="B75" s="8" t="inlineStr">
        <is>
          <t>B25</t>
        </is>
      </c>
      <c r="C75" s="8" t="inlineStr">
        <is>
          <t>23. Land and buildings</t>
        </is>
      </c>
      <c r="D75" s="8" t="inlineStr">
        <is>
          <t>Part II line 23 col B</t>
        </is>
      </c>
      <c r="E75" s="8" t="inlineStr">
        <is>
          <t>part_ii_balance_sheet.land_and_buildings_eoy</t>
        </is>
      </c>
      <c r="F75" s="8" t="inlineStr">
        <is>
          <t>high</t>
        </is>
      </c>
      <c r="G75" s="9" t="n">
        <v>25290</v>
      </c>
    </row>
    <row r="76">
      <c r="A76" s="8" t="inlineStr">
        <is>
          <t>Form 990-EZ Parts I &amp; II</t>
        </is>
      </c>
      <c r="B76" s="8" t="inlineStr">
        <is>
          <t>C25</t>
        </is>
      </c>
      <c r="C76" s="8" t="inlineStr">
        <is>
          <t>23. Land and buildings</t>
        </is>
      </c>
      <c r="D76" s="8" t="inlineStr">
        <is>
          <t>Part II line 23 col B</t>
        </is>
      </c>
      <c r="E76" s="8" t="inlineStr">
        <is>
          <t>part_ii_balance_sheet.land_and_buildings_eoy</t>
        </is>
      </c>
      <c r="F76" s="8" t="inlineStr">
        <is>
          <t>high</t>
        </is>
      </c>
      <c r="G76" s="9" t="n">
        <v>25290</v>
      </c>
    </row>
    <row r="77">
      <c r="A77" s="8" t="inlineStr">
        <is>
          <t>Form 990-EZ Parts I &amp; II</t>
        </is>
      </c>
      <c r="B77" s="8" t="inlineStr">
        <is>
          <t>D25</t>
        </is>
      </c>
      <c r="C77" s="8" t="inlineStr">
        <is>
          <t>23. Land and buildings</t>
        </is>
      </c>
      <c r="D77" s="8" t="inlineStr">
        <is>
          <t>Part II line 23 col B</t>
        </is>
      </c>
      <c r="E77" s="8" t="inlineStr">
        <is>
          <t>part_ii_balance_sheet.land_and_buildings_eoy</t>
        </is>
      </c>
      <c r="F77" s="8" t="inlineStr">
        <is>
          <t>high</t>
        </is>
      </c>
      <c r="G77" s="9" t="n">
        <v>25290</v>
      </c>
    </row>
    <row r="78">
      <c r="A78" s="8" t="inlineStr">
        <is>
          <t>Form 990-EZ Parts I &amp; II</t>
        </is>
      </c>
      <c r="B78" s="8" t="inlineStr">
        <is>
          <t>E25</t>
        </is>
      </c>
      <c r="C78" s="8" t="inlineStr">
        <is>
          <t>23. Land and buildings</t>
        </is>
      </c>
      <c r="D78" s="8" t="inlineStr">
        <is>
          <t>Part II line 23 col B</t>
        </is>
      </c>
      <c r="E78" s="8" t="inlineStr">
        <is>
          <t>part_ii_balance_sheet.land_and_buildings_eoy</t>
        </is>
      </c>
      <c r="F78" s="8" t="inlineStr">
        <is>
          <t>high</t>
        </is>
      </c>
      <c r="G78" s="9" t="n">
        <v>25290</v>
      </c>
    </row>
    <row r="79">
      <c r="A79" s="8" t="inlineStr">
        <is>
          <t>Form 990-EZ Parts I &amp; II</t>
        </is>
      </c>
      <c r="B79" s="8" t="inlineStr">
        <is>
          <t>F25</t>
        </is>
      </c>
      <c r="C79" s="8" t="inlineStr">
        <is>
          <t>23. Land and buildings</t>
        </is>
      </c>
      <c r="D79" s="8" t="inlineStr">
        <is>
          <t>Part II line 23 col B</t>
        </is>
      </c>
      <c r="E79" s="8" t="inlineStr">
        <is>
          <t>part_ii_balance_sheet.land_and_buildings_eoy</t>
        </is>
      </c>
      <c r="F79" s="8" t="inlineStr">
        <is>
          <t>high</t>
        </is>
      </c>
      <c r="G79" s="9" t="n">
        <v>25290</v>
      </c>
    </row>
    <row r="80">
      <c r="A80" s="8" t="inlineStr">
        <is>
          <t>Form 990-EZ Parts I &amp; II</t>
        </is>
      </c>
      <c r="B80" s="8" t="inlineStr">
        <is>
          <t>G25</t>
        </is>
      </c>
      <c r="C80" s="8" t="inlineStr">
        <is>
          <t>23. Land and buildings</t>
        </is>
      </c>
      <c r="D80" s="8" t="inlineStr">
        <is>
          <t>Part II line 23 col B</t>
        </is>
      </c>
      <c r="E80" s="8" t="inlineStr">
        <is>
          <t>part_ii_balance_sheet.land_and_buildings_eoy</t>
        </is>
      </c>
      <c r="F80" s="8" t="inlineStr">
        <is>
          <t>high</t>
        </is>
      </c>
      <c r="G80" s="9" t="n">
        <v>25290</v>
      </c>
    </row>
    <row r="81">
      <c r="A81" s="8" t="inlineStr">
        <is>
          <t>Form 990-EZ Parts I &amp; II</t>
        </is>
      </c>
      <c r="B81" s="8" t="inlineStr">
        <is>
          <t>B26</t>
        </is>
      </c>
      <c r="C81" s="8" t="inlineStr">
        <is>
          <t>24. Other assets</t>
        </is>
      </c>
      <c r="D81" s="8" t="inlineStr">
        <is>
          <t>Part II line 24 col B</t>
        </is>
      </c>
      <c r="E81" s="8" t="inlineStr">
        <is>
          <t>part_ii_balance_sheet.other_assets_eoy</t>
        </is>
      </c>
      <c r="F81" s="8" t="inlineStr">
        <is>
          <t>high</t>
        </is>
      </c>
      <c r="G81" s="9" t="n">
        <v>25194</v>
      </c>
    </row>
    <row r="82">
      <c r="A82" s="8" t="inlineStr">
        <is>
          <t>Form 990-EZ Parts I &amp; II</t>
        </is>
      </c>
      <c r="B82" s="8" t="inlineStr">
        <is>
          <t>C26</t>
        </is>
      </c>
      <c r="C82" s="8" t="inlineStr">
        <is>
          <t>24. Other assets</t>
        </is>
      </c>
      <c r="D82" s="8" t="inlineStr">
        <is>
          <t>Part II line 24 col B</t>
        </is>
      </c>
      <c r="E82" s="8" t="inlineStr">
        <is>
          <t>part_ii_balance_sheet.other_assets_eoy</t>
        </is>
      </c>
      <c r="F82" s="8" t="inlineStr">
        <is>
          <t>high</t>
        </is>
      </c>
      <c r="G82" s="9" t="n">
        <v>16061</v>
      </c>
    </row>
    <row r="83">
      <c r="A83" s="8" t="inlineStr">
        <is>
          <t>Form 990-EZ Parts I &amp; II</t>
        </is>
      </c>
      <c r="B83" s="8" t="inlineStr">
        <is>
          <t>D26</t>
        </is>
      </c>
      <c r="C83" s="8" t="inlineStr">
        <is>
          <t>24. Other assets</t>
        </is>
      </c>
      <c r="D83" s="8" t="inlineStr">
        <is>
          <t>Part II line 24 col B</t>
        </is>
      </c>
      <c r="E83" s="8" t="inlineStr">
        <is>
          <t>part_ii_balance_sheet.other_assets_eoy</t>
        </is>
      </c>
      <c r="F83" s="8" t="inlineStr">
        <is>
          <t>high</t>
        </is>
      </c>
      <c r="G83" s="9" t="n">
        <v>7147</v>
      </c>
    </row>
    <row r="84">
      <c r="A84" s="8" t="inlineStr">
        <is>
          <t>Form 990-EZ Parts I &amp; II</t>
        </is>
      </c>
      <c r="B84" s="8" t="inlineStr">
        <is>
          <t>E26</t>
        </is>
      </c>
      <c r="C84" s="8" t="inlineStr">
        <is>
          <t>24. Other assets</t>
        </is>
      </c>
      <c r="D84" s="8" t="inlineStr">
        <is>
          <t>Part II line 24 col B</t>
        </is>
      </c>
      <c r="E84" s="8" t="inlineStr">
        <is>
          <t>part_ii_balance_sheet.other_assets_eoy</t>
        </is>
      </c>
      <c r="F84" s="8" t="inlineStr">
        <is>
          <t>high</t>
        </is>
      </c>
      <c r="G84" s="9" t="n">
        <v>2947</v>
      </c>
    </row>
    <row r="85">
      <c r="A85" s="8" t="inlineStr">
        <is>
          <t>Form 990-EZ Parts I &amp; II</t>
        </is>
      </c>
      <c r="B85" s="8" t="inlineStr">
        <is>
          <t>F26</t>
        </is>
      </c>
      <c r="C85" s="8" t="inlineStr">
        <is>
          <t>24. Other assets</t>
        </is>
      </c>
      <c r="D85" s="8" t="inlineStr">
        <is>
          <t>Part II line 24 col B</t>
        </is>
      </c>
      <c r="E85" s="8" t="inlineStr">
        <is>
          <t>part_ii_balance_sheet.other_assets_eoy</t>
        </is>
      </c>
      <c r="F85" s="8" t="inlineStr">
        <is>
          <t>high</t>
        </is>
      </c>
      <c r="G85" s="9" t="n">
        <v>1042</v>
      </c>
    </row>
    <row r="86">
      <c r="A86" s="8" t="inlineStr">
        <is>
          <t>Form 990-EZ Parts I &amp; II</t>
        </is>
      </c>
      <c r="B86" s="8" t="inlineStr">
        <is>
          <t>G26</t>
        </is>
      </c>
      <c r="C86" s="8" t="inlineStr">
        <is>
          <t>24. Other assets</t>
        </is>
      </c>
      <c r="D86" s="8" t="inlineStr">
        <is>
          <t>Part II line 24 col B</t>
        </is>
      </c>
      <c r="E86" s="8" t="inlineStr">
        <is>
          <t>part_ii_balance_sheet.other_assets_eoy</t>
        </is>
      </c>
      <c r="F86" s="8" t="inlineStr">
        <is>
          <t>high</t>
        </is>
      </c>
      <c r="G86" s="9" t="n">
        <v>490</v>
      </c>
    </row>
    <row r="87">
      <c r="A87" s="8" t="inlineStr">
        <is>
          <t>Form 990-EZ Parts I &amp; II</t>
        </is>
      </c>
      <c r="B87" s="8" t="inlineStr">
        <is>
          <t>B28</t>
        </is>
      </c>
      <c r="C87" s="8" t="inlineStr">
        <is>
          <t>26. Total liabilities</t>
        </is>
      </c>
      <c r="D87" s="8" t="inlineStr">
        <is>
          <t>Part II line 26 col B</t>
        </is>
      </c>
      <c r="E87" s="8" t="inlineStr">
        <is>
          <t>part_ii_balance_sheet.total_liabilities_eoy</t>
        </is>
      </c>
      <c r="F87" s="8" t="inlineStr">
        <is>
          <t>high</t>
        </is>
      </c>
      <c r="G87" s="9" t="n">
        <v>899</v>
      </c>
    </row>
    <row r="88">
      <c r="A88" s="8" t="inlineStr">
        <is>
          <t>Form 990-EZ Parts I &amp; II</t>
        </is>
      </c>
      <c r="B88" s="8" t="inlineStr">
        <is>
          <t>F28</t>
        </is>
      </c>
      <c r="C88" s="8" t="inlineStr">
        <is>
          <t>26. Total liabilities</t>
        </is>
      </c>
      <c r="D88" s="8" t="inlineStr">
        <is>
          <t>Part II line 26 col B</t>
        </is>
      </c>
      <c r="E88" s="8" t="inlineStr">
        <is>
          <t>part_ii_balance_sheet.total_liabilities_eoy</t>
        </is>
      </c>
      <c r="F88" s="8" t="inlineStr">
        <is>
          <t>high</t>
        </is>
      </c>
      <c r="G88" s="9" t="n">
        <v>315</v>
      </c>
    </row>
    <row r="89">
      <c r="A89" s="8" t="inlineStr">
        <is>
          <t>Form 990-EZ Parts I &amp; II</t>
        </is>
      </c>
      <c r="B89" s="8" t="inlineStr">
        <is>
          <t>G28</t>
        </is>
      </c>
      <c r="C89" s="8" t="inlineStr">
        <is>
          <t>26. Total liabilities</t>
        </is>
      </c>
      <c r="D89" s="8" t="inlineStr">
        <is>
          <t>Part II line 26 col B</t>
        </is>
      </c>
      <c r="E89" s="8" t="inlineStr">
        <is>
          <t>part_ii_balance_sheet.total_liabilities_eoy</t>
        </is>
      </c>
      <c r="F89" s="8" t="inlineStr">
        <is>
          <t>high</t>
        </is>
      </c>
      <c r="G89" s="9" t="n">
        <v>378</v>
      </c>
    </row>
    <row r="90">
      <c r="A90" s="8" t="inlineStr">
        <is>
          <t>Form 990-EZ Parts I &amp; II</t>
        </is>
      </c>
      <c r="B90" s="8" t="inlineStr">
        <is>
          <t>B29</t>
        </is>
      </c>
      <c r="C90" s="8" t="inlineStr">
        <is>
          <t>27. Net assets or fund balances</t>
        </is>
      </c>
      <c r="D90" s="8" t="inlineStr">
        <is>
          <t>Part II line 27 col B</t>
        </is>
      </c>
      <c r="E90" s="8" t="inlineStr">
        <is>
          <t>part_ii_balance_sheet.net_assets_eoy</t>
        </is>
      </c>
      <c r="F90" s="8" t="inlineStr">
        <is>
          <t>high</t>
        </is>
      </c>
      <c r="G90" s="9" t="n">
        <v>450707</v>
      </c>
    </row>
    <row r="91">
      <c r="A91" s="8" t="inlineStr">
        <is>
          <t>Form 990-EZ Parts I &amp; II</t>
        </is>
      </c>
      <c r="B91" s="8" t="inlineStr">
        <is>
          <t>C29</t>
        </is>
      </c>
      <c r="C91" s="8" t="inlineStr">
        <is>
          <t>27. Net assets or fund balances</t>
        </is>
      </c>
      <c r="D91" s="8" t="inlineStr">
        <is>
          <t>Part II line 27 col B</t>
        </is>
      </c>
      <c r="E91" s="8" t="inlineStr">
        <is>
          <t>part_ii_balance_sheet.net_assets_eoy</t>
        </is>
      </c>
      <c r="F91" s="8" t="inlineStr">
        <is>
          <t>high</t>
        </is>
      </c>
      <c r="G91" s="9" t="n">
        <v>464228</v>
      </c>
    </row>
    <row r="92">
      <c r="A92" s="8" t="inlineStr">
        <is>
          <t>Form 990-EZ Parts I &amp; II</t>
        </is>
      </c>
      <c r="B92" s="8" t="inlineStr">
        <is>
          <t>D29</t>
        </is>
      </c>
      <c r="C92" s="8" t="inlineStr">
        <is>
          <t>27. Net assets or fund balances</t>
        </is>
      </c>
      <c r="D92" s="8" t="inlineStr">
        <is>
          <t>Part II line 27 col B</t>
        </is>
      </c>
      <c r="E92" s="8" t="inlineStr">
        <is>
          <t>part_ii_balance_sheet.net_assets_eoy</t>
        </is>
      </c>
      <c r="F92" s="8" t="inlineStr">
        <is>
          <t>high</t>
        </is>
      </c>
      <c r="G92" s="9" t="n">
        <v>458719</v>
      </c>
    </row>
    <row r="93">
      <c r="A93" s="8" t="inlineStr">
        <is>
          <t>Form 990-EZ Parts I &amp; II</t>
        </is>
      </c>
      <c r="B93" s="8" t="inlineStr">
        <is>
          <t>E29</t>
        </is>
      </c>
      <c r="C93" s="8" t="inlineStr">
        <is>
          <t>27. Net assets or fund balances</t>
        </is>
      </c>
      <c r="D93" s="8" t="inlineStr">
        <is>
          <t>Part II line 27 col B</t>
        </is>
      </c>
      <c r="E93" s="8" t="inlineStr">
        <is>
          <t>part_ii_balance_sheet.net_assets_eoy</t>
        </is>
      </c>
      <c r="F93" s="8" t="inlineStr">
        <is>
          <t>high</t>
        </is>
      </c>
      <c r="G93" s="9" t="n">
        <v>454813</v>
      </c>
    </row>
    <row r="94">
      <c r="A94" s="8" t="inlineStr">
        <is>
          <t>Form 990-EZ Parts I &amp; II</t>
        </is>
      </c>
      <c r="B94" s="8" t="inlineStr">
        <is>
          <t>F29</t>
        </is>
      </c>
      <c r="C94" s="8" t="inlineStr">
        <is>
          <t>27. Net assets or fund balances</t>
        </is>
      </c>
      <c r="D94" s="8" t="inlineStr">
        <is>
          <t>Part II line 27 col B</t>
        </is>
      </c>
      <c r="E94" s="8" t="inlineStr">
        <is>
          <t>part_ii_balance_sheet.net_assets_eoy</t>
        </is>
      </c>
      <c r="F94" s="8" t="inlineStr">
        <is>
          <t>high</t>
        </is>
      </c>
      <c r="G94" s="9" t="n">
        <v>449361</v>
      </c>
    </row>
    <row r="95">
      <c r="A95" s="8" t="inlineStr">
        <is>
          <t>Form 990-EZ Parts I &amp; II</t>
        </is>
      </c>
      <c r="B95" s="8" t="inlineStr">
        <is>
          <t>G29</t>
        </is>
      </c>
      <c r="C95" s="8" t="inlineStr">
        <is>
          <t>27. Net assets or fund balances</t>
        </is>
      </c>
      <c r="D95" s="8" t="inlineStr">
        <is>
          <t>Part II line 27 col B</t>
        </is>
      </c>
      <c r="E95" s="8" t="inlineStr">
        <is>
          <t>part_ii_balance_sheet.net_assets_eoy</t>
        </is>
      </c>
      <c r="F95" s="8" t="inlineStr">
        <is>
          <t>high</t>
        </is>
      </c>
      <c r="G95" s="9" t="n">
        <v>452386</v>
      </c>
    </row>
    <row r="97">
      <c r="A97" s="24" t="inlineStr">
        <is>
          <t>C. Tie-out checks (filed vs computed; any nonzero variance is flagged red)</t>
        </is>
      </c>
      <c r="B97" s="7" t="n"/>
      <c r="C97" s="7" t="n"/>
      <c r="D97" s="7" t="n"/>
      <c r="E97" s="7" t="n"/>
      <c r="F97" s="7" t="n"/>
      <c r="G97" s="7" t="n"/>
      <c r="H97" s="7" t="n"/>
      <c r="I97" s="7" t="n"/>
      <c r="J97" s="7" t="n"/>
      <c r="K97" s="7" t="n"/>
    </row>
    <row r="98">
      <c r="A98" s="5" t="inlineStr">
        <is>
          <t>Tab</t>
        </is>
      </c>
      <c r="B98" s="5" t="inlineStr">
        <is>
          <t>Check</t>
        </is>
      </c>
      <c r="C98" s="5" t="inlineStr">
        <is>
          <t>Fiscal year</t>
        </is>
      </c>
      <c r="D98" s="5" t="inlineStr">
        <is>
          <t>Filed</t>
        </is>
      </c>
      <c r="E98" s="5" t="inlineStr">
        <is>
          <t>Computed</t>
        </is>
      </c>
      <c r="F98" s="5" t="inlineStr">
        <is>
          <t>Variance (computed - filed)</t>
        </is>
      </c>
    </row>
    <row r="99">
      <c r="A99" s="25" t="inlineStr">
        <is>
          <t>Form 990-EZ Parts I &amp; II</t>
        </is>
      </c>
      <c r="B99" s="25" t="inlineStr">
        <is>
          <t>17. Total expenses</t>
        </is>
      </c>
      <c r="C99" s="25" t="inlineStr">
        <is>
          <t>FY2020</t>
        </is>
      </c>
      <c r="D99" s="9" t="n">
        <v>126461</v>
      </c>
      <c r="E99" s="9">
        <f>'Form 990-EZ Parts I &amp; II'!B16</f>
        <v/>
      </c>
      <c r="F99" s="9">
        <f>E99-D99</f>
        <v/>
      </c>
    </row>
    <row r="100">
      <c r="A100" s="25" t="inlineStr">
        <is>
          <t>Form 990-EZ Parts I &amp; II</t>
        </is>
      </c>
      <c r="B100" s="25" t="inlineStr">
        <is>
          <t>17. Total expenses</t>
        </is>
      </c>
      <c r="C100" s="25" t="inlineStr">
        <is>
          <t>FY2021</t>
        </is>
      </c>
      <c r="D100" s="9" t="n">
        <v>120359</v>
      </c>
      <c r="E100" s="9">
        <f>'Form 990-EZ Parts I &amp; II'!C16</f>
        <v/>
      </c>
      <c r="F100" s="9">
        <f>E100-D100</f>
        <v/>
      </c>
    </row>
    <row r="101">
      <c r="A101" s="25" t="inlineStr">
        <is>
          <t>Form 990-EZ Parts I &amp; II</t>
        </is>
      </c>
      <c r="B101" s="25" t="inlineStr">
        <is>
          <t>17. Total expenses</t>
        </is>
      </c>
      <c r="C101" s="25" t="inlineStr">
        <is>
          <t>FY2022</t>
        </is>
      </c>
      <c r="D101" s="9" t="n">
        <v>137632</v>
      </c>
      <c r="E101" s="9">
        <f>'Form 990-EZ Parts I &amp; II'!D16</f>
        <v/>
      </c>
      <c r="F101" s="9">
        <f>E101-D101</f>
        <v/>
      </c>
    </row>
    <row r="102">
      <c r="A102" s="25" t="inlineStr">
        <is>
          <t>Form 990-EZ Parts I &amp; II</t>
        </is>
      </c>
      <c r="B102" s="25" t="inlineStr">
        <is>
          <t>17. Total expenses</t>
        </is>
      </c>
      <c r="C102" s="25" t="inlineStr">
        <is>
          <t>FY2023</t>
        </is>
      </c>
      <c r="D102" s="9" t="n">
        <v>128319</v>
      </c>
      <c r="E102" s="9">
        <f>'Form 990-EZ Parts I &amp; II'!E16</f>
        <v/>
      </c>
      <c r="F102" s="9">
        <f>E102-D102</f>
        <v/>
      </c>
    </row>
    <row r="103">
      <c r="A103" s="25" t="inlineStr">
        <is>
          <t>Form 990-EZ Parts I &amp; II</t>
        </is>
      </c>
      <c r="B103" s="25" t="inlineStr">
        <is>
          <t>17. Total expenses</t>
        </is>
      </c>
      <c r="C103" s="25" t="inlineStr">
        <is>
          <t>FY2024</t>
        </is>
      </c>
      <c r="D103" s="9" t="n">
        <v>123748</v>
      </c>
      <c r="E103" s="9">
        <f>'Form 990-EZ Parts I &amp; II'!F16</f>
        <v/>
      </c>
      <c r="F103" s="9">
        <f>E103-D103</f>
        <v/>
      </c>
    </row>
    <row r="104">
      <c r="A104" s="25" t="inlineStr">
        <is>
          <t>Form 990-EZ Parts I &amp; II</t>
        </is>
      </c>
      <c r="B104" s="25" t="inlineStr">
        <is>
          <t>17. Total expenses</t>
        </is>
      </c>
      <c r="C104" s="25" t="inlineStr">
        <is>
          <t>FY2025</t>
        </is>
      </c>
      <c r="D104" s="9" t="n">
        <v>119210</v>
      </c>
      <c r="E104" s="9">
        <f>'Form 990-EZ Parts I &amp; II'!G16</f>
        <v/>
      </c>
      <c r="F104" s="9">
        <f>E104-D104</f>
        <v/>
      </c>
    </row>
    <row r="105">
      <c r="A105" s="25" t="inlineStr">
        <is>
          <t>Form 990-EZ Parts I &amp; II</t>
        </is>
      </c>
      <c r="B105" s="25" t="inlineStr">
        <is>
          <t>21. Net assets or fund balances, end of year</t>
        </is>
      </c>
      <c r="C105" s="25" t="inlineStr">
        <is>
          <t>FY2020</t>
        </is>
      </c>
      <c r="D105" s="9" t="n">
        <v>450707</v>
      </c>
      <c r="E105" s="9">
        <f>'Form 990-EZ Parts I &amp; II'!B21</f>
        <v/>
      </c>
      <c r="F105" s="9">
        <f>E105-D105</f>
        <v/>
      </c>
    </row>
    <row r="106">
      <c r="A106" s="25" t="inlineStr">
        <is>
          <t>Form 990-EZ Parts I &amp; II</t>
        </is>
      </c>
      <c r="B106" s="25" t="inlineStr">
        <is>
          <t>21. Net assets or fund balances, end of year</t>
        </is>
      </c>
      <c r="C106" s="25" t="inlineStr">
        <is>
          <t>FY2021</t>
        </is>
      </c>
      <c r="D106" s="9" t="n">
        <v>464228</v>
      </c>
      <c r="E106" s="9">
        <f>'Form 990-EZ Parts I &amp; II'!C21</f>
        <v/>
      </c>
      <c r="F106" s="9">
        <f>E106-D106</f>
        <v/>
      </c>
    </row>
    <row r="107">
      <c r="A107" s="25" t="inlineStr">
        <is>
          <t>Form 990-EZ Parts I &amp; II</t>
        </is>
      </c>
      <c r="B107" s="25" t="inlineStr">
        <is>
          <t>21. Net assets or fund balances, end of year</t>
        </is>
      </c>
      <c r="C107" s="25" t="inlineStr">
        <is>
          <t>FY2022</t>
        </is>
      </c>
      <c r="D107" s="9" t="n">
        <v>458719</v>
      </c>
      <c r="E107" s="9">
        <f>'Form 990-EZ Parts I &amp; II'!D21</f>
        <v/>
      </c>
      <c r="F107" s="9">
        <f>E107-D107</f>
        <v/>
      </c>
    </row>
    <row r="108">
      <c r="A108" s="25" t="inlineStr">
        <is>
          <t>Form 990-EZ Parts I &amp; II</t>
        </is>
      </c>
      <c r="B108" s="25" t="inlineStr">
        <is>
          <t>21. Net assets or fund balances, end of year</t>
        </is>
      </c>
      <c r="C108" s="25" t="inlineStr">
        <is>
          <t>FY2023</t>
        </is>
      </c>
      <c r="D108" s="9" t="n">
        <v>454813</v>
      </c>
      <c r="E108" s="9">
        <f>'Form 990-EZ Parts I &amp; II'!E21</f>
        <v/>
      </c>
      <c r="F108" s="9">
        <f>E108-D108</f>
        <v/>
      </c>
    </row>
    <row r="109">
      <c r="A109" s="25" t="inlineStr">
        <is>
          <t>Form 990-EZ Parts I &amp; II</t>
        </is>
      </c>
      <c r="B109" s="25" t="inlineStr">
        <is>
          <t>21. Net assets or fund balances, end of year</t>
        </is>
      </c>
      <c r="C109" s="25" t="inlineStr">
        <is>
          <t>FY2024</t>
        </is>
      </c>
      <c r="D109" s="9" t="n">
        <v>449361</v>
      </c>
      <c r="E109" s="9">
        <f>'Form 990-EZ Parts I &amp; II'!F21</f>
        <v/>
      </c>
      <c r="F109" s="9">
        <f>E109-D109</f>
        <v/>
      </c>
    </row>
    <row r="110">
      <c r="A110" s="25" t="inlineStr">
        <is>
          <t>Form 990-EZ Parts I &amp; II</t>
        </is>
      </c>
      <c r="B110" s="25" t="inlineStr">
        <is>
          <t>21. Net assets or fund balances, end of year</t>
        </is>
      </c>
      <c r="C110" s="25" t="inlineStr">
        <is>
          <t>FY2025</t>
        </is>
      </c>
      <c r="D110" s="9" t="n">
        <v>452386</v>
      </c>
      <c r="E110" s="9">
        <f>'Form 990-EZ Parts I &amp; II'!G21</f>
        <v/>
      </c>
      <c r="F110" s="9">
        <f>E110-D110</f>
        <v/>
      </c>
    </row>
    <row r="111">
      <c r="A111" s="25" t="inlineStr">
        <is>
          <t>Form 990-EZ Parts I &amp; II</t>
        </is>
      </c>
      <c r="B111" s="25" t="inlineStr">
        <is>
          <t>25. Total assets</t>
        </is>
      </c>
      <c r="C111" s="25" t="inlineStr">
        <is>
          <t>FY2020</t>
        </is>
      </c>
      <c r="D111" s="9" t="n">
        <v>451606</v>
      </c>
      <c r="E111" s="9">
        <f>'Form 990-EZ Parts I &amp; II'!B27</f>
        <v/>
      </c>
      <c r="F111" s="9">
        <f>E111-D111</f>
        <v/>
      </c>
    </row>
    <row r="112">
      <c r="A112" s="25" t="inlineStr">
        <is>
          <t>Form 990-EZ Parts I &amp; II</t>
        </is>
      </c>
      <c r="B112" s="25" t="inlineStr">
        <is>
          <t>25. Total assets</t>
        </is>
      </c>
      <c r="C112" s="25" t="inlineStr">
        <is>
          <t>FY2021</t>
        </is>
      </c>
      <c r="D112" s="9" t="n">
        <v>464228</v>
      </c>
      <c r="E112" s="9">
        <f>'Form 990-EZ Parts I &amp; II'!C27</f>
        <v/>
      </c>
      <c r="F112" s="9">
        <f>E112-D112</f>
        <v/>
      </c>
    </row>
    <row r="113">
      <c r="A113" s="25" t="inlineStr">
        <is>
          <t>Form 990-EZ Parts I &amp; II</t>
        </is>
      </c>
      <c r="B113" s="25" t="inlineStr">
        <is>
          <t>25. Total assets</t>
        </is>
      </c>
      <c r="C113" s="25" t="inlineStr">
        <is>
          <t>FY2022</t>
        </is>
      </c>
      <c r="D113" s="9" t="n">
        <v>458719</v>
      </c>
      <c r="E113" s="9">
        <f>'Form 990-EZ Parts I &amp; II'!D27</f>
        <v/>
      </c>
      <c r="F113" s="9">
        <f>E113-D113</f>
        <v/>
      </c>
    </row>
    <row r="114">
      <c r="A114" s="25" t="inlineStr">
        <is>
          <t>Form 990-EZ Parts I &amp; II</t>
        </is>
      </c>
      <c r="B114" s="25" t="inlineStr">
        <is>
          <t>25. Total assets</t>
        </is>
      </c>
      <c r="C114" s="25" t="inlineStr">
        <is>
          <t>FY2023</t>
        </is>
      </c>
      <c r="D114" s="9" t="n">
        <v>454813</v>
      </c>
      <c r="E114" s="9">
        <f>'Form 990-EZ Parts I &amp; II'!E27</f>
        <v/>
      </c>
      <c r="F114" s="9">
        <f>E114-D114</f>
        <v/>
      </c>
    </row>
    <row r="115">
      <c r="A115" s="25" t="inlineStr">
        <is>
          <t>Form 990-EZ Parts I &amp; II</t>
        </is>
      </c>
      <c r="B115" s="25" t="inlineStr">
        <is>
          <t>25. Total assets</t>
        </is>
      </c>
      <c r="C115" s="25" t="inlineStr">
        <is>
          <t>FY2024</t>
        </is>
      </c>
      <c r="D115" s="9" t="n">
        <v>449676</v>
      </c>
      <c r="E115" s="9">
        <f>'Form 990-EZ Parts I &amp; II'!F27</f>
        <v/>
      </c>
      <c r="F115" s="9">
        <f>E115-D115</f>
        <v/>
      </c>
    </row>
    <row r="116">
      <c r="A116" s="25" t="inlineStr">
        <is>
          <t>Form 990-EZ Parts I &amp; II</t>
        </is>
      </c>
      <c r="B116" s="25" t="inlineStr">
        <is>
          <t>25. Total assets</t>
        </is>
      </c>
      <c r="C116" s="25" t="inlineStr">
        <is>
          <t>FY2025</t>
        </is>
      </c>
      <c r="D116" s="9" t="n">
        <v>452764</v>
      </c>
      <c r="E116" s="9">
        <f>'Form 990-EZ Parts I &amp; II'!G27</f>
        <v/>
      </c>
      <c r="F116" s="9">
        <f>E116-D116</f>
        <v/>
      </c>
    </row>
    <row r="117">
      <c r="A117" s="25" t="inlineStr">
        <is>
          <t>Form 990-EZ Parts I &amp; II</t>
        </is>
      </c>
      <c r="B117" s="25" t="inlineStr">
        <is>
          <t>Balance sheet identity: line 25 = line 26 + line 27 (EOY)</t>
        </is>
      </c>
      <c r="C117" s="25" t="inlineStr">
        <is>
          <t>FY2020</t>
        </is>
      </c>
      <c r="D117" s="9">
        <f>'Form 990-EZ Parts I &amp; II'!B27</f>
        <v/>
      </c>
      <c r="E117" s="9">
        <f>SUM('Form 990-EZ Parts I &amp; II'!B28,'Form 990-EZ Parts I &amp; II'!B29)</f>
        <v/>
      </c>
      <c r="F117" s="9">
        <f>E117-D117</f>
        <v/>
      </c>
    </row>
    <row r="118">
      <c r="A118" s="25" t="inlineStr">
        <is>
          <t>Form 990-EZ Parts I &amp; II</t>
        </is>
      </c>
      <c r="B118" s="25" t="inlineStr">
        <is>
          <t>Balance sheet identity: line 25 = line 26 + line 27 (EOY)</t>
        </is>
      </c>
      <c r="C118" s="25" t="inlineStr">
        <is>
          <t>FY2021</t>
        </is>
      </c>
      <c r="D118" s="9">
        <f>'Form 990-EZ Parts I &amp; II'!C27</f>
        <v/>
      </c>
      <c r="E118" s="9">
        <f>SUM('Form 990-EZ Parts I &amp; II'!C28,'Form 990-EZ Parts I &amp; II'!C29)</f>
        <v/>
      </c>
      <c r="F118" s="9">
        <f>E118-D118</f>
        <v/>
      </c>
    </row>
    <row r="119">
      <c r="A119" s="25" t="inlineStr">
        <is>
          <t>Form 990-EZ Parts I &amp; II</t>
        </is>
      </c>
      <c r="B119" s="25" t="inlineStr">
        <is>
          <t>Balance sheet identity: line 25 = line 26 + line 27 (EOY)</t>
        </is>
      </c>
      <c r="C119" s="25" t="inlineStr">
        <is>
          <t>FY2022</t>
        </is>
      </c>
      <c r="D119" s="9">
        <f>'Form 990-EZ Parts I &amp; II'!D27</f>
        <v/>
      </c>
      <c r="E119" s="9">
        <f>SUM('Form 990-EZ Parts I &amp; II'!D28,'Form 990-EZ Parts I &amp; II'!D29)</f>
        <v/>
      </c>
      <c r="F119" s="9">
        <f>E119-D119</f>
        <v/>
      </c>
    </row>
    <row r="120">
      <c r="A120" s="25" t="inlineStr">
        <is>
          <t>Form 990-EZ Parts I &amp; II</t>
        </is>
      </c>
      <c r="B120" s="25" t="inlineStr">
        <is>
          <t>Balance sheet identity: line 25 = line 26 + line 27 (EOY)</t>
        </is>
      </c>
      <c r="C120" s="25" t="inlineStr">
        <is>
          <t>FY2023</t>
        </is>
      </c>
      <c r="D120" s="9">
        <f>'Form 990-EZ Parts I &amp; II'!E27</f>
        <v/>
      </c>
      <c r="E120" s="9">
        <f>SUM('Form 990-EZ Parts I &amp; II'!E28,'Form 990-EZ Parts I &amp; II'!E29)</f>
        <v/>
      </c>
      <c r="F120" s="9">
        <f>E120-D120</f>
        <v/>
      </c>
    </row>
    <row r="121">
      <c r="A121" s="25" t="inlineStr">
        <is>
          <t>Form 990-EZ Parts I &amp; II</t>
        </is>
      </c>
      <c r="B121" s="25" t="inlineStr">
        <is>
          <t>Balance sheet identity: line 25 = line 26 + line 27 (EOY)</t>
        </is>
      </c>
      <c r="C121" s="25" t="inlineStr">
        <is>
          <t>FY2024</t>
        </is>
      </c>
      <c r="D121" s="9">
        <f>'Form 990-EZ Parts I &amp; II'!F27</f>
        <v/>
      </c>
      <c r="E121" s="9">
        <f>SUM('Form 990-EZ Parts I &amp; II'!F28,'Form 990-EZ Parts I &amp; II'!F29)</f>
        <v/>
      </c>
      <c r="F121" s="9">
        <f>E121-D121</f>
        <v/>
      </c>
    </row>
    <row r="122">
      <c r="A122" s="25" t="inlineStr">
        <is>
          <t>Form 990-EZ Parts I &amp; II</t>
        </is>
      </c>
      <c r="B122" s="25" t="inlineStr">
        <is>
          <t>Balance sheet identity: line 25 = line 26 + line 27 (EOY)</t>
        </is>
      </c>
      <c r="C122" s="25" t="inlineStr">
        <is>
          <t>FY2025</t>
        </is>
      </c>
      <c r="D122" s="9">
        <f>'Form 990-EZ Parts I &amp; II'!G27</f>
        <v/>
      </c>
      <c r="E122" s="9">
        <f>SUM('Form 990-EZ Parts I &amp; II'!G28,'Form 990-EZ Parts I &amp; II'!G29)</f>
        <v/>
      </c>
      <c r="F122" s="9">
        <f>E122-D122</f>
        <v/>
      </c>
    </row>
    <row r="124">
      <c r="A124" s="24" t="inlineStr">
        <is>
          <t>D. Preparer / auditor trail (one row per fiscal year, as filed)</t>
        </is>
      </c>
      <c r="B124" s="7" t="n"/>
      <c r="C124" s="7" t="n"/>
      <c r="D124" s="7" t="n"/>
      <c r="E124" s="7" t="n"/>
      <c r="F124" s="7" t="n"/>
      <c r="G124" s="7" t="n"/>
      <c r="H124" s="7" t="n"/>
      <c r="I124" s="7" t="n"/>
      <c r="J124" s="7" t="n"/>
      <c r="K124" s="7" t="n"/>
    </row>
    <row r="125">
      <c r="A125" s="5" t="inlineStr">
        <is>
          <t>Fiscal year</t>
        </is>
      </c>
      <c r="B125" s="5" t="inlineStr">
        <is>
          <t>Paid preparer</t>
        </is>
      </c>
      <c r="C125" s="5" t="inlineStr">
        <is>
          <t>Preparer firm</t>
        </is>
      </c>
      <c r="D125" s="5" t="inlineStr">
        <is>
          <t>Independent auditor</t>
        </is>
      </c>
      <c r="E125" s="5" t="inlineStr">
        <is>
          <t>Citation</t>
        </is>
      </c>
    </row>
    <row r="126" ht="42" customHeight="1">
      <c r="A126" s="22" t="inlineStr">
        <is>
          <t>FY2020</t>
        </is>
      </c>
      <c r="B126" s="8" t="inlineStr">
        <is>
          <t>Mayank Madhavani CPA</t>
        </is>
      </c>
      <c r="C126" s="8" t="inlineStr">
        <is>
          <t>BURKEY COX EVANS &amp; BRADFORD</t>
        </is>
      </c>
      <c r="D126" s="26" t="inlineStr">
        <is>
          <t>not reported</t>
        </is>
      </c>
      <c r="E126" s="17" t="inlineStr">
        <is>
          <t>Form 990 Return Header, Paid Preparer block (return_header.preparer_person_name / preparer_firm_name); auditor: Part XII line 2 reports audited financial statements but does not name the firm.</t>
        </is>
      </c>
    </row>
    <row r="127" ht="42" customHeight="1">
      <c r="A127" s="22" t="inlineStr">
        <is>
          <t>FY2021</t>
        </is>
      </c>
      <c r="B127" s="8" t="inlineStr">
        <is>
          <t>Mayank Madhavani CPA</t>
        </is>
      </c>
      <c r="C127" s="8" t="inlineStr">
        <is>
          <t>BURKEY COX EVANS &amp; BRADFORD</t>
        </is>
      </c>
      <c r="D127" s="26" t="inlineStr">
        <is>
          <t>not reported</t>
        </is>
      </c>
      <c r="E127" s="17" t="inlineStr">
        <is>
          <t>Form 990 Return Header, Paid Preparer block (return_header.preparer_person_name / preparer_firm_name); auditor: Part XII line 2 reports audited financial statements but does not name the firm.</t>
        </is>
      </c>
    </row>
    <row r="128" ht="42" customHeight="1">
      <c r="A128" s="22" t="inlineStr">
        <is>
          <t>FY2022</t>
        </is>
      </c>
      <c r="B128" s="8" t="inlineStr">
        <is>
          <t>Mayank Madhavani CPA-PFS CFP</t>
        </is>
      </c>
      <c r="C128" s="8" t="inlineStr">
        <is>
          <t>BURKEY COX EVANS &amp; BRADFORD</t>
        </is>
      </c>
      <c r="D128" s="26" t="inlineStr">
        <is>
          <t>not reported</t>
        </is>
      </c>
      <c r="E128" s="17" t="inlineStr">
        <is>
          <t>Form 990 Return Header, Paid Preparer block (return_header.preparer_person_name / preparer_firm_name); auditor: Part XII line 2 reports audited financial statements but does not name the firm.</t>
        </is>
      </c>
    </row>
    <row r="129" ht="42" customHeight="1">
      <c r="A129" s="22" t="inlineStr">
        <is>
          <t>FY2023</t>
        </is>
      </c>
      <c r="B129" s="8" t="inlineStr">
        <is>
          <t>Mayank Madhavani CPA-PFS CFP</t>
        </is>
      </c>
      <c r="C129" s="8" t="inlineStr">
        <is>
          <t>BURKEY COX EVANS &amp; BRADFORD</t>
        </is>
      </c>
      <c r="D129" s="26" t="inlineStr">
        <is>
          <t>not reported</t>
        </is>
      </c>
      <c r="E129" s="17" t="inlineStr">
        <is>
          <t>Form 990 Return Header, Paid Preparer block (return_header.preparer_person_name / preparer_firm_name); auditor: Part XII line 2 reports audited financial statements but does not name the firm.</t>
        </is>
      </c>
    </row>
    <row r="130" ht="42" customHeight="1">
      <c r="A130" s="22" t="inlineStr">
        <is>
          <t>FY2024</t>
        </is>
      </c>
      <c r="B130" s="8" t="inlineStr">
        <is>
          <t>Mayank Madhavani CPA-PFS CFP</t>
        </is>
      </c>
      <c r="C130" s="8" t="inlineStr">
        <is>
          <t>BURKEY COX EVANS &amp; BRADFORD</t>
        </is>
      </c>
      <c r="D130" s="26" t="inlineStr">
        <is>
          <t>not reported</t>
        </is>
      </c>
      <c r="E130" s="17" t="inlineStr">
        <is>
          <t>Form 990 Return Header, Paid Preparer block (return_header.preparer_person_name / preparer_firm_name); auditor: Part XII line 2 reports audited financial statements but does not name the firm.</t>
        </is>
      </c>
    </row>
    <row r="131" ht="42" customHeight="1">
      <c r="A131" s="22" t="inlineStr">
        <is>
          <t>FY2025</t>
        </is>
      </c>
      <c r="B131" s="8" t="inlineStr">
        <is>
          <t>Mayank Madhavani CPA-PFS CFP</t>
        </is>
      </c>
      <c r="C131" s="8" t="inlineStr">
        <is>
          <t>BURKEY COX EVANS &amp; BRADFORD</t>
        </is>
      </c>
      <c r="D131" s="26" t="inlineStr">
        <is>
          <t>not reported</t>
        </is>
      </c>
      <c r="E131" s="17" t="inlineStr">
        <is>
          <t>Form 990 Return Header, Paid Preparer block (return_header.preparer_person_name / preparer_firm_name); auditor: Part XII line 2 reports audited financial statements but does not name the firm.</t>
        </is>
      </c>
    </row>
    <row r="133" ht="42" customHeight="1">
      <c r="A13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33:K133"/>
    <mergeCell ref="A5:K5"/>
    <mergeCell ref="A1:K1"/>
  </mergeCells>
  <conditionalFormatting sqref="F99:F122">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