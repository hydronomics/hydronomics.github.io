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
    <numFmt numFmtId="167" formatCode="#,##0.000"/>
    <numFmt numFmtId="168" formatCode="$#,##0.00###"/>
    <numFmt numFmtId="169" formatCode="#,##0.####"/>
    <numFmt numFmtId="170"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70" fontId="6" fillId="0" borderId="1" applyAlignment="1" pivotButton="0" quotePrefix="0" xfId="0">
      <alignment horizontal="right"/>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Financial Summary - multi-year overview (USD)</t>
        </is>
      </c>
    </row>
    <row r="3">
      <c r="A3" s="2" t="inlineStr">
        <is>
          <t>Entity ID: cawc_0022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23669</v>
      </c>
      <c r="C10" s="9" t="n">
        <v>29727</v>
      </c>
      <c r="D10" s="9" t="n">
        <v>36601</v>
      </c>
      <c r="E10" s="9" t="n">
        <v>36572</v>
      </c>
      <c r="F10" s="9" t="n">
        <v>44152</v>
      </c>
    </row>
    <row r="11">
      <c r="A11" s="8" t="inlineStr">
        <is>
          <t xml:space="preserve">    Total expenses</t>
        </is>
      </c>
      <c r="B11" s="9" t="n">
        <v>36675</v>
      </c>
      <c r="C11" s="9" t="n">
        <v>44594</v>
      </c>
      <c r="D11" s="9" t="n">
        <v>48279</v>
      </c>
      <c r="E11" s="9" t="n">
        <v>45363</v>
      </c>
      <c r="F11" s="9" t="n">
        <v>47167</v>
      </c>
    </row>
    <row r="12">
      <c r="A12" s="10" t="inlineStr">
        <is>
          <t xml:space="preserve">    Net income</t>
        </is>
      </c>
      <c r="B12" s="11" t="n">
        <v>-13006</v>
      </c>
      <c r="C12" s="11" t="n">
        <v>-14867</v>
      </c>
      <c r="D12" s="11" t="n">
        <v>-11678</v>
      </c>
      <c r="E12" s="11" t="n">
        <v>-8791</v>
      </c>
      <c r="F12" s="11" t="n">
        <v>-3015</v>
      </c>
    </row>
    <row r="14">
      <c r="A14" s="6" t="inlineStr">
        <is>
          <t>Financial position (USD, end of year)</t>
        </is>
      </c>
      <c r="B14" s="7" t="n"/>
      <c r="C14" s="7" t="n"/>
      <c r="D14" s="7" t="n"/>
      <c r="E14" s="7" t="n"/>
      <c r="F14" s="7" t="n"/>
    </row>
    <row r="15">
      <c r="A15" s="8" t="inlineStr">
        <is>
          <t xml:space="preserve">    Total assets</t>
        </is>
      </c>
      <c r="B15" s="9" t="n">
        <v>795934</v>
      </c>
      <c r="C15" s="9" t="n">
        <v>821000</v>
      </c>
      <c r="D15" s="9" t="n">
        <v>864579</v>
      </c>
      <c r="E15" s="9" t="n">
        <v>913861</v>
      </c>
      <c r="F15" s="9" t="n">
        <v>399657</v>
      </c>
    </row>
    <row r="16">
      <c r="A16" s="8" t="inlineStr">
        <is>
          <t xml:space="preserve">    Total liabilities</t>
        </is>
      </c>
      <c r="B16" s="9" t="n">
        <v>675</v>
      </c>
      <c r="C16" s="9" t="n">
        <v>675</v>
      </c>
      <c r="D16" s="9" t="n">
        <v>800</v>
      </c>
      <c r="E16" s="9" t="n">
        <v>420</v>
      </c>
      <c r="F16" s="9" t="n">
        <v>625</v>
      </c>
    </row>
    <row r="17">
      <c r="A17" s="10" t="inlineStr">
        <is>
          <t xml:space="preserve">    Net assets</t>
        </is>
      </c>
      <c r="B17" s="11" t="n">
        <v>795259</v>
      </c>
      <c r="C17" s="11" t="n">
        <v>820325</v>
      </c>
      <c r="D17" s="11" t="n">
        <v>863779</v>
      </c>
      <c r="E17" s="11" t="n">
        <v>913441</v>
      </c>
      <c r="F17" s="11" t="n">
        <v>399032</v>
      </c>
    </row>
    <row r="19">
      <c r="A19" s="6" t="inlineStr">
        <is>
          <t>Headline ratios</t>
        </is>
      </c>
      <c r="B19" s="7" t="n"/>
      <c r="C19" s="7" t="n"/>
      <c r="D19" s="7" t="n"/>
      <c r="E19" s="7" t="n"/>
      <c r="F19" s="7" t="n"/>
    </row>
    <row r="20">
      <c r="A20" s="8" t="inlineStr">
        <is>
          <t xml:space="preserve">    Operating margin</t>
        </is>
      </c>
      <c r="B20" s="12" t="n">
        <v>-0.5494951201994169</v>
      </c>
      <c r="C20" s="12" t="n">
        <v>-0.500117738083224</v>
      </c>
      <c r="D20" s="12" t="n">
        <v>-0.3190623207016202</v>
      </c>
      <c r="E20" s="12" t="n">
        <v>-0.2403751503882752</v>
      </c>
      <c r="F20" s="12" t="n">
        <v>-0.06828682732379054</v>
      </c>
    </row>
    <row r="21">
      <c r="A21" s="8" t="inlineStr">
        <is>
          <t xml:space="preserve">    Revenue growth (YoY)</t>
        </is>
      </c>
      <c r="B21" s="12" t="n">
        <v>0.1527858951879992</v>
      </c>
      <c r="C21" s="12" t="n">
        <v>0.2559465968143986</v>
      </c>
      <c r="D21" s="12" t="n">
        <v>0.2312375954519461</v>
      </c>
      <c r="E21" s="12" t="n">
        <v>-0.0007923280784678014</v>
      </c>
      <c r="F21" s="12" t="n">
        <v>0.2072623865252105</v>
      </c>
    </row>
    <row r="22">
      <c r="A22" s="8" t="inlineStr">
        <is>
          <t xml:space="preserve">    Return on assets</t>
        </is>
      </c>
      <c r="B22" s="12" t="n">
        <v>-0.01634055084969357</v>
      </c>
      <c r="C22" s="12" t="n">
        <v>-0.01810840438489647</v>
      </c>
      <c r="D22" s="12" t="n">
        <v>-0.01350715203584635</v>
      </c>
      <c r="E22" s="12" t="n">
        <v>-0.009619624866363703</v>
      </c>
      <c r="F22" s="12" t="n">
        <v>-0.007543968953377521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Financial Statements - income statement, balance sheet, cash flow, member income test (USD)</t>
        </is>
      </c>
    </row>
    <row r="3">
      <c r="A3" s="2" t="inlineStr">
        <is>
          <t>Entity ID: cawc_0022   |   Fiscal year ends March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19665</v>
      </c>
      <c r="C8" s="9" t="n">
        <v>29721</v>
      </c>
      <c r="D8" s="9" t="n">
        <v>36539</v>
      </c>
      <c r="E8" s="9" t="n">
        <v>35270</v>
      </c>
      <c r="F8" s="9" t="n">
        <v>41793</v>
      </c>
    </row>
    <row r="9">
      <c r="A9" s="8" t="inlineStr">
        <is>
          <t xml:space="preserve">    Investment income</t>
        </is>
      </c>
      <c r="B9" s="9" t="n">
        <v>4</v>
      </c>
      <c r="C9" s="9" t="n">
        <v>6</v>
      </c>
      <c r="D9" s="9" t="n">
        <v>62</v>
      </c>
      <c r="E9" s="9" t="n">
        <v>952</v>
      </c>
      <c r="F9" s="9" t="n">
        <v>809</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350</v>
      </c>
      <c r="F12" s="9" t="n">
        <v>1250</v>
      </c>
    </row>
    <row r="13">
      <c r="A13" s="8" t="inlineStr">
        <is>
          <t xml:space="preserve">    Contributions &amp; grants</t>
        </is>
      </c>
      <c r="B13" s="9" t="n">
        <v>4000</v>
      </c>
      <c r="C13" s="9" t="n">
        <v>0</v>
      </c>
      <c r="D13" s="9" t="n">
        <v>0</v>
      </c>
      <c r="E13" s="9" t="n">
        <v>0</v>
      </c>
      <c r="F13" s="9" t="n">
        <v>300</v>
      </c>
    </row>
    <row r="14">
      <c r="A14" s="10" t="inlineStr">
        <is>
          <t>Total revenue</t>
        </is>
      </c>
      <c r="B14" s="11" t="n">
        <v>23669</v>
      </c>
      <c r="C14" s="11" t="n">
        <v>29727</v>
      </c>
      <c r="D14" s="11" t="n">
        <v>36601</v>
      </c>
      <c r="E14" s="11" t="n">
        <v>36572</v>
      </c>
      <c r="F14" s="11" t="n">
        <v>44152</v>
      </c>
    </row>
    <row r="16">
      <c r="A16" s="6" t="inlineStr">
        <is>
          <t>Expenses</t>
        </is>
      </c>
      <c r="B16" s="7" t="n"/>
      <c r="C16" s="7" t="n"/>
      <c r="D16" s="7" t="n"/>
      <c r="E16" s="7" t="n"/>
      <c r="F16" s="7" t="n"/>
    </row>
    <row r="17">
      <c r="A17" s="8" t="inlineStr">
        <is>
          <t xml:space="preserve">    Depreciation</t>
        </is>
      </c>
      <c r="B17" s="9" t="n">
        <v>12840</v>
      </c>
      <c r="C17" s="9" t="n">
        <v>12840</v>
      </c>
      <c r="D17" s="9" t="n">
        <v>15447</v>
      </c>
      <c r="E17" s="9" t="n">
        <v>12540</v>
      </c>
      <c r="F17" s="9" t="n">
        <v>12540</v>
      </c>
    </row>
    <row r="18">
      <c r="A18" s="8" t="inlineStr">
        <is>
          <t xml:space="preserve">    Interest expense</t>
        </is>
      </c>
      <c r="B18" s="9" t="n">
        <v>0</v>
      </c>
      <c r="C18" s="9" t="n">
        <v>0</v>
      </c>
      <c r="D18" s="9" t="n">
        <v>0</v>
      </c>
      <c r="E18" s="9" t="n">
        <v>0</v>
      </c>
      <c r="F18" s="9" t="n">
        <v>0</v>
      </c>
    </row>
    <row r="19">
      <c r="A19" s="10" t="inlineStr">
        <is>
          <t>Total expenses</t>
        </is>
      </c>
      <c r="B19" s="11" t="n">
        <v>36675</v>
      </c>
      <c r="C19" s="11" t="n">
        <v>44594</v>
      </c>
      <c r="D19" s="11" t="n">
        <v>48279</v>
      </c>
      <c r="E19" s="11" t="n">
        <v>45363</v>
      </c>
      <c r="F19" s="11" t="n">
        <v>47167</v>
      </c>
    </row>
    <row r="21">
      <c r="A21" s="10" t="inlineStr">
        <is>
          <t>Net income</t>
        </is>
      </c>
      <c r="B21" s="11" t="n">
        <v>-13006</v>
      </c>
      <c r="C21" s="11" t="n">
        <v>-14867</v>
      </c>
      <c r="D21" s="11" t="n">
        <v>-11678</v>
      </c>
      <c r="E21" s="11" t="n">
        <v>-8791</v>
      </c>
      <c r="F21" s="11" t="n">
        <v>-3015</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193860</v>
      </c>
      <c r="C27" s="9" t="n">
        <v>195736</v>
      </c>
      <c r="D27" s="9" t="n">
        <v>234324</v>
      </c>
      <c r="E27" s="9" t="n">
        <v>264119</v>
      </c>
      <c r="F27" s="9" t="n">
        <v>249501</v>
      </c>
    </row>
    <row r="28">
      <c r="A28" s="8" t="inlineStr">
        <is>
          <t xml:space="preserve">    Savings &amp; temporary investments</t>
        </is>
      </c>
      <c r="B28" s="9" t="n">
        <v>0</v>
      </c>
      <c r="C28" s="9" t="n">
        <v>0</v>
      </c>
      <c r="D28" s="9" t="n">
        <v>0</v>
      </c>
      <c r="E28" s="9" t="n">
        <v>0</v>
      </c>
      <c r="F28" s="9" t="n">
        <v>0</v>
      </c>
    </row>
    <row r="29">
      <c r="A29" s="8" t="inlineStr">
        <is>
          <t xml:space="preserve">    Accounts receivable</t>
        </is>
      </c>
      <c r="B29" s="9" t="n">
        <v>8863</v>
      </c>
      <c r="C29" s="9" t="n">
        <v>6281</v>
      </c>
      <c r="D29" s="9" t="n">
        <v>0</v>
      </c>
      <c r="E29" s="9" t="n">
        <v>0</v>
      </c>
      <c r="F29" s="9" t="n">
        <v>0</v>
      </c>
    </row>
    <row r="30">
      <c r="A30" s="8" t="inlineStr">
        <is>
          <t xml:space="preserve">    Inventories</t>
        </is>
      </c>
      <c r="B30" s="9" t="n">
        <v>0</v>
      </c>
      <c r="C30" s="9" t="n">
        <v>0</v>
      </c>
      <c r="D30" s="9" t="n">
        <v>0</v>
      </c>
      <c r="E30" s="9" t="n">
        <v>0</v>
      </c>
      <c r="F30" s="9" t="n">
        <v>0</v>
      </c>
    </row>
    <row r="31">
      <c r="A31" s="8" t="inlineStr">
        <is>
          <t xml:space="preserve">    Prepaid expenses</t>
        </is>
      </c>
      <c r="B31" s="9" t="n">
        <v>0</v>
      </c>
      <c r="C31" s="9" t="n">
        <v>0</v>
      </c>
      <c r="D31" s="9" t="n">
        <v>0</v>
      </c>
      <c r="E31" s="9" t="n">
        <v>0</v>
      </c>
      <c r="F31" s="9" t="n">
        <v>0</v>
      </c>
    </row>
    <row r="32">
      <c r="A32" s="8" t="inlineStr">
        <is>
          <t xml:space="preserve">    Property, plant &amp; equipment (gross)</t>
        </is>
      </c>
      <c r="B32" s="9" t="n">
        <v>443208</v>
      </c>
      <c r="C32" s="9" t="n">
        <v>443208</v>
      </c>
      <c r="D32" s="9" t="n">
        <v>443208</v>
      </c>
      <c r="E32" s="9" t="n">
        <v>443208</v>
      </c>
      <c r="F32" s="9" t="n">
        <v>443208</v>
      </c>
    </row>
    <row r="33">
      <c r="A33" s="8" t="inlineStr">
        <is>
          <t xml:space="preserve">    Less: accumulated depreciation</t>
        </is>
      </c>
      <c r="B33" s="9" t="n">
        <v>-230787</v>
      </c>
      <c r="C33" s="9" t="n">
        <v>-243627</v>
      </c>
      <c r="D33" s="9" t="n">
        <v>-271466</v>
      </c>
      <c r="E33" s="9" t="n">
        <v>-284242</v>
      </c>
      <c r="F33" s="9" t="n">
        <v>-296711</v>
      </c>
    </row>
    <row r="34">
      <c r="A34" s="10" t="inlineStr">
        <is>
          <t xml:space="preserve">    Net property, plant &amp; equipment</t>
        </is>
      </c>
      <c r="B34" s="11" t="n">
        <v>212421</v>
      </c>
      <c r="C34" s="11" t="n">
        <v>199581</v>
      </c>
      <c r="D34" s="11" t="n">
        <v>171742</v>
      </c>
      <c r="E34" s="11" t="n">
        <v>158966</v>
      </c>
      <c r="F34" s="11" t="n">
        <v>146497</v>
      </c>
    </row>
    <row r="35">
      <c r="A35" s="10" t="inlineStr">
        <is>
          <t>Total assets</t>
        </is>
      </c>
      <c r="B35" s="11" t="n">
        <v>795934</v>
      </c>
      <c r="C35" s="11" t="n">
        <v>821000</v>
      </c>
      <c r="D35" s="11" t="n">
        <v>864579</v>
      </c>
      <c r="E35" s="11" t="n">
        <v>913861</v>
      </c>
      <c r="F35" s="11" t="n">
        <v>399657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675</v>
      </c>
      <c r="C40" s="11" t="n">
        <v>675</v>
      </c>
      <c r="D40" s="11" t="n">
        <v>800</v>
      </c>
      <c r="E40" s="11" t="n">
        <v>420</v>
      </c>
      <c r="F40" s="11" t="n">
        <v>625</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795259</v>
      </c>
      <c r="C46" s="11" t="n">
        <v>820325</v>
      </c>
      <c r="D46" s="11" t="n">
        <v>863779</v>
      </c>
      <c r="E46" s="11" t="n">
        <v>913441</v>
      </c>
      <c r="F46" s="11" t="n">
        <v>399032</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-13006</v>
      </c>
      <c r="C52" s="9" t="n">
        <v>-14867</v>
      </c>
      <c r="D52" s="9" t="n">
        <v>-11678</v>
      </c>
      <c r="E52" s="9" t="n">
        <v>-8791</v>
      </c>
      <c r="F52" s="9" t="n">
        <v>-3015</v>
      </c>
    </row>
    <row r="53">
      <c r="A53" s="8" t="inlineStr">
        <is>
          <t xml:space="preserve">    + Depreciation (reported)</t>
        </is>
      </c>
      <c r="B53" s="9" t="n">
        <v>12840</v>
      </c>
      <c r="C53" s="9" t="n">
        <v>12840</v>
      </c>
      <c r="D53" s="9" t="n">
        <v>15447</v>
      </c>
      <c r="E53" s="9" t="n">
        <v>12540</v>
      </c>
      <c r="F53" s="9" t="n">
        <v>12540</v>
      </c>
    </row>
    <row r="54">
      <c r="A54" s="8" t="inlineStr">
        <is>
          <t xml:space="preserve">    − Δ Accounts receivable</t>
        </is>
      </c>
      <c r="B54" s="9" t="n"/>
      <c r="C54" s="9" t="n">
        <v>2582</v>
      </c>
      <c r="D54" s="9" t="n">
        <v>6281</v>
      </c>
      <c r="E54" s="9" t="n">
        <v>0</v>
      </c>
      <c r="F54" s="9" t="n">
        <v>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c r="D57" s="9" t="n"/>
      <c r="E57" s="9" t="n"/>
      <c r="F57" s="9" t="n"/>
    </row>
    <row r="58">
      <c r="A58" s="10" t="inlineStr">
        <is>
          <t xml:space="preserve">    Operating cash flow proxy</t>
        </is>
      </c>
      <c r="B58" s="11" t="n"/>
      <c r="C58" s="11" t="n">
        <v>555</v>
      </c>
      <c r="D58" s="11" t="n">
        <v>10050</v>
      </c>
      <c r="E58" s="11" t="n">
        <v>3749</v>
      </c>
      <c r="F58" s="11" t="n">
        <v>9525</v>
      </c>
    </row>
    <row r="60">
      <c r="A60" s="6" t="inlineStr">
        <is>
          <t>Investing</t>
        </is>
      </c>
      <c r="B60" s="7" t="n"/>
      <c r="C60" s="7" t="n"/>
      <c r="D60" s="7" t="n"/>
      <c r="E60" s="7" t="n"/>
      <c r="F60" s="7" t="n"/>
    </row>
    <row r="61">
      <c r="A61" s="8" t="inlineStr">
        <is>
          <t xml:space="preserve">    − Δ PP&amp;E gross (capex proxy)</t>
        </is>
      </c>
      <c r="B61" s="9" t="n"/>
      <c r="C61" s="9" t="n">
        <v>0</v>
      </c>
      <c r="D61" s="9" t="n">
        <v>0</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1876</v>
      </c>
      <c r="D67" s="11" t="n">
        <v>38588</v>
      </c>
      <c r="E67" s="11" t="n">
        <v>29795</v>
      </c>
      <c r="F67" s="11" t="n">
        <v>-14618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Balance Sheet - as reported (USD, end of year)</t>
        </is>
      </c>
    </row>
    <row r="3">
      <c r="A3" s="2" t="inlineStr">
        <is>
          <t>Entity ID: cawc_0022   |   Fiscal year ends March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193860</v>
      </c>
      <c r="C7" s="9" t="n">
        <v>195736</v>
      </c>
      <c r="D7" s="9" t="n">
        <v>234324</v>
      </c>
      <c r="E7" s="9" t="n">
        <v>264119</v>
      </c>
      <c r="F7" s="9" t="n">
        <v>249501</v>
      </c>
    </row>
    <row r="8">
      <c r="A8" s="8" t="inlineStr">
        <is>
          <t xml:space="preserve">    Savings &amp; temporary investments</t>
        </is>
      </c>
      <c r="B8" s="9" t="n">
        <v>0</v>
      </c>
      <c r="C8" s="9" t="n">
        <v>0</v>
      </c>
      <c r="D8" s="9" t="n">
        <v>0</v>
      </c>
      <c r="E8" s="9" t="n">
        <v>0</v>
      </c>
      <c r="F8" s="9" t="n">
        <v>0</v>
      </c>
    </row>
    <row r="9">
      <c r="A9" s="8" t="inlineStr">
        <is>
          <t xml:space="preserve">    Accounts receivable</t>
        </is>
      </c>
      <c r="B9" s="9" t="n">
        <v>8863</v>
      </c>
      <c r="C9" s="9" t="n">
        <v>6281</v>
      </c>
      <c r="D9" s="9" t="n">
        <v>0</v>
      </c>
      <c r="E9" s="9" t="n">
        <v>0</v>
      </c>
      <c r="F9" s="9" t="n">
        <v>0</v>
      </c>
    </row>
    <row r="10">
      <c r="A10" s="8" t="inlineStr">
        <is>
          <t xml:space="preserve">    Inventories</t>
        </is>
      </c>
      <c r="B10" s="9" t="n">
        <v>0</v>
      </c>
      <c r="C10" s="9" t="n">
        <v>0</v>
      </c>
      <c r="D10" s="9" t="n">
        <v>0</v>
      </c>
      <c r="E10" s="9" t="n">
        <v>0</v>
      </c>
      <c r="F10" s="9" t="n">
        <v>0</v>
      </c>
    </row>
    <row r="11">
      <c r="A11" s="8" t="inlineStr">
        <is>
          <t xml:space="preserve">    Prepaid expenses</t>
        </is>
      </c>
      <c r="B11" s="9" t="n">
        <v>0</v>
      </c>
      <c r="C11" s="9" t="n">
        <v>0</v>
      </c>
      <c r="D11" s="9" t="n">
        <v>0</v>
      </c>
      <c r="E11" s="9" t="n">
        <v>0</v>
      </c>
      <c r="F11" s="9" t="n">
        <v>0</v>
      </c>
    </row>
    <row r="12">
      <c r="A12" s="8" t="inlineStr">
        <is>
          <t xml:space="preserve">    Property, plant &amp; equipment (gross)</t>
        </is>
      </c>
      <c r="B12" s="9" t="n">
        <v>443208</v>
      </c>
      <c r="C12" s="9" t="n">
        <v>443208</v>
      </c>
      <c r="D12" s="9" t="n">
        <v>443208</v>
      </c>
      <c r="E12" s="9" t="n">
        <v>443208</v>
      </c>
      <c r="F12" s="9" t="n">
        <v>443208</v>
      </c>
    </row>
    <row r="13">
      <c r="A13" s="8" t="inlineStr">
        <is>
          <t xml:space="preserve">    Less: accumulated depreciation</t>
        </is>
      </c>
      <c r="B13" s="9" t="n">
        <v>-230787</v>
      </c>
      <c r="C13" s="9" t="n">
        <v>-243627</v>
      </c>
      <c r="D13" s="9" t="n">
        <v>-271466</v>
      </c>
      <c r="E13" s="9" t="n">
        <v>-284242</v>
      </c>
      <c r="F13" s="9" t="n">
        <v>-296711</v>
      </c>
    </row>
    <row r="14">
      <c r="A14" s="10" t="inlineStr">
        <is>
          <t xml:space="preserve">    Net property, plant &amp; equipment</t>
        </is>
      </c>
      <c r="B14" s="11" t="n">
        <v>212421</v>
      </c>
      <c r="C14" s="11" t="n">
        <v>199581</v>
      </c>
      <c r="D14" s="11" t="n">
        <v>171742</v>
      </c>
      <c r="E14" s="11" t="n">
        <v>158966</v>
      </c>
      <c r="F14" s="11" t="n">
        <v>146497</v>
      </c>
    </row>
    <row r="15">
      <c r="A15" s="10" t="inlineStr">
        <is>
          <t>Total assets</t>
        </is>
      </c>
      <c r="B15" s="11" t="n">
        <v>795934</v>
      </c>
      <c r="C15" s="11" t="n">
        <v>821000</v>
      </c>
      <c r="D15" s="11" t="n">
        <v>864579</v>
      </c>
      <c r="E15" s="11" t="n">
        <v>913861</v>
      </c>
      <c r="F15" s="11" t="n">
        <v>399657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675</v>
      </c>
      <c r="C20" s="11" t="n">
        <v>675</v>
      </c>
      <c r="D20" s="11" t="n">
        <v>800</v>
      </c>
      <c r="E20" s="11" t="n">
        <v>420</v>
      </c>
      <c r="F20" s="11" t="n">
        <v>625</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795259</v>
      </c>
      <c r="C26" s="11" t="n">
        <v>820325</v>
      </c>
      <c r="D26" s="11" t="n">
        <v>863779</v>
      </c>
      <c r="E26" s="11" t="n">
        <v>913441</v>
      </c>
      <c r="F26" s="11" t="n">
        <v>399032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Painted Cave Mutual Water Company</t>
        </is>
      </c>
    </row>
    <row r="2">
      <c r="A2" s="2" t="inlineStr">
        <is>
          <t>Officers, Directors &amp; Contractors - Form 990 Part VII (FY2025; USD)</t>
        </is>
      </c>
    </row>
    <row r="3">
      <c r="A3" s="2" t="inlineStr">
        <is>
          <t>Entity ID: cawc_0022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CHLOE KIRK</t>
        </is>
      </c>
      <c r="B7" s="8" t="inlineStr">
        <is>
          <t>Treasurer</t>
        </is>
      </c>
      <c r="C7" s="9" t="n">
        <v>0</v>
      </c>
      <c r="D7" s="9" t="n">
        <v>0</v>
      </c>
      <c r="E7" s="9" t="n">
        <v>0</v>
      </c>
      <c r="F7" s="9" t="n">
        <v>0</v>
      </c>
    </row>
    <row r="8">
      <c r="A8" s="8" t="inlineStr">
        <is>
          <t>REX STEPHENS</t>
        </is>
      </c>
      <c r="B8" s="8" t="inlineStr">
        <is>
          <t>Director</t>
        </is>
      </c>
      <c r="C8" s="9" t="n">
        <v>0</v>
      </c>
      <c r="D8" s="9" t="n">
        <v>0</v>
      </c>
      <c r="E8" s="9" t="n">
        <v>0</v>
      </c>
      <c r="F8" s="9" t="n">
        <v>0</v>
      </c>
    </row>
    <row r="9">
      <c r="A9" s="8" t="inlineStr">
        <is>
          <t>STUART PHILKILL</t>
        </is>
      </c>
      <c r="B9" s="8" t="inlineStr">
        <is>
          <t>Director</t>
        </is>
      </c>
      <c r="C9" s="9" t="n">
        <v>0</v>
      </c>
      <c r="D9" s="9" t="n">
        <v>0</v>
      </c>
      <c r="E9" s="9" t="n">
        <v>0</v>
      </c>
      <c r="F9" s="9" t="n">
        <v>0</v>
      </c>
    </row>
    <row r="10">
      <c r="A10" s="8" t="inlineStr">
        <is>
          <t>PETER HASLER</t>
        </is>
      </c>
      <c r="B10" s="8" t="inlineStr">
        <is>
          <t>President &amp; CEO</t>
        </is>
      </c>
      <c r="C10" s="9" t="n">
        <v>0</v>
      </c>
      <c r="D10" s="9" t="n">
        <v>0</v>
      </c>
      <c r="E10" s="9" t="n">
        <v>0</v>
      </c>
      <c r="F10" s="9" t="n">
        <v>0</v>
      </c>
    </row>
    <row r="11">
      <c r="A11" s="8" t="inlineStr">
        <is>
          <t>BUD KINNEY</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Revenue - Form 990 Part VIII (USD)</t>
        </is>
      </c>
    </row>
    <row r="3">
      <c r="A3" s="2" t="inlineStr">
        <is>
          <t>Entity ID: cawc_0022   |   Fiscal year ends March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4000</v>
      </c>
      <c r="C7" s="9" t="n">
        <v>0</v>
      </c>
      <c r="D7" s="9" t="n">
        <v>0</v>
      </c>
      <c r="E7" s="9" t="n">
        <v>0</v>
      </c>
      <c r="F7" s="9" t="n">
        <v>300</v>
      </c>
    </row>
    <row r="8">
      <c r="A8" s="8" t="inlineStr">
        <is>
          <t xml:space="preserve">    2g. Total program service revenue</t>
        </is>
      </c>
      <c r="B8" s="9" t="n">
        <v>19665</v>
      </c>
      <c r="C8" s="9" t="n">
        <v>29721</v>
      </c>
      <c r="D8" s="9" t="n">
        <v>36539</v>
      </c>
      <c r="E8" s="9" t="n">
        <v>35270</v>
      </c>
      <c r="F8" s="9" t="n">
        <v>41793</v>
      </c>
    </row>
    <row r="9">
      <c r="A9" s="8" t="inlineStr">
        <is>
          <t xml:space="preserve">    3. Investment income</t>
        </is>
      </c>
      <c r="B9" s="9" t="n">
        <v>4</v>
      </c>
      <c r="C9" s="9" t="n">
        <v>6</v>
      </c>
      <c r="D9" s="9" t="n">
        <v>62</v>
      </c>
      <c r="E9" s="9" t="n">
        <v>952</v>
      </c>
      <c r="F9" s="9" t="n">
        <v>809</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350</v>
      </c>
      <c r="F12" s="9" t="n">
        <v>1250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MEMBERSHIP DUES &amp; ASSESSM</t>
        </is>
      </c>
      <c r="B17" s="8" t="n"/>
      <c r="C17" s="9" t="n">
        <v>35059</v>
      </c>
    </row>
    <row r="18">
      <c r="A18" s="8" t="inlineStr">
        <is>
          <t>MUTUAL WATER COMPANY</t>
        </is>
      </c>
      <c r="B18" s="8" t="n"/>
      <c r="C18" s="9" t="n">
        <v>6734</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Painted Cave Mutual Water Company</t>
        </is>
      </c>
    </row>
    <row r="2">
      <c r="A2" s="2" t="inlineStr">
        <is>
          <t>Statement of Functional Expenses - Form 990 Part IX (USD)</t>
        </is>
      </c>
    </row>
    <row r="3">
      <c r="A3" s="2" t="inlineStr">
        <is>
          <t>Entity ID: cawc_0022   |   Fiscal year ends March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2829</v>
      </c>
      <c r="E18" s="9" t="n">
        <v>1225</v>
      </c>
      <c r="F18" s="9" t="n">
        <v>1101</v>
      </c>
    </row>
    <row r="19">
      <c r="A19" s="8" t="inlineStr">
        <is>
          <t xml:space="preserve">    11c. Fees for services: accounting</t>
        </is>
      </c>
      <c r="B19" s="9" t="n">
        <v>6142</v>
      </c>
      <c r="C19" s="9" t="n">
        <v>7215</v>
      </c>
      <c r="D19" s="9" t="n">
        <v>6935</v>
      </c>
      <c r="E19" s="9" t="n">
        <v>8085</v>
      </c>
      <c r="F19" s="9" t="n">
        <v>9175</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5259</v>
      </c>
      <c r="C23" s="9" t="n">
        <v>11510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220</v>
      </c>
      <c r="C25" s="9" t="n">
        <v>832</v>
      </c>
      <c r="D25" s="9" t="n">
        <v>237</v>
      </c>
      <c r="E25" s="9" t="n">
        <v>0</v>
      </c>
      <c r="F25" s="9" t="n">
        <v>319</v>
      </c>
    </row>
    <row r="26">
      <c r="A26" s="8" t="inlineStr">
        <is>
          <t xml:space="preserve">    14. Information technology</t>
        </is>
      </c>
      <c r="B26" s="9" t="n">
        <v>0</v>
      </c>
      <c r="C26" s="9" t="n">
        <v>0</v>
      </c>
      <c r="D26" s="9" t="n">
        <v>0</v>
      </c>
      <c r="E26" s="9" t="n">
        <v>532</v>
      </c>
      <c r="F26" s="9" t="n">
        <v>606</v>
      </c>
    </row>
    <row r="27">
      <c r="A27" s="8" t="inlineStr">
        <is>
          <t xml:space="preserve">    15. Royalties</t>
        </is>
      </c>
      <c r="B27" s="9" t="n">
        <v>0</v>
      </c>
      <c r="C27" s="9" t="n">
        <v>0</v>
      </c>
      <c r="D27" s="9" t="n">
        <v>0</v>
      </c>
      <c r="E27" s="9" t="n">
        <v>0</v>
      </c>
      <c r="F27" s="9" t="n">
        <v>0</v>
      </c>
    </row>
    <row r="28">
      <c r="A28" s="8" t="inlineStr">
        <is>
          <t xml:space="preserve">    16. Occupancy</t>
        </is>
      </c>
      <c r="B28" s="9" t="n">
        <v>1322</v>
      </c>
      <c r="C28" s="9" t="n">
        <v>1359</v>
      </c>
      <c r="D28" s="9" t="n">
        <v>0</v>
      </c>
      <c r="E28" s="9" t="n">
        <v>0</v>
      </c>
      <c r="F28" s="9" t="n">
        <v>0</v>
      </c>
    </row>
    <row r="29">
      <c r="A29" s="8" t="inlineStr">
        <is>
          <t xml:space="preserve">    17. Travel</t>
        </is>
      </c>
      <c r="B29" s="9" t="n">
        <v>0</v>
      </c>
      <c r="C29" s="9" t="n">
        <v>0</v>
      </c>
      <c r="D29" s="9" t="n">
        <v>0</v>
      </c>
      <c r="E29" s="9" t="n">
        <v>1617</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12840</v>
      </c>
      <c r="C34" s="9" t="n">
        <v>12840</v>
      </c>
      <c r="D34" s="9" t="n">
        <v>15447</v>
      </c>
      <c r="E34" s="9" t="n">
        <v>12540</v>
      </c>
      <c r="F34" s="9" t="n">
        <v>12540</v>
      </c>
    </row>
    <row r="35">
      <c r="A35" s="8" t="inlineStr">
        <is>
          <t xml:space="preserve">    23. Insurance</t>
        </is>
      </c>
      <c r="B35" s="9" t="n">
        <v>3349</v>
      </c>
      <c r="C35" s="9" t="n">
        <v>3368</v>
      </c>
      <c r="D35" s="9" t="n">
        <v>3138</v>
      </c>
      <c r="E35" s="9" t="n">
        <v>3690</v>
      </c>
      <c r="F35" s="9" t="n">
        <v>3755</v>
      </c>
    </row>
    <row r="36">
      <c r="A36" s="8" t="inlineStr">
        <is>
          <t xml:space="preserve">    24. LICENSES &amp; PERMITS</t>
        </is>
      </c>
      <c r="B36" s="9" t="n">
        <v>2267</v>
      </c>
      <c r="C36" s="9" t="n">
        <v>2393</v>
      </c>
      <c r="D36" s="14" t="inlineStr">
        <is>
          <t>not reported</t>
        </is>
      </c>
      <c r="E36" s="14" t="inlineStr">
        <is>
          <t>not reported</t>
        </is>
      </c>
      <c r="F36" s="14" t="inlineStr">
        <is>
          <t>not reported</t>
        </is>
      </c>
    </row>
    <row r="37">
      <c r="A37" s="8" t="inlineStr">
        <is>
          <t xml:space="preserve">    24. REPAIRS &amp; MAINTENANCE</t>
        </is>
      </c>
      <c r="B37" s="9" t="n">
        <v>1774</v>
      </c>
      <c r="C37" s="9" t="n">
        <v>1008</v>
      </c>
      <c r="D37" s="9" t="n">
        <v>2183</v>
      </c>
      <c r="E37" s="14" t="inlineStr">
        <is>
          <t>not reported</t>
        </is>
      </c>
      <c r="F37" s="14" t="inlineStr">
        <is>
          <t>not reported</t>
        </is>
      </c>
    </row>
    <row r="38">
      <c r="A38" s="8" t="inlineStr">
        <is>
          <t xml:space="preserve">    24. WATER ANALYSIS</t>
        </is>
      </c>
      <c r="B38" s="9" t="n">
        <v>1420</v>
      </c>
      <c r="C38" s="14" t="inlineStr">
        <is>
          <t>not reported</t>
        </is>
      </c>
      <c r="D38" s="14" t="inlineStr">
        <is>
          <t>not reported</t>
        </is>
      </c>
      <c r="E38" s="14" t="inlineStr">
        <is>
          <t>not reported</t>
        </is>
      </c>
      <c r="F38" s="14" t="inlineStr">
        <is>
          <t>not reported</t>
        </is>
      </c>
    </row>
    <row r="39">
      <c r="A39" s="8" t="inlineStr">
        <is>
          <t xml:space="preserve">    24. SECRETARIAL</t>
        </is>
      </c>
      <c r="B39" s="9" t="n">
        <v>1050</v>
      </c>
      <c r="C39" s="9" t="n">
        <v>1950</v>
      </c>
      <c r="D39" s="9" t="n">
        <v>1800</v>
      </c>
      <c r="E39" s="14" t="inlineStr">
        <is>
          <t>not reported</t>
        </is>
      </c>
      <c r="F39" s="14" t="inlineStr">
        <is>
          <t>not reported</t>
        </is>
      </c>
    </row>
    <row r="40">
      <c r="A40" s="8" t="inlineStr">
        <is>
          <t xml:space="preserve">    24. WATER MASTER</t>
        </is>
      </c>
      <c r="B40" s="14" t="inlineStr">
        <is>
          <t>not reported</t>
        </is>
      </c>
      <c r="C40" s="9" t="n">
        <v>1032</v>
      </c>
      <c r="D40" s="14" t="inlineStr">
        <is>
          <t>not reported</t>
        </is>
      </c>
      <c r="E40" s="9" t="n">
        <v>2880</v>
      </c>
      <c r="F40" s="9" t="n">
        <v>2880</v>
      </c>
    </row>
    <row r="41">
      <c r="A41" s="8" t="inlineStr">
        <is>
          <t xml:space="preserve">    24. UTILITIES</t>
        </is>
      </c>
      <c r="B41" s="14" t="inlineStr">
        <is>
          <t>not reported</t>
        </is>
      </c>
      <c r="C41" s="14" t="inlineStr">
        <is>
          <t>not reported</t>
        </is>
      </c>
      <c r="D41" s="9" t="n">
        <v>9720</v>
      </c>
      <c r="E41" s="9" t="n">
        <v>4132</v>
      </c>
      <c r="F41" s="9" t="n">
        <v>4764</v>
      </c>
    </row>
    <row r="42">
      <c r="A42" s="8" t="inlineStr">
        <is>
          <t xml:space="preserve">    24. LICENSE &amp; FEES</t>
        </is>
      </c>
      <c r="B42" s="14" t="inlineStr">
        <is>
          <t>not reported</t>
        </is>
      </c>
      <c r="C42" s="14" t="inlineStr">
        <is>
          <t>not reported</t>
        </is>
      </c>
      <c r="D42" s="9" t="n">
        <v>2381</v>
      </c>
      <c r="E42" s="9" t="n">
        <v>2500</v>
      </c>
      <c r="F42" s="9" t="n">
        <v>2408</v>
      </c>
    </row>
    <row r="43">
      <c r="A43" s="8" t="inlineStr">
        <is>
          <t xml:space="preserve">    24. METER READING</t>
        </is>
      </c>
      <c r="B43" s="14" t="inlineStr">
        <is>
          <t>not reported</t>
        </is>
      </c>
      <c r="C43" s="14" t="inlineStr">
        <is>
          <t>not reported</t>
        </is>
      </c>
      <c r="D43" s="14" t="inlineStr">
        <is>
          <t>not reported</t>
        </is>
      </c>
      <c r="E43" s="9" t="n">
        <v>1800</v>
      </c>
      <c r="F43" s="9" t="n">
        <v>1800</v>
      </c>
    </row>
    <row r="44">
      <c r="A44" s="8" t="inlineStr">
        <is>
          <t xml:space="preserve">    24e. All other expenses</t>
        </is>
      </c>
      <c r="B44" s="9" t="n">
        <v>1032</v>
      </c>
      <c r="C44" s="9" t="n">
        <v>1087</v>
      </c>
      <c r="D44" s="9" t="n">
        <v>3609</v>
      </c>
      <c r="E44" s="9" t="n">
        <v>6362</v>
      </c>
      <c r="F44" s="9" t="n">
        <v>7819</v>
      </c>
    </row>
    <row r="45">
      <c r="A45" s="10" t="inlineStr">
        <is>
          <t>25. Total functional expenses</t>
        </is>
      </c>
      <c r="B45" s="11">
        <f>SUM(B7:B44)</f>
        <v/>
      </c>
      <c r="C45" s="11">
        <f>SUM(C7:C44)</f>
        <v/>
      </c>
      <c r="D45" s="11">
        <f>SUM(D7:D44)</f>
        <v/>
      </c>
      <c r="E45" s="11">
        <f>SUM(E7:E44)</f>
        <v/>
      </c>
      <c r="F45" s="11">
        <f>SUM(F7:F44)</f>
        <v/>
      </c>
    </row>
    <row r="47">
      <c r="A47" s="6" t="inlineStr">
        <is>
          <t>Functional column split - FY2025 (col A = B + C + D)</t>
        </is>
      </c>
      <c r="B47" s="7" t="n"/>
      <c r="C47" s="7" t="n"/>
      <c r="D47" s="7" t="n"/>
      <c r="E47" s="7" t="n"/>
      <c r="F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0</v>
      </c>
      <c r="C55" s="9" t="n"/>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0</v>
      </c>
      <c r="C58" s="9" t="n"/>
      <c r="D58" s="9" t="n"/>
      <c r="E58" s="9" t="n"/>
    </row>
    <row r="59">
      <c r="A59" s="18" t="inlineStr">
        <is>
          <t>11a. Fees for services: management</t>
        </is>
      </c>
      <c r="B59" s="9" t="n">
        <v>0</v>
      </c>
      <c r="C59" s="9" t="n"/>
      <c r="D59" s="9" t="n"/>
      <c r="E59" s="9" t="n"/>
    </row>
    <row r="60">
      <c r="A60" s="18" t="inlineStr">
        <is>
          <t>11b. Fees for services: legal</t>
        </is>
      </c>
      <c r="B60" s="9" t="n">
        <v>1101</v>
      </c>
      <c r="C60" s="9" t="n">
        <v>953</v>
      </c>
      <c r="D60" s="9" t="n">
        <v>148</v>
      </c>
      <c r="E60" s="9" t="n"/>
    </row>
    <row r="61">
      <c r="A61" s="18" t="inlineStr">
        <is>
          <t>11c. Fees for services: accounting</t>
        </is>
      </c>
      <c r="B61" s="9" t="n">
        <v>9175</v>
      </c>
      <c r="C61" s="9" t="n">
        <v>7938</v>
      </c>
      <c r="D61" s="9" t="n">
        <v>1237</v>
      </c>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0</v>
      </c>
      <c r="C65" s="9" t="n"/>
      <c r="D65" s="9" t="n"/>
      <c r="E65" s="9" t="n"/>
    </row>
    <row r="66">
      <c r="A66" s="18" t="inlineStr">
        <is>
          <t>12. Advertising and promotion</t>
        </is>
      </c>
      <c r="B66" s="9" t="n">
        <v>0</v>
      </c>
      <c r="C66" s="9" t="n"/>
      <c r="D66" s="9" t="n"/>
      <c r="E66" s="9" t="n"/>
    </row>
    <row r="67">
      <c r="A67" s="18" t="inlineStr">
        <is>
          <t>13. Office expenses</t>
        </is>
      </c>
      <c r="B67" s="9" t="n">
        <v>319</v>
      </c>
      <c r="C67" s="9" t="n">
        <v>276</v>
      </c>
      <c r="D67" s="9" t="n">
        <v>43</v>
      </c>
      <c r="E67" s="9" t="n"/>
    </row>
    <row r="68">
      <c r="A68" s="18" t="inlineStr">
        <is>
          <t>14. Information technology</t>
        </is>
      </c>
      <c r="B68" s="9" t="n">
        <v>606</v>
      </c>
      <c r="C68" s="9" t="n">
        <v>524</v>
      </c>
      <c r="D68" s="9" t="n">
        <v>82</v>
      </c>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0</v>
      </c>
      <c r="C73" s="9" t="n"/>
      <c r="D73" s="9" t="n"/>
      <c r="E73" s="9" t="n"/>
    </row>
    <row r="74">
      <c r="A74" s="18" t="inlineStr">
        <is>
          <t>20. Interest</t>
        </is>
      </c>
      <c r="B74" s="9" t="n">
        <v>0</v>
      </c>
      <c r="C74" s="9" t="n"/>
      <c r="D74" s="9" t="n"/>
      <c r="E74" s="9" t="n"/>
    </row>
    <row r="75">
      <c r="A75" s="18" t="inlineStr">
        <is>
          <t>21. Payments to affiliates</t>
        </is>
      </c>
      <c r="B75" s="9" t="n">
        <v>0</v>
      </c>
      <c r="C75" s="9" t="n"/>
      <c r="D75" s="9" t="n"/>
      <c r="E75" s="9" t="n"/>
    </row>
    <row r="76">
      <c r="A76" s="18" t="inlineStr">
        <is>
          <t>22. Depreciation, depletion, and amortization</t>
        </is>
      </c>
      <c r="B76" s="9" t="n">
        <v>12540</v>
      </c>
      <c r="C76" s="9" t="n">
        <v>10850</v>
      </c>
      <c r="D76" s="9" t="n">
        <v>1690</v>
      </c>
      <c r="E76" s="9" t="n"/>
    </row>
    <row r="77">
      <c r="A77" s="18" t="inlineStr">
        <is>
          <t>23. Insurance</t>
        </is>
      </c>
      <c r="B77" s="9" t="n">
        <v>3755</v>
      </c>
      <c r="C77" s="9" t="n">
        <v>3249</v>
      </c>
      <c r="D77" s="9" t="n">
        <v>506</v>
      </c>
      <c r="E77" s="9" t="n"/>
    </row>
    <row r="78">
      <c r="A78" s="10" t="inlineStr">
        <is>
          <t>25. Total (filed col A / B / C / D)</t>
        </is>
      </c>
      <c r="B78" s="11" t="n">
        <v>47167</v>
      </c>
      <c r="C78" s="11" t="n">
        <v>40808</v>
      </c>
      <c r="D78" s="11" t="n">
        <v>6359</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80:F80"/>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Balance Sheet - Form 990 Part X (end of year, USD)</t>
        </is>
      </c>
    </row>
    <row r="3">
      <c r="A3" s="2" t="inlineStr">
        <is>
          <t>Entity ID: cawc_0022   |   Fiscal year ends March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193860</v>
      </c>
      <c r="C7" s="9" t="n">
        <v>195736</v>
      </c>
      <c r="D7" s="9" t="n">
        <v>234324</v>
      </c>
      <c r="E7" s="9" t="n">
        <v>264119</v>
      </c>
      <c r="F7" s="9" t="n">
        <v>249501</v>
      </c>
    </row>
    <row r="8">
      <c r="A8" s="8" t="inlineStr">
        <is>
          <t xml:space="preserve">    2. Savings and temporary cash investments</t>
        </is>
      </c>
      <c r="B8" s="9" t="n">
        <v>0</v>
      </c>
      <c r="C8" s="9" t="n">
        <v>0</v>
      </c>
      <c r="D8" s="9" t="n">
        <v>0</v>
      </c>
      <c r="E8" s="9" t="n">
        <v>0</v>
      </c>
      <c r="F8" s="9" t="n">
        <v>0</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8863</v>
      </c>
      <c r="C10" s="9" t="n">
        <v>6281</v>
      </c>
      <c r="D10" s="9" t="n">
        <v>0</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0</v>
      </c>
      <c r="C15" s="9" t="n">
        <v>0</v>
      </c>
      <c r="D15" s="9" t="n">
        <v>0</v>
      </c>
      <c r="E15" s="9" t="n">
        <v>0</v>
      </c>
      <c r="F15" s="9" t="n">
        <v>0</v>
      </c>
    </row>
    <row r="16">
      <c r="A16" s="8" t="inlineStr">
        <is>
          <t xml:space="preserve">    10c. Land, buildings, and equipment, net</t>
        </is>
      </c>
      <c r="B16" s="9" t="n">
        <v>212421</v>
      </c>
      <c r="C16" s="9" t="n">
        <v>199581</v>
      </c>
      <c r="D16" s="9" t="n">
        <v>171742</v>
      </c>
      <c r="E16" s="9" t="n">
        <v>158966</v>
      </c>
      <c r="F16" s="9" t="n">
        <v>146497</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380790</v>
      </c>
      <c r="C21" s="9" t="n">
        <v>419402</v>
      </c>
      <c r="D21" s="9" t="n">
        <v>458513</v>
      </c>
      <c r="E21" s="9" t="n">
        <v>490776</v>
      </c>
      <c r="F21" s="9" t="n">
        <v>3659</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19. Deferred revenue</t>
        </is>
      </c>
      <c r="B25" s="9" t="n">
        <v>375</v>
      </c>
      <c r="C25" s="9" t="n">
        <v>375</v>
      </c>
      <c r="D25" s="9" t="n">
        <v>500</v>
      </c>
      <c r="E25" s="9" t="n">
        <v>120</v>
      </c>
      <c r="F25" s="14" t="inlineStr">
        <is>
          <t>not reported</t>
        </is>
      </c>
    </row>
    <row r="26">
      <c r="A26" s="8" t="inlineStr">
        <is>
          <t xml:space="preserve">    25. Other liabilities</t>
        </is>
      </c>
      <c r="B26" s="9" t="n">
        <v>300</v>
      </c>
      <c r="C26" s="9" t="n">
        <v>300</v>
      </c>
      <c r="D26" s="9" t="n">
        <v>300</v>
      </c>
      <c r="E26" s="9" t="n">
        <v>300</v>
      </c>
      <c r="F26" s="9" t="n">
        <v>625</v>
      </c>
    </row>
    <row r="27">
      <c r="A27" s="10" t="inlineStr">
        <is>
          <t>26. Total liabilities</t>
        </is>
      </c>
      <c r="B27" s="11">
        <f>SUM(B25:B26)</f>
        <v/>
      </c>
      <c r="C27" s="11">
        <f>SUM(C25:C26)</f>
        <v/>
      </c>
      <c r="D27" s="11">
        <f>SUM(D25:D26)</f>
        <v/>
      </c>
      <c r="E27" s="11">
        <f>SUM(E25:E26)</f>
        <v/>
      </c>
      <c r="F27" s="11">
        <f>SUM(F25:F26)</f>
        <v/>
      </c>
    </row>
    <row r="29">
      <c r="A29" s="6" t="inlineStr">
        <is>
          <t>Net assets / fund balances</t>
        </is>
      </c>
      <c r="B29" s="7" t="n"/>
      <c r="C29" s="7" t="n"/>
      <c r="D29" s="7" t="n"/>
      <c r="E29" s="7" t="n"/>
      <c r="F29" s="7" t="n"/>
    </row>
    <row r="30">
      <c r="A30" s="8" t="inlineStr">
        <is>
          <t xml:space="preserve">    27. Net assets without donor restrictions</t>
        </is>
      </c>
      <c r="B30" s="9" t="n">
        <v>795259</v>
      </c>
      <c r="C30" s="9" t="n">
        <v>820325</v>
      </c>
      <c r="D30" s="9" t="n">
        <v>863779</v>
      </c>
      <c r="E30" s="9" t="n">
        <v>913441</v>
      </c>
      <c r="F30" s="9" t="n">
        <v>399032</v>
      </c>
    </row>
    <row r="31">
      <c r="A31" s="10" t="inlineStr">
        <is>
          <t>32. Total net assets / fund balances</t>
        </is>
      </c>
      <c r="B31" s="11">
        <f>SUM(B30:B30)</f>
        <v/>
      </c>
      <c r="C31" s="11">
        <f>SUM(C30:C30)</f>
        <v/>
      </c>
      <c r="D31" s="11">
        <f>SUM(D30:D30)</f>
        <v/>
      </c>
      <c r="E31" s="11">
        <f>SUM(E30:E30)</f>
        <v/>
      </c>
      <c r="F31" s="11">
        <f>SUM(F30:F30)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33:F33"/>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Reconciliation of Net Assets - Form 990 Part XI (USD)</t>
        </is>
      </c>
    </row>
    <row r="3">
      <c r="A3" s="2" t="inlineStr">
        <is>
          <t>Entity ID: cawc_0022   |   Fiscal year ends March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732218</v>
      </c>
      <c r="C7" s="9" t="n">
        <v>795259</v>
      </c>
      <c r="D7" s="9" t="n">
        <v>820325</v>
      </c>
      <c r="E7" s="9" t="n">
        <v>863779</v>
      </c>
      <c r="F7" s="9" t="n">
        <v>913441</v>
      </c>
    </row>
    <row r="8">
      <c r="A8" s="8" t="inlineStr">
        <is>
          <t xml:space="preserve">    3. Revenue less expenses</t>
        </is>
      </c>
      <c r="B8" s="9" t="n">
        <v>-13006</v>
      </c>
      <c r="C8" s="9" t="n">
        <v>-14867</v>
      </c>
      <c r="D8" s="9" t="n">
        <v>-11678</v>
      </c>
      <c r="E8" s="9" t="n">
        <v>-8791</v>
      </c>
      <c r="F8" s="9" t="n">
        <v>-3015</v>
      </c>
    </row>
    <row r="9">
      <c r="A9" s="8" t="inlineStr">
        <is>
          <t xml:space="preserve">    8. Prior period adjustments</t>
        </is>
      </c>
      <c r="B9" s="14" t="inlineStr">
        <is>
          <t>not reported</t>
        </is>
      </c>
      <c r="C9" s="14" t="inlineStr">
        <is>
          <t>not reported</t>
        </is>
      </c>
      <c r="D9" s="9" t="n">
        <v>55132</v>
      </c>
      <c r="E9" s="14" t="inlineStr">
        <is>
          <t>not reported</t>
        </is>
      </c>
      <c r="F9" s="14" t="inlineStr">
        <is>
          <t>not reported</t>
        </is>
      </c>
    </row>
    <row r="10">
      <c r="A10" s="8" t="inlineStr">
        <is>
          <t xml:space="preserve">    9. Other changes in net assets</t>
        </is>
      </c>
      <c r="B10" s="9" t="n">
        <v>76047</v>
      </c>
      <c r="C10" s="9" t="n">
        <v>39933</v>
      </c>
      <c r="D10" s="14" t="inlineStr">
        <is>
          <t>not reported</t>
        </is>
      </c>
      <c r="E10" s="9" t="n">
        <v>58453</v>
      </c>
      <c r="F10" s="9" t="n">
        <v>-511394</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Cash Flow Proxies - derived (USD)</t>
        </is>
      </c>
    </row>
    <row r="3">
      <c r="A3" s="2" t="inlineStr">
        <is>
          <t>Entity ID: cawc_0022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-13006</v>
      </c>
      <c r="C9" s="9" t="n">
        <v>-14867</v>
      </c>
      <c r="D9" s="9" t="n">
        <v>-11678</v>
      </c>
      <c r="E9" s="9" t="n">
        <v>-8791</v>
      </c>
      <c r="F9" s="9" t="n">
        <v>-3015</v>
      </c>
    </row>
    <row r="10">
      <c r="A10" s="8" t="inlineStr">
        <is>
          <t xml:space="preserve">    + Depreciation (reported)</t>
        </is>
      </c>
      <c r="B10" s="9" t="n">
        <v>12840</v>
      </c>
      <c r="C10" s="9" t="n">
        <v>12840</v>
      </c>
      <c r="D10" s="9" t="n">
        <v>15447</v>
      </c>
      <c r="E10" s="9" t="n">
        <v>12540</v>
      </c>
      <c r="F10" s="9" t="n">
        <v>12540</v>
      </c>
    </row>
    <row r="11">
      <c r="A11" s="8" t="inlineStr">
        <is>
          <t xml:space="preserve">    − Δ Accounts receivable</t>
        </is>
      </c>
      <c r="B11" s="9" t="n"/>
      <c r="C11" s="9" t="n">
        <v>2582</v>
      </c>
      <c r="D11" s="9" t="n">
        <v>6281</v>
      </c>
      <c r="E11" s="9" t="n">
        <v>0</v>
      </c>
      <c r="F11" s="9" t="n">
        <v>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c r="D14" s="9" t="n"/>
      <c r="E14" s="9" t="n"/>
      <c r="F14" s="9" t="n"/>
    </row>
    <row r="15">
      <c r="A15" s="10" t="inlineStr">
        <is>
          <t xml:space="preserve">    Operating cash flow proxy</t>
        </is>
      </c>
      <c r="B15" s="11" t="n"/>
      <c r="C15" s="11" t="n">
        <v>555</v>
      </c>
      <c r="D15" s="11" t="n">
        <v>10050</v>
      </c>
      <c r="E15" s="11" t="n">
        <v>3749</v>
      </c>
      <c r="F15" s="11" t="n">
        <v>9525</v>
      </c>
    </row>
    <row r="17">
      <c r="A17" s="6" t="inlineStr">
        <is>
          <t>Investing</t>
        </is>
      </c>
      <c r="B17" s="7" t="n"/>
      <c r="C17" s="7" t="n"/>
      <c r="D17" s="7" t="n"/>
      <c r="E17" s="7" t="n"/>
      <c r="F17" s="7" t="n"/>
    </row>
    <row r="18">
      <c r="A18" s="8" t="inlineStr">
        <is>
          <t xml:space="preserve">    − Δ PP&amp;E gross (capex proxy)</t>
        </is>
      </c>
      <c r="B18" s="9" t="n"/>
      <c r="C18" s="9" t="n">
        <v>0</v>
      </c>
      <c r="D18" s="9" t="n">
        <v>0</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1876</v>
      </c>
      <c r="D24" s="11" t="n">
        <v>38588</v>
      </c>
      <c r="E24" s="11" t="n">
        <v>29795</v>
      </c>
      <c r="F24" s="11" t="n">
        <v>-14618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Painted Cave Mutual Water Company</t>
        </is>
      </c>
    </row>
    <row r="2">
      <c r="A2" s="2" t="inlineStr">
        <is>
          <t>Financial Ratios</t>
        </is>
      </c>
    </row>
    <row r="3">
      <c r="A3" s="2" t="inlineStr">
        <is>
          <t>Entity ID: cawc_0022   |   Fiscal year ends March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-0.5494951201994169</v>
      </c>
      <c r="C7" s="12" t="n">
        <v>-0.500117738083224</v>
      </c>
      <c r="D7" s="12" t="n">
        <v>-0.3190623207016202</v>
      </c>
      <c r="E7" s="12" t="n">
        <v>-0.2403751503882752</v>
      </c>
      <c r="F7" s="12" t="n">
        <v>-0.06828682732379054</v>
      </c>
    </row>
    <row r="8">
      <c r="A8" s="8" t="inlineStr">
        <is>
          <t xml:space="preserve">    Expense ratio (expenses / revenue)</t>
        </is>
      </c>
      <c r="B8" s="12" t="n">
        <v>1.549495120199417</v>
      </c>
      <c r="C8" s="12" t="n">
        <v>1.500117738083224</v>
      </c>
      <c r="D8" s="12" t="n">
        <v>1.31906232070162</v>
      </c>
      <c r="E8" s="12" t="n">
        <v>1.240375150388275</v>
      </c>
      <c r="F8" s="12" t="n">
        <v>1.06828682732379</v>
      </c>
    </row>
    <row r="9">
      <c r="A9" s="8" t="inlineStr">
        <is>
          <t xml:space="preserve">    Return on assets (NI / assets)</t>
        </is>
      </c>
      <c r="B9" s="12" t="n">
        <v>-0.01634055084969357</v>
      </c>
      <c r="C9" s="12" t="n">
        <v>-0.01810840438489647</v>
      </c>
      <c r="D9" s="12" t="n">
        <v>-0.01350715203584635</v>
      </c>
      <c r="E9" s="12" t="n">
        <v>-0.009619624866363703</v>
      </c>
      <c r="F9" s="12" t="n">
        <v>-0.007543968953377521</v>
      </c>
    </row>
    <row r="10">
      <c r="A10" s="8" t="inlineStr">
        <is>
          <t xml:space="preserve">    Revenue growth (YoY)</t>
        </is>
      </c>
      <c r="B10" s="12" t="n">
        <v>0.1527858951879992</v>
      </c>
      <c r="C10" s="12" t="n">
        <v>0.2559465968143986</v>
      </c>
      <c r="D10" s="12" t="n">
        <v>0.2312375954519461</v>
      </c>
      <c r="E10" s="12" t="n">
        <v>-0.0007923280784678014</v>
      </c>
      <c r="F10" s="12" t="n">
        <v>0.2072623865252105</v>
      </c>
    </row>
    <row r="12">
      <c r="A12" s="6" t="inlineStr">
        <is>
          <t>Leverage &amp; solvency</t>
        </is>
      </c>
      <c r="B12" s="7" t="n"/>
      <c r="C12" s="7" t="n"/>
      <c r="D12" s="7" t="n"/>
      <c r="E12" s="7" t="n"/>
      <c r="F12" s="7" t="n"/>
    </row>
    <row r="13">
      <c r="A13" s="8" t="inlineStr">
        <is>
          <t xml:space="preserve">    Debt-to-assets (liab. / assets)</t>
        </is>
      </c>
      <c r="B13" s="12" t="n">
        <v>0.0008480602663034875</v>
      </c>
      <c r="C13" s="12" t="n">
        <v>0.0008221680876979294</v>
      </c>
      <c r="D13" s="12" t="n">
        <v>0.0009253058424967528</v>
      </c>
      <c r="E13" s="12" t="n">
        <v>0.0004595884932172398</v>
      </c>
      <c r="F13" s="12" t="n">
        <v>0.001563840993652057</v>
      </c>
    </row>
    <row r="14">
      <c r="A14" s="8" t="inlineStr">
        <is>
          <t xml:space="preserve">    Equity ratio (net assets / assets)</t>
        </is>
      </c>
      <c r="B14" s="12" t="n">
        <v>0.9991519397336965</v>
      </c>
      <c r="C14" s="12" t="n">
        <v>0.999177831912302</v>
      </c>
      <c r="D14" s="12" t="n">
        <v>0.9990746941575033</v>
      </c>
      <c r="E14" s="12" t="n">
        <v>0.9995404115067827</v>
      </c>
      <c r="F14" s="12" t="n">
        <v>0.998436159006348</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v>287.2</v>
      </c>
      <c r="C18" s="19" t="n">
        <v>289.9792592592593</v>
      </c>
      <c r="D18" s="19" t="n">
        <v>292.905</v>
      </c>
      <c r="E18" s="19" t="n">
        <v>628.8547619047619</v>
      </c>
      <c r="F18" s="19" t="n">
        <v>399.2016</v>
      </c>
    </row>
    <row r="19">
      <c r="A19" s="8" t="inlineStr">
        <is>
          <t xml:space="preserve">    Asset age proxy (accum. deprec. / gross PP&amp;E)</t>
        </is>
      </c>
      <c r="B19" s="12" t="n">
        <v>0.5207193913467266</v>
      </c>
      <c r="C19" s="12" t="n">
        <v>0.5496899875453511</v>
      </c>
      <c r="D19" s="12" t="n">
        <v>0.6125024819046587</v>
      </c>
      <c r="E19" s="12" t="n">
        <v>0.6413286763776828</v>
      </c>
      <c r="F19" s="12" t="n">
        <v>0.6694621938232161</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Painted Cave Mutual Water Company</t>
        </is>
      </c>
    </row>
    <row r="2">
      <c r="A2" s="2" t="inlineStr">
        <is>
          <t>Unit economics - per-customer revenue by category (USD)</t>
        </is>
      </c>
    </row>
    <row r="3">
      <c r="A3" s="2" t="inlineStr">
        <is>
          <t>Entity ID: cawc_0022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91</v>
      </c>
      <c r="C6" s="22" t="inlineStr">
        <is>
          <t>State Water Board eAR Section 4 (CurTotalConnections), reporting year 2023</t>
        </is>
      </c>
    </row>
    <row r="7">
      <c r="A7" s="20" t="inlineStr">
        <is>
          <t>Total annual revenue (eAR Section 8b B1.8)</t>
        </is>
      </c>
      <c r="B7" s="9" t="n">
        <v>37270</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35849</v>
      </c>
      <c r="D12" s="25" t="n">
        <v>393.95</v>
      </c>
      <c r="E12" s="26" t="n">
        <v>0.9619</v>
      </c>
    </row>
    <row r="13">
      <c r="A13" s="8" t="inlineStr">
        <is>
          <t>Assessment revenue (990 program-service revenue not matched to eAR water-rate revenue)</t>
        </is>
      </c>
      <c r="B13" s="24" t="inlineStr">
        <is>
          <t>DERIVED</t>
        </is>
      </c>
      <c r="C13" s="9" t="n">
        <v>-579</v>
      </c>
      <c r="D13" s="25" t="n">
        <v>-6.36</v>
      </c>
      <c r="E13" s="26" t="n">
        <v>-0.0164</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35849</v>
      </c>
      <c r="C19" s="22" t="inlineStr">
        <is>
          <t>eAR Section 8b field B1.1 (residential water rates) only (this filer reported no non-residential water-rate revenue). State Water Board eAR Section 8b, question B1.1 + B1.2 (revenue from water rates), reporting year 2023</t>
        </is>
      </c>
    </row>
    <row r="20">
      <c r="A20" s="20" t="inlineStr">
        <is>
          <t>Denominator: Total service connections</t>
        </is>
      </c>
      <c r="B20" s="21" t="n">
        <v>91</v>
      </c>
      <c r="C20" s="22" t="inlineStr">
        <is>
          <t>eAR Section 4 CurTotalConnections, reporting year 2023. State Water Board eAR Section 4 (CurTotalConnections), reporting year 2023</t>
        </is>
      </c>
    </row>
    <row r="21" ht="36" customHeight="1">
      <c r="A21" s="3" t="inlineStr">
        <is>
          <t>Per customer: water rate revenue $35,849 / 91 connections = $393.95 per connection</t>
        </is>
      </c>
    </row>
    <row r="22" ht="36" customHeight="1">
      <c r="A22" s="3" t="inlineStr">
        <is>
          <t>Share of revenue: water rate revenue $35,849 / total annual revenue (eAR Section 8b B1.8) $37,270 = 96.19%</t>
        </is>
      </c>
    </row>
    <row r="23" ht="81" customHeight="1">
      <c r="A23" s="3" t="inlineStr">
        <is>
          <t>Period treatment: Numerator (eAR Section 8b, the fiscal year ending March 31, 2024)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35270</v>
      </c>
      <c r="C28" s="22" t="inlineStr">
        <is>
          <t>Form 990 Part VIII line 2 (total program-service revenue), fiscal year 2024 ending March 31, 2024</t>
        </is>
      </c>
    </row>
    <row r="29">
      <c r="A29" s="20" t="inlineStr">
        <is>
          <t>Input B: eAR water-rate revenue</t>
        </is>
      </c>
      <c r="B29" s="9" t="n">
        <v>35849</v>
      </c>
      <c r="C29" s="22" t="inlineStr">
        <is>
          <t>State Water Board eAR Section 8b, question B1.1 + B1.2 (revenue from water rates), reporting year 2023</t>
        </is>
      </c>
    </row>
    <row r="30">
      <c r="A30" s="15" t="inlineStr">
        <is>
          <t>Residual (A minus B) = assessment revenue</t>
        </is>
      </c>
      <c r="B30" s="16">
        <f>B28-B29</f>
        <v/>
      </c>
      <c r="C30" s="22" t="inlineStr">
        <is>
          <t>$35,270 (990 program-service revenue) minus $35,849 (eAR water-rate revenue) = $-579</t>
        </is>
      </c>
    </row>
    <row r="31" ht="66" customHeight="1">
      <c r="A31" s="3" t="inlineStr">
        <is>
          <t>Period alignment: Both inputs cover the same period: the eAR Section 8b is the fiscal year ending March 31, 2024 and the Form 990 fiscal year 2024 ends March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91</v>
      </c>
      <c r="C34" s="22" t="inlineStr">
        <is>
          <t>eAR Section 4 CurTotalConnections, reporting year 2023. State Water Board eAR Section 4 (CurTotalConnections), reporting year 2023</t>
        </is>
      </c>
    </row>
    <row r="35" ht="36" customHeight="1">
      <c r="A35" s="3" t="inlineStr">
        <is>
          <t>Per customer: residual $-579 / 91 connections = $-6.36 per connection</t>
        </is>
      </c>
    </row>
    <row r="36" ht="36" customHeight="1">
      <c r="A36" s="3" t="inlineStr">
        <is>
          <t>Share of revenue: residual $-579 / 990 program-service revenue $35,270 = -1.64%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4"/>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Painted Cave Mutual Water Company</t>
        </is>
      </c>
    </row>
    <row r="2">
      <c r="A2" s="2" t="inlineStr">
        <is>
          <t>Rate structure and representative bill - eAR Section 8a (RY2024)</t>
        </is>
      </c>
    </row>
    <row r="3">
      <c r="A3" s="2" t="inlineStr">
        <is>
          <t>Entity ID: cawc_0022   |   Fiscal year ends March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51" customHeight="1">
      <c r="A6" s="29" t="inlineStr">
        <is>
          <t>Structure: Tiered increasing-block with a fixed base, billed monthly, priced per Gallons. Rate schedule last updated 05/01/2024.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Defined usage level (HCF per month)</t>
        </is>
      </c>
      <c r="B11" s="31" t="n">
        <v>5</v>
      </c>
      <c r="C11" s="31" t="n">
        <v>10</v>
      </c>
      <c r="D11" s="31" t="n">
        <v>25</v>
      </c>
    </row>
    <row r="12">
      <c r="A12" s="8" t="inlineStr">
        <is>
          <t>Conversion: one HCF is this many Gallons</t>
        </is>
      </c>
      <c r="B12" s="32" t="n">
        <v>748</v>
      </c>
      <c r="C12" s="13" t="inlineStr">
        <is>
          <t>1 HCF = 748 gallons</t>
        </is>
      </c>
    </row>
    <row r="13">
      <c r="A13" s="8" t="inlineStr">
        <is>
          <t>Monthly usage (Gallons)</t>
        </is>
      </c>
      <c r="B13" s="31">
        <f>B11*$B$12</f>
        <v/>
      </c>
      <c r="C13" s="31">
        <f>C11*$B$12</f>
        <v/>
      </c>
      <c r="D13" s="31">
        <f>D11*$B$12</f>
        <v/>
      </c>
    </row>
    <row r="14">
      <c r="A14" s="8" t="inlineStr">
        <is>
          <t>Months per bill (from filed billing frequency)</t>
        </is>
      </c>
      <c r="B14" s="33" t="n">
        <v>1</v>
      </c>
      <c r="C14" s="13" t="inlineStr">
        <is>
          <t>monthly biller</t>
        </is>
      </c>
    </row>
    <row r="16">
      <c r="A16" s="6" t="inlineStr">
        <is>
          <t>Filed rate table - single-family residential (as filed, eAR Section 8a)</t>
        </is>
      </c>
      <c r="B16" s="7" t="n"/>
      <c r="C16" s="7" t="n"/>
      <c r="D16" s="7" t="n"/>
    </row>
    <row r="17">
      <c r="A17" s="8" t="inlineStr">
        <is>
          <t>Base / fixed charge per monthly bill ($)</t>
        </is>
      </c>
      <c r="B17" s="25" t="n">
        <v>70</v>
      </c>
    </row>
    <row r="18">
      <c r="A18" s="4" t="inlineStr">
        <is>
          <t>Tier</t>
        </is>
      </c>
      <c r="B18" s="4" t="inlineStr">
        <is>
          <t>Range (Gallons)</t>
        </is>
      </c>
      <c r="C18" s="34" t="inlineStr">
        <is>
          <t>Price ($/Gallons)</t>
        </is>
      </c>
      <c r="D18" s="34" t="inlineStr">
        <is>
          <t>Upper limit (Gallons)</t>
        </is>
      </c>
    </row>
    <row r="19">
      <c r="A19" s="8" t="inlineStr">
        <is>
          <t>Tier 1</t>
        </is>
      </c>
      <c r="B19" s="8" t="inlineStr">
        <is>
          <t>0 to 3000 Gallons</t>
        </is>
      </c>
      <c r="C19" s="35" t="n">
        <v>0</v>
      </c>
      <c r="D19" s="36" t="n">
        <v>3000</v>
      </c>
    </row>
    <row r="20">
      <c r="A20" s="8" t="inlineStr">
        <is>
          <t>Tier 2</t>
        </is>
      </c>
      <c r="B20" s="8" t="inlineStr">
        <is>
          <t>3000 to 7000 Gallons</t>
        </is>
      </c>
      <c r="C20" s="35" t="n">
        <v>0.0015</v>
      </c>
      <c r="D20" s="36" t="n">
        <v>7000</v>
      </c>
    </row>
    <row r="21">
      <c r="A21" s="8" t="inlineStr">
        <is>
          <t>Tier 3</t>
        </is>
      </c>
      <c r="B21" s="8" t="inlineStr">
        <is>
          <t>7000 to 10000 Gallons</t>
        </is>
      </c>
      <c r="C21" s="35" t="n">
        <v>0.003</v>
      </c>
      <c r="D21" s="36" t="n">
        <v>10000</v>
      </c>
    </row>
    <row r="22">
      <c r="A22" s="8" t="inlineStr">
        <is>
          <t>Tier 4</t>
        </is>
      </c>
      <c r="B22" s="8" t="inlineStr">
        <is>
          <t>over 10000 Gallons</t>
        </is>
      </c>
      <c r="C22" s="35" t="n">
        <v>0.0045</v>
      </c>
      <c r="D22" s="36" t="inlineStr">
        <is>
          <t>no limit</t>
        </is>
      </c>
    </row>
    <row r="24">
      <c r="A24" s="6" t="inlineStr">
        <is>
          <t>Representative monthly bill - LIVE (edit a yellow usage cell to recompute)</t>
        </is>
      </c>
      <c r="B24" s="7" t="n"/>
      <c r="C24" s="7" t="n"/>
      <c r="D24" s="7" t="n"/>
    </row>
    <row r="25">
      <c r="A25" s="30" t="inlineStr"/>
      <c r="B25" s="5" t="inlineStr">
        <is>
          <t>Low</t>
        </is>
      </c>
      <c r="C25" s="5" t="inlineStr">
        <is>
          <t>Median</t>
        </is>
      </c>
      <c r="D25" s="5" t="inlineStr">
        <is>
          <t>High</t>
        </is>
      </c>
    </row>
    <row r="26">
      <c r="A26" s="8" t="inlineStr">
        <is>
          <t>Usage per bill (Gallons)</t>
        </is>
      </c>
      <c r="B26" s="37">
        <f>B13*$B$14</f>
        <v/>
      </c>
      <c r="C26" s="37">
        <f>C13*$B$14</f>
        <v/>
      </c>
      <c r="D26" s="37">
        <f>D13*$B$14</f>
        <v/>
      </c>
    </row>
    <row r="27">
      <c r="A27" s="8" t="inlineStr">
        <is>
          <t xml:space="preserve">    Tier 1 charge per bill ($)</t>
        </is>
      </c>
      <c r="B27" s="38">
        <f>$C$19*MAX(0,MIN(B26,$D$19)-0)</f>
        <v/>
      </c>
      <c r="C27" s="38">
        <f>$C$19*MAX(0,MIN(C26,$D$19)-0)</f>
        <v/>
      </c>
      <c r="D27" s="38">
        <f>$C$19*MAX(0,MIN(D26,$D$19)-0)</f>
        <v/>
      </c>
    </row>
    <row r="28">
      <c r="A28" s="8" t="inlineStr">
        <is>
          <t xml:space="preserve">    Tier 2 charge per bill ($)</t>
        </is>
      </c>
      <c r="B28" s="38">
        <f>$C$20*MAX(0,MIN(B26,$D$20)-$D$19)</f>
        <v/>
      </c>
      <c r="C28" s="38">
        <f>$C$20*MAX(0,MIN(C26,$D$20)-$D$19)</f>
        <v/>
      </c>
      <c r="D28" s="38">
        <f>$C$20*MAX(0,MIN(D26,$D$20)-$D$19)</f>
        <v/>
      </c>
    </row>
    <row r="29">
      <c r="A29" s="8" t="inlineStr">
        <is>
          <t xml:space="preserve">    Tier 3 charge per bill ($)</t>
        </is>
      </c>
      <c r="B29" s="38">
        <f>$C$21*MAX(0,MIN(B26,$D$21)-$D$20)</f>
        <v/>
      </c>
      <c r="C29" s="38">
        <f>$C$21*MAX(0,MIN(C26,$D$21)-$D$20)</f>
        <v/>
      </c>
      <c r="D29" s="38">
        <f>$C$21*MAX(0,MIN(D26,$D$21)-$D$20)</f>
        <v/>
      </c>
    </row>
    <row r="30">
      <c r="A30" s="8" t="inlineStr">
        <is>
          <t xml:space="preserve">    Tier 4 charge per bill ($)</t>
        </is>
      </c>
      <c r="B30" s="38">
        <f>$C$22*MAX(0,B26-$D$21)</f>
        <v/>
      </c>
      <c r="C30" s="38">
        <f>$C$22*MAX(0,C26-$D$21)</f>
        <v/>
      </c>
      <c r="D30" s="38">
        <f>$C$22*MAX(0,D26-$D$21)</f>
        <v/>
      </c>
    </row>
    <row r="31">
      <c r="A31" s="8" t="inlineStr">
        <is>
          <t>Volumetric charge per bill ($)</t>
        </is>
      </c>
      <c r="B31" s="38">
        <f>SUM(B27,B28,B29,B30)</f>
        <v/>
      </c>
      <c r="C31" s="38">
        <f>SUM(C27,C28,C29,C30)</f>
        <v/>
      </c>
      <c r="D31" s="38">
        <f>SUM(D27,D28,D29,D30)</f>
        <v/>
      </c>
    </row>
    <row r="32">
      <c r="A32" s="8" t="inlineStr">
        <is>
          <t>Base charge per bill ($)</t>
        </is>
      </c>
      <c r="B32" s="38">
        <f>$B$17</f>
        <v/>
      </c>
      <c r="C32" s="38">
        <f>$B$17</f>
        <v/>
      </c>
      <c r="D32" s="38">
        <f>$B$17</f>
        <v/>
      </c>
    </row>
    <row r="33">
      <c r="A33" s="8" t="inlineStr">
        <is>
          <t>Total per bill ($)</t>
        </is>
      </c>
      <c r="B33" s="38">
        <f>B32+B31</f>
        <v/>
      </c>
      <c r="C33" s="38">
        <f>C32+C31</f>
        <v/>
      </c>
      <c r="D33" s="38">
        <f>D32+D31</f>
        <v/>
      </c>
    </row>
    <row r="34">
      <c r="A34" s="10" t="inlineStr">
        <is>
          <t>Total per MONTH ($)</t>
        </is>
      </c>
      <c r="B34" s="39">
        <f>B33/$B$14</f>
        <v/>
      </c>
      <c r="C34" s="39">
        <f>C33/$B$14</f>
        <v/>
      </c>
      <c r="D34" s="39">
        <f>D33/$B$14</f>
        <v/>
      </c>
    </row>
    <row r="35">
      <c r="A35" s="8" t="inlineStr">
        <is>
          <t xml:space="preserve">    Fixed per month ($)</t>
        </is>
      </c>
      <c r="B35" s="38">
        <f>$B$17/$B$14</f>
        <v/>
      </c>
      <c r="C35" s="38">
        <f>$B$17/$B$14</f>
        <v/>
      </c>
      <c r="D35" s="38">
        <f>$B$17/$B$14</f>
        <v/>
      </c>
    </row>
    <row r="36">
      <c r="A36" s="8" t="inlineStr">
        <is>
          <t xml:space="preserve">    Volumetric per month ($)</t>
        </is>
      </c>
      <c r="B36" s="38">
        <f>B31/$B$14</f>
        <v/>
      </c>
      <c r="C36" s="38">
        <f>C31/$B$14</f>
        <v/>
      </c>
      <c r="D36" s="38">
        <f>D31/$B$14</f>
        <v/>
      </c>
    </row>
    <row r="37">
      <c r="A37" s="8" t="inlineStr">
        <is>
          <t>Effective price ($/HCF)</t>
        </is>
      </c>
      <c r="B37" s="38">
        <f>IF(B11=0,"",B34/B11)</f>
        <v/>
      </c>
      <c r="C37" s="38">
        <f>IF(C11=0,"",C34/C11)</f>
        <v/>
      </c>
      <c r="D37" s="38">
        <f>IF(D11=0,"",D34/D11)</f>
        <v/>
      </c>
    </row>
    <row r="39">
      <c r="A39" s="6" t="inlineStr">
        <is>
          <t>Rate-structure comparison metrics</t>
        </is>
      </c>
      <c r="B39" s="7" t="n"/>
      <c r="C39" s="7" t="n"/>
      <c r="D39" s="7" t="n"/>
    </row>
    <row r="40">
      <c r="A40" s="8" t="inlineStr">
        <is>
          <t>Fixed share of the bill at median usage</t>
        </is>
      </c>
      <c r="B40" s="40">
        <f>C35/C34</f>
        <v/>
      </c>
      <c r="C40" s="13" t="inlineStr">
        <is>
          <t>fixed / total at 10 HCF/month</t>
        </is>
      </c>
    </row>
    <row r="41">
      <c r="A41" s="8" t="inlineStr">
        <is>
          <t>Tier price ratio (highest to lowest positive tier)</t>
        </is>
      </c>
      <c r="B41" s="41">
        <f>$C$22/$C$20</f>
        <v/>
      </c>
      <c r="C41" s="13" t="inlineStr">
        <is>
          <t>first tier is a $0.00 allowance included in the base charge; the ratio uses the lowest POSITIVE tier price.</t>
        </is>
      </c>
    </row>
    <row r="42">
      <c r="A42" s="8" t="inlineStr">
        <is>
          <t>Rate structure (as filed)</t>
        </is>
      </c>
      <c r="B42" s="42" t="inlineStr">
        <is>
          <t>tiered (Variable Usage)</t>
        </is>
      </c>
    </row>
    <row r="44" ht="66" customHeight="1">
      <c r="A44"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44:D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Painted Cave Mutual Water Company</t>
        </is>
      </c>
    </row>
    <row r="2">
      <c r="A2" s="2" t="inlineStr">
        <is>
          <t>eAR annual revenue and expenses - State Water Board eAR Section 8b (USD)</t>
        </is>
      </c>
    </row>
    <row r="3">
      <c r="A3" s="2" t="inlineStr">
        <is>
          <t>Entity ID: cawc_0022   |   Fiscal year ends March 31.</t>
        </is>
      </c>
    </row>
    <row r="5" ht="141" customHeight="1">
      <c r="A5" s="3" t="inlineStr">
        <is>
          <t>The water system's own annual figures from the public eAR Section 8b, on the fiscal year ending March 31, 2024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fiscal year ending March 31, 2024</t>
        </is>
      </c>
      <c r="C6" s="22" t="inlineStr">
        <is>
          <t>eAR Section 8b B0.1 (WRFinancialReportingPeriod) / B0.2 start 04/01/2023</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35849</v>
      </c>
      <c r="C10" s="22" t="inlineStr">
        <is>
          <t>State Water Board eAR Section 8b, question B1.1 + B1.2 (revenue from water rates), reporting year 2023</t>
        </is>
      </c>
    </row>
    <row r="11">
      <c r="A11" s="20" t="inlineStr">
        <is>
          <t>Other fees and charges</t>
        </is>
      </c>
      <c r="B11" s="9" t="n">
        <v>1321</v>
      </c>
      <c r="C11" s="22" t="inlineStr">
        <is>
          <t>State Water Board eAR Section 8b, question B1.3 + B1.4 (revenue from other fees), reporting year 2023</t>
        </is>
      </c>
    </row>
    <row r="12">
      <c r="A12" s="20" t="inlineStr">
        <is>
          <t>Non-customer revenue</t>
        </is>
      </c>
      <c r="B12" s="9" t="n">
        <v>100</v>
      </c>
      <c r="C12" s="22" t="inlineStr">
        <is>
          <t>State Water Board eAR Section 8b, question B1.7 (grants, interest, and other non-customer), reporting year 2023</t>
        </is>
      </c>
    </row>
    <row r="13">
      <c r="A13" s="20" t="inlineStr">
        <is>
          <t>Total annual revenue</t>
        </is>
      </c>
      <c r="B13" s="43" t="n">
        <v>37270</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32636</v>
      </c>
      <c r="C17" s="22" t="inlineStr">
        <is>
          <t>State Water Board eAR Section 8b, question B2.1 (annual O and M expense), reporting year 2023</t>
        </is>
      </c>
    </row>
    <row r="18">
      <c r="A18" s="20" t="inlineStr">
        <is>
          <t>Capital</t>
        </is>
      </c>
      <c r="B18" s="9" t="n">
        <v>0</v>
      </c>
      <c r="C18" s="22" t="inlineStr">
        <is>
          <t>State Water Board eAR Section 8b, question B2.2 (annual expenses from investing or capital), reporting year 2023</t>
        </is>
      </c>
    </row>
    <row r="19">
      <c r="A19" s="20" t="inlineStr">
        <is>
          <t>Financing</t>
        </is>
      </c>
      <c r="B19" s="9" t="n">
        <v>0</v>
      </c>
      <c r="C19" s="22" t="inlineStr">
        <is>
          <t>State Water Board eAR Section 8b, question B2.3 (annual expenses from financing), reporting year 2023</t>
        </is>
      </c>
    </row>
    <row r="20">
      <c r="A20" s="20" t="inlineStr">
        <is>
          <t>Other</t>
        </is>
      </c>
      <c r="B20" s="9" t="n">
        <v>0</v>
      </c>
      <c r="C20" s="22" t="inlineStr">
        <is>
          <t>State Water Board eAR Section 8b, question B2.4 (total other annual expenses), reporting year 2023</t>
        </is>
      </c>
    </row>
    <row r="21">
      <c r="A21" s="20" t="inlineStr">
        <is>
          <t>Total annual expenses</t>
        </is>
      </c>
      <c r="B21" s="43" t="n">
        <v>32636</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37270</v>
      </c>
      <c r="C25" s="9" t="n">
        <v>36572</v>
      </c>
    </row>
    <row r="26">
      <c r="A26" s="15" t="inlineStr">
        <is>
          <t>Variance (eAR minus Form 990)</t>
        </is>
      </c>
      <c r="B26" s="16">
        <f>B25-C25</f>
        <v/>
      </c>
      <c r="C26" s="44" t="n"/>
    </row>
    <row r="27" ht="201" customHeight="1">
      <c r="A27" s="3" t="inlineStr">
        <is>
          <t>The eAR Section 8b total revenue (State Water Board self-report, fiscal year ending March 31, 2024) and the Form 990 total revenue (IRS filing) are a different source and cover the same fiscal year (April 1, 2023 to March 31, 2024): the water system self-reported the eAR Section 8b on a fiscal year (B0.1 Fiscal, B0.2 start 04/01/2023), which matches the Form 990 fiscal year. Both are carried as filed; the variance is surfaced, never reconciled.</t>
        </is>
      </c>
    </row>
    <row r="28">
      <c r="A28" s="8" t="inlineStr">
        <is>
          <t>total expenses</t>
        </is>
      </c>
      <c r="B28" s="9" t="n">
        <v>32636</v>
      </c>
      <c r="C28" s="9" t="n">
        <v>45363</v>
      </c>
    </row>
    <row r="29">
      <c r="A29" s="15" t="inlineStr">
        <is>
          <t>Variance (eAR minus Form 990)</t>
        </is>
      </c>
      <c r="B29" s="16">
        <f>B28-C28</f>
        <v/>
      </c>
      <c r="C29" s="44" t="n"/>
    </row>
    <row r="30" ht="201" customHeight="1">
      <c r="A30" s="3" t="inlineStr">
        <is>
          <t>The eAR Section 8b total expenses (State Water Board self-report, fiscal year ending March 31, 2024) and the Form 990 total expenses (IRS filing) are a different source and cover the same fiscal year (April 1, 2023 to March 31, 2024): the water system self-reported the eAR Section 8b on a fiscal year (B0.1 Fiscal, B0.2 start 04/01/2023),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Painted Cave Mutual Water Company</t>
        </is>
      </c>
    </row>
    <row r="2">
      <c r="A2" s="2" t="inlineStr">
        <is>
          <t>Denominators and calendar alignment</t>
        </is>
      </c>
    </row>
    <row r="3">
      <c r="A3" s="2" t="inlineStr">
        <is>
          <t>Entity ID: cawc_0022   |   Fiscal year ends March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91</v>
      </c>
      <c r="C7" s="22" t="inlineStr">
        <is>
          <t>State Water Board eAR Section 4 (CurTotalConnections), reporting year 2024</t>
        </is>
      </c>
    </row>
    <row r="8">
      <c r="A8" s="20" t="inlineStr">
        <is>
          <t>SDWIS service-connection count (different registry)</t>
        </is>
      </c>
      <c r="B8" s="21" t="n">
        <v>91</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(2021-03-31)</t>
        </is>
      </c>
      <c r="B14" s="21" t="n">
        <v>91</v>
      </c>
      <c r="C14" s="14" t="inlineStr">
        <is>
          <t>not reported</t>
        </is>
      </c>
      <c r="D14" s="21" t="n">
        <v>43.4</v>
      </c>
      <c r="E14" s="21" t="n">
        <v>25.9</v>
      </c>
      <c r="F14" s="21" t="n">
        <v>19.8</v>
      </c>
      <c r="G14" s="23" t="inlineStr">
        <is>
          <t>recast from monthly eAR data to fiscal year ending March 31, 2021</t>
        </is>
      </c>
    </row>
    <row r="15" ht="40" customHeight="1">
      <c r="A15" s="8" t="inlineStr">
        <is>
          <t>FY2022 (2022-03-31)</t>
        </is>
      </c>
      <c r="B15" s="21" t="n">
        <v>91</v>
      </c>
      <c r="C15" s="14" t="inlineStr">
        <is>
          <t>not reported</t>
        </is>
      </c>
      <c r="D15" s="21" t="n">
        <v>43.4</v>
      </c>
      <c r="E15" s="21" t="n">
        <v>24.7</v>
      </c>
      <c r="F15" s="21" t="n">
        <v>19</v>
      </c>
      <c r="G15" s="23" t="inlineStr">
        <is>
          <t>recast from monthly eAR data to fiscal year ending March 31, 2022</t>
        </is>
      </c>
    </row>
    <row r="16" ht="40" customHeight="1">
      <c r="A16" s="8" t="inlineStr">
        <is>
          <t>FY2023 (2023-03-31)</t>
        </is>
      </c>
      <c r="B16" s="21" t="n">
        <v>91</v>
      </c>
      <c r="C16" s="14" t="inlineStr">
        <is>
          <t>not reported</t>
        </is>
      </c>
      <c r="D16" s="21" t="n">
        <v>43.4</v>
      </c>
      <c r="E16" s="14" t="inlineStr">
        <is>
          <t>not reported</t>
        </is>
      </c>
      <c r="F16" s="14" t="inlineStr">
        <is>
          <t>not reported</t>
        </is>
      </c>
      <c r="G16" s="23" t="inlineStr">
        <is>
          <t>recast from monthly eAR data to fiscal year ending March 31, 2023</t>
        </is>
      </c>
    </row>
    <row r="17" ht="40" customHeight="1">
      <c r="A17" s="8" t="inlineStr">
        <is>
          <t>FY2024 (2024-03-31)</t>
        </is>
      </c>
      <c r="B17" s="21" t="n">
        <v>91</v>
      </c>
      <c r="C17" s="21" t="n">
        <v>160</v>
      </c>
      <c r="D17" s="21" t="n">
        <v>43.4</v>
      </c>
      <c r="E17" s="14" t="inlineStr">
        <is>
          <t>not reported</t>
        </is>
      </c>
      <c r="F17" s="14" t="inlineStr">
        <is>
          <t>not reported</t>
        </is>
      </c>
      <c r="G17" s="23" t="inlineStr">
        <is>
          <t>recast from monthly eAR data to fiscal year ending March 31, 2024</t>
        </is>
      </c>
    </row>
    <row r="18" ht="40" customHeight="1">
      <c r="A18" s="8" t="inlineStr">
        <is>
          <t>FY2025 (2025-03-31)</t>
        </is>
      </c>
      <c r="B18" s="21" t="n">
        <v>91</v>
      </c>
      <c r="C18" s="21" t="n">
        <v>160</v>
      </c>
      <c r="D18" s="21" t="n">
        <v>43.4</v>
      </c>
      <c r="E18" s="14" t="inlineStr">
        <is>
          <t>not reported</t>
        </is>
      </c>
      <c r="F18" s="14" t="inlineStr">
        <is>
          <t>not reported</t>
        </is>
      </c>
      <c r="G18" s="23" t="inlineStr">
        <is>
          <t>recast from monthly eAR data to fiscal year ending March 31, 2025</t>
        </is>
      </c>
    </row>
    <row r="20">
      <c r="A20" s="6" t="inlineStr">
        <is>
          <t>Connections by class - FY2025 (eAR Section 4)</t>
        </is>
      </c>
      <c r="B20" s="7" t="n"/>
      <c r="C20" s="7" t="n"/>
      <c r="D20" s="7" t="n"/>
      <c r="E20" s="7" t="n"/>
      <c r="F20" s="7" t="n"/>
      <c r="G20" s="7" t="n"/>
    </row>
    <row r="21">
      <c r="A21" s="20" t="inlineStr">
        <is>
          <t>Single-family residential</t>
        </is>
      </c>
      <c r="B21" s="21" t="n">
        <v>89</v>
      </c>
      <c r="C21" s="22" t="inlineStr"/>
    </row>
    <row r="22">
      <c r="A22" s="20" t="inlineStr">
        <is>
          <t>Multi-family residential</t>
        </is>
      </c>
      <c r="B22" s="21" t="n">
        <v>0</v>
      </c>
      <c r="C22" s="22" t="inlineStr"/>
    </row>
    <row r="23">
      <c r="A23" s="20" t="inlineStr">
        <is>
          <t>Commercial and institutional</t>
        </is>
      </c>
      <c r="B23" s="21" t="n">
        <v>0</v>
      </c>
      <c r="C23" s="22" t="inlineStr"/>
    </row>
    <row r="24">
      <c r="A24" s="20" t="inlineStr">
        <is>
          <t>Industrial</t>
        </is>
      </c>
      <c r="B24" s="21" t="n">
        <v>0</v>
      </c>
      <c r="C24" s="22" t="inlineStr"/>
    </row>
    <row r="25">
      <c r="A25" s="20" t="inlineStr">
        <is>
          <t>Landscape irrigation</t>
        </is>
      </c>
      <c r="B25" s="21" t="n">
        <v>0</v>
      </c>
      <c r="C25" s="22" t="inlineStr"/>
    </row>
    <row r="26">
      <c r="A26" s="20" t="inlineStr">
        <is>
          <t>Agricultural</t>
        </is>
      </c>
      <c r="B26" s="21" t="n">
        <v>0</v>
      </c>
      <c r="C26" s="22" t="inlineStr"/>
    </row>
    <row r="27" ht="81" customHeight="1">
      <c r="A27"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27:G27"/>
    <mergeCell ref="A3:G3"/>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Painted Cave Mutual Water Company</t>
        </is>
      </c>
    </row>
    <row r="2">
      <c r="A2" s="2" t="inlineStr">
        <is>
          <t>Governance evidence status - Ostrom's eight design principles</t>
        </is>
      </c>
    </row>
    <row r="3">
      <c r="A3" s="2" t="inlineStr">
        <is>
          <t>Entity ID: cawc_0022   |   Fiscal year ends March 31.</t>
        </is>
      </c>
    </row>
    <row r="5">
      <c r="A5" s="45"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91 service connections over a State-published service-area boundary.</t>
        </is>
      </c>
      <c r="D10" s="23" t="inlineStr">
        <is>
          <t>SDWIS Community water system; SABL service-area boundary (not verified (sabl)); connections defined.</t>
        </is>
      </c>
      <c r="E10" s="46"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46"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46"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46"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46"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46"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46"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0147674, first registered 01/06/1932, status as filed "Active", with a governing body named in the Statement of Information filed 1/22/2026.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46"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Painted Cave Mutual Water Company</t>
        </is>
      </c>
    </row>
    <row r="2">
      <c r="A2" s="2" t="inlineStr">
        <is>
          <t>Operational metrics - plant per acre, density, terrain</t>
        </is>
      </c>
    </row>
    <row r="3">
      <c r="A3" s="2" t="inlineStr">
        <is>
          <t>Entity ID: cawc_0022   |   Fiscal year ends March 31.</t>
        </is>
      </c>
    </row>
    <row r="5">
      <c r="A5" s="6" t="inlineStr">
        <is>
          <t>Plant assets per acre</t>
        </is>
      </c>
      <c r="B5" s="7" t="n"/>
      <c r="C5" s="7" t="n"/>
    </row>
    <row r="6">
      <c r="A6" s="20" t="inlineStr">
        <is>
          <t>Service-area acres</t>
        </is>
      </c>
      <c r="B6" s="47" t="n">
        <v>43.4</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10212.1659</v>
      </c>
      <c r="C8" s="9" t="n">
        <v>4894.4931</v>
      </c>
    </row>
    <row r="9">
      <c r="A9" s="18" t="inlineStr">
        <is>
          <t>FY2022</t>
        </is>
      </c>
      <c r="B9" s="9" t="n">
        <v>10212.1659</v>
      </c>
      <c r="C9" s="9" t="n">
        <v>4598.6406</v>
      </c>
    </row>
    <row r="10">
      <c r="A10" s="18" t="inlineStr">
        <is>
          <t>FY2023</t>
        </is>
      </c>
      <c r="B10" s="9" t="n">
        <v>10212.1659</v>
      </c>
      <c r="C10" s="9" t="n">
        <v>3957.1889</v>
      </c>
    </row>
    <row r="11">
      <c r="A11" s="18" t="inlineStr">
        <is>
          <t>FY2024</t>
        </is>
      </c>
      <c r="B11" s="9" t="n">
        <v>10212.1659</v>
      </c>
      <c r="C11" s="9" t="n">
        <v>3662.8111</v>
      </c>
    </row>
    <row r="12">
      <c r="A12" s="18" t="inlineStr">
        <is>
          <t>FY2025</t>
        </is>
      </c>
      <c r="B12" s="9" t="n">
        <v>10212.1659</v>
      </c>
      <c r="C12" s="9" t="n">
        <v>3375.5069</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2.1</v>
      </c>
      <c r="C19" s="22" t="inlineStr">
        <is>
          <t>91 connections / 43.4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canyon</t>
        </is>
      </c>
      <c r="C22" s="22" t="inlineStr">
        <is>
          <t>Company context page (BLUEPRINT 5B)</t>
        </is>
      </c>
    </row>
    <row r="23" ht="141" customHeight="1">
      <c r="A23" s="3" t="inlineStr">
        <is>
          <t>A residential mountain-community mutual water company (501(c)(12)) serving about 85 to 91 metered single-family connections and roughly 160 residents in Painted Cave, an unincorporated community on San Marcos Pass above Santa Barbara, on steep canyon and mountain terrain zoned very high fire severity.</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Painted Cave Mutual Water Company</t>
        </is>
      </c>
    </row>
    <row r="2">
      <c r="A2" s="2" t="inlineStr">
        <is>
          <t>Supply and weather indicators (DWR water year)</t>
        </is>
      </c>
    </row>
    <row r="3">
      <c r="A3" s="2" t="inlineStr">
        <is>
          <t>Entity ID: cawc_0022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6" t="inlineStr">
        <is>
          <t>Critical</t>
        </is>
      </c>
      <c r="C8" s="46" t="inlineStr">
        <is>
          <t>Critical</t>
        </is>
      </c>
      <c r="D8" s="46" t="inlineStr">
        <is>
          <t>Wet</t>
        </is>
      </c>
      <c r="E8" s="46" t="inlineStr">
        <is>
          <t>Above Normal</t>
        </is>
      </c>
      <c r="F8" s="48" t="inlineStr">
        <is>
          <t>not reported</t>
        </is>
      </c>
    </row>
    <row r="9">
      <c r="A9" s="8" t="inlineStr">
        <is>
          <t>Peak drought, Santa Barbara County</t>
        </is>
      </c>
      <c r="B9" s="46" t="inlineStr">
        <is>
          <t>D4</t>
        </is>
      </c>
      <c r="C9" s="46" t="inlineStr">
        <is>
          <t>D4</t>
        </is>
      </c>
      <c r="D9" s="46" t="inlineStr">
        <is>
          <t>D3</t>
        </is>
      </c>
      <c r="E9" s="46" t="inlineStr">
        <is>
          <t>None (no D0-D4 during the fiscal year)</t>
        </is>
      </c>
      <c r="F9" s="46" t="inlineStr">
        <is>
          <t>D3</t>
        </is>
      </c>
    </row>
    <row r="10">
      <c r="A10" s="8" t="inlineStr">
        <is>
          <t>Precip, percent of normal (8-Station Index)</t>
        </is>
      </c>
      <c r="B10" s="46" t="inlineStr">
        <is>
          <t>48</t>
        </is>
      </c>
      <c r="C10" s="46" t="inlineStr">
        <is>
          <t>86</t>
        </is>
      </c>
      <c r="D10" s="46" t="inlineStr">
        <is>
          <t>133</t>
        </is>
      </c>
      <c r="E10" s="46" t="inlineStr">
        <is>
          <t>96</t>
        </is>
      </c>
      <c r="F10" s="46" t="inlineStr">
        <is>
          <t>113</t>
        </is>
      </c>
    </row>
    <row r="11">
      <c r="A11" s="8" t="inlineStr">
        <is>
          <t>Snowpack, April 1 percent of average</t>
        </is>
      </c>
      <c r="B11" s="46" t="inlineStr">
        <is>
          <t>59%</t>
        </is>
      </c>
      <c r="C11" s="46" t="inlineStr">
        <is>
          <t>38%</t>
        </is>
      </c>
      <c r="D11" s="46" t="inlineStr">
        <is>
          <t>237%</t>
        </is>
      </c>
      <c r="E11" s="46" t="inlineStr">
        <is>
          <t>110%</t>
        </is>
      </c>
      <c r="F11" s="46" t="inlineStr">
        <is>
          <t>96%</t>
        </is>
      </c>
    </row>
    <row r="12">
      <c r="A12" s="8" t="inlineStr">
        <is>
          <t>State Water Project allocation</t>
        </is>
      </c>
      <c r="B12" s="46" t="inlineStr">
        <is>
          <t>5%</t>
        </is>
      </c>
      <c r="C12" s="46" t="inlineStr">
        <is>
          <t>5%</t>
        </is>
      </c>
      <c r="D12" s="46" t="inlineStr">
        <is>
          <t>100%</t>
        </is>
      </c>
      <c r="E12" s="46" t="inlineStr">
        <is>
          <t>40%</t>
        </is>
      </c>
      <c r="F12" s="4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Painted Cave Mutual Water Company</t>
        </is>
      </c>
    </row>
    <row r="2">
      <c r="A2" s="2" t="inlineStr">
        <is>
          <t>How this was built - forensic lineage</t>
        </is>
      </c>
    </row>
    <row r="3">
      <c r="A3" s="2" t="inlineStr">
        <is>
          <t>Entity ID: cawc_0022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$35,270 (990 program-service revenue) minus $35,849 (eAR water-rate revenue) = $-579.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Painted Cave Mutual Water Company</t>
        </is>
      </c>
    </row>
    <row r="2">
      <c r="A2" s="2" t="inlineStr">
        <is>
          <t>Water Operations (sourced outside the financial filings)</t>
        </is>
      </c>
    </row>
    <row r="3">
      <c r="A3" s="2" t="inlineStr">
        <is>
          <t>Entity ID: cawc_0022   |   Fiscal year ends March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46" t="n">
        <v>2024</v>
      </c>
      <c r="E8" s="8" t="inlineStr">
        <is>
          <t>high</t>
        </is>
      </c>
      <c r="F8" s="23" t="inlineStr">
        <is>
          <t>PAINTED CAVE: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46" t="n">
        <v>2024</v>
      </c>
      <c r="E9" s="8" t="inlineStr">
        <is>
          <t>high</t>
        </is>
      </c>
      <c r="F9" s="23" t="inlineStr">
        <is>
          <t>PAINTED CAVE: Primary Water Source Type = Groundwater.</t>
        </is>
      </c>
    </row>
    <row r="10" ht="42" customHeight="1">
      <c r="A10" s="8" t="inlineStr">
        <is>
          <t>Service connections (total)</t>
        </is>
      </c>
      <c r="B10" s="23" t="inlineStr">
        <is>
          <t>91 connections</t>
        </is>
      </c>
      <c r="C10" s="8" t="inlineStr">
        <is>
          <t>SDWIS Drinking Water Watch (State Water Board)</t>
        </is>
      </c>
      <c r="D10" s="46" t="n">
        <v>2024</v>
      </c>
      <c r="E10" s="8" t="inlineStr">
        <is>
          <t>high</t>
        </is>
      </c>
      <c r="F10" s="23" t="inlineStr">
        <is>
          <t>PAINTED CAVE: Total Number of Service Connections = 91.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91; Total 91.</t>
        </is>
      </c>
      <c r="C11" s="8" t="inlineStr">
        <is>
          <t>SDWIS Drinking Water Watch (State Water Board)</t>
        </is>
      </c>
      <c r="D11" s="46" t="n">
        <v>2024</v>
      </c>
      <c r="E11" s="8" t="inlineStr">
        <is>
          <t>high</t>
        </is>
      </c>
      <c r="F11" s="23" t="inlineStr">
        <is>
          <t>PAINTED CAVE: connections by type - Residential 91; Total 91.</t>
        </is>
      </c>
    </row>
    <row r="12" ht="42" customHeight="1">
      <c r="A12" s="8" t="inlineStr">
        <is>
          <t>Population served</t>
        </is>
      </c>
      <c r="B12" s="23" t="inlineStr">
        <is>
          <t>160 residents</t>
        </is>
      </c>
      <c r="C12" s="8" t="inlineStr">
        <is>
          <t>SDWIS Drinking Water Watch (State Water Board)</t>
        </is>
      </c>
      <c r="D12" s="46" t="n">
        <v>2024</v>
      </c>
      <c r="E12" s="8" t="inlineStr">
        <is>
          <t>high</t>
        </is>
      </c>
      <c r="F12" s="23" t="inlineStr">
        <is>
          <t>PAINTED CAVE: Total Population = 160.</t>
        </is>
      </c>
    </row>
    <row r="13" ht="42" customHeight="1">
      <c r="A13" s="8" t="inlineStr">
        <is>
          <t>Treatment and water quality</t>
        </is>
      </c>
      <c r="B13" s="23" t="inlineStr">
        <is>
          <t>Operator certification on file: Distribution Operator Level 1. SDWIS states operator grades, not the treatment process detail.</t>
        </is>
      </c>
      <c r="C13" s="8" t="inlineStr">
        <is>
          <t>SDWIS Drinking Water Watch (State Water Board)</t>
        </is>
      </c>
      <c r="D13" s="46" t="n">
        <v>2024</v>
      </c>
      <c r="E13" s="8" t="inlineStr">
        <is>
          <t>high</t>
        </is>
      </c>
      <c r="F13" s="23" t="inlineStr">
        <is>
          <t>PAINTED CAVE: Treatment Plant Class = not stated;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44" t="n"/>
      <c r="D16" s="44" t="n"/>
      <c r="E16" s="44" t="n"/>
      <c r="F16" s="44" t="n"/>
    </row>
    <row r="17" ht="30" customHeight="1">
      <c r="A17" s="8" t="inlineStr">
        <is>
          <t>Customer classes served</t>
        </is>
      </c>
      <c r="B17" s="22" t="inlineStr">
        <is>
          <t>not reported - needs the State Water Board eAR or the system CCR</t>
        </is>
      </c>
      <c r="C17" s="44" t="n"/>
      <c r="D17" s="44" t="n"/>
      <c r="E17" s="44" t="n"/>
      <c r="F17" s="44"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5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Painted Cave Mutual Water Company</t>
        </is>
      </c>
    </row>
    <row r="2">
      <c r="A2" s="2" t="inlineStr">
        <is>
          <t>Sources &amp; audit - full provenance and tie-outs (kept off the statements so they read clean)</t>
        </is>
      </c>
    </row>
    <row r="3">
      <c r="A3" s="2" t="inlineStr">
        <is>
          <t>Entity ID: cawc_0022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6" t="inlineStr">
        <is>
          <t>FY2021</t>
        </is>
      </c>
      <c r="B10" s="8" t="inlineStr">
        <is>
          <t>2021-03-31</t>
        </is>
      </c>
      <c r="C10" s="8" t="inlineStr">
        <is>
          <t>990</t>
        </is>
      </c>
      <c r="D10" s="8" t="inlineStr">
        <is>
          <t>high</t>
        </is>
      </c>
      <c r="E10" s="8" t="inlineStr">
        <is>
          <t>122fa633-2aab-485b-8f32-538f3a84b440</t>
        </is>
      </c>
      <c r="F10" s="8" t="inlineStr">
        <is>
          <t>202103099349302695</t>
        </is>
      </c>
      <c r="G10" s="8" t="inlineStr">
        <is>
          <t>claude-opus-5</t>
        </is>
      </c>
      <c r="H10" s="8" t="inlineStr">
        <is>
          <t>2026-09-16T21:34:13+00:00</t>
        </is>
      </c>
      <c r="I10" s="8" t="inlineStr">
        <is>
          <t>https://apps.irs.gov/pub/epostcard/990/xml/2021/2021_TEOS_XML_01A.zip#202103099349302695_public.xml</t>
        </is>
      </c>
    </row>
    <row r="11">
      <c r="A11" s="46" t="inlineStr">
        <is>
          <t>FY2022</t>
        </is>
      </c>
      <c r="B11" s="8" t="inlineStr">
        <is>
          <t>2022-03-31</t>
        </is>
      </c>
      <c r="C11" s="8" t="inlineStr">
        <is>
          <t>990</t>
        </is>
      </c>
      <c r="D11" s="8" t="inlineStr">
        <is>
          <t>high</t>
        </is>
      </c>
      <c r="E11" s="8" t="inlineStr">
        <is>
          <t>6d9285d8-c03b-40ee-86bd-af2529e359af</t>
        </is>
      </c>
      <c r="F11" s="8" t="inlineStr">
        <is>
          <t>202201959349300240</t>
        </is>
      </c>
      <c r="G11" s="8" t="inlineStr">
        <is>
          <t>claude-opus-5</t>
        </is>
      </c>
      <c r="H11" s="8" t="inlineStr">
        <is>
          <t>2026-09-16T21:34:13+00:00</t>
        </is>
      </c>
      <c r="I11" s="8" t="inlineStr">
        <is>
          <t>https://apps.irs.gov/pub/epostcard/990/xml/2022/2022_TEOS_XML_01A.zip#202201959349300240_public.xml</t>
        </is>
      </c>
    </row>
    <row r="12">
      <c r="A12" s="46" t="inlineStr">
        <is>
          <t>FY2023</t>
        </is>
      </c>
      <c r="B12" s="8" t="inlineStr">
        <is>
          <t>2023-03-31</t>
        </is>
      </c>
      <c r="C12" s="8" t="inlineStr">
        <is>
          <t>990</t>
        </is>
      </c>
      <c r="D12" s="8" t="inlineStr">
        <is>
          <t>high</t>
        </is>
      </c>
      <c r="E12" s="8" t="inlineStr">
        <is>
          <t>259206ac-b3a5-4faa-90a6-e64246fd9c92</t>
        </is>
      </c>
      <c r="F12" s="8" t="inlineStr">
        <is>
          <t>202332719349301558</t>
        </is>
      </c>
      <c r="G12" s="8" t="inlineStr">
        <is>
          <t>claude-opus-5</t>
        </is>
      </c>
      <c r="H12" s="8" t="inlineStr">
        <is>
          <t>2026-09-16T21:34:13+00:00</t>
        </is>
      </c>
      <c r="I12" s="8" t="inlineStr">
        <is>
          <t>https://apps.irs.gov/pub/epostcard/990/xml/2023/2023_TEOS_XML_10A.zip#202332719349301558_public.xml</t>
        </is>
      </c>
    </row>
    <row r="13">
      <c r="A13" s="46" t="inlineStr">
        <is>
          <t>FY2024</t>
        </is>
      </c>
      <c r="B13" s="8" t="inlineStr">
        <is>
          <t>2024-03-31</t>
        </is>
      </c>
      <c r="C13" s="8" t="inlineStr">
        <is>
          <t>990</t>
        </is>
      </c>
      <c r="D13" s="8" t="inlineStr">
        <is>
          <t>high</t>
        </is>
      </c>
      <c r="E13" s="8" t="inlineStr">
        <is>
          <t>6e19394a-5c60-4427-86ca-a0686116f043</t>
        </is>
      </c>
      <c r="F13" s="8" t="inlineStr">
        <is>
          <t>202402539349300820</t>
        </is>
      </c>
      <c r="G13" s="8" t="inlineStr">
        <is>
          <t>claude-opus-5</t>
        </is>
      </c>
      <c r="H13" s="8" t="inlineStr">
        <is>
          <t>2026-09-16T21:34:13+00:00</t>
        </is>
      </c>
      <c r="I13" s="8" t="inlineStr">
        <is>
          <t>https://apps.irs.gov/pub/epostcard/990/xml/2024/2024_TEOS_XML_09A.zip#202402539349300820_public.xml</t>
        </is>
      </c>
    </row>
    <row r="14">
      <c r="A14" s="46" t="inlineStr">
        <is>
          <t>FY2025</t>
        </is>
      </c>
      <c r="B14" s="8" t="inlineStr">
        <is>
          <t>2025-03-31</t>
        </is>
      </c>
      <c r="C14" s="8" t="inlineStr">
        <is>
          <t>990</t>
        </is>
      </c>
      <c r="D14" s="8" t="inlineStr">
        <is>
          <t>high</t>
        </is>
      </c>
      <c r="E14" s="8" t="inlineStr">
        <is>
          <t>67107be3-de5c-4c8b-bde3-796209cff693</t>
        </is>
      </c>
      <c r="F14" s="8" t="inlineStr">
        <is>
          <t>202512309349301406</t>
        </is>
      </c>
      <c r="G14" s="8" t="inlineStr">
        <is>
          <t>claude-opus-5</t>
        </is>
      </c>
      <c r="H14" s="8" t="inlineStr">
        <is>
          <t>2026-09-16T21:34:13+00:00</t>
        </is>
      </c>
      <c r="I14" s="8" t="inlineStr">
        <is>
          <t>https://apps.irs.gov/pub/epostcard/990/xml/2025/2025_TEOS_XML_08A.zip#202512309349301406_public.xml</t>
        </is>
      </c>
    </row>
    <row r="16">
      <c r="A16" s="4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4000</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F7</t>
        </is>
      </c>
      <c r="C22" s="8" t="inlineStr">
        <is>
          <t>1h. Total contributions, gifts, grants</t>
        </is>
      </c>
      <c r="D22" s="8" t="inlineStr">
        <is>
          <t>1h</t>
        </is>
      </c>
      <c r="E22" s="8" t="inlineStr">
        <is>
          <t>part_viii_revenue.total_contributions</t>
        </is>
      </c>
      <c r="F22" s="8" t="inlineStr">
        <is>
          <t>high</t>
        </is>
      </c>
      <c r="G22" s="9" t="n">
        <v>300</v>
      </c>
    </row>
    <row r="23">
      <c r="A23" s="8" t="inlineStr">
        <is>
          <t>Revenue (detail)</t>
        </is>
      </c>
      <c r="B23" s="8" t="inlineStr">
        <is>
          <t>B8</t>
        </is>
      </c>
      <c r="C23" s="8" t="inlineStr">
        <is>
          <t>2g. Total program service revenue</t>
        </is>
      </c>
      <c r="D23" s="8" t="inlineStr">
        <is>
          <t>2g</t>
        </is>
      </c>
      <c r="E23" s="8" t="inlineStr">
        <is>
          <t>part_viii_revenue.total_program_service_revenue</t>
        </is>
      </c>
      <c r="F23" s="8" t="inlineStr">
        <is>
          <t>high</t>
        </is>
      </c>
      <c r="G23" s="9" t="n">
        <v>19665</v>
      </c>
    </row>
    <row r="24">
      <c r="A24" s="8" t="inlineStr">
        <is>
          <t>Revenue (detail)</t>
        </is>
      </c>
      <c r="B24" s="8" t="inlineStr">
        <is>
          <t>C8</t>
        </is>
      </c>
      <c r="C24" s="8" t="inlineStr">
        <is>
          <t>2g. Total program service revenue</t>
        </is>
      </c>
      <c r="D24" s="8" t="inlineStr">
        <is>
          <t>2g</t>
        </is>
      </c>
      <c r="E24" s="8" t="inlineStr">
        <is>
          <t>part_viii_revenue.total_program_service_revenue</t>
        </is>
      </c>
      <c r="F24" s="8" t="inlineStr">
        <is>
          <t>high</t>
        </is>
      </c>
      <c r="G24" s="9" t="n">
        <v>29721</v>
      </c>
    </row>
    <row r="25">
      <c r="A25" s="8" t="inlineStr">
        <is>
          <t>Revenue (detail)</t>
        </is>
      </c>
      <c r="B25" s="8" t="inlineStr">
        <is>
          <t>D8</t>
        </is>
      </c>
      <c r="C25" s="8" t="inlineStr">
        <is>
          <t>2g. Total program service revenue</t>
        </is>
      </c>
      <c r="D25" s="8" t="inlineStr">
        <is>
          <t>2g</t>
        </is>
      </c>
      <c r="E25" s="8" t="inlineStr">
        <is>
          <t>part_viii_revenue.total_program_service_revenue</t>
        </is>
      </c>
      <c r="F25" s="8" t="inlineStr">
        <is>
          <t>high</t>
        </is>
      </c>
      <c r="G25" s="9" t="n">
        <v>36539</v>
      </c>
    </row>
    <row r="26">
      <c r="A26" s="8" t="inlineStr">
        <is>
          <t>Revenue (detail)</t>
        </is>
      </c>
      <c r="B26" s="8" t="inlineStr">
        <is>
          <t>E8</t>
        </is>
      </c>
      <c r="C26" s="8" t="inlineStr">
        <is>
          <t>2g. Total program service revenue</t>
        </is>
      </c>
      <c r="D26" s="8" t="inlineStr">
        <is>
          <t>2g</t>
        </is>
      </c>
      <c r="E26" s="8" t="inlineStr">
        <is>
          <t>part_viii_revenue.total_program_service_revenue</t>
        </is>
      </c>
      <c r="F26" s="8" t="inlineStr">
        <is>
          <t>high</t>
        </is>
      </c>
      <c r="G26" s="9" t="n">
        <v>35270</v>
      </c>
    </row>
    <row r="27">
      <c r="A27" s="8" t="inlineStr">
        <is>
          <t>Revenue (detail)</t>
        </is>
      </c>
      <c r="B27" s="8" t="inlineStr">
        <is>
          <t>F8</t>
        </is>
      </c>
      <c r="C27" s="8" t="inlineStr">
        <is>
          <t>2g. Total program service revenue</t>
        </is>
      </c>
      <c r="D27" s="8" t="inlineStr">
        <is>
          <t>2g</t>
        </is>
      </c>
      <c r="E27" s="8" t="inlineStr">
        <is>
          <t>part_viii_revenue.total_program_service_revenue</t>
        </is>
      </c>
      <c r="F27" s="8" t="inlineStr">
        <is>
          <t>high</t>
        </is>
      </c>
      <c r="G27" s="9" t="n">
        <v>41793</v>
      </c>
    </row>
    <row r="28">
      <c r="A28" s="8" t="inlineStr">
        <is>
          <t>Revenue (detail)</t>
        </is>
      </c>
      <c r="B28" s="8" t="inlineStr">
        <is>
          <t>B9</t>
        </is>
      </c>
      <c r="C28" s="8" t="inlineStr">
        <is>
          <t>3. Investment income</t>
        </is>
      </c>
      <c r="D28" s="8" t="inlineStr">
        <is>
          <t>3</t>
        </is>
      </c>
      <c r="E28" s="8" t="inlineStr">
        <is>
          <t>part_viii_revenue.investment_income</t>
        </is>
      </c>
      <c r="F28" s="8" t="inlineStr">
        <is>
          <t>high</t>
        </is>
      </c>
      <c r="G28" s="9" t="n">
        <v>4</v>
      </c>
    </row>
    <row r="29">
      <c r="A29" s="8" t="inlineStr">
        <is>
          <t>Revenue (detail)</t>
        </is>
      </c>
      <c r="B29" s="8" t="inlineStr">
        <is>
          <t>C9</t>
        </is>
      </c>
      <c r="C29" s="8" t="inlineStr">
        <is>
          <t>3. Investment income</t>
        </is>
      </c>
      <c r="D29" s="8" t="inlineStr">
        <is>
          <t>3</t>
        </is>
      </c>
      <c r="E29" s="8" t="inlineStr">
        <is>
          <t>part_viii_revenue.investment_income</t>
        </is>
      </c>
      <c r="F29" s="8" t="inlineStr">
        <is>
          <t>high</t>
        </is>
      </c>
      <c r="G29" s="9" t="n">
        <v>6</v>
      </c>
    </row>
    <row r="30">
      <c r="A30" s="8" t="inlineStr">
        <is>
          <t>Revenue (detail)</t>
        </is>
      </c>
      <c r="B30" s="8" t="inlineStr">
        <is>
          <t>D9</t>
        </is>
      </c>
      <c r="C30" s="8" t="inlineStr">
        <is>
          <t>3. Investment income</t>
        </is>
      </c>
      <c r="D30" s="8" t="inlineStr">
        <is>
          <t>3</t>
        </is>
      </c>
      <c r="E30" s="8" t="inlineStr">
        <is>
          <t>part_viii_revenue.investment_income</t>
        </is>
      </c>
      <c r="F30" s="8" t="inlineStr">
        <is>
          <t>high</t>
        </is>
      </c>
      <c r="G30" s="9" t="n">
        <v>62</v>
      </c>
    </row>
    <row r="31">
      <c r="A31" s="8" t="inlineStr">
        <is>
          <t>Revenue (detail)</t>
        </is>
      </c>
      <c r="B31" s="8" t="inlineStr">
        <is>
          <t>E9</t>
        </is>
      </c>
      <c r="C31" s="8" t="inlineStr">
        <is>
          <t>3. Investment income</t>
        </is>
      </c>
      <c r="D31" s="8" t="inlineStr">
        <is>
          <t>3</t>
        </is>
      </c>
      <c r="E31" s="8" t="inlineStr">
        <is>
          <t>part_viii_revenue.investment_income</t>
        </is>
      </c>
      <c r="F31" s="8" t="inlineStr">
        <is>
          <t>high</t>
        </is>
      </c>
      <c r="G31" s="9" t="n">
        <v>952</v>
      </c>
    </row>
    <row r="32">
      <c r="A32" s="8" t="inlineStr">
        <is>
          <t>Revenue (detail)</t>
        </is>
      </c>
      <c r="B32" s="8" t="inlineStr">
        <is>
          <t>F9</t>
        </is>
      </c>
      <c r="C32" s="8" t="inlineStr">
        <is>
          <t>3. Investment income</t>
        </is>
      </c>
      <c r="D32" s="8" t="inlineStr">
        <is>
          <t>3</t>
        </is>
      </c>
      <c r="E32" s="8" t="inlineStr">
        <is>
          <t>part_viii_revenue.investment_income</t>
        </is>
      </c>
      <c r="F32" s="8" t="inlineStr">
        <is>
          <t>high</t>
        </is>
      </c>
      <c r="G32" s="9" t="n">
        <v>809</v>
      </c>
    </row>
    <row r="33">
      <c r="A33" s="8" t="inlineStr">
        <is>
          <t>Revenue (detail)</t>
        </is>
      </c>
      <c r="B33" s="8" t="inlineStr">
        <is>
          <t>B10</t>
        </is>
      </c>
      <c r="C33" s="8" t="inlineStr">
        <is>
          <t>6d. Net rental income</t>
        </is>
      </c>
      <c r="D33" s="8" t="inlineStr">
        <is>
          <t>6d</t>
        </is>
      </c>
      <c r="E33" s="8" t="inlineStr">
        <is>
          <t>part_viii_revenue.net_rental_income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D11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E11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F11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B12</t>
        </is>
      </c>
      <c r="C43" s="8" t="inlineStr">
        <is>
          <t>11e. Other revenue</t>
        </is>
      </c>
      <c r="D43" s="8" t="inlineStr">
        <is>
          <t>11e</t>
        </is>
      </c>
      <c r="E43" s="8" t="inlineStr">
        <is>
          <t>part_viii_revenue.other_revenue_total</t>
        </is>
      </c>
      <c r="F43" s="8" t="inlineStr">
        <is>
          <t>high</t>
        </is>
      </c>
      <c r="G43" s="9" t="n">
        <v>0</v>
      </c>
    </row>
    <row r="44">
      <c r="A44" s="8" t="inlineStr">
        <is>
          <t>Revenue (detail)</t>
        </is>
      </c>
      <c r="B44" s="8" t="inlineStr">
        <is>
          <t>C12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D12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E12</t>
        </is>
      </c>
      <c r="C46" s="8" t="inlineStr">
        <is>
          <t>11e. Other revenue</t>
        </is>
      </c>
      <c r="D46" s="8" t="inlineStr">
        <is>
          <t>11e</t>
        </is>
      </c>
      <c r="E46" s="8" t="inlineStr">
        <is>
          <t>part_viii_revenue.other_revenue_total</t>
        </is>
      </c>
      <c r="F46" s="8" t="inlineStr">
        <is>
          <t>high</t>
        </is>
      </c>
      <c r="G46" s="9" t="n">
        <v>350</v>
      </c>
    </row>
    <row r="47">
      <c r="A47" s="8" t="inlineStr">
        <is>
          <t>Revenue (detail)</t>
        </is>
      </c>
      <c r="B47" s="8" t="inlineStr">
        <is>
          <t>F12</t>
        </is>
      </c>
      <c r="C47" s="8" t="inlineStr">
        <is>
          <t>11e. Other revenue</t>
        </is>
      </c>
      <c r="D47" s="8" t="inlineStr">
        <is>
          <t>11e</t>
        </is>
      </c>
      <c r="E47" s="8" t="inlineStr">
        <is>
          <t>part_viii_revenue.other_revenue_total</t>
        </is>
      </c>
      <c r="F47" s="8" t="inlineStr">
        <is>
          <t>high</t>
        </is>
      </c>
      <c r="G47" s="9" t="n">
        <v>1250</v>
      </c>
    </row>
    <row r="48">
      <c r="A48" s="8" t="inlineStr">
        <is>
          <t>Operating expenses (detail)</t>
        </is>
      </c>
      <c r="B48" s="8" t="inlineStr">
        <is>
          <t>B7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C7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D7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E7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F7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B8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D8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E8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F8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B9</t>
        </is>
      </c>
      <c r="C58" s="8" t="inlineStr">
        <is>
          <t>3. Grants to foreign organizations and individuals</t>
        </is>
      </c>
      <c r="D58" s="8" t="inlineStr">
        <is>
          <t>3</t>
        </is>
      </c>
      <c r="E58" s="8" t="inlineStr">
        <is>
          <t>part_ix_expenses.foreign_grants</t>
        </is>
      </c>
      <c r="F58" s="8" t="inlineStr">
        <is>
          <t>high</t>
        </is>
      </c>
      <c r="G58" s="9" t="n">
        <v>0</v>
      </c>
    </row>
    <row r="59">
      <c r="A59" s="8" t="inlineStr">
        <is>
          <t>Operating expenses (detail)</t>
        </is>
      </c>
      <c r="B59" s="8" t="inlineStr">
        <is>
          <t>C9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D9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E9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F9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B10</t>
        </is>
      </c>
      <c r="C63" s="8" t="inlineStr">
        <is>
          <t>4. Benefits paid to or for members</t>
        </is>
      </c>
      <c r="D63" s="8" t="inlineStr">
        <is>
          <t>4</t>
        </is>
      </c>
      <c r="E63" s="8" t="inlineStr">
        <is>
          <t>part_ix_expenses.benefits_to_members</t>
        </is>
      </c>
      <c r="F63" s="8" t="inlineStr">
        <is>
          <t>high</t>
        </is>
      </c>
      <c r="G63" s="9" t="n">
        <v>0</v>
      </c>
    </row>
    <row r="64">
      <c r="A64" s="8" t="inlineStr">
        <is>
          <t>Operating expenses (detail)</t>
        </is>
      </c>
      <c r="B64" s="8" t="inlineStr">
        <is>
          <t>C10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D10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E10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F10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B11</t>
        </is>
      </c>
      <c r="C68" s="8" t="inlineStr">
        <is>
          <t>5. Compensation of current officers, directors, trustees</t>
        </is>
      </c>
      <c r="D68" s="8" t="inlineStr">
        <is>
          <t>5</t>
        </is>
      </c>
      <c r="E68" s="8" t="inlineStr">
        <is>
          <t>part_ix_expenses.comp_current_officers</t>
        </is>
      </c>
      <c r="F68" s="8" t="inlineStr">
        <is>
          <t>high</t>
        </is>
      </c>
      <c r="G68" s="9" t="n">
        <v>0</v>
      </c>
    </row>
    <row r="69">
      <c r="A69" s="8" t="inlineStr">
        <is>
          <t>Operating expenses (detail)</t>
        </is>
      </c>
      <c r="B69" s="8" t="inlineStr">
        <is>
          <t>C11</t>
        </is>
      </c>
      <c r="C69" s="8" t="inlineStr">
        <is>
          <t>5. Compensation of current officers, directors, trustees</t>
        </is>
      </c>
      <c r="D69" s="8" t="inlineStr">
        <is>
          <t>5</t>
        </is>
      </c>
      <c r="E69" s="8" t="inlineStr">
        <is>
          <t>part_ix_expenses.comp_current_officers</t>
        </is>
      </c>
      <c r="F69" s="8" t="inlineStr">
        <is>
          <t>high</t>
        </is>
      </c>
      <c r="G69" s="9" t="n">
        <v>0</v>
      </c>
    </row>
    <row r="70">
      <c r="A70" s="8" t="inlineStr">
        <is>
          <t>Operating expenses (detail)</t>
        </is>
      </c>
      <c r="B70" s="8" t="inlineStr">
        <is>
          <t>D11</t>
        </is>
      </c>
      <c r="C70" s="8" t="inlineStr">
        <is>
          <t>5. Compensation of current officers, directors, trustees</t>
        </is>
      </c>
      <c r="D70" s="8" t="inlineStr">
        <is>
          <t>5</t>
        </is>
      </c>
      <c r="E70" s="8" t="inlineStr">
        <is>
          <t>part_ix_expenses.comp_current_officers</t>
        </is>
      </c>
      <c r="F70" s="8" t="inlineStr">
        <is>
          <t>high</t>
        </is>
      </c>
      <c r="G70" s="9" t="n">
        <v>0</v>
      </c>
    </row>
    <row r="71">
      <c r="A71" s="8" t="inlineStr">
        <is>
          <t>Operating expenses (detail)</t>
        </is>
      </c>
      <c r="B71" s="8" t="inlineStr">
        <is>
          <t>E11</t>
        </is>
      </c>
      <c r="C71" s="8" t="inlineStr">
        <is>
          <t>5. Compensation of current officers, directors, trustees</t>
        </is>
      </c>
      <c r="D71" s="8" t="inlineStr">
        <is>
          <t>5</t>
        </is>
      </c>
      <c r="E71" s="8" t="inlineStr">
        <is>
          <t>part_ix_expenses.comp_current_officers</t>
        </is>
      </c>
      <c r="F71" s="8" t="inlineStr">
        <is>
          <t>high</t>
        </is>
      </c>
      <c r="G71" s="9" t="n">
        <v>0</v>
      </c>
    </row>
    <row r="72">
      <c r="A72" s="8" t="inlineStr">
        <is>
          <t>Operating expenses (detail)</t>
        </is>
      </c>
      <c r="B72" s="8" t="inlineStr">
        <is>
          <t>F11</t>
        </is>
      </c>
      <c r="C72" s="8" t="inlineStr">
        <is>
          <t>5. Compensation of current officers, directors, trustees</t>
        </is>
      </c>
      <c r="D72" s="8" t="inlineStr">
        <is>
          <t>5</t>
        </is>
      </c>
      <c r="E72" s="8" t="inlineStr">
        <is>
          <t>part_ix_expenses.comp_current_officers</t>
        </is>
      </c>
      <c r="F72" s="8" t="inlineStr">
        <is>
          <t>high</t>
        </is>
      </c>
      <c r="G72" s="9" t="n">
        <v>0</v>
      </c>
    </row>
    <row r="73">
      <c r="A73" s="8" t="inlineStr">
        <is>
          <t>Operating expenses (detail)</t>
        </is>
      </c>
      <c r="B73" s="8" t="inlineStr">
        <is>
          <t>B12</t>
        </is>
      </c>
      <c r="C73" s="8" t="inlineStr">
        <is>
          <t>6. Compensation to disqualified persons</t>
        </is>
      </c>
      <c r="D73" s="8" t="inlineStr">
        <is>
          <t>6</t>
        </is>
      </c>
      <c r="E73" s="8" t="inlineStr">
        <is>
          <t>part_ix_expenses.comp_disqualified_persons</t>
        </is>
      </c>
      <c r="F73" s="8" t="inlineStr">
        <is>
          <t>high</t>
        </is>
      </c>
      <c r="G73" s="9" t="n">
        <v>0</v>
      </c>
    </row>
    <row r="74">
      <c r="A74" s="8" t="inlineStr">
        <is>
          <t>Operating expenses (detail)</t>
        </is>
      </c>
      <c r="B74" s="8" t="inlineStr">
        <is>
          <t>C12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D12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E12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F12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B13</t>
        </is>
      </c>
      <c r="C78" s="8" t="inlineStr">
        <is>
          <t>7. Other salaries and wages</t>
        </is>
      </c>
      <c r="D78" s="8" t="inlineStr">
        <is>
          <t>7</t>
        </is>
      </c>
      <c r="E78" s="8" t="inlineStr">
        <is>
          <t>part_ix_expenses.other_salaries_and_wages</t>
        </is>
      </c>
      <c r="F78" s="8" t="inlineStr">
        <is>
          <t>high</t>
        </is>
      </c>
      <c r="G78" s="9" t="n">
        <v>0</v>
      </c>
    </row>
    <row r="79">
      <c r="A79" s="8" t="inlineStr">
        <is>
          <t>Operating expenses (detail)</t>
        </is>
      </c>
      <c r="B79" s="8" t="inlineStr">
        <is>
          <t>C13</t>
        </is>
      </c>
      <c r="C79" s="8" t="inlineStr">
        <is>
          <t>7. Other salaries and wages</t>
        </is>
      </c>
      <c r="D79" s="8" t="inlineStr">
        <is>
          <t>7</t>
        </is>
      </c>
      <c r="E79" s="8" t="inlineStr">
        <is>
          <t>part_ix_expenses.other_salaries_and_wages</t>
        </is>
      </c>
      <c r="F79" s="8" t="inlineStr">
        <is>
          <t>high</t>
        </is>
      </c>
      <c r="G79" s="9" t="n">
        <v>0</v>
      </c>
    </row>
    <row r="80">
      <c r="A80" s="8" t="inlineStr">
        <is>
          <t>Operating expenses (detail)</t>
        </is>
      </c>
      <c r="B80" s="8" t="inlineStr">
        <is>
          <t>D13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E13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F13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B14</t>
        </is>
      </c>
      <c r="C83" s="8" t="inlineStr">
        <is>
          <t>8. Pension plan accruals and contributions</t>
        </is>
      </c>
      <c r="D83" s="8" t="inlineStr">
        <is>
          <t>8</t>
        </is>
      </c>
      <c r="E83" s="8" t="inlineStr">
        <is>
          <t>part_ix_expenses.pension_plan_contributions</t>
        </is>
      </c>
      <c r="F83" s="8" t="inlineStr">
        <is>
          <t>high</t>
        </is>
      </c>
      <c r="G83" s="9" t="n">
        <v>0</v>
      </c>
    </row>
    <row r="84">
      <c r="A84" s="8" t="inlineStr">
        <is>
          <t>Operating expenses (detail)</t>
        </is>
      </c>
      <c r="B84" s="8" t="inlineStr">
        <is>
          <t>C14</t>
        </is>
      </c>
      <c r="C84" s="8" t="inlineStr">
        <is>
          <t>8. Pension plan accruals and contributions</t>
        </is>
      </c>
      <c r="D84" s="8" t="inlineStr">
        <is>
          <t>8</t>
        </is>
      </c>
      <c r="E84" s="8" t="inlineStr">
        <is>
          <t>part_ix_expenses.pension_plan_contributions</t>
        </is>
      </c>
      <c r="F84" s="8" t="inlineStr">
        <is>
          <t>high</t>
        </is>
      </c>
      <c r="G84" s="9" t="n">
        <v>0</v>
      </c>
    </row>
    <row r="85">
      <c r="A85" s="8" t="inlineStr">
        <is>
          <t>Operating expenses (detail)</t>
        </is>
      </c>
      <c r="B85" s="8" t="inlineStr">
        <is>
          <t>D14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E14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F14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B15</t>
        </is>
      </c>
      <c r="C88" s="8" t="inlineStr">
        <is>
          <t>9. Other employee benefits</t>
        </is>
      </c>
      <c r="D88" s="8" t="inlineStr">
        <is>
          <t>9</t>
        </is>
      </c>
      <c r="E88" s="8" t="inlineStr">
        <is>
          <t>part_ix_expenses.other_employee_benefits</t>
        </is>
      </c>
      <c r="F88" s="8" t="inlineStr">
        <is>
          <t>high</t>
        </is>
      </c>
      <c r="G88" s="9" t="n">
        <v>0</v>
      </c>
    </row>
    <row r="89">
      <c r="A89" s="8" t="inlineStr">
        <is>
          <t>Operating expenses (detail)</t>
        </is>
      </c>
      <c r="B89" s="8" t="inlineStr">
        <is>
          <t>C15</t>
        </is>
      </c>
      <c r="C89" s="8" t="inlineStr">
        <is>
          <t>9. Other employee benefits</t>
        </is>
      </c>
      <c r="D89" s="8" t="inlineStr">
        <is>
          <t>9</t>
        </is>
      </c>
      <c r="E89" s="8" t="inlineStr">
        <is>
          <t>part_ix_expenses.other_employee_benefits</t>
        </is>
      </c>
      <c r="F89" s="8" t="inlineStr">
        <is>
          <t>high</t>
        </is>
      </c>
      <c r="G89" s="9" t="n">
        <v>0</v>
      </c>
    </row>
    <row r="90">
      <c r="A90" s="8" t="inlineStr">
        <is>
          <t>Operating expenses (detail)</t>
        </is>
      </c>
      <c r="B90" s="8" t="inlineStr">
        <is>
          <t>D15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E15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F15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B16</t>
        </is>
      </c>
      <c r="C93" s="8" t="inlineStr">
        <is>
          <t>10. Payroll taxes</t>
        </is>
      </c>
      <c r="D93" s="8" t="inlineStr">
        <is>
          <t>10</t>
        </is>
      </c>
      <c r="E93" s="8" t="inlineStr">
        <is>
          <t>part_ix_expenses.payroll_taxes</t>
        </is>
      </c>
      <c r="F93" s="8" t="inlineStr">
        <is>
          <t>high</t>
        </is>
      </c>
      <c r="G93" s="9" t="n">
        <v>0</v>
      </c>
    </row>
    <row r="94">
      <c r="A94" s="8" t="inlineStr">
        <is>
          <t>Operating expenses (detail)</t>
        </is>
      </c>
      <c r="B94" s="8" t="inlineStr">
        <is>
          <t>C16</t>
        </is>
      </c>
      <c r="C94" s="8" t="inlineStr">
        <is>
          <t>10. Payroll taxes</t>
        </is>
      </c>
      <c r="D94" s="8" t="inlineStr">
        <is>
          <t>10</t>
        </is>
      </c>
      <c r="E94" s="8" t="inlineStr">
        <is>
          <t>part_ix_expenses.payroll_taxes</t>
        </is>
      </c>
      <c r="F94" s="8" t="inlineStr">
        <is>
          <t>high</t>
        </is>
      </c>
      <c r="G94" s="9" t="n">
        <v>0</v>
      </c>
    </row>
    <row r="95">
      <c r="A95" s="8" t="inlineStr">
        <is>
          <t>Operating expenses (detail)</t>
        </is>
      </c>
      <c r="B95" s="8" t="inlineStr">
        <is>
          <t>D16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E16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F16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B17</t>
        </is>
      </c>
      <c r="C98" s="8" t="inlineStr">
        <is>
          <t>11a. Fees for services: management</t>
        </is>
      </c>
      <c r="D98" s="8" t="inlineStr">
        <is>
          <t>11a</t>
        </is>
      </c>
      <c r="E98" s="8" t="inlineStr">
        <is>
          <t>part_ix_expenses.fees_management</t>
        </is>
      </c>
      <c r="F98" s="8" t="inlineStr">
        <is>
          <t>high</t>
        </is>
      </c>
      <c r="G98" s="9" t="n">
        <v>0</v>
      </c>
    </row>
    <row r="99">
      <c r="A99" s="8" t="inlineStr">
        <is>
          <t>Operating expenses (detail)</t>
        </is>
      </c>
      <c r="B99" s="8" t="inlineStr">
        <is>
          <t>C17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D17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E17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F17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B18</t>
        </is>
      </c>
      <c r="C103" s="8" t="inlineStr">
        <is>
          <t>11b. Fees for services: legal</t>
        </is>
      </c>
      <c r="D103" s="8" t="inlineStr">
        <is>
          <t>11b</t>
        </is>
      </c>
      <c r="E103" s="8" t="inlineStr">
        <is>
          <t>part_ix_expenses.fees_legal</t>
        </is>
      </c>
      <c r="F103" s="8" t="inlineStr">
        <is>
          <t>high</t>
        </is>
      </c>
      <c r="G103" s="9" t="n">
        <v>0</v>
      </c>
    </row>
    <row r="104">
      <c r="A104" s="8" t="inlineStr">
        <is>
          <t>Operating expenses (detail)</t>
        </is>
      </c>
      <c r="B104" s="8" t="inlineStr">
        <is>
          <t>C18</t>
        </is>
      </c>
      <c r="C104" s="8" t="inlineStr">
        <is>
          <t>11b. Fees for services: legal</t>
        </is>
      </c>
      <c r="D104" s="8" t="inlineStr">
        <is>
          <t>11b</t>
        </is>
      </c>
      <c r="E104" s="8" t="inlineStr">
        <is>
          <t>part_ix_expenses.fees_legal</t>
        </is>
      </c>
      <c r="F104" s="8" t="inlineStr">
        <is>
          <t>high</t>
        </is>
      </c>
      <c r="G104" s="9" t="n">
        <v>0</v>
      </c>
    </row>
    <row r="105">
      <c r="A105" s="8" t="inlineStr">
        <is>
          <t>Operating expenses (detail)</t>
        </is>
      </c>
      <c r="B105" s="8" t="inlineStr">
        <is>
          <t>D18</t>
        </is>
      </c>
      <c r="C105" s="8" t="inlineStr">
        <is>
          <t>11b. Fees for services: legal</t>
        </is>
      </c>
      <c r="D105" s="8" t="inlineStr">
        <is>
          <t>11b</t>
        </is>
      </c>
      <c r="E105" s="8" t="inlineStr">
        <is>
          <t>part_ix_expenses.fees_legal</t>
        </is>
      </c>
      <c r="F105" s="8" t="inlineStr">
        <is>
          <t>high</t>
        </is>
      </c>
      <c r="G105" s="9" t="n">
        <v>2829</v>
      </c>
    </row>
    <row r="106">
      <c r="A106" s="8" t="inlineStr">
        <is>
          <t>Operating expenses (detail)</t>
        </is>
      </c>
      <c r="B106" s="8" t="inlineStr">
        <is>
          <t>E18</t>
        </is>
      </c>
      <c r="C106" s="8" t="inlineStr">
        <is>
          <t>11b. Fees for services: legal</t>
        </is>
      </c>
      <c r="D106" s="8" t="inlineStr">
        <is>
          <t>11b</t>
        </is>
      </c>
      <c r="E106" s="8" t="inlineStr">
        <is>
          <t>part_ix_expenses.fees_legal</t>
        </is>
      </c>
      <c r="F106" s="8" t="inlineStr">
        <is>
          <t>high</t>
        </is>
      </c>
      <c r="G106" s="9" t="n">
        <v>1225</v>
      </c>
    </row>
    <row r="107">
      <c r="A107" s="8" t="inlineStr">
        <is>
          <t>Operating expenses (detail)</t>
        </is>
      </c>
      <c r="B107" s="8" t="inlineStr">
        <is>
          <t>F18</t>
        </is>
      </c>
      <c r="C107" s="8" t="inlineStr">
        <is>
          <t>11b. Fees for services: legal</t>
        </is>
      </c>
      <c r="D107" s="8" t="inlineStr">
        <is>
          <t>11b</t>
        </is>
      </c>
      <c r="E107" s="8" t="inlineStr">
        <is>
          <t>part_ix_expenses.fees_legal</t>
        </is>
      </c>
      <c r="F107" s="8" t="inlineStr">
        <is>
          <t>high</t>
        </is>
      </c>
      <c r="G107" s="9" t="n">
        <v>1101</v>
      </c>
    </row>
    <row r="108">
      <c r="A108" s="8" t="inlineStr">
        <is>
          <t>Operating expenses (detail)</t>
        </is>
      </c>
      <c r="B108" s="8" t="inlineStr">
        <is>
          <t>B19</t>
        </is>
      </c>
      <c r="C108" s="8" t="inlineStr">
        <is>
          <t>11c. Fees for services: accounting</t>
        </is>
      </c>
      <c r="D108" s="8" t="inlineStr">
        <is>
          <t>11c</t>
        </is>
      </c>
      <c r="E108" s="8" t="inlineStr">
        <is>
          <t>part_ix_expenses.fees_accounting</t>
        </is>
      </c>
      <c r="F108" s="8" t="inlineStr">
        <is>
          <t>high</t>
        </is>
      </c>
      <c r="G108" s="9" t="n">
        <v>6142</v>
      </c>
    </row>
    <row r="109">
      <c r="A109" s="8" t="inlineStr">
        <is>
          <t>Operating expenses (detail)</t>
        </is>
      </c>
      <c r="B109" s="8" t="inlineStr">
        <is>
          <t>C19</t>
        </is>
      </c>
      <c r="C109" s="8" t="inlineStr">
        <is>
          <t>11c. Fees for services: accounting</t>
        </is>
      </c>
      <c r="D109" s="8" t="inlineStr">
        <is>
          <t>11c</t>
        </is>
      </c>
      <c r="E109" s="8" t="inlineStr">
        <is>
          <t>part_ix_expenses.fees_accounting</t>
        </is>
      </c>
      <c r="F109" s="8" t="inlineStr">
        <is>
          <t>high</t>
        </is>
      </c>
      <c r="G109" s="9" t="n">
        <v>7215</v>
      </c>
    </row>
    <row r="110">
      <c r="A110" s="8" t="inlineStr">
        <is>
          <t>Operating expenses (detail)</t>
        </is>
      </c>
      <c r="B110" s="8" t="inlineStr">
        <is>
          <t>D19</t>
        </is>
      </c>
      <c r="C110" s="8" t="inlineStr">
        <is>
          <t>11c. Fees for services: accounting</t>
        </is>
      </c>
      <c r="D110" s="8" t="inlineStr">
        <is>
          <t>11c</t>
        </is>
      </c>
      <c r="E110" s="8" t="inlineStr">
        <is>
          <t>part_ix_expenses.fees_accounting</t>
        </is>
      </c>
      <c r="F110" s="8" t="inlineStr">
        <is>
          <t>high</t>
        </is>
      </c>
      <c r="G110" s="9" t="n">
        <v>6935</v>
      </c>
    </row>
    <row r="111">
      <c r="A111" s="8" t="inlineStr">
        <is>
          <t>Operating expenses (detail)</t>
        </is>
      </c>
      <c r="B111" s="8" t="inlineStr">
        <is>
          <t>E19</t>
        </is>
      </c>
      <c r="C111" s="8" t="inlineStr">
        <is>
          <t>11c. Fees for services: accounting</t>
        </is>
      </c>
      <c r="D111" s="8" t="inlineStr">
        <is>
          <t>11c</t>
        </is>
      </c>
      <c r="E111" s="8" t="inlineStr">
        <is>
          <t>part_ix_expenses.fees_accounting</t>
        </is>
      </c>
      <c r="F111" s="8" t="inlineStr">
        <is>
          <t>high</t>
        </is>
      </c>
      <c r="G111" s="9" t="n">
        <v>8085</v>
      </c>
    </row>
    <row r="112">
      <c r="A112" s="8" t="inlineStr">
        <is>
          <t>Operating expenses (detail)</t>
        </is>
      </c>
      <c r="B112" s="8" t="inlineStr">
        <is>
          <t>F19</t>
        </is>
      </c>
      <c r="C112" s="8" t="inlineStr">
        <is>
          <t>11c. Fees for services: accounting</t>
        </is>
      </c>
      <c r="D112" s="8" t="inlineStr">
        <is>
          <t>11c</t>
        </is>
      </c>
      <c r="E112" s="8" t="inlineStr">
        <is>
          <t>part_ix_expenses.fees_accounting</t>
        </is>
      </c>
      <c r="F112" s="8" t="inlineStr">
        <is>
          <t>high</t>
        </is>
      </c>
      <c r="G112" s="9" t="n">
        <v>9175</v>
      </c>
    </row>
    <row r="113">
      <c r="A113" s="8" t="inlineStr">
        <is>
          <t>Operating expenses (detail)</t>
        </is>
      </c>
      <c r="B113" s="8" t="inlineStr">
        <is>
          <t>B20</t>
        </is>
      </c>
      <c r="C113" s="8" t="inlineStr">
        <is>
          <t>11d. Fees for services: lobbying</t>
        </is>
      </c>
      <c r="D113" s="8" t="inlineStr">
        <is>
          <t>11d</t>
        </is>
      </c>
      <c r="E113" s="8" t="inlineStr">
        <is>
          <t>part_ix_expenses.fees_lobbying</t>
        </is>
      </c>
      <c r="F113" s="8" t="inlineStr">
        <is>
          <t>high</t>
        </is>
      </c>
      <c r="G113" s="9" t="n">
        <v>0</v>
      </c>
    </row>
    <row r="114">
      <c r="A114" s="8" t="inlineStr">
        <is>
          <t>Operating expenses (detail)</t>
        </is>
      </c>
      <c r="B114" s="8" t="inlineStr">
        <is>
          <t>C20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D20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E20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F20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B21</t>
        </is>
      </c>
      <c r="C118" s="8" t="inlineStr">
        <is>
          <t>11e. Fees for services: professional fundraising</t>
        </is>
      </c>
      <c r="D118" s="8" t="inlineStr">
        <is>
          <t>11e</t>
        </is>
      </c>
      <c r="E118" s="8" t="inlineStr">
        <is>
          <t>part_ix_expenses.fees_prof_fundraising</t>
        </is>
      </c>
      <c r="F118" s="8" t="inlineStr">
        <is>
          <t>high</t>
        </is>
      </c>
      <c r="G118" s="9" t="n">
        <v>0</v>
      </c>
    </row>
    <row r="119">
      <c r="A119" s="8" t="inlineStr">
        <is>
          <t>Operating expenses (detail)</t>
        </is>
      </c>
      <c r="B119" s="8" t="inlineStr">
        <is>
          <t>C21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D21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E21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F21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B22</t>
        </is>
      </c>
      <c r="C123" s="8" t="inlineStr">
        <is>
          <t>11f. Fees for services: investment management</t>
        </is>
      </c>
      <c r="D123" s="8" t="inlineStr">
        <is>
          <t>11f</t>
        </is>
      </c>
      <c r="E123" s="8" t="inlineStr">
        <is>
          <t>part_ix_expenses.fees_investment_mgmt</t>
        </is>
      </c>
      <c r="F123" s="8" t="inlineStr">
        <is>
          <t>high</t>
        </is>
      </c>
      <c r="G123" s="9" t="n">
        <v>0</v>
      </c>
    </row>
    <row r="124">
      <c r="A124" s="8" t="inlineStr">
        <is>
          <t>Operating expenses (detail)</t>
        </is>
      </c>
      <c r="B124" s="8" t="inlineStr">
        <is>
          <t>C22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D22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E22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F22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B23</t>
        </is>
      </c>
      <c r="C128" s="8" t="inlineStr">
        <is>
          <t>11g. Fees for services: other</t>
        </is>
      </c>
      <c r="D128" s="8" t="inlineStr">
        <is>
          <t>11g</t>
        </is>
      </c>
      <c r="E128" s="8" t="inlineStr">
        <is>
          <t>part_ix_expenses.fees_other</t>
        </is>
      </c>
      <c r="F128" s="8" t="inlineStr">
        <is>
          <t>high</t>
        </is>
      </c>
      <c r="G128" s="9" t="n">
        <v>5259</v>
      </c>
    </row>
    <row r="129">
      <c r="A129" s="8" t="inlineStr">
        <is>
          <t>Operating expenses (detail)</t>
        </is>
      </c>
      <c r="B129" s="8" t="inlineStr">
        <is>
          <t>C23</t>
        </is>
      </c>
      <c r="C129" s="8" t="inlineStr">
        <is>
          <t>11g. Fees for services: other</t>
        </is>
      </c>
      <c r="D129" s="8" t="inlineStr">
        <is>
          <t>11g</t>
        </is>
      </c>
      <c r="E129" s="8" t="inlineStr">
        <is>
          <t>part_ix_expenses.fees_other</t>
        </is>
      </c>
      <c r="F129" s="8" t="inlineStr">
        <is>
          <t>high</t>
        </is>
      </c>
      <c r="G129" s="9" t="n">
        <v>11510</v>
      </c>
    </row>
    <row r="130">
      <c r="A130" s="8" t="inlineStr">
        <is>
          <t>Operating expenses (detail)</t>
        </is>
      </c>
      <c r="B130" s="8" t="inlineStr">
        <is>
          <t>D23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E23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F23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B24</t>
        </is>
      </c>
      <c r="C133" s="8" t="inlineStr">
        <is>
          <t>12. Advertising and promotion</t>
        </is>
      </c>
      <c r="D133" s="8" t="inlineStr">
        <is>
          <t>12</t>
        </is>
      </c>
      <c r="E133" s="8" t="inlineStr">
        <is>
          <t>part_ix_expenses.advertising</t>
        </is>
      </c>
      <c r="F133" s="8" t="inlineStr">
        <is>
          <t>high</t>
        </is>
      </c>
      <c r="G133" s="9" t="n">
        <v>0</v>
      </c>
    </row>
    <row r="134">
      <c r="A134" s="8" t="inlineStr">
        <is>
          <t>Operating expenses (detail)</t>
        </is>
      </c>
      <c r="B134" s="8" t="inlineStr">
        <is>
          <t>C24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D24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E24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F24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B25</t>
        </is>
      </c>
      <c r="C138" s="8" t="inlineStr">
        <is>
          <t>13. Office expenses</t>
        </is>
      </c>
      <c r="D138" s="8" t="inlineStr">
        <is>
          <t>13</t>
        </is>
      </c>
      <c r="E138" s="8" t="inlineStr">
        <is>
          <t>part_ix_expenses.office_expenses</t>
        </is>
      </c>
      <c r="F138" s="8" t="inlineStr">
        <is>
          <t>high</t>
        </is>
      </c>
      <c r="G138" s="9" t="n">
        <v>220</v>
      </c>
    </row>
    <row r="139">
      <c r="A139" s="8" t="inlineStr">
        <is>
          <t>Operating expenses (detail)</t>
        </is>
      </c>
      <c r="B139" s="8" t="inlineStr">
        <is>
          <t>C25</t>
        </is>
      </c>
      <c r="C139" s="8" t="inlineStr">
        <is>
          <t>13. Office expenses</t>
        </is>
      </c>
      <c r="D139" s="8" t="inlineStr">
        <is>
          <t>13</t>
        </is>
      </c>
      <c r="E139" s="8" t="inlineStr">
        <is>
          <t>part_ix_expenses.office_expenses</t>
        </is>
      </c>
      <c r="F139" s="8" t="inlineStr">
        <is>
          <t>high</t>
        </is>
      </c>
      <c r="G139" s="9" t="n">
        <v>832</v>
      </c>
    </row>
    <row r="140">
      <c r="A140" s="8" t="inlineStr">
        <is>
          <t>Operating expenses (detail)</t>
        </is>
      </c>
      <c r="B140" s="8" t="inlineStr">
        <is>
          <t>D25</t>
        </is>
      </c>
      <c r="C140" s="8" t="inlineStr">
        <is>
          <t>13. Office expenses</t>
        </is>
      </c>
      <c r="D140" s="8" t="inlineStr">
        <is>
          <t>13</t>
        </is>
      </c>
      <c r="E140" s="8" t="inlineStr">
        <is>
          <t>part_ix_expenses.office_expenses</t>
        </is>
      </c>
      <c r="F140" s="8" t="inlineStr">
        <is>
          <t>high</t>
        </is>
      </c>
      <c r="G140" s="9" t="n">
        <v>237</v>
      </c>
    </row>
    <row r="141">
      <c r="A141" s="8" t="inlineStr">
        <is>
          <t>Operating expenses (detail)</t>
        </is>
      </c>
      <c r="B141" s="8" t="inlineStr">
        <is>
          <t>E25</t>
        </is>
      </c>
      <c r="C141" s="8" t="inlineStr">
        <is>
          <t>13. Office expenses</t>
        </is>
      </c>
      <c r="D141" s="8" t="inlineStr">
        <is>
          <t>13</t>
        </is>
      </c>
      <c r="E141" s="8" t="inlineStr">
        <is>
          <t>part_ix_expenses.office_expenses</t>
        </is>
      </c>
      <c r="F141" s="8" t="inlineStr">
        <is>
          <t>high</t>
        </is>
      </c>
      <c r="G141" s="9" t="n">
        <v>0</v>
      </c>
    </row>
    <row r="142">
      <c r="A142" s="8" t="inlineStr">
        <is>
          <t>Operating expenses (detail)</t>
        </is>
      </c>
      <c r="B142" s="8" t="inlineStr">
        <is>
          <t>F25</t>
        </is>
      </c>
      <c r="C142" s="8" t="inlineStr">
        <is>
          <t>13. Office expenses</t>
        </is>
      </c>
      <c r="D142" s="8" t="inlineStr">
        <is>
          <t>13</t>
        </is>
      </c>
      <c r="E142" s="8" t="inlineStr">
        <is>
          <t>part_ix_expenses.office_expenses</t>
        </is>
      </c>
      <c r="F142" s="8" t="inlineStr">
        <is>
          <t>high</t>
        </is>
      </c>
      <c r="G142" s="9" t="n">
        <v>319</v>
      </c>
    </row>
    <row r="143">
      <c r="A143" s="8" t="inlineStr">
        <is>
          <t>Operating expenses (detail)</t>
        </is>
      </c>
      <c r="B143" s="8" t="inlineStr">
        <is>
          <t>B26</t>
        </is>
      </c>
      <c r="C143" s="8" t="inlineStr">
        <is>
          <t>14. Information technology</t>
        </is>
      </c>
      <c r="D143" s="8" t="inlineStr">
        <is>
          <t>14</t>
        </is>
      </c>
      <c r="E143" s="8" t="inlineStr">
        <is>
          <t>part_ix_expenses.information_technology</t>
        </is>
      </c>
      <c r="F143" s="8" t="inlineStr">
        <is>
          <t>high</t>
        </is>
      </c>
      <c r="G143" s="9" t="n">
        <v>0</v>
      </c>
    </row>
    <row r="144">
      <c r="A144" s="8" t="inlineStr">
        <is>
          <t>Operating expenses (detail)</t>
        </is>
      </c>
      <c r="B144" s="8" t="inlineStr">
        <is>
          <t>C26</t>
        </is>
      </c>
      <c r="C144" s="8" t="inlineStr">
        <is>
          <t>14. Information technology</t>
        </is>
      </c>
      <c r="D144" s="8" t="inlineStr">
        <is>
          <t>14</t>
        </is>
      </c>
      <c r="E144" s="8" t="inlineStr">
        <is>
          <t>part_ix_expenses.information_technology</t>
        </is>
      </c>
      <c r="F144" s="8" t="inlineStr">
        <is>
          <t>high</t>
        </is>
      </c>
      <c r="G144" s="9" t="n">
        <v>0</v>
      </c>
    </row>
    <row r="145">
      <c r="A145" s="8" t="inlineStr">
        <is>
          <t>Operating expenses (detail)</t>
        </is>
      </c>
      <c r="B145" s="8" t="inlineStr">
        <is>
          <t>D26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E26</t>
        </is>
      </c>
      <c r="C146" s="8" t="inlineStr">
        <is>
          <t>14. Information technology</t>
        </is>
      </c>
      <c r="D146" s="8" t="inlineStr">
        <is>
          <t>14</t>
        </is>
      </c>
      <c r="E146" s="8" t="inlineStr">
        <is>
          <t>part_ix_expenses.information_technology</t>
        </is>
      </c>
      <c r="F146" s="8" t="inlineStr">
        <is>
          <t>high</t>
        </is>
      </c>
      <c r="G146" s="9" t="n">
        <v>532</v>
      </c>
    </row>
    <row r="147">
      <c r="A147" s="8" t="inlineStr">
        <is>
          <t>Operating expenses (detail)</t>
        </is>
      </c>
      <c r="B147" s="8" t="inlineStr">
        <is>
          <t>F26</t>
        </is>
      </c>
      <c r="C147" s="8" t="inlineStr">
        <is>
          <t>14. Information technology</t>
        </is>
      </c>
      <c r="D147" s="8" t="inlineStr">
        <is>
          <t>14</t>
        </is>
      </c>
      <c r="E147" s="8" t="inlineStr">
        <is>
          <t>part_ix_expenses.information_technology</t>
        </is>
      </c>
      <c r="F147" s="8" t="inlineStr">
        <is>
          <t>high</t>
        </is>
      </c>
      <c r="G147" s="9" t="n">
        <v>606</v>
      </c>
    </row>
    <row r="148">
      <c r="A148" s="8" t="inlineStr">
        <is>
          <t>Operating expenses (detail)</t>
        </is>
      </c>
      <c r="B148" s="8" t="inlineStr">
        <is>
          <t>B27</t>
        </is>
      </c>
      <c r="C148" s="8" t="inlineStr">
        <is>
          <t>15. Royalties</t>
        </is>
      </c>
      <c r="D148" s="8" t="inlineStr">
        <is>
          <t>15</t>
        </is>
      </c>
      <c r="E148" s="8" t="inlineStr">
        <is>
          <t>part_ix_expenses.royalties</t>
        </is>
      </c>
      <c r="F148" s="8" t="inlineStr">
        <is>
          <t>high</t>
        </is>
      </c>
      <c r="G148" s="9" t="n">
        <v>0</v>
      </c>
    </row>
    <row r="149">
      <c r="A149" s="8" t="inlineStr">
        <is>
          <t>Operating expenses (detail)</t>
        </is>
      </c>
      <c r="B149" s="8" t="inlineStr">
        <is>
          <t>C27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D27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E27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F27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B28</t>
        </is>
      </c>
      <c r="C153" s="8" t="inlineStr">
        <is>
          <t>16. Occupancy</t>
        </is>
      </c>
      <c r="D153" s="8" t="inlineStr">
        <is>
          <t>16</t>
        </is>
      </c>
      <c r="E153" s="8" t="inlineStr">
        <is>
          <t>part_ix_expenses.occupancy</t>
        </is>
      </c>
      <c r="F153" s="8" t="inlineStr">
        <is>
          <t>high</t>
        </is>
      </c>
      <c r="G153" s="9" t="n">
        <v>1322</v>
      </c>
    </row>
    <row r="154">
      <c r="A154" s="8" t="inlineStr">
        <is>
          <t>Operating expenses (detail)</t>
        </is>
      </c>
      <c r="B154" s="8" t="inlineStr">
        <is>
          <t>C28</t>
        </is>
      </c>
      <c r="C154" s="8" t="inlineStr">
        <is>
          <t>16. Occupancy</t>
        </is>
      </c>
      <c r="D154" s="8" t="inlineStr">
        <is>
          <t>16</t>
        </is>
      </c>
      <c r="E154" s="8" t="inlineStr">
        <is>
          <t>part_ix_expenses.occupancy</t>
        </is>
      </c>
      <c r="F154" s="8" t="inlineStr">
        <is>
          <t>high</t>
        </is>
      </c>
      <c r="G154" s="9" t="n">
        <v>1359</v>
      </c>
    </row>
    <row r="155">
      <c r="A155" s="8" t="inlineStr">
        <is>
          <t>Operating expenses (detail)</t>
        </is>
      </c>
      <c r="B155" s="8" t="inlineStr">
        <is>
          <t>D28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E28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F28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B29</t>
        </is>
      </c>
      <c r="C158" s="8" t="inlineStr">
        <is>
          <t>17. Travel</t>
        </is>
      </c>
      <c r="D158" s="8" t="inlineStr">
        <is>
          <t>17</t>
        </is>
      </c>
      <c r="E158" s="8" t="inlineStr">
        <is>
          <t>part_ix_expenses.travel</t>
        </is>
      </c>
      <c r="F158" s="8" t="inlineStr">
        <is>
          <t>high</t>
        </is>
      </c>
      <c r="G158" s="9" t="n">
        <v>0</v>
      </c>
    </row>
    <row r="159">
      <c r="A159" s="8" t="inlineStr">
        <is>
          <t>Operating expenses (detail)</t>
        </is>
      </c>
      <c r="B159" s="8" t="inlineStr">
        <is>
          <t>C29</t>
        </is>
      </c>
      <c r="C159" s="8" t="inlineStr">
        <is>
          <t>17. Travel</t>
        </is>
      </c>
      <c r="D159" s="8" t="inlineStr">
        <is>
          <t>17</t>
        </is>
      </c>
      <c r="E159" s="8" t="inlineStr">
        <is>
          <t>part_ix_expenses.travel</t>
        </is>
      </c>
      <c r="F159" s="8" t="inlineStr">
        <is>
          <t>high</t>
        </is>
      </c>
      <c r="G159" s="9" t="n">
        <v>0</v>
      </c>
    </row>
    <row r="160">
      <c r="A160" s="8" t="inlineStr">
        <is>
          <t>Operating expenses (detail)</t>
        </is>
      </c>
      <c r="B160" s="8" t="inlineStr">
        <is>
          <t>D29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E29</t>
        </is>
      </c>
      <c r="C161" s="8" t="inlineStr">
        <is>
          <t>17. Travel</t>
        </is>
      </c>
      <c r="D161" s="8" t="inlineStr">
        <is>
          <t>17</t>
        </is>
      </c>
      <c r="E161" s="8" t="inlineStr">
        <is>
          <t>part_ix_expenses.travel</t>
        </is>
      </c>
      <c r="F161" s="8" t="inlineStr">
        <is>
          <t>high</t>
        </is>
      </c>
      <c r="G161" s="9" t="n">
        <v>1617</v>
      </c>
    </row>
    <row r="162">
      <c r="A162" s="8" t="inlineStr">
        <is>
          <t>Operating expenses (detail)</t>
        </is>
      </c>
      <c r="B162" s="8" t="inlineStr">
        <is>
          <t>F29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B30</t>
        </is>
      </c>
      <c r="C163" s="8" t="inlineStr">
        <is>
          <t>18. Payments of travel/entertainment for public officials</t>
        </is>
      </c>
      <c r="D163" s="8" t="inlineStr">
        <is>
          <t>18</t>
        </is>
      </c>
      <c r="E163" s="8" t="inlineStr">
        <is>
          <t>part_ix_expenses.travel_entertainment_public_officials</t>
        </is>
      </c>
      <c r="F163" s="8" t="inlineStr">
        <is>
          <t>high</t>
        </is>
      </c>
      <c r="G163" s="9" t="n">
        <v>0</v>
      </c>
    </row>
    <row r="164">
      <c r="A164" s="8" t="inlineStr">
        <is>
          <t>Operating expenses (detail)</t>
        </is>
      </c>
      <c r="B164" s="8" t="inlineStr">
        <is>
          <t>C30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D30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E30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F30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B31</t>
        </is>
      </c>
      <c r="C168" s="8" t="inlineStr">
        <is>
          <t>19. Conferences, conventions, and meetings</t>
        </is>
      </c>
      <c r="D168" s="8" t="inlineStr">
        <is>
          <t>19</t>
        </is>
      </c>
      <c r="E168" s="8" t="inlineStr">
        <is>
          <t>part_ix_expenses.conferences_conventions_meetings</t>
        </is>
      </c>
      <c r="F168" s="8" t="inlineStr">
        <is>
          <t>high</t>
        </is>
      </c>
      <c r="G168" s="9" t="n">
        <v>0</v>
      </c>
    </row>
    <row r="169">
      <c r="A169" s="8" t="inlineStr">
        <is>
          <t>Operating expenses (detail)</t>
        </is>
      </c>
      <c r="B169" s="8" t="inlineStr">
        <is>
          <t>C31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D31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E31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F31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B32</t>
        </is>
      </c>
      <c r="C173" s="8" t="inlineStr">
        <is>
          <t>20. Interest</t>
        </is>
      </c>
      <c r="D173" s="8" t="inlineStr">
        <is>
          <t>20</t>
        </is>
      </c>
      <c r="E173" s="8" t="inlineStr">
        <is>
          <t>part_ix_expenses.interest</t>
        </is>
      </c>
      <c r="F173" s="8" t="inlineStr">
        <is>
          <t>high</t>
        </is>
      </c>
      <c r="G173" s="9" t="n">
        <v>0</v>
      </c>
    </row>
    <row r="174">
      <c r="A174" s="8" t="inlineStr">
        <is>
          <t>Operating expenses (detail)</t>
        </is>
      </c>
      <c r="B174" s="8" t="inlineStr">
        <is>
          <t>C32</t>
        </is>
      </c>
      <c r="C174" s="8" t="inlineStr">
        <is>
          <t>20. Interest</t>
        </is>
      </c>
      <c r="D174" s="8" t="inlineStr">
        <is>
          <t>20</t>
        </is>
      </c>
      <c r="E174" s="8" t="inlineStr">
        <is>
          <t>part_ix_expenses.interest</t>
        </is>
      </c>
      <c r="F174" s="8" t="inlineStr">
        <is>
          <t>high</t>
        </is>
      </c>
      <c r="G174" s="9" t="n">
        <v>0</v>
      </c>
    </row>
    <row r="175">
      <c r="A175" s="8" t="inlineStr">
        <is>
          <t>Operating expenses (detail)</t>
        </is>
      </c>
      <c r="B175" s="8" t="inlineStr">
        <is>
          <t>D32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E32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F32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B33</t>
        </is>
      </c>
      <c r="C178" s="8" t="inlineStr">
        <is>
          <t>21. Payments to affiliates</t>
        </is>
      </c>
      <c r="D178" s="8" t="inlineStr">
        <is>
          <t>21</t>
        </is>
      </c>
      <c r="E178" s="8" t="inlineStr">
        <is>
          <t>part_ix_expenses.payments_to_affiliates</t>
        </is>
      </c>
      <c r="F178" s="8" t="inlineStr">
        <is>
          <t>high</t>
        </is>
      </c>
      <c r="G178" s="9" t="n">
        <v>0</v>
      </c>
    </row>
    <row r="179">
      <c r="A179" s="8" t="inlineStr">
        <is>
          <t>Operating expenses (detail)</t>
        </is>
      </c>
      <c r="B179" s="8" t="inlineStr">
        <is>
          <t>C33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D33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E33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F33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B34</t>
        </is>
      </c>
      <c r="C183" s="8" t="inlineStr">
        <is>
          <t>22. Depreciation, depletion, and amortization</t>
        </is>
      </c>
      <c r="D183" s="8" t="inlineStr">
        <is>
          <t>22</t>
        </is>
      </c>
      <c r="E183" s="8" t="inlineStr">
        <is>
          <t>part_ix_expenses.depreciation</t>
        </is>
      </c>
      <c r="F183" s="8" t="inlineStr">
        <is>
          <t>high</t>
        </is>
      </c>
      <c r="G183" s="9" t="n">
        <v>12840</v>
      </c>
    </row>
    <row r="184">
      <c r="A184" s="8" t="inlineStr">
        <is>
          <t>Operating expenses (detail)</t>
        </is>
      </c>
      <c r="B184" s="8" t="inlineStr">
        <is>
          <t>C34</t>
        </is>
      </c>
      <c r="C184" s="8" t="inlineStr">
        <is>
          <t>22. Depreciation, depletion, and amortization</t>
        </is>
      </c>
      <c r="D184" s="8" t="inlineStr">
        <is>
          <t>22</t>
        </is>
      </c>
      <c r="E184" s="8" t="inlineStr">
        <is>
          <t>part_ix_expenses.depreciation</t>
        </is>
      </c>
      <c r="F184" s="8" t="inlineStr">
        <is>
          <t>high</t>
        </is>
      </c>
      <c r="G184" s="9" t="n">
        <v>12840</v>
      </c>
    </row>
    <row r="185">
      <c r="A185" s="8" t="inlineStr">
        <is>
          <t>Operating expenses (detail)</t>
        </is>
      </c>
      <c r="B185" s="8" t="inlineStr">
        <is>
          <t>D34</t>
        </is>
      </c>
      <c r="C185" s="8" t="inlineStr">
        <is>
          <t>22. Depreciation, depletion, and amortization</t>
        </is>
      </c>
      <c r="D185" s="8" t="inlineStr">
        <is>
          <t>22</t>
        </is>
      </c>
      <c r="E185" s="8" t="inlineStr">
        <is>
          <t>part_ix_expenses.depreciation</t>
        </is>
      </c>
      <c r="F185" s="8" t="inlineStr">
        <is>
          <t>high</t>
        </is>
      </c>
      <c r="G185" s="9" t="n">
        <v>15447</v>
      </c>
    </row>
    <row r="186">
      <c r="A186" s="8" t="inlineStr">
        <is>
          <t>Operating expenses (detail)</t>
        </is>
      </c>
      <c r="B186" s="8" t="inlineStr">
        <is>
          <t>E34</t>
        </is>
      </c>
      <c r="C186" s="8" t="inlineStr">
        <is>
          <t>22. Depreciation, depletion, and amortization</t>
        </is>
      </c>
      <c r="D186" s="8" t="inlineStr">
        <is>
          <t>22</t>
        </is>
      </c>
      <c r="E186" s="8" t="inlineStr">
        <is>
          <t>part_ix_expenses.depreciation</t>
        </is>
      </c>
      <c r="F186" s="8" t="inlineStr">
        <is>
          <t>high</t>
        </is>
      </c>
      <c r="G186" s="9" t="n">
        <v>12540</v>
      </c>
    </row>
    <row r="187">
      <c r="A187" s="8" t="inlineStr">
        <is>
          <t>Operating expenses (detail)</t>
        </is>
      </c>
      <c r="B187" s="8" t="inlineStr">
        <is>
          <t>F34</t>
        </is>
      </c>
      <c r="C187" s="8" t="inlineStr">
        <is>
          <t>22. Depreciation, depletion, and amortization</t>
        </is>
      </c>
      <c r="D187" s="8" t="inlineStr">
        <is>
          <t>22</t>
        </is>
      </c>
      <c r="E187" s="8" t="inlineStr">
        <is>
          <t>part_ix_expenses.depreciation</t>
        </is>
      </c>
      <c r="F187" s="8" t="inlineStr">
        <is>
          <t>high</t>
        </is>
      </c>
      <c r="G187" s="9" t="n">
        <v>12540</v>
      </c>
    </row>
    <row r="188">
      <c r="A188" s="8" t="inlineStr">
        <is>
          <t>Operating expenses (detail)</t>
        </is>
      </c>
      <c r="B188" s="8" t="inlineStr">
        <is>
          <t>B35</t>
        </is>
      </c>
      <c r="C188" s="8" t="inlineStr">
        <is>
          <t>23. Insurance</t>
        </is>
      </c>
      <c r="D188" s="8" t="inlineStr">
        <is>
          <t>23</t>
        </is>
      </c>
      <c r="E188" s="8" t="inlineStr">
        <is>
          <t>part_ix_expenses.insurance</t>
        </is>
      </c>
      <c r="F188" s="8" t="inlineStr">
        <is>
          <t>high</t>
        </is>
      </c>
      <c r="G188" s="9" t="n">
        <v>3349</v>
      </c>
    </row>
    <row r="189">
      <c r="A189" s="8" t="inlineStr">
        <is>
          <t>Operating expenses (detail)</t>
        </is>
      </c>
      <c r="B189" s="8" t="inlineStr">
        <is>
          <t>C35</t>
        </is>
      </c>
      <c r="C189" s="8" t="inlineStr">
        <is>
          <t>23. Insurance</t>
        </is>
      </c>
      <c r="D189" s="8" t="inlineStr">
        <is>
          <t>23</t>
        </is>
      </c>
      <c r="E189" s="8" t="inlineStr">
        <is>
          <t>part_ix_expenses.insurance</t>
        </is>
      </c>
      <c r="F189" s="8" t="inlineStr">
        <is>
          <t>high</t>
        </is>
      </c>
      <c r="G189" s="9" t="n">
        <v>3368</v>
      </c>
    </row>
    <row r="190">
      <c r="A190" s="8" t="inlineStr">
        <is>
          <t>Operating expenses (detail)</t>
        </is>
      </c>
      <c r="B190" s="8" t="inlineStr">
        <is>
          <t>D35</t>
        </is>
      </c>
      <c r="C190" s="8" t="inlineStr">
        <is>
          <t>23. Insurance</t>
        </is>
      </c>
      <c r="D190" s="8" t="inlineStr">
        <is>
          <t>23</t>
        </is>
      </c>
      <c r="E190" s="8" t="inlineStr">
        <is>
          <t>part_ix_expenses.insurance</t>
        </is>
      </c>
      <c r="F190" s="8" t="inlineStr">
        <is>
          <t>high</t>
        </is>
      </c>
      <c r="G190" s="9" t="n">
        <v>3138</v>
      </c>
    </row>
    <row r="191">
      <c r="A191" s="8" t="inlineStr">
        <is>
          <t>Operating expenses (detail)</t>
        </is>
      </c>
      <c r="B191" s="8" t="inlineStr">
        <is>
          <t>E35</t>
        </is>
      </c>
      <c r="C191" s="8" t="inlineStr">
        <is>
          <t>23. Insurance</t>
        </is>
      </c>
      <c r="D191" s="8" t="inlineStr">
        <is>
          <t>23</t>
        </is>
      </c>
      <c r="E191" s="8" t="inlineStr">
        <is>
          <t>part_ix_expenses.insurance</t>
        </is>
      </c>
      <c r="F191" s="8" t="inlineStr">
        <is>
          <t>high</t>
        </is>
      </c>
      <c r="G191" s="9" t="n">
        <v>3690</v>
      </c>
    </row>
    <row r="192">
      <c r="A192" s="8" t="inlineStr">
        <is>
          <t>Operating expenses (detail)</t>
        </is>
      </c>
      <c r="B192" s="8" t="inlineStr">
        <is>
          <t>F35</t>
        </is>
      </c>
      <c r="C192" s="8" t="inlineStr">
        <is>
          <t>23. Insurance</t>
        </is>
      </c>
      <c r="D192" s="8" t="inlineStr">
        <is>
          <t>23</t>
        </is>
      </c>
      <c r="E192" s="8" t="inlineStr">
        <is>
          <t>part_ix_expenses.insurance</t>
        </is>
      </c>
      <c r="F192" s="8" t="inlineStr">
        <is>
          <t>high</t>
        </is>
      </c>
      <c r="G192" s="9" t="n">
        <v>3755</v>
      </c>
    </row>
    <row r="193">
      <c r="A193" s="8" t="inlineStr">
        <is>
          <t>Operating expenses (detail)</t>
        </is>
      </c>
      <c r="B193" s="8" t="inlineStr">
        <is>
          <t>B44</t>
        </is>
      </c>
      <c r="C193" s="8" t="inlineStr">
        <is>
          <t>24e. All other expenses</t>
        </is>
      </c>
      <c r="D193" s="8" t="inlineStr">
        <is>
          <t>24e</t>
        </is>
      </c>
      <c r="E193" s="8" t="inlineStr">
        <is>
          <t>part_ix_expenses.all_other_expenses</t>
        </is>
      </c>
      <c r="F193" s="8" t="inlineStr">
        <is>
          <t>high</t>
        </is>
      </c>
      <c r="G193" s="9" t="n">
        <v>1032</v>
      </c>
    </row>
    <row r="194">
      <c r="A194" s="8" t="inlineStr">
        <is>
          <t>Operating expenses (detail)</t>
        </is>
      </c>
      <c r="B194" s="8" t="inlineStr">
        <is>
          <t>C44</t>
        </is>
      </c>
      <c r="C194" s="8" t="inlineStr">
        <is>
          <t>24e. All other expenses</t>
        </is>
      </c>
      <c r="D194" s="8" t="inlineStr">
        <is>
          <t>24e</t>
        </is>
      </c>
      <c r="E194" s="8" t="inlineStr">
        <is>
          <t>part_ix_expenses.all_other_expenses</t>
        </is>
      </c>
      <c r="F194" s="8" t="inlineStr">
        <is>
          <t>high</t>
        </is>
      </c>
      <c r="G194" s="9" t="n">
        <v>1087</v>
      </c>
    </row>
    <row r="195">
      <c r="A195" s="8" t="inlineStr">
        <is>
          <t>Operating expenses (detail)</t>
        </is>
      </c>
      <c r="B195" s="8" t="inlineStr">
        <is>
          <t>D44</t>
        </is>
      </c>
      <c r="C195" s="8" t="inlineStr">
        <is>
          <t>24e. All other expenses</t>
        </is>
      </c>
      <c r="D195" s="8" t="inlineStr">
        <is>
          <t>24e</t>
        </is>
      </c>
      <c r="E195" s="8" t="inlineStr">
        <is>
          <t>part_ix_expenses.all_other_expenses</t>
        </is>
      </c>
      <c r="F195" s="8" t="inlineStr">
        <is>
          <t>high</t>
        </is>
      </c>
      <c r="G195" s="9" t="n">
        <v>3609</v>
      </c>
    </row>
    <row r="196">
      <c r="A196" s="8" t="inlineStr">
        <is>
          <t>Operating expenses (detail)</t>
        </is>
      </c>
      <c r="B196" s="8" t="inlineStr">
        <is>
          <t>E44</t>
        </is>
      </c>
      <c r="C196" s="8" t="inlineStr">
        <is>
          <t>24e. All other expenses</t>
        </is>
      </c>
      <c r="D196" s="8" t="inlineStr">
        <is>
          <t>24e</t>
        </is>
      </c>
      <c r="E196" s="8" t="inlineStr">
        <is>
          <t>part_ix_expenses.all_other_expenses</t>
        </is>
      </c>
      <c r="F196" s="8" t="inlineStr">
        <is>
          <t>high</t>
        </is>
      </c>
      <c r="G196" s="9" t="n">
        <v>6362</v>
      </c>
    </row>
    <row r="197">
      <c r="A197" s="8" t="inlineStr">
        <is>
          <t>Operating expenses (detail)</t>
        </is>
      </c>
      <c r="B197" s="8" t="inlineStr">
        <is>
          <t>F44</t>
        </is>
      </c>
      <c r="C197" s="8" t="inlineStr">
        <is>
          <t>24e. All other expenses</t>
        </is>
      </c>
      <c r="D197" s="8" t="inlineStr">
        <is>
          <t>24e</t>
        </is>
      </c>
      <c r="E197" s="8" t="inlineStr">
        <is>
          <t>part_ix_expenses.all_other_expenses</t>
        </is>
      </c>
      <c r="F197" s="8" t="inlineStr">
        <is>
          <t>high</t>
        </is>
      </c>
      <c r="G197" s="9" t="n">
        <v>7819</v>
      </c>
    </row>
    <row r="198">
      <c r="A198" s="8" t="inlineStr">
        <is>
          <t>Balance sheet (detail)</t>
        </is>
      </c>
      <c r="B198" s="8" t="inlineStr">
        <is>
          <t>B7</t>
        </is>
      </c>
      <c r="C198" s="8" t="inlineStr">
        <is>
          <t>1. Cash - non-interest-bearing</t>
        </is>
      </c>
      <c r="D198" s="8" t="inlineStr">
        <is>
          <t>1E</t>
        </is>
      </c>
      <c r="E198" s="8" t="inlineStr">
        <is>
          <t>part_x_balance_sheet.cash_noninterest_eoy</t>
        </is>
      </c>
      <c r="F198" s="8" t="inlineStr">
        <is>
          <t>high</t>
        </is>
      </c>
      <c r="G198" s="9" t="n">
        <v>193860</v>
      </c>
    </row>
    <row r="199">
      <c r="A199" s="8" t="inlineStr">
        <is>
          <t>Balance sheet (detail)</t>
        </is>
      </c>
      <c r="B199" s="8" t="inlineStr">
        <is>
          <t>C7</t>
        </is>
      </c>
      <c r="C199" s="8" t="inlineStr">
        <is>
          <t>1. Cash - non-interest-bearing</t>
        </is>
      </c>
      <c r="D199" s="8" t="inlineStr">
        <is>
          <t>1E</t>
        </is>
      </c>
      <c r="E199" s="8" t="inlineStr">
        <is>
          <t>part_x_balance_sheet.cash_noninterest_eoy</t>
        </is>
      </c>
      <c r="F199" s="8" t="inlineStr">
        <is>
          <t>high</t>
        </is>
      </c>
      <c r="G199" s="9" t="n">
        <v>195736</v>
      </c>
    </row>
    <row r="200">
      <c r="A200" s="8" t="inlineStr">
        <is>
          <t>Balance sheet (detail)</t>
        </is>
      </c>
      <c r="B200" s="8" t="inlineStr">
        <is>
          <t>D7</t>
        </is>
      </c>
      <c r="C200" s="8" t="inlineStr">
        <is>
          <t>1. Cash - non-interest-bearing</t>
        </is>
      </c>
      <c r="D200" s="8" t="inlineStr">
        <is>
          <t>1E</t>
        </is>
      </c>
      <c r="E200" s="8" t="inlineStr">
        <is>
          <t>part_x_balance_sheet.cash_noninterest_eoy</t>
        </is>
      </c>
      <c r="F200" s="8" t="inlineStr">
        <is>
          <t>high</t>
        </is>
      </c>
      <c r="G200" s="9" t="n">
        <v>234324</v>
      </c>
    </row>
    <row r="201">
      <c r="A201" s="8" t="inlineStr">
        <is>
          <t>Balance sheet (detail)</t>
        </is>
      </c>
      <c r="B201" s="8" t="inlineStr">
        <is>
          <t>E7</t>
        </is>
      </c>
      <c r="C201" s="8" t="inlineStr">
        <is>
          <t>1. Cash - non-interest-bearing</t>
        </is>
      </c>
      <c r="D201" s="8" t="inlineStr">
        <is>
          <t>1E</t>
        </is>
      </c>
      <c r="E201" s="8" t="inlineStr">
        <is>
          <t>part_x_balance_sheet.cash_noninterest_eoy</t>
        </is>
      </c>
      <c r="F201" s="8" t="inlineStr">
        <is>
          <t>high</t>
        </is>
      </c>
      <c r="G201" s="9" t="n">
        <v>264119</v>
      </c>
    </row>
    <row r="202">
      <c r="A202" s="8" t="inlineStr">
        <is>
          <t>Balance sheet (detail)</t>
        </is>
      </c>
      <c r="B202" s="8" t="inlineStr">
        <is>
          <t>F7</t>
        </is>
      </c>
      <c r="C202" s="8" t="inlineStr">
        <is>
          <t>1. Cash - non-interest-bearing</t>
        </is>
      </c>
      <c r="D202" s="8" t="inlineStr">
        <is>
          <t>1E</t>
        </is>
      </c>
      <c r="E202" s="8" t="inlineStr">
        <is>
          <t>part_x_balance_sheet.cash_noninterest_eoy</t>
        </is>
      </c>
      <c r="F202" s="8" t="inlineStr">
        <is>
          <t>high</t>
        </is>
      </c>
      <c r="G202" s="9" t="n">
        <v>249501</v>
      </c>
    </row>
    <row r="203">
      <c r="A203" s="8" t="inlineStr">
        <is>
          <t>Balance sheet (detail)</t>
        </is>
      </c>
      <c r="B203" s="8" t="inlineStr">
        <is>
          <t>B8</t>
        </is>
      </c>
      <c r="C203" s="8" t="inlineStr">
        <is>
          <t>2. Savings and temporary cash investments</t>
        </is>
      </c>
      <c r="D203" s="8" t="inlineStr">
        <is>
          <t>2E</t>
        </is>
      </c>
      <c r="E203" s="8" t="inlineStr">
        <is>
          <t>part_x_balance_sheet.savings_temp_invest_eoy</t>
        </is>
      </c>
      <c r="F203" s="8" t="inlineStr">
        <is>
          <t>high</t>
        </is>
      </c>
      <c r="G203" s="9" t="n">
        <v>0</v>
      </c>
    </row>
    <row r="204">
      <c r="A204" s="8" t="inlineStr">
        <is>
          <t>Balance sheet (detail)</t>
        </is>
      </c>
      <c r="B204" s="8" t="inlineStr">
        <is>
          <t>C8</t>
        </is>
      </c>
      <c r="C204" s="8" t="inlineStr">
        <is>
          <t>2. Savings and temporary cash investments</t>
        </is>
      </c>
      <c r="D204" s="8" t="inlineStr">
        <is>
          <t>2E</t>
        </is>
      </c>
      <c r="E204" s="8" t="inlineStr">
        <is>
          <t>part_x_balance_sheet.savings_temp_invest_eoy</t>
        </is>
      </c>
      <c r="F204" s="8" t="inlineStr">
        <is>
          <t>high</t>
        </is>
      </c>
      <c r="G204" s="9" t="n">
        <v>0</v>
      </c>
    </row>
    <row r="205">
      <c r="A205" s="8" t="inlineStr">
        <is>
          <t>Balance sheet (detail)</t>
        </is>
      </c>
      <c r="B205" s="8" t="inlineStr">
        <is>
          <t>D8</t>
        </is>
      </c>
      <c r="C205" s="8" t="inlineStr">
        <is>
          <t>2. Savings and temporary cash investments</t>
        </is>
      </c>
      <c r="D205" s="8" t="inlineStr">
        <is>
          <t>2E</t>
        </is>
      </c>
      <c r="E205" s="8" t="inlineStr">
        <is>
          <t>part_x_balance_sheet.savings_temp_invest_eoy</t>
        </is>
      </c>
      <c r="F205" s="8" t="inlineStr">
        <is>
          <t>high</t>
        </is>
      </c>
      <c r="G205" s="9" t="n">
        <v>0</v>
      </c>
    </row>
    <row r="206">
      <c r="A206" s="8" t="inlineStr">
        <is>
          <t>Balance sheet (detail)</t>
        </is>
      </c>
      <c r="B206" s="8" t="inlineStr">
        <is>
          <t>E8</t>
        </is>
      </c>
      <c r="C206" s="8" t="inlineStr">
        <is>
          <t>2. Savings and temporary cash investments</t>
        </is>
      </c>
      <c r="D206" s="8" t="inlineStr">
        <is>
          <t>2E</t>
        </is>
      </c>
      <c r="E206" s="8" t="inlineStr">
        <is>
          <t>part_x_balance_sheet.savings_temp_invest_eoy</t>
        </is>
      </c>
      <c r="F206" s="8" t="inlineStr">
        <is>
          <t>high</t>
        </is>
      </c>
      <c r="G206" s="9" t="n">
        <v>0</v>
      </c>
    </row>
    <row r="207">
      <c r="A207" s="8" t="inlineStr">
        <is>
          <t>Balance sheet (detail)</t>
        </is>
      </c>
      <c r="B207" s="8" t="inlineStr">
        <is>
          <t>F8</t>
        </is>
      </c>
      <c r="C207" s="8" t="inlineStr">
        <is>
          <t>2. Savings and temporary cash investments</t>
        </is>
      </c>
      <c r="D207" s="8" t="inlineStr">
        <is>
          <t>2E</t>
        </is>
      </c>
      <c r="E207" s="8" t="inlineStr">
        <is>
          <t>part_x_balance_sheet.savings_temp_invest_eoy</t>
        </is>
      </c>
      <c r="F207" s="8" t="inlineStr">
        <is>
          <t>high</t>
        </is>
      </c>
      <c r="G207" s="9" t="n">
        <v>0</v>
      </c>
    </row>
    <row r="208">
      <c r="A208" s="8" t="inlineStr">
        <is>
          <t>Balance sheet (detail)</t>
        </is>
      </c>
      <c r="B208" s="8" t="inlineStr">
        <is>
          <t>B9</t>
        </is>
      </c>
      <c r="C208" s="8" t="inlineStr">
        <is>
          <t>3. Pledges and grants receivable, net</t>
        </is>
      </c>
      <c r="D208" s="8" t="inlineStr">
        <is>
          <t>3E</t>
        </is>
      </c>
      <c r="E208" s="8" t="inlineStr">
        <is>
          <t>part_x_balance_sheet.pledges_grants_receivable_eoy</t>
        </is>
      </c>
      <c r="F208" s="8" t="inlineStr">
        <is>
          <t>high</t>
        </is>
      </c>
      <c r="G208" s="9" t="n">
        <v>0</v>
      </c>
    </row>
    <row r="209">
      <c r="A209" s="8" t="inlineStr">
        <is>
          <t>Balance sheet (detail)</t>
        </is>
      </c>
      <c r="B209" s="8" t="inlineStr">
        <is>
          <t>C9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D9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E9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F9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B10</t>
        </is>
      </c>
      <c r="C213" s="8" t="inlineStr">
        <is>
          <t>4. Accounts receivable, net</t>
        </is>
      </c>
      <c r="D213" s="8" t="inlineStr">
        <is>
          <t>4E</t>
        </is>
      </c>
      <c r="E213" s="8" t="inlineStr">
        <is>
          <t>part_x_balance_sheet.accounts_receivable_eoy</t>
        </is>
      </c>
      <c r="F213" s="8" t="inlineStr">
        <is>
          <t>high</t>
        </is>
      </c>
      <c r="G213" s="9" t="n">
        <v>8863</v>
      </c>
    </row>
    <row r="214">
      <c r="A214" s="8" t="inlineStr">
        <is>
          <t>Balance sheet (detail)</t>
        </is>
      </c>
      <c r="B214" s="8" t="inlineStr">
        <is>
          <t>C10</t>
        </is>
      </c>
      <c r="C214" s="8" t="inlineStr">
        <is>
          <t>4. Accounts receivable, net</t>
        </is>
      </c>
      <c r="D214" s="8" t="inlineStr">
        <is>
          <t>4E</t>
        </is>
      </c>
      <c r="E214" s="8" t="inlineStr">
        <is>
          <t>part_x_balance_sheet.accounts_receivable_eoy</t>
        </is>
      </c>
      <c r="F214" s="8" t="inlineStr">
        <is>
          <t>high</t>
        </is>
      </c>
      <c r="G214" s="9" t="n">
        <v>6281</v>
      </c>
    </row>
    <row r="215">
      <c r="A215" s="8" t="inlineStr">
        <is>
          <t>Balance sheet (detail)</t>
        </is>
      </c>
      <c r="B215" s="8" t="inlineStr">
        <is>
          <t>D10</t>
        </is>
      </c>
      <c r="C215" s="8" t="inlineStr">
        <is>
          <t>4. Accounts receivable, net</t>
        </is>
      </c>
      <c r="D215" s="8" t="inlineStr">
        <is>
          <t>4E</t>
        </is>
      </c>
      <c r="E215" s="8" t="inlineStr">
        <is>
          <t>part_x_balance_sheet.accounts_receivable_eoy</t>
        </is>
      </c>
      <c r="F215" s="8" t="inlineStr">
        <is>
          <t>high</t>
        </is>
      </c>
      <c r="G215" s="9" t="n">
        <v>0</v>
      </c>
    </row>
    <row r="216">
      <c r="A216" s="8" t="inlineStr">
        <is>
          <t>Balance sheet (detail)</t>
        </is>
      </c>
      <c r="B216" s="8" t="inlineStr">
        <is>
          <t>E10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F10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B11</t>
        </is>
      </c>
      <c r="C218" s="8" t="inlineStr">
        <is>
          <t>5. Receivables from officers/directors/trustees</t>
        </is>
      </c>
      <c r="D218" s="8" t="inlineStr">
        <is>
          <t>5E</t>
        </is>
      </c>
      <c r="E218" s="8" t="inlineStr">
        <is>
          <t>part_x_balance_sheet.receivables_officers_eoy</t>
        </is>
      </c>
      <c r="F218" s="8" t="inlineStr">
        <is>
          <t>high</t>
        </is>
      </c>
      <c r="G218" s="9" t="n">
        <v>0</v>
      </c>
    </row>
    <row r="219">
      <c r="A219" s="8" t="inlineStr">
        <is>
          <t>Balance sheet (detail)</t>
        </is>
      </c>
      <c r="B219" s="8" t="inlineStr">
        <is>
          <t>C11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D11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E11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F11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B12</t>
        </is>
      </c>
      <c r="C223" s="8" t="inlineStr">
        <is>
          <t>6. Receivables from disqualified persons</t>
        </is>
      </c>
      <c r="D223" s="8" t="inlineStr">
        <is>
          <t>6E</t>
        </is>
      </c>
      <c r="E223" s="8" t="inlineStr">
        <is>
          <t>part_x_balance_sheet.receivables_disqualified_eoy</t>
        </is>
      </c>
      <c r="F223" s="8" t="inlineStr">
        <is>
          <t>high</t>
        </is>
      </c>
      <c r="G223" s="9" t="n">
        <v>0</v>
      </c>
    </row>
    <row r="224">
      <c r="A224" s="8" t="inlineStr">
        <is>
          <t>Balance sheet (detail)</t>
        </is>
      </c>
      <c r="B224" s="8" t="inlineStr">
        <is>
          <t>C12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D12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E12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F12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B13</t>
        </is>
      </c>
      <c r="C228" s="8" t="inlineStr">
        <is>
          <t>7. Notes and loans receivable, net</t>
        </is>
      </c>
      <c r="D228" s="8" t="inlineStr">
        <is>
          <t>7E</t>
        </is>
      </c>
      <c r="E228" s="8" t="inlineStr">
        <is>
          <t>part_x_balance_sheet.notes_loans_receivable_eoy</t>
        </is>
      </c>
      <c r="F228" s="8" t="inlineStr">
        <is>
          <t>high</t>
        </is>
      </c>
      <c r="G228" s="9" t="n">
        <v>0</v>
      </c>
    </row>
    <row r="229">
      <c r="A229" s="8" t="inlineStr">
        <is>
          <t>Balance sheet (detail)</t>
        </is>
      </c>
      <c r="B229" s="8" t="inlineStr">
        <is>
          <t>C13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D13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E13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F13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B14</t>
        </is>
      </c>
      <c r="C233" s="8" t="inlineStr">
        <is>
          <t>8. Inventories for sale or use</t>
        </is>
      </c>
      <c r="D233" s="8" t="inlineStr">
        <is>
          <t>8E</t>
        </is>
      </c>
      <c r="E233" s="8" t="inlineStr">
        <is>
          <t>part_x_balance_sheet.inventories_eoy</t>
        </is>
      </c>
      <c r="F233" s="8" t="inlineStr">
        <is>
          <t>high</t>
        </is>
      </c>
      <c r="G233" s="9" t="n">
        <v>0</v>
      </c>
    </row>
    <row r="234">
      <c r="A234" s="8" t="inlineStr">
        <is>
          <t>Balance sheet (detail)</t>
        </is>
      </c>
      <c r="B234" s="8" t="inlineStr">
        <is>
          <t>C14</t>
        </is>
      </c>
      <c r="C234" s="8" t="inlineStr">
        <is>
          <t>8. Inventories for sale or use</t>
        </is>
      </c>
      <c r="D234" s="8" t="inlineStr">
        <is>
          <t>8E</t>
        </is>
      </c>
      <c r="E234" s="8" t="inlineStr">
        <is>
          <t>part_x_balance_sheet.inventories_eoy</t>
        </is>
      </c>
      <c r="F234" s="8" t="inlineStr">
        <is>
          <t>high</t>
        </is>
      </c>
      <c r="G234" s="9" t="n">
        <v>0</v>
      </c>
    </row>
    <row r="235">
      <c r="A235" s="8" t="inlineStr">
        <is>
          <t>Balance sheet (detail)</t>
        </is>
      </c>
      <c r="B235" s="8" t="inlineStr">
        <is>
          <t>D14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E14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F14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B15</t>
        </is>
      </c>
      <c r="C238" s="8" t="inlineStr">
        <is>
          <t>9. Prepaid expenses and deferred charges</t>
        </is>
      </c>
      <c r="D238" s="8" t="inlineStr">
        <is>
          <t>9E</t>
        </is>
      </c>
      <c r="E238" s="8" t="inlineStr">
        <is>
          <t>part_x_balance_sheet.prepaid_expenses_eoy</t>
        </is>
      </c>
      <c r="F238" s="8" t="inlineStr">
        <is>
          <t>high</t>
        </is>
      </c>
      <c r="G238" s="9" t="n">
        <v>0</v>
      </c>
    </row>
    <row r="239">
      <c r="A239" s="8" t="inlineStr">
        <is>
          <t>Balance sheet (detail)</t>
        </is>
      </c>
      <c r="B239" s="8" t="inlineStr">
        <is>
          <t>C15</t>
        </is>
      </c>
      <c r="C239" s="8" t="inlineStr">
        <is>
          <t>9. Prepaid expenses and deferred charges</t>
        </is>
      </c>
      <c r="D239" s="8" t="inlineStr">
        <is>
          <t>9E</t>
        </is>
      </c>
      <c r="E239" s="8" t="inlineStr">
        <is>
          <t>part_x_balance_sheet.prepaid_expenses_eoy</t>
        </is>
      </c>
      <c r="F239" s="8" t="inlineStr">
        <is>
          <t>high</t>
        </is>
      </c>
      <c r="G239" s="9" t="n">
        <v>0</v>
      </c>
    </row>
    <row r="240">
      <c r="A240" s="8" t="inlineStr">
        <is>
          <t>Balance sheet (detail)</t>
        </is>
      </c>
      <c r="B240" s="8" t="inlineStr">
        <is>
          <t>D15</t>
        </is>
      </c>
      <c r="C240" s="8" t="inlineStr">
        <is>
          <t>9. Prepaid expenses and deferred charges</t>
        </is>
      </c>
      <c r="D240" s="8" t="inlineStr">
        <is>
          <t>9E</t>
        </is>
      </c>
      <c r="E240" s="8" t="inlineStr">
        <is>
          <t>part_x_balance_sheet.prepaid_expenses_eoy</t>
        </is>
      </c>
      <c r="F240" s="8" t="inlineStr">
        <is>
          <t>high</t>
        </is>
      </c>
      <c r="G240" s="9" t="n">
        <v>0</v>
      </c>
    </row>
    <row r="241">
      <c r="A241" s="8" t="inlineStr">
        <is>
          <t>Balance sheet (detail)</t>
        </is>
      </c>
      <c r="B241" s="8" t="inlineStr">
        <is>
          <t>E15</t>
        </is>
      </c>
      <c r="C241" s="8" t="inlineStr">
        <is>
          <t>9. Prepaid expenses and deferred charges</t>
        </is>
      </c>
      <c r="D241" s="8" t="inlineStr">
        <is>
          <t>9E</t>
        </is>
      </c>
      <c r="E241" s="8" t="inlineStr">
        <is>
          <t>part_x_balance_sheet.prepaid_expenses_eoy</t>
        </is>
      </c>
      <c r="F241" s="8" t="inlineStr">
        <is>
          <t>high</t>
        </is>
      </c>
      <c r="G241" s="9" t="n">
        <v>0</v>
      </c>
    </row>
    <row r="242">
      <c r="A242" s="8" t="inlineStr">
        <is>
          <t>Balance sheet (detail)</t>
        </is>
      </c>
      <c r="B242" s="8" t="inlineStr">
        <is>
          <t>F15</t>
        </is>
      </c>
      <c r="C242" s="8" t="inlineStr">
        <is>
          <t>9. Prepaid expenses and deferred charges</t>
        </is>
      </c>
      <c r="D242" s="8" t="inlineStr">
        <is>
          <t>9E</t>
        </is>
      </c>
      <c r="E242" s="8" t="inlineStr">
        <is>
          <t>part_x_balance_sheet.prepaid_expenses_eoy</t>
        </is>
      </c>
      <c r="F242" s="8" t="inlineStr">
        <is>
          <t>high</t>
        </is>
      </c>
      <c r="G242" s="9" t="n">
        <v>0</v>
      </c>
    </row>
    <row r="243">
      <c r="A243" s="8" t="inlineStr">
        <is>
          <t>Balance sheet (detail)</t>
        </is>
      </c>
      <c r="B243" s="8" t="inlineStr">
        <is>
          <t>B16</t>
        </is>
      </c>
      <c r="C243" s="8" t="inlineStr">
        <is>
          <t>10c. Land, buildings, and equipment, net</t>
        </is>
      </c>
      <c r="D243" s="8" t="inlineStr">
        <is>
          <t>10cE</t>
        </is>
      </c>
      <c r="E243" s="8" t="inlineStr">
        <is>
          <t>part_x_balance_sheet.land_bldg_equip_net_eoy</t>
        </is>
      </c>
      <c r="F243" s="8" t="inlineStr">
        <is>
          <t>high</t>
        </is>
      </c>
      <c r="G243" s="9" t="n">
        <v>212421</v>
      </c>
    </row>
    <row r="244">
      <c r="A244" s="8" t="inlineStr">
        <is>
          <t>Balance sheet (detail)</t>
        </is>
      </c>
      <c r="B244" s="8" t="inlineStr">
        <is>
          <t>C16</t>
        </is>
      </c>
      <c r="C244" s="8" t="inlineStr">
        <is>
          <t>10c. Land, buildings, and equipment, net</t>
        </is>
      </c>
      <c r="D244" s="8" t="inlineStr">
        <is>
          <t>10cE</t>
        </is>
      </c>
      <c r="E244" s="8" t="inlineStr">
        <is>
          <t>part_x_balance_sheet.land_bldg_equip_net_eoy</t>
        </is>
      </c>
      <c r="F244" s="8" t="inlineStr">
        <is>
          <t>high</t>
        </is>
      </c>
      <c r="G244" s="9" t="n">
        <v>199581</v>
      </c>
    </row>
    <row r="245">
      <c r="A245" s="8" t="inlineStr">
        <is>
          <t>Balance sheet (detail)</t>
        </is>
      </c>
      <c r="B245" s="8" t="inlineStr">
        <is>
          <t>D16</t>
        </is>
      </c>
      <c r="C245" s="8" t="inlineStr">
        <is>
          <t>10c. Land, buildings, and equipment, net</t>
        </is>
      </c>
      <c r="D245" s="8" t="inlineStr">
        <is>
          <t>10cE</t>
        </is>
      </c>
      <c r="E245" s="8" t="inlineStr">
        <is>
          <t>part_x_balance_sheet.land_bldg_equip_net_eoy</t>
        </is>
      </c>
      <c r="F245" s="8" t="inlineStr">
        <is>
          <t>high</t>
        </is>
      </c>
      <c r="G245" s="9" t="n">
        <v>171742</v>
      </c>
    </row>
    <row r="246">
      <c r="A246" s="8" t="inlineStr">
        <is>
          <t>Balance sheet (detail)</t>
        </is>
      </c>
      <c r="B246" s="8" t="inlineStr">
        <is>
          <t>E16</t>
        </is>
      </c>
      <c r="C246" s="8" t="inlineStr">
        <is>
          <t>10c. Land, buildings, and equipment, net</t>
        </is>
      </c>
      <c r="D246" s="8" t="inlineStr">
        <is>
          <t>10cE</t>
        </is>
      </c>
      <c r="E246" s="8" t="inlineStr">
        <is>
          <t>part_x_balance_sheet.land_bldg_equip_net_eoy</t>
        </is>
      </c>
      <c r="F246" s="8" t="inlineStr">
        <is>
          <t>high</t>
        </is>
      </c>
      <c r="G246" s="9" t="n">
        <v>158966</v>
      </c>
    </row>
    <row r="247">
      <c r="A247" s="8" t="inlineStr">
        <is>
          <t>Balance sheet (detail)</t>
        </is>
      </c>
      <c r="B247" s="8" t="inlineStr">
        <is>
          <t>F16</t>
        </is>
      </c>
      <c r="C247" s="8" t="inlineStr">
        <is>
          <t>10c. Land, buildings, and equipment, net</t>
        </is>
      </c>
      <c r="D247" s="8" t="inlineStr">
        <is>
          <t>10cE</t>
        </is>
      </c>
      <c r="E247" s="8" t="inlineStr">
        <is>
          <t>part_x_balance_sheet.land_bldg_equip_net_eoy</t>
        </is>
      </c>
      <c r="F247" s="8" t="inlineStr">
        <is>
          <t>high</t>
        </is>
      </c>
      <c r="G247" s="9" t="n">
        <v>146497</v>
      </c>
    </row>
    <row r="248">
      <c r="A248" s="8" t="inlineStr">
        <is>
          <t>Balance sheet (detail)</t>
        </is>
      </c>
      <c r="B248" s="8" t="inlineStr">
        <is>
          <t>B17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C17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D17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E17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F17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B18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C18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D18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E18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F18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B19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C19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D19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E19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F19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B21</t>
        </is>
      </c>
      <c r="C268" s="8" t="inlineStr">
        <is>
          <t>15. Other assets</t>
        </is>
      </c>
      <c r="D268" s="8" t="inlineStr">
        <is>
          <t>15E</t>
        </is>
      </c>
      <c r="E268" s="8" t="inlineStr">
        <is>
          <t>part_x_balance_sheet.other_assets_eoy</t>
        </is>
      </c>
      <c r="F268" s="8" t="inlineStr">
        <is>
          <t>high</t>
        </is>
      </c>
      <c r="G268" s="9" t="n">
        <v>380790</v>
      </c>
    </row>
    <row r="269">
      <c r="A269" s="8" t="inlineStr">
        <is>
          <t>Balance sheet (detail)</t>
        </is>
      </c>
      <c r="B269" s="8" t="inlineStr">
        <is>
          <t>C21</t>
        </is>
      </c>
      <c r="C269" s="8" t="inlineStr">
        <is>
          <t>15. Other assets</t>
        </is>
      </c>
      <c r="D269" s="8" t="inlineStr">
        <is>
          <t>15E</t>
        </is>
      </c>
      <c r="E269" s="8" t="inlineStr">
        <is>
          <t>part_x_balance_sheet.other_assets_eoy</t>
        </is>
      </c>
      <c r="F269" s="8" t="inlineStr">
        <is>
          <t>high</t>
        </is>
      </c>
      <c r="G269" s="9" t="n">
        <v>419402</v>
      </c>
    </row>
    <row r="270">
      <c r="A270" s="8" t="inlineStr">
        <is>
          <t>Balance sheet (detail)</t>
        </is>
      </c>
      <c r="B270" s="8" t="inlineStr">
        <is>
          <t>D21</t>
        </is>
      </c>
      <c r="C270" s="8" t="inlineStr">
        <is>
          <t>15. Other assets</t>
        </is>
      </c>
      <c r="D270" s="8" t="inlineStr">
        <is>
          <t>15E</t>
        </is>
      </c>
      <c r="E270" s="8" t="inlineStr">
        <is>
          <t>part_x_balance_sheet.other_assets_eoy</t>
        </is>
      </c>
      <c r="F270" s="8" t="inlineStr">
        <is>
          <t>high</t>
        </is>
      </c>
      <c r="G270" s="9" t="n">
        <v>458513</v>
      </c>
    </row>
    <row r="271">
      <c r="A271" s="8" t="inlineStr">
        <is>
          <t>Balance sheet (detail)</t>
        </is>
      </c>
      <c r="B271" s="8" t="inlineStr">
        <is>
          <t>E21</t>
        </is>
      </c>
      <c r="C271" s="8" t="inlineStr">
        <is>
          <t>15. Other assets</t>
        </is>
      </c>
      <c r="D271" s="8" t="inlineStr">
        <is>
          <t>15E</t>
        </is>
      </c>
      <c r="E271" s="8" t="inlineStr">
        <is>
          <t>part_x_balance_sheet.other_assets_eoy</t>
        </is>
      </c>
      <c r="F271" s="8" t="inlineStr">
        <is>
          <t>high</t>
        </is>
      </c>
      <c r="G271" s="9" t="n">
        <v>490776</v>
      </c>
    </row>
    <row r="272">
      <c r="A272" s="8" t="inlineStr">
        <is>
          <t>Balance sheet (detail)</t>
        </is>
      </c>
      <c r="B272" s="8" t="inlineStr">
        <is>
          <t>F21</t>
        </is>
      </c>
      <c r="C272" s="8" t="inlineStr">
        <is>
          <t>15. Other assets</t>
        </is>
      </c>
      <c r="D272" s="8" t="inlineStr">
        <is>
          <t>15E</t>
        </is>
      </c>
      <c r="E272" s="8" t="inlineStr">
        <is>
          <t>part_x_balance_sheet.other_assets_eoy</t>
        </is>
      </c>
      <c r="F272" s="8" t="inlineStr">
        <is>
          <t>high</t>
        </is>
      </c>
      <c r="G272" s="9" t="n">
        <v>3659</v>
      </c>
    </row>
    <row r="273">
      <c r="A273" s="8" t="inlineStr">
        <is>
          <t>Balance sheet (detail)</t>
        </is>
      </c>
      <c r="B273" s="8" t="inlineStr">
        <is>
          <t>B25</t>
        </is>
      </c>
      <c r="C273" s="8" t="inlineStr">
        <is>
          <t>19. Deferred revenue</t>
        </is>
      </c>
      <c r="D273" s="8" t="inlineStr">
        <is>
          <t>19E</t>
        </is>
      </c>
      <c r="E273" s="8" t="inlineStr">
        <is>
          <t>part_x_balance_sheet.deferred_revenue_eoy</t>
        </is>
      </c>
      <c r="F273" s="8" t="inlineStr">
        <is>
          <t>high</t>
        </is>
      </c>
      <c r="G273" s="9" t="n">
        <v>375</v>
      </c>
    </row>
    <row r="274">
      <c r="A274" s="8" t="inlineStr">
        <is>
          <t>Balance sheet (detail)</t>
        </is>
      </c>
      <c r="B274" s="8" t="inlineStr">
        <is>
          <t>C25</t>
        </is>
      </c>
      <c r="C274" s="8" t="inlineStr">
        <is>
          <t>19. Deferred revenue</t>
        </is>
      </c>
      <c r="D274" s="8" t="inlineStr">
        <is>
          <t>19E</t>
        </is>
      </c>
      <c r="E274" s="8" t="inlineStr">
        <is>
          <t>part_x_balance_sheet.deferred_revenue_eoy</t>
        </is>
      </c>
      <c r="F274" s="8" t="inlineStr">
        <is>
          <t>high</t>
        </is>
      </c>
      <c r="G274" s="9" t="n">
        <v>375</v>
      </c>
    </row>
    <row r="275">
      <c r="A275" s="8" t="inlineStr">
        <is>
          <t>Balance sheet (detail)</t>
        </is>
      </c>
      <c r="B275" s="8" t="inlineStr">
        <is>
          <t>D25</t>
        </is>
      </c>
      <c r="C275" s="8" t="inlineStr">
        <is>
          <t>19. Deferred revenue</t>
        </is>
      </c>
      <c r="D275" s="8" t="inlineStr">
        <is>
          <t>19E</t>
        </is>
      </c>
      <c r="E275" s="8" t="inlineStr">
        <is>
          <t>part_x_balance_sheet.deferred_revenue_eoy</t>
        </is>
      </c>
      <c r="F275" s="8" t="inlineStr">
        <is>
          <t>high</t>
        </is>
      </c>
      <c r="G275" s="9" t="n">
        <v>500</v>
      </c>
    </row>
    <row r="276">
      <c r="A276" s="8" t="inlineStr">
        <is>
          <t>Balance sheet (detail)</t>
        </is>
      </c>
      <c r="B276" s="8" t="inlineStr">
        <is>
          <t>E25</t>
        </is>
      </c>
      <c r="C276" s="8" t="inlineStr">
        <is>
          <t>19. Deferred revenue</t>
        </is>
      </c>
      <c r="D276" s="8" t="inlineStr">
        <is>
          <t>19E</t>
        </is>
      </c>
      <c r="E276" s="8" t="inlineStr">
        <is>
          <t>part_x_balance_sheet.deferred_revenue_eoy</t>
        </is>
      </c>
      <c r="F276" s="8" t="inlineStr">
        <is>
          <t>high</t>
        </is>
      </c>
      <c r="G276" s="9" t="n">
        <v>120</v>
      </c>
    </row>
    <row r="277">
      <c r="A277" s="8" t="inlineStr">
        <is>
          <t>Balance sheet (detail)</t>
        </is>
      </c>
      <c r="B277" s="8" t="inlineStr">
        <is>
          <t>B26</t>
        </is>
      </c>
      <c r="C277" s="8" t="inlineStr">
        <is>
          <t>25. Other liabilities</t>
        </is>
      </c>
      <c r="D277" s="8" t="inlineStr">
        <is>
          <t>25E</t>
        </is>
      </c>
      <c r="E277" s="8" t="inlineStr">
        <is>
          <t>part_x_balance_sheet.other_liabilities_eoy</t>
        </is>
      </c>
      <c r="F277" s="8" t="inlineStr">
        <is>
          <t>high</t>
        </is>
      </c>
      <c r="G277" s="9" t="n">
        <v>300</v>
      </c>
    </row>
    <row r="278">
      <c r="A278" s="8" t="inlineStr">
        <is>
          <t>Balance sheet (detail)</t>
        </is>
      </c>
      <c r="B278" s="8" t="inlineStr">
        <is>
          <t>C26</t>
        </is>
      </c>
      <c r="C278" s="8" t="inlineStr">
        <is>
          <t>25. Other liabilities</t>
        </is>
      </c>
      <c r="D278" s="8" t="inlineStr">
        <is>
          <t>25E</t>
        </is>
      </c>
      <c r="E278" s="8" t="inlineStr">
        <is>
          <t>part_x_balance_sheet.other_liabilities_eoy</t>
        </is>
      </c>
      <c r="F278" s="8" t="inlineStr">
        <is>
          <t>high</t>
        </is>
      </c>
      <c r="G278" s="9" t="n">
        <v>300</v>
      </c>
    </row>
    <row r="279">
      <c r="A279" s="8" t="inlineStr">
        <is>
          <t>Balance sheet (detail)</t>
        </is>
      </c>
      <c r="B279" s="8" t="inlineStr">
        <is>
          <t>D26</t>
        </is>
      </c>
      <c r="C279" s="8" t="inlineStr">
        <is>
          <t>25. Other liabilities</t>
        </is>
      </c>
      <c r="D279" s="8" t="inlineStr">
        <is>
          <t>25E</t>
        </is>
      </c>
      <c r="E279" s="8" t="inlineStr">
        <is>
          <t>part_x_balance_sheet.other_liabilities_eoy</t>
        </is>
      </c>
      <c r="F279" s="8" t="inlineStr">
        <is>
          <t>high</t>
        </is>
      </c>
      <c r="G279" s="9" t="n">
        <v>300</v>
      </c>
    </row>
    <row r="280">
      <c r="A280" s="8" t="inlineStr">
        <is>
          <t>Balance sheet (detail)</t>
        </is>
      </c>
      <c r="B280" s="8" t="inlineStr">
        <is>
          <t>E26</t>
        </is>
      </c>
      <c r="C280" s="8" t="inlineStr">
        <is>
          <t>25. Other liabilities</t>
        </is>
      </c>
      <c r="D280" s="8" t="inlineStr">
        <is>
          <t>25E</t>
        </is>
      </c>
      <c r="E280" s="8" t="inlineStr">
        <is>
          <t>part_x_balance_sheet.other_liabilities_eoy</t>
        </is>
      </c>
      <c r="F280" s="8" t="inlineStr">
        <is>
          <t>high</t>
        </is>
      </c>
      <c r="G280" s="9" t="n">
        <v>300</v>
      </c>
    </row>
    <row r="281">
      <c r="A281" s="8" t="inlineStr">
        <is>
          <t>Balance sheet (detail)</t>
        </is>
      </c>
      <c r="B281" s="8" t="inlineStr">
        <is>
          <t>F26</t>
        </is>
      </c>
      <c r="C281" s="8" t="inlineStr">
        <is>
          <t>25. Other liabilities</t>
        </is>
      </c>
      <c r="D281" s="8" t="inlineStr">
        <is>
          <t>25E</t>
        </is>
      </c>
      <c r="E281" s="8" t="inlineStr">
        <is>
          <t>part_x_balance_sheet.other_liabilities_eoy</t>
        </is>
      </c>
      <c r="F281" s="8" t="inlineStr">
        <is>
          <t>high</t>
        </is>
      </c>
      <c r="G281" s="9" t="n">
        <v>625</v>
      </c>
    </row>
    <row r="282">
      <c r="A282" s="8" t="inlineStr">
        <is>
          <t>Balance sheet (detail)</t>
        </is>
      </c>
      <c r="B282" s="8" t="inlineStr">
        <is>
          <t>B30</t>
        </is>
      </c>
      <c r="C282" s="8" t="inlineStr">
        <is>
          <t>27. Net assets without donor restrictions</t>
        </is>
      </c>
      <c r="D282" s="8" t="inlineStr">
        <is>
          <t>27E</t>
        </is>
      </c>
      <c r="E282" s="8" t="inlineStr">
        <is>
          <t>part_x_balance_sheet.net_assets_no_donor_restriction_eoy</t>
        </is>
      </c>
      <c r="F282" s="8" t="inlineStr">
        <is>
          <t>high</t>
        </is>
      </c>
      <c r="G282" s="9" t="n">
        <v>795259</v>
      </c>
    </row>
    <row r="283">
      <c r="A283" s="8" t="inlineStr">
        <is>
          <t>Balance sheet (detail)</t>
        </is>
      </c>
      <c r="B283" s="8" t="inlineStr">
        <is>
          <t>C30</t>
        </is>
      </c>
      <c r="C283" s="8" t="inlineStr">
        <is>
          <t>27. Net assets without donor restrictions</t>
        </is>
      </c>
      <c r="D283" s="8" t="inlineStr">
        <is>
          <t>27E</t>
        </is>
      </c>
      <c r="E283" s="8" t="inlineStr">
        <is>
          <t>part_x_balance_sheet.net_assets_no_donor_restriction_eoy</t>
        </is>
      </c>
      <c r="F283" s="8" t="inlineStr">
        <is>
          <t>high</t>
        </is>
      </c>
      <c r="G283" s="9" t="n">
        <v>820325</v>
      </c>
    </row>
    <row r="284">
      <c r="A284" s="8" t="inlineStr">
        <is>
          <t>Balance sheet (detail)</t>
        </is>
      </c>
      <c r="B284" s="8" t="inlineStr">
        <is>
          <t>D30</t>
        </is>
      </c>
      <c r="C284" s="8" t="inlineStr">
        <is>
          <t>27. Net assets without donor restrictions</t>
        </is>
      </c>
      <c r="D284" s="8" t="inlineStr">
        <is>
          <t>27E</t>
        </is>
      </c>
      <c r="E284" s="8" t="inlineStr">
        <is>
          <t>part_x_balance_sheet.net_assets_no_donor_restriction_eoy</t>
        </is>
      </c>
      <c r="F284" s="8" t="inlineStr">
        <is>
          <t>high</t>
        </is>
      </c>
      <c r="G284" s="9" t="n">
        <v>863779</v>
      </c>
    </row>
    <row r="285">
      <c r="A285" s="8" t="inlineStr">
        <is>
          <t>Balance sheet (detail)</t>
        </is>
      </c>
      <c r="B285" s="8" t="inlineStr">
        <is>
          <t>E30</t>
        </is>
      </c>
      <c r="C285" s="8" t="inlineStr">
        <is>
          <t>27. Net assets without donor restrictions</t>
        </is>
      </c>
      <c r="D285" s="8" t="inlineStr">
        <is>
          <t>27E</t>
        </is>
      </c>
      <c r="E285" s="8" t="inlineStr">
        <is>
          <t>part_x_balance_sheet.net_assets_no_donor_restriction_eoy</t>
        </is>
      </c>
      <c r="F285" s="8" t="inlineStr">
        <is>
          <t>high</t>
        </is>
      </c>
      <c r="G285" s="9" t="n">
        <v>913441</v>
      </c>
    </row>
    <row r="286">
      <c r="A286" s="8" t="inlineStr">
        <is>
          <t>Balance sheet (detail)</t>
        </is>
      </c>
      <c r="B286" s="8" t="inlineStr">
        <is>
          <t>F30</t>
        </is>
      </c>
      <c r="C286" s="8" t="inlineStr">
        <is>
          <t>27. Net assets without donor restrictions</t>
        </is>
      </c>
      <c r="D286" s="8" t="inlineStr">
        <is>
          <t>27E</t>
        </is>
      </c>
      <c r="E286" s="8" t="inlineStr">
        <is>
          <t>part_x_balance_sheet.net_assets_no_donor_restriction_eoy</t>
        </is>
      </c>
      <c r="F286" s="8" t="inlineStr">
        <is>
          <t>high</t>
        </is>
      </c>
      <c r="G286" s="9" t="n">
        <v>399032</v>
      </c>
    </row>
    <row r="287">
      <c r="A287" s="8" t="inlineStr">
        <is>
          <t>Net-assets reconciliation</t>
        </is>
      </c>
      <c r="B287" s="8" t="inlineStr">
        <is>
          <t>B7</t>
        </is>
      </c>
      <c r="C287" s="8" t="inlineStr">
        <is>
          <t>4. Net assets, beginning of year</t>
        </is>
      </c>
      <c r="D287" s="8" t="inlineStr">
        <is>
          <t>Part XI line 4</t>
        </is>
      </c>
      <c r="E287" s="8" t="inlineStr">
        <is>
          <t>part_xi_reconciliation.net_assets_boy</t>
        </is>
      </c>
      <c r="F287" s="8" t="inlineStr">
        <is>
          <t>high</t>
        </is>
      </c>
      <c r="G287" s="9" t="n">
        <v>732218</v>
      </c>
    </row>
    <row r="288">
      <c r="A288" s="8" t="inlineStr">
        <is>
          <t>Net-assets reconciliation</t>
        </is>
      </c>
      <c r="B288" s="8" t="inlineStr">
        <is>
          <t>C7</t>
        </is>
      </c>
      <c r="C288" s="8" t="inlineStr">
        <is>
          <t>4. Net assets, beginning of year</t>
        </is>
      </c>
      <c r="D288" s="8" t="inlineStr">
        <is>
          <t>Part XI line 4</t>
        </is>
      </c>
      <c r="E288" s="8" t="inlineStr">
        <is>
          <t>part_xi_reconciliation.net_assets_boy</t>
        </is>
      </c>
      <c r="F288" s="8" t="inlineStr">
        <is>
          <t>high</t>
        </is>
      </c>
      <c r="G288" s="9" t="n">
        <v>795259</v>
      </c>
    </row>
    <row r="289">
      <c r="A289" s="8" t="inlineStr">
        <is>
          <t>Net-assets reconciliation</t>
        </is>
      </c>
      <c r="B289" s="8" t="inlineStr">
        <is>
          <t>D7</t>
        </is>
      </c>
      <c r="C289" s="8" t="inlineStr">
        <is>
          <t>4. Net assets, beginning of year</t>
        </is>
      </c>
      <c r="D289" s="8" t="inlineStr">
        <is>
          <t>Part XI line 4</t>
        </is>
      </c>
      <c r="E289" s="8" t="inlineStr">
        <is>
          <t>part_xi_reconciliation.net_assets_boy</t>
        </is>
      </c>
      <c r="F289" s="8" t="inlineStr">
        <is>
          <t>high</t>
        </is>
      </c>
      <c r="G289" s="9" t="n">
        <v>820325</v>
      </c>
    </row>
    <row r="290">
      <c r="A290" s="8" t="inlineStr">
        <is>
          <t>Net-assets reconciliation</t>
        </is>
      </c>
      <c r="B290" s="8" t="inlineStr">
        <is>
          <t>E7</t>
        </is>
      </c>
      <c r="C290" s="8" t="inlineStr">
        <is>
          <t>4. Net assets, beginning of year</t>
        </is>
      </c>
      <c r="D290" s="8" t="inlineStr">
        <is>
          <t>Part XI line 4</t>
        </is>
      </c>
      <c r="E290" s="8" t="inlineStr">
        <is>
          <t>part_xi_reconciliation.net_assets_boy</t>
        </is>
      </c>
      <c r="F290" s="8" t="inlineStr">
        <is>
          <t>high</t>
        </is>
      </c>
      <c r="G290" s="9" t="n">
        <v>863779</v>
      </c>
    </row>
    <row r="291">
      <c r="A291" s="8" t="inlineStr">
        <is>
          <t>Net-assets reconciliation</t>
        </is>
      </c>
      <c r="B291" s="8" t="inlineStr">
        <is>
          <t>F7</t>
        </is>
      </c>
      <c r="C291" s="8" t="inlineStr">
        <is>
          <t>4. Net assets, beginning of year</t>
        </is>
      </c>
      <c r="D291" s="8" t="inlineStr">
        <is>
          <t>Part XI line 4</t>
        </is>
      </c>
      <c r="E291" s="8" t="inlineStr">
        <is>
          <t>part_xi_reconciliation.net_assets_boy</t>
        </is>
      </c>
      <c r="F291" s="8" t="inlineStr">
        <is>
          <t>high</t>
        </is>
      </c>
      <c r="G291" s="9" t="n">
        <v>913441</v>
      </c>
    </row>
    <row r="292">
      <c r="A292" s="8" t="inlineStr">
        <is>
          <t>Net-assets reconciliation</t>
        </is>
      </c>
      <c r="B292" s="8" t="inlineStr">
        <is>
          <t>B8</t>
        </is>
      </c>
      <c r="C292" s="8" t="inlineStr">
        <is>
          <t>3. Revenue less expenses</t>
        </is>
      </c>
      <c r="D292" s="8" t="inlineStr">
        <is>
          <t>Part XI line 3</t>
        </is>
      </c>
      <c r="E292" s="8" t="inlineStr">
        <is>
          <t>part_xi_reconciliation.reconciliation_revenue_expenses</t>
        </is>
      </c>
      <c r="F292" s="8" t="inlineStr">
        <is>
          <t>high</t>
        </is>
      </c>
      <c r="G292" s="9" t="n">
        <v>-13006</v>
      </c>
    </row>
    <row r="293">
      <c r="A293" s="8" t="inlineStr">
        <is>
          <t>Net-assets reconciliation</t>
        </is>
      </c>
      <c r="B293" s="8" t="inlineStr">
        <is>
          <t>C8</t>
        </is>
      </c>
      <c r="C293" s="8" t="inlineStr">
        <is>
          <t>3. Revenue less expenses</t>
        </is>
      </c>
      <c r="D293" s="8" t="inlineStr">
        <is>
          <t>Part XI line 3</t>
        </is>
      </c>
      <c r="E293" s="8" t="inlineStr">
        <is>
          <t>part_xi_reconciliation.reconciliation_revenue_expenses</t>
        </is>
      </c>
      <c r="F293" s="8" t="inlineStr">
        <is>
          <t>high</t>
        </is>
      </c>
      <c r="G293" s="9" t="n">
        <v>-14867</v>
      </c>
    </row>
    <row r="294">
      <c r="A294" s="8" t="inlineStr">
        <is>
          <t>Net-assets reconciliation</t>
        </is>
      </c>
      <c r="B294" s="8" t="inlineStr">
        <is>
          <t>D8</t>
        </is>
      </c>
      <c r="C294" s="8" t="inlineStr">
        <is>
          <t>3. Revenue less expenses</t>
        </is>
      </c>
      <c r="D294" s="8" t="inlineStr">
        <is>
          <t>Part XI line 3</t>
        </is>
      </c>
      <c r="E294" s="8" t="inlineStr">
        <is>
          <t>part_xi_reconciliation.reconciliation_revenue_expenses</t>
        </is>
      </c>
      <c r="F294" s="8" t="inlineStr">
        <is>
          <t>high</t>
        </is>
      </c>
      <c r="G294" s="9" t="n">
        <v>-11678</v>
      </c>
    </row>
    <row r="295">
      <c r="A295" s="8" t="inlineStr">
        <is>
          <t>Net-assets reconciliation</t>
        </is>
      </c>
      <c r="B295" s="8" t="inlineStr">
        <is>
          <t>E8</t>
        </is>
      </c>
      <c r="C295" s="8" t="inlineStr">
        <is>
          <t>3. Revenue less expenses</t>
        </is>
      </c>
      <c r="D295" s="8" t="inlineStr">
        <is>
          <t>Part XI line 3</t>
        </is>
      </c>
      <c r="E295" s="8" t="inlineStr">
        <is>
          <t>part_xi_reconciliation.reconciliation_revenue_expenses</t>
        </is>
      </c>
      <c r="F295" s="8" t="inlineStr">
        <is>
          <t>high</t>
        </is>
      </c>
      <c r="G295" s="9" t="n">
        <v>-8791</v>
      </c>
    </row>
    <row r="296">
      <c r="A296" s="8" t="inlineStr">
        <is>
          <t>Net-assets reconciliation</t>
        </is>
      </c>
      <c r="B296" s="8" t="inlineStr">
        <is>
          <t>F8</t>
        </is>
      </c>
      <c r="C296" s="8" t="inlineStr">
        <is>
          <t>3. Revenue less expenses</t>
        </is>
      </c>
      <c r="D296" s="8" t="inlineStr">
        <is>
          <t>Part XI line 3</t>
        </is>
      </c>
      <c r="E296" s="8" t="inlineStr">
        <is>
          <t>part_xi_reconciliation.reconciliation_revenue_expenses</t>
        </is>
      </c>
      <c r="F296" s="8" t="inlineStr">
        <is>
          <t>high</t>
        </is>
      </c>
      <c r="G296" s="9" t="n">
        <v>-3015</v>
      </c>
    </row>
    <row r="297">
      <c r="A297" s="8" t="inlineStr">
        <is>
          <t>Net-assets reconciliation</t>
        </is>
      </c>
      <c r="B297" s="8" t="inlineStr">
        <is>
          <t>D9</t>
        </is>
      </c>
      <c r="C297" s="8" t="inlineStr">
        <is>
          <t>8. Prior period adjustments</t>
        </is>
      </c>
      <c r="D297" s="8" t="inlineStr">
        <is>
          <t>Part XI line 8</t>
        </is>
      </c>
      <c r="E297" s="8" t="inlineStr">
        <is>
          <t>part_xi_reconciliation.prior_period_adjustments</t>
        </is>
      </c>
      <c r="F297" s="8" t="inlineStr">
        <is>
          <t>high</t>
        </is>
      </c>
      <c r="G297" s="9" t="n">
        <v>55132</v>
      </c>
    </row>
    <row r="298">
      <c r="A298" s="8" t="inlineStr">
        <is>
          <t>Net-assets reconciliation</t>
        </is>
      </c>
      <c r="B298" s="8" t="inlineStr">
        <is>
          <t>B10</t>
        </is>
      </c>
      <c r="C298" s="8" t="inlineStr">
        <is>
          <t>9. Other changes in net assets</t>
        </is>
      </c>
      <c r="D298" s="8" t="inlineStr">
        <is>
          <t>Part XI line 9</t>
        </is>
      </c>
      <c r="E298" s="8" t="inlineStr">
        <is>
          <t>part_xi_reconciliation.other_changes_net_assets</t>
        </is>
      </c>
      <c r="F298" s="8" t="inlineStr">
        <is>
          <t>high</t>
        </is>
      </c>
      <c r="G298" s="9" t="n">
        <v>76047</v>
      </c>
    </row>
    <row r="299">
      <c r="A299" s="8" t="inlineStr">
        <is>
          <t>Net-assets reconciliation</t>
        </is>
      </c>
      <c r="B299" s="8" t="inlineStr">
        <is>
          <t>C10</t>
        </is>
      </c>
      <c r="C299" s="8" t="inlineStr">
        <is>
          <t>9. Other changes in net assets</t>
        </is>
      </c>
      <c r="D299" s="8" t="inlineStr">
        <is>
          <t>Part XI line 9</t>
        </is>
      </c>
      <c r="E299" s="8" t="inlineStr">
        <is>
          <t>part_xi_reconciliation.other_changes_net_assets</t>
        </is>
      </c>
      <c r="F299" s="8" t="inlineStr">
        <is>
          <t>high</t>
        </is>
      </c>
      <c r="G299" s="9" t="n">
        <v>39933</v>
      </c>
    </row>
    <row r="300">
      <c r="A300" s="8" t="inlineStr">
        <is>
          <t>Net-assets reconciliation</t>
        </is>
      </c>
      <c r="B300" s="8" t="inlineStr">
        <is>
          <t>E10</t>
        </is>
      </c>
      <c r="C300" s="8" t="inlineStr">
        <is>
          <t>9. Other changes in net assets</t>
        </is>
      </c>
      <c r="D300" s="8" t="inlineStr">
        <is>
          <t>Part XI line 9</t>
        </is>
      </c>
      <c r="E300" s="8" t="inlineStr">
        <is>
          <t>part_xi_reconciliation.other_changes_net_assets</t>
        </is>
      </c>
      <c r="F300" s="8" t="inlineStr">
        <is>
          <t>high</t>
        </is>
      </c>
      <c r="G300" s="9" t="n">
        <v>58453</v>
      </c>
    </row>
    <row r="301">
      <c r="A301" s="8" t="inlineStr">
        <is>
          <t>Net-assets reconciliation</t>
        </is>
      </c>
      <c r="B301" s="8" t="inlineStr">
        <is>
          <t>F10</t>
        </is>
      </c>
      <c r="C301" s="8" t="inlineStr">
        <is>
          <t>9. Other changes in net assets</t>
        </is>
      </c>
      <c r="D301" s="8" t="inlineStr">
        <is>
          <t>Part XI line 9</t>
        </is>
      </c>
      <c r="E301" s="8" t="inlineStr">
        <is>
          <t>part_xi_reconciliation.other_changes_net_assets</t>
        </is>
      </c>
      <c r="F301" s="8" t="inlineStr">
        <is>
          <t>high</t>
        </is>
      </c>
      <c r="G301" s="9" t="n">
        <v>-511394</v>
      </c>
    </row>
    <row r="303">
      <c r="A303" s="45" t="inlineStr">
        <is>
          <t>C. Tie-out checks (filed vs computed; any nonzero variance is flagged red)</t>
        </is>
      </c>
      <c r="B303" s="7" t="n"/>
      <c r="C303" s="7" t="n"/>
      <c r="D303" s="7" t="n"/>
      <c r="E303" s="7" t="n"/>
      <c r="F303" s="7" t="n"/>
      <c r="G303" s="7" t="n"/>
      <c r="H303" s="7" t="n"/>
      <c r="I303" s="7" t="n"/>
      <c r="J303" s="7" t="n"/>
      <c r="K303" s="7" t="n"/>
    </row>
    <row r="304">
      <c r="A304" s="5" t="inlineStr">
        <is>
          <t>Tab</t>
        </is>
      </c>
      <c r="B304" s="5" t="inlineStr">
        <is>
          <t>Check</t>
        </is>
      </c>
      <c r="C304" s="5" t="inlineStr">
        <is>
          <t>Fiscal year</t>
        </is>
      </c>
      <c r="D304" s="5" t="inlineStr">
        <is>
          <t>Filed</t>
        </is>
      </c>
      <c r="E304" s="5" t="inlineStr">
        <is>
          <t>Computed</t>
        </is>
      </c>
      <c r="F304" s="5" t="inlineStr">
        <is>
          <t>Variance (computed - filed)</t>
        </is>
      </c>
    </row>
    <row r="305">
      <c r="A305" s="18" t="inlineStr">
        <is>
          <t>Revenue (detail)</t>
        </is>
      </c>
      <c r="B305" s="18" t="inlineStr">
        <is>
          <t>12. Total revenue</t>
        </is>
      </c>
      <c r="C305" s="18" t="inlineStr">
        <is>
          <t>FY2021</t>
        </is>
      </c>
      <c r="D305" s="9" t="n">
        <v>23669</v>
      </c>
      <c r="E305" s="9">
        <f>'Revenue (detail)'!B13</f>
        <v/>
      </c>
      <c r="F305" s="9">
        <f>E305-D305</f>
        <v/>
      </c>
    </row>
    <row r="306">
      <c r="A306" s="18" t="inlineStr">
        <is>
          <t>Revenue (detail)</t>
        </is>
      </c>
      <c r="B306" s="18" t="inlineStr">
        <is>
          <t>12. Total revenue</t>
        </is>
      </c>
      <c r="C306" s="18" t="inlineStr">
        <is>
          <t>FY2022</t>
        </is>
      </c>
      <c r="D306" s="9" t="n">
        <v>29727</v>
      </c>
      <c r="E306" s="9">
        <f>'Revenue (detail)'!C13</f>
        <v/>
      </c>
      <c r="F306" s="9">
        <f>E306-D306</f>
        <v/>
      </c>
    </row>
    <row r="307">
      <c r="A307" s="18" t="inlineStr">
        <is>
          <t>Revenue (detail)</t>
        </is>
      </c>
      <c r="B307" s="18" t="inlineStr">
        <is>
          <t>12. Total revenue</t>
        </is>
      </c>
      <c r="C307" s="18" t="inlineStr">
        <is>
          <t>FY2023</t>
        </is>
      </c>
      <c r="D307" s="9" t="n">
        <v>36601</v>
      </c>
      <c r="E307" s="9">
        <f>'Revenue (detail)'!D13</f>
        <v/>
      </c>
      <c r="F307" s="9">
        <f>E307-D307</f>
        <v/>
      </c>
    </row>
    <row r="308">
      <c r="A308" s="18" t="inlineStr">
        <is>
          <t>Revenue (detail)</t>
        </is>
      </c>
      <c r="B308" s="18" t="inlineStr">
        <is>
          <t>12. Total revenue</t>
        </is>
      </c>
      <c r="C308" s="18" t="inlineStr">
        <is>
          <t>FY2024</t>
        </is>
      </c>
      <c r="D308" s="9" t="n">
        <v>36572</v>
      </c>
      <c r="E308" s="9">
        <f>'Revenue (detail)'!E13</f>
        <v/>
      </c>
      <c r="F308" s="9">
        <f>E308-D308</f>
        <v/>
      </c>
    </row>
    <row r="309">
      <c r="A309" s="18" t="inlineStr">
        <is>
          <t>Revenue (detail)</t>
        </is>
      </c>
      <c r="B309" s="18" t="inlineStr">
        <is>
          <t>12. Total revenue</t>
        </is>
      </c>
      <c r="C309" s="18" t="inlineStr">
        <is>
          <t>FY2025</t>
        </is>
      </c>
      <c r="D309" s="9" t="n">
        <v>44152</v>
      </c>
      <c r="E309" s="9">
        <f>'Revenue (detail)'!F13</f>
        <v/>
      </c>
      <c r="F309" s="9">
        <f>E309-D309</f>
        <v/>
      </c>
    </row>
    <row r="310">
      <c r="A310" s="18" t="inlineStr">
        <is>
          <t>Revenue (detail)</t>
        </is>
      </c>
      <c r="B310" s="18" t="inlineStr">
        <is>
          <t>2g program service revenue = sum of lines 2a-2f (FY2025)</t>
        </is>
      </c>
      <c r="C310" s="18" t="inlineStr">
        <is>
          <t>FY2025</t>
        </is>
      </c>
      <c r="D310" s="9" t="n">
        <v>41793</v>
      </c>
      <c r="E310" s="9">
        <f>SUM('Revenue (detail)'!C17:C18)</f>
        <v/>
      </c>
      <c r="F310" s="9">
        <f>E310-D310</f>
        <v/>
      </c>
    </row>
    <row r="311">
      <c r="A311" s="18" t="inlineStr">
        <is>
          <t>Operating expenses (detail)</t>
        </is>
      </c>
      <c r="B311" s="18" t="inlineStr">
        <is>
          <t>25. Total functional expenses</t>
        </is>
      </c>
      <c r="C311" s="18" t="inlineStr">
        <is>
          <t>FY2021</t>
        </is>
      </c>
      <c r="D311" s="9" t="n">
        <v>36675</v>
      </c>
      <c r="E311" s="9">
        <f>'Operating expenses (detail)'!B45</f>
        <v/>
      </c>
      <c r="F311" s="9">
        <f>E311-D311</f>
        <v/>
      </c>
    </row>
    <row r="312">
      <c r="A312" s="18" t="inlineStr">
        <is>
          <t>Operating expenses (detail)</t>
        </is>
      </c>
      <c r="B312" s="18" t="inlineStr">
        <is>
          <t>25. Total functional expenses</t>
        </is>
      </c>
      <c r="C312" s="18" t="inlineStr">
        <is>
          <t>FY2022</t>
        </is>
      </c>
      <c r="D312" s="9" t="n">
        <v>44594</v>
      </c>
      <c r="E312" s="9">
        <f>'Operating expenses (detail)'!C45</f>
        <v/>
      </c>
      <c r="F312" s="9">
        <f>E312-D312</f>
        <v/>
      </c>
    </row>
    <row r="313">
      <c r="A313" s="18" t="inlineStr">
        <is>
          <t>Operating expenses (detail)</t>
        </is>
      </c>
      <c r="B313" s="18" t="inlineStr">
        <is>
          <t>25. Total functional expenses</t>
        </is>
      </c>
      <c r="C313" s="18" t="inlineStr">
        <is>
          <t>FY2023</t>
        </is>
      </c>
      <c r="D313" s="9" t="n">
        <v>48279</v>
      </c>
      <c r="E313" s="9">
        <f>'Operating expenses (detail)'!D45</f>
        <v/>
      </c>
      <c r="F313" s="9">
        <f>E313-D313</f>
        <v/>
      </c>
    </row>
    <row r="314">
      <c r="A314" s="18" t="inlineStr">
        <is>
          <t>Operating expenses (detail)</t>
        </is>
      </c>
      <c r="B314" s="18" t="inlineStr">
        <is>
          <t>25. Total functional expenses</t>
        </is>
      </c>
      <c r="C314" s="18" t="inlineStr">
        <is>
          <t>FY2024</t>
        </is>
      </c>
      <c r="D314" s="9" t="n">
        <v>45363</v>
      </c>
      <c r="E314" s="9">
        <f>'Operating expenses (detail)'!E45</f>
        <v/>
      </c>
      <c r="F314" s="9">
        <f>E314-D314</f>
        <v/>
      </c>
    </row>
    <row r="315">
      <c r="A315" s="18" t="inlineStr">
        <is>
          <t>Operating expenses (detail)</t>
        </is>
      </c>
      <c r="B315" s="18" t="inlineStr">
        <is>
          <t>25. Total functional expenses</t>
        </is>
      </c>
      <c r="C315" s="18" t="inlineStr">
        <is>
          <t>FY2025</t>
        </is>
      </c>
      <c r="D315" s="9" t="n">
        <v>47167</v>
      </c>
      <c r="E315" s="9">
        <f>'Operating expenses (detail)'!F45</f>
        <v/>
      </c>
      <c r="F315" s="9">
        <f>E315-D315</f>
        <v/>
      </c>
    </row>
    <row r="316">
      <c r="A316" s="18" t="inlineStr">
        <is>
          <t>Operating expenses (detail)</t>
        </is>
      </c>
      <c r="B316" s="18" t="inlineStr">
        <is>
          <t>Part IX column split: col A = B + C + D (FY2025)</t>
        </is>
      </c>
      <c r="C316" s="18" t="inlineStr">
        <is>
          <t>FY2025</t>
        </is>
      </c>
      <c r="D316" s="9">
        <f>'Operating expenses (detail)'!B78</f>
        <v/>
      </c>
      <c r="E316" s="9">
        <f>'Operating expenses (detail)'!C78+'Operating expenses (detail)'!D78+'Operating expenses (detail)'!E78</f>
        <v/>
      </c>
      <c r="F316" s="9">
        <f>E316-D316</f>
        <v/>
      </c>
    </row>
    <row r="317">
      <c r="A317" s="18" t="inlineStr">
        <is>
          <t>Balance sheet (detail)</t>
        </is>
      </c>
      <c r="B317" s="18" t="inlineStr">
        <is>
          <t>16. Total assets</t>
        </is>
      </c>
      <c r="C317" s="18" t="inlineStr">
        <is>
          <t>FY2021</t>
        </is>
      </c>
      <c r="D317" s="9" t="n">
        <v>795934</v>
      </c>
      <c r="E317" s="9">
        <f>'Balance sheet (detail)'!B22</f>
        <v/>
      </c>
      <c r="F317" s="9">
        <f>E317-D317</f>
        <v/>
      </c>
    </row>
    <row r="318">
      <c r="A318" s="18" t="inlineStr">
        <is>
          <t>Balance sheet (detail)</t>
        </is>
      </c>
      <c r="B318" s="18" t="inlineStr">
        <is>
          <t>16. Total assets</t>
        </is>
      </c>
      <c r="C318" s="18" t="inlineStr">
        <is>
          <t>FY2022</t>
        </is>
      </c>
      <c r="D318" s="9" t="n">
        <v>821000</v>
      </c>
      <c r="E318" s="9">
        <f>'Balance sheet (detail)'!C22</f>
        <v/>
      </c>
      <c r="F318" s="9">
        <f>E318-D318</f>
        <v/>
      </c>
    </row>
    <row r="319">
      <c r="A319" s="18" t="inlineStr">
        <is>
          <t>Balance sheet (detail)</t>
        </is>
      </c>
      <c r="B319" s="18" t="inlineStr">
        <is>
          <t>16. Total assets</t>
        </is>
      </c>
      <c r="C319" s="18" t="inlineStr">
        <is>
          <t>FY2023</t>
        </is>
      </c>
      <c r="D319" s="9" t="n">
        <v>864579</v>
      </c>
      <c r="E319" s="9">
        <f>'Balance sheet (detail)'!D22</f>
        <v/>
      </c>
      <c r="F319" s="9">
        <f>E319-D319</f>
        <v/>
      </c>
    </row>
    <row r="320">
      <c r="A320" s="18" t="inlineStr">
        <is>
          <t>Balance sheet (detail)</t>
        </is>
      </c>
      <c r="B320" s="18" t="inlineStr">
        <is>
          <t>16. Total assets</t>
        </is>
      </c>
      <c r="C320" s="18" t="inlineStr">
        <is>
          <t>FY2024</t>
        </is>
      </c>
      <c r="D320" s="9" t="n">
        <v>913861</v>
      </c>
      <c r="E320" s="9">
        <f>'Balance sheet (detail)'!E22</f>
        <v/>
      </c>
      <c r="F320" s="9">
        <f>E320-D320</f>
        <v/>
      </c>
    </row>
    <row r="321">
      <c r="A321" s="18" t="inlineStr">
        <is>
          <t>Balance sheet (detail)</t>
        </is>
      </c>
      <c r="B321" s="18" t="inlineStr">
        <is>
          <t>16. Total assets</t>
        </is>
      </c>
      <c r="C321" s="18" t="inlineStr">
        <is>
          <t>FY2025</t>
        </is>
      </c>
      <c r="D321" s="9" t="n">
        <v>399657</v>
      </c>
      <c r="E321" s="9">
        <f>'Balance sheet (detail)'!F22</f>
        <v/>
      </c>
      <c r="F321" s="9">
        <f>E321-D321</f>
        <v/>
      </c>
    </row>
    <row r="322">
      <c r="A322" s="18" t="inlineStr">
        <is>
          <t>Balance sheet (detail)</t>
        </is>
      </c>
      <c r="B322" s="18" t="inlineStr">
        <is>
          <t>26. Total liabilities</t>
        </is>
      </c>
      <c r="C322" s="18" t="inlineStr">
        <is>
          <t>FY2021</t>
        </is>
      </c>
      <c r="D322" s="9" t="n">
        <v>675</v>
      </c>
      <c r="E322" s="9">
        <f>'Balance sheet (detail)'!B27</f>
        <v/>
      </c>
      <c r="F322" s="9">
        <f>E322-D322</f>
        <v/>
      </c>
    </row>
    <row r="323">
      <c r="A323" s="18" t="inlineStr">
        <is>
          <t>Balance sheet (detail)</t>
        </is>
      </c>
      <c r="B323" s="18" t="inlineStr">
        <is>
          <t>26. Total liabilities</t>
        </is>
      </c>
      <c r="C323" s="18" t="inlineStr">
        <is>
          <t>FY2022</t>
        </is>
      </c>
      <c r="D323" s="9" t="n">
        <v>675</v>
      </c>
      <c r="E323" s="9">
        <f>'Balance sheet (detail)'!C27</f>
        <v/>
      </c>
      <c r="F323" s="9">
        <f>E323-D323</f>
        <v/>
      </c>
    </row>
    <row r="324">
      <c r="A324" s="18" t="inlineStr">
        <is>
          <t>Balance sheet (detail)</t>
        </is>
      </c>
      <c r="B324" s="18" t="inlineStr">
        <is>
          <t>26. Total liabilities</t>
        </is>
      </c>
      <c r="C324" s="18" t="inlineStr">
        <is>
          <t>FY2023</t>
        </is>
      </c>
      <c r="D324" s="9" t="n">
        <v>800</v>
      </c>
      <c r="E324" s="9">
        <f>'Balance sheet (detail)'!D27</f>
        <v/>
      </c>
      <c r="F324" s="9">
        <f>E324-D324</f>
        <v/>
      </c>
    </row>
    <row r="325">
      <c r="A325" s="18" t="inlineStr">
        <is>
          <t>Balance sheet (detail)</t>
        </is>
      </c>
      <c r="B325" s="18" t="inlineStr">
        <is>
          <t>26. Total liabilities</t>
        </is>
      </c>
      <c r="C325" s="18" t="inlineStr">
        <is>
          <t>FY2024</t>
        </is>
      </c>
      <c r="D325" s="9" t="n">
        <v>420</v>
      </c>
      <c r="E325" s="9">
        <f>'Balance sheet (detail)'!E27</f>
        <v/>
      </c>
      <c r="F325" s="9">
        <f>E325-D325</f>
        <v/>
      </c>
    </row>
    <row r="326">
      <c r="A326" s="18" t="inlineStr">
        <is>
          <t>Balance sheet (detail)</t>
        </is>
      </c>
      <c r="B326" s="18" t="inlineStr">
        <is>
          <t>26. Total liabilities</t>
        </is>
      </c>
      <c r="C326" s="18" t="inlineStr">
        <is>
          <t>FY2025</t>
        </is>
      </c>
      <c r="D326" s="9" t="n">
        <v>625</v>
      </c>
      <c r="E326" s="9">
        <f>'Balance sheet (detail)'!F27</f>
        <v/>
      </c>
      <c r="F326" s="9">
        <f>E326-D326</f>
        <v/>
      </c>
    </row>
    <row r="327">
      <c r="A327" s="18" t="inlineStr">
        <is>
          <t>Balance sheet (detail)</t>
        </is>
      </c>
      <c r="B327" s="18" t="inlineStr">
        <is>
          <t>32. Total net assets / fund balances</t>
        </is>
      </c>
      <c r="C327" s="18" t="inlineStr">
        <is>
          <t>FY2021</t>
        </is>
      </c>
      <c r="D327" s="9" t="n">
        <v>795259</v>
      </c>
      <c r="E327" s="9">
        <f>'Balance sheet (detail)'!B31</f>
        <v/>
      </c>
      <c r="F327" s="9">
        <f>E327-D327</f>
        <v/>
      </c>
    </row>
    <row r="328">
      <c r="A328" s="18" t="inlineStr">
        <is>
          <t>Balance sheet (detail)</t>
        </is>
      </c>
      <c r="B328" s="18" t="inlineStr">
        <is>
          <t>32. Total net assets / fund balances</t>
        </is>
      </c>
      <c r="C328" s="18" t="inlineStr">
        <is>
          <t>FY2022</t>
        </is>
      </c>
      <c r="D328" s="9" t="n">
        <v>820325</v>
      </c>
      <c r="E328" s="9">
        <f>'Balance sheet (detail)'!C31</f>
        <v/>
      </c>
      <c r="F328" s="9">
        <f>E328-D328</f>
        <v/>
      </c>
    </row>
    <row r="329">
      <c r="A329" s="18" t="inlineStr">
        <is>
          <t>Balance sheet (detail)</t>
        </is>
      </c>
      <c r="B329" s="18" t="inlineStr">
        <is>
          <t>32. Total net assets / fund balances</t>
        </is>
      </c>
      <c r="C329" s="18" t="inlineStr">
        <is>
          <t>FY2023</t>
        </is>
      </c>
      <c r="D329" s="9" t="n">
        <v>863779</v>
      </c>
      <c r="E329" s="9">
        <f>'Balance sheet (detail)'!D31</f>
        <v/>
      </c>
      <c r="F329" s="9">
        <f>E329-D329</f>
        <v/>
      </c>
    </row>
    <row r="330">
      <c r="A330" s="18" t="inlineStr">
        <is>
          <t>Balance sheet (detail)</t>
        </is>
      </c>
      <c r="B330" s="18" t="inlineStr">
        <is>
          <t>32. Total net assets / fund balances</t>
        </is>
      </c>
      <c r="C330" s="18" t="inlineStr">
        <is>
          <t>FY2024</t>
        </is>
      </c>
      <c r="D330" s="9" t="n">
        <v>913441</v>
      </c>
      <c r="E330" s="9">
        <f>'Balance sheet (detail)'!E31</f>
        <v/>
      </c>
      <c r="F330" s="9">
        <f>E330-D330</f>
        <v/>
      </c>
    </row>
    <row r="331">
      <c r="A331" s="18" t="inlineStr">
        <is>
          <t>Balance sheet (detail)</t>
        </is>
      </c>
      <c r="B331" s="18" t="inlineStr">
        <is>
          <t>32. Total net assets / fund balances</t>
        </is>
      </c>
      <c r="C331" s="18" t="inlineStr">
        <is>
          <t>FY2025</t>
        </is>
      </c>
      <c r="D331" s="9" t="n">
        <v>399032</v>
      </c>
      <c r="E331" s="9">
        <f>'Balance sheet (detail)'!F31</f>
        <v/>
      </c>
      <c r="F331" s="9">
        <f>E331-D331</f>
        <v/>
      </c>
    </row>
    <row r="332">
      <c r="A332" s="18" t="inlineStr">
        <is>
          <t>Balance sheet (detail)</t>
        </is>
      </c>
      <c r="B332" s="18" t="inlineStr">
        <is>
          <t>Balance sheet identity: line 16 = line 26 + line 32 (EOY)</t>
        </is>
      </c>
      <c r="C332" s="18" t="inlineStr">
        <is>
          <t>FY2021</t>
        </is>
      </c>
      <c r="D332" s="9">
        <f>'Balance sheet (detail)'!B22</f>
        <v/>
      </c>
      <c r="E332" s="9">
        <f>SUM('Balance sheet (detail)'!B27,'Balance sheet (detail)'!B31)</f>
        <v/>
      </c>
      <c r="F332" s="9">
        <f>E332-D332</f>
        <v/>
      </c>
    </row>
    <row r="333">
      <c r="A333" s="18" t="inlineStr">
        <is>
          <t>Balance sheet (detail)</t>
        </is>
      </c>
      <c r="B333" s="18" t="inlineStr">
        <is>
          <t>Balance sheet identity: line 16 = line 26 + line 32 (EOY)</t>
        </is>
      </c>
      <c r="C333" s="18" t="inlineStr">
        <is>
          <t>FY2022</t>
        </is>
      </c>
      <c r="D333" s="9">
        <f>'Balance sheet (detail)'!C22</f>
        <v/>
      </c>
      <c r="E333" s="9">
        <f>SUM('Balance sheet (detail)'!C27,'Balance sheet (detail)'!C31)</f>
        <v/>
      </c>
      <c r="F333" s="9">
        <f>E333-D333</f>
        <v/>
      </c>
    </row>
    <row r="334">
      <c r="A334" s="18" t="inlineStr">
        <is>
          <t>Balance sheet (detail)</t>
        </is>
      </c>
      <c r="B334" s="18" t="inlineStr">
        <is>
          <t>Balance sheet identity: line 16 = line 26 + line 32 (EOY)</t>
        </is>
      </c>
      <c r="C334" s="18" t="inlineStr">
        <is>
          <t>FY2023</t>
        </is>
      </c>
      <c r="D334" s="9">
        <f>'Balance sheet (detail)'!D22</f>
        <v/>
      </c>
      <c r="E334" s="9">
        <f>SUM('Balance sheet (detail)'!D27,'Balance sheet (detail)'!D31)</f>
        <v/>
      </c>
      <c r="F334" s="9">
        <f>E334-D334</f>
        <v/>
      </c>
    </row>
    <row r="335">
      <c r="A335" s="18" t="inlineStr">
        <is>
          <t>Balance sheet (detail)</t>
        </is>
      </c>
      <c r="B335" s="18" t="inlineStr">
        <is>
          <t>Balance sheet identity: line 16 = line 26 + line 32 (EOY)</t>
        </is>
      </c>
      <c r="C335" s="18" t="inlineStr">
        <is>
          <t>FY2024</t>
        </is>
      </c>
      <c r="D335" s="9">
        <f>'Balance sheet (detail)'!E22</f>
        <v/>
      </c>
      <c r="E335" s="9">
        <f>SUM('Balance sheet (detail)'!E27,'Balance sheet (detail)'!E31)</f>
        <v/>
      </c>
      <c r="F335" s="9">
        <f>E335-D335</f>
        <v/>
      </c>
    </row>
    <row r="336">
      <c r="A336" s="18" t="inlineStr">
        <is>
          <t>Balance sheet (detail)</t>
        </is>
      </c>
      <c r="B336" s="18" t="inlineStr">
        <is>
          <t>Balance sheet identity: line 16 = line 26 + line 32 (EOY)</t>
        </is>
      </c>
      <c r="C336" s="18" t="inlineStr">
        <is>
          <t>FY2025</t>
        </is>
      </c>
      <c r="D336" s="9">
        <f>'Balance sheet (detail)'!F22</f>
        <v/>
      </c>
      <c r="E336" s="9">
        <f>SUM('Balance sheet (detail)'!F27,'Balance sheet (detail)'!F31)</f>
        <v/>
      </c>
      <c r="F336" s="9">
        <f>E336-D336</f>
        <v/>
      </c>
    </row>
    <row r="337">
      <c r="A337" s="18" t="inlineStr">
        <is>
          <t>Net-assets reconciliation</t>
        </is>
      </c>
      <c r="B337" s="18" t="inlineStr">
        <is>
          <t>10. Net assets, end of year</t>
        </is>
      </c>
      <c r="C337" s="18" t="inlineStr">
        <is>
          <t>FY2021</t>
        </is>
      </c>
      <c r="D337" s="9" t="n">
        <v>795259</v>
      </c>
      <c r="E337" s="9">
        <f>'Net-assets reconciliation'!B11</f>
        <v/>
      </c>
      <c r="F337" s="9">
        <f>E337-D337</f>
        <v/>
      </c>
    </row>
    <row r="338">
      <c r="A338" s="18" t="inlineStr">
        <is>
          <t>Net-assets reconciliation</t>
        </is>
      </c>
      <c r="B338" s="18" t="inlineStr">
        <is>
          <t>10. Net assets, end of year</t>
        </is>
      </c>
      <c r="C338" s="18" t="inlineStr">
        <is>
          <t>FY2022</t>
        </is>
      </c>
      <c r="D338" s="9" t="n">
        <v>820325</v>
      </c>
      <c r="E338" s="9">
        <f>'Net-assets reconciliation'!C11</f>
        <v/>
      </c>
      <c r="F338" s="9">
        <f>E338-D338</f>
        <v/>
      </c>
    </row>
    <row r="339">
      <c r="A339" s="18" t="inlineStr">
        <is>
          <t>Net-assets reconciliation</t>
        </is>
      </c>
      <c r="B339" s="18" t="inlineStr">
        <is>
          <t>10. Net assets, end of year</t>
        </is>
      </c>
      <c r="C339" s="18" t="inlineStr">
        <is>
          <t>FY2023</t>
        </is>
      </c>
      <c r="D339" s="9" t="n">
        <v>863779</v>
      </c>
      <c r="E339" s="9">
        <f>'Net-assets reconciliation'!D11</f>
        <v/>
      </c>
      <c r="F339" s="9">
        <f>E339-D339</f>
        <v/>
      </c>
    </row>
    <row r="340">
      <c r="A340" s="18" t="inlineStr">
        <is>
          <t>Net-assets reconciliation</t>
        </is>
      </c>
      <c r="B340" s="18" t="inlineStr">
        <is>
          <t>10. Net assets, end of year</t>
        </is>
      </c>
      <c r="C340" s="18" t="inlineStr">
        <is>
          <t>FY2024</t>
        </is>
      </c>
      <c r="D340" s="9" t="n">
        <v>913441</v>
      </c>
      <c r="E340" s="9">
        <f>'Net-assets reconciliation'!E11</f>
        <v/>
      </c>
      <c r="F340" s="9">
        <f>E340-D340</f>
        <v/>
      </c>
    </row>
    <row r="341">
      <c r="A341" s="18" t="inlineStr">
        <is>
          <t>Net-assets reconciliation</t>
        </is>
      </c>
      <c r="B341" s="18" t="inlineStr">
        <is>
          <t>10. Net assets, end of year</t>
        </is>
      </c>
      <c r="C341" s="18" t="inlineStr">
        <is>
          <t>FY2025</t>
        </is>
      </c>
      <c r="D341" s="9" t="n">
        <v>399032</v>
      </c>
      <c r="E341" s="9">
        <f>'Net-assets reconciliation'!F11</f>
        <v/>
      </c>
      <c r="F341" s="9">
        <f>E341-D341</f>
        <v/>
      </c>
    </row>
    <row r="343">
      <c r="A343" s="45" t="inlineStr">
        <is>
          <t>D. Preparer / auditor trail (one row per fiscal year, as filed)</t>
        </is>
      </c>
      <c r="B343" s="7" t="n"/>
      <c r="C343" s="7" t="n"/>
      <c r="D343" s="7" t="n"/>
      <c r="E343" s="7" t="n"/>
      <c r="F343" s="7" t="n"/>
      <c r="G343" s="7" t="n"/>
      <c r="H343" s="7" t="n"/>
      <c r="I343" s="7" t="n"/>
      <c r="J343" s="7" t="n"/>
      <c r="K343" s="7" t="n"/>
    </row>
    <row r="344">
      <c r="A344" s="5" t="inlineStr">
        <is>
          <t>Fiscal year</t>
        </is>
      </c>
      <c r="B344" s="5" t="inlineStr">
        <is>
          <t>Paid preparer</t>
        </is>
      </c>
      <c r="C344" s="5" t="inlineStr">
        <is>
          <t>Preparer firm</t>
        </is>
      </c>
      <c r="D344" s="5" t="inlineStr">
        <is>
          <t>Independent auditor</t>
        </is>
      </c>
      <c r="E344" s="5" t="inlineStr">
        <is>
          <t>Citation</t>
        </is>
      </c>
    </row>
    <row r="345" ht="42" customHeight="1">
      <c r="A345" s="46" t="inlineStr">
        <is>
          <t>FY2021</t>
        </is>
      </c>
      <c r="B345" s="8" t="inlineStr">
        <is>
          <t>SHERRY THORE CPA</t>
        </is>
      </c>
      <c r="C345" s="8" t="inlineStr">
        <is>
          <t>Owens &amp; Thore Tax Professionals Inc</t>
        </is>
      </c>
      <c r="D345" s="49" t="inlineStr">
        <is>
          <t>not reported</t>
        </is>
      </c>
      <c r="E345" s="23" t="inlineStr">
        <is>
          <t>Form 990 Return Header, Paid Preparer block (return_header.preparer_person_name / preparer_firm_name); auditor: Part XII line 2 reports audited financial statements but does not name the firm.</t>
        </is>
      </c>
    </row>
    <row r="346" ht="42" customHeight="1">
      <c r="A346" s="46" t="inlineStr">
        <is>
          <t>FY2022</t>
        </is>
      </c>
      <c r="B346" s="8" t="inlineStr">
        <is>
          <t>SHERRY THORE CPA</t>
        </is>
      </c>
      <c r="C346" s="8" t="inlineStr">
        <is>
          <t>Owens &amp; Thore Tax Professionals Inc</t>
        </is>
      </c>
      <c r="D346" s="49" t="inlineStr">
        <is>
          <t>not reported</t>
        </is>
      </c>
      <c r="E346" s="23" t="inlineStr">
        <is>
          <t>Form 990 Return Header, Paid Preparer block (return_header.preparer_person_name / preparer_firm_name); auditor: Part XII line 2 reports audited financial statements but does not name the firm.</t>
        </is>
      </c>
    </row>
    <row r="347" ht="42" customHeight="1">
      <c r="A347" s="46" t="inlineStr">
        <is>
          <t>FY2023</t>
        </is>
      </c>
      <c r="B347" s="8" t="inlineStr">
        <is>
          <t>G STEWART FRIES</t>
        </is>
      </c>
      <c r="C347" s="8" t="inlineStr">
        <is>
          <t>Sorenson &amp; Associates</t>
        </is>
      </c>
      <c r="D347" s="49" t="inlineStr">
        <is>
          <t>not reported</t>
        </is>
      </c>
      <c r="E347" s="23" t="inlineStr">
        <is>
          <t>Form 990 Return Header, Paid Preparer block (return_header.preparer_person_name / preparer_firm_name); auditor: Part XII line 2 reports audited financial statements but does not name the firm.</t>
        </is>
      </c>
    </row>
    <row r="348" ht="42" customHeight="1">
      <c r="A348" s="46" t="inlineStr">
        <is>
          <t>FY2024</t>
        </is>
      </c>
      <c r="B348" s="8" t="inlineStr">
        <is>
          <t>G STEWART FRIES</t>
        </is>
      </c>
      <c r="C348" s="8" t="inlineStr">
        <is>
          <t>Sorenson &amp; Associates</t>
        </is>
      </c>
      <c r="D348" s="49" t="inlineStr">
        <is>
          <t>not reported</t>
        </is>
      </c>
      <c r="E348" s="23" t="inlineStr">
        <is>
          <t>Form 990 Return Header, Paid Preparer block (return_header.preparer_person_name / preparer_firm_name); auditor: Part XII line 2 reports audited financial statements but does not name the firm.</t>
        </is>
      </c>
    </row>
    <row r="349" ht="42" customHeight="1">
      <c r="A349" s="46" t="inlineStr">
        <is>
          <t>FY2025</t>
        </is>
      </c>
      <c r="B349" s="8" t="inlineStr">
        <is>
          <t>G STEWART FRIES</t>
        </is>
      </c>
      <c r="C349" s="8" t="inlineStr">
        <is>
          <t>Sorenson &amp; Associates</t>
        </is>
      </c>
      <c r="D349" s="49" t="inlineStr">
        <is>
          <t>not reported</t>
        </is>
      </c>
      <c r="E349" s="23" t="inlineStr">
        <is>
          <t>Form 990 Return Header, Paid Preparer block (return_header.preparer_person_name / preparer_firm_name); auditor: Part XII line 2 reports audited financial statements but does not name the firm.</t>
        </is>
      </c>
    </row>
    <row r="351" ht="42" customHeight="1">
      <c r="A35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51:K351"/>
    <mergeCell ref="A3:K3"/>
    <mergeCell ref="A2:K2"/>
    <mergeCell ref="A5:K5"/>
    <mergeCell ref="A1:K1"/>
  </mergeCells>
  <conditionalFormatting sqref="F305:F341">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