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Anomaly Flags" sheetId="21" state="visible" r:id="rId21"/>
    <sheet name="Sources &amp; audit" sheetId="22" state="visible" r:id="rId22"/>
    <sheet name="Provenance" sheetId="23" state="visible" r:id="rId23"/>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
      <name val="Calibri"/>
      <b val="1"/>
      <color rgb="007F6000"/>
      <sz val="10"/>
    </font>
    <font>
      <name val="Calibri"/>
      <i val="1"/>
      <color rgb="007F4F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0" fillId="6" borderId="1" applyAlignment="1" pivotButton="0" quotePrefix="0" xfId="0">
      <alignment horizontal="right"/>
    </xf>
    <xf numFmtId="1" fontId="10" fillId="6"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8" fillId="5" borderId="1" applyAlignment="1" pivotButton="0" quotePrefix="0" xfId="0">
      <alignment horizontal="right"/>
    </xf>
    <xf numFmtId="166" fontId="8" fillId="5" borderId="1" applyAlignment="1" pivotButton="0" quotePrefix="0" xfId="0">
      <alignment horizontal="right"/>
    </xf>
    <xf numFmtId="166" fontId="8" fillId="4" borderId="1" applyAlignment="1" pivotButton="0" quotePrefix="0" xfId="0">
      <alignment horizontal="right"/>
    </xf>
    <xf numFmtId="10" fontId="8" fillId="5" borderId="1" applyAlignment="1" pivotButton="0" quotePrefix="0" xfId="0">
      <alignment horizontal="right"/>
    </xf>
    <xf numFmtId="2" fontId="8" fillId="5" borderId="1" applyAlignment="1" pivotButton="0" quotePrefix="0" xfId="0">
      <alignment horizontal="right"/>
    </xf>
    <xf numFmtId="0" fontId="8"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9" fillId="0" borderId="1" applyAlignment="1" pivotButton="0" quotePrefix="0" xfId="0">
      <alignment horizontal="center" vertical="center"/>
    </xf>
    <xf numFmtId="0" fontId="11" fillId="7" borderId="1" applyAlignment="1" pivotButton="0" quotePrefix="0" xfId="0">
      <alignment horizontal="left" vertical="top" wrapText="1"/>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Cayetano Mutual Water Company</t>
        </is>
      </c>
    </row>
    <row r="2">
      <c r="A2" s="2" t="inlineStr">
        <is>
          <t>Financial Summary - multi-year overview (USD)</t>
        </is>
      </c>
    </row>
    <row r="3">
      <c r="A3" s="2" t="inlineStr">
        <is>
          <t>Entity ID: cawc_0012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550804</v>
      </c>
      <c r="C10" s="9" t="n">
        <v>614919</v>
      </c>
      <c r="D10" s="9" t="n">
        <v>622008</v>
      </c>
      <c r="E10" s="9" t="n">
        <v>504438</v>
      </c>
      <c r="F10" s="9" t="n">
        <v>688756</v>
      </c>
      <c r="G10" s="9" t="n">
        <v>740896</v>
      </c>
    </row>
    <row r="11">
      <c r="A11" s="8" t="inlineStr">
        <is>
          <t xml:space="preserve">    Total expenses</t>
        </is>
      </c>
      <c r="B11" s="9" t="n">
        <v>638511</v>
      </c>
      <c r="C11" s="9" t="n">
        <v>666664</v>
      </c>
      <c r="D11" s="9" t="n">
        <v>776385</v>
      </c>
      <c r="E11" s="9" t="n">
        <v>675762</v>
      </c>
      <c r="F11" s="9" t="n">
        <v>850296</v>
      </c>
      <c r="G11" s="9" t="n">
        <v>849440</v>
      </c>
    </row>
    <row r="12">
      <c r="A12" s="10" t="inlineStr">
        <is>
          <t xml:space="preserve">    Net income</t>
        </is>
      </c>
      <c r="B12" s="11" t="n">
        <v>-87707</v>
      </c>
      <c r="C12" s="11" t="n">
        <v>-51745</v>
      </c>
      <c r="D12" s="11" t="n">
        <v>-154377</v>
      </c>
      <c r="E12" s="11" t="n">
        <v>-171324</v>
      </c>
      <c r="F12" s="11" t="n">
        <v>-161540</v>
      </c>
      <c r="G12" s="11" t="n">
        <v>-108544</v>
      </c>
    </row>
    <row r="14">
      <c r="A14" s="6" t="inlineStr">
        <is>
          <t>Financial position (USD, end of year)</t>
        </is>
      </c>
      <c r="B14" s="7" t="n"/>
      <c r="C14" s="7" t="n"/>
      <c r="D14" s="7" t="n"/>
      <c r="E14" s="7" t="n"/>
      <c r="F14" s="7" t="n"/>
      <c r="G14" s="7" t="n"/>
    </row>
    <row r="15">
      <c r="A15" s="8" t="inlineStr">
        <is>
          <t xml:space="preserve">    Total assets</t>
        </is>
      </c>
      <c r="B15" s="9" t="n">
        <v>2314486</v>
      </c>
      <c r="C15" s="9" t="n">
        <v>2338149</v>
      </c>
      <c r="D15" s="9" t="n">
        <v>2298858</v>
      </c>
      <c r="E15" s="9" t="n">
        <v>2274179</v>
      </c>
      <c r="F15" s="9" t="n">
        <v>2320111</v>
      </c>
      <c r="G15" s="9" t="n">
        <v>2312922</v>
      </c>
    </row>
    <row r="16">
      <c r="A16" s="8" t="inlineStr">
        <is>
          <t xml:space="preserve">    Total liabilities</t>
        </is>
      </c>
      <c r="B16" s="9" t="n">
        <v>136442</v>
      </c>
      <c r="C16" s="9" t="n">
        <v>91972</v>
      </c>
      <c r="D16" s="9" t="n">
        <v>84828</v>
      </c>
      <c r="E16" s="9" t="n">
        <v>111413</v>
      </c>
      <c r="F16" s="9" t="n">
        <v>198830</v>
      </c>
      <c r="G16" s="9" t="n">
        <v>171125</v>
      </c>
    </row>
    <row r="17">
      <c r="A17" s="10" t="inlineStr">
        <is>
          <t xml:space="preserve">    Net assets</t>
        </is>
      </c>
      <c r="B17" s="11" t="n">
        <v>2178044</v>
      </c>
      <c r="C17" s="11" t="n">
        <v>2246177</v>
      </c>
      <c r="D17" s="11" t="n">
        <v>2214030</v>
      </c>
      <c r="E17" s="11" t="n">
        <v>2162766</v>
      </c>
      <c r="F17" s="11" t="n">
        <v>2121281</v>
      </c>
      <c r="G17" s="11" t="n">
        <v>2141797</v>
      </c>
    </row>
    <row r="19">
      <c r="A19" s="6" t="inlineStr">
        <is>
          <t>Headline ratios</t>
        </is>
      </c>
      <c r="B19" s="7" t="n"/>
      <c r="C19" s="7" t="n"/>
      <c r="D19" s="7" t="n"/>
      <c r="E19" s="7" t="n"/>
      <c r="F19" s="7" t="n"/>
      <c r="G19" s="7" t="n"/>
    </row>
    <row r="20">
      <c r="A20" s="8" t="inlineStr">
        <is>
          <t xml:space="preserve">    Operating margin</t>
        </is>
      </c>
      <c r="B20" s="12" t="n">
        <v>-0.1592345008387739</v>
      </c>
      <c r="C20" s="12" t="n">
        <v>-0.08414929445992074</v>
      </c>
      <c r="D20" s="12" t="n">
        <v>-0.2481913415904619</v>
      </c>
      <c r="E20" s="12" t="n">
        <v>-0.3396334138189431</v>
      </c>
      <c r="F20" s="12" t="n">
        <v>-0.2345387916765879</v>
      </c>
      <c r="G20" s="12" t="n">
        <v>-0.1465036928259837</v>
      </c>
    </row>
    <row r="21">
      <c r="A21" s="8" t="inlineStr">
        <is>
          <t xml:space="preserve">    Revenue growth (YoY)</t>
        </is>
      </c>
      <c r="B21" s="12" t="n">
        <v>0.1505669237389393</v>
      </c>
      <c r="C21" s="12" t="n">
        <v>0.1164025678825862</v>
      </c>
      <c r="D21" s="12" t="n">
        <v>0.01152834763603011</v>
      </c>
      <c r="E21" s="12" t="n">
        <v>-0.189016861519466</v>
      </c>
      <c r="F21" s="12" t="n">
        <v>0.3653927737402813</v>
      </c>
      <c r="G21" s="12" t="n">
        <v>0.07570169987629871</v>
      </c>
    </row>
    <row r="22">
      <c r="A22" s="8" t="inlineStr">
        <is>
          <t xml:space="preserve">    Return on assets</t>
        </is>
      </c>
      <c r="B22" s="12" t="n">
        <v>-0.03789480688152791</v>
      </c>
      <c r="C22" s="12" t="n">
        <v>-0.02213075385700398</v>
      </c>
      <c r="D22" s="12" t="n">
        <v>-0.06715377809329676</v>
      </c>
      <c r="E22" s="12" t="n">
        <v>-0.07533443937350578</v>
      </c>
      <c r="F22" s="12" t="n">
        <v>-0.06962597910186194</v>
      </c>
      <c r="G22" s="12" t="n">
        <v>-0.04692938196791764</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Cayetano Mutual Water Company</t>
        </is>
      </c>
    </row>
    <row r="2">
      <c r="A2" s="2" t="inlineStr">
        <is>
          <t>Financial Statements - income statement, balance sheet, cash flow, member income test (USD)</t>
        </is>
      </c>
    </row>
    <row r="3">
      <c r="A3" s="2" t="inlineStr">
        <is>
          <t>Entity ID: cawc_0012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550422</v>
      </c>
      <c r="C8" s="9" t="n">
        <v>614301</v>
      </c>
      <c r="D8" s="9" t="n">
        <v>621870</v>
      </c>
      <c r="E8" s="9" t="n">
        <v>504433</v>
      </c>
      <c r="F8" s="9" t="n">
        <v>688217</v>
      </c>
      <c r="G8" s="9" t="n">
        <v>737231</v>
      </c>
    </row>
    <row r="9">
      <c r="A9" s="8" t="inlineStr">
        <is>
          <t xml:space="preserve">    Investment income</t>
        </is>
      </c>
      <c r="B9" s="9" t="n">
        <v>382</v>
      </c>
      <c r="C9" s="9" t="n">
        <v>618</v>
      </c>
      <c r="D9" s="9" t="n">
        <v>138</v>
      </c>
      <c r="E9" s="9" t="n">
        <v>5</v>
      </c>
      <c r="F9" s="9" t="n">
        <v>539</v>
      </c>
      <c r="G9" s="9" t="n">
        <v>177</v>
      </c>
    </row>
    <row r="10">
      <c r="A10" s="8" t="inlineStr">
        <is>
          <t xml:space="preserve">    Net rental income</t>
        </is>
      </c>
      <c r="B10" s="9" t="n"/>
      <c r="C10" s="9" t="n"/>
      <c r="D10" s="9" t="n"/>
      <c r="E10" s="9" t="n"/>
      <c r="F10" s="9" t="n"/>
      <c r="G10" s="9" t="n">
        <v>3750</v>
      </c>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v>-262</v>
      </c>
    </row>
    <row r="13">
      <c r="A13" s="8" t="inlineStr">
        <is>
          <t xml:space="preserve">    Contributions &amp; grants</t>
        </is>
      </c>
      <c r="B13" s="9" t="n"/>
      <c r="C13" s="9" t="n"/>
      <c r="D13" s="9" t="n"/>
      <c r="E13" s="9" t="n"/>
      <c r="F13" s="9" t="n"/>
      <c r="G13" s="9" t="n"/>
    </row>
    <row r="14">
      <c r="A14" s="10" t="inlineStr">
        <is>
          <t>Total revenue</t>
        </is>
      </c>
      <c r="B14" s="11" t="n">
        <v>550804</v>
      </c>
      <c r="C14" s="11" t="n">
        <v>614919</v>
      </c>
      <c r="D14" s="11" t="n">
        <v>622008</v>
      </c>
      <c r="E14" s="11" t="n">
        <v>504438</v>
      </c>
      <c r="F14" s="11" t="n">
        <v>688756</v>
      </c>
      <c r="G14" s="11" t="n">
        <v>740896</v>
      </c>
    </row>
    <row r="16">
      <c r="A16" s="6" t="inlineStr">
        <is>
          <t>Expenses</t>
        </is>
      </c>
      <c r="B16" s="7" t="n"/>
      <c r="C16" s="7" t="n"/>
      <c r="D16" s="7" t="n"/>
      <c r="E16" s="7" t="n"/>
      <c r="F16" s="7" t="n"/>
      <c r="G16" s="7" t="n"/>
    </row>
    <row r="17">
      <c r="A17" s="8" t="inlineStr">
        <is>
          <t xml:space="preserve">    Depreciation</t>
        </is>
      </c>
      <c r="B17" s="9" t="n">
        <v>142732</v>
      </c>
      <c r="C17" s="9" t="n">
        <v>148842</v>
      </c>
      <c r="D17" s="9" t="n">
        <v>153708</v>
      </c>
      <c r="E17" s="9" t="n">
        <v>154263</v>
      </c>
      <c r="F17" s="9" t="n">
        <v>154118</v>
      </c>
      <c r="G17" s="9" t="n">
        <v>159525</v>
      </c>
    </row>
    <row r="18">
      <c r="A18" s="8" t="inlineStr">
        <is>
          <t xml:space="preserve">    Interest expense</t>
        </is>
      </c>
      <c r="B18" s="9" t="n"/>
      <c r="C18" s="9" t="n"/>
      <c r="D18" s="9" t="n"/>
      <c r="E18" s="9" t="n"/>
      <c r="F18" s="9" t="n"/>
      <c r="G18" s="9" t="n"/>
    </row>
    <row r="19">
      <c r="A19" s="10" t="inlineStr">
        <is>
          <t>Total expenses</t>
        </is>
      </c>
      <c r="B19" s="11" t="n">
        <v>638511</v>
      </c>
      <c r="C19" s="11" t="n">
        <v>666664</v>
      </c>
      <c r="D19" s="11" t="n">
        <v>776385</v>
      </c>
      <c r="E19" s="11" t="n">
        <v>675762</v>
      </c>
      <c r="F19" s="11" t="n">
        <v>850296</v>
      </c>
      <c r="G19" s="11" t="n">
        <v>849440</v>
      </c>
    </row>
    <row r="21">
      <c r="A21" s="10" t="inlineStr">
        <is>
          <t>Net income</t>
        </is>
      </c>
      <c r="B21" s="11" t="n">
        <v>-87707</v>
      </c>
      <c r="C21" s="11" t="n">
        <v>-51745</v>
      </c>
      <c r="D21" s="11" t="n">
        <v>-154377</v>
      </c>
      <c r="E21" s="11" t="n">
        <v>-171324</v>
      </c>
      <c r="F21" s="11" t="n">
        <v>-161540</v>
      </c>
      <c r="G21" s="11" t="n">
        <v>-108544</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420890</v>
      </c>
      <c r="C27" s="9" t="n">
        <v>449579</v>
      </c>
      <c r="D27" s="9" t="n">
        <v>572896</v>
      </c>
      <c r="E27" s="9" t="n">
        <v>659108</v>
      </c>
      <c r="F27" s="9" t="n">
        <v>257151</v>
      </c>
      <c r="G27" s="9" t="n">
        <v>242796</v>
      </c>
    </row>
    <row r="28">
      <c r="A28" s="8" t="inlineStr">
        <is>
          <t xml:space="preserve">    Savings &amp; temporary investments</t>
        </is>
      </c>
      <c r="B28" s="9" t="n">
        <v>15016</v>
      </c>
      <c r="C28" s="9" t="n">
        <v>15017</v>
      </c>
      <c r="D28" s="9" t="n">
        <v>15019</v>
      </c>
      <c r="E28" s="9" t="n">
        <v>15024</v>
      </c>
      <c r="F28" s="9" t="n">
        <v>25384</v>
      </c>
      <c r="G28" s="9" t="n">
        <v>25561</v>
      </c>
    </row>
    <row r="29">
      <c r="A29" s="8" t="inlineStr">
        <is>
          <t xml:space="preserve">    Accounts receivable</t>
        </is>
      </c>
      <c r="B29" s="9" t="n">
        <v>85416</v>
      </c>
      <c r="C29" s="9" t="n">
        <v>70456</v>
      </c>
      <c r="D29" s="9" t="n">
        <v>65917</v>
      </c>
      <c r="E29" s="9" t="n">
        <v>109284</v>
      </c>
      <c r="F29" s="9" t="n">
        <v>140711</v>
      </c>
      <c r="G29" s="9" t="n">
        <v>95086</v>
      </c>
    </row>
    <row r="30">
      <c r="A30" s="8" t="inlineStr">
        <is>
          <t xml:space="preserve">    Inventories</t>
        </is>
      </c>
      <c r="B30" s="9" t="n"/>
      <c r="C30" s="9" t="n"/>
      <c r="D30" s="9" t="n"/>
      <c r="E30" s="9" t="n"/>
      <c r="F30" s="9" t="n"/>
      <c r="G30" s="9" t="n"/>
    </row>
    <row r="31">
      <c r="A31" s="8" t="inlineStr">
        <is>
          <t xml:space="preserve">    Prepaid expenses</t>
        </is>
      </c>
      <c r="B31" s="9" t="n">
        <v>7236</v>
      </c>
      <c r="C31" s="9" t="n">
        <v>7963</v>
      </c>
      <c r="D31" s="9" t="n">
        <v>3600</v>
      </c>
      <c r="E31" s="9" t="n">
        <v>3600</v>
      </c>
      <c r="F31" s="9" t="n">
        <v>4651</v>
      </c>
      <c r="G31" s="9" t="n">
        <v>3600</v>
      </c>
    </row>
    <row r="32">
      <c r="A32" s="8" t="inlineStr">
        <is>
          <t xml:space="preserve">    Property, plant &amp; equipment (gross)</t>
        </is>
      </c>
      <c r="B32" s="9" t="n">
        <v>3593211</v>
      </c>
      <c r="C32" s="9" t="n">
        <v>3751257</v>
      </c>
      <c r="D32" s="9" t="n">
        <v>3751256</v>
      </c>
      <c r="E32" s="9" t="n">
        <v>3751256</v>
      </c>
      <c r="F32" s="9" t="n">
        <v>4299876</v>
      </c>
      <c r="G32" s="9" t="n">
        <v>4347319</v>
      </c>
    </row>
    <row r="33">
      <c r="A33" s="8" t="inlineStr">
        <is>
          <t xml:space="preserve">    Less: accumulated depreciation</t>
        </is>
      </c>
      <c r="B33" s="9" t="n">
        <v>-1815283</v>
      </c>
      <c r="C33" s="9" t="n">
        <v>-1964123</v>
      </c>
      <c r="D33" s="9" t="n">
        <v>-2117830</v>
      </c>
      <c r="E33" s="9" t="n">
        <v>-2272093</v>
      </c>
      <c r="F33" s="9" t="n">
        <v>-2426212</v>
      </c>
      <c r="G33" s="9" t="n">
        <v>-2558665</v>
      </c>
    </row>
    <row r="34">
      <c r="A34" s="10" t="inlineStr">
        <is>
          <t xml:space="preserve">    Net property, plant &amp; equipment</t>
        </is>
      </c>
      <c r="B34" s="11" t="n">
        <v>1777928</v>
      </c>
      <c r="C34" s="11" t="n">
        <v>1787134</v>
      </c>
      <c r="D34" s="11" t="n">
        <v>1633426</v>
      </c>
      <c r="E34" s="11" t="n">
        <v>1479163</v>
      </c>
      <c r="F34" s="11" t="n">
        <v>1873664</v>
      </c>
      <c r="G34" s="11" t="n">
        <v>1788654</v>
      </c>
    </row>
    <row r="35">
      <c r="A35" s="10" t="inlineStr">
        <is>
          <t>Total assets</t>
        </is>
      </c>
      <c r="B35" s="11" t="n">
        <v>2314486</v>
      </c>
      <c r="C35" s="11" t="n">
        <v>2338149</v>
      </c>
      <c r="D35" s="11" t="n">
        <v>2298858</v>
      </c>
      <c r="E35" s="11" t="n">
        <v>2274179</v>
      </c>
      <c r="F35" s="11" t="n">
        <v>2320111</v>
      </c>
      <c r="G35" s="11" t="n">
        <v>2312922</v>
      </c>
    </row>
    <row r="37">
      <c r="A37" s="6" t="inlineStr">
        <is>
          <t>Liabilities</t>
        </is>
      </c>
      <c r="B37" s="7" t="n"/>
      <c r="C37" s="7" t="n"/>
      <c r="D37" s="7" t="n"/>
      <c r="E37" s="7" t="n"/>
      <c r="F37" s="7" t="n"/>
      <c r="G37" s="7" t="n"/>
    </row>
    <row r="38">
      <c r="A38" s="8" t="inlineStr">
        <is>
          <t xml:space="preserve">    Accounts payable</t>
        </is>
      </c>
      <c r="B38" s="9" t="n">
        <v>136442</v>
      </c>
      <c r="C38" s="9" t="n">
        <v>91972</v>
      </c>
      <c r="D38" s="9" t="n">
        <v>84828</v>
      </c>
      <c r="E38" s="9" t="n">
        <v>111413</v>
      </c>
      <c r="F38" s="9" t="n">
        <v>198830</v>
      </c>
      <c r="G38" s="9" t="n">
        <v>171125</v>
      </c>
    </row>
    <row r="39">
      <c r="A39" s="8" t="inlineStr">
        <is>
          <t xml:space="preserve">    Mortgages &amp; notes payable</t>
        </is>
      </c>
      <c r="B39" s="9" t="n"/>
      <c r="C39" s="9" t="n"/>
      <c r="D39" s="9" t="n"/>
      <c r="E39" s="9" t="n"/>
      <c r="F39" s="9" t="n"/>
      <c r="G39" s="9" t="n"/>
    </row>
    <row r="40">
      <c r="A40" s="10" t="inlineStr">
        <is>
          <t>Total liabilities</t>
        </is>
      </c>
      <c r="B40" s="11" t="n">
        <v>136442</v>
      </c>
      <c r="C40" s="11" t="n">
        <v>91972</v>
      </c>
      <c r="D40" s="11" t="n">
        <v>84828</v>
      </c>
      <c r="E40" s="11" t="n">
        <v>111413</v>
      </c>
      <c r="F40" s="11" t="n">
        <v>198830</v>
      </c>
      <c r="G40" s="11" t="n">
        <v>171125</v>
      </c>
    </row>
    <row r="42">
      <c r="A42" s="6" t="inlineStr">
        <is>
          <t>Net Assets / Equity</t>
        </is>
      </c>
      <c r="B42" s="7" t="n"/>
      <c r="C42" s="7" t="n"/>
      <c r="D42" s="7" t="n"/>
      <c r="E42" s="7" t="n"/>
      <c r="F42" s="7" t="n"/>
      <c r="G42" s="7" t="n"/>
    </row>
    <row r="43">
      <c r="A43" s="8" t="inlineStr">
        <is>
          <t xml:space="preserve">    Capital stock</t>
        </is>
      </c>
      <c r="B43" s="9" t="n">
        <v>75432</v>
      </c>
      <c r="C43" s="9" t="n">
        <v>75432</v>
      </c>
      <c r="D43" s="9" t="n">
        <v>75432</v>
      </c>
      <c r="E43" s="9" t="n">
        <v>75432</v>
      </c>
      <c r="F43" s="9" t="n">
        <v>75432</v>
      </c>
      <c r="G43" s="9" t="n">
        <v>75432</v>
      </c>
    </row>
    <row r="44">
      <c r="A44" s="8" t="inlineStr">
        <is>
          <t xml:space="preserve">    Paid-in capital</t>
        </is>
      </c>
      <c r="B44" s="9" t="n">
        <v>63402</v>
      </c>
      <c r="C44" s="9" t="n">
        <v>63402</v>
      </c>
      <c r="D44" s="9" t="n">
        <v>63402</v>
      </c>
      <c r="E44" s="9" t="n">
        <v>63402</v>
      </c>
      <c r="F44" s="9" t="n">
        <v>63402</v>
      </c>
      <c r="G44" s="9" t="n">
        <v>63402</v>
      </c>
    </row>
    <row r="45">
      <c r="A45" s="8" t="inlineStr">
        <is>
          <t xml:space="preserve">    Retained earnings</t>
        </is>
      </c>
      <c r="B45" s="9" t="n">
        <v>2039210</v>
      </c>
      <c r="C45" s="9" t="n">
        <v>2107343</v>
      </c>
      <c r="D45" s="9" t="n">
        <v>2075196</v>
      </c>
      <c r="E45" s="9" t="n">
        <v>2023932</v>
      </c>
      <c r="F45" s="9" t="n">
        <v>1982447</v>
      </c>
      <c r="G45" s="9" t="n">
        <v>2002963</v>
      </c>
    </row>
    <row r="46">
      <c r="A46" s="10" t="inlineStr">
        <is>
          <t>Net assets</t>
        </is>
      </c>
      <c r="B46" s="11" t="n">
        <v>2178044</v>
      </c>
      <c r="C46" s="11" t="n">
        <v>2246177</v>
      </c>
      <c r="D46" s="11" t="n">
        <v>2214030</v>
      </c>
      <c r="E46" s="11" t="n">
        <v>2162766</v>
      </c>
      <c r="F46" s="11" t="n">
        <v>2121281</v>
      </c>
      <c r="G46" s="11" t="n">
        <v>2141797</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-87707</v>
      </c>
      <c r="C52" s="9" t="n">
        <v>-51745</v>
      </c>
      <c r="D52" s="9" t="n">
        <v>-154377</v>
      </c>
      <c r="E52" s="9" t="n">
        <v>-171324</v>
      </c>
      <c r="F52" s="9" t="n">
        <v>-161540</v>
      </c>
      <c r="G52" s="9" t="n">
        <v>-108544</v>
      </c>
    </row>
    <row r="53">
      <c r="A53" s="8" t="inlineStr">
        <is>
          <t xml:space="preserve">    + Depreciation (reported)</t>
        </is>
      </c>
      <c r="B53" s="9" t="n">
        <v>142732</v>
      </c>
      <c r="C53" s="9" t="n">
        <v>148842</v>
      </c>
      <c r="D53" s="9" t="n">
        <v>153708</v>
      </c>
      <c r="E53" s="9" t="n">
        <v>154263</v>
      </c>
      <c r="F53" s="9" t="n">
        <v>154118</v>
      </c>
      <c r="G53" s="9" t="n">
        <v>159525</v>
      </c>
    </row>
    <row r="54">
      <c r="A54" s="8" t="inlineStr">
        <is>
          <t xml:space="preserve">    − Δ Accounts receivable</t>
        </is>
      </c>
      <c r="B54" s="9" t="n"/>
      <c r="C54" s="9" t="n">
        <v>14960</v>
      </c>
      <c r="D54" s="9" t="n">
        <v>4539</v>
      </c>
      <c r="E54" s="9" t="n">
        <v>-43367</v>
      </c>
      <c r="F54" s="9" t="n">
        <v>-31427</v>
      </c>
      <c r="G54" s="9" t="n">
        <v>45625</v>
      </c>
    </row>
    <row r="55">
      <c r="A55" s="8" t="inlineStr">
        <is>
          <t xml:space="preserve">    − Δ Inventories</t>
        </is>
      </c>
      <c r="B55" s="9" t="n"/>
      <c r="C55" s="9" t="n"/>
      <c r="D55" s="9" t="n"/>
      <c r="E55" s="9" t="n"/>
      <c r="F55" s="9" t="n"/>
      <c r="G55" s="9" t="n"/>
    </row>
    <row r="56">
      <c r="A56" s="8" t="inlineStr">
        <is>
          <t xml:space="preserve">    − Δ Prepaid expenses</t>
        </is>
      </c>
      <c r="B56" s="9" t="n"/>
      <c r="C56" s="9" t="n">
        <v>-727</v>
      </c>
      <c r="D56" s="9" t="n">
        <v>4363</v>
      </c>
      <c r="E56" s="9" t="n">
        <v>0</v>
      </c>
      <c r="F56" s="9" t="n">
        <v>-1051</v>
      </c>
      <c r="G56" s="9" t="n">
        <v>1051</v>
      </c>
    </row>
    <row r="57">
      <c r="A57" s="8" t="inlineStr">
        <is>
          <t xml:space="preserve">    + Δ Accounts payable</t>
        </is>
      </c>
      <c r="B57" s="9" t="n"/>
      <c r="C57" s="9" t="n">
        <v>-44470</v>
      </c>
      <c r="D57" s="9" t="n">
        <v>-7144</v>
      </c>
      <c r="E57" s="9" t="n">
        <v>26585</v>
      </c>
      <c r="F57" s="9" t="n">
        <v>87417</v>
      </c>
      <c r="G57" s="9" t="n">
        <v>-27705</v>
      </c>
    </row>
    <row r="58">
      <c r="A58" s="10" t="inlineStr">
        <is>
          <t xml:space="preserve">    Operating cash flow proxy</t>
        </is>
      </c>
      <c r="B58" s="11" t="n"/>
      <c r="C58" s="11" t="n">
        <v>66860</v>
      </c>
      <c r="D58" s="11" t="n">
        <v>1089</v>
      </c>
      <c r="E58" s="11" t="n">
        <v>-33843</v>
      </c>
      <c r="F58" s="11" t="n">
        <v>47517</v>
      </c>
      <c r="G58" s="11" t="n">
        <v>69952</v>
      </c>
    </row>
    <row r="60">
      <c r="A60" s="6" t="inlineStr">
        <is>
          <t>Investing</t>
        </is>
      </c>
      <c r="B60" s="7" t="n"/>
      <c r="C60" s="7" t="n"/>
      <c r="D60" s="7" t="n"/>
      <c r="E60" s="7" t="n"/>
      <c r="F60" s="7" t="n"/>
      <c r="G60" s="7" t="n"/>
    </row>
    <row r="61">
      <c r="A61" s="8" t="inlineStr">
        <is>
          <t xml:space="preserve">    − Δ PP&amp;E gross (capex proxy)</t>
        </is>
      </c>
      <c r="B61" s="9" t="n"/>
      <c r="C61" s="9" t="n">
        <v>-158046</v>
      </c>
      <c r="D61" s="9" t="n">
        <v>1</v>
      </c>
      <c r="E61" s="9" t="n">
        <v>0</v>
      </c>
      <c r="F61" s="9" t="n">
        <v>-548620</v>
      </c>
      <c r="G61" s="9" t="n">
        <v>-47443</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28690</v>
      </c>
      <c r="D67" s="11" t="n">
        <v>123319</v>
      </c>
      <c r="E67" s="11" t="n">
        <v>86217</v>
      </c>
      <c r="F67" s="11" t="n">
        <v>-391597</v>
      </c>
      <c r="G67" s="11" t="n">
        <v>-14178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550421</v>
      </c>
      <c r="C73" s="9" t="n">
        <v>614301</v>
      </c>
      <c r="D73" s="9" t="n">
        <v>621870</v>
      </c>
      <c r="E73" s="9" t="n">
        <v>504433</v>
      </c>
      <c r="F73" s="9" t="n">
        <v>688217</v>
      </c>
      <c r="G73" s="9" t="n">
        <v>737231</v>
      </c>
    </row>
    <row r="74">
      <c r="A74" s="8" t="inlineStr">
        <is>
          <t xml:space="preserve">    11b. Gross income from other sources</t>
        </is>
      </c>
      <c r="B74" s="9" t="n">
        <v>382</v>
      </c>
      <c r="C74" s="9" t="n">
        <v>618</v>
      </c>
      <c r="D74" s="9" t="n">
        <v>0</v>
      </c>
      <c r="E74" s="9" t="n">
        <v>5</v>
      </c>
      <c r="F74" s="9" t="n">
        <v>389</v>
      </c>
      <c r="G74" s="9" t="n">
        <v>3927</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Cayetano Mutual Water Company</t>
        </is>
      </c>
    </row>
    <row r="2">
      <c r="A2" s="2" t="inlineStr">
        <is>
          <t>Balance Sheet - as reported (USD, end of year)</t>
        </is>
      </c>
    </row>
    <row r="3">
      <c r="A3" s="2" t="inlineStr">
        <is>
          <t>Entity ID: cawc_0012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420890</v>
      </c>
      <c r="C7" s="9" t="n">
        <v>449579</v>
      </c>
      <c r="D7" s="9" t="n">
        <v>572896</v>
      </c>
      <c r="E7" s="9" t="n">
        <v>659108</v>
      </c>
      <c r="F7" s="9" t="n">
        <v>257151</v>
      </c>
      <c r="G7" s="9" t="n">
        <v>242796</v>
      </c>
    </row>
    <row r="8">
      <c r="A8" s="8" t="inlineStr">
        <is>
          <t xml:space="preserve">    Savings &amp; temporary investments</t>
        </is>
      </c>
      <c r="B8" s="9" t="n">
        <v>15016</v>
      </c>
      <c r="C8" s="9" t="n">
        <v>15017</v>
      </c>
      <c r="D8" s="9" t="n">
        <v>15019</v>
      </c>
      <c r="E8" s="9" t="n">
        <v>15024</v>
      </c>
      <c r="F8" s="9" t="n">
        <v>25384</v>
      </c>
      <c r="G8" s="9" t="n">
        <v>25561</v>
      </c>
    </row>
    <row r="9">
      <c r="A9" s="8" t="inlineStr">
        <is>
          <t xml:space="preserve">    Accounts receivable</t>
        </is>
      </c>
      <c r="B9" s="9" t="n">
        <v>85416</v>
      </c>
      <c r="C9" s="9" t="n">
        <v>70456</v>
      </c>
      <c r="D9" s="9" t="n">
        <v>65917</v>
      </c>
      <c r="E9" s="9" t="n">
        <v>109284</v>
      </c>
      <c r="F9" s="9" t="n">
        <v>140711</v>
      </c>
      <c r="G9" s="9" t="n">
        <v>95086</v>
      </c>
    </row>
    <row r="10">
      <c r="A10" s="8" t="inlineStr">
        <is>
          <t xml:space="preserve">    Inventories</t>
        </is>
      </c>
      <c r="B10" s="9" t="n"/>
      <c r="C10" s="9" t="n"/>
      <c r="D10" s="9" t="n"/>
      <c r="E10" s="9" t="n"/>
      <c r="F10" s="9" t="n"/>
      <c r="G10" s="9" t="n"/>
    </row>
    <row r="11">
      <c r="A11" s="8" t="inlineStr">
        <is>
          <t xml:space="preserve">    Prepaid expenses</t>
        </is>
      </c>
      <c r="B11" s="9" t="n">
        <v>7236</v>
      </c>
      <c r="C11" s="9" t="n">
        <v>7963</v>
      </c>
      <c r="D11" s="9" t="n">
        <v>3600</v>
      </c>
      <c r="E11" s="9" t="n">
        <v>3600</v>
      </c>
      <c r="F11" s="9" t="n">
        <v>4651</v>
      </c>
      <c r="G11" s="9" t="n">
        <v>3600</v>
      </c>
    </row>
    <row r="12">
      <c r="A12" s="8" t="inlineStr">
        <is>
          <t xml:space="preserve">    Property, plant &amp; equipment (gross)</t>
        </is>
      </c>
      <c r="B12" s="9" t="n">
        <v>3593211</v>
      </c>
      <c r="C12" s="9" t="n">
        <v>3751257</v>
      </c>
      <c r="D12" s="9" t="n">
        <v>3751256</v>
      </c>
      <c r="E12" s="9" t="n">
        <v>3751256</v>
      </c>
      <c r="F12" s="9" t="n">
        <v>4299876</v>
      </c>
      <c r="G12" s="9" t="n">
        <v>4347319</v>
      </c>
    </row>
    <row r="13">
      <c r="A13" s="8" t="inlineStr">
        <is>
          <t xml:space="preserve">    Less: accumulated depreciation</t>
        </is>
      </c>
      <c r="B13" s="9" t="n">
        <v>-1815283</v>
      </c>
      <c r="C13" s="9" t="n">
        <v>-1964123</v>
      </c>
      <c r="D13" s="9" t="n">
        <v>-2117830</v>
      </c>
      <c r="E13" s="9" t="n">
        <v>-2272093</v>
      </c>
      <c r="F13" s="9" t="n">
        <v>-2426212</v>
      </c>
      <c r="G13" s="9" t="n">
        <v>-2558665</v>
      </c>
    </row>
    <row r="14">
      <c r="A14" s="10" t="inlineStr">
        <is>
          <t xml:space="preserve">    Net property, plant &amp; equipment</t>
        </is>
      </c>
      <c r="B14" s="11" t="n">
        <v>1777928</v>
      </c>
      <c r="C14" s="11" t="n">
        <v>1787134</v>
      </c>
      <c r="D14" s="11" t="n">
        <v>1633426</v>
      </c>
      <c r="E14" s="11" t="n">
        <v>1479163</v>
      </c>
      <c r="F14" s="11" t="n">
        <v>1873664</v>
      </c>
      <c r="G14" s="11" t="n">
        <v>1788654</v>
      </c>
    </row>
    <row r="15">
      <c r="A15" s="10" t="inlineStr">
        <is>
          <t>Total assets</t>
        </is>
      </c>
      <c r="B15" s="11" t="n">
        <v>2314486</v>
      </c>
      <c r="C15" s="11" t="n">
        <v>2338149</v>
      </c>
      <c r="D15" s="11" t="n">
        <v>2298858</v>
      </c>
      <c r="E15" s="11" t="n">
        <v>2274179</v>
      </c>
      <c r="F15" s="11" t="n">
        <v>2320111</v>
      </c>
      <c r="G15" s="11" t="n">
        <v>2312922</v>
      </c>
    </row>
    <row r="17">
      <c r="A17" s="6" t="inlineStr">
        <is>
          <t>Liabilities</t>
        </is>
      </c>
      <c r="B17" s="7" t="n"/>
      <c r="C17" s="7" t="n"/>
      <c r="D17" s="7" t="n"/>
      <c r="E17" s="7" t="n"/>
      <c r="F17" s="7" t="n"/>
      <c r="G17" s="7" t="n"/>
    </row>
    <row r="18">
      <c r="A18" s="8" t="inlineStr">
        <is>
          <t xml:space="preserve">    Accounts payable</t>
        </is>
      </c>
      <c r="B18" s="9" t="n">
        <v>136442</v>
      </c>
      <c r="C18" s="9" t="n">
        <v>91972</v>
      </c>
      <c r="D18" s="9" t="n">
        <v>84828</v>
      </c>
      <c r="E18" s="9" t="n">
        <v>111413</v>
      </c>
      <c r="F18" s="9" t="n">
        <v>198830</v>
      </c>
      <c r="G18" s="9" t="n">
        <v>171125</v>
      </c>
    </row>
    <row r="19">
      <c r="A19" s="8" t="inlineStr">
        <is>
          <t xml:space="preserve">    Mortgages &amp; notes payable</t>
        </is>
      </c>
      <c r="B19" s="9" t="n"/>
      <c r="C19" s="9" t="n"/>
      <c r="D19" s="9" t="n"/>
      <c r="E19" s="9" t="n"/>
      <c r="F19" s="9" t="n"/>
      <c r="G19" s="9" t="n"/>
    </row>
    <row r="20">
      <c r="A20" s="10" t="inlineStr">
        <is>
          <t>Total liabilities</t>
        </is>
      </c>
      <c r="B20" s="11" t="n">
        <v>136442</v>
      </c>
      <c r="C20" s="11" t="n">
        <v>91972</v>
      </c>
      <c r="D20" s="11" t="n">
        <v>84828</v>
      </c>
      <c r="E20" s="11" t="n">
        <v>111413</v>
      </c>
      <c r="F20" s="11" t="n">
        <v>198830</v>
      </c>
      <c r="G20" s="11" t="n">
        <v>171125</v>
      </c>
    </row>
    <row r="22">
      <c r="A22" s="6" t="inlineStr">
        <is>
          <t>Net Assets / Equity</t>
        </is>
      </c>
      <c r="B22" s="7" t="n"/>
      <c r="C22" s="7" t="n"/>
      <c r="D22" s="7" t="n"/>
      <c r="E22" s="7" t="n"/>
      <c r="F22" s="7" t="n"/>
      <c r="G22" s="7" t="n"/>
    </row>
    <row r="23">
      <c r="A23" s="8" t="inlineStr">
        <is>
          <t xml:space="preserve">    Capital stock</t>
        </is>
      </c>
      <c r="B23" s="9" t="n">
        <v>75432</v>
      </c>
      <c r="C23" s="9" t="n">
        <v>75432</v>
      </c>
      <c r="D23" s="9" t="n">
        <v>75432</v>
      </c>
      <c r="E23" s="9" t="n">
        <v>75432</v>
      </c>
      <c r="F23" s="9" t="n">
        <v>75432</v>
      </c>
      <c r="G23" s="9" t="n">
        <v>75432</v>
      </c>
    </row>
    <row r="24">
      <c r="A24" s="8" t="inlineStr">
        <is>
          <t xml:space="preserve">    Paid-in capital</t>
        </is>
      </c>
      <c r="B24" s="9" t="n">
        <v>63402</v>
      </c>
      <c r="C24" s="9" t="n">
        <v>63402</v>
      </c>
      <c r="D24" s="9" t="n">
        <v>63402</v>
      </c>
      <c r="E24" s="9" t="n">
        <v>63402</v>
      </c>
      <c r="F24" s="9" t="n">
        <v>63402</v>
      </c>
      <c r="G24" s="9" t="n">
        <v>63402</v>
      </c>
    </row>
    <row r="25">
      <c r="A25" s="8" t="inlineStr">
        <is>
          <t xml:space="preserve">    Retained earnings</t>
        </is>
      </c>
      <c r="B25" s="9" t="n">
        <v>2039210</v>
      </c>
      <c r="C25" s="9" t="n">
        <v>2107343</v>
      </c>
      <c r="D25" s="9" t="n">
        <v>2075196</v>
      </c>
      <c r="E25" s="9" t="n">
        <v>2023932</v>
      </c>
      <c r="F25" s="9" t="n">
        <v>1982447</v>
      </c>
      <c r="G25" s="9" t="n">
        <v>2002963</v>
      </c>
    </row>
    <row r="26">
      <c r="A26" s="10" t="inlineStr">
        <is>
          <t>Net assets</t>
        </is>
      </c>
      <c r="B26" s="11" t="n">
        <v>2178044</v>
      </c>
      <c r="C26" s="11" t="n">
        <v>2246177</v>
      </c>
      <c r="D26" s="11" t="n">
        <v>2214030</v>
      </c>
      <c r="E26" s="11" t="n">
        <v>2162766</v>
      </c>
      <c r="F26" s="11" t="n">
        <v>2121281</v>
      </c>
      <c r="G26" s="11" t="n">
        <v>2141797</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San Cayetano Mutual Water Company</t>
        </is>
      </c>
    </row>
    <row r="2">
      <c r="A2" s="2" t="inlineStr">
        <is>
          <t>Officers, Directors &amp; Contractors - Form 990 Part VII (FY2025; USD)</t>
        </is>
      </c>
    </row>
    <row r="3">
      <c r="A3" s="2" t="inlineStr">
        <is>
          <t>Entity ID: cawc_0012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Vince Giacolone</t>
        </is>
      </c>
      <c r="B7" s="8" t="inlineStr">
        <is>
          <t>President</t>
        </is>
      </c>
      <c r="C7" s="9" t="n">
        <v>0</v>
      </c>
      <c r="D7" s="9" t="n">
        <v>0</v>
      </c>
      <c r="E7" s="9" t="n">
        <v>0</v>
      </c>
      <c r="F7" s="9" t="n">
        <v>0</v>
      </c>
    </row>
    <row r="8">
      <c r="A8" s="8" t="inlineStr">
        <is>
          <t>Paul Romero</t>
        </is>
      </c>
      <c r="B8" s="8" t="inlineStr">
        <is>
          <t>Vice President</t>
        </is>
      </c>
      <c r="C8" s="9" t="n">
        <v>0</v>
      </c>
      <c r="D8" s="9" t="n">
        <v>0</v>
      </c>
      <c r="E8" s="9" t="n">
        <v>0</v>
      </c>
      <c r="F8" s="9" t="n">
        <v>0</v>
      </c>
    </row>
    <row r="9">
      <c r="A9" s="8" t="inlineStr">
        <is>
          <t>Salvador Dominguez</t>
        </is>
      </c>
      <c r="B9" s="8" t="inlineStr">
        <is>
          <t>Secretary/Treasurer</t>
        </is>
      </c>
      <c r="C9" s="9" t="n">
        <v>0</v>
      </c>
      <c r="D9" s="9" t="n">
        <v>0</v>
      </c>
      <c r="E9" s="9" t="n">
        <v>0</v>
      </c>
      <c r="F9" s="9" t="n">
        <v>0</v>
      </c>
    </row>
    <row r="10">
      <c r="A10" s="8" t="inlineStr">
        <is>
          <t>Gary Ball</t>
        </is>
      </c>
      <c r="B10" s="8" t="inlineStr">
        <is>
          <t>Assistant Secretary</t>
        </is>
      </c>
      <c r="C10" s="9" t="n">
        <v>0</v>
      </c>
      <c r="D10" s="9" t="n">
        <v>0</v>
      </c>
      <c r="E10" s="9" t="n">
        <v>0</v>
      </c>
      <c r="F10" s="9" t="n">
        <v>0</v>
      </c>
    </row>
    <row r="11">
      <c r="A11" s="8" t="inlineStr">
        <is>
          <t>Myles Shoemaker</t>
        </is>
      </c>
      <c r="B11" s="8" t="inlineStr">
        <is>
          <t>Director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Cayetano Mutual Water Company</t>
        </is>
      </c>
    </row>
    <row r="2">
      <c r="A2" s="2" t="inlineStr">
        <is>
          <t>Revenue - Form 990 Part VIII (USD)</t>
        </is>
      </c>
    </row>
    <row r="3">
      <c r="A3" s="2" t="inlineStr">
        <is>
          <t>Entity ID: cawc_0012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c r="G7" s="17" t="inlineStr">
        <is>
          <t>not reported</t>
        </is>
      </c>
    </row>
    <row r="8">
      <c r="A8" s="8" t="inlineStr">
        <is>
          <t xml:space="preserve">    2g. Total program service revenue</t>
        </is>
      </c>
      <c r="B8" s="9" t="n">
        <v>550422</v>
      </c>
      <c r="C8" s="9" t="n">
        <v>614301</v>
      </c>
      <c r="D8" s="9" t="n">
        <v>621870</v>
      </c>
      <c r="E8" s="9" t="n">
        <v>504433</v>
      </c>
      <c r="F8" s="9" t="n">
        <v>688217</v>
      </c>
      <c r="G8" s="9" t="n">
        <v>737231</v>
      </c>
    </row>
    <row r="9">
      <c r="A9" s="8" t="inlineStr">
        <is>
          <t xml:space="preserve">    3. Investment income</t>
        </is>
      </c>
      <c r="B9" s="9" t="n">
        <v>382</v>
      </c>
      <c r="C9" s="9" t="n">
        <v>618</v>
      </c>
      <c r="D9" s="9" t="n">
        <v>138</v>
      </c>
      <c r="E9" s="9" t="n">
        <v>5</v>
      </c>
      <c r="F9" s="9" t="n">
        <v>539</v>
      </c>
      <c r="G9" s="9" t="n">
        <v>177</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c r="G10" s="9" t="n">
        <v>3750</v>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17" t="inlineStr">
        <is>
          <t>not reported</t>
        </is>
      </c>
      <c r="G11" s="17" t="inlineStr">
        <is>
          <t>not reported</t>
        </is>
      </c>
    </row>
    <row r="12">
      <c r="A12" s="8" t="inlineStr">
        <is>
          <t xml:space="preserve">    11e. Other revenue</t>
        </is>
      </c>
      <c r="B12" s="17" t="inlineStr">
        <is>
          <t>not reported</t>
        </is>
      </c>
      <c r="C12" s="17" t="inlineStr">
        <is>
          <t>not reported</t>
        </is>
      </c>
      <c r="D12" s="17" t="inlineStr">
        <is>
          <t>not reported</t>
        </is>
      </c>
      <c r="E12" s="17" t="inlineStr">
        <is>
          <t>not reported</t>
        </is>
      </c>
      <c r="F12" s="17" t="inlineStr">
        <is>
          <t>not reported</t>
        </is>
      </c>
      <c r="G12" s="9" t="n">
        <v>-262</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Irrigation Water</t>
        </is>
      </c>
      <c r="B17" s="8" t="inlineStr">
        <is>
          <t>221310</t>
        </is>
      </c>
      <c r="C17" s="9" t="n">
        <v>535433</v>
      </c>
    </row>
    <row r="18">
      <c r="A18" s="8" t="inlineStr">
        <is>
          <t>Operations Assessments</t>
        </is>
      </c>
      <c r="B18" s="8" t="inlineStr">
        <is>
          <t>221310</t>
        </is>
      </c>
      <c r="C18" s="9" t="n">
        <v>154800</v>
      </c>
    </row>
    <row r="19">
      <c r="A19" s="8" t="inlineStr">
        <is>
          <t>Domestic Water</t>
        </is>
      </c>
      <c r="B19" s="8" t="inlineStr">
        <is>
          <t>221310</t>
        </is>
      </c>
      <c r="C19" s="9" t="n">
        <v>31690</v>
      </c>
    </row>
    <row r="20">
      <c r="A20" s="8" t="inlineStr">
        <is>
          <t>Other Program Services</t>
        </is>
      </c>
      <c r="B20" s="8" t="inlineStr">
        <is>
          <t>221310</t>
        </is>
      </c>
      <c r="C20" s="9" t="n">
        <v>15308</v>
      </c>
    </row>
    <row r="21" ht="42" customHeight="1">
      <c r="A21"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1:G21"/>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San Cayetano Mutual Water Company</t>
        </is>
      </c>
    </row>
    <row r="2">
      <c r="A2" s="2" t="inlineStr">
        <is>
          <t>Statement of Functional Expenses - Form 990 Part IX (USD)</t>
        </is>
      </c>
    </row>
    <row r="3">
      <c r="A3" s="2" t="inlineStr">
        <is>
          <t>Entity ID: cawc_0012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5. Compensation of current officers, directors, trustees</t>
        </is>
      </c>
      <c r="B7" s="17" t="inlineStr">
        <is>
          <t>not reported</t>
        </is>
      </c>
      <c r="C7" s="17" t="inlineStr">
        <is>
          <t>not reported</t>
        </is>
      </c>
      <c r="D7" s="9" t="n">
        <v>20700</v>
      </c>
      <c r="E7" s="17" t="inlineStr">
        <is>
          <t>not reported</t>
        </is>
      </c>
      <c r="F7" s="9" t="n">
        <v>0</v>
      </c>
      <c r="G7" s="17" t="inlineStr">
        <is>
          <t>not reported</t>
        </is>
      </c>
    </row>
    <row r="8">
      <c r="A8" s="8" t="inlineStr">
        <is>
          <t xml:space="preserve">    6. Compensation to disqualified persons</t>
        </is>
      </c>
      <c r="B8" s="9" t="n">
        <v>20700</v>
      </c>
      <c r="C8" s="17" t="inlineStr">
        <is>
          <t>not reported</t>
        </is>
      </c>
      <c r="D8" s="17" t="inlineStr">
        <is>
          <t>not reported</t>
        </is>
      </c>
      <c r="E8" s="17" t="inlineStr">
        <is>
          <t>not reported</t>
        </is>
      </c>
      <c r="F8" s="17" t="inlineStr">
        <is>
          <t>not reported</t>
        </is>
      </c>
      <c r="G8" s="17" t="inlineStr">
        <is>
          <t>not reported</t>
        </is>
      </c>
    </row>
    <row r="9">
      <c r="A9" s="8" t="inlineStr">
        <is>
          <t xml:space="preserve">    7. Other salaries and wages</t>
        </is>
      </c>
      <c r="B9" s="17" t="inlineStr">
        <is>
          <t>not reported</t>
        </is>
      </c>
      <c r="C9" s="9" t="n">
        <v>22425</v>
      </c>
      <c r="D9" s="17" t="inlineStr">
        <is>
          <t>not reported</t>
        </is>
      </c>
      <c r="E9" s="9" t="n">
        <v>12075</v>
      </c>
      <c r="F9" s="17" t="inlineStr">
        <is>
          <t>not reported</t>
        </is>
      </c>
      <c r="G9" s="17" t="inlineStr">
        <is>
          <t>not reported</t>
        </is>
      </c>
    </row>
    <row r="10">
      <c r="A10" s="8" t="inlineStr">
        <is>
          <t xml:space="preserve">    10. Payroll taxes</t>
        </is>
      </c>
      <c r="B10" s="9" t="n">
        <v>2006</v>
      </c>
      <c r="C10" s="9" t="n">
        <v>1571</v>
      </c>
      <c r="D10" s="9" t="n">
        <v>2060</v>
      </c>
      <c r="E10" s="9" t="n">
        <v>1088</v>
      </c>
      <c r="F10" s="17" t="inlineStr">
        <is>
          <t>not reported</t>
        </is>
      </c>
      <c r="G10" s="17" t="inlineStr">
        <is>
          <t>not reported</t>
        </is>
      </c>
    </row>
    <row r="11">
      <c r="A11" s="8" t="inlineStr">
        <is>
          <t xml:space="preserve">    11c. Fees for services: accounting</t>
        </is>
      </c>
      <c r="B11" s="9" t="n">
        <v>5075</v>
      </c>
      <c r="C11" s="9" t="n">
        <v>24888</v>
      </c>
      <c r="D11" s="9" t="n">
        <v>24718</v>
      </c>
      <c r="E11" s="9" t="n">
        <v>22670</v>
      </c>
      <c r="F11" s="9" t="n">
        <v>25915</v>
      </c>
      <c r="G11" s="9" t="n">
        <v>25230</v>
      </c>
    </row>
    <row r="12">
      <c r="A12" s="8" t="inlineStr">
        <is>
          <t xml:space="preserve">    13. Office expenses</t>
        </is>
      </c>
      <c r="B12" s="9" t="n">
        <v>554</v>
      </c>
      <c r="C12" s="9" t="n">
        <v>1113</v>
      </c>
      <c r="D12" s="17" t="inlineStr">
        <is>
          <t>not reported</t>
        </is>
      </c>
      <c r="E12" s="17" t="inlineStr">
        <is>
          <t>not reported</t>
        </is>
      </c>
      <c r="F12" s="17" t="inlineStr">
        <is>
          <t>not reported</t>
        </is>
      </c>
      <c r="G12" s="17" t="inlineStr">
        <is>
          <t>not reported</t>
        </is>
      </c>
    </row>
    <row r="13">
      <c r="A13" s="8" t="inlineStr">
        <is>
          <t xml:space="preserve">    22. Depreciation, depletion, and amortization</t>
        </is>
      </c>
      <c r="B13" s="9" t="n">
        <v>142732</v>
      </c>
      <c r="C13" s="9" t="n">
        <v>148842</v>
      </c>
      <c r="D13" s="9" t="n">
        <v>153708</v>
      </c>
      <c r="E13" s="9" t="n">
        <v>154263</v>
      </c>
      <c r="F13" s="9" t="n">
        <v>154118</v>
      </c>
      <c r="G13" s="9" t="n">
        <v>159525</v>
      </c>
    </row>
    <row r="14">
      <c r="A14" s="8" t="inlineStr">
        <is>
          <t xml:space="preserve">    23. Insurance</t>
        </is>
      </c>
      <c r="B14" s="9" t="n">
        <v>6234</v>
      </c>
      <c r="C14" s="9" t="n">
        <v>5823</v>
      </c>
      <c r="D14" s="9" t="n">
        <v>9398</v>
      </c>
      <c r="E14" s="9" t="n">
        <v>7814</v>
      </c>
      <c r="F14" s="9" t="n">
        <v>5931</v>
      </c>
      <c r="G14" s="9" t="n">
        <v>7951</v>
      </c>
    </row>
    <row r="15">
      <c r="A15" s="8" t="inlineStr">
        <is>
          <t xml:space="preserve">    24. Well Power - SCE</t>
        </is>
      </c>
      <c r="B15" s="9" t="n">
        <v>203918</v>
      </c>
      <c r="C15" s="9" t="n">
        <v>267290</v>
      </c>
      <c r="D15" s="17" t="inlineStr">
        <is>
          <t>not reported</t>
        </is>
      </c>
      <c r="E15" s="17" t="inlineStr">
        <is>
          <t>not reported</t>
        </is>
      </c>
      <c r="F15" s="17" t="inlineStr">
        <is>
          <t>not reported</t>
        </is>
      </c>
      <c r="G15" s="17" t="inlineStr">
        <is>
          <t>not reported</t>
        </is>
      </c>
    </row>
    <row r="16">
      <c r="A16" s="8" t="inlineStr">
        <is>
          <t xml:space="preserve">    24. Gas Company</t>
        </is>
      </c>
      <c r="B16" s="9" t="n">
        <v>557</v>
      </c>
      <c r="C16" s="9" t="n">
        <v>1225</v>
      </c>
      <c r="D16" s="9" t="n">
        <v>1386</v>
      </c>
      <c r="E16" s="9" t="n">
        <v>300</v>
      </c>
      <c r="F16" s="9" t="n">
        <v>2620</v>
      </c>
      <c r="G16" s="9" t="n">
        <v>2695</v>
      </c>
    </row>
    <row r="17">
      <c r="A17" s="8" t="inlineStr">
        <is>
          <t xml:space="preserve">    24. Fillmore Pumpers Association</t>
        </is>
      </c>
      <c r="B17" s="9" t="n">
        <v>1953</v>
      </c>
      <c r="C17" s="9" t="n">
        <v>2022</v>
      </c>
      <c r="D17" s="17" t="inlineStr">
        <is>
          <t>not reported</t>
        </is>
      </c>
      <c r="E17" s="17" t="inlineStr">
        <is>
          <t>not reported</t>
        </is>
      </c>
      <c r="F17" s="17" t="inlineStr">
        <is>
          <t>not reported</t>
        </is>
      </c>
      <c r="G17" s="17" t="inlineStr">
        <is>
          <t>not reported</t>
        </is>
      </c>
    </row>
    <row r="18">
      <c r="A18" s="8" t="inlineStr">
        <is>
          <t xml:space="preserve">    24. UWCD Pump Tax</t>
        </is>
      </c>
      <c r="B18" s="9" t="n">
        <v>115858</v>
      </c>
      <c r="C18" s="9" t="n">
        <v>146648</v>
      </c>
      <c r="D18" s="17" t="inlineStr">
        <is>
          <t>not reported</t>
        </is>
      </c>
      <c r="E18" s="17" t="inlineStr">
        <is>
          <t>not reported</t>
        </is>
      </c>
      <c r="F18" s="17" t="inlineStr">
        <is>
          <t>not reported</t>
        </is>
      </c>
      <c r="G18" s="17" t="inlineStr">
        <is>
          <t>not reported</t>
        </is>
      </c>
    </row>
    <row r="19">
      <c r="A19" s="8" t="inlineStr">
        <is>
          <t xml:space="preserve">    24. Utilities - SCE</t>
        </is>
      </c>
      <c r="B19" s="17" t="inlineStr">
        <is>
          <t>not reported</t>
        </is>
      </c>
      <c r="C19" s="17" t="inlineStr">
        <is>
          <t>not reported</t>
        </is>
      </c>
      <c r="D19" s="9" t="n">
        <v>301887</v>
      </c>
      <c r="E19" s="9" t="n">
        <v>275482</v>
      </c>
      <c r="F19" s="9" t="n">
        <v>277059</v>
      </c>
      <c r="G19" s="9" t="n">
        <v>262993</v>
      </c>
    </row>
    <row r="20">
      <c r="A20" s="8" t="inlineStr">
        <is>
          <t xml:space="preserve">    24. Fillmore Piru Basin</t>
        </is>
      </c>
      <c r="B20" s="17" t="inlineStr">
        <is>
          <t>not reported</t>
        </is>
      </c>
      <c r="C20" s="17" t="inlineStr">
        <is>
          <t>not reported</t>
        </is>
      </c>
      <c r="D20" s="9" t="n">
        <v>35003</v>
      </c>
      <c r="E20" s="9" t="n">
        <v>14388</v>
      </c>
      <c r="F20" s="9" t="n">
        <v>20747</v>
      </c>
      <c r="G20" s="9" t="n">
        <v>18809</v>
      </c>
    </row>
    <row r="21">
      <c r="A21" s="8" t="inlineStr">
        <is>
          <t xml:space="preserve">    24. Fillmore Pumpers Assoc</t>
        </is>
      </c>
      <c r="B21" s="17" t="inlineStr">
        <is>
          <t>not reported</t>
        </is>
      </c>
      <c r="C21" s="17" t="inlineStr">
        <is>
          <t>not reported</t>
        </is>
      </c>
      <c r="D21" s="9" t="n">
        <v>867</v>
      </c>
      <c r="E21" s="9" t="n">
        <v>571</v>
      </c>
      <c r="F21" s="9" t="n">
        <v>661</v>
      </c>
      <c r="G21" s="9" t="n">
        <v>574</v>
      </c>
    </row>
    <row r="22">
      <c r="A22" s="8" t="inlineStr">
        <is>
          <t xml:space="preserve">    24e. All other expenses</t>
        </is>
      </c>
      <c r="B22" s="9" t="n">
        <v>138924</v>
      </c>
      <c r="C22" s="9" t="n">
        <v>44817</v>
      </c>
      <c r="D22" s="9" t="n">
        <v>226658</v>
      </c>
      <c r="E22" s="9" t="n">
        <v>187111</v>
      </c>
      <c r="F22" s="9" t="n">
        <v>363245</v>
      </c>
      <c r="G22" s="9" t="n">
        <v>371663</v>
      </c>
    </row>
    <row r="23">
      <c r="A23" s="10" t="inlineStr">
        <is>
          <t>25. Total functional expenses</t>
        </is>
      </c>
      <c r="B23" s="11">
        <f>SUM(B7:B22)</f>
        <v/>
      </c>
      <c r="C23" s="11">
        <f>SUM(C7:C22)</f>
        <v/>
      </c>
      <c r="D23" s="11">
        <f>SUM(D7:D22)</f>
        <v/>
      </c>
      <c r="E23" s="11">
        <f>SUM(E7:E22)</f>
        <v/>
      </c>
      <c r="F23" s="11">
        <f>SUM(F7:F22)</f>
        <v/>
      </c>
      <c r="G23" s="11">
        <f>SUM(G7:G22)</f>
        <v/>
      </c>
    </row>
    <row r="25">
      <c r="A25" s="6" t="inlineStr">
        <is>
          <t>Functional column split - FY2025 (col A = B + C + D)</t>
        </is>
      </c>
      <c r="B25" s="7" t="n"/>
      <c r="C25" s="7" t="n"/>
      <c r="D25" s="7" t="n"/>
      <c r="E25" s="7" t="n"/>
      <c r="F25" s="7" t="n"/>
      <c r="G25" s="7" t="n"/>
    </row>
    <row r="26">
      <c r="A26" s="5" t="inlineStr">
        <is>
          <t>Part IX line</t>
        </is>
      </c>
      <c r="B26" s="5" t="inlineStr">
        <is>
          <t>A. Total</t>
        </is>
      </c>
      <c r="C26" s="5" t="inlineStr">
        <is>
          <t>B. Program services</t>
        </is>
      </c>
      <c r="D26" s="5" t="inlineStr">
        <is>
          <t>C. Management &amp; general</t>
        </is>
      </c>
      <c r="E26" s="5" t="inlineStr">
        <is>
          <t>D. Fundraising</t>
        </is>
      </c>
    </row>
    <row r="27">
      <c r="A27" s="18" t="inlineStr">
        <is>
          <t>11c. Fees for services: accounting</t>
        </is>
      </c>
      <c r="B27" s="9" t="n">
        <v>25230</v>
      </c>
      <c r="C27" s="9" t="n">
        <v>25230</v>
      </c>
      <c r="D27" s="9" t="n">
        <v>0</v>
      </c>
      <c r="E27" s="9" t="n">
        <v>0</v>
      </c>
    </row>
    <row r="28">
      <c r="A28" s="18" t="inlineStr">
        <is>
          <t>22. Depreciation, depletion, and amortization</t>
        </is>
      </c>
      <c r="B28" s="9" t="n">
        <v>159525</v>
      </c>
      <c r="C28" s="9" t="n">
        <v>159525</v>
      </c>
      <c r="D28" s="9" t="n">
        <v>0</v>
      </c>
      <c r="E28" s="9" t="n">
        <v>0</v>
      </c>
    </row>
    <row r="29">
      <c r="A29" s="18" t="inlineStr">
        <is>
          <t>23. Insurance</t>
        </is>
      </c>
      <c r="B29" s="9" t="n">
        <v>7951</v>
      </c>
      <c r="C29" s="9" t="n">
        <v>7951</v>
      </c>
      <c r="D29" s="9" t="n">
        <v>0</v>
      </c>
      <c r="E29" s="9" t="n">
        <v>0</v>
      </c>
    </row>
    <row r="30">
      <c r="A30" s="10" t="inlineStr">
        <is>
          <t>25. Total (filed col A / B / C / D)</t>
        </is>
      </c>
      <c r="B30" s="11" t="n">
        <v>849440</v>
      </c>
      <c r="C30" s="11" t="n">
        <v>849440</v>
      </c>
      <c r="D30" s="11" t="n">
        <v>0</v>
      </c>
      <c r="E30" s="11" t="n">
        <v>0</v>
      </c>
    </row>
    <row r="32" ht="42" customHeight="1">
      <c r="A32"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2:G32"/>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Cayetano Mutual Water Company</t>
        </is>
      </c>
    </row>
    <row r="2">
      <c r="A2" s="2" t="inlineStr">
        <is>
          <t>Balance Sheet - Form 990 Part X (end of year, USD)</t>
        </is>
      </c>
    </row>
    <row r="3">
      <c r="A3" s="2" t="inlineStr">
        <is>
          <t>Entity ID: cawc_0012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420890</v>
      </c>
      <c r="C7" s="9" t="n">
        <v>449579</v>
      </c>
      <c r="D7" s="9" t="n">
        <v>572896</v>
      </c>
      <c r="E7" s="9" t="n">
        <v>659108</v>
      </c>
      <c r="F7" s="9" t="n">
        <v>257151</v>
      </c>
      <c r="G7" s="9" t="n">
        <v>242796</v>
      </c>
    </row>
    <row r="8">
      <c r="A8" s="8" t="inlineStr">
        <is>
          <t xml:space="preserve">    2. Savings and temporary cash investments</t>
        </is>
      </c>
      <c r="B8" s="9" t="n">
        <v>15016</v>
      </c>
      <c r="C8" s="9" t="n">
        <v>15017</v>
      </c>
      <c r="D8" s="9" t="n">
        <v>15019</v>
      </c>
      <c r="E8" s="9" t="n">
        <v>15024</v>
      </c>
      <c r="F8" s="9" t="n">
        <v>25384</v>
      </c>
      <c r="G8" s="9" t="n">
        <v>25561</v>
      </c>
    </row>
    <row r="9">
      <c r="A9" s="8" t="inlineStr">
        <is>
          <t xml:space="preserve">    4. Accounts receivable, net</t>
        </is>
      </c>
      <c r="B9" s="9" t="n">
        <v>85416</v>
      </c>
      <c r="C9" s="9" t="n">
        <v>70456</v>
      </c>
      <c r="D9" s="9" t="n">
        <v>65917</v>
      </c>
      <c r="E9" s="9" t="n">
        <v>109284</v>
      </c>
      <c r="F9" s="9" t="n">
        <v>140711</v>
      </c>
      <c r="G9" s="9" t="n">
        <v>95086</v>
      </c>
    </row>
    <row r="10">
      <c r="A10" s="8" t="inlineStr">
        <is>
          <t xml:space="preserve">    9. Prepaid expenses and deferred charges</t>
        </is>
      </c>
      <c r="B10" s="9" t="n">
        <v>7236</v>
      </c>
      <c r="C10" s="9" t="n">
        <v>7963</v>
      </c>
      <c r="D10" s="9" t="n">
        <v>3600</v>
      </c>
      <c r="E10" s="9" t="n">
        <v>3600</v>
      </c>
      <c r="F10" s="9" t="n">
        <v>4651</v>
      </c>
      <c r="G10" s="9" t="n">
        <v>3600</v>
      </c>
    </row>
    <row r="11">
      <c r="A11" s="8" t="inlineStr">
        <is>
          <t xml:space="preserve">    10c. Land, buildings, and equipment, net</t>
        </is>
      </c>
      <c r="B11" s="9" t="n">
        <v>1777928</v>
      </c>
      <c r="C11" s="9" t="n">
        <v>1787134</v>
      </c>
      <c r="D11" s="9" t="n">
        <v>1633426</v>
      </c>
      <c r="E11" s="9" t="n">
        <v>1479163</v>
      </c>
      <c r="F11" s="9" t="n">
        <v>1873664</v>
      </c>
      <c r="G11" s="9" t="n">
        <v>1788654</v>
      </c>
    </row>
    <row r="12">
      <c r="A12" s="8" t="inlineStr">
        <is>
          <t xml:space="preserve">    14. Intangible assets</t>
        </is>
      </c>
      <c r="B12" s="9" t="n">
        <v>8000</v>
      </c>
      <c r="C12" s="9" t="n">
        <v>8000</v>
      </c>
      <c r="D12" s="9" t="n">
        <v>8000</v>
      </c>
      <c r="E12" s="9" t="n">
        <v>8000</v>
      </c>
      <c r="F12" s="9" t="n">
        <v>8000</v>
      </c>
      <c r="G12" s="9" t="n">
        <v>30789</v>
      </c>
    </row>
    <row r="13">
      <c r="A13" s="8" t="inlineStr">
        <is>
          <t xml:space="preserve">    15. Other assets</t>
        </is>
      </c>
      <c r="B13" s="17" t="inlineStr">
        <is>
          <t>not reported</t>
        </is>
      </c>
      <c r="C13" s="17" t="inlineStr">
        <is>
          <t>not reported</t>
        </is>
      </c>
      <c r="D13" s="17" t="inlineStr">
        <is>
          <t>not reported</t>
        </is>
      </c>
      <c r="E13" s="17" t="inlineStr">
        <is>
          <t>not reported</t>
        </is>
      </c>
      <c r="F13" s="9" t="n">
        <v>10550</v>
      </c>
      <c r="G13" s="9" t="n">
        <v>126436</v>
      </c>
    </row>
    <row r="14">
      <c r="A14" s="10" t="inlineStr">
        <is>
          <t>16. Total assets</t>
        </is>
      </c>
      <c r="B14" s="11">
        <f>SUM(B7:B13)</f>
        <v/>
      </c>
      <c r="C14" s="11">
        <f>SUM(C7:C13)</f>
        <v/>
      </c>
      <c r="D14" s="11">
        <f>SUM(D7:D13)</f>
        <v/>
      </c>
      <c r="E14" s="11">
        <f>SUM(E7:E13)</f>
        <v/>
      </c>
      <c r="F14" s="11">
        <f>SUM(F7:F13)</f>
        <v/>
      </c>
      <c r="G14" s="11">
        <f>SUM(G7:G13)</f>
        <v/>
      </c>
    </row>
    <row r="16">
      <c r="A16" s="6" t="inlineStr">
        <is>
          <t>Liabilities</t>
        </is>
      </c>
      <c r="B16" s="7" t="n"/>
      <c r="C16" s="7" t="n"/>
      <c r="D16" s="7" t="n"/>
      <c r="E16" s="7" t="n"/>
      <c r="F16" s="7" t="n"/>
      <c r="G16" s="7" t="n"/>
    </row>
    <row r="17">
      <c r="A17" s="8" t="inlineStr">
        <is>
          <t xml:space="preserve">    17. Accounts payable and accrued expenses</t>
        </is>
      </c>
      <c r="B17" s="9" t="n">
        <v>136442</v>
      </c>
      <c r="C17" s="9" t="n">
        <v>91972</v>
      </c>
      <c r="D17" s="9" t="n">
        <v>84828</v>
      </c>
      <c r="E17" s="9" t="n">
        <v>111413</v>
      </c>
      <c r="F17" s="9" t="n">
        <v>198830</v>
      </c>
      <c r="G17" s="9" t="n">
        <v>171125</v>
      </c>
    </row>
    <row r="18">
      <c r="A18" s="10" t="inlineStr">
        <is>
          <t>26. Total liabilities</t>
        </is>
      </c>
      <c r="B18" s="11">
        <f>SUM(B17:B17)</f>
        <v/>
      </c>
      <c r="C18" s="11">
        <f>SUM(C17:C17)</f>
        <v/>
      </c>
      <c r="D18" s="11">
        <f>SUM(D17:D17)</f>
        <v/>
      </c>
      <c r="E18" s="11">
        <f>SUM(E17:E17)</f>
        <v/>
      </c>
      <c r="F18" s="11">
        <f>SUM(F17:F17)</f>
        <v/>
      </c>
      <c r="G18" s="11">
        <f>SUM(G17:G17)</f>
        <v/>
      </c>
    </row>
    <row r="20">
      <c r="A20" s="6" t="inlineStr">
        <is>
          <t>Net assets / fund balances</t>
        </is>
      </c>
      <c r="B20" s="7" t="n"/>
      <c r="C20" s="7" t="n"/>
      <c r="D20" s="7" t="n"/>
      <c r="E20" s="7" t="n"/>
      <c r="F20" s="7" t="n"/>
      <c r="G20" s="7" t="n"/>
    </row>
    <row r="21">
      <c r="A21" s="8" t="inlineStr">
        <is>
          <t xml:space="preserve">    29. Capital stock or trust principal</t>
        </is>
      </c>
      <c r="B21" s="9" t="n">
        <v>75432</v>
      </c>
      <c r="C21" s="9" t="n">
        <v>75432</v>
      </c>
      <c r="D21" s="9" t="n">
        <v>75432</v>
      </c>
      <c r="E21" s="9" t="n">
        <v>75432</v>
      </c>
      <c r="F21" s="9" t="n">
        <v>75432</v>
      </c>
      <c r="G21" s="9" t="n">
        <v>75432</v>
      </c>
    </row>
    <row r="22">
      <c r="A22" s="8" t="inlineStr">
        <is>
          <t xml:space="preserve">    30. Paid-in or capital surplus</t>
        </is>
      </c>
      <c r="B22" s="9" t="n">
        <v>63402</v>
      </c>
      <c r="C22" s="9" t="n">
        <v>63402</v>
      </c>
      <c r="D22" s="9" t="n">
        <v>63402</v>
      </c>
      <c r="E22" s="9" t="n">
        <v>63402</v>
      </c>
      <c r="F22" s="9" t="n">
        <v>63402</v>
      </c>
      <c r="G22" s="9" t="n">
        <v>63402</v>
      </c>
    </row>
    <row r="23">
      <c r="A23" s="8" t="inlineStr">
        <is>
          <t xml:space="preserve">    31. Retained earnings / accumulated funds</t>
        </is>
      </c>
      <c r="B23" s="9" t="n">
        <v>2039210</v>
      </c>
      <c r="C23" s="9" t="n">
        <v>2107343</v>
      </c>
      <c r="D23" s="9" t="n">
        <v>2075196</v>
      </c>
      <c r="E23" s="9" t="n">
        <v>2023932</v>
      </c>
      <c r="F23" s="9" t="n">
        <v>1982447</v>
      </c>
      <c r="G23" s="9" t="n">
        <v>2002963</v>
      </c>
    </row>
    <row r="24">
      <c r="A24" s="10" t="inlineStr">
        <is>
          <t>32. Total net assets / fund balances</t>
        </is>
      </c>
      <c r="B24" s="11">
        <f>SUM(B21:B23)</f>
        <v/>
      </c>
      <c r="C24" s="11">
        <f>SUM(C21:C23)</f>
        <v/>
      </c>
      <c r="D24" s="11">
        <f>SUM(D21:D23)</f>
        <v/>
      </c>
      <c r="E24" s="11">
        <f>SUM(E21:E23)</f>
        <v/>
      </c>
      <c r="F24" s="11">
        <f>SUM(F21:F23)</f>
        <v/>
      </c>
      <c r="G24" s="11">
        <f>SUM(G21:G23)</f>
        <v/>
      </c>
    </row>
    <row r="26" ht="42" customHeight="1">
      <c r="A2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6:G26"/>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Cayetano Mutual Water Company</t>
        </is>
      </c>
    </row>
    <row r="2">
      <c r="A2" s="2" t="inlineStr">
        <is>
          <t>Reconciliation of Net Assets - Form 990 Part XI (USD)</t>
        </is>
      </c>
    </row>
    <row r="3">
      <c r="A3" s="2" t="inlineStr">
        <is>
          <t>Entity ID: cawc_0012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2141902</v>
      </c>
      <c r="C7" s="9" t="n">
        <v>2178044</v>
      </c>
      <c r="D7" s="9" t="n">
        <v>2246177</v>
      </c>
      <c r="E7" s="9" t="n">
        <v>2214030</v>
      </c>
      <c r="F7" s="9" t="n">
        <v>2162766</v>
      </c>
      <c r="G7" s="9" t="n">
        <v>2121281</v>
      </c>
    </row>
    <row r="8">
      <c r="A8" s="8" t="inlineStr">
        <is>
          <t xml:space="preserve">    3. Revenue less expenses</t>
        </is>
      </c>
      <c r="B8" s="9" t="n">
        <v>-87707</v>
      </c>
      <c r="C8" s="9" t="n">
        <v>-51745</v>
      </c>
      <c r="D8" s="9" t="n">
        <v>-154377</v>
      </c>
      <c r="E8" s="9" t="n">
        <v>-171324</v>
      </c>
      <c r="F8" s="9" t="n">
        <v>-161540</v>
      </c>
      <c r="G8" s="9" t="n">
        <v>-108544</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c r="G9" s="17" t="inlineStr">
        <is>
          <t>not reported</t>
        </is>
      </c>
    </row>
    <row r="10">
      <c r="A10" s="8" t="inlineStr">
        <is>
          <t xml:space="preserve">    9. Other changes in net assets</t>
        </is>
      </c>
      <c r="B10" s="9" t="n">
        <v>123849</v>
      </c>
      <c r="C10" s="9" t="n">
        <v>119878</v>
      </c>
      <c r="D10" s="17" t="inlineStr">
        <is>
          <t>not reported</t>
        </is>
      </c>
      <c r="E10" s="9" t="n">
        <v>120060</v>
      </c>
      <c r="F10" s="9" t="n">
        <v>120055</v>
      </c>
      <c r="G10" s="9" t="n">
        <v>129060</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Cayetano Mutual Water Company</t>
        </is>
      </c>
    </row>
    <row r="2">
      <c r="A2" s="2" t="inlineStr">
        <is>
          <t>Cash Flow Proxies - derived (USD)</t>
        </is>
      </c>
    </row>
    <row r="3">
      <c r="A3" s="2" t="inlineStr">
        <is>
          <t>Entity ID: cawc_0012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-87707</v>
      </c>
      <c r="C9" s="9" t="n">
        <v>-51745</v>
      </c>
      <c r="D9" s="9" t="n">
        <v>-154377</v>
      </c>
      <c r="E9" s="9" t="n">
        <v>-171324</v>
      </c>
      <c r="F9" s="9" t="n">
        <v>-161540</v>
      </c>
      <c r="G9" s="9" t="n">
        <v>-108544</v>
      </c>
    </row>
    <row r="10">
      <c r="A10" s="8" t="inlineStr">
        <is>
          <t xml:space="preserve">    + Depreciation (reported)</t>
        </is>
      </c>
      <c r="B10" s="9" t="n">
        <v>142732</v>
      </c>
      <c r="C10" s="9" t="n">
        <v>148842</v>
      </c>
      <c r="D10" s="9" t="n">
        <v>153708</v>
      </c>
      <c r="E10" s="9" t="n">
        <v>154263</v>
      </c>
      <c r="F10" s="9" t="n">
        <v>154118</v>
      </c>
      <c r="G10" s="9" t="n">
        <v>159525</v>
      </c>
    </row>
    <row r="11">
      <c r="A11" s="8" t="inlineStr">
        <is>
          <t xml:space="preserve">    − Δ Accounts receivable</t>
        </is>
      </c>
      <c r="B11" s="9" t="n"/>
      <c r="C11" s="9" t="n">
        <v>14960</v>
      </c>
      <c r="D11" s="9" t="n">
        <v>4539</v>
      </c>
      <c r="E11" s="9" t="n">
        <v>-43367</v>
      </c>
      <c r="F11" s="9" t="n">
        <v>-31427</v>
      </c>
      <c r="G11" s="9" t="n">
        <v>45625</v>
      </c>
    </row>
    <row r="12">
      <c r="A12" s="8" t="inlineStr">
        <is>
          <t xml:space="preserve">    − Δ Inventories</t>
        </is>
      </c>
      <c r="B12" s="9" t="n"/>
      <c r="C12" s="9" t="n"/>
      <c r="D12" s="9" t="n"/>
      <c r="E12" s="9" t="n"/>
      <c r="F12" s="9" t="n"/>
      <c r="G12" s="9" t="n"/>
    </row>
    <row r="13">
      <c r="A13" s="8" t="inlineStr">
        <is>
          <t xml:space="preserve">    − Δ Prepaid expenses</t>
        </is>
      </c>
      <c r="B13" s="9" t="n"/>
      <c r="C13" s="9" t="n">
        <v>-727</v>
      </c>
      <c r="D13" s="9" t="n">
        <v>4363</v>
      </c>
      <c r="E13" s="9" t="n">
        <v>0</v>
      </c>
      <c r="F13" s="9" t="n">
        <v>-1051</v>
      </c>
      <c r="G13" s="9" t="n">
        <v>1051</v>
      </c>
    </row>
    <row r="14">
      <c r="A14" s="8" t="inlineStr">
        <is>
          <t xml:space="preserve">    + Δ Accounts payable</t>
        </is>
      </c>
      <c r="B14" s="9" t="n"/>
      <c r="C14" s="9" t="n">
        <v>-44470</v>
      </c>
      <c r="D14" s="9" t="n">
        <v>-7144</v>
      </c>
      <c r="E14" s="9" t="n">
        <v>26585</v>
      </c>
      <c r="F14" s="9" t="n">
        <v>87417</v>
      </c>
      <c r="G14" s="9" t="n">
        <v>-27705</v>
      </c>
    </row>
    <row r="15">
      <c r="A15" s="10" t="inlineStr">
        <is>
          <t xml:space="preserve">    Operating cash flow proxy</t>
        </is>
      </c>
      <c r="B15" s="11" t="n"/>
      <c r="C15" s="11" t="n">
        <v>66860</v>
      </c>
      <c r="D15" s="11" t="n">
        <v>1089</v>
      </c>
      <c r="E15" s="11" t="n">
        <v>-33843</v>
      </c>
      <c r="F15" s="11" t="n">
        <v>47517</v>
      </c>
      <c r="G15" s="11" t="n">
        <v>69952</v>
      </c>
    </row>
    <row r="17">
      <c r="A17" s="6" t="inlineStr">
        <is>
          <t>Investing</t>
        </is>
      </c>
      <c r="B17" s="7" t="n"/>
      <c r="C17" s="7" t="n"/>
      <c r="D17" s="7" t="n"/>
      <c r="E17" s="7" t="n"/>
      <c r="F17" s="7" t="n"/>
      <c r="G17" s="7" t="n"/>
    </row>
    <row r="18">
      <c r="A18" s="8" t="inlineStr">
        <is>
          <t xml:space="preserve">    − Δ PP&amp;E gross (capex proxy)</t>
        </is>
      </c>
      <c r="B18" s="9" t="n"/>
      <c r="C18" s="9" t="n">
        <v>-158046</v>
      </c>
      <c r="D18" s="9" t="n">
        <v>1</v>
      </c>
      <c r="E18" s="9" t="n">
        <v>0</v>
      </c>
      <c r="F18" s="9" t="n">
        <v>-548620</v>
      </c>
      <c r="G18" s="9" t="n">
        <v>-47443</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28690</v>
      </c>
      <c r="D24" s="11" t="n">
        <v>123319</v>
      </c>
      <c r="E24" s="11" t="n">
        <v>86217</v>
      </c>
      <c r="F24" s="11" t="n">
        <v>-391597</v>
      </c>
      <c r="G24" s="11" t="n">
        <v>-14178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Cayetano Mutual Water Company</t>
        </is>
      </c>
    </row>
    <row r="2">
      <c r="A2" s="2" t="inlineStr">
        <is>
          <t>Financial Ratios</t>
        </is>
      </c>
    </row>
    <row r="3">
      <c r="A3" s="2" t="inlineStr">
        <is>
          <t>Entity ID: cawc_0012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-0.1592345008387739</v>
      </c>
      <c r="C7" s="12" t="n">
        <v>-0.08414929445992074</v>
      </c>
      <c r="D7" s="12" t="n">
        <v>-0.2481913415904619</v>
      </c>
      <c r="E7" s="12" t="n">
        <v>-0.3396334138189431</v>
      </c>
      <c r="F7" s="12" t="n">
        <v>-0.2345387916765879</v>
      </c>
      <c r="G7" s="12" t="n">
        <v>-0.1465036928259837</v>
      </c>
    </row>
    <row r="8">
      <c r="A8" s="8" t="inlineStr">
        <is>
          <t xml:space="preserve">    Expense ratio (expenses / revenue)</t>
        </is>
      </c>
      <c r="B8" s="12" t="n">
        <v>1.159234500838774</v>
      </c>
      <c r="C8" s="12" t="n">
        <v>1.084149294459921</v>
      </c>
      <c r="D8" s="12" t="n">
        <v>1.248191341590462</v>
      </c>
      <c r="E8" s="12" t="n">
        <v>1.339633413818943</v>
      </c>
      <c r="F8" s="12" t="n">
        <v>1.234538791676588</v>
      </c>
      <c r="G8" s="12" t="n">
        <v>1.146503692825984</v>
      </c>
    </row>
    <row r="9">
      <c r="A9" s="8" t="inlineStr">
        <is>
          <t xml:space="preserve">    Return on assets (NI / assets)</t>
        </is>
      </c>
      <c r="B9" s="12" t="n">
        <v>-0.03789480688152791</v>
      </c>
      <c r="C9" s="12" t="n">
        <v>-0.02213075385700398</v>
      </c>
      <c r="D9" s="12" t="n">
        <v>-0.06715377809329676</v>
      </c>
      <c r="E9" s="12" t="n">
        <v>-0.07533443937350578</v>
      </c>
      <c r="F9" s="12" t="n">
        <v>-0.06962597910186194</v>
      </c>
      <c r="G9" s="12" t="n">
        <v>-0.04692938196791764</v>
      </c>
    </row>
    <row r="10">
      <c r="A10" s="8" t="inlineStr">
        <is>
          <t xml:space="preserve">    Revenue growth (YoY)</t>
        </is>
      </c>
      <c r="B10" s="12" t="n">
        <v>0.1505669237389393</v>
      </c>
      <c r="C10" s="12" t="n">
        <v>0.1164025678825862</v>
      </c>
      <c r="D10" s="12" t="n">
        <v>0.01152834763603011</v>
      </c>
      <c r="E10" s="12" t="n">
        <v>-0.189016861519466</v>
      </c>
      <c r="F10" s="12" t="n">
        <v>0.3653927737402813</v>
      </c>
      <c r="G10" s="12" t="n">
        <v>0.07570169987629871</v>
      </c>
    </row>
    <row r="12">
      <c r="A12" s="6" t="inlineStr">
        <is>
          <t>Leverage &amp; solvency</t>
        </is>
      </c>
      <c r="B12" s="7" t="n"/>
      <c r="C12" s="7" t="n"/>
      <c r="D12" s="7" t="n"/>
      <c r="E12" s="7" t="n"/>
      <c r="F12" s="7" t="n"/>
      <c r="G12" s="7" t="n"/>
    </row>
    <row r="13">
      <c r="A13" s="8" t="inlineStr">
        <is>
          <t xml:space="preserve">    Debt-to-assets (liab. / assets)</t>
        </is>
      </c>
      <c r="B13" s="12" t="n">
        <v>0.05895131791680745</v>
      </c>
      <c r="C13" s="12" t="n">
        <v>0.0393353888054183</v>
      </c>
      <c r="D13" s="12" t="n">
        <v>0.03690006081280357</v>
      </c>
      <c r="E13" s="12" t="n">
        <v>0.04899042687492937</v>
      </c>
      <c r="F13" s="12" t="n">
        <v>0.08569848597761055</v>
      </c>
      <c r="G13" s="12" t="n">
        <v>0.07398649846384789</v>
      </c>
    </row>
    <row r="14">
      <c r="A14" s="8" t="inlineStr">
        <is>
          <t xml:space="preserve">    Equity ratio (net assets / assets)</t>
        </is>
      </c>
      <c r="B14" s="12" t="n">
        <v>0.9410486820831926</v>
      </c>
      <c r="C14" s="12" t="n">
        <v>0.9606646111945817</v>
      </c>
      <c r="D14" s="12" t="n">
        <v>0.9630999391871964</v>
      </c>
      <c r="E14" s="12" t="n">
        <v>0.9510095731250706</v>
      </c>
      <c r="F14" s="12" t="n">
        <v>0.9143015140223895</v>
      </c>
      <c r="G14" s="12" t="n">
        <v>0.9260135015361521</v>
      </c>
    </row>
    <row r="16">
      <c r="A16" s="6" t="inlineStr">
        <is>
          <t>Liquidity &amp; asset profile (derived here)</t>
        </is>
      </c>
      <c r="B16" s="7" t="n"/>
      <c r="C16" s="7" t="n"/>
      <c r="D16" s="7" t="n"/>
      <c r="E16" s="7" t="n"/>
      <c r="F16" s="7" t="n"/>
      <c r="G16" s="7" t="n"/>
    </row>
    <row r="17">
      <c r="A17" s="8" t="inlineStr">
        <is>
          <t xml:space="preserve">    Current ratio (current assets / AP)</t>
        </is>
      </c>
      <c r="B17" s="19" t="n">
        <v>3.873865818443001</v>
      </c>
      <c r="C17" s="19" t="n">
        <v>5.904133866829035</v>
      </c>
      <c r="D17" s="19" t="n">
        <v>7.750176828405715</v>
      </c>
      <c r="E17" s="19" t="n">
        <v>7.063951244468778</v>
      </c>
      <c r="F17" s="19" t="n">
        <v>2.152074636624252</v>
      </c>
      <c r="G17" s="19" t="n">
        <v>2.144882395909423</v>
      </c>
    </row>
    <row r="18">
      <c r="A18" s="8" t="inlineStr">
        <is>
          <t xml:space="preserve">    Cash ratio ((cash+temp inv.) / total liab.)</t>
        </is>
      </c>
      <c r="B18" s="19" t="n">
        <v>3.19480805030709</v>
      </c>
      <c r="C18" s="19" t="n">
        <v>5.051493932936111</v>
      </c>
      <c r="D18" s="19" t="n">
        <v>6.930671476399302</v>
      </c>
      <c r="E18" s="19" t="n">
        <v>6.050748117365119</v>
      </c>
      <c r="F18" s="19" t="n">
        <v>1.42098777850425</v>
      </c>
      <c r="G18" s="19" t="n">
        <v>1.568192841490139</v>
      </c>
    </row>
    <row r="19">
      <c r="A19" s="8" t="inlineStr">
        <is>
          <t xml:space="preserve">    Asset age proxy (accum. deprec. / gross PP&amp;E)</t>
        </is>
      </c>
      <c r="B19" s="12" t="n">
        <v>0.5051979970004544</v>
      </c>
      <c r="C19" s="12" t="n">
        <v>0.52359062575558</v>
      </c>
      <c r="D19" s="12" t="n">
        <v>0.5645655748368014</v>
      </c>
      <c r="E19" s="12" t="n">
        <v>0.6056886013644497</v>
      </c>
      <c r="F19" s="12" t="n">
        <v>0.5642516202792824</v>
      </c>
      <c r="G19" s="12" t="n">
        <v>0.5885615939387011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San Cayetano Mutual Water Company</t>
        </is>
      </c>
    </row>
    <row r="2">
      <c r="A2" s="2" t="inlineStr">
        <is>
          <t>Unit economics - per-customer revenue by category (USD)</t>
        </is>
      </c>
    </row>
    <row r="3">
      <c r="A3" s="2" t="inlineStr">
        <is>
          <t>Entity ID: cawc_0012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v>50</v>
      </c>
      <c r="C6" s="22" t="inlineStr">
        <is>
          <t>State Water Board eAR Section 4 (CurTotalConnections), reporting year 2023</t>
        </is>
      </c>
    </row>
    <row r="7">
      <c r="A7" s="20" t="inlineStr">
        <is>
          <t>Total annual revenue (eAR Section 8b B1.8)</t>
        </is>
      </c>
      <c r="B7" s="9" t="n">
        <v>13753</v>
      </c>
      <c r="C7" s="22" t="inlineStr">
        <is>
          <t>State Water Board eAR Section 8b, question B1.8 (total annual revenue), reporting year 2023</t>
        </is>
      </c>
    </row>
    <row r="8">
      <c r="A8" s="20" t="inlineStr">
        <is>
          <t>Primary source</t>
        </is>
      </c>
      <c r="B8" s="23" t="inlineStr"/>
      <c r="C8" s="22"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DIRECT</t>
        </is>
      </c>
      <c r="C12" s="9" t="n">
        <v>13753</v>
      </c>
      <c r="D12" s="25" t="n">
        <v>275.06</v>
      </c>
      <c r="E12" s="26" t="n">
        <v>1</v>
      </c>
    </row>
    <row r="13">
      <c r="A13" s="8" t="inlineStr">
        <is>
          <t>Assessment revenue (990 program-service revenue not matched to eAR water-rate revenue)</t>
        </is>
      </c>
      <c r="B13" s="24" t="inlineStr">
        <is>
          <t>DERIVED</t>
        </is>
      </c>
      <c r="C13" s="9" t="n">
        <v>490680</v>
      </c>
      <c r="D13" s="25" t="n">
        <v>9813.6</v>
      </c>
      <c r="E13" s="26" t="n">
        <v>0.9727</v>
      </c>
    </row>
    <row r="14">
      <c r="A14" s="8" t="inlineStr">
        <is>
          <t>Meter revenue</t>
        </is>
      </c>
      <c r="B14" s="24" t="inlineStr">
        <is>
          <t>not reported</t>
        </is>
      </c>
      <c r="C14" s="27" t="inlineStr">
        <is>
          <t>not reported</t>
        </is>
      </c>
      <c r="D14" s="27" t="inlineStr">
        <is>
          <t>not reported</t>
        </is>
      </c>
      <c r="E14" s="27" t="inlineStr">
        <is>
          <t>not reported</t>
        </is>
      </c>
    </row>
    <row r="15">
      <c r="A15" s="8" t="inlineStr">
        <is>
          <t>Overage or tiered penalty revenue</t>
        </is>
      </c>
      <c r="B15" s="24" t="inlineStr">
        <is>
          <t>not reported</t>
        </is>
      </c>
      <c r="C15" s="27" t="inlineStr">
        <is>
          <t>not reported</t>
        </is>
      </c>
      <c r="D15" s="27" t="inlineStr">
        <is>
          <t>not reported</t>
        </is>
      </c>
      <c r="E15" s="27"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0" t="inlineStr">
        <is>
          <t>Numerator: Water rate revenue</t>
        </is>
      </c>
      <c r="B19" s="9" t="n">
        <v>13753</v>
      </c>
      <c r="C19" s="22" t="inlineStr">
        <is>
          <t>eAR Section 8b field B1.1 (residential water rates) only (this filer reported no non-residential water-rate revenue). State Water Board eAR Section 8b, question B1.1 + B1.2 (revenue from water rates), reporting year 2023</t>
        </is>
      </c>
    </row>
    <row r="20">
      <c r="A20" s="20" t="inlineStr">
        <is>
          <t>Denominator: Total service connections</t>
        </is>
      </c>
      <c r="B20" s="21" t="n">
        <v>50</v>
      </c>
      <c r="C20" s="22" t="inlineStr">
        <is>
          <t>eAR Section 4 CurTotalConnections, reporting year 2023. State Water Board eAR Section 4 (CurTotalConnections), reporting year 2023</t>
        </is>
      </c>
    </row>
    <row r="21" ht="36" customHeight="1">
      <c r="A21" s="3" t="inlineStr">
        <is>
          <t>Per customer: water rate revenue $13,753 / 50 connections = $275.06 per connection</t>
        </is>
      </c>
    </row>
    <row r="22" ht="36" customHeight="1">
      <c r="A22" s="3" t="inlineStr">
        <is>
          <t>Share of revenue: water rate revenue $13,753 / total annual revenue (eAR Section 8b B1.8) $13,753 = 100.00%</t>
        </is>
      </c>
    </row>
    <row r="23" ht="66" customHeight="1">
      <c r="A23" s="3" t="inlineStr">
        <is>
          <t>Period treatment: Numerator (eAR Section 8b, the calendar year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0" t="inlineStr">
        <is>
          <t>Input A: Form 990 program-service revenue</t>
        </is>
      </c>
      <c r="B28" s="9" t="n">
        <v>504433</v>
      </c>
      <c r="C28" s="22" t="inlineStr">
        <is>
          <t>Form 990 Part VIII line 2 (total program-service revenue), fiscal year 2023 ending December 31, 2023</t>
        </is>
      </c>
    </row>
    <row r="29">
      <c r="A29" s="20" t="inlineStr">
        <is>
          <t>Input B: eAR water-rate revenue</t>
        </is>
      </c>
      <c r="B29" s="9" t="n">
        <v>13753</v>
      </c>
      <c r="C29" s="22" t="inlineStr">
        <is>
          <t>State Water Board eAR Section 8b, question B1.1 + B1.2 (revenue from water rates), reporting year 2023</t>
        </is>
      </c>
    </row>
    <row r="30">
      <c r="A30" s="14" t="inlineStr">
        <is>
          <t>Residual (A minus B) = assessment revenue</t>
        </is>
      </c>
      <c r="B30" s="15">
        <f>B28-B29</f>
        <v/>
      </c>
      <c r="C30" s="22" t="inlineStr">
        <is>
          <t>$504,433 (990 program-service revenue) minus $13,753 (eAR water-rate revenue) = $490,680</t>
        </is>
      </c>
    </row>
    <row r="31" ht="66" customHeight="1">
      <c r="A31" s="3" t="inlineStr">
        <is>
          <t>Period alignment: Both inputs cover the same period: the eAR Section 8b is the calendar year 2023 and the Form 990 fiscal year 2023 ends December 31, 2023,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0" t="inlineStr">
        <is>
          <t>Denominator: Total service connections</t>
        </is>
      </c>
      <c r="B34" s="21" t="n">
        <v>50</v>
      </c>
      <c r="C34" s="22" t="inlineStr">
        <is>
          <t>eAR Section 4 CurTotalConnections, reporting year 2023. State Water Board eAR Section 4 (CurTotalConnections), reporting year 2023</t>
        </is>
      </c>
    </row>
    <row r="35" ht="36" customHeight="1">
      <c r="A35" s="3" t="inlineStr">
        <is>
          <t>Per customer: residual $490,680 / 50 connections = $9,813.60 per connection</t>
        </is>
      </c>
    </row>
    <row r="36" ht="36" customHeight="1">
      <c r="A36" s="3" t="inlineStr">
        <is>
          <t>Share of revenue: residual $490,680 / 990 program-service revenue $504,433 = 97.27%</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6"/>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San Cayetano Mutual Water Company</t>
        </is>
      </c>
    </row>
    <row r="2">
      <c r="A2" s="2" t="inlineStr">
        <is>
          <t>Rate structure and representative bill - eAR Section 8a (RY2024)</t>
        </is>
      </c>
    </row>
    <row r="3">
      <c r="A3" s="2" t="inlineStr">
        <is>
          <t>Entity ID: cawc_0012   |   Fiscal year ends December 31.</t>
        </is>
      </c>
    </row>
    <row r="5" ht="81" customHeight="1">
      <c r="A5" s="28" t="inlineStr">
        <is>
          <t>This block is a rate-schedule illustration at defined usage levels. It is NOT billed revenue and not a claim about any real customer's usage. The revenue side of unit economics is the separate Unit Economics block.</t>
        </is>
      </c>
    </row>
    <row r="6" ht="51" customHeight="1">
      <c r="A6" s="29" t="inlineStr">
        <is>
          <t>Structure: Uniform: fixed base plus a single volumetric rate, billed monthly, priced per HCF. Rate schedule last updated 07/01/2025.</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0" t="inlineStr"/>
      <c r="B10" s="5" t="inlineStr">
        <is>
          <t>Low</t>
        </is>
      </c>
      <c r="C10" s="5" t="inlineStr">
        <is>
          <t>Median</t>
        </is>
      </c>
      <c r="D10" s="5" t="inlineStr">
        <is>
          <t>High</t>
        </is>
      </c>
    </row>
    <row r="11">
      <c r="A11" s="8" t="inlineStr">
        <is>
          <t>Monthly usage (HCF)</t>
        </is>
      </c>
      <c r="B11" s="31" t="n">
        <v>5</v>
      </c>
      <c r="C11" s="31" t="n">
        <v>10</v>
      </c>
      <c r="D11" s="31" t="n">
        <v>25</v>
      </c>
    </row>
    <row r="12">
      <c r="A12" s="8" t="inlineStr">
        <is>
          <t>Months per bill (from filed billing frequency)</t>
        </is>
      </c>
      <c r="B12" s="32" t="n">
        <v>1</v>
      </c>
      <c r="C12" s="13" t="inlineStr">
        <is>
          <t>monthly biller</t>
        </is>
      </c>
    </row>
    <row r="14">
      <c r="A14" s="6" t="inlineStr">
        <is>
          <t>Filed rate table - single-family residential (as filed, eAR Section 8a)</t>
        </is>
      </c>
      <c r="B14" s="7" t="n"/>
      <c r="C14" s="7" t="n"/>
      <c r="D14" s="7" t="n"/>
    </row>
    <row r="15">
      <c r="A15" s="8" t="inlineStr">
        <is>
          <t>Base / fixed charge per monthly bill ($)</t>
        </is>
      </c>
      <c r="B15" s="25" t="n">
        <v>20</v>
      </c>
    </row>
    <row r="16">
      <c r="A16" s="4" t="inlineStr">
        <is>
          <t>Tier</t>
        </is>
      </c>
      <c r="B16" s="4" t="inlineStr">
        <is>
          <t>Range (HCF)</t>
        </is>
      </c>
      <c r="C16" s="33" t="inlineStr">
        <is>
          <t>Price ($/HCF)</t>
        </is>
      </c>
      <c r="D16" s="33" t="inlineStr">
        <is>
          <t>Upper limit (HCF)</t>
        </is>
      </c>
    </row>
    <row r="17">
      <c r="A17" s="8" t="inlineStr">
        <is>
          <t>Tier 1</t>
        </is>
      </c>
      <c r="B17" s="8" t="inlineStr">
        <is>
          <t>all usage (HCF)</t>
        </is>
      </c>
      <c r="C17" s="34" t="n">
        <v>8.380000000000001</v>
      </c>
      <c r="D17" s="35" t="inlineStr">
        <is>
          <t>no limit</t>
        </is>
      </c>
    </row>
    <row r="19">
      <c r="A19" s="6" t="inlineStr">
        <is>
          <t>Representative monthly bill - LIVE (edit a yellow usage cell to recompute)</t>
        </is>
      </c>
      <c r="B19" s="7" t="n"/>
      <c r="C19" s="7" t="n"/>
      <c r="D19" s="7" t="n"/>
    </row>
    <row r="20">
      <c r="A20" s="30" t="inlineStr"/>
      <c r="B20" s="5" t="inlineStr">
        <is>
          <t>Low</t>
        </is>
      </c>
      <c r="C20" s="5" t="inlineStr">
        <is>
          <t>Median</t>
        </is>
      </c>
      <c r="D20" s="5" t="inlineStr">
        <is>
          <t>High</t>
        </is>
      </c>
    </row>
    <row r="21">
      <c r="A21" s="8" t="inlineStr">
        <is>
          <t>Usage per bill (HCF)</t>
        </is>
      </c>
      <c r="B21" s="36">
        <f>B11*$B$12</f>
        <v/>
      </c>
      <c r="C21" s="36">
        <f>C11*$B$12</f>
        <v/>
      </c>
      <c r="D21" s="36">
        <f>D11*$B$12</f>
        <v/>
      </c>
    </row>
    <row r="22">
      <c r="A22" s="8" t="inlineStr">
        <is>
          <t xml:space="preserve">    Tier 1 charge per bill ($)</t>
        </is>
      </c>
      <c r="B22" s="37">
        <f>$C$17*MAX(0,B21-0)</f>
        <v/>
      </c>
      <c r="C22" s="37">
        <f>$C$17*MAX(0,C21-0)</f>
        <v/>
      </c>
      <c r="D22" s="37">
        <f>$C$17*MAX(0,D21-0)</f>
        <v/>
      </c>
    </row>
    <row r="23">
      <c r="A23" s="8" t="inlineStr">
        <is>
          <t>Volumetric charge per bill ($)</t>
        </is>
      </c>
      <c r="B23" s="37">
        <f>SUM(B22)</f>
        <v/>
      </c>
      <c r="C23" s="37">
        <f>SUM(C22)</f>
        <v/>
      </c>
      <c r="D23" s="37">
        <f>SUM(D22)</f>
        <v/>
      </c>
    </row>
    <row r="24">
      <c r="A24" s="8" t="inlineStr">
        <is>
          <t>Base charge per bill ($)</t>
        </is>
      </c>
      <c r="B24" s="37">
        <f>$B$15</f>
        <v/>
      </c>
      <c r="C24" s="37">
        <f>$B$15</f>
        <v/>
      </c>
      <c r="D24" s="37">
        <f>$B$15</f>
        <v/>
      </c>
    </row>
    <row r="25">
      <c r="A25" s="8" t="inlineStr">
        <is>
          <t>Total per bill ($)</t>
        </is>
      </c>
      <c r="B25" s="37">
        <f>B24+B23</f>
        <v/>
      </c>
      <c r="C25" s="37">
        <f>C24+C23</f>
        <v/>
      </c>
      <c r="D25" s="37">
        <f>D24+D23</f>
        <v/>
      </c>
    </row>
    <row r="26">
      <c r="A26" s="10" t="inlineStr">
        <is>
          <t>Total per MONTH ($)</t>
        </is>
      </c>
      <c r="B26" s="38">
        <f>B25/$B$12</f>
        <v/>
      </c>
      <c r="C26" s="38">
        <f>C25/$B$12</f>
        <v/>
      </c>
      <c r="D26" s="38">
        <f>D25/$B$12</f>
        <v/>
      </c>
    </row>
    <row r="27">
      <c r="A27" s="8" t="inlineStr">
        <is>
          <t xml:space="preserve">    Fixed per month ($)</t>
        </is>
      </c>
      <c r="B27" s="37">
        <f>$B$15/$B$12</f>
        <v/>
      </c>
      <c r="C27" s="37">
        <f>$B$15/$B$12</f>
        <v/>
      </c>
      <c r="D27" s="37">
        <f>$B$15/$B$12</f>
        <v/>
      </c>
    </row>
    <row r="28">
      <c r="A28" s="8" t="inlineStr">
        <is>
          <t xml:space="preserve">    Volumetric per month ($)</t>
        </is>
      </c>
      <c r="B28" s="37">
        <f>B23/$B$12</f>
        <v/>
      </c>
      <c r="C28" s="37">
        <f>C23/$B$12</f>
        <v/>
      </c>
      <c r="D28" s="37">
        <f>D23/$B$12</f>
        <v/>
      </c>
    </row>
    <row r="29">
      <c r="A29" s="8" t="inlineStr">
        <is>
          <t>Effective price ($/HCF)</t>
        </is>
      </c>
      <c r="B29" s="37">
        <f>IF(B11=0,"",B26/B11)</f>
        <v/>
      </c>
      <c r="C29" s="37">
        <f>IF(C11=0,"",C26/C11)</f>
        <v/>
      </c>
      <c r="D29" s="37">
        <f>IF(D11=0,"",D26/D11)</f>
        <v/>
      </c>
    </row>
    <row r="31">
      <c r="A31" s="6" t="inlineStr">
        <is>
          <t>Rate-structure comparison metrics</t>
        </is>
      </c>
      <c r="B31" s="7" t="n"/>
      <c r="C31" s="7" t="n"/>
      <c r="D31" s="7" t="n"/>
    </row>
    <row r="32">
      <c r="A32" s="8" t="inlineStr">
        <is>
          <t>Fixed share of the bill at median usage</t>
        </is>
      </c>
      <c r="B32" s="39">
        <f>C27/C26</f>
        <v/>
      </c>
      <c r="C32" s="13" t="inlineStr">
        <is>
          <t>fixed / total at 10 HCF/month</t>
        </is>
      </c>
    </row>
    <row r="33">
      <c r="A33" s="8" t="inlineStr">
        <is>
          <t>Tier price ratio (highest to lowest positive tier)</t>
        </is>
      </c>
      <c r="B33" s="40">
        <f>$C$17/$C$17</f>
        <v/>
      </c>
      <c r="C33" s="13" t="inlineStr">
        <is>
          <t>uniform structure: a single volumetric rate, so the ratio is 1.00 (flat).</t>
        </is>
      </c>
    </row>
    <row r="34">
      <c r="A34" s="8" t="inlineStr">
        <is>
          <t>Rate structure (as filed)</t>
        </is>
      </c>
      <c r="B34" s="41" t="inlineStr">
        <is>
          <t>uniform (Uniform Usage)</t>
        </is>
      </c>
    </row>
    <row r="36" ht="66" customHeight="1">
      <c r="A36" s="3" t="inlineStr">
        <is>
          <t>State Water Board eAR Section 8a (Customer Charges), single- and multi-family residential charges grid, reporting year 2024. Rate structure only; no revenue.</t>
        </is>
      </c>
    </row>
  </sheetData>
  <mergeCells count="7">
    <mergeCell ref="A1:D1"/>
    <mergeCell ref="A5:D5"/>
    <mergeCell ref="A6:D6"/>
    <mergeCell ref="A3:D3"/>
    <mergeCell ref="A7:D7"/>
    <mergeCell ref="A2:D2"/>
    <mergeCell ref="A36:D3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San Cayetano Mutual Water Company</t>
        </is>
      </c>
    </row>
    <row r="2">
      <c r="A2" s="2" t="inlineStr">
        <is>
          <t>eAR annual revenue and expenses - State Water Board eAR Section 8b (USD)</t>
        </is>
      </c>
    </row>
    <row r="3">
      <c r="A3" s="2" t="inlineStr">
        <is>
          <t>Entity ID: cawc_0012   |   Fiscal year ends December 31.</t>
        </is>
      </c>
    </row>
    <row r="5" ht="141" customHeight="1">
      <c r="A5" s="3" t="inlineStr">
        <is>
          <t>The water system's own annual figures from the public eAR Section 8b, on the calendar year 2023 the filer self-reported (B0.1/B0.2). Shown beside the period-aligned Form 990 with the variance flagged: a different source (a State Water Board self-report vs an IRS filing). Preserved as filed, never reconciled.</t>
        </is>
      </c>
    </row>
    <row r="6">
      <c r="A6" s="20" t="inlineStr">
        <is>
          <t>Reporting period basis (self-reported)</t>
        </is>
      </c>
      <c r="B6" s="23" t="inlineStr">
        <is>
          <t>calendar year 2023</t>
        </is>
      </c>
      <c r="C6" s="22"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0" t="inlineStr">
        <is>
          <t>Water rate revenue</t>
        </is>
      </c>
      <c r="B10" s="9" t="n">
        <v>13753</v>
      </c>
      <c r="C10" s="22" t="inlineStr">
        <is>
          <t>State Water Board eAR Section 8b, question B1.1 + B1.2 (revenue from water rates), reporting year 2023</t>
        </is>
      </c>
    </row>
    <row r="11">
      <c r="A11" s="20" t="inlineStr">
        <is>
          <t>Other fees and charges</t>
        </is>
      </c>
      <c r="B11" s="9" t="n">
        <v>0</v>
      </c>
      <c r="C11" s="22" t="inlineStr">
        <is>
          <t>State Water Board eAR Section 8b, question B1.3 + B1.4 (revenue from other fees), reporting year 2023</t>
        </is>
      </c>
    </row>
    <row r="12">
      <c r="A12" s="20" t="inlineStr">
        <is>
          <t>Non-customer revenue</t>
        </is>
      </c>
      <c r="B12" s="9" t="n">
        <v>0</v>
      </c>
      <c r="C12" s="22" t="inlineStr">
        <is>
          <t>State Water Board eAR Section 8b, question B1.7 (grants, interest, and other non-customer), reporting year 2023</t>
        </is>
      </c>
    </row>
    <row r="13">
      <c r="A13" s="20" t="inlineStr">
        <is>
          <t>Total annual revenue</t>
        </is>
      </c>
      <c r="B13" s="42" t="n">
        <v>13753</v>
      </c>
      <c r="C13" s="22"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0" t="inlineStr">
        <is>
          <t>Operations and maintenance</t>
        </is>
      </c>
      <c r="B17" s="9" t="n">
        <v>521499</v>
      </c>
      <c r="C17" s="22" t="inlineStr">
        <is>
          <t>State Water Board eAR Section 8b, question B2.1 (annual O and M expense), reporting year 2023</t>
        </is>
      </c>
    </row>
    <row r="18">
      <c r="A18" s="20" t="inlineStr">
        <is>
          <t>Capital</t>
        </is>
      </c>
      <c r="B18" s="9" t="n">
        <v>0</v>
      </c>
      <c r="C18" s="22" t="inlineStr">
        <is>
          <t>State Water Board eAR Section 8b, question B2.2 (annual expenses from investing or capital), reporting year 2023</t>
        </is>
      </c>
    </row>
    <row r="19">
      <c r="A19" s="20" t="inlineStr">
        <is>
          <t>Financing</t>
        </is>
      </c>
      <c r="B19" s="9" t="n">
        <v>0</v>
      </c>
      <c r="C19" s="22" t="inlineStr">
        <is>
          <t>State Water Board eAR Section 8b, question B2.3 (annual expenses from financing), reporting year 2023</t>
        </is>
      </c>
    </row>
    <row r="20">
      <c r="A20" s="20" t="inlineStr">
        <is>
          <t>Other</t>
        </is>
      </c>
      <c r="B20" s="9" t="n">
        <v>154263</v>
      </c>
      <c r="C20" s="22" t="inlineStr">
        <is>
          <t>State Water Board eAR Section 8b, question B2.4 (total other annual expenses), reporting year 2023</t>
        </is>
      </c>
    </row>
    <row r="21">
      <c r="A21" s="20" t="inlineStr">
        <is>
          <t>Total annual expenses</t>
        </is>
      </c>
      <c r="B21" s="42" t="n">
        <v>675762</v>
      </c>
      <c r="C21" s="22"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13753</v>
      </c>
      <c r="C25" s="9" t="n">
        <v>504438</v>
      </c>
    </row>
    <row r="26">
      <c r="A26" s="14" t="inlineStr">
        <is>
          <t>Variance (eAR minus Form 990)</t>
        </is>
      </c>
      <c r="B26" s="15">
        <f>B25-C25</f>
        <v/>
      </c>
      <c r="C26" s="43" t="n"/>
    </row>
    <row r="27" ht="126" customHeight="1">
      <c r="A27" s="3" t="inlineStr">
        <is>
          <t>The eAR Section 8b total revenue (State Water Board self-report, calendar year 2023) and the Form 990 total revenue (IRS filing) are a different source and cover the same calendar year 2023. Both are carried as filed; the variance is surfaced, never reconciled.</t>
        </is>
      </c>
    </row>
    <row r="28">
      <c r="A28" s="8" t="inlineStr">
        <is>
          <t>total expenses</t>
        </is>
      </c>
      <c r="B28" s="9" t="n">
        <v>675762</v>
      </c>
      <c r="C28" s="9" t="n">
        <v>675762</v>
      </c>
    </row>
    <row r="29">
      <c r="A29" s="14" t="inlineStr">
        <is>
          <t>Variance (eAR minus Form 990)</t>
        </is>
      </c>
      <c r="B29" s="15">
        <f>B28-C28</f>
        <v/>
      </c>
      <c r="C29" s="43" t="n"/>
    </row>
    <row r="30" ht="126" customHeight="1">
      <c r="A30" s="3" t="inlineStr">
        <is>
          <t>The eAR Section 8b total expenses (State Water Board self-report, calendar year 2023) and the Form 990 total expenses (IRS filing) are a different source and cover the same calendar year 2023.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San Cayetano Mutual Water Company</t>
        </is>
      </c>
    </row>
    <row r="2">
      <c r="A2" s="2" t="inlineStr">
        <is>
          <t>Denominators and calendar alignment</t>
        </is>
      </c>
    </row>
    <row r="3">
      <c r="A3" s="2" t="inlineStr">
        <is>
          <t>Entity ID: cawc_0012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0" t="inlineStr">
        <is>
          <t>Customer (service connection)</t>
        </is>
      </c>
      <c r="B7" s="21" t="n">
        <v>47</v>
      </c>
      <c r="C7" s="22" t="inlineStr">
        <is>
          <t>State Water Board eAR Section 4 (CurTotalConnections), reporting year 2024</t>
        </is>
      </c>
    </row>
    <row r="8">
      <c r="A8" s="20" t="inlineStr">
        <is>
          <t>SDWIS service-connection count (different registry)</t>
        </is>
      </c>
      <c r="B8" s="21" t="n">
        <v>47</v>
      </c>
      <c r="C8" s="22" t="inlineStr"/>
    </row>
    <row r="9">
      <c r="A9" s="20" t="inlineStr">
        <is>
          <t>Member (shareholder)</t>
        </is>
      </c>
      <c r="B9" s="23" t="n"/>
      <c r="C9" s="22"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FY2021 (2021-12-31)</t>
        </is>
      </c>
      <c r="B14" s="21" t="n">
        <v>50</v>
      </c>
      <c r="C14" s="17" t="inlineStr">
        <is>
          <t>not reported</t>
        </is>
      </c>
      <c r="D14" s="21" t="n">
        <v>3177.2</v>
      </c>
      <c r="E14" s="21" t="n">
        <v>2196.5</v>
      </c>
      <c r="F14" s="21" t="n">
        <v>2196.5</v>
      </c>
      <c r="G14" s="23" t="inlineStr">
        <is>
          <t>eAR annual total, calendar filer, equals fiscal year (not a monthly recast)</t>
        </is>
      </c>
    </row>
    <row r="15" ht="40" customHeight="1">
      <c r="A15" s="8" t="inlineStr">
        <is>
          <t>FY2022 (2022-12-31)</t>
        </is>
      </c>
      <c r="B15" s="21" t="n">
        <v>50</v>
      </c>
      <c r="C15" s="17" t="inlineStr">
        <is>
          <t>not reported</t>
        </is>
      </c>
      <c r="D15" s="21" t="n">
        <v>3177.2</v>
      </c>
      <c r="E15" s="21" t="n">
        <v>2164.8</v>
      </c>
      <c r="F15" s="21" t="n">
        <v>2164.8</v>
      </c>
      <c r="G15" s="23" t="inlineStr">
        <is>
          <t>eAR annual total, calendar filer, equals fiscal year (not a monthly recast)</t>
        </is>
      </c>
    </row>
    <row r="16" ht="40" customHeight="1">
      <c r="A16" s="8" t="inlineStr">
        <is>
          <t>FY2023 (2023-12-31)</t>
        </is>
      </c>
      <c r="B16" s="21" t="n">
        <v>50</v>
      </c>
      <c r="C16" s="21" t="n">
        <v>46</v>
      </c>
      <c r="D16" s="21" t="n">
        <v>3177.2</v>
      </c>
      <c r="E16" s="17" t="inlineStr">
        <is>
          <t>not reported</t>
        </is>
      </c>
      <c r="F16" s="17" t="inlineStr">
        <is>
          <t>not reported</t>
        </is>
      </c>
      <c r="G16" s="23" t="inlineStr">
        <is>
          <t>eAR annual total, calendar filer, equals fiscal year (not a monthly recast)</t>
        </is>
      </c>
    </row>
    <row r="17" ht="40" customHeight="1">
      <c r="A17" s="8" t="inlineStr">
        <is>
          <t>FY2024 (2024-12-31)</t>
        </is>
      </c>
      <c r="B17" s="21" t="n">
        <v>47</v>
      </c>
      <c r="C17" s="21" t="n">
        <v>46</v>
      </c>
      <c r="D17" s="21" t="n">
        <v>3177.2</v>
      </c>
      <c r="E17" s="17" t="inlineStr">
        <is>
          <t>not reported</t>
        </is>
      </c>
      <c r="F17" s="17" t="inlineStr">
        <is>
          <t>not reported</t>
        </is>
      </c>
      <c r="G17" s="23" t="inlineStr">
        <is>
          <t>eAR annual total, calendar filer, equals fiscal year (not a monthly recast)</t>
        </is>
      </c>
    </row>
    <row r="18" ht="40" customHeight="1">
      <c r="A18" s="8" t="inlineStr">
        <is>
          <t>FY2025 (2025-12-31)</t>
        </is>
      </c>
      <c r="B18" s="21" t="n">
        <v>47</v>
      </c>
      <c r="C18" s="21" t="n">
        <v>46</v>
      </c>
      <c r="D18" s="21" t="n">
        <v>3177.2</v>
      </c>
      <c r="E18" s="17" t="inlineStr">
        <is>
          <t>not reported</t>
        </is>
      </c>
      <c r="F18" s="17" t="inlineStr">
        <is>
          <t>not reported</t>
        </is>
      </c>
      <c r="G18" s="23" t="inlineStr">
        <is>
          <t>eAR annual total, calendar filer, equals fiscal year (not a monthly recast)</t>
        </is>
      </c>
    </row>
    <row r="20">
      <c r="A20" s="6" t="inlineStr">
        <is>
          <t>Connections by class - FY2025 (eAR Section 4)</t>
        </is>
      </c>
      <c r="B20" s="7" t="n"/>
      <c r="C20" s="7" t="n"/>
      <c r="D20" s="7" t="n"/>
      <c r="E20" s="7" t="n"/>
      <c r="F20" s="7" t="n"/>
      <c r="G20" s="7" t="n"/>
    </row>
    <row r="21">
      <c r="A21" s="20" t="inlineStr">
        <is>
          <t>Single-family residential</t>
        </is>
      </c>
      <c r="B21" s="21" t="n">
        <v>33</v>
      </c>
      <c r="C21" s="22" t="inlineStr"/>
    </row>
    <row r="22">
      <c r="A22" s="20" t="inlineStr">
        <is>
          <t>Commercial and institutional</t>
        </is>
      </c>
      <c r="B22" s="21" t="n">
        <v>0</v>
      </c>
      <c r="C22" s="22" t="inlineStr"/>
    </row>
    <row r="23">
      <c r="A23" s="20" t="inlineStr">
        <is>
          <t>Agricultural</t>
        </is>
      </c>
      <c r="B23" s="21" t="n">
        <v>36</v>
      </c>
      <c r="C23" s="22" t="inlineStr"/>
    </row>
    <row r="24" ht="81" customHeight="1">
      <c r="A24"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4:G24"/>
    <mergeCell ref="A2:G2"/>
    <mergeCell ref="A10:G10"/>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San Cayetano Mutual Water Company</t>
        </is>
      </c>
    </row>
    <row r="2">
      <c r="A2" s="2" t="inlineStr">
        <is>
          <t>Governance evidence status - Ostrom's eight design principles</t>
        </is>
      </c>
    </row>
    <row r="3">
      <c r="A3" s="2" t="inlineStr">
        <is>
          <t>Entity ID: cawc_0012   |   Fiscal year ends December 31.</t>
        </is>
      </c>
    </row>
    <row r="5">
      <c r="A5" s="44" t="inlineStr">
        <is>
          <t>Evidence summary: 5 documented, 1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4" t="inlineStr">
        <is>
          <t>DOCUMENTED</t>
        </is>
      </c>
      <c r="C10" s="23" t="inlineStr">
        <is>
          <t>The system is a defined public water system: 47 service connections over a State-published service-area boundary.</t>
        </is>
      </c>
      <c r="D10" s="23" t="inlineStr">
        <is>
          <t>SDWIS Community water system; SABL service-area boundary (not verified (sabl)); connections defined.</t>
        </is>
      </c>
      <c r="E10" s="45"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Not Verified (SABL), so its outer edge rests on that State layer.</t>
        </is>
      </c>
    </row>
    <row r="12" ht="46" customHeight="1">
      <c r="A12" s="8" t="inlineStr">
        <is>
          <t>Rules fit local conditions</t>
        </is>
      </c>
      <c r="B12" s="24" t="inlineStr">
        <is>
          <t>DOCUMENTED</t>
        </is>
      </c>
      <c r="C12" s="23" t="inlineStr">
        <is>
          <t>Charges are tied to service under a documented rate or share-based allocation rule reported to the State or set in the company's structure.</t>
        </is>
      </c>
      <c r="D12" s="23" t="inlineStr">
        <is>
          <t>eAR Section 8a customer charges; documented rate or share-allocation rule.</t>
        </is>
      </c>
      <c r="E12" s="45"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4" t="inlineStr">
        <is>
          <t>DOCUMENTED</t>
        </is>
      </c>
      <c r="C14" s="23" t="inlineStr">
        <is>
          <t>The company is owned by its customer-shareholders and run by a named board they elect, documented in its Form 990 governance section.</t>
        </is>
      </c>
      <c r="D14" s="23" t="inlineStr">
        <is>
          <t>Mutual ownership; named elected board of directors (Form 990).</t>
        </is>
      </c>
      <c r="E14" s="45" t="inlineStr">
        <is>
          <t>[990][r1]</t>
        </is>
      </c>
    </row>
    <row r="15" ht="81" customHeight="1">
      <c r="A15" s="3" t="inlineStr">
        <is>
          <t>What the record shows: The record documents a collective-choice mechanism: customers are shareholders who elect a named board that governs the company. Turnout and specific member votes on major decisions are not documented, but the elected-board structure and its membership are on record.</t>
        </is>
      </c>
    </row>
    <row r="16" ht="46" customHeight="1">
      <c r="A16" s="8" t="inlineStr">
        <is>
          <t>Monitoring</t>
        </is>
      </c>
      <c r="B16" s="24" t="inlineStr">
        <is>
          <t>DOCUMENTED</t>
        </is>
      </c>
      <c r="C16" s="23" t="inlineStr">
        <is>
          <t>The system is metered and monitored: the State SAFER risk assessment shows it Not Failing, and it files an annual eAR.</t>
        </is>
      </c>
      <c r="D16" s="23" t="inlineStr">
        <is>
          <t>SAFER Not Failing; annual eAR reporting; metered connections.</t>
        </is>
      </c>
      <c r="E16" s="45"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4" t="inlineStr">
        <is>
          <t>NOT DOCUMENTED</t>
        </is>
      </c>
      <c r="C18" s="23" t="inlineStr">
        <is>
          <t>No published shut-off, penalty, or delinquency policy was found for this system.</t>
        </is>
      </c>
      <c r="D18" s="23" t="inlineStr">
        <is>
          <t>No sourced sanctions policy.</t>
        </is>
      </c>
      <c r="E18" s="45"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4" t="inlineStr">
        <is>
          <t>NOT DOCUMENTED</t>
        </is>
      </c>
      <c r="C20" s="23" t="inlineStr">
        <is>
          <t>No published bylaws, dispute procedure, or grievance mechanism was found for this system.</t>
        </is>
      </c>
      <c r="D20" s="23" t="inlineStr">
        <is>
          <t>No sourced conflict-resolution record.</t>
        </is>
      </c>
      <c r="E20" s="45"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4" t="inlineStr">
        <is>
          <t>DOCUMENTED</t>
        </is>
      </c>
      <c r="C22" s="23" t="inlineStr">
        <is>
          <t>An incorporated California mutual water company recognized by the IRS (501(c)(12)) and by the State Water Board as a public water system.</t>
        </is>
      </c>
      <c r="D22" s="23" t="inlineStr">
        <is>
          <t>IRS 501(c)(12) exempt filer (Form 990); SDWIS public water system.</t>
        </is>
      </c>
      <c r="E22" s="45"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0071659, first registered 01/02/1913, status as filed "Active", with a governing body named in the Statement of Information filed 2/2/2026.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4" t="inlineStr">
        <is>
          <t>PARTIAL</t>
        </is>
      </c>
      <c r="C24" s="23" t="inlineStr">
        <is>
          <t>The system draws on a shared local groundwater basin, embedding it in a larger physical water system, though its role in basin governance is not documented.</t>
        </is>
      </c>
      <c r="D24" s="23" t="inlineStr">
        <is>
          <t>SDWIS Primary Water Source Type: groundwater (shared basin).</t>
        </is>
      </c>
      <c r="E24" s="45" t="inlineStr">
        <is>
          <t>[C]</t>
        </is>
      </c>
    </row>
    <row r="25" ht="66" customHeight="1">
      <c r="A25" s="3" t="inlineStr">
        <is>
          <t>What the record shows: The system relies on a shared groundwater basin, so it is physically nested in a larger hydrologic system. Its participation in a groundwater sustainability agency or basin governance is not documented, so the nesting evidence is partial.</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San Cayetano Mutual Water Company</t>
        </is>
      </c>
    </row>
    <row r="2">
      <c r="A2" s="2" t="inlineStr">
        <is>
          <t>Operational metrics - plant per acre, density, terrain</t>
        </is>
      </c>
    </row>
    <row r="3">
      <c r="A3" s="2" t="inlineStr">
        <is>
          <t>Entity ID: cawc_0012   |   Fiscal year ends December 31.</t>
        </is>
      </c>
    </row>
    <row r="5">
      <c r="A5" s="6" t="inlineStr">
        <is>
          <t>Plant assets per acre</t>
        </is>
      </c>
      <c r="B5" s="7" t="n"/>
      <c r="C5" s="7" t="n"/>
    </row>
    <row r="6">
      <c r="A6" s="20" t="inlineStr">
        <is>
          <t>Service-area acres</t>
        </is>
      </c>
      <c r="B6" s="46" t="n">
        <v>3177.2</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1180.6802</v>
      </c>
      <c r="C8" s="9" t="n">
        <v>562.4871000000001</v>
      </c>
    </row>
    <row r="9">
      <c r="A9" s="18" t="inlineStr">
        <is>
          <t>FY2022</t>
        </is>
      </c>
      <c r="B9" s="9" t="n">
        <v>1180.6798</v>
      </c>
      <c r="C9" s="9" t="n">
        <v>514.1086</v>
      </c>
    </row>
    <row r="10">
      <c r="A10" s="18" t="inlineStr">
        <is>
          <t>FY2023</t>
        </is>
      </c>
      <c r="B10" s="9" t="n">
        <v>1180.6798</v>
      </c>
      <c r="C10" s="9" t="n">
        <v>465.5555</v>
      </c>
    </row>
    <row r="11">
      <c r="A11" s="18" t="inlineStr">
        <is>
          <t>FY2024</t>
        </is>
      </c>
      <c r="B11" s="9" t="n">
        <v>1353.3539</v>
      </c>
      <c r="C11" s="9" t="n">
        <v>589.7218</v>
      </c>
    </row>
    <row r="12">
      <c r="A12" s="18" t="inlineStr">
        <is>
          <t>FY2025</t>
        </is>
      </c>
      <c r="B12" s="9" t="n">
        <v>1368.2862</v>
      </c>
      <c r="C12" s="9" t="n">
        <v>562.9655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0.02</v>
      </c>
      <c r="C19" s="22" t="inlineStr">
        <is>
          <t>69 connections / 3,177.2 acres. CA State Water Board SABL SERVICE_CONNECTIONS; Geodesic area (WGS84 spherical excess) of the SABL service-area polygon.</t>
        </is>
      </c>
    </row>
    <row r="21">
      <c r="A21" s="6" t="inlineStr">
        <is>
          <t>Who they are</t>
        </is>
      </c>
      <c r="B21" s="7" t="n"/>
      <c r="C21" s="7" t="n"/>
    </row>
    <row r="22">
      <c r="A22" s="20" t="inlineStr">
        <is>
          <t>Terrain class</t>
        </is>
      </c>
      <c r="B22" s="23" t="inlineStr">
        <is>
          <t>flat valley</t>
        </is>
      </c>
      <c r="C22" s="22" t="inlineStr">
        <is>
          <t>Company context page (BLUEPRINT 5B)</t>
        </is>
      </c>
    </row>
    <row r="23" ht="111" customHeight="1">
      <c r="A23" s="3" t="inlineStr">
        <is>
          <t>A California mutual water company (501(c)(12)) serving about 47 service connections in Fillmore, in the Santa Clara River valley of Ventura County, and describing itself as providing both agricultural and domestic water to its members.</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San Cayetano Mutual Water Company</t>
        </is>
      </c>
    </row>
    <row r="2">
      <c r="A2" s="2" t="inlineStr">
        <is>
          <t>Supply and weather indicators (DWR water year)</t>
        </is>
      </c>
    </row>
    <row r="3">
      <c r="A3" s="2" t="inlineStr">
        <is>
          <t>Entity ID: cawc_0012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45" t="inlineStr">
        <is>
          <t>Critical</t>
        </is>
      </c>
      <c r="C8" s="45" t="inlineStr">
        <is>
          <t>Critical</t>
        </is>
      </c>
      <c r="D8" s="45" t="inlineStr">
        <is>
          <t>Wet</t>
        </is>
      </c>
      <c r="E8" s="45" t="inlineStr">
        <is>
          <t>Above Normal</t>
        </is>
      </c>
      <c r="F8" s="47" t="inlineStr">
        <is>
          <t>not reported</t>
        </is>
      </c>
    </row>
    <row r="9">
      <c r="A9" s="8" t="inlineStr">
        <is>
          <t>Peak drought, Ventura County</t>
        </is>
      </c>
      <c r="B9" s="45" t="inlineStr">
        <is>
          <t>D4</t>
        </is>
      </c>
      <c r="C9" s="45" t="inlineStr">
        <is>
          <t>D4</t>
        </is>
      </c>
      <c r="D9" s="45" t="inlineStr">
        <is>
          <t>D3</t>
        </is>
      </c>
      <c r="E9" s="45" t="inlineStr">
        <is>
          <t>None (no D0-D4 during the fiscal year)</t>
        </is>
      </c>
      <c r="F9" s="45" t="inlineStr">
        <is>
          <t>D3</t>
        </is>
      </c>
    </row>
    <row r="10">
      <c r="A10" s="8" t="inlineStr">
        <is>
          <t>Precip, percent of normal (8-Station Index)</t>
        </is>
      </c>
      <c r="B10" s="45" t="inlineStr">
        <is>
          <t>48</t>
        </is>
      </c>
      <c r="C10" s="45" t="inlineStr">
        <is>
          <t>86</t>
        </is>
      </c>
      <c r="D10" s="45" t="inlineStr">
        <is>
          <t>133</t>
        </is>
      </c>
      <c r="E10" s="45" t="inlineStr">
        <is>
          <t>96</t>
        </is>
      </c>
      <c r="F10" s="45" t="inlineStr">
        <is>
          <t>113</t>
        </is>
      </c>
    </row>
    <row r="11">
      <c r="A11" s="8" t="inlineStr">
        <is>
          <t>Snowpack, April 1 percent of average</t>
        </is>
      </c>
      <c r="B11" s="45" t="inlineStr">
        <is>
          <t>59%</t>
        </is>
      </c>
      <c r="C11" s="45" t="inlineStr">
        <is>
          <t>38%</t>
        </is>
      </c>
      <c r="D11" s="45" t="inlineStr">
        <is>
          <t>237%</t>
        </is>
      </c>
      <c r="E11" s="45" t="inlineStr">
        <is>
          <t>110%</t>
        </is>
      </c>
      <c r="F11" s="45" t="inlineStr">
        <is>
          <t>96%</t>
        </is>
      </c>
    </row>
    <row r="12">
      <c r="A12" s="8" t="inlineStr">
        <is>
          <t>State Water Project allocation</t>
        </is>
      </c>
      <c r="B12" s="45" t="inlineStr">
        <is>
          <t>5%</t>
        </is>
      </c>
      <c r="C12" s="45" t="inlineStr">
        <is>
          <t>5%</t>
        </is>
      </c>
      <c r="D12" s="45" t="inlineStr">
        <is>
          <t>100%</t>
        </is>
      </c>
      <c r="E12" s="45" t="inlineStr">
        <is>
          <t>40%</t>
        </is>
      </c>
      <c r="F12" s="45"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San Cayetano Mutual Water Company</t>
        </is>
      </c>
    </row>
    <row r="2">
      <c r="A2" s="2" t="inlineStr">
        <is>
          <t>How this was built - forensic lineage</t>
        </is>
      </c>
    </row>
    <row r="3">
      <c r="A3" s="2" t="inlineStr">
        <is>
          <t>Entity ID: cawc_0012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0" t="inlineStr">
        <is>
          <t>Sources checked</t>
        </is>
      </c>
      <c r="B12" s="22" t="inlineStr">
        <is>
          <t>Form 990 Part VIII line 2 (program-service revenue); State Water Board eAR Section 8b (water-rate revenue B1.1/B1.2)</t>
        </is>
      </c>
    </row>
    <row r="13" ht="72" customHeight="1">
      <c r="A13" s="20" t="inlineStr">
        <is>
          <t>What was found</t>
        </is>
      </c>
      <c r="B13" s="22" t="inlineStr">
        <is>
          <t>No source separately reports a member assessment, so it is DERIVED as a residual: $504,433 (990 program-service revenue) minus $13,753 (eAR water-rate revenue) = $490,680. Period-aligned; medium confidence.</t>
        </is>
      </c>
    </row>
    <row r="14" ht="72" customHeight="1">
      <c r="A14" s="20" t="inlineStr">
        <is>
          <t>Caveat</t>
        </is>
      </c>
      <c r="B14" s="22"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San Cayetano Mutual Water Company</t>
        </is>
      </c>
    </row>
    <row r="2">
      <c r="A2" s="2" t="inlineStr">
        <is>
          <t>Water Operations (sourced outside the financial filings)</t>
        </is>
      </c>
    </row>
    <row r="3">
      <c r="A3" s="2" t="inlineStr">
        <is>
          <t>Entity ID: cawc_0012   |   Fiscal year ends December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3" t="inlineStr">
        <is>
          <t>Potable (community drinking water)</t>
        </is>
      </c>
      <c r="C8" s="8" t="inlineStr">
        <is>
          <t>SDWIS Drinking Water Watch (State Water Board)</t>
        </is>
      </c>
      <c r="D8" s="45" t="n">
        <v>2024</v>
      </c>
      <c r="E8" s="8" t="inlineStr">
        <is>
          <t>high</t>
        </is>
      </c>
      <c r="F8" s="23" t="inlineStr">
        <is>
          <t>SAN CAYETANO MUTUAL WATER CO: State Water System Type = Community.</t>
        </is>
      </c>
    </row>
    <row r="9" ht="42" customHeight="1">
      <c r="A9" s="8" t="inlineStr">
        <is>
          <t>Source mix</t>
        </is>
      </c>
      <c r="B9" s="23" t="inlineStr">
        <is>
          <t>Primary source: local groundwater wells (SDWIS Primary Water Source Type: Groundwater). SDWIS classifies the primary supply type; it states no acre-foot volume by source.</t>
        </is>
      </c>
      <c r="C9" s="8" t="inlineStr">
        <is>
          <t>SDWIS Drinking Water Watch (State Water Board)</t>
        </is>
      </c>
      <c r="D9" s="45" t="n">
        <v>2024</v>
      </c>
      <c r="E9" s="8" t="inlineStr">
        <is>
          <t>high</t>
        </is>
      </c>
      <c r="F9" s="23" t="inlineStr">
        <is>
          <t>SAN CAYETANO MUTUAL WATER CO: Primary Water Source Type = Groundwater.</t>
        </is>
      </c>
    </row>
    <row r="10" ht="42" customHeight="1">
      <c r="A10" s="8" t="inlineStr">
        <is>
          <t>Service connections (total)</t>
        </is>
      </c>
      <c r="B10" s="23" t="inlineStr">
        <is>
          <t>47 connections</t>
        </is>
      </c>
      <c r="C10" s="8" t="inlineStr">
        <is>
          <t>SDWIS Drinking Water Watch (State Water Board)</t>
        </is>
      </c>
      <c r="D10" s="45" t="n">
        <v>2024</v>
      </c>
      <c r="E10" s="8" t="inlineStr">
        <is>
          <t>high</t>
        </is>
      </c>
      <c r="F10" s="23" t="inlineStr">
        <is>
          <t>SAN CAYETANO MUTUAL WATER CO: Total Number of Service Connections = 47.  [cross-source: SDWIS connection snapshot; the eAR reports active service connections on its own basis and per reporting year. Both preserved, not reconciled.]</t>
        </is>
      </c>
    </row>
    <row r="11" ht="42" customHeight="1">
      <c r="A11" s="8" t="inlineStr">
        <is>
          <t>Connections by class</t>
        </is>
      </c>
      <c r="B11" s="23" t="inlineStr">
        <is>
          <t>Service connections by type (SDWIS snapshot): Residential 14; Agricultural 33; Total 47.</t>
        </is>
      </c>
      <c r="C11" s="8" t="inlineStr">
        <is>
          <t>SDWIS Drinking Water Watch (State Water Board)</t>
        </is>
      </c>
      <c r="D11" s="45" t="n">
        <v>2024</v>
      </c>
      <c r="E11" s="8" t="inlineStr">
        <is>
          <t>high</t>
        </is>
      </c>
      <c r="F11" s="23" t="inlineStr">
        <is>
          <t>SAN CAYETANO MUTUAL WATER CO: connections by type - Residential 14; Agricultural 33; Total 47.</t>
        </is>
      </c>
    </row>
    <row r="12" ht="42" customHeight="1">
      <c r="A12" s="8" t="inlineStr">
        <is>
          <t>Population served</t>
        </is>
      </c>
      <c r="B12" s="23" t="inlineStr">
        <is>
          <t>46 residents</t>
        </is>
      </c>
      <c r="C12" s="8" t="inlineStr">
        <is>
          <t>SDWIS Drinking Water Watch (State Water Board)</t>
        </is>
      </c>
      <c r="D12" s="45" t="n">
        <v>2024</v>
      </c>
      <c r="E12" s="8" t="inlineStr">
        <is>
          <t>high</t>
        </is>
      </c>
      <c r="F12" s="23" t="inlineStr">
        <is>
          <t>SAN CAYETANO MUTUAL WATER CO: Total Population = 46.</t>
        </is>
      </c>
    </row>
    <row r="13" ht="42" customHeight="1">
      <c r="A13" s="8" t="inlineStr">
        <is>
          <t>Treatment and water quality</t>
        </is>
      </c>
      <c r="B13" s="23" t="inlineStr">
        <is>
          <t>Operator certification on file: Treatment or distribution operator of any grade; Distribution Operator Level 1. SDWIS states operator grades, not the treatment process detail.</t>
        </is>
      </c>
      <c r="C13" s="8" t="inlineStr">
        <is>
          <t>SDWIS Drinking Water Watch (State Water Board)</t>
        </is>
      </c>
      <c r="D13" s="45" t="n">
        <v>2024</v>
      </c>
      <c r="E13" s="8" t="inlineStr">
        <is>
          <t>high</t>
        </is>
      </c>
      <c r="F13" s="23" t="inlineStr">
        <is>
          <t>SAN CAYETANO MUTUAL WATER CO: Treatment Plant Class = Treatment or distribution operator of any grade; Distribution System Class = Distribution Operator Level 1.</t>
        </is>
      </c>
    </row>
    <row r="15">
      <c r="A15" s="6" t="inlineStr">
        <is>
          <t>Not reported (source still needed)</t>
        </is>
      </c>
      <c r="B15" s="7" t="n"/>
      <c r="C15" s="7" t="n"/>
      <c r="D15" s="7" t="n"/>
      <c r="E15" s="7" t="n"/>
      <c r="F15" s="7" t="n"/>
    </row>
    <row r="16" ht="30" customHeight="1">
      <c r="A16" s="8" t="inlineStr">
        <is>
          <t>Annual volume delivered (acre-feet)</t>
        </is>
      </c>
      <c r="B16" s="22" t="inlineStr">
        <is>
          <t>not reported - needs annual volume in acre-feet (State Water Board eAR Section 6 or company production records); the CCR states only a percentage mix</t>
        </is>
      </c>
      <c r="C16" s="43" t="n"/>
      <c r="D16" s="43" t="n"/>
      <c r="E16" s="43" t="n"/>
      <c r="F16" s="43" t="n"/>
    </row>
    <row r="17" ht="30" customHeight="1">
      <c r="A17" s="8" t="inlineStr">
        <is>
          <t>Customer classes served</t>
        </is>
      </c>
      <c r="B17" s="22" t="inlineStr">
        <is>
          <t>not reported - needs the State Water Board eAR or the system CCR</t>
        </is>
      </c>
      <c r="C17" s="43" t="n"/>
      <c r="D17" s="43" t="n"/>
      <c r="E17" s="43" t="n"/>
      <c r="F17" s="43"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San Cayetano Mutual Water Company</t>
        </is>
      </c>
    </row>
    <row r="2">
      <c r="A2" s="2" t="inlineStr">
        <is>
          <t>Anomaly Flags (automated; kept separate from the clean statements)</t>
        </is>
      </c>
    </row>
    <row r="3">
      <c r="A3" s="2" t="inlineStr">
        <is>
          <t>Entity ID: cawc_0012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FY2022 net assets do not sum to the lines we extract</t>
        </is>
      </c>
      <c r="B7" s="7" t="n"/>
    </row>
    <row r="8">
      <c r="A8" s="20" t="inlineStr">
        <is>
          <t>Affected figure</t>
        </is>
      </c>
      <c r="B8" s="22" t="inlineStr">
        <is>
          <t>Net assets FY2022</t>
        </is>
      </c>
    </row>
    <row r="9">
      <c r="A9" s="20" t="inlineStr">
        <is>
          <t>Confidence</t>
        </is>
      </c>
      <c r="B9" s="22" t="inlineStr">
        <is>
          <t>medium</t>
        </is>
      </c>
    </row>
    <row r="10" ht="72" customHeight="1">
      <c r="A10" s="20" t="inlineStr">
        <is>
          <t>What happened (filed, sourced)</t>
        </is>
      </c>
      <c r="B10" s="22" t="inlineStr">
        <is>
          <t>FY2022 net assets are carried exactly as filed at $2,214,030. The lines we extracted do not sum to that total: the ending net assets it reports (Form 990 Part XI line 10) should equal the beginning net assets (line 4) plus revenue less expenses (line 3) plus other changes (lines 5-9), which computes to $2,091,800 (a difference of $122,230 against the $2,214,030 on the form). This may mean a line on the form that we do not yet read, rather than an error by the company. The filed figure is kept and the difference is flagged, not reconciled.</t>
        </is>
      </c>
    </row>
    <row r="11" ht="54" customHeight="1">
      <c r="A11" s="20" t="inlineStr">
        <is>
          <t>Source lines</t>
        </is>
      </c>
      <c r="B11" s="22" t="inlineStr">
        <is>
          <t>- Net assets, end of year (as filed): $2,214,030 (Form 990 Part XI line 10 / Part X line 32 (net assets, end of year))
- Net assets, end of year (recomputed from the lines we extract): $2,091,800
- Difference (as filed less our computed sum): $122,230</t>
        </is>
      </c>
    </row>
    <row r="12" ht="72" customHeight="1">
      <c r="A12" s="20" t="inlineStr">
        <is>
          <t>Confidence reasoning</t>
        </is>
      </c>
      <c r="B12" s="22" t="inlineStr">
        <is>
          <t>The net-assets figure is a direct filed line item, carried exactly as filed; confidence is held to medium (not high) because the lines we extract do not sum to the total on the form, so the figure is flagged rather than presented as clean. That can mean a line we do not read as easily as an inconsistency in the filing, and this project has found the former three times. Nothing is reconciled.</t>
        </is>
      </c>
    </row>
    <row r="13">
      <c r="A13" s="20" t="inlineStr">
        <is>
          <t>Why (not stated in the filing)</t>
        </is>
      </c>
      <c r="B13" s="22" t="inlineStr">
        <is>
          <t>The filing does not state a reason.</t>
        </is>
      </c>
    </row>
    <row r="14" ht="60" customHeight="1">
      <c r="A14" s="20" t="inlineStr">
        <is>
          <t>Possible explanation (guess)</t>
        </is>
      </c>
      <c r="B14" s="48" t="inlineStr">
        <is>
          <t>Possible explanation, not stated in filing: an ending net-worth figure that does not equal the beginning balance plus the year's surplus or deficit usually reflects a prior-year adjustment, a reclassification between balance-sheet lines, or a rounding or transcription difference on the filed form.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21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San Cayetano Mutual Water Company</t>
        </is>
      </c>
    </row>
    <row r="2">
      <c r="A2" s="2" t="inlineStr">
        <is>
          <t>Sources &amp; audit - full provenance and tie-outs (kept off the statements so they read clean)</t>
        </is>
      </c>
    </row>
    <row r="3">
      <c r="A3" s="2" t="inlineStr">
        <is>
          <t>Entity ID: cawc_0012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5" t="inlineStr">
        <is>
          <t>FY2020</t>
        </is>
      </c>
      <c r="B10" s="8" t="inlineStr">
        <is>
          <t>2020-12-31</t>
        </is>
      </c>
      <c r="C10" s="8" t="inlineStr">
        <is>
          <t>990</t>
        </is>
      </c>
      <c r="D10" s="8" t="inlineStr">
        <is>
          <t>high</t>
        </is>
      </c>
      <c r="E10" s="8" t="inlineStr">
        <is>
          <t>ac7c7c0a-6935-4d23-b163-d6cd47b4d4e4</t>
        </is>
      </c>
      <c r="F10" s="8" t="inlineStr">
        <is>
          <t>202103169349309475</t>
        </is>
      </c>
      <c r="G10" s="8" t="inlineStr">
        <is>
          <t>claude-opus-5</t>
        </is>
      </c>
      <c r="H10" s="8" t="inlineStr">
        <is>
          <t>2026-09-14T20:40:22+00:00</t>
        </is>
      </c>
      <c r="I10" s="8" t="inlineStr">
        <is>
          <t>https://apps.irs.gov/pub/epostcard/990/xml/2021/2021_TEOS_XML_01A.zip#202103169349309475_public.xml</t>
        </is>
      </c>
    </row>
    <row r="11">
      <c r="A11" s="45" t="inlineStr">
        <is>
          <t>FY2021</t>
        </is>
      </c>
      <c r="B11" s="8" t="inlineStr">
        <is>
          <t>2021-12-31</t>
        </is>
      </c>
      <c r="C11" s="8" t="inlineStr">
        <is>
          <t>990</t>
        </is>
      </c>
      <c r="D11" s="8" t="inlineStr">
        <is>
          <t>high</t>
        </is>
      </c>
      <c r="E11" s="8" t="inlineStr">
        <is>
          <t>8f74250f-dd55-4289-ad55-1ed560fe1ab9</t>
        </is>
      </c>
      <c r="F11" s="8" t="inlineStr">
        <is>
          <t>202240809349301054</t>
        </is>
      </c>
      <c r="G11" s="8" t="inlineStr">
        <is>
          <t>claude-opus-5</t>
        </is>
      </c>
      <c r="H11" s="8" t="inlineStr">
        <is>
          <t>2026-09-14T20:40:22+00:00</t>
        </is>
      </c>
      <c r="I11" s="8" t="inlineStr">
        <is>
          <t>https://apps.irs.gov/pub/epostcard/990/xml/2022/2022_TEOS_XML_01A.zip#202240809349301054_public.xml</t>
        </is>
      </c>
    </row>
    <row r="12">
      <c r="A12" s="45" t="inlineStr">
        <is>
          <t>FY2022</t>
        </is>
      </c>
      <c r="B12" s="8" t="inlineStr">
        <is>
          <t>2022-12-31</t>
        </is>
      </c>
      <c r="C12" s="8" t="inlineStr">
        <is>
          <t>990</t>
        </is>
      </c>
      <c r="D12" s="8" t="inlineStr">
        <is>
          <t>medium</t>
        </is>
      </c>
      <c r="E12" s="8" t="inlineStr">
        <is>
          <t>ef74464b-78b1-4ea2-a793-cceee795e81a</t>
        </is>
      </c>
      <c r="F12" s="8" t="inlineStr">
        <is>
          <t>202340599349301559</t>
        </is>
      </c>
      <c r="G12" s="8" t="inlineStr">
        <is>
          <t>claude-opus-5</t>
        </is>
      </c>
      <c r="H12" s="8" t="inlineStr">
        <is>
          <t>2026-09-14T20:40:22+00:00</t>
        </is>
      </c>
      <c r="I12" s="8" t="inlineStr">
        <is>
          <t>https://apps.irs.gov/pub/epostcard/990/xml/2023/2023_TEOS_XML_03A.zip#202340599349301559_public.xml</t>
        </is>
      </c>
    </row>
    <row r="13">
      <c r="A13" s="45" t="inlineStr">
        <is>
          <t>FY2023</t>
        </is>
      </c>
      <c r="B13" s="8" t="inlineStr">
        <is>
          <t>2023-12-31</t>
        </is>
      </c>
      <c r="C13" s="8" t="inlineStr">
        <is>
          <t>990</t>
        </is>
      </c>
      <c r="D13" s="8" t="inlineStr">
        <is>
          <t>high</t>
        </is>
      </c>
      <c r="E13" s="8" t="inlineStr">
        <is>
          <t>96a7ebe1-994b-4278-aebf-11edf6468dff</t>
        </is>
      </c>
      <c r="F13" s="8" t="inlineStr">
        <is>
          <t>202420539349301667</t>
        </is>
      </c>
      <c r="G13" s="8" t="inlineStr">
        <is>
          <t>claude-opus-5</t>
        </is>
      </c>
      <c r="H13" s="8" t="inlineStr">
        <is>
          <t>2026-09-14T20:40:22+00:00</t>
        </is>
      </c>
      <c r="I13" s="8" t="inlineStr">
        <is>
          <t>https://apps.irs.gov/pub/epostcard/990/xml/2024/2024_TEOS_XML_02A.zip#202420539349301667_public.xml</t>
        </is>
      </c>
    </row>
    <row r="14">
      <c r="A14" s="45" t="inlineStr">
        <is>
          <t>FY2024</t>
        </is>
      </c>
      <c r="B14" s="8" t="inlineStr">
        <is>
          <t>2024-12-31</t>
        </is>
      </c>
      <c r="C14" s="8" t="inlineStr">
        <is>
          <t>990</t>
        </is>
      </c>
      <c r="D14" s="8" t="inlineStr">
        <is>
          <t>high</t>
        </is>
      </c>
      <c r="E14" s="8" t="inlineStr">
        <is>
          <t>b5757961-d4c0-43cf-b507-00f5412f8aca</t>
        </is>
      </c>
      <c r="F14" s="8" t="inlineStr">
        <is>
          <t>202541449349300304</t>
        </is>
      </c>
      <c r="G14" s="8" t="inlineStr">
        <is>
          <t>claude-opus-5</t>
        </is>
      </c>
      <c r="H14" s="8" t="inlineStr">
        <is>
          <t>2026-09-14T20:40:22+00:00</t>
        </is>
      </c>
      <c r="I14" s="8" t="inlineStr">
        <is>
          <t>https://apps.irs.gov/pub/epostcard/990/xml/2025/2025_TEOS_XML_06A.zip#202541449349300304_public.xml</t>
        </is>
      </c>
    </row>
    <row r="15">
      <c r="A15" s="45" t="inlineStr">
        <is>
          <t>FY2025</t>
        </is>
      </c>
      <c r="B15" s="8" t="inlineStr">
        <is>
          <t>2025-12-31</t>
        </is>
      </c>
      <c r="C15" s="8" t="inlineStr">
        <is>
          <t>990</t>
        </is>
      </c>
      <c r="D15" s="8" t="inlineStr">
        <is>
          <t>high</t>
        </is>
      </c>
      <c r="E15" s="8" t="inlineStr">
        <is>
          <t>fc1db36f-e1e8-4a3f-8fa6-99b9ba98bda3</t>
        </is>
      </c>
      <c r="F15" s="8" t="inlineStr">
        <is>
          <t>202601319349306955</t>
        </is>
      </c>
      <c r="G15" s="8" t="inlineStr">
        <is>
          <t>claude-opus-5</t>
        </is>
      </c>
      <c r="H15" s="8" t="inlineStr">
        <is>
          <t>2026-09-14T20:40:22+00:00</t>
        </is>
      </c>
      <c r="I15" s="8" t="inlineStr">
        <is>
          <t>https://apps.irs.gov/pub/epostcard/990/xml/2026/2026_TEOS_XML_05A.zip#202601319349306955_public.xml</t>
        </is>
      </c>
    </row>
    <row r="17">
      <c r="A17" s="4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550421</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614301</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621870</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504433</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688217</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737231</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382</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618</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0</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5</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389</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3927</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550422</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614301</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621870</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504433</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688217</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737231</v>
      </c>
    </row>
    <row r="37">
      <c r="A37" s="8" t="inlineStr">
        <is>
          <t>Revenue (detail)</t>
        </is>
      </c>
      <c r="B37" s="8" t="inlineStr">
        <is>
          <t>B9</t>
        </is>
      </c>
      <c r="C37" s="8" t="inlineStr">
        <is>
          <t>3. Investment income</t>
        </is>
      </c>
      <c r="D37" s="8" t="inlineStr">
        <is>
          <t>3</t>
        </is>
      </c>
      <c r="E37" s="8" t="inlineStr">
        <is>
          <t>part_viii_revenue.investment_income</t>
        </is>
      </c>
      <c r="F37" s="8" t="inlineStr">
        <is>
          <t>high</t>
        </is>
      </c>
      <c r="G37" s="9" t="n">
        <v>382</v>
      </c>
    </row>
    <row r="38">
      <c r="A38" s="8" t="inlineStr">
        <is>
          <t>Revenue (detail)</t>
        </is>
      </c>
      <c r="B38" s="8" t="inlineStr">
        <is>
          <t>C9</t>
        </is>
      </c>
      <c r="C38" s="8" t="inlineStr">
        <is>
          <t>3. Investment income</t>
        </is>
      </c>
      <c r="D38" s="8" t="inlineStr">
        <is>
          <t>3</t>
        </is>
      </c>
      <c r="E38" s="8" t="inlineStr">
        <is>
          <t>part_viii_revenue.investment_income</t>
        </is>
      </c>
      <c r="F38" s="8" t="inlineStr">
        <is>
          <t>high</t>
        </is>
      </c>
      <c r="G38" s="9" t="n">
        <v>618</v>
      </c>
    </row>
    <row r="39">
      <c r="A39" s="8" t="inlineStr">
        <is>
          <t>Revenue (detail)</t>
        </is>
      </c>
      <c r="B39" s="8" t="inlineStr">
        <is>
          <t>D9</t>
        </is>
      </c>
      <c r="C39" s="8" t="inlineStr">
        <is>
          <t>3. Investment income</t>
        </is>
      </c>
      <c r="D39" s="8" t="inlineStr">
        <is>
          <t>3</t>
        </is>
      </c>
      <c r="E39" s="8" t="inlineStr">
        <is>
          <t>part_viii_revenue.investment_income</t>
        </is>
      </c>
      <c r="F39" s="8" t="inlineStr">
        <is>
          <t>high</t>
        </is>
      </c>
      <c r="G39" s="9" t="n">
        <v>138</v>
      </c>
    </row>
    <row r="40">
      <c r="A40" s="8" t="inlineStr">
        <is>
          <t>Revenue (detail)</t>
        </is>
      </c>
      <c r="B40" s="8" t="inlineStr">
        <is>
          <t>E9</t>
        </is>
      </c>
      <c r="C40" s="8" t="inlineStr">
        <is>
          <t>3. Investment income</t>
        </is>
      </c>
      <c r="D40" s="8" t="inlineStr">
        <is>
          <t>3</t>
        </is>
      </c>
      <c r="E40" s="8" t="inlineStr">
        <is>
          <t>part_viii_revenue.investment_income</t>
        </is>
      </c>
      <c r="F40" s="8" t="inlineStr">
        <is>
          <t>high</t>
        </is>
      </c>
      <c r="G40" s="9" t="n">
        <v>5</v>
      </c>
    </row>
    <row r="41">
      <c r="A41" s="8" t="inlineStr">
        <is>
          <t>Revenue (detail)</t>
        </is>
      </c>
      <c r="B41" s="8" t="inlineStr">
        <is>
          <t>F9</t>
        </is>
      </c>
      <c r="C41" s="8" t="inlineStr">
        <is>
          <t>3. Investment income</t>
        </is>
      </c>
      <c r="D41" s="8" t="inlineStr">
        <is>
          <t>3</t>
        </is>
      </c>
      <c r="E41" s="8" t="inlineStr">
        <is>
          <t>part_viii_revenue.investment_income</t>
        </is>
      </c>
      <c r="F41" s="8" t="inlineStr">
        <is>
          <t>high</t>
        </is>
      </c>
      <c r="G41" s="9" t="n">
        <v>539</v>
      </c>
    </row>
    <row r="42">
      <c r="A42" s="8" t="inlineStr">
        <is>
          <t>Revenue (detail)</t>
        </is>
      </c>
      <c r="B42" s="8" t="inlineStr">
        <is>
          <t>G9</t>
        </is>
      </c>
      <c r="C42" s="8" t="inlineStr">
        <is>
          <t>3. Investment income</t>
        </is>
      </c>
      <c r="D42" s="8" t="inlineStr">
        <is>
          <t>3</t>
        </is>
      </c>
      <c r="E42" s="8" t="inlineStr">
        <is>
          <t>part_viii_revenue.investment_income</t>
        </is>
      </c>
      <c r="F42" s="8" t="inlineStr">
        <is>
          <t>high</t>
        </is>
      </c>
      <c r="G42" s="9" t="n">
        <v>177</v>
      </c>
    </row>
    <row r="43">
      <c r="A43" s="8" t="inlineStr">
        <is>
          <t>Revenue (detail)</t>
        </is>
      </c>
      <c r="B43" s="8" t="inlineStr">
        <is>
          <t>G10</t>
        </is>
      </c>
      <c r="C43" s="8" t="inlineStr">
        <is>
          <t>6d. Net rental income</t>
        </is>
      </c>
      <c r="D43" s="8" t="inlineStr">
        <is>
          <t>6d</t>
        </is>
      </c>
      <c r="E43" s="8" t="inlineStr">
        <is>
          <t>part_viii_revenue.net_rental_income</t>
        </is>
      </c>
      <c r="F43" s="8" t="inlineStr">
        <is>
          <t>high</t>
        </is>
      </c>
      <c r="G43" s="9" t="n">
        <v>3750</v>
      </c>
    </row>
    <row r="44">
      <c r="A44" s="8" t="inlineStr">
        <is>
          <t>Revenue (detail)</t>
        </is>
      </c>
      <c r="B44" s="8" t="inlineStr">
        <is>
          <t>G12</t>
        </is>
      </c>
      <c r="C44" s="8" t="inlineStr">
        <is>
          <t>11e. Other revenue</t>
        </is>
      </c>
      <c r="D44" s="8" t="inlineStr">
        <is>
          <t>11e</t>
        </is>
      </c>
      <c r="E44" s="8" t="inlineStr">
        <is>
          <t>part_viii_revenue.other_revenue_total</t>
        </is>
      </c>
      <c r="F44" s="8" t="inlineStr">
        <is>
          <t>high</t>
        </is>
      </c>
      <c r="G44" s="9" t="n">
        <v>-262</v>
      </c>
    </row>
    <row r="45">
      <c r="A45" s="8" t="inlineStr">
        <is>
          <t>Operating expenses (detail)</t>
        </is>
      </c>
      <c r="B45" s="8" t="inlineStr">
        <is>
          <t>D7</t>
        </is>
      </c>
      <c r="C45" s="8" t="inlineStr">
        <is>
          <t>5. Compensation of current officers, directors, trustees</t>
        </is>
      </c>
      <c r="D45" s="8" t="inlineStr">
        <is>
          <t>5</t>
        </is>
      </c>
      <c r="E45" s="8" t="inlineStr">
        <is>
          <t>part_ix_expenses.comp_current_officers</t>
        </is>
      </c>
      <c r="F45" s="8" t="inlineStr">
        <is>
          <t>high</t>
        </is>
      </c>
      <c r="G45" s="9" t="n">
        <v>20700</v>
      </c>
    </row>
    <row r="46">
      <c r="A46" s="8" t="inlineStr">
        <is>
          <t>Operating expenses (detail)</t>
        </is>
      </c>
      <c r="B46" s="8" t="inlineStr">
        <is>
          <t>F7</t>
        </is>
      </c>
      <c r="C46" s="8" t="inlineStr">
        <is>
          <t>5. Compensation of current officers, directors, trustees</t>
        </is>
      </c>
      <c r="D46" s="8" t="inlineStr">
        <is>
          <t>5</t>
        </is>
      </c>
      <c r="E46" s="8" t="inlineStr">
        <is>
          <t>part_ix_expenses.comp_current_officers</t>
        </is>
      </c>
      <c r="F46" s="8" t="inlineStr">
        <is>
          <t>high</t>
        </is>
      </c>
      <c r="G46" s="9" t="n">
        <v>0</v>
      </c>
    </row>
    <row r="47">
      <c r="A47" s="8" t="inlineStr">
        <is>
          <t>Operating expenses (detail)</t>
        </is>
      </c>
      <c r="B47" s="8" t="inlineStr">
        <is>
          <t>B8</t>
        </is>
      </c>
      <c r="C47" s="8" t="inlineStr">
        <is>
          <t>6. Compensation to disqualified persons</t>
        </is>
      </c>
      <c r="D47" s="8" t="inlineStr">
        <is>
          <t>6</t>
        </is>
      </c>
      <c r="E47" s="8" t="inlineStr">
        <is>
          <t>part_ix_expenses.comp_disqualified_persons</t>
        </is>
      </c>
      <c r="F47" s="8" t="inlineStr">
        <is>
          <t>high</t>
        </is>
      </c>
      <c r="G47" s="9" t="n">
        <v>20700</v>
      </c>
    </row>
    <row r="48">
      <c r="A48" s="8" t="inlineStr">
        <is>
          <t>Operating expenses (detail)</t>
        </is>
      </c>
      <c r="B48" s="8" t="inlineStr">
        <is>
          <t>C9</t>
        </is>
      </c>
      <c r="C48" s="8" t="inlineStr">
        <is>
          <t>7. Other salaries and wages</t>
        </is>
      </c>
      <c r="D48" s="8" t="inlineStr">
        <is>
          <t>7</t>
        </is>
      </c>
      <c r="E48" s="8" t="inlineStr">
        <is>
          <t>part_ix_expenses.other_salaries_and_wages</t>
        </is>
      </c>
      <c r="F48" s="8" t="inlineStr">
        <is>
          <t>high</t>
        </is>
      </c>
      <c r="G48" s="9" t="n">
        <v>22425</v>
      </c>
    </row>
    <row r="49">
      <c r="A49" s="8" t="inlineStr">
        <is>
          <t>Operating expenses (detail)</t>
        </is>
      </c>
      <c r="B49" s="8" t="inlineStr">
        <is>
          <t>E9</t>
        </is>
      </c>
      <c r="C49" s="8" t="inlineStr">
        <is>
          <t>7. Other salaries and wages</t>
        </is>
      </c>
      <c r="D49" s="8" t="inlineStr">
        <is>
          <t>7</t>
        </is>
      </c>
      <c r="E49" s="8" t="inlineStr">
        <is>
          <t>part_ix_expenses.other_salaries_and_wages</t>
        </is>
      </c>
      <c r="F49" s="8" t="inlineStr">
        <is>
          <t>high</t>
        </is>
      </c>
      <c r="G49" s="9" t="n">
        <v>12075</v>
      </c>
    </row>
    <row r="50">
      <c r="A50" s="8" t="inlineStr">
        <is>
          <t>Operating expenses (detail)</t>
        </is>
      </c>
      <c r="B50" s="8" t="inlineStr">
        <is>
          <t>B10</t>
        </is>
      </c>
      <c r="C50" s="8" t="inlineStr">
        <is>
          <t>10. Payroll taxes</t>
        </is>
      </c>
      <c r="D50" s="8" t="inlineStr">
        <is>
          <t>10</t>
        </is>
      </c>
      <c r="E50" s="8" t="inlineStr">
        <is>
          <t>part_ix_expenses.payroll_taxes</t>
        </is>
      </c>
      <c r="F50" s="8" t="inlineStr">
        <is>
          <t>high</t>
        </is>
      </c>
      <c r="G50" s="9" t="n">
        <v>2006</v>
      </c>
    </row>
    <row r="51">
      <c r="A51" s="8" t="inlineStr">
        <is>
          <t>Operating expenses (detail)</t>
        </is>
      </c>
      <c r="B51" s="8" t="inlineStr">
        <is>
          <t>C10</t>
        </is>
      </c>
      <c r="C51" s="8" t="inlineStr">
        <is>
          <t>10. Payroll taxes</t>
        </is>
      </c>
      <c r="D51" s="8" t="inlineStr">
        <is>
          <t>10</t>
        </is>
      </c>
      <c r="E51" s="8" t="inlineStr">
        <is>
          <t>part_ix_expenses.payroll_taxes</t>
        </is>
      </c>
      <c r="F51" s="8" t="inlineStr">
        <is>
          <t>high</t>
        </is>
      </c>
      <c r="G51" s="9" t="n">
        <v>1571</v>
      </c>
    </row>
    <row r="52">
      <c r="A52" s="8" t="inlineStr">
        <is>
          <t>Operating expenses (detail)</t>
        </is>
      </c>
      <c r="B52" s="8" t="inlineStr">
        <is>
          <t>D10</t>
        </is>
      </c>
      <c r="C52" s="8" t="inlineStr">
        <is>
          <t>10. Payroll taxes</t>
        </is>
      </c>
      <c r="D52" s="8" t="inlineStr">
        <is>
          <t>10</t>
        </is>
      </c>
      <c r="E52" s="8" t="inlineStr">
        <is>
          <t>part_ix_expenses.payroll_taxes</t>
        </is>
      </c>
      <c r="F52" s="8" t="inlineStr">
        <is>
          <t>high</t>
        </is>
      </c>
      <c r="G52" s="9" t="n">
        <v>2060</v>
      </c>
    </row>
    <row r="53">
      <c r="A53" s="8" t="inlineStr">
        <is>
          <t>Operating expenses (detail)</t>
        </is>
      </c>
      <c r="B53" s="8" t="inlineStr">
        <is>
          <t>E10</t>
        </is>
      </c>
      <c r="C53" s="8" t="inlineStr">
        <is>
          <t>10. Payroll taxes</t>
        </is>
      </c>
      <c r="D53" s="8" t="inlineStr">
        <is>
          <t>10</t>
        </is>
      </c>
      <c r="E53" s="8" t="inlineStr">
        <is>
          <t>part_ix_expenses.payroll_taxes</t>
        </is>
      </c>
      <c r="F53" s="8" t="inlineStr">
        <is>
          <t>high</t>
        </is>
      </c>
      <c r="G53" s="9" t="n">
        <v>1088</v>
      </c>
    </row>
    <row r="54">
      <c r="A54" s="8" t="inlineStr">
        <is>
          <t>Operating expenses (detail)</t>
        </is>
      </c>
      <c r="B54" s="8" t="inlineStr">
        <is>
          <t>B11</t>
        </is>
      </c>
      <c r="C54" s="8" t="inlineStr">
        <is>
          <t>11c. Fees for services: accounting</t>
        </is>
      </c>
      <c r="D54" s="8" t="inlineStr">
        <is>
          <t>11c</t>
        </is>
      </c>
      <c r="E54" s="8" t="inlineStr">
        <is>
          <t>part_ix_expenses.fees_accounting</t>
        </is>
      </c>
      <c r="F54" s="8" t="inlineStr">
        <is>
          <t>high</t>
        </is>
      </c>
      <c r="G54" s="9" t="n">
        <v>5075</v>
      </c>
    </row>
    <row r="55">
      <c r="A55" s="8" t="inlineStr">
        <is>
          <t>Operating expenses (detail)</t>
        </is>
      </c>
      <c r="B55" s="8" t="inlineStr">
        <is>
          <t>C11</t>
        </is>
      </c>
      <c r="C55" s="8" t="inlineStr">
        <is>
          <t>11c. Fees for services: accounting</t>
        </is>
      </c>
      <c r="D55" s="8" t="inlineStr">
        <is>
          <t>11c</t>
        </is>
      </c>
      <c r="E55" s="8" t="inlineStr">
        <is>
          <t>part_ix_expenses.fees_accounting</t>
        </is>
      </c>
      <c r="F55" s="8" t="inlineStr">
        <is>
          <t>high</t>
        </is>
      </c>
      <c r="G55" s="9" t="n">
        <v>24888</v>
      </c>
    </row>
    <row r="56">
      <c r="A56" s="8" t="inlineStr">
        <is>
          <t>Operating expenses (detail)</t>
        </is>
      </c>
      <c r="B56" s="8" t="inlineStr">
        <is>
          <t>D11</t>
        </is>
      </c>
      <c r="C56" s="8" t="inlineStr">
        <is>
          <t>11c. Fees for services: accounting</t>
        </is>
      </c>
      <c r="D56" s="8" t="inlineStr">
        <is>
          <t>11c</t>
        </is>
      </c>
      <c r="E56" s="8" t="inlineStr">
        <is>
          <t>part_ix_expenses.fees_accounting</t>
        </is>
      </c>
      <c r="F56" s="8" t="inlineStr">
        <is>
          <t>high</t>
        </is>
      </c>
      <c r="G56" s="9" t="n">
        <v>24718</v>
      </c>
    </row>
    <row r="57">
      <c r="A57" s="8" t="inlineStr">
        <is>
          <t>Operating expenses (detail)</t>
        </is>
      </c>
      <c r="B57" s="8" t="inlineStr">
        <is>
          <t>E11</t>
        </is>
      </c>
      <c r="C57" s="8" t="inlineStr">
        <is>
          <t>11c. Fees for services: accounting</t>
        </is>
      </c>
      <c r="D57" s="8" t="inlineStr">
        <is>
          <t>11c</t>
        </is>
      </c>
      <c r="E57" s="8" t="inlineStr">
        <is>
          <t>part_ix_expenses.fees_accounting</t>
        </is>
      </c>
      <c r="F57" s="8" t="inlineStr">
        <is>
          <t>high</t>
        </is>
      </c>
      <c r="G57" s="9" t="n">
        <v>22670</v>
      </c>
    </row>
    <row r="58">
      <c r="A58" s="8" t="inlineStr">
        <is>
          <t>Operating expenses (detail)</t>
        </is>
      </c>
      <c r="B58" s="8" t="inlineStr">
        <is>
          <t>F11</t>
        </is>
      </c>
      <c r="C58" s="8" t="inlineStr">
        <is>
          <t>11c. Fees for services: accounting</t>
        </is>
      </c>
      <c r="D58" s="8" t="inlineStr">
        <is>
          <t>11c</t>
        </is>
      </c>
      <c r="E58" s="8" t="inlineStr">
        <is>
          <t>part_ix_expenses.fees_accounting</t>
        </is>
      </c>
      <c r="F58" s="8" t="inlineStr">
        <is>
          <t>high</t>
        </is>
      </c>
      <c r="G58" s="9" t="n">
        <v>25915</v>
      </c>
    </row>
    <row r="59">
      <c r="A59" s="8" t="inlineStr">
        <is>
          <t>Operating expenses (detail)</t>
        </is>
      </c>
      <c r="B59" s="8" t="inlineStr">
        <is>
          <t>G11</t>
        </is>
      </c>
      <c r="C59" s="8" t="inlineStr">
        <is>
          <t>11c. Fees for services: accounting</t>
        </is>
      </c>
      <c r="D59" s="8" t="inlineStr">
        <is>
          <t>11c</t>
        </is>
      </c>
      <c r="E59" s="8" t="inlineStr">
        <is>
          <t>part_ix_expenses.fees_accounting</t>
        </is>
      </c>
      <c r="F59" s="8" t="inlineStr">
        <is>
          <t>high</t>
        </is>
      </c>
      <c r="G59" s="9" t="n">
        <v>25230</v>
      </c>
    </row>
    <row r="60">
      <c r="A60" s="8" t="inlineStr">
        <is>
          <t>Operating expenses (detail)</t>
        </is>
      </c>
      <c r="B60" s="8" t="inlineStr">
        <is>
          <t>B12</t>
        </is>
      </c>
      <c r="C60" s="8" t="inlineStr">
        <is>
          <t>13. Office expenses</t>
        </is>
      </c>
      <c r="D60" s="8" t="inlineStr">
        <is>
          <t>13</t>
        </is>
      </c>
      <c r="E60" s="8" t="inlineStr">
        <is>
          <t>part_ix_expenses.office_expenses</t>
        </is>
      </c>
      <c r="F60" s="8" t="inlineStr">
        <is>
          <t>high</t>
        </is>
      </c>
      <c r="G60" s="9" t="n">
        <v>554</v>
      </c>
    </row>
    <row r="61">
      <c r="A61" s="8" t="inlineStr">
        <is>
          <t>Operating expenses (detail)</t>
        </is>
      </c>
      <c r="B61" s="8" t="inlineStr">
        <is>
          <t>C12</t>
        </is>
      </c>
      <c r="C61" s="8" t="inlineStr">
        <is>
          <t>13. Office expenses</t>
        </is>
      </c>
      <c r="D61" s="8" t="inlineStr">
        <is>
          <t>13</t>
        </is>
      </c>
      <c r="E61" s="8" t="inlineStr">
        <is>
          <t>part_ix_expenses.office_expenses</t>
        </is>
      </c>
      <c r="F61" s="8" t="inlineStr">
        <is>
          <t>high</t>
        </is>
      </c>
      <c r="G61" s="9" t="n">
        <v>1113</v>
      </c>
    </row>
    <row r="62">
      <c r="A62" s="8" t="inlineStr">
        <is>
          <t>Operating expenses (detail)</t>
        </is>
      </c>
      <c r="B62" s="8" t="inlineStr">
        <is>
          <t>B13</t>
        </is>
      </c>
      <c r="C62" s="8" t="inlineStr">
        <is>
          <t>22. Depreciation, depletion, and amortization</t>
        </is>
      </c>
      <c r="D62" s="8" t="inlineStr">
        <is>
          <t>22</t>
        </is>
      </c>
      <c r="E62" s="8" t="inlineStr">
        <is>
          <t>part_ix_expenses.depreciation</t>
        </is>
      </c>
      <c r="F62" s="8" t="inlineStr">
        <is>
          <t>high</t>
        </is>
      </c>
      <c r="G62" s="9" t="n">
        <v>142732</v>
      </c>
    </row>
    <row r="63">
      <c r="A63" s="8" t="inlineStr">
        <is>
          <t>Operating expenses (detail)</t>
        </is>
      </c>
      <c r="B63" s="8" t="inlineStr">
        <is>
          <t>C13</t>
        </is>
      </c>
      <c r="C63" s="8" t="inlineStr">
        <is>
          <t>22. Depreciation, depletion, and amortization</t>
        </is>
      </c>
      <c r="D63" s="8" t="inlineStr">
        <is>
          <t>22</t>
        </is>
      </c>
      <c r="E63" s="8" t="inlineStr">
        <is>
          <t>part_ix_expenses.depreciation</t>
        </is>
      </c>
      <c r="F63" s="8" t="inlineStr">
        <is>
          <t>high</t>
        </is>
      </c>
      <c r="G63" s="9" t="n">
        <v>148842</v>
      </c>
    </row>
    <row r="64">
      <c r="A64" s="8" t="inlineStr">
        <is>
          <t>Operating expenses (detail)</t>
        </is>
      </c>
      <c r="B64" s="8" t="inlineStr">
        <is>
          <t>D13</t>
        </is>
      </c>
      <c r="C64" s="8" t="inlineStr">
        <is>
          <t>22. Depreciation, depletion, and amortization</t>
        </is>
      </c>
      <c r="D64" s="8" t="inlineStr">
        <is>
          <t>22</t>
        </is>
      </c>
      <c r="E64" s="8" t="inlineStr">
        <is>
          <t>part_ix_expenses.depreciation</t>
        </is>
      </c>
      <c r="F64" s="8" t="inlineStr">
        <is>
          <t>high</t>
        </is>
      </c>
      <c r="G64" s="9" t="n">
        <v>153708</v>
      </c>
    </row>
    <row r="65">
      <c r="A65" s="8" t="inlineStr">
        <is>
          <t>Operating expenses (detail)</t>
        </is>
      </c>
      <c r="B65" s="8" t="inlineStr">
        <is>
          <t>E13</t>
        </is>
      </c>
      <c r="C65" s="8" t="inlineStr">
        <is>
          <t>22. Depreciation, depletion, and amortization</t>
        </is>
      </c>
      <c r="D65" s="8" t="inlineStr">
        <is>
          <t>22</t>
        </is>
      </c>
      <c r="E65" s="8" t="inlineStr">
        <is>
          <t>part_ix_expenses.depreciation</t>
        </is>
      </c>
      <c r="F65" s="8" t="inlineStr">
        <is>
          <t>high</t>
        </is>
      </c>
      <c r="G65" s="9" t="n">
        <v>154263</v>
      </c>
    </row>
    <row r="66">
      <c r="A66" s="8" t="inlineStr">
        <is>
          <t>Operating expenses (detail)</t>
        </is>
      </c>
      <c r="B66" s="8" t="inlineStr">
        <is>
          <t>F13</t>
        </is>
      </c>
      <c r="C66" s="8" t="inlineStr">
        <is>
          <t>22. Depreciation, depletion, and amortization</t>
        </is>
      </c>
      <c r="D66" s="8" t="inlineStr">
        <is>
          <t>22</t>
        </is>
      </c>
      <c r="E66" s="8" t="inlineStr">
        <is>
          <t>part_ix_expenses.depreciation</t>
        </is>
      </c>
      <c r="F66" s="8" t="inlineStr">
        <is>
          <t>high</t>
        </is>
      </c>
      <c r="G66" s="9" t="n">
        <v>154118</v>
      </c>
    </row>
    <row r="67">
      <c r="A67" s="8" t="inlineStr">
        <is>
          <t>Operating expenses (detail)</t>
        </is>
      </c>
      <c r="B67" s="8" t="inlineStr">
        <is>
          <t>G13</t>
        </is>
      </c>
      <c r="C67" s="8" t="inlineStr">
        <is>
          <t>22. Depreciation, depletion, and amortization</t>
        </is>
      </c>
      <c r="D67" s="8" t="inlineStr">
        <is>
          <t>22</t>
        </is>
      </c>
      <c r="E67" s="8" t="inlineStr">
        <is>
          <t>part_ix_expenses.depreciation</t>
        </is>
      </c>
      <c r="F67" s="8" t="inlineStr">
        <is>
          <t>high</t>
        </is>
      </c>
      <c r="G67" s="9" t="n">
        <v>159525</v>
      </c>
    </row>
    <row r="68">
      <c r="A68" s="8" t="inlineStr">
        <is>
          <t>Operating expenses (detail)</t>
        </is>
      </c>
      <c r="B68" s="8" t="inlineStr">
        <is>
          <t>B14</t>
        </is>
      </c>
      <c r="C68" s="8" t="inlineStr">
        <is>
          <t>23. Insurance</t>
        </is>
      </c>
      <c r="D68" s="8" t="inlineStr">
        <is>
          <t>23</t>
        </is>
      </c>
      <c r="E68" s="8" t="inlineStr">
        <is>
          <t>part_ix_expenses.insurance</t>
        </is>
      </c>
      <c r="F68" s="8" t="inlineStr">
        <is>
          <t>high</t>
        </is>
      </c>
      <c r="G68" s="9" t="n">
        <v>6234</v>
      </c>
    </row>
    <row r="69">
      <c r="A69" s="8" t="inlineStr">
        <is>
          <t>Operating expenses (detail)</t>
        </is>
      </c>
      <c r="B69" s="8" t="inlineStr">
        <is>
          <t>C14</t>
        </is>
      </c>
      <c r="C69" s="8" t="inlineStr">
        <is>
          <t>23. Insurance</t>
        </is>
      </c>
      <c r="D69" s="8" t="inlineStr">
        <is>
          <t>23</t>
        </is>
      </c>
      <c r="E69" s="8" t="inlineStr">
        <is>
          <t>part_ix_expenses.insurance</t>
        </is>
      </c>
      <c r="F69" s="8" t="inlineStr">
        <is>
          <t>high</t>
        </is>
      </c>
      <c r="G69" s="9" t="n">
        <v>5823</v>
      </c>
    </row>
    <row r="70">
      <c r="A70" s="8" t="inlineStr">
        <is>
          <t>Operating expenses (detail)</t>
        </is>
      </c>
      <c r="B70" s="8" t="inlineStr">
        <is>
          <t>D14</t>
        </is>
      </c>
      <c r="C70" s="8" t="inlineStr">
        <is>
          <t>23. Insurance</t>
        </is>
      </c>
      <c r="D70" s="8" t="inlineStr">
        <is>
          <t>23</t>
        </is>
      </c>
      <c r="E70" s="8" t="inlineStr">
        <is>
          <t>part_ix_expenses.insurance</t>
        </is>
      </c>
      <c r="F70" s="8" t="inlineStr">
        <is>
          <t>high</t>
        </is>
      </c>
      <c r="G70" s="9" t="n">
        <v>9398</v>
      </c>
    </row>
    <row r="71">
      <c r="A71" s="8" t="inlineStr">
        <is>
          <t>Operating expenses (detail)</t>
        </is>
      </c>
      <c r="B71" s="8" t="inlineStr">
        <is>
          <t>E14</t>
        </is>
      </c>
      <c r="C71" s="8" t="inlineStr">
        <is>
          <t>23. Insurance</t>
        </is>
      </c>
      <c r="D71" s="8" t="inlineStr">
        <is>
          <t>23</t>
        </is>
      </c>
      <c r="E71" s="8" t="inlineStr">
        <is>
          <t>part_ix_expenses.insurance</t>
        </is>
      </c>
      <c r="F71" s="8" t="inlineStr">
        <is>
          <t>high</t>
        </is>
      </c>
      <c r="G71" s="9" t="n">
        <v>7814</v>
      </c>
    </row>
    <row r="72">
      <c r="A72" s="8" t="inlineStr">
        <is>
          <t>Operating expenses (detail)</t>
        </is>
      </c>
      <c r="B72" s="8" t="inlineStr">
        <is>
          <t>F14</t>
        </is>
      </c>
      <c r="C72" s="8" t="inlineStr">
        <is>
          <t>23. Insurance</t>
        </is>
      </c>
      <c r="D72" s="8" t="inlineStr">
        <is>
          <t>23</t>
        </is>
      </c>
      <c r="E72" s="8" t="inlineStr">
        <is>
          <t>part_ix_expenses.insurance</t>
        </is>
      </c>
      <c r="F72" s="8" t="inlineStr">
        <is>
          <t>high</t>
        </is>
      </c>
      <c r="G72" s="9" t="n">
        <v>5931</v>
      </c>
    </row>
    <row r="73">
      <c r="A73" s="8" t="inlineStr">
        <is>
          <t>Operating expenses (detail)</t>
        </is>
      </c>
      <c r="B73" s="8" t="inlineStr">
        <is>
          <t>G14</t>
        </is>
      </c>
      <c r="C73" s="8" t="inlineStr">
        <is>
          <t>23. Insurance</t>
        </is>
      </c>
      <c r="D73" s="8" t="inlineStr">
        <is>
          <t>23</t>
        </is>
      </c>
      <c r="E73" s="8" t="inlineStr">
        <is>
          <t>part_ix_expenses.insurance</t>
        </is>
      </c>
      <c r="F73" s="8" t="inlineStr">
        <is>
          <t>high</t>
        </is>
      </c>
      <c r="G73" s="9" t="n">
        <v>7951</v>
      </c>
    </row>
    <row r="74">
      <c r="A74" s="8" t="inlineStr">
        <is>
          <t>Operating expenses (detail)</t>
        </is>
      </c>
      <c r="B74" s="8" t="inlineStr">
        <is>
          <t>B22</t>
        </is>
      </c>
      <c r="C74" s="8" t="inlineStr">
        <is>
          <t>24e. All other expenses</t>
        </is>
      </c>
      <c r="D74" s="8" t="inlineStr">
        <is>
          <t>24e</t>
        </is>
      </c>
      <c r="E74" s="8" t="inlineStr">
        <is>
          <t>part_ix_expenses.all_other_expenses</t>
        </is>
      </c>
      <c r="F74" s="8" t="inlineStr">
        <is>
          <t>high</t>
        </is>
      </c>
      <c r="G74" s="9" t="n">
        <v>138924</v>
      </c>
    </row>
    <row r="75">
      <c r="A75" s="8" t="inlineStr">
        <is>
          <t>Operating expenses (detail)</t>
        </is>
      </c>
      <c r="B75" s="8" t="inlineStr">
        <is>
          <t>C22</t>
        </is>
      </c>
      <c r="C75" s="8" t="inlineStr">
        <is>
          <t>24e. All other expenses</t>
        </is>
      </c>
      <c r="D75" s="8" t="inlineStr">
        <is>
          <t>24e</t>
        </is>
      </c>
      <c r="E75" s="8" t="inlineStr">
        <is>
          <t>part_ix_expenses.all_other_expenses</t>
        </is>
      </c>
      <c r="F75" s="8" t="inlineStr">
        <is>
          <t>high</t>
        </is>
      </c>
      <c r="G75" s="9" t="n">
        <v>44817</v>
      </c>
    </row>
    <row r="76">
      <c r="A76" s="8" t="inlineStr">
        <is>
          <t>Operating expenses (detail)</t>
        </is>
      </c>
      <c r="B76" s="8" t="inlineStr">
        <is>
          <t>D22</t>
        </is>
      </c>
      <c r="C76" s="8" t="inlineStr">
        <is>
          <t>24e. All other expenses</t>
        </is>
      </c>
      <c r="D76" s="8" t="inlineStr">
        <is>
          <t>24e</t>
        </is>
      </c>
      <c r="E76" s="8" t="inlineStr">
        <is>
          <t>part_ix_expenses.all_other_expenses</t>
        </is>
      </c>
      <c r="F76" s="8" t="inlineStr">
        <is>
          <t>high</t>
        </is>
      </c>
      <c r="G76" s="9" t="n">
        <v>226658</v>
      </c>
    </row>
    <row r="77">
      <c r="A77" s="8" t="inlineStr">
        <is>
          <t>Operating expenses (detail)</t>
        </is>
      </c>
      <c r="B77" s="8" t="inlineStr">
        <is>
          <t>E22</t>
        </is>
      </c>
      <c r="C77" s="8" t="inlineStr">
        <is>
          <t>24e. All other expenses</t>
        </is>
      </c>
      <c r="D77" s="8" t="inlineStr">
        <is>
          <t>24e</t>
        </is>
      </c>
      <c r="E77" s="8" t="inlineStr">
        <is>
          <t>part_ix_expenses.all_other_expenses</t>
        </is>
      </c>
      <c r="F77" s="8" t="inlineStr">
        <is>
          <t>high</t>
        </is>
      </c>
      <c r="G77" s="9" t="n">
        <v>187111</v>
      </c>
    </row>
    <row r="78">
      <c r="A78" s="8" t="inlineStr">
        <is>
          <t>Operating expenses (detail)</t>
        </is>
      </c>
      <c r="B78" s="8" t="inlineStr">
        <is>
          <t>F22</t>
        </is>
      </c>
      <c r="C78" s="8" t="inlineStr">
        <is>
          <t>24e. All other expenses</t>
        </is>
      </c>
      <c r="D78" s="8" t="inlineStr">
        <is>
          <t>24e</t>
        </is>
      </c>
      <c r="E78" s="8" t="inlineStr">
        <is>
          <t>part_ix_expenses.all_other_expenses</t>
        </is>
      </c>
      <c r="F78" s="8" t="inlineStr">
        <is>
          <t>high</t>
        </is>
      </c>
      <c r="G78" s="9" t="n">
        <v>363245</v>
      </c>
    </row>
    <row r="79">
      <c r="A79" s="8" t="inlineStr">
        <is>
          <t>Operating expenses (detail)</t>
        </is>
      </c>
      <c r="B79" s="8" t="inlineStr">
        <is>
          <t>G22</t>
        </is>
      </c>
      <c r="C79" s="8" t="inlineStr">
        <is>
          <t>24e. All other expenses</t>
        </is>
      </c>
      <c r="D79" s="8" t="inlineStr">
        <is>
          <t>24e</t>
        </is>
      </c>
      <c r="E79" s="8" t="inlineStr">
        <is>
          <t>part_ix_expenses.all_other_expenses</t>
        </is>
      </c>
      <c r="F79" s="8" t="inlineStr">
        <is>
          <t>high</t>
        </is>
      </c>
      <c r="G79" s="9" t="n">
        <v>371663</v>
      </c>
    </row>
    <row r="80">
      <c r="A80" s="8" t="inlineStr">
        <is>
          <t>Balance sheet (detail)</t>
        </is>
      </c>
      <c r="B80" s="8" t="inlineStr">
        <is>
          <t>B7</t>
        </is>
      </c>
      <c r="C80" s="8" t="inlineStr">
        <is>
          <t>1. Cash - non-interest-bearing</t>
        </is>
      </c>
      <c r="D80" s="8" t="inlineStr">
        <is>
          <t>1E</t>
        </is>
      </c>
      <c r="E80" s="8" t="inlineStr">
        <is>
          <t>part_x_balance_sheet.cash_noninterest_eoy</t>
        </is>
      </c>
      <c r="F80" s="8" t="inlineStr">
        <is>
          <t>high</t>
        </is>
      </c>
      <c r="G80" s="9" t="n">
        <v>420890</v>
      </c>
    </row>
    <row r="81">
      <c r="A81" s="8" t="inlineStr">
        <is>
          <t>Balance sheet (detail)</t>
        </is>
      </c>
      <c r="B81" s="8" t="inlineStr">
        <is>
          <t>C7</t>
        </is>
      </c>
      <c r="C81" s="8" t="inlineStr">
        <is>
          <t>1. Cash - non-interest-bearing</t>
        </is>
      </c>
      <c r="D81" s="8" t="inlineStr">
        <is>
          <t>1E</t>
        </is>
      </c>
      <c r="E81" s="8" t="inlineStr">
        <is>
          <t>part_x_balance_sheet.cash_noninterest_eoy</t>
        </is>
      </c>
      <c r="F81" s="8" t="inlineStr">
        <is>
          <t>high</t>
        </is>
      </c>
      <c r="G81" s="9" t="n">
        <v>449579</v>
      </c>
    </row>
    <row r="82">
      <c r="A82" s="8" t="inlineStr">
        <is>
          <t>Balance sheet (detail)</t>
        </is>
      </c>
      <c r="B82" s="8" t="inlineStr">
        <is>
          <t>D7</t>
        </is>
      </c>
      <c r="C82" s="8" t="inlineStr">
        <is>
          <t>1. Cash - non-interest-bearing</t>
        </is>
      </c>
      <c r="D82" s="8" t="inlineStr">
        <is>
          <t>1E</t>
        </is>
      </c>
      <c r="E82" s="8" t="inlineStr">
        <is>
          <t>part_x_balance_sheet.cash_noninterest_eoy</t>
        </is>
      </c>
      <c r="F82" s="8" t="inlineStr">
        <is>
          <t>high</t>
        </is>
      </c>
      <c r="G82" s="9" t="n">
        <v>572896</v>
      </c>
    </row>
    <row r="83">
      <c r="A83" s="8" t="inlineStr">
        <is>
          <t>Balance sheet (detail)</t>
        </is>
      </c>
      <c r="B83" s="8" t="inlineStr">
        <is>
          <t>E7</t>
        </is>
      </c>
      <c r="C83" s="8" t="inlineStr">
        <is>
          <t>1. Cash - non-interest-bearing</t>
        </is>
      </c>
      <c r="D83" s="8" t="inlineStr">
        <is>
          <t>1E</t>
        </is>
      </c>
      <c r="E83" s="8" t="inlineStr">
        <is>
          <t>part_x_balance_sheet.cash_noninterest_eoy</t>
        </is>
      </c>
      <c r="F83" s="8" t="inlineStr">
        <is>
          <t>high</t>
        </is>
      </c>
      <c r="G83" s="9" t="n">
        <v>659108</v>
      </c>
    </row>
    <row r="84">
      <c r="A84" s="8" t="inlineStr">
        <is>
          <t>Balance sheet (detail)</t>
        </is>
      </c>
      <c r="B84" s="8" t="inlineStr">
        <is>
          <t>F7</t>
        </is>
      </c>
      <c r="C84" s="8" t="inlineStr">
        <is>
          <t>1. Cash - non-interest-bearing</t>
        </is>
      </c>
      <c r="D84" s="8" t="inlineStr">
        <is>
          <t>1E</t>
        </is>
      </c>
      <c r="E84" s="8" t="inlineStr">
        <is>
          <t>part_x_balance_sheet.cash_noninterest_eoy</t>
        </is>
      </c>
      <c r="F84" s="8" t="inlineStr">
        <is>
          <t>high</t>
        </is>
      </c>
      <c r="G84" s="9" t="n">
        <v>257151</v>
      </c>
    </row>
    <row r="85">
      <c r="A85" s="8" t="inlineStr">
        <is>
          <t>Balance sheet (detail)</t>
        </is>
      </c>
      <c r="B85" s="8" t="inlineStr">
        <is>
          <t>G7</t>
        </is>
      </c>
      <c r="C85" s="8" t="inlineStr">
        <is>
          <t>1. Cash - non-interest-bearing</t>
        </is>
      </c>
      <c r="D85" s="8" t="inlineStr">
        <is>
          <t>1E</t>
        </is>
      </c>
      <c r="E85" s="8" t="inlineStr">
        <is>
          <t>part_x_balance_sheet.cash_noninterest_eoy</t>
        </is>
      </c>
      <c r="F85" s="8" t="inlineStr">
        <is>
          <t>high</t>
        </is>
      </c>
      <c r="G85" s="9" t="n">
        <v>242796</v>
      </c>
    </row>
    <row r="86">
      <c r="A86" s="8" t="inlineStr">
        <is>
          <t>Balance sheet (detail)</t>
        </is>
      </c>
      <c r="B86" s="8" t="inlineStr">
        <is>
          <t>B8</t>
        </is>
      </c>
      <c r="C86" s="8" t="inlineStr">
        <is>
          <t>2. Savings and temporary cash investments</t>
        </is>
      </c>
      <c r="D86" s="8" t="inlineStr">
        <is>
          <t>2E</t>
        </is>
      </c>
      <c r="E86" s="8" t="inlineStr">
        <is>
          <t>part_x_balance_sheet.savings_temp_invest_eoy</t>
        </is>
      </c>
      <c r="F86" s="8" t="inlineStr">
        <is>
          <t>high</t>
        </is>
      </c>
      <c r="G86" s="9" t="n">
        <v>15016</v>
      </c>
    </row>
    <row r="87">
      <c r="A87" s="8" t="inlineStr">
        <is>
          <t>Balance sheet (detail)</t>
        </is>
      </c>
      <c r="B87" s="8" t="inlineStr">
        <is>
          <t>C8</t>
        </is>
      </c>
      <c r="C87" s="8" t="inlineStr">
        <is>
          <t>2. Savings and temporary cash investments</t>
        </is>
      </c>
      <c r="D87" s="8" t="inlineStr">
        <is>
          <t>2E</t>
        </is>
      </c>
      <c r="E87" s="8" t="inlineStr">
        <is>
          <t>part_x_balance_sheet.savings_temp_invest_eoy</t>
        </is>
      </c>
      <c r="F87" s="8" t="inlineStr">
        <is>
          <t>high</t>
        </is>
      </c>
      <c r="G87" s="9" t="n">
        <v>15017</v>
      </c>
    </row>
    <row r="88">
      <c r="A88" s="8" t="inlineStr">
        <is>
          <t>Balance sheet (detail)</t>
        </is>
      </c>
      <c r="B88" s="8" t="inlineStr">
        <is>
          <t>D8</t>
        </is>
      </c>
      <c r="C88" s="8" t="inlineStr">
        <is>
          <t>2. Savings and temporary cash investments</t>
        </is>
      </c>
      <c r="D88" s="8" t="inlineStr">
        <is>
          <t>2E</t>
        </is>
      </c>
      <c r="E88" s="8" t="inlineStr">
        <is>
          <t>part_x_balance_sheet.savings_temp_invest_eoy</t>
        </is>
      </c>
      <c r="F88" s="8" t="inlineStr">
        <is>
          <t>high</t>
        </is>
      </c>
      <c r="G88" s="9" t="n">
        <v>15019</v>
      </c>
    </row>
    <row r="89">
      <c r="A89" s="8" t="inlineStr">
        <is>
          <t>Balance sheet (detail)</t>
        </is>
      </c>
      <c r="B89" s="8" t="inlineStr">
        <is>
          <t>E8</t>
        </is>
      </c>
      <c r="C89" s="8" t="inlineStr">
        <is>
          <t>2. Savings and temporary cash investments</t>
        </is>
      </c>
      <c r="D89" s="8" t="inlineStr">
        <is>
          <t>2E</t>
        </is>
      </c>
      <c r="E89" s="8" t="inlineStr">
        <is>
          <t>part_x_balance_sheet.savings_temp_invest_eoy</t>
        </is>
      </c>
      <c r="F89" s="8" t="inlineStr">
        <is>
          <t>high</t>
        </is>
      </c>
      <c r="G89" s="9" t="n">
        <v>15024</v>
      </c>
    </row>
    <row r="90">
      <c r="A90" s="8" t="inlineStr">
        <is>
          <t>Balance sheet (detail)</t>
        </is>
      </c>
      <c r="B90" s="8" t="inlineStr">
        <is>
          <t>F8</t>
        </is>
      </c>
      <c r="C90" s="8" t="inlineStr">
        <is>
          <t>2. Savings and temporary cash investments</t>
        </is>
      </c>
      <c r="D90" s="8" t="inlineStr">
        <is>
          <t>2E</t>
        </is>
      </c>
      <c r="E90" s="8" t="inlineStr">
        <is>
          <t>part_x_balance_sheet.savings_temp_invest_eoy</t>
        </is>
      </c>
      <c r="F90" s="8" t="inlineStr">
        <is>
          <t>high</t>
        </is>
      </c>
      <c r="G90" s="9" t="n">
        <v>25384</v>
      </c>
    </row>
    <row r="91">
      <c r="A91" s="8" t="inlineStr">
        <is>
          <t>Balance sheet (detail)</t>
        </is>
      </c>
      <c r="B91" s="8" t="inlineStr">
        <is>
          <t>G8</t>
        </is>
      </c>
      <c r="C91" s="8" t="inlineStr">
        <is>
          <t>2. Savings and temporary cash investments</t>
        </is>
      </c>
      <c r="D91" s="8" t="inlineStr">
        <is>
          <t>2E</t>
        </is>
      </c>
      <c r="E91" s="8" t="inlineStr">
        <is>
          <t>part_x_balance_sheet.savings_temp_invest_eoy</t>
        </is>
      </c>
      <c r="F91" s="8" t="inlineStr">
        <is>
          <t>high</t>
        </is>
      </c>
      <c r="G91" s="9" t="n">
        <v>25561</v>
      </c>
    </row>
    <row r="92">
      <c r="A92" s="8" t="inlineStr">
        <is>
          <t>Balance sheet (detail)</t>
        </is>
      </c>
      <c r="B92" s="8" t="inlineStr">
        <is>
          <t>B9</t>
        </is>
      </c>
      <c r="C92" s="8" t="inlineStr">
        <is>
          <t>4. Accounts receivable, net</t>
        </is>
      </c>
      <c r="D92" s="8" t="inlineStr">
        <is>
          <t>4E</t>
        </is>
      </c>
      <c r="E92" s="8" t="inlineStr">
        <is>
          <t>part_x_balance_sheet.accounts_receivable_eoy</t>
        </is>
      </c>
      <c r="F92" s="8" t="inlineStr">
        <is>
          <t>high</t>
        </is>
      </c>
      <c r="G92" s="9" t="n">
        <v>85416</v>
      </c>
    </row>
    <row r="93">
      <c r="A93" s="8" t="inlineStr">
        <is>
          <t>Balance sheet (detail)</t>
        </is>
      </c>
      <c r="B93" s="8" t="inlineStr">
        <is>
          <t>C9</t>
        </is>
      </c>
      <c r="C93" s="8" t="inlineStr">
        <is>
          <t>4. Accounts receivable, net</t>
        </is>
      </c>
      <c r="D93" s="8" t="inlineStr">
        <is>
          <t>4E</t>
        </is>
      </c>
      <c r="E93" s="8" t="inlineStr">
        <is>
          <t>part_x_balance_sheet.accounts_receivable_eoy</t>
        </is>
      </c>
      <c r="F93" s="8" t="inlineStr">
        <is>
          <t>high</t>
        </is>
      </c>
      <c r="G93" s="9" t="n">
        <v>70456</v>
      </c>
    </row>
    <row r="94">
      <c r="A94" s="8" t="inlineStr">
        <is>
          <t>Balance sheet (detail)</t>
        </is>
      </c>
      <c r="B94" s="8" t="inlineStr">
        <is>
          <t>D9</t>
        </is>
      </c>
      <c r="C94" s="8" t="inlineStr">
        <is>
          <t>4. Accounts receivable, net</t>
        </is>
      </c>
      <c r="D94" s="8" t="inlineStr">
        <is>
          <t>4E</t>
        </is>
      </c>
      <c r="E94" s="8" t="inlineStr">
        <is>
          <t>part_x_balance_sheet.accounts_receivable_eoy</t>
        </is>
      </c>
      <c r="F94" s="8" t="inlineStr">
        <is>
          <t>high</t>
        </is>
      </c>
      <c r="G94" s="9" t="n">
        <v>65917</v>
      </c>
    </row>
    <row r="95">
      <c r="A95" s="8" t="inlineStr">
        <is>
          <t>Balance sheet (detail)</t>
        </is>
      </c>
      <c r="B95" s="8" t="inlineStr">
        <is>
          <t>E9</t>
        </is>
      </c>
      <c r="C95" s="8" t="inlineStr">
        <is>
          <t>4. Accounts receivable, net</t>
        </is>
      </c>
      <c r="D95" s="8" t="inlineStr">
        <is>
          <t>4E</t>
        </is>
      </c>
      <c r="E95" s="8" t="inlineStr">
        <is>
          <t>part_x_balance_sheet.accounts_receivable_eoy</t>
        </is>
      </c>
      <c r="F95" s="8" t="inlineStr">
        <is>
          <t>high</t>
        </is>
      </c>
      <c r="G95" s="9" t="n">
        <v>109284</v>
      </c>
    </row>
    <row r="96">
      <c r="A96" s="8" t="inlineStr">
        <is>
          <t>Balance sheet (detail)</t>
        </is>
      </c>
      <c r="B96" s="8" t="inlineStr">
        <is>
          <t>F9</t>
        </is>
      </c>
      <c r="C96" s="8" t="inlineStr">
        <is>
          <t>4. Accounts receivable, net</t>
        </is>
      </c>
      <c r="D96" s="8" t="inlineStr">
        <is>
          <t>4E</t>
        </is>
      </c>
      <c r="E96" s="8" t="inlineStr">
        <is>
          <t>part_x_balance_sheet.accounts_receivable_eoy</t>
        </is>
      </c>
      <c r="F96" s="8" t="inlineStr">
        <is>
          <t>high</t>
        </is>
      </c>
      <c r="G96" s="9" t="n">
        <v>140711</v>
      </c>
    </row>
    <row r="97">
      <c r="A97" s="8" t="inlineStr">
        <is>
          <t>Balance sheet (detail)</t>
        </is>
      </c>
      <c r="B97" s="8" t="inlineStr">
        <is>
          <t>G9</t>
        </is>
      </c>
      <c r="C97" s="8" t="inlineStr">
        <is>
          <t>4. Accounts receivable, net</t>
        </is>
      </c>
      <c r="D97" s="8" t="inlineStr">
        <is>
          <t>4E</t>
        </is>
      </c>
      <c r="E97" s="8" t="inlineStr">
        <is>
          <t>part_x_balance_sheet.accounts_receivable_eoy</t>
        </is>
      </c>
      <c r="F97" s="8" t="inlineStr">
        <is>
          <t>high</t>
        </is>
      </c>
      <c r="G97" s="9" t="n">
        <v>95086</v>
      </c>
    </row>
    <row r="98">
      <c r="A98" s="8" t="inlineStr">
        <is>
          <t>Balance sheet (detail)</t>
        </is>
      </c>
      <c r="B98" s="8" t="inlineStr">
        <is>
          <t>B10</t>
        </is>
      </c>
      <c r="C98" s="8" t="inlineStr">
        <is>
          <t>9. Prepaid expenses and deferred charges</t>
        </is>
      </c>
      <c r="D98" s="8" t="inlineStr">
        <is>
          <t>9E</t>
        </is>
      </c>
      <c r="E98" s="8" t="inlineStr">
        <is>
          <t>part_x_balance_sheet.prepaid_expenses_eoy</t>
        </is>
      </c>
      <c r="F98" s="8" t="inlineStr">
        <is>
          <t>high</t>
        </is>
      </c>
      <c r="G98" s="9" t="n">
        <v>7236</v>
      </c>
    </row>
    <row r="99">
      <c r="A99" s="8" t="inlineStr">
        <is>
          <t>Balance sheet (detail)</t>
        </is>
      </c>
      <c r="B99" s="8" t="inlineStr">
        <is>
          <t>C10</t>
        </is>
      </c>
      <c r="C99" s="8" t="inlineStr">
        <is>
          <t>9. Prepaid expenses and deferred charges</t>
        </is>
      </c>
      <c r="D99" s="8" t="inlineStr">
        <is>
          <t>9E</t>
        </is>
      </c>
      <c r="E99" s="8" t="inlineStr">
        <is>
          <t>part_x_balance_sheet.prepaid_expenses_eoy</t>
        </is>
      </c>
      <c r="F99" s="8" t="inlineStr">
        <is>
          <t>high</t>
        </is>
      </c>
      <c r="G99" s="9" t="n">
        <v>7963</v>
      </c>
    </row>
    <row r="100">
      <c r="A100" s="8" t="inlineStr">
        <is>
          <t>Balance sheet (detail)</t>
        </is>
      </c>
      <c r="B100" s="8" t="inlineStr">
        <is>
          <t>D10</t>
        </is>
      </c>
      <c r="C100" s="8" t="inlineStr">
        <is>
          <t>9. Prepaid expenses and deferred charges</t>
        </is>
      </c>
      <c r="D100" s="8" t="inlineStr">
        <is>
          <t>9E</t>
        </is>
      </c>
      <c r="E100" s="8" t="inlineStr">
        <is>
          <t>part_x_balance_sheet.prepaid_expenses_eoy</t>
        </is>
      </c>
      <c r="F100" s="8" t="inlineStr">
        <is>
          <t>high</t>
        </is>
      </c>
      <c r="G100" s="9" t="n">
        <v>3600</v>
      </c>
    </row>
    <row r="101">
      <c r="A101" s="8" t="inlineStr">
        <is>
          <t>Balance sheet (detail)</t>
        </is>
      </c>
      <c r="B101" s="8" t="inlineStr">
        <is>
          <t>E10</t>
        </is>
      </c>
      <c r="C101" s="8" t="inlineStr">
        <is>
          <t>9. Prepaid expenses and deferred charges</t>
        </is>
      </c>
      <c r="D101" s="8" t="inlineStr">
        <is>
          <t>9E</t>
        </is>
      </c>
      <c r="E101" s="8" t="inlineStr">
        <is>
          <t>part_x_balance_sheet.prepaid_expenses_eoy</t>
        </is>
      </c>
      <c r="F101" s="8" t="inlineStr">
        <is>
          <t>high</t>
        </is>
      </c>
      <c r="G101" s="9" t="n">
        <v>3600</v>
      </c>
    </row>
    <row r="102">
      <c r="A102" s="8" t="inlineStr">
        <is>
          <t>Balance sheet (detail)</t>
        </is>
      </c>
      <c r="B102" s="8" t="inlineStr">
        <is>
          <t>F10</t>
        </is>
      </c>
      <c r="C102" s="8" t="inlineStr">
        <is>
          <t>9. Prepaid expenses and deferred charges</t>
        </is>
      </c>
      <c r="D102" s="8" t="inlineStr">
        <is>
          <t>9E</t>
        </is>
      </c>
      <c r="E102" s="8" t="inlineStr">
        <is>
          <t>part_x_balance_sheet.prepaid_expenses_eoy</t>
        </is>
      </c>
      <c r="F102" s="8" t="inlineStr">
        <is>
          <t>high</t>
        </is>
      </c>
      <c r="G102" s="9" t="n">
        <v>4651</v>
      </c>
    </row>
    <row r="103">
      <c r="A103" s="8" t="inlineStr">
        <is>
          <t>Balance sheet (detail)</t>
        </is>
      </c>
      <c r="B103" s="8" t="inlineStr">
        <is>
          <t>G10</t>
        </is>
      </c>
      <c r="C103" s="8" t="inlineStr">
        <is>
          <t>9. Prepaid expenses and deferred charges</t>
        </is>
      </c>
      <c r="D103" s="8" t="inlineStr">
        <is>
          <t>9E</t>
        </is>
      </c>
      <c r="E103" s="8" t="inlineStr">
        <is>
          <t>part_x_balance_sheet.prepaid_expenses_eoy</t>
        </is>
      </c>
      <c r="F103" s="8" t="inlineStr">
        <is>
          <t>high</t>
        </is>
      </c>
      <c r="G103" s="9" t="n">
        <v>3600</v>
      </c>
    </row>
    <row r="104">
      <c r="A104" s="8" t="inlineStr">
        <is>
          <t>Balance sheet (detail)</t>
        </is>
      </c>
      <c r="B104" s="8" t="inlineStr">
        <is>
          <t>B11</t>
        </is>
      </c>
      <c r="C104" s="8" t="inlineStr">
        <is>
          <t>10c. Land, buildings, and equipment, net</t>
        </is>
      </c>
      <c r="D104" s="8" t="inlineStr">
        <is>
          <t>10cE</t>
        </is>
      </c>
      <c r="E104" s="8" t="inlineStr">
        <is>
          <t>part_x_balance_sheet.land_bldg_equip_net_eoy</t>
        </is>
      </c>
      <c r="F104" s="8" t="inlineStr">
        <is>
          <t>high</t>
        </is>
      </c>
      <c r="G104" s="9" t="n">
        <v>1777928</v>
      </c>
    </row>
    <row r="105">
      <c r="A105" s="8" t="inlineStr">
        <is>
          <t>Balance sheet (detail)</t>
        </is>
      </c>
      <c r="B105" s="8" t="inlineStr">
        <is>
          <t>C11</t>
        </is>
      </c>
      <c r="C105" s="8" t="inlineStr">
        <is>
          <t>10c. Land, buildings, and equipment, net</t>
        </is>
      </c>
      <c r="D105" s="8" t="inlineStr">
        <is>
          <t>10cE</t>
        </is>
      </c>
      <c r="E105" s="8" t="inlineStr">
        <is>
          <t>part_x_balance_sheet.land_bldg_equip_net_eoy</t>
        </is>
      </c>
      <c r="F105" s="8" t="inlineStr">
        <is>
          <t>high</t>
        </is>
      </c>
      <c r="G105" s="9" t="n">
        <v>1787134</v>
      </c>
    </row>
    <row r="106">
      <c r="A106" s="8" t="inlineStr">
        <is>
          <t>Balance sheet (detail)</t>
        </is>
      </c>
      <c r="B106" s="8" t="inlineStr">
        <is>
          <t>D11</t>
        </is>
      </c>
      <c r="C106" s="8" t="inlineStr">
        <is>
          <t>10c. Land, buildings, and equipment, net</t>
        </is>
      </c>
      <c r="D106" s="8" t="inlineStr">
        <is>
          <t>10cE</t>
        </is>
      </c>
      <c r="E106" s="8" t="inlineStr">
        <is>
          <t>part_x_balance_sheet.land_bldg_equip_net_eoy</t>
        </is>
      </c>
      <c r="F106" s="8" t="inlineStr">
        <is>
          <t>high</t>
        </is>
      </c>
      <c r="G106" s="9" t="n">
        <v>1633426</v>
      </c>
    </row>
    <row r="107">
      <c r="A107" s="8" t="inlineStr">
        <is>
          <t>Balance sheet (detail)</t>
        </is>
      </c>
      <c r="B107" s="8" t="inlineStr">
        <is>
          <t>E11</t>
        </is>
      </c>
      <c r="C107" s="8" t="inlineStr">
        <is>
          <t>10c. Land, buildings, and equipment, net</t>
        </is>
      </c>
      <c r="D107" s="8" t="inlineStr">
        <is>
          <t>10cE</t>
        </is>
      </c>
      <c r="E107" s="8" t="inlineStr">
        <is>
          <t>part_x_balance_sheet.land_bldg_equip_net_eoy</t>
        </is>
      </c>
      <c r="F107" s="8" t="inlineStr">
        <is>
          <t>high</t>
        </is>
      </c>
      <c r="G107" s="9" t="n">
        <v>1479163</v>
      </c>
    </row>
    <row r="108">
      <c r="A108" s="8" t="inlineStr">
        <is>
          <t>Balance sheet (detail)</t>
        </is>
      </c>
      <c r="B108" s="8" t="inlineStr">
        <is>
          <t>F11</t>
        </is>
      </c>
      <c r="C108" s="8" t="inlineStr">
        <is>
          <t>10c. Land, buildings, and equipment, net</t>
        </is>
      </c>
      <c r="D108" s="8" t="inlineStr">
        <is>
          <t>10cE</t>
        </is>
      </c>
      <c r="E108" s="8" t="inlineStr">
        <is>
          <t>part_x_balance_sheet.land_bldg_equip_net_eoy</t>
        </is>
      </c>
      <c r="F108" s="8" t="inlineStr">
        <is>
          <t>high</t>
        </is>
      </c>
      <c r="G108" s="9" t="n">
        <v>1873664</v>
      </c>
    </row>
    <row r="109">
      <c r="A109" s="8" t="inlineStr">
        <is>
          <t>Balance sheet (detail)</t>
        </is>
      </c>
      <c r="B109" s="8" t="inlineStr">
        <is>
          <t>G11</t>
        </is>
      </c>
      <c r="C109" s="8" t="inlineStr">
        <is>
          <t>10c. Land, buildings, and equipment, net</t>
        </is>
      </c>
      <c r="D109" s="8" t="inlineStr">
        <is>
          <t>10cE</t>
        </is>
      </c>
      <c r="E109" s="8" t="inlineStr">
        <is>
          <t>part_x_balance_sheet.land_bldg_equip_net_eoy</t>
        </is>
      </c>
      <c r="F109" s="8" t="inlineStr">
        <is>
          <t>high</t>
        </is>
      </c>
      <c r="G109" s="9" t="n">
        <v>1788654</v>
      </c>
    </row>
    <row r="110">
      <c r="A110" s="8" t="inlineStr">
        <is>
          <t>Balance sheet (detail)</t>
        </is>
      </c>
      <c r="B110" s="8" t="inlineStr">
        <is>
          <t>B12</t>
        </is>
      </c>
      <c r="C110" s="8" t="inlineStr">
        <is>
          <t>14. Intangible assets</t>
        </is>
      </c>
      <c r="D110" s="8" t="inlineStr">
        <is>
          <t>14E</t>
        </is>
      </c>
      <c r="E110" s="8" t="inlineStr">
        <is>
          <t>part_x_balance_sheet.intangible_assets_eoy</t>
        </is>
      </c>
      <c r="F110" s="8" t="inlineStr">
        <is>
          <t>high</t>
        </is>
      </c>
      <c r="G110" s="9" t="n">
        <v>8000</v>
      </c>
    </row>
    <row r="111">
      <c r="A111" s="8" t="inlineStr">
        <is>
          <t>Balance sheet (detail)</t>
        </is>
      </c>
      <c r="B111" s="8" t="inlineStr">
        <is>
          <t>C12</t>
        </is>
      </c>
      <c r="C111" s="8" t="inlineStr">
        <is>
          <t>14. Intangible assets</t>
        </is>
      </c>
      <c r="D111" s="8" t="inlineStr">
        <is>
          <t>14E</t>
        </is>
      </c>
      <c r="E111" s="8" t="inlineStr">
        <is>
          <t>part_x_balance_sheet.intangible_assets_eoy</t>
        </is>
      </c>
      <c r="F111" s="8" t="inlineStr">
        <is>
          <t>high</t>
        </is>
      </c>
      <c r="G111" s="9" t="n">
        <v>8000</v>
      </c>
    </row>
    <row r="112">
      <c r="A112" s="8" t="inlineStr">
        <is>
          <t>Balance sheet (detail)</t>
        </is>
      </c>
      <c r="B112" s="8" t="inlineStr">
        <is>
          <t>D12</t>
        </is>
      </c>
      <c r="C112" s="8" t="inlineStr">
        <is>
          <t>14. Intangible assets</t>
        </is>
      </c>
      <c r="D112" s="8" t="inlineStr">
        <is>
          <t>14E</t>
        </is>
      </c>
      <c r="E112" s="8" t="inlineStr">
        <is>
          <t>part_x_balance_sheet.intangible_assets_eoy</t>
        </is>
      </c>
      <c r="F112" s="8" t="inlineStr">
        <is>
          <t>high</t>
        </is>
      </c>
      <c r="G112" s="9" t="n">
        <v>8000</v>
      </c>
    </row>
    <row r="113">
      <c r="A113" s="8" t="inlineStr">
        <is>
          <t>Balance sheet (detail)</t>
        </is>
      </c>
      <c r="B113" s="8" t="inlineStr">
        <is>
          <t>E12</t>
        </is>
      </c>
      <c r="C113" s="8" t="inlineStr">
        <is>
          <t>14. Intangible assets</t>
        </is>
      </c>
      <c r="D113" s="8" t="inlineStr">
        <is>
          <t>14E</t>
        </is>
      </c>
      <c r="E113" s="8" t="inlineStr">
        <is>
          <t>part_x_balance_sheet.intangible_assets_eoy</t>
        </is>
      </c>
      <c r="F113" s="8" t="inlineStr">
        <is>
          <t>high</t>
        </is>
      </c>
      <c r="G113" s="9" t="n">
        <v>8000</v>
      </c>
    </row>
    <row r="114">
      <c r="A114" s="8" t="inlineStr">
        <is>
          <t>Balance sheet (detail)</t>
        </is>
      </c>
      <c r="B114" s="8" t="inlineStr">
        <is>
          <t>F12</t>
        </is>
      </c>
      <c r="C114" s="8" t="inlineStr">
        <is>
          <t>14. Intangible assets</t>
        </is>
      </c>
      <c r="D114" s="8" t="inlineStr">
        <is>
          <t>14E</t>
        </is>
      </c>
      <c r="E114" s="8" t="inlineStr">
        <is>
          <t>part_x_balance_sheet.intangible_assets_eoy</t>
        </is>
      </c>
      <c r="F114" s="8" t="inlineStr">
        <is>
          <t>high</t>
        </is>
      </c>
      <c r="G114" s="9" t="n">
        <v>8000</v>
      </c>
    </row>
    <row r="115">
      <c r="A115" s="8" t="inlineStr">
        <is>
          <t>Balance sheet (detail)</t>
        </is>
      </c>
      <c r="B115" s="8" t="inlineStr">
        <is>
          <t>G12</t>
        </is>
      </c>
      <c r="C115" s="8" t="inlineStr">
        <is>
          <t>14. Intangible assets</t>
        </is>
      </c>
      <c r="D115" s="8" t="inlineStr">
        <is>
          <t>14E</t>
        </is>
      </c>
      <c r="E115" s="8" t="inlineStr">
        <is>
          <t>part_x_balance_sheet.intangible_assets_eoy</t>
        </is>
      </c>
      <c r="F115" s="8" t="inlineStr">
        <is>
          <t>high</t>
        </is>
      </c>
      <c r="G115" s="9" t="n">
        <v>30789</v>
      </c>
    </row>
    <row r="116">
      <c r="A116" s="8" t="inlineStr">
        <is>
          <t>Balance sheet (detail)</t>
        </is>
      </c>
      <c r="B116" s="8" t="inlineStr">
        <is>
          <t>F13</t>
        </is>
      </c>
      <c r="C116" s="8" t="inlineStr">
        <is>
          <t>15. Other assets</t>
        </is>
      </c>
      <c r="D116" s="8" t="inlineStr">
        <is>
          <t>15E</t>
        </is>
      </c>
      <c r="E116" s="8" t="inlineStr">
        <is>
          <t>part_x_balance_sheet.other_assets_eoy</t>
        </is>
      </c>
      <c r="F116" s="8" t="inlineStr">
        <is>
          <t>high</t>
        </is>
      </c>
      <c r="G116" s="9" t="n">
        <v>10550</v>
      </c>
    </row>
    <row r="117">
      <c r="A117" s="8" t="inlineStr">
        <is>
          <t>Balance sheet (detail)</t>
        </is>
      </c>
      <c r="B117" s="8" t="inlineStr">
        <is>
          <t>G13</t>
        </is>
      </c>
      <c r="C117" s="8" t="inlineStr">
        <is>
          <t>15. Other assets</t>
        </is>
      </c>
      <c r="D117" s="8" t="inlineStr">
        <is>
          <t>15E</t>
        </is>
      </c>
      <c r="E117" s="8" t="inlineStr">
        <is>
          <t>part_x_balance_sheet.other_assets_eoy</t>
        </is>
      </c>
      <c r="F117" s="8" t="inlineStr">
        <is>
          <t>high</t>
        </is>
      </c>
      <c r="G117" s="9" t="n">
        <v>126436</v>
      </c>
    </row>
    <row r="118">
      <c r="A118" s="8" t="inlineStr">
        <is>
          <t>Balance sheet (detail)</t>
        </is>
      </c>
      <c r="B118" s="8" t="inlineStr">
        <is>
          <t>B17</t>
        </is>
      </c>
      <c r="C118" s="8" t="inlineStr">
        <is>
          <t>17. Accounts payable and accrued expenses</t>
        </is>
      </c>
      <c r="D118" s="8" t="inlineStr">
        <is>
          <t>17E</t>
        </is>
      </c>
      <c r="E118" s="8" t="inlineStr">
        <is>
          <t>part_x_balance_sheet.accounts_payable_eoy</t>
        </is>
      </c>
      <c r="F118" s="8" t="inlineStr">
        <is>
          <t>high</t>
        </is>
      </c>
      <c r="G118" s="9" t="n">
        <v>136442</v>
      </c>
    </row>
    <row r="119">
      <c r="A119" s="8" t="inlineStr">
        <is>
          <t>Balance sheet (detail)</t>
        </is>
      </c>
      <c r="B119" s="8" t="inlineStr">
        <is>
          <t>C17</t>
        </is>
      </c>
      <c r="C119" s="8" t="inlineStr">
        <is>
          <t>17. Accounts payable and accrued expenses</t>
        </is>
      </c>
      <c r="D119" s="8" t="inlineStr">
        <is>
          <t>17E</t>
        </is>
      </c>
      <c r="E119" s="8" t="inlineStr">
        <is>
          <t>part_x_balance_sheet.accounts_payable_eoy</t>
        </is>
      </c>
      <c r="F119" s="8" t="inlineStr">
        <is>
          <t>high</t>
        </is>
      </c>
      <c r="G119" s="9" t="n">
        <v>91972</v>
      </c>
    </row>
    <row r="120">
      <c r="A120" s="8" t="inlineStr">
        <is>
          <t>Balance sheet (detail)</t>
        </is>
      </c>
      <c r="B120" s="8" t="inlineStr">
        <is>
          <t>D17</t>
        </is>
      </c>
      <c r="C120" s="8" t="inlineStr">
        <is>
          <t>17. Accounts payable and accrued expenses</t>
        </is>
      </c>
      <c r="D120" s="8" t="inlineStr">
        <is>
          <t>17E</t>
        </is>
      </c>
      <c r="E120" s="8" t="inlineStr">
        <is>
          <t>part_x_balance_sheet.accounts_payable_eoy</t>
        </is>
      </c>
      <c r="F120" s="8" t="inlineStr">
        <is>
          <t>high</t>
        </is>
      </c>
      <c r="G120" s="9" t="n">
        <v>84828</v>
      </c>
    </row>
    <row r="121">
      <c r="A121" s="8" t="inlineStr">
        <is>
          <t>Balance sheet (detail)</t>
        </is>
      </c>
      <c r="B121" s="8" t="inlineStr">
        <is>
          <t>E17</t>
        </is>
      </c>
      <c r="C121" s="8" t="inlineStr">
        <is>
          <t>17. Accounts payable and accrued expenses</t>
        </is>
      </c>
      <c r="D121" s="8" t="inlineStr">
        <is>
          <t>17E</t>
        </is>
      </c>
      <c r="E121" s="8" t="inlineStr">
        <is>
          <t>part_x_balance_sheet.accounts_payable_eoy</t>
        </is>
      </c>
      <c r="F121" s="8" t="inlineStr">
        <is>
          <t>high</t>
        </is>
      </c>
      <c r="G121" s="9" t="n">
        <v>111413</v>
      </c>
    </row>
    <row r="122">
      <c r="A122" s="8" t="inlineStr">
        <is>
          <t>Balance sheet (detail)</t>
        </is>
      </c>
      <c r="B122" s="8" t="inlineStr">
        <is>
          <t>F17</t>
        </is>
      </c>
      <c r="C122" s="8" t="inlineStr">
        <is>
          <t>17. Accounts payable and accrued expenses</t>
        </is>
      </c>
      <c r="D122" s="8" t="inlineStr">
        <is>
          <t>17E</t>
        </is>
      </c>
      <c r="E122" s="8" t="inlineStr">
        <is>
          <t>part_x_balance_sheet.accounts_payable_eoy</t>
        </is>
      </c>
      <c r="F122" s="8" t="inlineStr">
        <is>
          <t>high</t>
        </is>
      </c>
      <c r="G122" s="9" t="n">
        <v>198830</v>
      </c>
    </row>
    <row r="123">
      <c r="A123" s="8" t="inlineStr">
        <is>
          <t>Balance sheet (detail)</t>
        </is>
      </c>
      <c r="B123" s="8" t="inlineStr">
        <is>
          <t>G17</t>
        </is>
      </c>
      <c r="C123" s="8" t="inlineStr">
        <is>
          <t>17. Accounts payable and accrued expenses</t>
        </is>
      </c>
      <c r="D123" s="8" t="inlineStr">
        <is>
          <t>17E</t>
        </is>
      </c>
      <c r="E123" s="8" t="inlineStr">
        <is>
          <t>part_x_balance_sheet.accounts_payable_eoy</t>
        </is>
      </c>
      <c r="F123" s="8" t="inlineStr">
        <is>
          <t>high</t>
        </is>
      </c>
      <c r="G123" s="9" t="n">
        <v>171125</v>
      </c>
    </row>
    <row r="124">
      <c r="A124" s="8" t="inlineStr">
        <is>
          <t>Balance sheet (detail)</t>
        </is>
      </c>
      <c r="B124" s="8" t="inlineStr">
        <is>
          <t>B21</t>
        </is>
      </c>
      <c r="C124" s="8" t="inlineStr">
        <is>
          <t>29. Capital stock or trust principal</t>
        </is>
      </c>
      <c r="D124" s="8" t="inlineStr">
        <is>
          <t>29E</t>
        </is>
      </c>
      <c r="E124" s="8" t="inlineStr">
        <is>
          <t>part_x_balance_sheet.cap_stock_eoy</t>
        </is>
      </c>
      <c r="F124" s="8" t="inlineStr">
        <is>
          <t>high</t>
        </is>
      </c>
      <c r="G124" s="9" t="n">
        <v>75432</v>
      </c>
    </row>
    <row r="125">
      <c r="A125" s="8" t="inlineStr">
        <is>
          <t>Balance sheet (detail)</t>
        </is>
      </c>
      <c r="B125" s="8" t="inlineStr">
        <is>
          <t>C21</t>
        </is>
      </c>
      <c r="C125" s="8" t="inlineStr">
        <is>
          <t>29. Capital stock or trust principal</t>
        </is>
      </c>
      <c r="D125" s="8" t="inlineStr">
        <is>
          <t>29E</t>
        </is>
      </c>
      <c r="E125" s="8" t="inlineStr">
        <is>
          <t>part_x_balance_sheet.cap_stock_eoy</t>
        </is>
      </c>
      <c r="F125" s="8" t="inlineStr">
        <is>
          <t>high</t>
        </is>
      </c>
      <c r="G125" s="9" t="n">
        <v>75432</v>
      </c>
    </row>
    <row r="126">
      <c r="A126" s="8" t="inlineStr">
        <is>
          <t>Balance sheet (detail)</t>
        </is>
      </c>
      <c r="B126" s="8" t="inlineStr">
        <is>
          <t>D21</t>
        </is>
      </c>
      <c r="C126" s="8" t="inlineStr">
        <is>
          <t>29. Capital stock or trust principal</t>
        </is>
      </c>
      <c r="D126" s="8" t="inlineStr">
        <is>
          <t>29E</t>
        </is>
      </c>
      <c r="E126" s="8" t="inlineStr">
        <is>
          <t>part_x_balance_sheet.cap_stock_eoy</t>
        </is>
      </c>
      <c r="F126" s="8" t="inlineStr">
        <is>
          <t>high</t>
        </is>
      </c>
      <c r="G126" s="9" t="n">
        <v>75432</v>
      </c>
    </row>
    <row r="127">
      <c r="A127" s="8" t="inlineStr">
        <is>
          <t>Balance sheet (detail)</t>
        </is>
      </c>
      <c r="B127" s="8" t="inlineStr">
        <is>
          <t>E21</t>
        </is>
      </c>
      <c r="C127" s="8" t="inlineStr">
        <is>
          <t>29. Capital stock or trust principal</t>
        </is>
      </c>
      <c r="D127" s="8" t="inlineStr">
        <is>
          <t>29E</t>
        </is>
      </c>
      <c r="E127" s="8" t="inlineStr">
        <is>
          <t>part_x_balance_sheet.cap_stock_eoy</t>
        </is>
      </c>
      <c r="F127" s="8" t="inlineStr">
        <is>
          <t>high</t>
        </is>
      </c>
      <c r="G127" s="9" t="n">
        <v>75432</v>
      </c>
    </row>
    <row r="128">
      <c r="A128" s="8" t="inlineStr">
        <is>
          <t>Balance sheet (detail)</t>
        </is>
      </c>
      <c r="B128" s="8" t="inlineStr">
        <is>
          <t>F21</t>
        </is>
      </c>
      <c r="C128" s="8" t="inlineStr">
        <is>
          <t>29. Capital stock or trust principal</t>
        </is>
      </c>
      <c r="D128" s="8" t="inlineStr">
        <is>
          <t>29E</t>
        </is>
      </c>
      <c r="E128" s="8" t="inlineStr">
        <is>
          <t>part_x_balance_sheet.cap_stock_eoy</t>
        </is>
      </c>
      <c r="F128" s="8" t="inlineStr">
        <is>
          <t>high</t>
        </is>
      </c>
      <c r="G128" s="9" t="n">
        <v>75432</v>
      </c>
    </row>
    <row r="129">
      <c r="A129" s="8" t="inlineStr">
        <is>
          <t>Balance sheet (detail)</t>
        </is>
      </c>
      <c r="B129" s="8" t="inlineStr">
        <is>
          <t>G21</t>
        </is>
      </c>
      <c r="C129" s="8" t="inlineStr">
        <is>
          <t>29. Capital stock or trust principal</t>
        </is>
      </c>
      <c r="D129" s="8" t="inlineStr">
        <is>
          <t>29E</t>
        </is>
      </c>
      <c r="E129" s="8" t="inlineStr">
        <is>
          <t>part_x_balance_sheet.cap_stock_eoy</t>
        </is>
      </c>
      <c r="F129" s="8" t="inlineStr">
        <is>
          <t>high</t>
        </is>
      </c>
      <c r="G129" s="9" t="n">
        <v>75432</v>
      </c>
    </row>
    <row r="130">
      <c r="A130" s="8" t="inlineStr">
        <is>
          <t>Balance sheet (detail)</t>
        </is>
      </c>
      <c r="B130" s="8" t="inlineStr">
        <is>
          <t>B22</t>
        </is>
      </c>
      <c r="C130" s="8" t="inlineStr">
        <is>
          <t>30. Paid-in or capital surplus</t>
        </is>
      </c>
      <c r="D130" s="8" t="inlineStr">
        <is>
          <t>30E</t>
        </is>
      </c>
      <c r="E130" s="8" t="inlineStr">
        <is>
          <t>part_x_balance_sheet.paid_in_capital_eoy</t>
        </is>
      </c>
      <c r="F130" s="8" t="inlineStr">
        <is>
          <t>high</t>
        </is>
      </c>
      <c r="G130" s="9" t="n">
        <v>63402</v>
      </c>
    </row>
    <row r="131">
      <c r="A131" s="8" t="inlineStr">
        <is>
          <t>Balance sheet (detail)</t>
        </is>
      </c>
      <c r="B131" s="8" t="inlineStr">
        <is>
          <t>C22</t>
        </is>
      </c>
      <c r="C131" s="8" t="inlineStr">
        <is>
          <t>30. Paid-in or capital surplus</t>
        </is>
      </c>
      <c r="D131" s="8" t="inlineStr">
        <is>
          <t>30E</t>
        </is>
      </c>
      <c r="E131" s="8" t="inlineStr">
        <is>
          <t>part_x_balance_sheet.paid_in_capital_eoy</t>
        </is>
      </c>
      <c r="F131" s="8" t="inlineStr">
        <is>
          <t>high</t>
        </is>
      </c>
      <c r="G131" s="9" t="n">
        <v>63402</v>
      </c>
    </row>
    <row r="132">
      <c r="A132" s="8" t="inlineStr">
        <is>
          <t>Balance sheet (detail)</t>
        </is>
      </c>
      <c r="B132" s="8" t="inlineStr">
        <is>
          <t>D22</t>
        </is>
      </c>
      <c r="C132" s="8" t="inlineStr">
        <is>
          <t>30. Paid-in or capital surplus</t>
        </is>
      </c>
      <c r="D132" s="8" t="inlineStr">
        <is>
          <t>30E</t>
        </is>
      </c>
      <c r="E132" s="8" t="inlineStr">
        <is>
          <t>part_x_balance_sheet.paid_in_capital_eoy</t>
        </is>
      </c>
      <c r="F132" s="8" t="inlineStr">
        <is>
          <t>high</t>
        </is>
      </c>
      <c r="G132" s="9" t="n">
        <v>63402</v>
      </c>
    </row>
    <row r="133">
      <c r="A133" s="8" t="inlineStr">
        <is>
          <t>Balance sheet (detail)</t>
        </is>
      </c>
      <c r="B133" s="8" t="inlineStr">
        <is>
          <t>E22</t>
        </is>
      </c>
      <c r="C133" s="8" t="inlineStr">
        <is>
          <t>30. Paid-in or capital surplus</t>
        </is>
      </c>
      <c r="D133" s="8" t="inlineStr">
        <is>
          <t>30E</t>
        </is>
      </c>
      <c r="E133" s="8" t="inlineStr">
        <is>
          <t>part_x_balance_sheet.paid_in_capital_eoy</t>
        </is>
      </c>
      <c r="F133" s="8" t="inlineStr">
        <is>
          <t>high</t>
        </is>
      </c>
      <c r="G133" s="9" t="n">
        <v>63402</v>
      </c>
    </row>
    <row r="134">
      <c r="A134" s="8" t="inlineStr">
        <is>
          <t>Balance sheet (detail)</t>
        </is>
      </c>
      <c r="B134" s="8" t="inlineStr">
        <is>
          <t>F22</t>
        </is>
      </c>
      <c r="C134" s="8" t="inlineStr">
        <is>
          <t>30. Paid-in or capital surplus</t>
        </is>
      </c>
      <c r="D134" s="8" t="inlineStr">
        <is>
          <t>30E</t>
        </is>
      </c>
      <c r="E134" s="8" t="inlineStr">
        <is>
          <t>part_x_balance_sheet.paid_in_capital_eoy</t>
        </is>
      </c>
      <c r="F134" s="8" t="inlineStr">
        <is>
          <t>high</t>
        </is>
      </c>
      <c r="G134" s="9" t="n">
        <v>63402</v>
      </c>
    </row>
    <row r="135">
      <c r="A135" s="8" t="inlineStr">
        <is>
          <t>Balance sheet (detail)</t>
        </is>
      </c>
      <c r="B135" s="8" t="inlineStr">
        <is>
          <t>G22</t>
        </is>
      </c>
      <c r="C135" s="8" t="inlineStr">
        <is>
          <t>30. Paid-in or capital surplus</t>
        </is>
      </c>
      <c r="D135" s="8" t="inlineStr">
        <is>
          <t>30E</t>
        </is>
      </c>
      <c r="E135" s="8" t="inlineStr">
        <is>
          <t>part_x_balance_sheet.paid_in_capital_eoy</t>
        </is>
      </c>
      <c r="F135" s="8" t="inlineStr">
        <is>
          <t>high</t>
        </is>
      </c>
      <c r="G135" s="9" t="n">
        <v>63402</v>
      </c>
    </row>
    <row r="136">
      <c r="A136" s="8" t="inlineStr">
        <is>
          <t>Balance sheet (detail)</t>
        </is>
      </c>
      <c r="B136" s="8" t="inlineStr">
        <is>
          <t>B23</t>
        </is>
      </c>
      <c r="C136" s="8" t="inlineStr">
        <is>
          <t>31. Retained earnings / accumulated funds</t>
        </is>
      </c>
      <c r="D136" s="8" t="inlineStr">
        <is>
          <t>31E</t>
        </is>
      </c>
      <c r="E136" s="8" t="inlineStr">
        <is>
          <t>part_x_balance_sheet.retained_earnings_eoy</t>
        </is>
      </c>
      <c r="F136" s="8" t="inlineStr">
        <is>
          <t>high</t>
        </is>
      </c>
      <c r="G136" s="9" t="n">
        <v>2039210</v>
      </c>
    </row>
    <row r="137">
      <c r="A137" s="8" t="inlineStr">
        <is>
          <t>Balance sheet (detail)</t>
        </is>
      </c>
      <c r="B137" s="8" t="inlineStr">
        <is>
          <t>C23</t>
        </is>
      </c>
      <c r="C137" s="8" t="inlineStr">
        <is>
          <t>31. Retained earnings / accumulated funds</t>
        </is>
      </c>
      <c r="D137" s="8" t="inlineStr">
        <is>
          <t>31E</t>
        </is>
      </c>
      <c r="E137" s="8" t="inlineStr">
        <is>
          <t>part_x_balance_sheet.retained_earnings_eoy</t>
        </is>
      </c>
      <c r="F137" s="8" t="inlineStr">
        <is>
          <t>high</t>
        </is>
      </c>
      <c r="G137" s="9" t="n">
        <v>2107343</v>
      </c>
    </row>
    <row r="138">
      <c r="A138" s="8" t="inlineStr">
        <is>
          <t>Balance sheet (detail)</t>
        </is>
      </c>
      <c r="B138" s="8" t="inlineStr">
        <is>
          <t>D23</t>
        </is>
      </c>
      <c r="C138" s="8" t="inlineStr">
        <is>
          <t>31. Retained earnings / accumulated funds</t>
        </is>
      </c>
      <c r="D138" s="8" t="inlineStr">
        <is>
          <t>31E</t>
        </is>
      </c>
      <c r="E138" s="8" t="inlineStr">
        <is>
          <t>part_x_balance_sheet.retained_earnings_eoy</t>
        </is>
      </c>
      <c r="F138" s="8" t="inlineStr">
        <is>
          <t>high</t>
        </is>
      </c>
      <c r="G138" s="9" t="n">
        <v>2075196</v>
      </c>
    </row>
    <row r="139">
      <c r="A139" s="8" t="inlineStr">
        <is>
          <t>Balance sheet (detail)</t>
        </is>
      </c>
      <c r="B139" s="8" t="inlineStr">
        <is>
          <t>E23</t>
        </is>
      </c>
      <c r="C139" s="8" t="inlineStr">
        <is>
          <t>31. Retained earnings / accumulated funds</t>
        </is>
      </c>
      <c r="D139" s="8" t="inlineStr">
        <is>
          <t>31E</t>
        </is>
      </c>
      <c r="E139" s="8" t="inlineStr">
        <is>
          <t>part_x_balance_sheet.retained_earnings_eoy</t>
        </is>
      </c>
      <c r="F139" s="8" t="inlineStr">
        <is>
          <t>high</t>
        </is>
      </c>
      <c r="G139" s="9" t="n">
        <v>2023932</v>
      </c>
    </row>
    <row r="140">
      <c r="A140" s="8" t="inlineStr">
        <is>
          <t>Balance sheet (detail)</t>
        </is>
      </c>
      <c r="B140" s="8" t="inlineStr">
        <is>
          <t>F23</t>
        </is>
      </c>
      <c r="C140" s="8" t="inlineStr">
        <is>
          <t>31. Retained earnings / accumulated funds</t>
        </is>
      </c>
      <c r="D140" s="8" t="inlineStr">
        <is>
          <t>31E</t>
        </is>
      </c>
      <c r="E140" s="8" t="inlineStr">
        <is>
          <t>part_x_balance_sheet.retained_earnings_eoy</t>
        </is>
      </c>
      <c r="F140" s="8" t="inlineStr">
        <is>
          <t>high</t>
        </is>
      </c>
      <c r="G140" s="9" t="n">
        <v>1982447</v>
      </c>
    </row>
    <row r="141">
      <c r="A141" s="8" t="inlineStr">
        <is>
          <t>Balance sheet (detail)</t>
        </is>
      </c>
      <c r="B141" s="8" t="inlineStr">
        <is>
          <t>G23</t>
        </is>
      </c>
      <c r="C141" s="8" t="inlineStr">
        <is>
          <t>31. Retained earnings / accumulated funds</t>
        </is>
      </c>
      <c r="D141" s="8" t="inlineStr">
        <is>
          <t>31E</t>
        </is>
      </c>
      <c r="E141" s="8" t="inlineStr">
        <is>
          <t>part_x_balance_sheet.retained_earnings_eoy</t>
        </is>
      </c>
      <c r="F141" s="8" t="inlineStr">
        <is>
          <t>high</t>
        </is>
      </c>
      <c r="G141" s="9" t="n">
        <v>2002963</v>
      </c>
    </row>
    <row r="142">
      <c r="A142" s="8" t="inlineStr">
        <is>
          <t>Net-assets reconciliation</t>
        </is>
      </c>
      <c r="B142" s="8" t="inlineStr">
        <is>
          <t>B7</t>
        </is>
      </c>
      <c r="C142" s="8" t="inlineStr">
        <is>
          <t>4. Net assets, beginning of year</t>
        </is>
      </c>
      <c r="D142" s="8" t="inlineStr">
        <is>
          <t>Part XI line 4</t>
        </is>
      </c>
      <c r="E142" s="8" t="inlineStr">
        <is>
          <t>part_xi_reconciliation.net_assets_boy</t>
        </is>
      </c>
      <c r="F142" s="8" t="inlineStr">
        <is>
          <t>high</t>
        </is>
      </c>
      <c r="G142" s="9" t="n">
        <v>2141902</v>
      </c>
    </row>
    <row r="143">
      <c r="A143" s="8" t="inlineStr">
        <is>
          <t>Net-assets reconciliation</t>
        </is>
      </c>
      <c r="B143" s="8" t="inlineStr">
        <is>
          <t>C7</t>
        </is>
      </c>
      <c r="C143" s="8" t="inlineStr">
        <is>
          <t>4. Net assets, beginning of year</t>
        </is>
      </c>
      <c r="D143" s="8" t="inlineStr">
        <is>
          <t>Part XI line 4</t>
        </is>
      </c>
      <c r="E143" s="8" t="inlineStr">
        <is>
          <t>part_xi_reconciliation.net_assets_boy</t>
        </is>
      </c>
      <c r="F143" s="8" t="inlineStr">
        <is>
          <t>high</t>
        </is>
      </c>
      <c r="G143" s="9" t="n">
        <v>2178044</v>
      </c>
    </row>
    <row r="144">
      <c r="A144" s="8" t="inlineStr">
        <is>
          <t>Net-assets reconciliation</t>
        </is>
      </c>
      <c r="B144" s="8" t="inlineStr">
        <is>
          <t>D7</t>
        </is>
      </c>
      <c r="C144" s="8" t="inlineStr">
        <is>
          <t>4. Net assets, beginning of year</t>
        </is>
      </c>
      <c r="D144" s="8" t="inlineStr">
        <is>
          <t>Part XI line 4</t>
        </is>
      </c>
      <c r="E144" s="8" t="inlineStr">
        <is>
          <t>part_xi_reconciliation.net_assets_boy</t>
        </is>
      </c>
      <c r="F144" s="8" t="inlineStr">
        <is>
          <t>high</t>
        </is>
      </c>
      <c r="G144" s="9" t="n">
        <v>2246177</v>
      </c>
    </row>
    <row r="145">
      <c r="A145" s="8" t="inlineStr">
        <is>
          <t>Net-assets reconciliation</t>
        </is>
      </c>
      <c r="B145" s="8" t="inlineStr">
        <is>
          <t>E7</t>
        </is>
      </c>
      <c r="C145" s="8" t="inlineStr">
        <is>
          <t>4. Net assets, beginning of year</t>
        </is>
      </c>
      <c r="D145" s="8" t="inlineStr">
        <is>
          <t>Part XI line 4</t>
        </is>
      </c>
      <c r="E145" s="8" t="inlineStr">
        <is>
          <t>part_xi_reconciliation.net_assets_boy</t>
        </is>
      </c>
      <c r="F145" s="8" t="inlineStr">
        <is>
          <t>high</t>
        </is>
      </c>
      <c r="G145" s="9" t="n">
        <v>2214030</v>
      </c>
    </row>
    <row r="146">
      <c r="A146" s="8" t="inlineStr">
        <is>
          <t>Net-assets reconciliation</t>
        </is>
      </c>
      <c r="B146" s="8" t="inlineStr">
        <is>
          <t>F7</t>
        </is>
      </c>
      <c r="C146" s="8" t="inlineStr">
        <is>
          <t>4. Net assets, beginning of year</t>
        </is>
      </c>
      <c r="D146" s="8" t="inlineStr">
        <is>
          <t>Part XI line 4</t>
        </is>
      </c>
      <c r="E146" s="8" t="inlineStr">
        <is>
          <t>part_xi_reconciliation.net_assets_boy</t>
        </is>
      </c>
      <c r="F146" s="8" t="inlineStr">
        <is>
          <t>high</t>
        </is>
      </c>
      <c r="G146" s="9" t="n">
        <v>2162766</v>
      </c>
    </row>
    <row r="147">
      <c r="A147" s="8" t="inlineStr">
        <is>
          <t>Net-assets reconciliation</t>
        </is>
      </c>
      <c r="B147" s="8" t="inlineStr">
        <is>
          <t>G7</t>
        </is>
      </c>
      <c r="C147" s="8" t="inlineStr">
        <is>
          <t>4. Net assets, beginning of year</t>
        </is>
      </c>
      <c r="D147" s="8" t="inlineStr">
        <is>
          <t>Part XI line 4</t>
        </is>
      </c>
      <c r="E147" s="8" t="inlineStr">
        <is>
          <t>part_xi_reconciliation.net_assets_boy</t>
        </is>
      </c>
      <c r="F147" s="8" t="inlineStr">
        <is>
          <t>high</t>
        </is>
      </c>
      <c r="G147" s="9" t="n">
        <v>2121281</v>
      </c>
    </row>
    <row r="148">
      <c r="A148" s="8" t="inlineStr">
        <is>
          <t>Net-assets reconciliation</t>
        </is>
      </c>
      <c r="B148" s="8" t="inlineStr">
        <is>
          <t>B8</t>
        </is>
      </c>
      <c r="C148" s="8" t="inlineStr">
        <is>
          <t>3. Revenue less expenses</t>
        </is>
      </c>
      <c r="D148" s="8" t="inlineStr">
        <is>
          <t>Part XI line 3</t>
        </is>
      </c>
      <c r="E148" s="8" t="inlineStr">
        <is>
          <t>part_xi_reconciliation.reconciliation_revenue_expenses</t>
        </is>
      </c>
      <c r="F148" s="8" t="inlineStr">
        <is>
          <t>high</t>
        </is>
      </c>
      <c r="G148" s="9" t="n">
        <v>-87707</v>
      </c>
    </row>
    <row r="149">
      <c r="A149" s="8" t="inlineStr">
        <is>
          <t>Net-assets reconciliation</t>
        </is>
      </c>
      <c r="B149" s="8" t="inlineStr">
        <is>
          <t>C8</t>
        </is>
      </c>
      <c r="C149" s="8" t="inlineStr">
        <is>
          <t>3. Revenue less expenses</t>
        </is>
      </c>
      <c r="D149" s="8" t="inlineStr">
        <is>
          <t>Part XI line 3</t>
        </is>
      </c>
      <c r="E149" s="8" t="inlineStr">
        <is>
          <t>part_xi_reconciliation.reconciliation_revenue_expenses</t>
        </is>
      </c>
      <c r="F149" s="8" t="inlineStr">
        <is>
          <t>high</t>
        </is>
      </c>
      <c r="G149" s="9" t="n">
        <v>-51745</v>
      </c>
    </row>
    <row r="150">
      <c r="A150" s="8" t="inlineStr">
        <is>
          <t>Net-assets reconciliation</t>
        </is>
      </c>
      <c r="B150" s="8" t="inlineStr">
        <is>
          <t>D8</t>
        </is>
      </c>
      <c r="C150" s="8" t="inlineStr">
        <is>
          <t>3. Revenue less expenses</t>
        </is>
      </c>
      <c r="D150" s="8" t="inlineStr">
        <is>
          <t>Part XI line 3</t>
        </is>
      </c>
      <c r="E150" s="8" t="inlineStr">
        <is>
          <t>part_xi_reconciliation.reconciliation_revenue_expenses</t>
        </is>
      </c>
      <c r="F150" s="8" t="inlineStr">
        <is>
          <t>high</t>
        </is>
      </c>
      <c r="G150" s="9" t="n">
        <v>-154377</v>
      </c>
    </row>
    <row r="151">
      <c r="A151" s="8" t="inlineStr">
        <is>
          <t>Net-assets reconciliation</t>
        </is>
      </c>
      <c r="B151" s="8" t="inlineStr">
        <is>
          <t>E8</t>
        </is>
      </c>
      <c r="C151" s="8" t="inlineStr">
        <is>
          <t>3. Revenue less expenses</t>
        </is>
      </c>
      <c r="D151" s="8" t="inlineStr">
        <is>
          <t>Part XI line 3</t>
        </is>
      </c>
      <c r="E151" s="8" t="inlineStr">
        <is>
          <t>part_xi_reconciliation.reconciliation_revenue_expenses</t>
        </is>
      </c>
      <c r="F151" s="8" t="inlineStr">
        <is>
          <t>high</t>
        </is>
      </c>
      <c r="G151" s="9" t="n">
        <v>-171324</v>
      </c>
    </row>
    <row r="152">
      <c r="A152" s="8" t="inlineStr">
        <is>
          <t>Net-assets reconciliation</t>
        </is>
      </c>
      <c r="B152" s="8" t="inlineStr">
        <is>
          <t>F8</t>
        </is>
      </c>
      <c r="C152" s="8" t="inlineStr">
        <is>
          <t>3. Revenue less expenses</t>
        </is>
      </c>
      <c r="D152" s="8" t="inlineStr">
        <is>
          <t>Part XI line 3</t>
        </is>
      </c>
      <c r="E152" s="8" t="inlineStr">
        <is>
          <t>part_xi_reconciliation.reconciliation_revenue_expenses</t>
        </is>
      </c>
      <c r="F152" s="8" t="inlineStr">
        <is>
          <t>high</t>
        </is>
      </c>
      <c r="G152" s="9" t="n">
        <v>-161540</v>
      </c>
    </row>
    <row r="153">
      <c r="A153" s="8" t="inlineStr">
        <is>
          <t>Net-assets reconciliation</t>
        </is>
      </c>
      <c r="B153" s="8" t="inlineStr">
        <is>
          <t>G8</t>
        </is>
      </c>
      <c r="C153" s="8" t="inlineStr">
        <is>
          <t>3. Revenue less expenses</t>
        </is>
      </c>
      <c r="D153" s="8" t="inlineStr">
        <is>
          <t>Part XI line 3</t>
        </is>
      </c>
      <c r="E153" s="8" t="inlineStr">
        <is>
          <t>part_xi_reconciliation.reconciliation_revenue_expenses</t>
        </is>
      </c>
      <c r="F153" s="8" t="inlineStr">
        <is>
          <t>high</t>
        </is>
      </c>
      <c r="G153" s="9" t="n">
        <v>-108544</v>
      </c>
    </row>
    <row r="154">
      <c r="A154" s="8" t="inlineStr">
        <is>
          <t>Net-assets reconciliation</t>
        </is>
      </c>
      <c r="B154" s="8" t="inlineStr">
        <is>
          <t>B10</t>
        </is>
      </c>
      <c r="C154" s="8" t="inlineStr">
        <is>
          <t>9. Other changes in net assets</t>
        </is>
      </c>
      <c r="D154" s="8" t="inlineStr">
        <is>
          <t>Part XI line 9</t>
        </is>
      </c>
      <c r="E154" s="8" t="inlineStr">
        <is>
          <t>part_xi_reconciliation.other_changes_net_assets</t>
        </is>
      </c>
      <c r="F154" s="8" t="inlineStr">
        <is>
          <t>high</t>
        </is>
      </c>
      <c r="G154" s="9" t="n">
        <v>123849</v>
      </c>
    </row>
    <row r="155">
      <c r="A155" s="8" t="inlineStr">
        <is>
          <t>Net-assets reconciliation</t>
        </is>
      </c>
      <c r="B155" s="8" t="inlineStr">
        <is>
          <t>C10</t>
        </is>
      </c>
      <c r="C155" s="8" t="inlineStr">
        <is>
          <t>9. Other changes in net assets</t>
        </is>
      </c>
      <c r="D155" s="8" t="inlineStr">
        <is>
          <t>Part XI line 9</t>
        </is>
      </c>
      <c r="E155" s="8" t="inlineStr">
        <is>
          <t>part_xi_reconciliation.other_changes_net_assets</t>
        </is>
      </c>
      <c r="F155" s="8" t="inlineStr">
        <is>
          <t>high</t>
        </is>
      </c>
      <c r="G155" s="9" t="n">
        <v>119878</v>
      </c>
    </row>
    <row r="156">
      <c r="A156" s="8" t="inlineStr">
        <is>
          <t>Net-assets reconciliation</t>
        </is>
      </c>
      <c r="B156" s="8" t="inlineStr">
        <is>
          <t>E10</t>
        </is>
      </c>
      <c r="C156" s="8" t="inlineStr">
        <is>
          <t>9. Other changes in net assets</t>
        </is>
      </c>
      <c r="D156" s="8" t="inlineStr">
        <is>
          <t>Part XI line 9</t>
        </is>
      </c>
      <c r="E156" s="8" t="inlineStr">
        <is>
          <t>part_xi_reconciliation.other_changes_net_assets</t>
        </is>
      </c>
      <c r="F156" s="8" t="inlineStr">
        <is>
          <t>high</t>
        </is>
      </c>
      <c r="G156" s="9" t="n">
        <v>120060</v>
      </c>
    </row>
    <row r="157">
      <c r="A157" s="8" t="inlineStr">
        <is>
          <t>Net-assets reconciliation</t>
        </is>
      </c>
      <c r="B157" s="8" t="inlineStr">
        <is>
          <t>F10</t>
        </is>
      </c>
      <c r="C157" s="8" t="inlineStr">
        <is>
          <t>9. Other changes in net assets</t>
        </is>
      </c>
      <c r="D157" s="8" t="inlineStr">
        <is>
          <t>Part XI line 9</t>
        </is>
      </c>
      <c r="E157" s="8" t="inlineStr">
        <is>
          <t>part_xi_reconciliation.other_changes_net_assets</t>
        </is>
      </c>
      <c r="F157" s="8" t="inlineStr">
        <is>
          <t>high</t>
        </is>
      </c>
      <c r="G157" s="9" t="n">
        <v>120055</v>
      </c>
    </row>
    <row r="158">
      <c r="A158" s="8" t="inlineStr">
        <is>
          <t>Net-assets reconciliation</t>
        </is>
      </c>
      <c r="B158" s="8" t="inlineStr">
        <is>
          <t>G10</t>
        </is>
      </c>
      <c r="C158" s="8" t="inlineStr">
        <is>
          <t>9. Other changes in net assets</t>
        </is>
      </c>
      <c r="D158" s="8" t="inlineStr">
        <is>
          <t>Part XI line 9</t>
        </is>
      </c>
      <c r="E158" s="8" t="inlineStr">
        <is>
          <t>part_xi_reconciliation.other_changes_net_assets</t>
        </is>
      </c>
      <c r="F158" s="8" t="inlineStr">
        <is>
          <t>high</t>
        </is>
      </c>
      <c r="G158" s="9" t="n">
        <v>129060</v>
      </c>
    </row>
    <row r="160">
      <c r="A160" s="44" t="inlineStr">
        <is>
          <t>C. Tie-out checks (filed vs computed; any nonzero variance is flagged red)</t>
        </is>
      </c>
      <c r="B160" s="7" t="n"/>
      <c r="C160" s="7" t="n"/>
      <c r="D160" s="7" t="n"/>
      <c r="E160" s="7" t="n"/>
      <c r="F160" s="7" t="n"/>
      <c r="G160" s="7" t="n"/>
      <c r="H160" s="7" t="n"/>
      <c r="I160" s="7" t="n"/>
      <c r="J160" s="7" t="n"/>
      <c r="K160" s="7" t="n"/>
    </row>
    <row r="161">
      <c r="A161" s="5" t="inlineStr">
        <is>
          <t>Tab</t>
        </is>
      </c>
      <c r="B161" s="5" t="inlineStr">
        <is>
          <t>Check</t>
        </is>
      </c>
      <c r="C161" s="5" t="inlineStr">
        <is>
          <t>Fiscal year</t>
        </is>
      </c>
      <c r="D161" s="5" t="inlineStr">
        <is>
          <t>Filed</t>
        </is>
      </c>
      <c r="E161" s="5" t="inlineStr">
        <is>
          <t>Computed</t>
        </is>
      </c>
      <c r="F161" s="5" t="inlineStr">
        <is>
          <t>Variance (computed - filed)</t>
        </is>
      </c>
    </row>
    <row r="162">
      <c r="A162" s="18" t="inlineStr">
        <is>
          <t>Revenue (detail)</t>
        </is>
      </c>
      <c r="B162" s="18" t="inlineStr">
        <is>
          <t>12. Total revenue</t>
        </is>
      </c>
      <c r="C162" s="18" t="inlineStr">
        <is>
          <t>FY2020</t>
        </is>
      </c>
      <c r="D162" s="9" t="n">
        <v>550804</v>
      </c>
      <c r="E162" s="9">
        <f>'Revenue (detail)'!B13</f>
        <v/>
      </c>
      <c r="F162" s="9">
        <f>E162-D162</f>
        <v/>
      </c>
    </row>
    <row r="163">
      <c r="A163" s="18" t="inlineStr">
        <is>
          <t>Revenue (detail)</t>
        </is>
      </c>
      <c r="B163" s="18" t="inlineStr">
        <is>
          <t>12. Total revenue</t>
        </is>
      </c>
      <c r="C163" s="18" t="inlineStr">
        <is>
          <t>FY2021</t>
        </is>
      </c>
      <c r="D163" s="9" t="n">
        <v>614919</v>
      </c>
      <c r="E163" s="9">
        <f>'Revenue (detail)'!C13</f>
        <v/>
      </c>
      <c r="F163" s="9">
        <f>E163-D163</f>
        <v/>
      </c>
    </row>
    <row r="164">
      <c r="A164" s="18" t="inlineStr">
        <is>
          <t>Revenue (detail)</t>
        </is>
      </c>
      <c r="B164" s="18" t="inlineStr">
        <is>
          <t>12. Total revenue</t>
        </is>
      </c>
      <c r="C164" s="18" t="inlineStr">
        <is>
          <t>FY2022</t>
        </is>
      </c>
      <c r="D164" s="9" t="n">
        <v>622008</v>
      </c>
      <c r="E164" s="9">
        <f>'Revenue (detail)'!D13</f>
        <v/>
      </c>
      <c r="F164" s="9">
        <f>E164-D164</f>
        <v/>
      </c>
    </row>
    <row r="165">
      <c r="A165" s="18" t="inlineStr">
        <is>
          <t>Revenue (detail)</t>
        </is>
      </c>
      <c r="B165" s="18" t="inlineStr">
        <is>
          <t>12. Total revenue</t>
        </is>
      </c>
      <c r="C165" s="18" t="inlineStr">
        <is>
          <t>FY2023</t>
        </is>
      </c>
      <c r="D165" s="9" t="n">
        <v>504438</v>
      </c>
      <c r="E165" s="9">
        <f>'Revenue (detail)'!E13</f>
        <v/>
      </c>
      <c r="F165" s="9">
        <f>E165-D165</f>
        <v/>
      </c>
    </row>
    <row r="166">
      <c r="A166" s="18" t="inlineStr">
        <is>
          <t>Revenue (detail)</t>
        </is>
      </c>
      <c r="B166" s="18" t="inlineStr">
        <is>
          <t>12. Total revenue</t>
        </is>
      </c>
      <c r="C166" s="18" t="inlineStr">
        <is>
          <t>FY2024</t>
        </is>
      </c>
      <c r="D166" s="9" t="n">
        <v>688756</v>
      </c>
      <c r="E166" s="9">
        <f>'Revenue (detail)'!F13</f>
        <v/>
      </c>
      <c r="F166" s="9">
        <f>E166-D166</f>
        <v/>
      </c>
    </row>
    <row r="167">
      <c r="A167" s="18" t="inlineStr">
        <is>
          <t>Revenue (detail)</t>
        </is>
      </c>
      <c r="B167" s="18" t="inlineStr">
        <is>
          <t>12. Total revenue</t>
        </is>
      </c>
      <c r="C167" s="18" t="inlineStr">
        <is>
          <t>FY2025</t>
        </is>
      </c>
      <c r="D167" s="9" t="n">
        <v>740896</v>
      </c>
      <c r="E167" s="9">
        <f>'Revenue (detail)'!G13</f>
        <v/>
      </c>
      <c r="F167" s="9">
        <f>E167-D167</f>
        <v/>
      </c>
    </row>
    <row r="168">
      <c r="A168" s="18" t="inlineStr">
        <is>
          <t>Revenue (detail)</t>
        </is>
      </c>
      <c r="B168" s="18" t="inlineStr">
        <is>
          <t>2g program service revenue = sum of lines 2a-2f (FY2025)</t>
        </is>
      </c>
      <c r="C168" s="18" t="inlineStr">
        <is>
          <t>FY2025</t>
        </is>
      </c>
      <c r="D168" s="9" t="n">
        <v>737231</v>
      </c>
      <c r="E168" s="9">
        <f>SUM('Revenue (detail)'!C17:C20)</f>
        <v/>
      </c>
      <c r="F168" s="9">
        <f>E168-D168</f>
        <v/>
      </c>
    </row>
    <row r="169">
      <c r="A169" s="18" t="inlineStr">
        <is>
          <t>Operating expenses (detail)</t>
        </is>
      </c>
      <c r="B169" s="18" t="inlineStr">
        <is>
          <t>25. Total functional expenses</t>
        </is>
      </c>
      <c r="C169" s="18" t="inlineStr">
        <is>
          <t>FY2020</t>
        </is>
      </c>
      <c r="D169" s="9" t="n">
        <v>638511</v>
      </c>
      <c r="E169" s="9">
        <f>'Operating expenses (detail)'!B23</f>
        <v/>
      </c>
      <c r="F169" s="9">
        <f>E169-D169</f>
        <v/>
      </c>
    </row>
    <row r="170">
      <c r="A170" s="18" t="inlineStr">
        <is>
          <t>Operating expenses (detail)</t>
        </is>
      </c>
      <c r="B170" s="18" t="inlineStr">
        <is>
          <t>25. Total functional expenses</t>
        </is>
      </c>
      <c r="C170" s="18" t="inlineStr">
        <is>
          <t>FY2021</t>
        </is>
      </c>
      <c r="D170" s="9" t="n">
        <v>666664</v>
      </c>
      <c r="E170" s="9">
        <f>'Operating expenses (detail)'!C23</f>
        <v/>
      </c>
      <c r="F170" s="9">
        <f>E170-D170</f>
        <v/>
      </c>
    </row>
    <row r="171">
      <c r="A171" s="18" t="inlineStr">
        <is>
          <t>Operating expenses (detail)</t>
        </is>
      </c>
      <c r="B171" s="18" t="inlineStr">
        <is>
          <t>25. Total functional expenses</t>
        </is>
      </c>
      <c r="C171" s="18" t="inlineStr">
        <is>
          <t>FY2022</t>
        </is>
      </c>
      <c r="D171" s="9" t="n">
        <v>776385</v>
      </c>
      <c r="E171" s="9">
        <f>'Operating expenses (detail)'!D23</f>
        <v/>
      </c>
      <c r="F171" s="9">
        <f>E171-D171</f>
        <v/>
      </c>
    </row>
    <row r="172">
      <c r="A172" s="18" t="inlineStr">
        <is>
          <t>Operating expenses (detail)</t>
        </is>
      </c>
      <c r="B172" s="18" t="inlineStr">
        <is>
          <t>25. Total functional expenses</t>
        </is>
      </c>
      <c r="C172" s="18" t="inlineStr">
        <is>
          <t>FY2023</t>
        </is>
      </c>
      <c r="D172" s="9" t="n">
        <v>675762</v>
      </c>
      <c r="E172" s="9">
        <f>'Operating expenses (detail)'!E23</f>
        <v/>
      </c>
      <c r="F172" s="9">
        <f>E172-D172</f>
        <v/>
      </c>
    </row>
    <row r="173">
      <c r="A173" s="18" t="inlineStr">
        <is>
          <t>Operating expenses (detail)</t>
        </is>
      </c>
      <c r="B173" s="18" t="inlineStr">
        <is>
          <t>25. Total functional expenses</t>
        </is>
      </c>
      <c r="C173" s="18" t="inlineStr">
        <is>
          <t>FY2024</t>
        </is>
      </c>
      <c r="D173" s="9" t="n">
        <v>850296</v>
      </c>
      <c r="E173" s="9">
        <f>'Operating expenses (detail)'!F23</f>
        <v/>
      </c>
      <c r="F173" s="9">
        <f>E173-D173</f>
        <v/>
      </c>
    </row>
    <row r="174">
      <c r="A174" s="18" t="inlineStr">
        <is>
          <t>Operating expenses (detail)</t>
        </is>
      </c>
      <c r="B174" s="18" t="inlineStr">
        <is>
          <t>25. Total functional expenses</t>
        </is>
      </c>
      <c r="C174" s="18" t="inlineStr">
        <is>
          <t>FY2025</t>
        </is>
      </c>
      <c r="D174" s="9" t="n">
        <v>849440</v>
      </c>
      <c r="E174" s="9">
        <f>'Operating expenses (detail)'!G23</f>
        <v/>
      </c>
      <c r="F174" s="9">
        <f>E174-D174</f>
        <v/>
      </c>
    </row>
    <row r="175">
      <c r="A175" s="18" t="inlineStr">
        <is>
          <t>Operating expenses (detail)</t>
        </is>
      </c>
      <c r="B175" s="18" t="inlineStr">
        <is>
          <t>Part IX column split: col A = B + C + D (FY2025)</t>
        </is>
      </c>
      <c r="C175" s="18" t="inlineStr">
        <is>
          <t>FY2025</t>
        </is>
      </c>
      <c r="D175" s="9">
        <f>'Operating expenses (detail)'!B30</f>
        <v/>
      </c>
      <c r="E175" s="9">
        <f>'Operating expenses (detail)'!C30+'Operating expenses (detail)'!D30+'Operating expenses (detail)'!E30</f>
        <v/>
      </c>
      <c r="F175" s="9">
        <f>E175-D175</f>
        <v/>
      </c>
    </row>
    <row r="176">
      <c r="A176" s="18" t="inlineStr">
        <is>
          <t>Balance sheet (detail)</t>
        </is>
      </c>
      <c r="B176" s="18" t="inlineStr">
        <is>
          <t>16. Total assets</t>
        </is>
      </c>
      <c r="C176" s="18" t="inlineStr">
        <is>
          <t>FY2020</t>
        </is>
      </c>
      <c r="D176" s="9" t="n">
        <v>2314486</v>
      </c>
      <c r="E176" s="9">
        <f>'Balance sheet (detail)'!B14</f>
        <v/>
      </c>
      <c r="F176" s="9">
        <f>E176-D176</f>
        <v/>
      </c>
    </row>
    <row r="177">
      <c r="A177" s="18" t="inlineStr">
        <is>
          <t>Balance sheet (detail)</t>
        </is>
      </c>
      <c r="B177" s="18" t="inlineStr">
        <is>
          <t>16. Total assets</t>
        </is>
      </c>
      <c r="C177" s="18" t="inlineStr">
        <is>
          <t>FY2021</t>
        </is>
      </c>
      <c r="D177" s="9" t="n">
        <v>2338149</v>
      </c>
      <c r="E177" s="9">
        <f>'Balance sheet (detail)'!C14</f>
        <v/>
      </c>
      <c r="F177" s="9">
        <f>E177-D177</f>
        <v/>
      </c>
    </row>
    <row r="178">
      <c r="A178" s="18" t="inlineStr">
        <is>
          <t>Balance sheet (detail)</t>
        </is>
      </c>
      <c r="B178" s="18" t="inlineStr">
        <is>
          <t>16. Total assets</t>
        </is>
      </c>
      <c r="C178" s="18" t="inlineStr">
        <is>
          <t>FY2022</t>
        </is>
      </c>
      <c r="D178" s="9" t="n">
        <v>2298858</v>
      </c>
      <c r="E178" s="9">
        <f>'Balance sheet (detail)'!D14</f>
        <v/>
      </c>
      <c r="F178" s="9">
        <f>E178-D178</f>
        <v/>
      </c>
    </row>
    <row r="179">
      <c r="A179" s="18" t="inlineStr">
        <is>
          <t>Balance sheet (detail)</t>
        </is>
      </c>
      <c r="B179" s="18" t="inlineStr">
        <is>
          <t>16. Total assets</t>
        </is>
      </c>
      <c r="C179" s="18" t="inlineStr">
        <is>
          <t>FY2023</t>
        </is>
      </c>
      <c r="D179" s="9" t="n">
        <v>2274179</v>
      </c>
      <c r="E179" s="9">
        <f>'Balance sheet (detail)'!E14</f>
        <v/>
      </c>
      <c r="F179" s="9">
        <f>E179-D179</f>
        <v/>
      </c>
    </row>
    <row r="180">
      <c r="A180" s="18" t="inlineStr">
        <is>
          <t>Balance sheet (detail)</t>
        </is>
      </c>
      <c r="B180" s="18" t="inlineStr">
        <is>
          <t>16. Total assets</t>
        </is>
      </c>
      <c r="C180" s="18" t="inlineStr">
        <is>
          <t>FY2024</t>
        </is>
      </c>
      <c r="D180" s="9" t="n">
        <v>2320111</v>
      </c>
      <c r="E180" s="9">
        <f>'Balance sheet (detail)'!F14</f>
        <v/>
      </c>
      <c r="F180" s="9">
        <f>E180-D180</f>
        <v/>
      </c>
    </row>
    <row r="181">
      <c r="A181" s="18" t="inlineStr">
        <is>
          <t>Balance sheet (detail)</t>
        </is>
      </c>
      <c r="B181" s="18" t="inlineStr">
        <is>
          <t>16. Total assets</t>
        </is>
      </c>
      <c r="C181" s="18" t="inlineStr">
        <is>
          <t>FY2025</t>
        </is>
      </c>
      <c r="D181" s="9" t="n">
        <v>2312922</v>
      </c>
      <c r="E181" s="9">
        <f>'Balance sheet (detail)'!G14</f>
        <v/>
      </c>
      <c r="F181" s="9">
        <f>E181-D181</f>
        <v/>
      </c>
    </row>
    <row r="182">
      <c r="A182" s="18" t="inlineStr">
        <is>
          <t>Balance sheet (detail)</t>
        </is>
      </c>
      <c r="B182" s="18" t="inlineStr">
        <is>
          <t>26. Total liabilities</t>
        </is>
      </c>
      <c r="C182" s="18" t="inlineStr">
        <is>
          <t>FY2020</t>
        </is>
      </c>
      <c r="D182" s="9" t="n">
        <v>136442</v>
      </c>
      <c r="E182" s="9">
        <f>'Balance sheet (detail)'!B18</f>
        <v/>
      </c>
      <c r="F182" s="9">
        <f>E182-D182</f>
        <v/>
      </c>
    </row>
    <row r="183">
      <c r="A183" s="18" t="inlineStr">
        <is>
          <t>Balance sheet (detail)</t>
        </is>
      </c>
      <c r="B183" s="18" t="inlineStr">
        <is>
          <t>26. Total liabilities</t>
        </is>
      </c>
      <c r="C183" s="18" t="inlineStr">
        <is>
          <t>FY2021</t>
        </is>
      </c>
      <c r="D183" s="9" t="n">
        <v>91972</v>
      </c>
      <c r="E183" s="9">
        <f>'Balance sheet (detail)'!C18</f>
        <v/>
      </c>
      <c r="F183" s="9">
        <f>E183-D183</f>
        <v/>
      </c>
    </row>
    <row r="184">
      <c r="A184" s="18" t="inlineStr">
        <is>
          <t>Balance sheet (detail)</t>
        </is>
      </c>
      <c r="B184" s="18" t="inlineStr">
        <is>
          <t>26. Total liabilities</t>
        </is>
      </c>
      <c r="C184" s="18" t="inlineStr">
        <is>
          <t>FY2022</t>
        </is>
      </c>
      <c r="D184" s="9" t="n">
        <v>84828</v>
      </c>
      <c r="E184" s="9">
        <f>'Balance sheet (detail)'!D18</f>
        <v/>
      </c>
      <c r="F184" s="9">
        <f>E184-D184</f>
        <v/>
      </c>
    </row>
    <row r="185">
      <c r="A185" s="18" t="inlineStr">
        <is>
          <t>Balance sheet (detail)</t>
        </is>
      </c>
      <c r="B185" s="18" t="inlineStr">
        <is>
          <t>26. Total liabilities</t>
        </is>
      </c>
      <c r="C185" s="18" t="inlineStr">
        <is>
          <t>FY2023</t>
        </is>
      </c>
      <c r="D185" s="9" t="n">
        <v>111413</v>
      </c>
      <c r="E185" s="9">
        <f>'Balance sheet (detail)'!E18</f>
        <v/>
      </c>
      <c r="F185" s="9">
        <f>E185-D185</f>
        <v/>
      </c>
    </row>
    <row r="186">
      <c r="A186" s="18" t="inlineStr">
        <is>
          <t>Balance sheet (detail)</t>
        </is>
      </c>
      <c r="B186" s="18" t="inlineStr">
        <is>
          <t>26. Total liabilities</t>
        </is>
      </c>
      <c r="C186" s="18" t="inlineStr">
        <is>
          <t>FY2024</t>
        </is>
      </c>
      <c r="D186" s="9" t="n">
        <v>198830</v>
      </c>
      <c r="E186" s="9">
        <f>'Balance sheet (detail)'!F18</f>
        <v/>
      </c>
      <c r="F186" s="9">
        <f>E186-D186</f>
        <v/>
      </c>
    </row>
    <row r="187">
      <c r="A187" s="18" t="inlineStr">
        <is>
          <t>Balance sheet (detail)</t>
        </is>
      </c>
      <c r="B187" s="18" t="inlineStr">
        <is>
          <t>26. Total liabilities</t>
        </is>
      </c>
      <c r="C187" s="18" t="inlineStr">
        <is>
          <t>FY2025</t>
        </is>
      </c>
      <c r="D187" s="9" t="n">
        <v>171125</v>
      </c>
      <c r="E187" s="9">
        <f>'Balance sheet (detail)'!G18</f>
        <v/>
      </c>
      <c r="F187" s="9">
        <f>E187-D187</f>
        <v/>
      </c>
    </row>
    <row r="188">
      <c r="A188" s="18" t="inlineStr">
        <is>
          <t>Balance sheet (detail)</t>
        </is>
      </c>
      <c r="B188" s="18" t="inlineStr">
        <is>
          <t>32. Total net assets / fund balances</t>
        </is>
      </c>
      <c r="C188" s="18" t="inlineStr">
        <is>
          <t>FY2020</t>
        </is>
      </c>
      <c r="D188" s="9" t="n">
        <v>2178044</v>
      </c>
      <c r="E188" s="9">
        <f>'Balance sheet (detail)'!B24</f>
        <v/>
      </c>
      <c r="F188" s="9">
        <f>E188-D188</f>
        <v/>
      </c>
    </row>
    <row r="189">
      <c r="A189" s="18" t="inlineStr">
        <is>
          <t>Balance sheet (detail)</t>
        </is>
      </c>
      <c r="B189" s="18" t="inlineStr">
        <is>
          <t>32. Total net assets / fund balances</t>
        </is>
      </c>
      <c r="C189" s="18" t="inlineStr">
        <is>
          <t>FY2021</t>
        </is>
      </c>
      <c r="D189" s="9" t="n">
        <v>2246177</v>
      </c>
      <c r="E189" s="9">
        <f>'Balance sheet (detail)'!C24</f>
        <v/>
      </c>
      <c r="F189" s="9">
        <f>E189-D189</f>
        <v/>
      </c>
    </row>
    <row r="190">
      <c r="A190" s="18" t="inlineStr">
        <is>
          <t>Balance sheet (detail)</t>
        </is>
      </c>
      <c r="B190" s="18" t="inlineStr">
        <is>
          <t>32. Total net assets / fund balances</t>
        </is>
      </c>
      <c r="C190" s="18" t="inlineStr">
        <is>
          <t>FY2022</t>
        </is>
      </c>
      <c r="D190" s="9" t="n">
        <v>2214030</v>
      </c>
      <c r="E190" s="9">
        <f>'Balance sheet (detail)'!D24</f>
        <v/>
      </c>
      <c r="F190" s="9">
        <f>E190-D190</f>
        <v/>
      </c>
    </row>
    <row r="191">
      <c r="A191" s="18" t="inlineStr">
        <is>
          <t>Balance sheet (detail)</t>
        </is>
      </c>
      <c r="B191" s="18" t="inlineStr">
        <is>
          <t>32. Total net assets / fund balances</t>
        </is>
      </c>
      <c r="C191" s="18" t="inlineStr">
        <is>
          <t>FY2023</t>
        </is>
      </c>
      <c r="D191" s="9" t="n">
        <v>2162766</v>
      </c>
      <c r="E191" s="9">
        <f>'Balance sheet (detail)'!E24</f>
        <v/>
      </c>
      <c r="F191" s="9">
        <f>E191-D191</f>
        <v/>
      </c>
    </row>
    <row r="192">
      <c r="A192" s="18" t="inlineStr">
        <is>
          <t>Balance sheet (detail)</t>
        </is>
      </c>
      <c r="B192" s="18" t="inlineStr">
        <is>
          <t>32. Total net assets / fund balances</t>
        </is>
      </c>
      <c r="C192" s="18" t="inlineStr">
        <is>
          <t>FY2024</t>
        </is>
      </c>
      <c r="D192" s="9" t="n">
        <v>2121281</v>
      </c>
      <c r="E192" s="9">
        <f>'Balance sheet (detail)'!F24</f>
        <v/>
      </c>
      <c r="F192" s="9">
        <f>E192-D192</f>
        <v/>
      </c>
    </row>
    <row r="193">
      <c r="A193" s="18" t="inlineStr">
        <is>
          <t>Balance sheet (detail)</t>
        </is>
      </c>
      <c r="B193" s="18" t="inlineStr">
        <is>
          <t>32. Total net assets / fund balances</t>
        </is>
      </c>
      <c r="C193" s="18" t="inlineStr">
        <is>
          <t>FY2025</t>
        </is>
      </c>
      <c r="D193" s="9" t="n">
        <v>2141797</v>
      </c>
      <c r="E193" s="9">
        <f>'Balance sheet (detail)'!G24</f>
        <v/>
      </c>
      <c r="F193" s="9">
        <f>E193-D193</f>
        <v/>
      </c>
    </row>
    <row r="194">
      <c r="A194" s="18" t="inlineStr">
        <is>
          <t>Balance sheet (detail)</t>
        </is>
      </c>
      <c r="B194" s="18" t="inlineStr">
        <is>
          <t>Balance sheet identity: line 16 = line 26 + line 32 (EOY)</t>
        </is>
      </c>
      <c r="C194" s="18" t="inlineStr">
        <is>
          <t>FY2020</t>
        </is>
      </c>
      <c r="D194" s="9">
        <f>'Balance sheet (detail)'!B14</f>
        <v/>
      </c>
      <c r="E194" s="9">
        <f>SUM('Balance sheet (detail)'!B18,'Balance sheet (detail)'!B24)</f>
        <v/>
      </c>
      <c r="F194" s="9">
        <f>E194-D194</f>
        <v/>
      </c>
    </row>
    <row r="195">
      <c r="A195" s="18" t="inlineStr">
        <is>
          <t>Balance sheet (detail)</t>
        </is>
      </c>
      <c r="B195" s="18" t="inlineStr">
        <is>
          <t>Balance sheet identity: line 16 = line 26 + line 32 (EOY)</t>
        </is>
      </c>
      <c r="C195" s="18" t="inlineStr">
        <is>
          <t>FY2021</t>
        </is>
      </c>
      <c r="D195" s="9">
        <f>'Balance sheet (detail)'!C14</f>
        <v/>
      </c>
      <c r="E195" s="9">
        <f>SUM('Balance sheet (detail)'!C18,'Balance sheet (detail)'!C24)</f>
        <v/>
      </c>
      <c r="F195" s="9">
        <f>E195-D195</f>
        <v/>
      </c>
    </row>
    <row r="196">
      <c r="A196" s="18" t="inlineStr">
        <is>
          <t>Balance sheet (detail)</t>
        </is>
      </c>
      <c r="B196" s="18" t="inlineStr">
        <is>
          <t>Balance sheet identity: line 16 = line 26 + line 32 (EOY)</t>
        </is>
      </c>
      <c r="C196" s="18" t="inlineStr">
        <is>
          <t>FY2022</t>
        </is>
      </c>
      <c r="D196" s="9">
        <f>'Balance sheet (detail)'!D14</f>
        <v/>
      </c>
      <c r="E196" s="9">
        <f>SUM('Balance sheet (detail)'!D18,'Balance sheet (detail)'!D24)</f>
        <v/>
      </c>
      <c r="F196" s="9">
        <f>E196-D196</f>
        <v/>
      </c>
    </row>
    <row r="197">
      <c r="A197" s="18" t="inlineStr">
        <is>
          <t>Balance sheet (detail)</t>
        </is>
      </c>
      <c r="B197" s="18" t="inlineStr">
        <is>
          <t>Balance sheet identity: line 16 = line 26 + line 32 (EOY)</t>
        </is>
      </c>
      <c r="C197" s="18" t="inlineStr">
        <is>
          <t>FY2023</t>
        </is>
      </c>
      <c r="D197" s="9">
        <f>'Balance sheet (detail)'!E14</f>
        <v/>
      </c>
      <c r="E197" s="9">
        <f>SUM('Balance sheet (detail)'!E18,'Balance sheet (detail)'!E24)</f>
        <v/>
      </c>
      <c r="F197" s="9">
        <f>E197-D197</f>
        <v/>
      </c>
    </row>
    <row r="198">
      <c r="A198" s="18" t="inlineStr">
        <is>
          <t>Balance sheet (detail)</t>
        </is>
      </c>
      <c r="B198" s="18" t="inlineStr">
        <is>
          <t>Balance sheet identity: line 16 = line 26 + line 32 (EOY)</t>
        </is>
      </c>
      <c r="C198" s="18" t="inlineStr">
        <is>
          <t>FY2024</t>
        </is>
      </c>
      <c r="D198" s="9">
        <f>'Balance sheet (detail)'!F14</f>
        <v/>
      </c>
      <c r="E198" s="9">
        <f>SUM('Balance sheet (detail)'!F18,'Balance sheet (detail)'!F24)</f>
        <v/>
      </c>
      <c r="F198" s="9">
        <f>E198-D198</f>
        <v/>
      </c>
    </row>
    <row r="199">
      <c r="A199" s="18" t="inlineStr">
        <is>
          <t>Balance sheet (detail)</t>
        </is>
      </c>
      <c r="B199" s="18" t="inlineStr">
        <is>
          <t>Balance sheet identity: line 16 = line 26 + line 32 (EOY)</t>
        </is>
      </c>
      <c r="C199" s="18" t="inlineStr">
        <is>
          <t>FY2025</t>
        </is>
      </c>
      <c r="D199" s="9">
        <f>'Balance sheet (detail)'!G14</f>
        <v/>
      </c>
      <c r="E199" s="9">
        <f>SUM('Balance sheet (detail)'!G18,'Balance sheet (detail)'!G24)</f>
        <v/>
      </c>
      <c r="F199" s="9">
        <f>E199-D199</f>
        <v/>
      </c>
    </row>
    <row r="200">
      <c r="A200" s="18" t="inlineStr">
        <is>
          <t>Net-assets reconciliation</t>
        </is>
      </c>
      <c r="B200" s="18" t="inlineStr">
        <is>
          <t>10. Net assets, end of year</t>
        </is>
      </c>
      <c r="C200" s="18" t="inlineStr">
        <is>
          <t>FY2020</t>
        </is>
      </c>
      <c r="D200" s="9" t="n">
        <v>2178044</v>
      </c>
      <c r="E200" s="9">
        <f>'Net-assets reconciliation'!B11</f>
        <v/>
      </c>
      <c r="F200" s="9">
        <f>E200-D200</f>
        <v/>
      </c>
    </row>
    <row r="201">
      <c r="A201" s="18" t="inlineStr">
        <is>
          <t>Net-assets reconciliation</t>
        </is>
      </c>
      <c r="B201" s="18" t="inlineStr">
        <is>
          <t>10. Net assets, end of year</t>
        </is>
      </c>
      <c r="C201" s="18" t="inlineStr">
        <is>
          <t>FY2021</t>
        </is>
      </c>
      <c r="D201" s="9" t="n">
        <v>2246177</v>
      </c>
      <c r="E201" s="9">
        <f>'Net-assets reconciliation'!C11</f>
        <v/>
      </c>
      <c r="F201" s="9">
        <f>E201-D201</f>
        <v/>
      </c>
    </row>
    <row r="202">
      <c r="A202" s="18" t="inlineStr">
        <is>
          <t>Net-assets reconciliation</t>
        </is>
      </c>
      <c r="B202" s="18" t="inlineStr">
        <is>
          <t>10. Net assets, end of year</t>
        </is>
      </c>
      <c r="C202" s="18" t="inlineStr">
        <is>
          <t>FY2022</t>
        </is>
      </c>
      <c r="D202" s="9" t="n">
        <v>2214030</v>
      </c>
      <c r="E202" s="9">
        <f>'Net-assets reconciliation'!D11</f>
        <v/>
      </c>
      <c r="F202" s="9">
        <f>E202-D202</f>
        <v/>
      </c>
    </row>
    <row r="203">
      <c r="A203" s="18" t="inlineStr">
        <is>
          <t>Net-assets reconciliation</t>
        </is>
      </c>
      <c r="B203" s="18" t="inlineStr">
        <is>
          <t>10. Net assets, end of year</t>
        </is>
      </c>
      <c r="C203" s="18" t="inlineStr">
        <is>
          <t>FY2023</t>
        </is>
      </c>
      <c r="D203" s="9" t="n">
        <v>2162766</v>
      </c>
      <c r="E203" s="9">
        <f>'Net-assets reconciliation'!E11</f>
        <v/>
      </c>
      <c r="F203" s="9">
        <f>E203-D203</f>
        <v/>
      </c>
    </row>
    <row r="204">
      <c r="A204" s="18" t="inlineStr">
        <is>
          <t>Net-assets reconciliation</t>
        </is>
      </c>
      <c r="B204" s="18" t="inlineStr">
        <is>
          <t>10. Net assets, end of year</t>
        </is>
      </c>
      <c r="C204" s="18" t="inlineStr">
        <is>
          <t>FY2024</t>
        </is>
      </c>
      <c r="D204" s="9" t="n">
        <v>2121281</v>
      </c>
      <c r="E204" s="9">
        <f>'Net-assets reconciliation'!F11</f>
        <v/>
      </c>
      <c r="F204" s="9">
        <f>E204-D204</f>
        <v/>
      </c>
    </row>
    <row r="205">
      <c r="A205" s="18" t="inlineStr">
        <is>
          <t>Net-assets reconciliation</t>
        </is>
      </c>
      <c r="B205" s="18" t="inlineStr">
        <is>
          <t>10. Net assets, end of year</t>
        </is>
      </c>
      <c r="C205" s="18" t="inlineStr">
        <is>
          <t>FY2025</t>
        </is>
      </c>
      <c r="D205" s="9" t="n">
        <v>2141797</v>
      </c>
      <c r="E205" s="9">
        <f>'Net-assets reconciliation'!G11</f>
        <v/>
      </c>
      <c r="F205" s="9">
        <f>E205-D205</f>
        <v/>
      </c>
    </row>
    <row r="207">
      <c r="A207" s="44" t="inlineStr">
        <is>
          <t>D. Preparer / auditor trail (one row per fiscal year, as filed)</t>
        </is>
      </c>
      <c r="B207" s="7" t="n"/>
      <c r="C207" s="7" t="n"/>
      <c r="D207" s="7" t="n"/>
      <c r="E207" s="7" t="n"/>
      <c r="F207" s="7" t="n"/>
      <c r="G207" s="7" t="n"/>
      <c r="H207" s="7" t="n"/>
      <c r="I207" s="7" t="n"/>
      <c r="J207" s="7" t="n"/>
      <c r="K207" s="7" t="n"/>
    </row>
    <row r="208">
      <c r="A208" s="5" t="inlineStr">
        <is>
          <t>Fiscal year</t>
        </is>
      </c>
      <c r="B208" s="5" t="inlineStr">
        <is>
          <t>Paid preparer</t>
        </is>
      </c>
      <c r="C208" s="5" t="inlineStr">
        <is>
          <t>Preparer firm</t>
        </is>
      </c>
      <c r="D208" s="5" t="inlineStr">
        <is>
          <t>Independent auditor</t>
        </is>
      </c>
      <c r="E208" s="5" t="inlineStr">
        <is>
          <t>Citation</t>
        </is>
      </c>
    </row>
    <row r="209" ht="42" customHeight="1">
      <c r="A209" s="45" t="inlineStr">
        <is>
          <t>FY2020</t>
        </is>
      </c>
      <c r="B209" s="8" t="inlineStr">
        <is>
          <t>Laurie C Denger EA</t>
        </is>
      </c>
      <c r="C209" s="8" t="inlineStr">
        <is>
          <t>LAURIE DENGER &amp; ASSOCIATES INC</t>
        </is>
      </c>
      <c r="D209" s="49" t="inlineStr">
        <is>
          <t>not reported</t>
        </is>
      </c>
      <c r="E209" s="23" t="inlineStr">
        <is>
          <t>Form 990 Return Header, Paid Preparer block (return_header.preparer_person_name / preparer_firm_name); auditor: Part XII line 2 reports audited financial statements but does not name the firm.</t>
        </is>
      </c>
    </row>
    <row r="210" ht="42" customHeight="1">
      <c r="A210" s="45" t="inlineStr">
        <is>
          <t>FY2021</t>
        </is>
      </c>
      <c r="B210" s="8" t="inlineStr">
        <is>
          <t>Laurie C Denger EA</t>
        </is>
      </c>
      <c r="C210" s="8" t="inlineStr">
        <is>
          <t>LAURIE DENGER &amp; ASSOCIATES INC</t>
        </is>
      </c>
      <c r="D210" s="49" t="inlineStr">
        <is>
          <t>not reported</t>
        </is>
      </c>
      <c r="E210" s="23" t="inlineStr">
        <is>
          <t>Form 990 Return Header, Paid Preparer block (return_header.preparer_person_name / preparer_firm_name); auditor: Part XII line 2 reports audited financial statements but does not name the firm.</t>
        </is>
      </c>
    </row>
    <row r="211" ht="42" customHeight="1">
      <c r="A211" s="45" t="inlineStr">
        <is>
          <t>FY2022</t>
        </is>
      </c>
      <c r="B211" s="8" t="inlineStr">
        <is>
          <t>Laurie C Denger EA</t>
        </is>
      </c>
      <c r="C211" s="8" t="inlineStr">
        <is>
          <t>LAURIE DENGER &amp; ASSOCIATES INC</t>
        </is>
      </c>
      <c r="D211" s="49" t="inlineStr">
        <is>
          <t>not reported</t>
        </is>
      </c>
      <c r="E211" s="23" t="inlineStr">
        <is>
          <t>Form 990 Return Header, Paid Preparer block (return_header.preparer_person_name / preparer_firm_name); auditor: Part XII line 2 reports audited financial statements but does not name the firm.</t>
        </is>
      </c>
    </row>
    <row r="212" ht="42" customHeight="1">
      <c r="A212" s="45" t="inlineStr">
        <is>
          <t>FY2023</t>
        </is>
      </c>
      <c r="B212" s="8" t="inlineStr">
        <is>
          <t>Laurie C Denger EA</t>
        </is>
      </c>
      <c r="C212" s="8" t="inlineStr">
        <is>
          <t>LAURIE DENGER &amp; ASSOCIATES INC</t>
        </is>
      </c>
      <c r="D212" s="49" t="inlineStr">
        <is>
          <t>not reported</t>
        </is>
      </c>
      <c r="E212" s="23" t="inlineStr">
        <is>
          <t>Form 990 Return Header, Paid Preparer block (return_header.preparer_person_name / preparer_firm_name); auditor: Part XII line 2 reports audited financial statements but does not name the firm.</t>
        </is>
      </c>
    </row>
    <row r="213" ht="42" customHeight="1">
      <c r="A213" s="45" t="inlineStr">
        <is>
          <t>FY2024</t>
        </is>
      </c>
      <c r="B213" s="8" t="inlineStr">
        <is>
          <t>Laurie C Denger EA</t>
        </is>
      </c>
      <c r="C213" s="8" t="inlineStr">
        <is>
          <t>LAURIE DENGER &amp; ASSOCIATES INC</t>
        </is>
      </c>
      <c r="D213" s="49" t="inlineStr">
        <is>
          <t>not reported</t>
        </is>
      </c>
      <c r="E213" s="23" t="inlineStr">
        <is>
          <t>Form 990 Return Header, Paid Preparer block (return_header.preparer_person_name / preparer_firm_name); auditor: Part XII line 2 reports audited financial statements but does not name the firm.</t>
        </is>
      </c>
    </row>
    <row r="214" ht="42" customHeight="1">
      <c r="A214" s="45" t="inlineStr">
        <is>
          <t>FY2025</t>
        </is>
      </c>
      <c r="B214" s="8" t="inlineStr">
        <is>
          <t>Laurie C Denger EA</t>
        </is>
      </c>
      <c r="C214" s="8" t="inlineStr">
        <is>
          <t>LAURIE DENGER &amp; ASSOCIATES INC</t>
        </is>
      </c>
      <c r="D214" s="49" t="inlineStr">
        <is>
          <t>not reported</t>
        </is>
      </c>
      <c r="E214" s="23" t="inlineStr">
        <is>
          <t>Form 990 Return Header, Paid Preparer block (return_header.preparer_person_name / preparer_firm_name); auditor: Part XII line 2 reports audited financial statements but does not name the firm.</t>
        </is>
      </c>
    </row>
    <row r="216" ht="42" customHeight="1">
      <c r="A21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16:K216"/>
    <mergeCell ref="A5:K5"/>
    <mergeCell ref="A1:K1"/>
  </mergeCells>
  <conditionalFormatting sqref="F162:F205">
    <cfRule type="cellIs" priority="1" operator="notEqual" dxfId="0">
      <formula>0</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