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Water Operations" sheetId="20" state="visible" r:id="rId20"/>
    <sheet name="Sources &amp; audit" sheetId="21" state="visible" r:id="rId21"/>
    <sheet name="Provenance" sheetId="22" state="visible" r:id="rId22"/>
  </sheets>
  <definedNames/>
  <calcPr calcId="124519" fullCalcOnLoad="1"/>
</workbook>
</file>

<file path=xl/styles.xml><?xml version="1.0" encoding="utf-8"?>
<styleSheet xmlns="http://schemas.openxmlformats.org/spreadsheetml/2006/main">
  <numFmts count="7">
    <numFmt numFmtId="164" formatCode="#,##0;(#,##0)"/>
    <numFmt numFmtId="165" formatCode="0.0%"/>
    <numFmt numFmtId="166" formatCode="$#,##0.00"/>
    <numFmt numFmtId="167" formatCode="#,##0.000"/>
    <numFmt numFmtId="168" formatCode="$#,##0.00###"/>
    <numFmt numFmtId="169" formatCode="#,##0.####"/>
    <numFmt numFmtId="170"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
      <name val="Calibri"/>
      <b val="1"/>
      <color rgb="007F60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0" fillId="6" borderId="1" applyAlignment="1" pivotButton="0" quotePrefix="0" xfId="0">
      <alignment horizontal="right"/>
    </xf>
    <xf numFmtId="167" fontId="10" fillId="6" borderId="1" applyAlignment="1" pivotButton="0" quotePrefix="0" xfId="0">
      <alignment horizontal="right"/>
    </xf>
    <xf numFmtId="1" fontId="10" fillId="6" borderId="1" applyAlignment="1" pivotButton="0" quotePrefix="0" xfId="0">
      <alignment horizontal="right"/>
    </xf>
    <xf numFmtId="0" fontId="4" fillId="2" borderId="1" applyAlignment="1" pivotButton="0" quotePrefix="0" xfId="0">
      <alignment horizontal="right"/>
    </xf>
    <xf numFmtId="168" fontId="6" fillId="0" borderId="1" applyAlignment="1" pivotButton="0" quotePrefix="0" xfId="0">
      <alignment horizontal="right"/>
    </xf>
    <xf numFmtId="169" fontId="6" fillId="0" borderId="1" applyAlignment="1" pivotButton="0" quotePrefix="0" xfId="0">
      <alignment horizontal="right"/>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70" fontId="6" fillId="0" borderId="1" applyAlignment="1" pivotButton="0" quotePrefix="0" xfId="0">
      <alignment horizontal="right"/>
    </xf>
    <xf numFmtId="0" fontId="9" fillId="0" borderId="1" applyAlignment="1" pivotButton="0" quotePrefix="0" xfId="0">
      <alignment horizontal="center"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Crestview Mutual Water Company</t>
        </is>
      </c>
    </row>
    <row r="2">
      <c r="A2" s="2" t="inlineStr">
        <is>
          <t>Financial Summary - multi-year overview (USD)</t>
        </is>
      </c>
    </row>
    <row r="3">
      <c r="A3" s="2" t="inlineStr">
        <is>
          <t>Entity ID: cawc_0010   |   Fiscal year ends November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2399270</v>
      </c>
      <c r="C10" s="9" t="n">
        <v>2150514</v>
      </c>
      <c r="D10" s="9" t="n">
        <v>2248130</v>
      </c>
      <c r="E10" s="9" t="n">
        <v>1275777</v>
      </c>
      <c r="F10" s="9" t="n">
        <v>1768911</v>
      </c>
      <c r="G10" s="9" t="n">
        <v>1952968</v>
      </c>
    </row>
    <row r="11">
      <c r="A11" s="8" t="inlineStr">
        <is>
          <t xml:space="preserve">    Total expenses</t>
        </is>
      </c>
      <c r="B11" s="9" t="n">
        <v>1589007</v>
      </c>
      <c r="C11" s="9" t="n">
        <v>1945884</v>
      </c>
      <c r="D11" s="9" t="n">
        <v>1584074</v>
      </c>
      <c r="E11" s="9" t="n">
        <v>1707538</v>
      </c>
      <c r="F11" s="9" t="n">
        <v>1644126</v>
      </c>
      <c r="G11" s="9" t="n">
        <v>2005593</v>
      </c>
    </row>
    <row r="12">
      <c r="A12" s="10" t="inlineStr">
        <is>
          <t xml:space="preserve">    Net income</t>
        </is>
      </c>
      <c r="B12" s="11" t="n">
        <v>810263</v>
      </c>
      <c r="C12" s="11" t="n">
        <v>204630</v>
      </c>
      <c r="D12" s="11" t="n">
        <v>664056</v>
      </c>
      <c r="E12" s="11" t="n">
        <v>-431761</v>
      </c>
      <c r="F12" s="11" t="n">
        <v>124785</v>
      </c>
      <c r="G12" s="11" t="n">
        <v>-52625</v>
      </c>
    </row>
    <row r="14">
      <c r="A14" s="6" t="inlineStr">
        <is>
          <t>Financial position (USD, end of year)</t>
        </is>
      </c>
      <c r="B14" s="7" t="n"/>
      <c r="C14" s="7" t="n"/>
      <c r="D14" s="7" t="n"/>
      <c r="E14" s="7" t="n"/>
      <c r="F14" s="7" t="n"/>
      <c r="G14" s="7" t="n"/>
    </row>
    <row r="15">
      <c r="A15" s="8" t="inlineStr">
        <is>
          <t xml:space="preserve">    Total assets</t>
        </is>
      </c>
      <c r="B15" s="9" t="n">
        <v>6835267</v>
      </c>
      <c r="C15" s="9" t="n">
        <v>6806408</v>
      </c>
      <c r="D15" s="9" t="n">
        <v>7348280</v>
      </c>
      <c r="E15" s="9" t="n">
        <v>5902379</v>
      </c>
      <c r="F15" s="9" t="n">
        <v>6156552</v>
      </c>
      <c r="G15" s="9" t="n">
        <v>5946161</v>
      </c>
    </row>
    <row r="16">
      <c r="A16" s="8" t="inlineStr">
        <is>
          <t xml:space="preserve">    Total liabilities</t>
        </is>
      </c>
      <c r="B16" s="9" t="n">
        <v>1571097</v>
      </c>
      <c r="C16" s="9" t="n">
        <v>1337608</v>
      </c>
      <c r="D16" s="9" t="n">
        <v>1215424</v>
      </c>
      <c r="E16" s="9" t="n">
        <v>201286</v>
      </c>
      <c r="F16" s="9" t="n">
        <v>330674</v>
      </c>
      <c r="G16" s="9" t="n">
        <v>172908</v>
      </c>
    </row>
    <row r="17">
      <c r="A17" s="10" t="inlineStr">
        <is>
          <t xml:space="preserve">    Net assets</t>
        </is>
      </c>
      <c r="B17" s="11" t="n">
        <v>5264170</v>
      </c>
      <c r="C17" s="11" t="n">
        <v>5468800</v>
      </c>
      <c r="D17" s="11" t="n">
        <v>6132856</v>
      </c>
      <c r="E17" s="11" t="n">
        <v>5701093</v>
      </c>
      <c r="F17" s="11" t="n">
        <v>5825878</v>
      </c>
      <c r="G17" s="11" t="n">
        <v>5773253</v>
      </c>
    </row>
    <row r="19">
      <c r="A19" s="6" t="inlineStr">
        <is>
          <t>Headline ratios</t>
        </is>
      </c>
      <c r="B19" s="7" t="n"/>
      <c r="C19" s="7" t="n"/>
      <c r="D19" s="7" t="n"/>
      <c r="E19" s="7" t="n"/>
      <c r="F19" s="7" t="n"/>
      <c r="G19" s="7" t="n"/>
    </row>
    <row r="20">
      <c r="A20" s="8" t="inlineStr">
        <is>
          <t xml:space="preserve">    Operating margin</t>
        </is>
      </c>
      <c r="B20" s="12" t="n">
        <v>0.3377123041591817</v>
      </c>
      <c r="C20" s="12" t="n">
        <v>0.09515399574241321</v>
      </c>
      <c r="D20" s="12" t="n">
        <v>0.2953814948423801</v>
      </c>
      <c r="E20" s="12" t="n">
        <v>-0.3384298353082082</v>
      </c>
      <c r="F20" s="12" t="n">
        <v>0.0705434021270714</v>
      </c>
      <c r="G20" s="12" t="n">
        <v>-0.02694616604061101</v>
      </c>
    </row>
    <row r="21">
      <c r="A21" s="8" t="inlineStr">
        <is>
          <t xml:space="preserve">    Revenue growth (YoY)</t>
        </is>
      </c>
      <c r="B21" s="12" t="n">
        <v>0.5499300381269598</v>
      </c>
      <c r="C21" s="12" t="n">
        <v>-0.1036798692935768</v>
      </c>
      <c r="D21" s="12" t="n">
        <v>0.04539193885740804</v>
      </c>
      <c r="E21" s="12" t="n">
        <v>-0.432516358039793</v>
      </c>
      <c r="F21" s="12" t="n">
        <v>0.3865362049950736</v>
      </c>
      <c r="G21" s="12" t="n">
        <v>0.1040510234828095</v>
      </c>
    </row>
    <row r="22">
      <c r="A22" s="8" t="inlineStr">
        <is>
          <t xml:space="preserve">    Return on assets</t>
        </is>
      </c>
      <c r="B22" s="12" t="n">
        <v>0.1185415288093355</v>
      </c>
      <c r="C22" s="12" t="n">
        <v>0.03006431586234619</v>
      </c>
      <c r="D22" s="12" t="n">
        <v>0.09036890265477092</v>
      </c>
      <c r="E22" s="12" t="n">
        <v>-0.07315033480567751</v>
      </c>
      <c r="F22" s="12" t="n">
        <v>0.02026865037443036</v>
      </c>
      <c r="G22" s="12" t="n">
        <v>-0.008850248084436328</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Crestview Mutual Water Company</t>
        </is>
      </c>
    </row>
    <row r="2">
      <c r="A2" s="2" t="inlineStr">
        <is>
          <t>Financial Statements - income statement, balance sheet, cash flow, member income test (USD)</t>
        </is>
      </c>
    </row>
    <row r="3">
      <c r="A3" s="2" t="inlineStr">
        <is>
          <t>Entity ID: cawc_0010   |   Fiscal year ends November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2381777</v>
      </c>
      <c r="C8" s="9" t="n">
        <v>2125290</v>
      </c>
      <c r="D8" s="9" t="n">
        <v>2217179</v>
      </c>
      <c r="E8" s="9" t="n">
        <v>1240240</v>
      </c>
      <c r="F8" s="9" t="n">
        <v>1718834</v>
      </c>
      <c r="G8" s="9" t="n">
        <v>1909946</v>
      </c>
    </row>
    <row r="9">
      <c r="A9" s="8" t="inlineStr">
        <is>
          <t xml:space="preserve">    Investment income</t>
        </is>
      </c>
      <c r="B9" s="9" t="n">
        <v>17493</v>
      </c>
      <c r="C9" s="9" t="n">
        <v>25224</v>
      </c>
      <c r="D9" s="9" t="n">
        <v>29951</v>
      </c>
      <c r="E9" s="9" t="n">
        <v>37391</v>
      </c>
      <c r="F9" s="9" t="n">
        <v>52970</v>
      </c>
      <c r="G9" s="9" t="n">
        <v>43022</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v>1000</v>
      </c>
      <c r="E11" s="9" t="n">
        <v>-1854</v>
      </c>
      <c r="F11" s="9" t="n">
        <v>-2893</v>
      </c>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v>2399270</v>
      </c>
      <c r="C14" s="11" t="n">
        <v>2150514</v>
      </c>
      <c r="D14" s="11" t="n">
        <v>2248130</v>
      </c>
      <c r="E14" s="11" t="n">
        <v>1275777</v>
      </c>
      <c r="F14" s="11" t="n">
        <v>1768911</v>
      </c>
      <c r="G14" s="11" t="n">
        <v>1952968</v>
      </c>
    </row>
    <row r="16">
      <c r="A16" s="6" t="inlineStr">
        <is>
          <t>Expenses</t>
        </is>
      </c>
      <c r="B16" s="7" t="n"/>
      <c r="C16" s="7" t="n"/>
      <c r="D16" s="7" t="n"/>
      <c r="E16" s="7" t="n"/>
      <c r="F16" s="7" t="n"/>
      <c r="G16" s="7" t="n"/>
    </row>
    <row r="17">
      <c r="A17" s="8" t="inlineStr">
        <is>
          <t xml:space="preserve">    Depreciation</t>
        </is>
      </c>
      <c r="B17" s="9" t="n">
        <v>272490</v>
      </c>
      <c r="C17" s="9" t="n">
        <v>219585</v>
      </c>
      <c r="D17" s="9" t="n">
        <v>179664</v>
      </c>
      <c r="E17" s="9" t="n">
        <v>196965</v>
      </c>
      <c r="F17" s="9" t="n">
        <v>192952</v>
      </c>
      <c r="G17" s="9" t="n">
        <v>181231</v>
      </c>
    </row>
    <row r="18">
      <c r="A18" s="8" t="inlineStr">
        <is>
          <t xml:space="preserve">    Interest expense</t>
        </is>
      </c>
      <c r="B18" s="9" t="n"/>
      <c r="C18" s="9" t="n"/>
      <c r="D18" s="9" t="n"/>
      <c r="E18" s="9" t="n"/>
      <c r="F18" s="9" t="n"/>
      <c r="G18" s="9" t="n"/>
    </row>
    <row r="19">
      <c r="A19" s="10" t="inlineStr">
        <is>
          <t>Total expenses</t>
        </is>
      </c>
      <c r="B19" s="11" t="n">
        <v>1589007</v>
      </c>
      <c r="C19" s="11" t="n">
        <v>1945884</v>
      </c>
      <c r="D19" s="11" t="n">
        <v>1584074</v>
      </c>
      <c r="E19" s="11" t="n">
        <v>1707538</v>
      </c>
      <c r="F19" s="11" t="n">
        <v>1644126</v>
      </c>
      <c r="G19" s="11" t="n">
        <v>2005593</v>
      </c>
    </row>
    <row r="21">
      <c r="A21" s="10" t="inlineStr">
        <is>
          <t>Net income</t>
        </is>
      </c>
      <c r="B21" s="11" t="n">
        <v>810263</v>
      </c>
      <c r="C21" s="11" t="n">
        <v>204630</v>
      </c>
      <c r="D21" s="11" t="n">
        <v>664056</v>
      </c>
      <c r="E21" s="11" t="n">
        <v>-431761</v>
      </c>
      <c r="F21" s="11" t="n">
        <v>124785</v>
      </c>
      <c r="G21" s="11" t="n">
        <v>-52625</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2346176</v>
      </c>
      <c r="C27" s="9" t="n">
        <v>2088776</v>
      </c>
      <c r="D27" s="9" t="n">
        <v>1477271</v>
      </c>
      <c r="E27" s="9" t="n">
        <v>462594</v>
      </c>
      <c r="F27" s="9" t="n">
        <v>1373373</v>
      </c>
      <c r="G27" s="9" t="n">
        <v>1210412</v>
      </c>
    </row>
    <row r="28">
      <c r="A28" s="8" t="inlineStr">
        <is>
          <t xml:space="preserve">    Savings &amp; temporary investments</t>
        </is>
      </c>
      <c r="B28" s="9" t="n">
        <v>480850</v>
      </c>
      <c r="C28" s="9" t="n">
        <v>477566</v>
      </c>
      <c r="D28" s="9" t="n">
        <v>1449309</v>
      </c>
      <c r="E28" s="9" t="n">
        <v>997259</v>
      </c>
      <c r="F28" s="9" t="n">
        <v>515589</v>
      </c>
      <c r="G28" s="9" t="n">
        <v>521810</v>
      </c>
    </row>
    <row r="29">
      <c r="A29" s="8" t="inlineStr">
        <is>
          <t xml:space="preserve">    Accounts receivable</t>
        </is>
      </c>
      <c r="B29" s="9" t="n">
        <v>185374</v>
      </c>
      <c r="C29" s="9" t="n">
        <v>200325</v>
      </c>
      <c r="D29" s="9" t="n">
        <v>134061</v>
      </c>
      <c r="E29" s="9" t="n">
        <v>147063</v>
      </c>
      <c r="F29" s="9" t="n">
        <v>183873</v>
      </c>
      <c r="G29" s="9" t="n">
        <v>112939</v>
      </c>
    </row>
    <row r="30">
      <c r="A30" s="8" t="inlineStr">
        <is>
          <t xml:space="preserve">    Inventories</t>
        </is>
      </c>
      <c r="B30" s="9" t="n"/>
      <c r="C30" s="9" t="n"/>
      <c r="D30" s="9" t="n"/>
      <c r="E30" s="9" t="n"/>
      <c r="F30" s="9" t="n"/>
      <c r="G30" s="9" t="n"/>
    </row>
    <row r="31">
      <c r="A31" s="8" t="inlineStr">
        <is>
          <t xml:space="preserve">    Prepaid expenses</t>
        </is>
      </c>
      <c r="B31" s="9" t="n">
        <v>109319</v>
      </c>
      <c r="C31" s="9" t="n">
        <v>87892</v>
      </c>
      <c r="D31" s="9" t="n">
        <v>106407</v>
      </c>
      <c r="E31" s="9" t="n">
        <v>128063</v>
      </c>
      <c r="F31" s="9" t="n">
        <v>82189</v>
      </c>
      <c r="G31" s="9" t="n">
        <v>82869</v>
      </c>
    </row>
    <row r="32">
      <c r="A32" s="8" t="inlineStr">
        <is>
          <t xml:space="preserve">    Property, plant &amp; equipment (gross)</t>
        </is>
      </c>
      <c r="B32" s="9" t="n">
        <v>9198315</v>
      </c>
      <c r="C32" s="9" t="n">
        <v>9656201</v>
      </c>
      <c r="D32" s="9" t="n">
        <v>10043904</v>
      </c>
      <c r="E32" s="9" t="n">
        <v>9941232</v>
      </c>
      <c r="F32" s="9" t="n">
        <v>9968206</v>
      </c>
      <c r="G32" s="9" t="n">
        <v>10166040</v>
      </c>
    </row>
    <row r="33">
      <c r="A33" s="8" t="inlineStr">
        <is>
          <t xml:space="preserve">    Less: accumulated depreciation</t>
        </is>
      </c>
      <c r="B33" s="9" t="n">
        <v>-5484767</v>
      </c>
      <c r="C33" s="9" t="n">
        <v>-5704352</v>
      </c>
      <c r="D33" s="9" t="n">
        <v>-5862672</v>
      </c>
      <c r="E33" s="9" t="n">
        <v>-5773832</v>
      </c>
      <c r="F33" s="9" t="n">
        <v>-5966678</v>
      </c>
      <c r="G33" s="9" t="n">
        <v>-6147909</v>
      </c>
    </row>
    <row r="34">
      <c r="A34" s="10" t="inlineStr">
        <is>
          <t xml:space="preserve">    Net property, plant &amp; equipment</t>
        </is>
      </c>
      <c r="B34" s="11" t="n">
        <v>3713548</v>
      </c>
      <c r="C34" s="11" t="n">
        <v>3951849</v>
      </c>
      <c r="D34" s="11" t="n">
        <v>4181232</v>
      </c>
      <c r="E34" s="11" t="n">
        <v>4167400</v>
      </c>
      <c r="F34" s="11" t="n">
        <v>4001528</v>
      </c>
      <c r="G34" s="11" t="n">
        <v>4018131</v>
      </c>
    </row>
    <row r="35">
      <c r="A35" s="10" t="inlineStr">
        <is>
          <t>Total assets</t>
        </is>
      </c>
      <c r="B35" s="11" t="n">
        <v>6835267</v>
      </c>
      <c r="C35" s="11" t="n">
        <v>6806408</v>
      </c>
      <c r="D35" s="11" t="n">
        <v>7348280</v>
      </c>
      <c r="E35" s="11" t="n">
        <v>5902379</v>
      </c>
      <c r="F35" s="11" t="n">
        <v>6156552</v>
      </c>
      <c r="G35" s="11" t="n">
        <v>5946161</v>
      </c>
    </row>
    <row r="37">
      <c r="A37" s="6" t="inlineStr">
        <is>
          <t>Liabilities</t>
        </is>
      </c>
      <c r="B37" s="7" t="n"/>
      <c r="C37" s="7" t="n"/>
      <c r="D37" s="7" t="n"/>
      <c r="E37" s="7" t="n"/>
      <c r="F37" s="7" t="n"/>
      <c r="G37" s="7" t="n"/>
    </row>
    <row r="38">
      <c r="A38" s="8" t="inlineStr">
        <is>
          <t xml:space="preserve">    Accounts payable</t>
        </is>
      </c>
      <c r="B38" s="9" t="n">
        <v>266874</v>
      </c>
      <c r="C38" s="9" t="n">
        <v>160925</v>
      </c>
      <c r="D38" s="9" t="n">
        <v>161268</v>
      </c>
      <c r="E38" s="9" t="n">
        <v>201286</v>
      </c>
      <c r="F38" s="9" t="n">
        <v>330674</v>
      </c>
      <c r="G38" s="9" t="n">
        <v>172908</v>
      </c>
    </row>
    <row r="39">
      <c r="A39" s="8" t="inlineStr">
        <is>
          <t xml:space="preserve">    Mortgages &amp; notes payable</t>
        </is>
      </c>
      <c r="B39" s="9" t="n">
        <v>1304223</v>
      </c>
      <c r="C39" s="9" t="n">
        <v>1176683</v>
      </c>
      <c r="D39" s="9" t="n">
        <v>1054156</v>
      </c>
      <c r="E39" s="9" t="n"/>
      <c r="F39" s="9" t="n"/>
      <c r="G39" s="9" t="n"/>
    </row>
    <row r="40">
      <c r="A40" s="10" t="inlineStr">
        <is>
          <t>Total liabilities</t>
        </is>
      </c>
      <c r="B40" s="11" t="n">
        <v>1571097</v>
      </c>
      <c r="C40" s="11" t="n">
        <v>1337608</v>
      </c>
      <c r="D40" s="11" t="n">
        <v>1215424</v>
      </c>
      <c r="E40" s="11" t="n">
        <v>201286</v>
      </c>
      <c r="F40" s="11" t="n">
        <v>330674</v>
      </c>
      <c r="G40" s="11" t="n">
        <v>172908</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5264170</v>
      </c>
      <c r="C46" s="11" t="n">
        <v>5468800</v>
      </c>
      <c r="D46" s="11" t="n">
        <v>6132856</v>
      </c>
      <c r="E46" s="11" t="n">
        <v>5701093</v>
      </c>
      <c r="F46" s="11" t="n">
        <v>5825878</v>
      </c>
      <c r="G46" s="11" t="n">
        <v>5773253</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810263</v>
      </c>
      <c r="C52" s="9" t="n">
        <v>204630</v>
      </c>
      <c r="D52" s="9" t="n">
        <v>664056</v>
      </c>
      <c r="E52" s="9" t="n">
        <v>-431761</v>
      </c>
      <c r="F52" s="9" t="n">
        <v>124785</v>
      </c>
      <c r="G52" s="9" t="n">
        <v>-52625</v>
      </c>
    </row>
    <row r="53">
      <c r="A53" s="8" t="inlineStr">
        <is>
          <t xml:space="preserve">    + Depreciation (reported)</t>
        </is>
      </c>
      <c r="B53" s="9" t="n">
        <v>272490</v>
      </c>
      <c r="C53" s="9" t="n">
        <v>219585</v>
      </c>
      <c r="D53" s="9" t="n">
        <v>179664</v>
      </c>
      <c r="E53" s="9" t="n">
        <v>196965</v>
      </c>
      <c r="F53" s="9" t="n">
        <v>192952</v>
      </c>
      <c r="G53" s="9" t="n">
        <v>181231</v>
      </c>
    </row>
    <row r="54">
      <c r="A54" s="8" t="inlineStr">
        <is>
          <t xml:space="preserve">    − Δ Accounts receivable</t>
        </is>
      </c>
      <c r="B54" s="9" t="n"/>
      <c r="C54" s="9" t="n">
        <v>-14951</v>
      </c>
      <c r="D54" s="9" t="n">
        <v>66264</v>
      </c>
      <c r="E54" s="9" t="n">
        <v>-13002</v>
      </c>
      <c r="F54" s="9" t="n">
        <v>-36810</v>
      </c>
      <c r="G54" s="9" t="n">
        <v>70934</v>
      </c>
    </row>
    <row r="55">
      <c r="A55" s="8" t="inlineStr">
        <is>
          <t xml:space="preserve">    − Δ Inventories</t>
        </is>
      </c>
      <c r="B55" s="9" t="n"/>
      <c r="C55" s="9" t="n"/>
      <c r="D55" s="9" t="n"/>
      <c r="E55" s="9" t="n"/>
      <c r="F55" s="9" t="n"/>
      <c r="G55" s="9" t="n"/>
    </row>
    <row r="56">
      <c r="A56" s="8" t="inlineStr">
        <is>
          <t xml:space="preserve">    − Δ Prepaid expenses</t>
        </is>
      </c>
      <c r="B56" s="9" t="n"/>
      <c r="C56" s="9" t="n">
        <v>21427</v>
      </c>
      <c r="D56" s="9" t="n">
        <v>-18515</v>
      </c>
      <c r="E56" s="9" t="n">
        <v>-21656</v>
      </c>
      <c r="F56" s="9" t="n">
        <v>45874</v>
      </c>
      <c r="G56" s="9" t="n">
        <v>-680</v>
      </c>
    </row>
    <row r="57">
      <c r="A57" s="8" t="inlineStr">
        <is>
          <t xml:space="preserve">    + Δ Accounts payable</t>
        </is>
      </c>
      <c r="B57" s="9" t="n"/>
      <c r="C57" s="9" t="n">
        <v>-105949</v>
      </c>
      <c r="D57" s="9" t="n">
        <v>343</v>
      </c>
      <c r="E57" s="9" t="n">
        <v>40018</v>
      </c>
      <c r="F57" s="9" t="n">
        <v>129388</v>
      </c>
      <c r="G57" s="9" t="n">
        <v>-157766</v>
      </c>
    </row>
    <row r="58">
      <c r="A58" s="10" t="inlineStr">
        <is>
          <t xml:space="preserve">    Operating cash flow proxy</t>
        </is>
      </c>
      <c r="B58" s="11" t="n"/>
      <c r="C58" s="11" t="n">
        <v>324742</v>
      </c>
      <c r="D58" s="11" t="n">
        <v>891812</v>
      </c>
      <c r="E58" s="11" t="n">
        <v>-229436</v>
      </c>
      <c r="F58" s="11" t="n">
        <v>456189</v>
      </c>
      <c r="G58" s="11" t="n">
        <v>41094</v>
      </c>
    </row>
    <row r="60">
      <c r="A60" s="6" t="inlineStr">
        <is>
          <t>Investing</t>
        </is>
      </c>
      <c r="B60" s="7" t="n"/>
      <c r="C60" s="7" t="n"/>
      <c r="D60" s="7" t="n"/>
      <c r="E60" s="7" t="n"/>
      <c r="F60" s="7" t="n"/>
      <c r="G60" s="7" t="n"/>
    </row>
    <row r="61">
      <c r="A61" s="8" t="inlineStr">
        <is>
          <t xml:space="preserve">    − Δ PP&amp;E gross (capex proxy)</t>
        </is>
      </c>
      <c r="B61" s="9" t="n"/>
      <c r="C61" s="9" t="n">
        <v>-457886</v>
      </c>
      <c r="D61" s="9" t="n">
        <v>-387703</v>
      </c>
      <c r="E61" s="9" t="n">
        <v>102672</v>
      </c>
      <c r="F61" s="9" t="n">
        <v>-26974</v>
      </c>
      <c r="G61" s="9" t="n">
        <v>-197834</v>
      </c>
    </row>
    <row r="63">
      <c r="A63" s="6" t="inlineStr">
        <is>
          <t>Financing</t>
        </is>
      </c>
      <c r="B63" s="7" t="n"/>
      <c r="C63" s="7" t="n"/>
      <c r="D63" s="7" t="n"/>
      <c r="E63" s="7" t="n"/>
      <c r="F63" s="7" t="n"/>
      <c r="G63" s="7" t="n"/>
    </row>
    <row r="64">
      <c r="A64" s="8" t="inlineStr">
        <is>
          <t xml:space="preserve">    Δ Mortgages &amp; notes payable</t>
        </is>
      </c>
      <c r="B64" s="9" t="n"/>
      <c r="C64" s="9" t="n">
        <v>-127540</v>
      </c>
      <c r="D64" s="9" t="n">
        <v>-122527</v>
      </c>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-260684</v>
      </c>
      <c r="D67" s="11" t="n">
        <v>360238</v>
      </c>
      <c r="E67" s="11" t="n">
        <v>-1466727</v>
      </c>
      <c r="F67" s="11" t="n">
        <v>429109</v>
      </c>
      <c r="G67" s="11" t="n">
        <v>-156740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1787473</v>
      </c>
      <c r="C73" s="9" t="n">
        <v>2123328</v>
      </c>
      <c r="D73" s="9" t="n">
        <v>2217178</v>
      </c>
      <c r="E73" s="9" t="n">
        <v>1240239</v>
      </c>
      <c r="F73" s="9" t="n">
        <v>1718834</v>
      </c>
      <c r="G73" s="9" t="n">
        <v>1909951</v>
      </c>
    </row>
    <row r="74">
      <c r="A74" s="8" t="inlineStr">
        <is>
          <t xml:space="preserve">    11b. Gross income from other sources</t>
        </is>
      </c>
      <c r="B74" s="9" t="n">
        <v>611797</v>
      </c>
      <c r="C74" s="9" t="n">
        <v>27186</v>
      </c>
      <c r="D74" s="9" t="n">
        <v>30951</v>
      </c>
      <c r="E74" s="9" t="n">
        <v>37391</v>
      </c>
      <c r="F74" s="9" t="n">
        <v>52970</v>
      </c>
      <c r="G74" s="9" t="n">
        <v>43022</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Crestview Mutual Water Company</t>
        </is>
      </c>
    </row>
    <row r="2">
      <c r="A2" s="2" t="inlineStr">
        <is>
          <t>Balance Sheet - as reported (USD, end of year)</t>
        </is>
      </c>
    </row>
    <row r="3">
      <c r="A3" s="2" t="inlineStr">
        <is>
          <t>Entity ID: cawc_0010   |   Fiscal year ends November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2346176</v>
      </c>
      <c r="C7" s="9" t="n">
        <v>2088776</v>
      </c>
      <c r="D7" s="9" t="n">
        <v>1477271</v>
      </c>
      <c r="E7" s="9" t="n">
        <v>462594</v>
      </c>
      <c r="F7" s="9" t="n">
        <v>1373373</v>
      </c>
      <c r="G7" s="9" t="n">
        <v>1210412</v>
      </c>
    </row>
    <row r="8">
      <c r="A8" s="8" t="inlineStr">
        <is>
          <t xml:space="preserve">    Savings &amp; temporary investments</t>
        </is>
      </c>
      <c r="B8" s="9" t="n">
        <v>480850</v>
      </c>
      <c r="C8" s="9" t="n">
        <v>477566</v>
      </c>
      <c r="D8" s="9" t="n">
        <v>1449309</v>
      </c>
      <c r="E8" s="9" t="n">
        <v>997259</v>
      </c>
      <c r="F8" s="9" t="n">
        <v>515589</v>
      </c>
      <c r="G8" s="9" t="n">
        <v>521810</v>
      </c>
    </row>
    <row r="9">
      <c r="A9" s="8" t="inlineStr">
        <is>
          <t xml:space="preserve">    Accounts receivable</t>
        </is>
      </c>
      <c r="B9" s="9" t="n">
        <v>185374</v>
      </c>
      <c r="C9" s="9" t="n">
        <v>200325</v>
      </c>
      <c r="D9" s="9" t="n">
        <v>134061</v>
      </c>
      <c r="E9" s="9" t="n">
        <v>147063</v>
      </c>
      <c r="F9" s="9" t="n">
        <v>183873</v>
      </c>
      <c r="G9" s="9" t="n">
        <v>112939</v>
      </c>
    </row>
    <row r="10">
      <c r="A10" s="8" t="inlineStr">
        <is>
          <t xml:space="preserve">    Inventories</t>
        </is>
      </c>
      <c r="B10" s="9" t="n"/>
      <c r="C10" s="9" t="n"/>
      <c r="D10" s="9" t="n"/>
      <c r="E10" s="9" t="n"/>
      <c r="F10" s="9" t="n"/>
      <c r="G10" s="9" t="n"/>
    </row>
    <row r="11">
      <c r="A11" s="8" t="inlineStr">
        <is>
          <t xml:space="preserve">    Prepaid expenses</t>
        </is>
      </c>
      <c r="B11" s="9" t="n">
        <v>109319</v>
      </c>
      <c r="C11" s="9" t="n">
        <v>87892</v>
      </c>
      <c r="D11" s="9" t="n">
        <v>106407</v>
      </c>
      <c r="E11" s="9" t="n">
        <v>128063</v>
      </c>
      <c r="F11" s="9" t="n">
        <v>82189</v>
      </c>
      <c r="G11" s="9" t="n">
        <v>82869</v>
      </c>
    </row>
    <row r="12">
      <c r="A12" s="8" t="inlineStr">
        <is>
          <t xml:space="preserve">    Property, plant &amp; equipment (gross)</t>
        </is>
      </c>
      <c r="B12" s="9" t="n">
        <v>9198315</v>
      </c>
      <c r="C12" s="9" t="n">
        <v>9656201</v>
      </c>
      <c r="D12" s="9" t="n">
        <v>10043904</v>
      </c>
      <c r="E12" s="9" t="n">
        <v>9941232</v>
      </c>
      <c r="F12" s="9" t="n">
        <v>9968206</v>
      </c>
      <c r="G12" s="9" t="n">
        <v>10166040</v>
      </c>
    </row>
    <row r="13">
      <c r="A13" s="8" t="inlineStr">
        <is>
          <t xml:space="preserve">    Less: accumulated depreciation</t>
        </is>
      </c>
      <c r="B13" s="9" t="n">
        <v>-5484767</v>
      </c>
      <c r="C13" s="9" t="n">
        <v>-5704352</v>
      </c>
      <c r="D13" s="9" t="n">
        <v>-5862672</v>
      </c>
      <c r="E13" s="9" t="n">
        <v>-5773832</v>
      </c>
      <c r="F13" s="9" t="n">
        <v>-5966678</v>
      </c>
      <c r="G13" s="9" t="n">
        <v>-6147909</v>
      </c>
    </row>
    <row r="14">
      <c r="A14" s="10" t="inlineStr">
        <is>
          <t xml:space="preserve">    Net property, plant &amp; equipment</t>
        </is>
      </c>
      <c r="B14" s="11" t="n">
        <v>3713548</v>
      </c>
      <c r="C14" s="11" t="n">
        <v>3951849</v>
      </c>
      <c r="D14" s="11" t="n">
        <v>4181232</v>
      </c>
      <c r="E14" s="11" t="n">
        <v>4167400</v>
      </c>
      <c r="F14" s="11" t="n">
        <v>4001528</v>
      </c>
      <c r="G14" s="11" t="n">
        <v>4018131</v>
      </c>
    </row>
    <row r="15">
      <c r="A15" s="10" t="inlineStr">
        <is>
          <t>Total assets</t>
        </is>
      </c>
      <c r="B15" s="11" t="n">
        <v>6835267</v>
      </c>
      <c r="C15" s="11" t="n">
        <v>6806408</v>
      </c>
      <c r="D15" s="11" t="n">
        <v>7348280</v>
      </c>
      <c r="E15" s="11" t="n">
        <v>5902379</v>
      </c>
      <c r="F15" s="11" t="n">
        <v>6156552</v>
      </c>
      <c r="G15" s="11" t="n">
        <v>5946161</v>
      </c>
    </row>
    <row r="17">
      <c r="A17" s="6" t="inlineStr">
        <is>
          <t>Liabilities</t>
        </is>
      </c>
      <c r="B17" s="7" t="n"/>
      <c r="C17" s="7" t="n"/>
      <c r="D17" s="7" t="n"/>
      <c r="E17" s="7" t="n"/>
      <c r="F17" s="7" t="n"/>
      <c r="G17" s="7" t="n"/>
    </row>
    <row r="18">
      <c r="A18" s="8" t="inlineStr">
        <is>
          <t xml:space="preserve">    Accounts payable</t>
        </is>
      </c>
      <c r="B18" s="9" t="n">
        <v>266874</v>
      </c>
      <c r="C18" s="9" t="n">
        <v>160925</v>
      </c>
      <c r="D18" s="9" t="n">
        <v>161268</v>
      </c>
      <c r="E18" s="9" t="n">
        <v>201286</v>
      </c>
      <c r="F18" s="9" t="n">
        <v>330674</v>
      </c>
      <c r="G18" s="9" t="n">
        <v>172908</v>
      </c>
    </row>
    <row r="19">
      <c r="A19" s="8" t="inlineStr">
        <is>
          <t xml:space="preserve">    Mortgages &amp; notes payable</t>
        </is>
      </c>
      <c r="B19" s="9" t="n">
        <v>1304223</v>
      </c>
      <c r="C19" s="9" t="n">
        <v>1176683</v>
      </c>
      <c r="D19" s="9" t="n">
        <v>1054156</v>
      </c>
      <c r="E19" s="9" t="n"/>
      <c r="F19" s="9" t="n"/>
      <c r="G19" s="9" t="n"/>
    </row>
    <row r="20">
      <c r="A20" s="10" t="inlineStr">
        <is>
          <t>Total liabilities</t>
        </is>
      </c>
      <c r="B20" s="11" t="n">
        <v>1571097</v>
      </c>
      <c r="C20" s="11" t="n">
        <v>1337608</v>
      </c>
      <c r="D20" s="11" t="n">
        <v>1215424</v>
      </c>
      <c r="E20" s="11" t="n">
        <v>201286</v>
      </c>
      <c r="F20" s="11" t="n">
        <v>330674</v>
      </c>
      <c r="G20" s="11" t="n">
        <v>172908</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5264170</v>
      </c>
      <c r="C26" s="11" t="n">
        <v>5468800</v>
      </c>
      <c r="D26" s="11" t="n">
        <v>6132856</v>
      </c>
      <c r="E26" s="11" t="n">
        <v>5701093</v>
      </c>
      <c r="F26" s="11" t="n">
        <v>5825878</v>
      </c>
      <c r="G26" s="11" t="n">
        <v>5773253</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Crestview Mutual Water Company</t>
        </is>
      </c>
    </row>
    <row r="2">
      <c r="A2" s="2" t="inlineStr">
        <is>
          <t>Officers, Directors &amp; Contractors - Form 990 Part VII (FY2025; USD)</t>
        </is>
      </c>
    </row>
    <row r="3">
      <c r="A3" s="2" t="inlineStr">
        <is>
          <t>Entity ID: cawc_0010   |   Fiscal year ends November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LAURIE BENNETT</t>
        </is>
      </c>
      <c r="B7" s="8" t="inlineStr">
        <is>
          <t>TREASURER</t>
        </is>
      </c>
      <c r="C7" s="9" t="n">
        <v>0</v>
      </c>
      <c r="D7" s="9" t="n">
        <v>0</v>
      </c>
      <c r="E7" s="9" t="n">
        <v>0</v>
      </c>
      <c r="F7" s="9" t="n">
        <v>0</v>
      </c>
    </row>
    <row r="8">
      <c r="A8" s="8" t="inlineStr">
        <is>
          <t>FRANK MEZZATESTA</t>
        </is>
      </c>
      <c r="B8" s="8" t="inlineStr">
        <is>
          <t>DIRECTOR</t>
        </is>
      </c>
      <c r="C8" s="9" t="n">
        <v>0</v>
      </c>
      <c r="D8" s="9" t="n">
        <v>0</v>
      </c>
      <c r="E8" s="9" t="n">
        <v>0</v>
      </c>
      <c r="F8" s="9" t="n">
        <v>0</v>
      </c>
    </row>
    <row r="9">
      <c r="A9" s="8" t="inlineStr">
        <is>
          <t>STEVEN MURO</t>
        </is>
      </c>
      <c r="B9" s="8" t="inlineStr">
        <is>
          <t>SECRETARY</t>
        </is>
      </c>
      <c r="C9" s="9" t="n">
        <v>0</v>
      </c>
      <c r="D9" s="9" t="n">
        <v>0</v>
      </c>
      <c r="E9" s="9" t="n">
        <v>0</v>
      </c>
      <c r="F9" s="9" t="n">
        <v>0</v>
      </c>
    </row>
    <row r="10">
      <c r="A10" s="8" t="inlineStr">
        <is>
          <t>ALMA QUEZADA</t>
        </is>
      </c>
      <c r="B10" s="8" t="inlineStr">
        <is>
          <t>VICE PRESIDE</t>
        </is>
      </c>
      <c r="C10" s="9" t="n">
        <v>0</v>
      </c>
      <c r="D10" s="9" t="n">
        <v>0</v>
      </c>
      <c r="E10" s="9" t="n">
        <v>0</v>
      </c>
      <c r="F10" s="9" t="n">
        <v>0</v>
      </c>
    </row>
    <row r="11">
      <c r="A11" s="8" t="inlineStr">
        <is>
          <t>DAVE STEPHENSON</t>
        </is>
      </c>
      <c r="B11" s="8" t="inlineStr">
        <is>
          <t>PRESIDENT</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Crestview Mutual Water Company</t>
        </is>
      </c>
    </row>
    <row r="2">
      <c r="A2" s="2" t="inlineStr">
        <is>
          <t>Revenue - Form 990 Part VIII (USD)</t>
        </is>
      </c>
    </row>
    <row r="3">
      <c r="A3" s="2" t="inlineStr">
        <is>
          <t>Entity ID: cawc_0010   |   Fiscal year ends November 30.</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7" t="inlineStr">
        <is>
          <t>not reported</t>
        </is>
      </c>
      <c r="C7" s="17" t="inlineStr">
        <is>
          <t>not reported</t>
        </is>
      </c>
      <c r="D7" s="17" t="inlineStr">
        <is>
          <t>not reported</t>
        </is>
      </c>
      <c r="E7" s="17" t="inlineStr">
        <is>
          <t>not reported</t>
        </is>
      </c>
      <c r="F7" s="17" t="inlineStr">
        <is>
          <t>not reported</t>
        </is>
      </c>
      <c r="G7" s="17" t="inlineStr">
        <is>
          <t>not reported</t>
        </is>
      </c>
    </row>
    <row r="8">
      <c r="A8" s="8" t="inlineStr">
        <is>
          <t xml:space="preserve">    2g. Total program service revenue</t>
        </is>
      </c>
      <c r="B8" s="9" t="n">
        <v>2381777</v>
      </c>
      <c r="C8" s="9" t="n">
        <v>2125290</v>
      </c>
      <c r="D8" s="9" t="n">
        <v>2217179</v>
      </c>
      <c r="E8" s="9" t="n">
        <v>1240240</v>
      </c>
      <c r="F8" s="9" t="n">
        <v>1718834</v>
      </c>
      <c r="G8" s="9" t="n">
        <v>1909946</v>
      </c>
    </row>
    <row r="9">
      <c r="A9" s="8" t="inlineStr">
        <is>
          <t xml:space="preserve">    3. Investment income</t>
        </is>
      </c>
      <c r="B9" s="9" t="n">
        <v>17493</v>
      </c>
      <c r="C9" s="9" t="n">
        <v>25224</v>
      </c>
      <c r="D9" s="9" t="n">
        <v>29951</v>
      </c>
      <c r="E9" s="9" t="n">
        <v>37391</v>
      </c>
      <c r="F9" s="9" t="n">
        <v>52970</v>
      </c>
      <c r="G9" s="9" t="n">
        <v>43022</v>
      </c>
    </row>
    <row r="10">
      <c r="A10" s="8" t="inlineStr">
        <is>
          <t xml:space="preserve">    6d. Net rental income</t>
        </is>
      </c>
      <c r="B10" s="17" t="inlineStr">
        <is>
          <t>not reported</t>
        </is>
      </c>
      <c r="C10" s="17" t="inlineStr">
        <is>
          <t>not reported</t>
        </is>
      </c>
      <c r="D10" s="17" t="inlineStr">
        <is>
          <t>not reported</t>
        </is>
      </c>
      <c r="E10" s="17" t="inlineStr">
        <is>
          <t>not reported</t>
        </is>
      </c>
      <c r="F10" s="17" t="inlineStr">
        <is>
          <t>not reported</t>
        </is>
      </c>
      <c r="G10" s="17" t="inlineStr">
        <is>
          <t>not reported</t>
        </is>
      </c>
    </row>
    <row r="11">
      <c r="A11" s="8" t="inlineStr">
        <is>
          <t xml:space="preserve">    7d. Net gain/(loss) from investment sales</t>
        </is>
      </c>
      <c r="B11" s="17" t="inlineStr">
        <is>
          <t>not reported</t>
        </is>
      </c>
      <c r="C11" s="17" t="inlineStr">
        <is>
          <t>not reported</t>
        </is>
      </c>
      <c r="D11" s="9" t="n">
        <v>1000</v>
      </c>
      <c r="E11" s="9" t="n">
        <v>-1854</v>
      </c>
      <c r="F11" s="9" t="n">
        <v>-2893</v>
      </c>
      <c r="G11" s="17" t="inlineStr">
        <is>
          <t>not reported</t>
        </is>
      </c>
    </row>
    <row r="12">
      <c r="A12" s="8" t="inlineStr">
        <is>
          <t xml:space="preserve">    11e. Other revenue</t>
        </is>
      </c>
      <c r="B12" s="17" t="inlineStr">
        <is>
          <t>not reported</t>
        </is>
      </c>
      <c r="C12" s="17" t="inlineStr">
        <is>
          <t>not reported</t>
        </is>
      </c>
      <c r="D12" s="17" t="inlineStr">
        <is>
          <t>not reported</t>
        </is>
      </c>
      <c r="E12" s="17" t="inlineStr">
        <is>
          <t>not reported</t>
        </is>
      </c>
      <c r="F12" s="17" t="inlineStr">
        <is>
          <t>not reported</t>
        </is>
      </c>
      <c r="G12" s="17" t="inlineStr">
        <is>
          <t>not reported</t>
        </is>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WATER SALES</t>
        </is>
      </c>
      <c r="B17" s="8" t="inlineStr">
        <is>
          <t>221000</t>
        </is>
      </c>
      <c r="C17" s="9" t="n">
        <v>1511804</v>
      </c>
    </row>
    <row r="18">
      <c r="A18" s="8" t="inlineStr">
        <is>
          <t>SERVICE AVAILABILITY FEES</t>
        </is>
      </c>
      <c r="B18" s="8" t="inlineStr">
        <is>
          <t>900099</t>
        </is>
      </c>
      <c r="C18" s="9" t="n">
        <v>388755</v>
      </c>
    </row>
    <row r="19">
      <c r="A19" s="8" t="inlineStr">
        <is>
          <t>MISCELLANEOUS REVENUE</t>
        </is>
      </c>
      <c r="B19" s="8" t="inlineStr">
        <is>
          <t>900099</t>
        </is>
      </c>
      <c r="C19" s="9" t="n">
        <v>9387</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0:G20"/>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Crestview Mutual Water Company</t>
        </is>
      </c>
    </row>
    <row r="2">
      <c r="A2" s="2" t="inlineStr">
        <is>
          <t>Statement of Functional Expenses - Form 990 Part IX (USD)</t>
        </is>
      </c>
    </row>
    <row r="3">
      <c r="A3" s="2" t="inlineStr">
        <is>
          <t>Entity ID: cawc_0010   |   Fiscal year ends November 30.</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7. Other salaries and wages</t>
        </is>
      </c>
      <c r="B7" s="9" t="n">
        <v>250956</v>
      </c>
      <c r="C7" s="9" t="n">
        <v>265470</v>
      </c>
      <c r="D7" s="9" t="n">
        <v>261943</v>
      </c>
      <c r="E7" s="9" t="n">
        <v>292522</v>
      </c>
      <c r="F7" s="9" t="n">
        <v>429089</v>
      </c>
      <c r="G7" s="9" t="n">
        <v>432197</v>
      </c>
    </row>
    <row r="8">
      <c r="A8" s="8" t="inlineStr">
        <is>
          <t xml:space="preserve">    8. Pension plan accruals and contributions</t>
        </is>
      </c>
      <c r="B8" s="9" t="n">
        <v>21538</v>
      </c>
      <c r="C8" s="9" t="n">
        <v>24604</v>
      </c>
      <c r="D8" s="9" t="n">
        <v>17931</v>
      </c>
      <c r="E8" s="9" t="n">
        <v>22339</v>
      </c>
      <c r="F8" s="9" t="n">
        <v>37350</v>
      </c>
      <c r="G8" s="9" t="n">
        <v>26133</v>
      </c>
    </row>
    <row r="9">
      <c r="A9" s="8" t="inlineStr">
        <is>
          <t xml:space="preserve">    9. Other employee benefits</t>
        </is>
      </c>
      <c r="B9" s="9" t="n">
        <v>42593</v>
      </c>
      <c r="C9" s="9" t="n">
        <v>42491</v>
      </c>
      <c r="D9" s="9" t="n">
        <v>41571</v>
      </c>
      <c r="E9" s="9" t="n">
        <v>38478</v>
      </c>
      <c r="F9" s="9" t="n">
        <v>57068</v>
      </c>
      <c r="G9" s="9" t="n">
        <v>64240</v>
      </c>
    </row>
    <row r="10">
      <c r="A10" s="8" t="inlineStr">
        <is>
          <t xml:space="preserve">    10. Payroll taxes</t>
        </is>
      </c>
      <c r="B10" s="9" t="n">
        <v>19990</v>
      </c>
      <c r="C10" s="9" t="n">
        <v>21415</v>
      </c>
      <c r="D10" s="9" t="n">
        <v>22247</v>
      </c>
      <c r="E10" s="9" t="n">
        <v>23186</v>
      </c>
      <c r="F10" s="9" t="n">
        <v>35215</v>
      </c>
      <c r="G10" s="9" t="n">
        <v>35265</v>
      </c>
    </row>
    <row r="11">
      <c r="A11" s="8" t="inlineStr">
        <is>
          <t xml:space="preserve">    11a. Fees for services: management</t>
        </is>
      </c>
      <c r="B11" s="9" t="n">
        <v>187589</v>
      </c>
      <c r="C11" s="9" t="n">
        <v>180735</v>
      </c>
      <c r="D11" s="9" t="n">
        <v>224363</v>
      </c>
      <c r="E11" s="9" t="n">
        <v>149938</v>
      </c>
      <c r="F11" s="9" t="n">
        <v>86276</v>
      </c>
      <c r="G11" s="17" t="inlineStr">
        <is>
          <t>not reported</t>
        </is>
      </c>
    </row>
    <row r="12">
      <c r="A12" s="8" t="inlineStr">
        <is>
          <t xml:space="preserve">    11b. Fees for services: legal</t>
        </is>
      </c>
      <c r="B12" s="9" t="n">
        <v>153103</v>
      </c>
      <c r="C12" s="9" t="n">
        <v>165666</v>
      </c>
      <c r="D12" s="9" t="n">
        <v>186409</v>
      </c>
      <c r="E12" s="9" t="n">
        <v>195861</v>
      </c>
      <c r="F12" s="9" t="n">
        <v>71283</v>
      </c>
      <c r="G12" s="9" t="n">
        <v>178194</v>
      </c>
    </row>
    <row r="13">
      <c r="A13" s="8" t="inlineStr">
        <is>
          <t xml:space="preserve">    11c. Fees for services: accounting</t>
        </is>
      </c>
      <c r="B13" s="9" t="n">
        <v>8200</v>
      </c>
      <c r="C13" s="9" t="n">
        <v>10300</v>
      </c>
      <c r="D13" s="9" t="n">
        <v>10700</v>
      </c>
      <c r="E13" s="9" t="n">
        <v>10700</v>
      </c>
      <c r="F13" s="9" t="n">
        <v>10000</v>
      </c>
      <c r="G13" s="9" t="n">
        <v>9700</v>
      </c>
    </row>
    <row r="14">
      <c r="A14" s="8" t="inlineStr">
        <is>
          <t xml:space="preserve">    11g. Fees for services: other</t>
        </is>
      </c>
      <c r="B14" s="17" t="inlineStr">
        <is>
          <t>not reported</t>
        </is>
      </c>
      <c r="C14" s="17" t="inlineStr">
        <is>
          <t>not reported</t>
        </is>
      </c>
      <c r="D14" s="9" t="n">
        <v>22535</v>
      </c>
      <c r="E14" s="9" t="n">
        <v>46728</v>
      </c>
      <c r="F14" s="9" t="n">
        <v>15601</v>
      </c>
      <c r="G14" s="9" t="n">
        <v>193419</v>
      </c>
    </row>
    <row r="15">
      <c r="A15" s="8" t="inlineStr">
        <is>
          <t xml:space="preserve">    13. Office expenses</t>
        </is>
      </c>
      <c r="B15" s="9" t="n">
        <v>4224</v>
      </c>
      <c r="C15" s="9" t="n">
        <v>4686</v>
      </c>
      <c r="D15" s="9" t="n">
        <v>3921</v>
      </c>
      <c r="E15" s="9" t="n">
        <v>4102</v>
      </c>
      <c r="F15" s="9" t="n">
        <v>9870</v>
      </c>
      <c r="G15" s="9" t="n">
        <v>9944</v>
      </c>
    </row>
    <row r="16">
      <c r="A16" s="8" t="inlineStr">
        <is>
          <t xml:space="preserve">    14. Information technology</t>
        </is>
      </c>
      <c r="B16" s="9" t="n">
        <v>11538</v>
      </c>
      <c r="C16" s="9" t="n">
        <v>18661</v>
      </c>
      <c r="D16" s="9" t="n">
        <v>22940</v>
      </c>
      <c r="E16" s="9" t="n">
        <v>34878</v>
      </c>
      <c r="F16" s="9" t="n">
        <v>69654</v>
      </c>
      <c r="G16" s="9" t="n">
        <v>37238</v>
      </c>
    </row>
    <row r="17">
      <c r="A17" s="8" t="inlineStr">
        <is>
          <t xml:space="preserve">    22. Depreciation, depletion, and amortization</t>
        </is>
      </c>
      <c r="B17" s="9" t="n">
        <v>272490</v>
      </c>
      <c r="C17" s="9" t="n">
        <v>219585</v>
      </c>
      <c r="D17" s="9" t="n">
        <v>179664</v>
      </c>
      <c r="E17" s="9" t="n">
        <v>196965</v>
      </c>
      <c r="F17" s="9" t="n">
        <v>192952</v>
      </c>
      <c r="G17" s="9" t="n">
        <v>181231</v>
      </c>
    </row>
    <row r="18">
      <c r="A18" s="8" t="inlineStr">
        <is>
          <t xml:space="preserve">    23. Insurance</t>
        </is>
      </c>
      <c r="B18" s="9" t="n">
        <v>31258</v>
      </c>
      <c r="C18" s="9" t="n">
        <v>35584</v>
      </c>
      <c r="D18" s="9" t="n">
        <v>40374</v>
      </c>
      <c r="E18" s="9" t="n">
        <v>44781</v>
      </c>
      <c r="F18" s="9" t="n">
        <v>58127</v>
      </c>
      <c r="G18" s="9" t="n">
        <v>65393</v>
      </c>
    </row>
    <row r="19">
      <c r="A19" s="8" t="inlineStr">
        <is>
          <t xml:space="preserve">    24. WATER PURCHASE</t>
        </is>
      </c>
      <c r="B19" s="9" t="n">
        <v>312132</v>
      </c>
      <c r="C19" s="9" t="n">
        <v>563719</v>
      </c>
      <c r="D19" s="9" t="n">
        <v>83309</v>
      </c>
      <c r="E19" s="17" t="inlineStr">
        <is>
          <t>not reported</t>
        </is>
      </c>
      <c r="F19" s="9" t="n">
        <v>103733</v>
      </c>
      <c r="G19" s="9" t="n">
        <v>260503</v>
      </c>
    </row>
    <row r="20">
      <c r="A20" s="8" t="inlineStr">
        <is>
          <t xml:space="preserve">    24. POWER</t>
        </is>
      </c>
      <c r="B20" s="9" t="n">
        <v>104369</v>
      </c>
      <c r="C20" s="9" t="n">
        <v>126485</v>
      </c>
      <c r="D20" s="9" t="n">
        <v>150838</v>
      </c>
      <c r="E20" s="9" t="n">
        <v>192098</v>
      </c>
      <c r="F20" s="9" t="n">
        <v>195044</v>
      </c>
      <c r="G20" s="9" t="n">
        <v>180548</v>
      </c>
    </row>
    <row r="21">
      <c r="A21" s="8" t="inlineStr">
        <is>
          <t xml:space="preserve">    24. REPAIRS &amp; MAINTENANCE</t>
        </is>
      </c>
      <c r="B21" s="9" t="n">
        <v>53913</v>
      </c>
      <c r="C21" s="9" t="n">
        <v>136270</v>
      </c>
      <c r="D21" s="9" t="n">
        <v>139597</v>
      </c>
      <c r="E21" s="9" t="n">
        <v>173755</v>
      </c>
      <c r="F21" s="17" t="inlineStr">
        <is>
          <t>not reported</t>
        </is>
      </c>
      <c r="G21" s="9" t="n">
        <v>74776</v>
      </c>
    </row>
    <row r="22">
      <c r="A22" s="8" t="inlineStr">
        <is>
          <t xml:space="preserve">    24. TAXES &amp; LICENSES</t>
        </is>
      </c>
      <c r="B22" s="9" t="n">
        <v>24352</v>
      </c>
      <c r="C22" s="17" t="inlineStr">
        <is>
          <t>not reported</t>
        </is>
      </c>
      <c r="D22" s="17" t="inlineStr">
        <is>
          <t>not reported</t>
        </is>
      </c>
      <c r="E22" s="17" t="inlineStr">
        <is>
          <t>not reported</t>
        </is>
      </c>
      <c r="F22" s="17" t="inlineStr">
        <is>
          <t>not reported</t>
        </is>
      </c>
      <c r="G22" s="17" t="inlineStr">
        <is>
          <t>not reported</t>
        </is>
      </c>
    </row>
    <row r="23">
      <c r="A23" s="8" t="inlineStr">
        <is>
          <t xml:space="preserve">    24. REGULATORY COMPLIANCE</t>
        </is>
      </c>
      <c r="B23" s="17" t="inlineStr">
        <is>
          <t>not reported</t>
        </is>
      </c>
      <c r="C23" s="9" t="n">
        <v>39238</v>
      </c>
      <c r="D23" s="17" t="inlineStr">
        <is>
          <t>not reported</t>
        </is>
      </c>
      <c r="E23" s="9" t="n">
        <v>60998</v>
      </c>
      <c r="F23" s="9" t="n">
        <v>57377</v>
      </c>
      <c r="G23" s="17" t="inlineStr">
        <is>
          <t>not reported</t>
        </is>
      </c>
    </row>
    <row r="24">
      <c r="A24" s="8" t="inlineStr">
        <is>
          <t xml:space="preserve">    24. WATER PURIFICATION</t>
        </is>
      </c>
      <c r="B24" s="17" t="inlineStr">
        <is>
          <t>not reported</t>
        </is>
      </c>
      <c r="C24" s="17" t="inlineStr">
        <is>
          <t>not reported</t>
        </is>
      </c>
      <c r="D24" s="9" t="n">
        <v>46961</v>
      </c>
      <c r="E24" s="9" t="n">
        <v>52108</v>
      </c>
      <c r="F24" s="17" t="inlineStr">
        <is>
          <t>not reported</t>
        </is>
      </c>
      <c r="G24" s="9" t="n">
        <v>61091</v>
      </c>
    </row>
    <row r="25">
      <c r="A25" s="8" t="inlineStr">
        <is>
          <t xml:space="preserve">    24. COSTS RELATED TO FIRE</t>
        </is>
      </c>
      <c r="B25" s="17" t="inlineStr">
        <is>
          <t>not reported</t>
        </is>
      </c>
      <c r="C25" s="17" t="inlineStr">
        <is>
          <t>not reported</t>
        </is>
      </c>
      <c r="D25" s="17" t="inlineStr">
        <is>
          <t>not reported</t>
        </is>
      </c>
      <c r="E25" s="17" t="inlineStr">
        <is>
          <t>not reported</t>
        </is>
      </c>
      <c r="F25" s="9" t="n">
        <v>61065</v>
      </c>
      <c r="G25" s="17" t="inlineStr">
        <is>
          <t>not reported</t>
        </is>
      </c>
    </row>
    <row r="26">
      <c r="A26" s="8" t="inlineStr">
        <is>
          <t xml:space="preserve">    24e. All other expenses</t>
        </is>
      </c>
      <c r="B26" s="9" t="n">
        <v>90762</v>
      </c>
      <c r="C26" s="9" t="n">
        <v>90975</v>
      </c>
      <c r="D26" s="9" t="n">
        <v>128771</v>
      </c>
      <c r="E26" s="9" t="n">
        <v>168101</v>
      </c>
      <c r="F26" s="9" t="n">
        <v>154422</v>
      </c>
      <c r="G26" s="9" t="n">
        <v>195721</v>
      </c>
    </row>
    <row r="27">
      <c r="A27" s="10" t="inlineStr">
        <is>
          <t>25. Total functional expenses</t>
        </is>
      </c>
      <c r="B27" s="11">
        <f>SUM(B7:B26)</f>
        <v/>
      </c>
      <c r="C27" s="11">
        <f>SUM(C7:C26)</f>
        <v/>
      </c>
      <c r="D27" s="11">
        <f>SUM(D7:D26)</f>
        <v/>
      </c>
      <c r="E27" s="11">
        <f>SUM(E7:E26)</f>
        <v/>
      </c>
      <c r="F27" s="11">
        <f>SUM(F7:F26)</f>
        <v/>
      </c>
      <c r="G27" s="11">
        <f>SUM(G7:G26)</f>
        <v/>
      </c>
    </row>
    <row r="29">
      <c r="A29" s="6" t="inlineStr">
        <is>
          <t>Functional column split - FY2025 (col A = B + C + D)</t>
        </is>
      </c>
      <c r="B29" s="7" t="n"/>
      <c r="C29" s="7" t="n"/>
      <c r="D29" s="7" t="n"/>
      <c r="E29" s="7" t="n"/>
      <c r="F29" s="7" t="n"/>
      <c r="G29" s="7" t="n"/>
    </row>
    <row r="30">
      <c r="A30" s="5" t="inlineStr">
        <is>
          <t>Part IX line</t>
        </is>
      </c>
      <c r="B30" s="5" t="inlineStr">
        <is>
          <t>A. Total</t>
        </is>
      </c>
      <c r="C30" s="5" t="inlineStr">
        <is>
          <t>B. Program services</t>
        </is>
      </c>
      <c r="D30" s="5" t="inlineStr">
        <is>
          <t>C. Management &amp; general</t>
        </is>
      </c>
      <c r="E30" s="5" t="inlineStr">
        <is>
          <t>D. Fundraising</t>
        </is>
      </c>
    </row>
    <row r="31">
      <c r="A31" s="18" t="inlineStr">
        <is>
          <t>7. Other salaries and wages</t>
        </is>
      </c>
      <c r="B31" s="9" t="n">
        <v>432197</v>
      </c>
      <c r="C31" s="9" t="n">
        <v>324752</v>
      </c>
      <c r="D31" s="9" t="n">
        <v>107445</v>
      </c>
      <c r="E31" s="9" t="n"/>
    </row>
    <row r="32">
      <c r="A32" s="18" t="inlineStr">
        <is>
          <t>8. Pension plan accruals and contributions</t>
        </is>
      </c>
      <c r="B32" s="9" t="n">
        <v>26133</v>
      </c>
      <c r="C32" s="9" t="n">
        <v>16468</v>
      </c>
      <c r="D32" s="9" t="n">
        <v>9665</v>
      </c>
      <c r="E32" s="9" t="n"/>
    </row>
    <row r="33">
      <c r="A33" s="18" t="inlineStr">
        <is>
          <t>9. Other employee benefits</t>
        </is>
      </c>
      <c r="B33" s="9" t="n">
        <v>64240</v>
      </c>
      <c r="C33" s="9" t="n">
        <v>36015</v>
      </c>
      <c r="D33" s="9" t="n">
        <v>28225</v>
      </c>
      <c r="E33" s="9" t="n"/>
    </row>
    <row r="34">
      <c r="A34" s="18" t="inlineStr">
        <is>
          <t>10. Payroll taxes</t>
        </is>
      </c>
      <c r="B34" s="9" t="n">
        <v>35265</v>
      </c>
      <c r="C34" s="9" t="n">
        <v>26852</v>
      </c>
      <c r="D34" s="9" t="n">
        <v>8413</v>
      </c>
      <c r="E34" s="9" t="n"/>
    </row>
    <row r="35">
      <c r="A35" s="18" t="inlineStr">
        <is>
          <t>11b. Fees for services: legal</t>
        </is>
      </c>
      <c r="B35" s="9" t="n">
        <v>178194</v>
      </c>
      <c r="C35" s="9" t="n"/>
      <c r="D35" s="9" t="n">
        <v>178194</v>
      </c>
      <c r="E35" s="9" t="n"/>
    </row>
    <row r="36">
      <c r="A36" s="18" t="inlineStr">
        <is>
          <t>11c. Fees for services: accounting</t>
        </is>
      </c>
      <c r="B36" s="9" t="n">
        <v>9700</v>
      </c>
      <c r="C36" s="9" t="n"/>
      <c r="D36" s="9" t="n">
        <v>9700</v>
      </c>
      <c r="E36" s="9" t="n"/>
    </row>
    <row r="37">
      <c r="A37" s="18" t="inlineStr">
        <is>
          <t>11g. Fees for services: other</t>
        </is>
      </c>
      <c r="B37" s="9" t="n">
        <v>193419</v>
      </c>
      <c r="C37" s="9" t="n">
        <v>187861</v>
      </c>
      <c r="D37" s="9" t="n">
        <v>5558</v>
      </c>
      <c r="E37" s="9" t="n"/>
    </row>
    <row r="38">
      <c r="A38" s="18" t="inlineStr">
        <is>
          <t>13. Office expenses</t>
        </is>
      </c>
      <c r="B38" s="9" t="n">
        <v>9944</v>
      </c>
      <c r="C38" s="9" t="n"/>
      <c r="D38" s="9" t="n">
        <v>9944</v>
      </c>
      <c r="E38" s="9" t="n"/>
    </row>
    <row r="39">
      <c r="A39" s="18" t="inlineStr">
        <is>
          <t>14. Information technology</t>
        </is>
      </c>
      <c r="B39" s="9" t="n">
        <v>37238</v>
      </c>
      <c r="C39" s="9" t="n">
        <v>20119</v>
      </c>
      <c r="D39" s="9" t="n">
        <v>17119</v>
      </c>
      <c r="E39" s="9" t="n"/>
    </row>
    <row r="40">
      <c r="A40" s="18" t="inlineStr">
        <is>
          <t>22. Depreciation, depletion, and amortization</t>
        </is>
      </c>
      <c r="B40" s="9" t="n">
        <v>181231</v>
      </c>
      <c r="C40" s="9" t="n">
        <v>170525</v>
      </c>
      <c r="D40" s="9" t="n">
        <v>10706</v>
      </c>
      <c r="E40" s="9" t="n"/>
    </row>
    <row r="41">
      <c r="A41" s="18" t="inlineStr">
        <is>
          <t>23. Insurance</t>
        </is>
      </c>
      <c r="B41" s="9" t="n">
        <v>65393</v>
      </c>
      <c r="C41" s="9" t="n">
        <v>63728</v>
      </c>
      <c r="D41" s="9" t="n">
        <v>1665</v>
      </c>
      <c r="E41" s="9" t="n"/>
    </row>
    <row r="42">
      <c r="A42" s="10" t="inlineStr">
        <is>
          <t>25. Total (filed col A / B / C / D)</t>
        </is>
      </c>
      <c r="B42" s="11" t="n">
        <v>2005593</v>
      </c>
      <c r="C42" s="11" t="n">
        <v>1530340</v>
      </c>
      <c r="D42" s="11" t="n">
        <v>475253</v>
      </c>
      <c r="E42" s="11" t="n">
        <v>0</v>
      </c>
    </row>
    <row r="44" ht="42" customHeight="1">
      <c r="A44"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G3"/>
    <mergeCell ref="A2:G2"/>
    <mergeCell ref="A1:G1"/>
    <mergeCell ref="A44:G4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Crestview Mutual Water Company</t>
        </is>
      </c>
    </row>
    <row r="2">
      <c r="A2" s="2" t="inlineStr">
        <is>
          <t>Balance Sheet - Form 990 Part X (end of year, USD)</t>
        </is>
      </c>
    </row>
    <row r="3">
      <c r="A3" s="2" t="inlineStr">
        <is>
          <t>Entity ID: cawc_0010   |   Fiscal year ends November 30.</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2346176</v>
      </c>
      <c r="C7" s="9" t="n">
        <v>2088776</v>
      </c>
      <c r="D7" s="9" t="n">
        <v>1477271</v>
      </c>
      <c r="E7" s="9" t="n">
        <v>462594</v>
      </c>
      <c r="F7" s="9" t="n">
        <v>1373373</v>
      </c>
      <c r="G7" s="9" t="n">
        <v>1210412</v>
      </c>
    </row>
    <row r="8">
      <c r="A8" s="8" t="inlineStr">
        <is>
          <t xml:space="preserve">    2. Savings and temporary cash investments</t>
        </is>
      </c>
      <c r="B8" s="9" t="n">
        <v>480850</v>
      </c>
      <c r="C8" s="9" t="n">
        <v>477566</v>
      </c>
      <c r="D8" s="9" t="n">
        <v>1449309</v>
      </c>
      <c r="E8" s="9" t="n">
        <v>997259</v>
      </c>
      <c r="F8" s="9" t="n">
        <v>515589</v>
      </c>
      <c r="G8" s="9" t="n">
        <v>521810</v>
      </c>
    </row>
    <row r="9">
      <c r="A9" s="8" t="inlineStr">
        <is>
          <t xml:space="preserve">    4. Accounts receivable, net</t>
        </is>
      </c>
      <c r="B9" s="9" t="n">
        <v>185374</v>
      </c>
      <c r="C9" s="9" t="n">
        <v>200325</v>
      </c>
      <c r="D9" s="9" t="n">
        <v>134061</v>
      </c>
      <c r="E9" s="9" t="n">
        <v>147063</v>
      </c>
      <c r="F9" s="9" t="n">
        <v>183873</v>
      </c>
      <c r="G9" s="9" t="n">
        <v>112939</v>
      </c>
    </row>
    <row r="10">
      <c r="A10" s="8" t="inlineStr">
        <is>
          <t xml:space="preserve">    9. Prepaid expenses and deferred charges</t>
        </is>
      </c>
      <c r="B10" s="9" t="n">
        <v>109319</v>
      </c>
      <c r="C10" s="9" t="n">
        <v>87892</v>
      </c>
      <c r="D10" s="9" t="n">
        <v>106407</v>
      </c>
      <c r="E10" s="9" t="n">
        <v>128063</v>
      </c>
      <c r="F10" s="9" t="n">
        <v>82189</v>
      </c>
      <c r="G10" s="9" t="n">
        <v>82869</v>
      </c>
    </row>
    <row r="11">
      <c r="A11" s="8" t="inlineStr">
        <is>
          <t xml:space="preserve">    10c. Land, buildings, and equipment, net</t>
        </is>
      </c>
      <c r="B11" s="9" t="n">
        <v>3713548</v>
      </c>
      <c r="C11" s="9" t="n">
        <v>3951849</v>
      </c>
      <c r="D11" s="9" t="n">
        <v>4181232</v>
      </c>
      <c r="E11" s="9" t="n">
        <v>4167400</v>
      </c>
      <c r="F11" s="9" t="n">
        <v>4001528</v>
      </c>
      <c r="G11" s="9" t="n">
        <v>4018131</v>
      </c>
    </row>
    <row r="12">
      <c r="A12" s="10" t="inlineStr">
        <is>
          <t>16. Total assets</t>
        </is>
      </c>
      <c r="B12" s="11">
        <f>SUM(B7:B11)</f>
        <v/>
      </c>
      <c r="C12" s="11">
        <f>SUM(C7:C11)</f>
        <v/>
      </c>
      <c r="D12" s="11">
        <f>SUM(D7:D11)</f>
        <v/>
      </c>
      <c r="E12" s="11">
        <f>SUM(E7:E11)</f>
        <v/>
      </c>
      <c r="F12" s="11">
        <f>SUM(F7:F11)</f>
        <v/>
      </c>
      <c r="G12" s="11">
        <f>SUM(G7:G11)</f>
        <v/>
      </c>
    </row>
    <row r="14">
      <c r="A14" s="6" t="inlineStr">
        <is>
          <t>Liabilities</t>
        </is>
      </c>
      <c r="B14" s="7" t="n"/>
      <c r="C14" s="7" t="n"/>
      <c r="D14" s="7" t="n"/>
      <c r="E14" s="7" t="n"/>
      <c r="F14" s="7" t="n"/>
      <c r="G14" s="7" t="n"/>
    </row>
    <row r="15">
      <c r="A15" s="8" t="inlineStr">
        <is>
          <t xml:space="preserve">    17. Accounts payable and accrued expenses</t>
        </is>
      </c>
      <c r="B15" s="9" t="n">
        <v>266874</v>
      </c>
      <c r="C15" s="9" t="n">
        <v>160925</v>
      </c>
      <c r="D15" s="9" t="n">
        <v>161268</v>
      </c>
      <c r="E15" s="9" t="n">
        <v>201286</v>
      </c>
      <c r="F15" s="9" t="n">
        <v>330674</v>
      </c>
      <c r="G15" s="9" t="n">
        <v>172908</v>
      </c>
    </row>
    <row r="16">
      <c r="A16" s="8" t="inlineStr">
        <is>
          <t xml:space="preserve">    23. Secured mortgages and notes payable</t>
        </is>
      </c>
      <c r="B16" s="9" t="n">
        <v>1304223</v>
      </c>
      <c r="C16" s="9" t="n">
        <v>1176683</v>
      </c>
      <c r="D16" s="9" t="n">
        <v>1054156</v>
      </c>
      <c r="E16" s="17" t="inlineStr">
        <is>
          <t>not reported</t>
        </is>
      </c>
      <c r="F16" s="17" t="inlineStr">
        <is>
          <t>not reported</t>
        </is>
      </c>
      <c r="G16" s="17" t="inlineStr">
        <is>
          <t>not reported</t>
        </is>
      </c>
    </row>
    <row r="17">
      <c r="A17" s="10" t="inlineStr">
        <is>
          <t>26. Total liabilities</t>
        </is>
      </c>
      <c r="B17" s="11">
        <f>SUM(B15:B16)</f>
        <v/>
      </c>
      <c r="C17" s="11">
        <f>SUM(C15:C16)</f>
        <v/>
      </c>
      <c r="D17" s="11">
        <f>SUM(D15:D16)</f>
        <v/>
      </c>
      <c r="E17" s="11">
        <f>SUM(E15:E16)</f>
        <v/>
      </c>
      <c r="F17" s="11">
        <f>SUM(F15:F16)</f>
        <v/>
      </c>
      <c r="G17" s="11">
        <f>SUM(G15:G16)</f>
        <v/>
      </c>
    </row>
    <row r="19">
      <c r="A19" s="6" t="inlineStr">
        <is>
          <t>Net assets / fund balances</t>
        </is>
      </c>
      <c r="B19" s="7" t="n"/>
      <c r="C19" s="7" t="n"/>
      <c r="D19" s="7" t="n"/>
      <c r="E19" s="7" t="n"/>
      <c r="F19" s="7" t="n"/>
      <c r="G19" s="7" t="n"/>
    </row>
    <row r="20">
      <c r="A20" s="8" t="inlineStr">
        <is>
          <t xml:space="preserve">    27. Net assets without donor restrictions</t>
        </is>
      </c>
      <c r="B20" s="9" t="n">
        <v>5264170</v>
      </c>
      <c r="C20" s="9" t="n">
        <v>5468800</v>
      </c>
      <c r="D20" s="9" t="n">
        <v>6132856</v>
      </c>
      <c r="E20" s="9" t="n">
        <v>5701093</v>
      </c>
      <c r="F20" s="9" t="n">
        <v>5825878</v>
      </c>
      <c r="G20" s="9" t="n">
        <v>5773253</v>
      </c>
    </row>
    <row r="21">
      <c r="A21" s="10" t="inlineStr">
        <is>
          <t>32. Total net assets / fund balances</t>
        </is>
      </c>
      <c r="B21" s="11">
        <f>SUM(B20:B20)</f>
        <v/>
      </c>
      <c r="C21" s="11">
        <f>SUM(C20:C20)</f>
        <v/>
      </c>
      <c r="D21" s="11">
        <f>SUM(D20:D20)</f>
        <v/>
      </c>
      <c r="E21" s="11">
        <f>SUM(E20:E20)</f>
        <v/>
      </c>
      <c r="F21" s="11">
        <f>SUM(F20:F20)</f>
        <v/>
      </c>
      <c r="G21" s="11">
        <f>SUM(G20:G20)</f>
        <v/>
      </c>
    </row>
    <row r="23" ht="42" customHeight="1">
      <c r="A2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23:G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Crestview Mutual Water Company</t>
        </is>
      </c>
    </row>
    <row r="2">
      <c r="A2" s="2" t="inlineStr">
        <is>
          <t>Reconciliation of Net Assets - Form 990 Part XI (USD)</t>
        </is>
      </c>
    </row>
    <row r="3">
      <c r="A3" s="2" t="inlineStr">
        <is>
          <t>Entity ID: cawc_0010   |   Fiscal year ends November 30.</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4453907</v>
      </c>
      <c r="C7" s="9" t="n">
        <v>5264170</v>
      </c>
      <c r="D7" s="9" t="n">
        <v>5468800</v>
      </c>
      <c r="E7" s="9" t="n">
        <v>6132856</v>
      </c>
      <c r="F7" s="9" t="n">
        <v>5701093</v>
      </c>
      <c r="G7" s="9" t="n">
        <v>5825878</v>
      </c>
    </row>
    <row r="8">
      <c r="A8" s="8" t="inlineStr">
        <is>
          <t xml:space="preserve">    3. Revenue less expenses</t>
        </is>
      </c>
      <c r="B8" s="9" t="n">
        <v>810263</v>
      </c>
      <c r="C8" s="9" t="n">
        <v>204630</v>
      </c>
      <c r="D8" s="9" t="n">
        <v>664056</v>
      </c>
      <c r="E8" s="9" t="n">
        <v>-431761</v>
      </c>
      <c r="F8" s="9" t="n">
        <v>124785</v>
      </c>
      <c r="G8" s="9" t="n">
        <v>-52625</v>
      </c>
    </row>
    <row r="9">
      <c r="A9" s="8" t="inlineStr">
        <is>
          <t xml:space="preserve">    8. Prior period adjustments</t>
        </is>
      </c>
      <c r="B9" s="17" t="inlineStr">
        <is>
          <t>not reported</t>
        </is>
      </c>
      <c r="C9" s="17" t="inlineStr">
        <is>
          <t>not reported</t>
        </is>
      </c>
      <c r="D9" s="17" t="inlineStr">
        <is>
          <t>not reported</t>
        </is>
      </c>
      <c r="E9" s="17" t="inlineStr">
        <is>
          <t>not reported</t>
        </is>
      </c>
      <c r="F9" s="17" t="inlineStr">
        <is>
          <t>not reported</t>
        </is>
      </c>
      <c r="G9" s="17" t="inlineStr">
        <is>
          <t>not reported</t>
        </is>
      </c>
    </row>
    <row r="10">
      <c r="A10" s="8" t="inlineStr">
        <is>
          <t xml:space="preserve">    9. Other changes in net assets</t>
        </is>
      </c>
      <c r="B10" s="17" t="inlineStr">
        <is>
          <t>not reported</t>
        </is>
      </c>
      <c r="C10" s="17" t="inlineStr">
        <is>
          <t>not reported</t>
        </is>
      </c>
      <c r="D10" s="17" t="inlineStr">
        <is>
          <t>not reported</t>
        </is>
      </c>
      <c r="E10" s="9" t="n">
        <v>-2</v>
      </c>
      <c r="F10" s="17" t="inlineStr">
        <is>
          <t>not reported</t>
        </is>
      </c>
      <c r="G10" s="17"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Crestview Mutual Water Company</t>
        </is>
      </c>
    </row>
    <row r="2">
      <c r="A2" s="2" t="inlineStr">
        <is>
          <t>Cash Flow Proxies - derived (USD)</t>
        </is>
      </c>
    </row>
    <row r="3">
      <c r="A3" s="2" t="inlineStr">
        <is>
          <t>Entity ID: cawc_0010   |   Fiscal year ends November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810263</v>
      </c>
      <c r="C9" s="9" t="n">
        <v>204630</v>
      </c>
      <c r="D9" s="9" t="n">
        <v>664056</v>
      </c>
      <c r="E9" s="9" t="n">
        <v>-431761</v>
      </c>
      <c r="F9" s="9" t="n">
        <v>124785</v>
      </c>
      <c r="G9" s="9" t="n">
        <v>-52625</v>
      </c>
    </row>
    <row r="10">
      <c r="A10" s="8" t="inlineStr">
        <is>
          <t xml:space="preserve">    + Depreciation (reported)</t>
        </is>
      </c>
      <c r="B10" s="9" t="n">
        <v>272490</v>
      </c>
      <c r="C10" s="9" t="n">
        <v>219585</v>
      </c>
      <c r="D10" s="9" t="n">
        <v>179664</v>
      </c>
      <c r="E10" s="9" t="n">
        <v>196965</v>
      </c>
      <c r="F10" s="9" t="n">
        <v>192952</v>
      </c>
      <c r="G10" s="9" t="n">
        <v>181231</v>
      </c>
    </row>
    <row r="11">
      <c r="A11" s="8" t="inlineStr">
        <is>
          <t xml:space="preserve">    − Δ Accounts receivable</t>
        </is>
      </c>
      <c r="B11" s="9" t="n"/>
      <c r="C11" s="9" t="n">
        <v>-14951</v>
      </c>
      <c r="D11" s="9" t="n">
        <v>66264</v>
      </c>
      <c r="E11" s="9" t="n">
        <v>-13002</v>
      </c>
      <c r="F11" s="9" t="n">
        <v>-36810</v>
      </c>
      <c r="G11" s="9" t="n">
        <v>70934</v>
      </c>
    </row>
    <row r="12">
      <c r="A12" s="8" t="inlineStr">
        <is>
          <t xml:space="preserve">    − Δ Inventories</t>
        </is>
      </c>
      <c r="B12" s="9" t="n"/>
      <c r="C12" s="9" t="n"/>
      <c r="D12" s="9" t="n"/>
      <c r="E12" s="9" t="n"/>
      <c r="F12" s="9" t="n"/>
      <c r="G12" s="9" t="n"/>
    </row>
    <row r="13">
      <c r="A13" s="8" t="inlineStr">
        <is>
          <t xml:space="preserve">    − Δ Prepaid expenses</t>
        </is>
      </c>
      <c r="B13" s="9" t="n"/>
      <c r="C13" s="9" t="n">
        <v>21427</v>
      </c>
      <c r="D13" s="9" t="n">
        <v>-18515</v>
      </c>
      <c r="E13" s="9" t="n">
        <v>-21656</v>
      </c>
      <c r="F13" s="9" t="n">
        <v>45874</v>
      </c>
      <c r="G13" s="9" t="n">
        <v>-680</v>
      </c>
    </row>
    <row r="14">
      <c r="A14" s="8" t="inlineStr">
        <is>
          <t xml:space="preserve">    + Δ Accounts payable</t>
        </is>
      </c>
      <c r="B14" s="9" t="n"/>
      <c r="C14" s="9" t="n">
        <v>-105949</v>
      </c>
      <c r="D14" s="9" t="n">
        <v>343</v>
      </c>
      <c r="E14" s="9" t="n">
        <v>40018</v>
      </c>
      <c r="F14" s="9" t="n">
        <v>129388</v>
      </c>
      <c r="G14" s="9" t="n">
        <v>-157766</v>
      </c>
    </row>
    <row r="15">
      <c r="A15" s="10" t="inlineStr">
        <is>
          <t xml:space="preserve">    Operating cash flow proxy</t>
        </is>
      </c>
      <c r="B15" s="11" t="n"/>
      <c r="C15" s="11" t="n">
        <v>324742</v>
      </c>
      <c r="D15" s="11" t="n">
        <v>891812</v>
      </c>
      <c r="E15" s="11" t="n">
        <v>-229436</v>
      </c>
      <c r="F15" s="11" t="n">
        <v>456189</v>
      </c>
      <c r="G15" s="11" t="n">
        <v>41094</v>
      </c>
    </row>
    <row r="17">
      <c r="A17" s="6" t="inlineStr">
        <is>
          <t>Investing</t>
        </is>
      </c>
      <c r="B17" s="7" t="n"/>
      <c r="C17" s="7" t="n"/>
      <c r="D17" s="7" t="n"/>
      <c r="E17" s="7" t="n"/>
      <c r="F17" s="7" t="n"/>
      <c r="G17" s="7" t="n"/>
    </row>
    <row r="18">
      <c r="A18" s="8" t="inlineStr">
        <is>
          <t xml:space="preserve">    − Δ PP&amp;E gross (capex proxy)</t>
        </is>
      </c>
      <c r="B18" s="9" t="n"/>
      <c r="C18" s="9" t="n">
        <v>-457886</v>
      </c>
      <c r="D18" s="9" t="n">
        <v>-387703</v>
      </c>
      <c r="E18" s="9" t="n">
        <v>102672</v>
      </c>
      <c r="F18" s="9" t="n">
        <v>-26974</v>
      </c>
      <c r="G18" s="9" t="n">
        <v>-197834</v>
      </c>
    </row>
    <row r="20">
      <c r="A20" s="6" t="inlineStr">
        <is>
          <t>Financing</t>
        </is>
      </c>
      <c r="B20" s="7" t="n"/>
      <c r="C20" s="7" t="n"/>
      <c r="D20" s="7" t="n"/>
      <c r="E20" s="7" t="n"/>
      <c r="F20" s="7" t="n"/>
      <c r="G20" s="7" t="n"/>
    </row>
    <row r="21">
      <c r="A21" s="8" t="inlineStr">
        <is>
          <t xml:space="preserve">    Δ Mortgages &amp; notes payable</t>
        </is>
      </c>
      <c r="B21" s="9" t="n"/>
      <c r="C21" s="9" t="n">
        <v>-127540</v>
      </c>
      <c r="D21" s="9" t="n">
        <v>-122527</v>
      </c>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-260684</v>
      </c>
      <c r="D24" s="11" t="n">
        <v>360238</v>
      </c>
      <c r="E24" s="11" t="n">
        <v>-1466727</v>
      </c>
      <c r="F24" s="11" t="n">
        <v>429109</v>
      </c>
      <c r="G24" s="11" t="n">
        <v>-156740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Crestview Mutual Water Company</t>
        </is>
      </c>
    </row>
    <row r="2">
      <c r="A2" s="2" t="inlineStr">
        <is>
          <t>Financial Ratios</t>
        </is>
      </c>
    </row>
    <row r="3">
      <c r="A3" s="2" t="inlineStr">
        <is>
          <t>Entity ID: cawc_0010   |   Fiscal year ends November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0.3377123041591817</v>
      </c>
      <c r="C7" s="12" t="n">
        <v>0.09515399574241321</v>
      </c>
      <c r="D7" s="12" t="n">
        <v>0.2953814948423801</v>
      </c>
      <c r="E7" s="12" t="n">
        <v>-0.3384298353082082</v>
      </c>
      <c r="F7" s="12" t="n">
        <v>0.0705434021270714</v>
      </c>
      <c r="G7" s="12" t="n">
        <v>-0.02694616604061101</v>
      </c>
    </row>
    <row r="8">
      <c r="A8" s="8" t="inlineStr">
        <is>
          <t xml:space="preserve">    Expense ratio (expenses / revenue)</t>
        </is>
      </c>
      <c r="B8" s="12" t="n">
        <v>0.6622876958408183</v>
      </c>
      <c r="C8" s="12" t="n">
        <v>0.9048460042575868</v>
      </c>
      <c r="D8" s="12" t="n">
        <v>0.7046185051576199</v>
      </c>
      <c r="E8" s="12" t="n">
        <v>1.338429835308208</v>
      </c>
      <c r="F8" s="12" t="n">
        <v>0.9294565978729286</v>
      </c>
      <c r="G8" s="12" t="n">
        <v>1.026946166040611</v>
      </c>
    </row>
    <row r="9">
      <c r="A9" s="8" t="inlineStr">
        <is>
          <t xml:space="preserve">    Return on assets (NI / assets)</t>
        </is>
      </c>
      <c r="B9" s="12" t="n">
        <v>0.1185415288093355</v>
      </c>
      <c r="C9" s="12" t="n">
        <v>0.03006431586234619</v>
      </c>
      <c r="D9" s="12" t="n">
        <v>0.09036890265477092</v>
      </c>
      <c r="E9" s="12" t="n">
        <v>-0.07315033480567751</v>
      </c>
      <c r="F9" s="12" t="n">
        <v>0.02026865037443036</v>
      </c>
      <c r="G9" s="12" t="n">
        <v>-0.008850248084436328</v>
      </c>
    </row>
    <row r="10">
      <c r="A10" s="8" t="inlineStr">
        <is>
          <t xml:space="preserve">    Revenue growth (YoY)</t>
        </is>
      </c>
      <c r="B10" s="12" t="n">
        <v>0.5499300381269598</v>
      </c>
      <c r="C10" s="12" t="n">
        <v>-0.1036798692935768</v>
      </c>
      <c r="D10" s="12" t="n">
        <v>0.04539193885740804</v>
      </c>
      <c r="E10" s="12" t="n">
        <v>-0.432516358039793</v>
      </c>
      <c r="F10" s="12" t="n">
        <v>0.3865362049950736</v>
      </c>
      <c r="G10" s="12" t="n">
        <v>0.1040510234828095</v>
      </c>
    </row>
    <row r="12">
      <c r="A12" s="6" t="inlineStr">
        <is>
          <t>Leverage &amp; solvency</t>
        </is>
      </c>
      <c r="B12" s="7" t="n"/>
      <c r="C12" s="7" t="n"/>
      <c r="D12" s="7" t="n"/>
      <c r="E12" s="7" t="n"/>
      <c r="F12" s="7" t="n"/>
      <c r="G12" s="7" t="n"/>
    </row>
    <row r="13">
      <c r="A13" s="8" t="inlineStr">
        <is>
          <t xml:space="preserve">    Debt-to-assets (liab. / assets)</t>
        </is>
      </c>
      <c r="B13" s="12" t="n">
        <v>0.229851591752012</v>
      </c>
      <c r="C13" s="12" t="n">
        <v>0.1965218658652258</v>
      </c>
      <c r="D13" s="12" t="n">
        <v>0.1654025159629192</v>
      </c>
      <c r="E13" s="12" t="n">
        <v>0.03410252035662231</v>
      </c>
      <c r="F13" s="12" t="n">
        <v>0.0537109083136145</v>
      </c>
      <c r="G13" s="12" t="n">
        <v>0.02907893008615138</v>
      </c>
    </row>
    <row r="14">
      <c r="A14" s="8" t="inlineStr">
        <is>
          <t xml:space="preserve">    Equity ratio (net assets / assets)</t>
        </is>
      </c>
      <c r="B14" s="12" t="n">
        <v>0.770148408247988</v>
      </c>
      <c r="C14" s="12" t="n">
        <v>0.8034781341347742</v>
      </c>
      <c r="D14" s="12" t="n">
        <v>0.8345974840370808</v>
      </c>
      <c r="E14" s="12" t="n">
        <v>0.9658974796433777</v>
      </c>
      <c r="F14" s="12" t="n">
        <v>0.9462890916863855</v>
      </c>
      <c r="G14" s="12" t="n">
        <v>0.9709210699138486</v>
      </c>
    </row>
    <row r="16">
      <c r="A16" s="6" t="inlineStr">
        <is>
          <t>Liquidity &amp; asset profile (derived here)</t>
        </is>
      </c>
      <c r="B16" s="7" t="n"/>
      <c r="C16" s="7" t="n"/>
      <c r="D16" s="7" t="n"/>
      <c r="E16" s="7" t="n"/>
      <c r="F16" s="7" t="n"/>
      <c r="G16" s="7" t="n"/>
    </row>
    <row r="17">
      <c r="A17" s="8" t="inlineStr">
        <is>
          <t xml:space="preserve">    Current ratio (current assets / AP)</t>
        </is>
      </c>
      <c r="B17" s="19" t="n">
        <v>11.69735155916275</v>
      </c>
      <c r="C17" s="19" t="n">
        <v>17.73844337424266</v>
      </c>
      <c r="D17" s="19" t="n">
        <v>19.63841555671305</v>
      </c>
      <c r="E17" s="19" t="n">
        <v>8.619471796349472</v>
      </c>
      <c r="F17" s="19" t="n">
        <v>6.517065145732655</v>
      </c>
      <c r="G17" s="19" t="n">
        <v>11.15061188608971</v>
      </c>
    </row>
    <row r="18">
      <c r="A18" s="8" t="inlineStr">
        <is>
          <t xml:space="preserve">    Cash ratio ((cash+temp inv.) / total liab.)</t>
        </is>
      </c>
      <c r="B18" s="19" t="n">
        <v>1.799396218056555</v>
      </c>
      <c r="C18" s="19" t="n">
        <v>1.918605450924337</v>
      </c>
      <c r="D18" s="19" t="n">
        <v>2.407867542520141</v>
      </c>
      <c r="E18" s="19" t="n">
        <v>7.252630585336288</v>
      </c>
      <c r="F18" s="19" t="n">
        <v>5.712460005927288</v>
      </c>
      <c r="G18" s="19" t="n">
        <v>10.01817151317464</v>
      </c>
    </row>
    <row r="19">
      <c r="A19" s="8" t="inlineStr">
        <is>
          <t xml:space="preserve">    Asset age proxy (accum. deprec. / gross PP&amp;E)</t>
        </is>
      </c>
      <c r="B19" s="12" t="n">
        <v>0.5962795359802312</v>
      </c>
      <c r="C19" s="12" t="n">
        <v>0.5907449523886257</v>
      </c>
      <c r="D19" s="12" t="n">
        <v>0.5837045037467503</v>
      </c>
      <c r="E19" s="12" t="n">
        <v>0.580796424427073</v>
      </c>
      <c r="F19" s="12" t="n">
        <v>0.5985708963077208</v>
      </c>
      <c r="G19" s="12" t="n">
        <v>0.604749637026807</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Crestview Mutual Water Company</t>
        </is>
      </c>
    </row>
    <row r="2">
      <c r="A2" s="2" t="inlineStr">
        <is>
          <t>Unit economics - per-customer revenue by category (USD)</t>
        </is>
      </c>
    </row>
    <row r="3">
      <c r="A3" s="2" t="inlineStr">
        <is>
          <t>Entity ID: cawc_0010   |   Fiscal year ends November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v>630</v>
      </c>
      <c r="C6" s="22" t="inlineStr">
        <is>
          <t>State Water Board eAR Section 4 (CurTotalConnections), reporting year 2023</t>
        </is>
      </c>
    </row>
    <row r="7">
      <c r="A7" s="20" t="inlineStr">
        <is>
          <t>Total annual revenue (eAR Section 8b B1.8)</t>
        </is>
      </c>
      <c r="B7" s="9" t="n">
        <v>1269651</v>
      </c>
      <c r="C7" s="22" t="inlineStr">
        <is>
          <t>State Water Board eAR Section 8b, question B1.8 (total annual revenue), reporting year 2023</t>
        </is>
      </c>
    </row>
    <row r="8">
      <c r="A8" s="20" t="inlineStr">
        <is>
          <t>Primary source</t>
        </is>
      </c>
      <c r="B8" s="23" t="inlineStr"/>
      <c r="C8" s="22" t="inlineStr">
        <is>
          <t>State Water Board eAR Section 8b (revenue by rate/fee), reporting year 2023</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DIRECT</t>
        </is>
      </c>
      <c r="C12" s="9" t="n">
        <v>997871</v>
      </c>
      <c r="D12" s="25" t="n">
        <v>1583.92</v>
      </c>
      <c r="E12" s="26" t="n">
        <v>0.7859</v>
      </c>
    </row>
    <row r="13">
      <c r="A13" s="8" t="inlineStr">
        <is>
          <t>Assessment revenue (990 program-service revenue not matched to eAR water-rate revenue)</t>
        </is>
      </c>
      <c r="B13" s="24" t="inlineStr">
        <is>
          <t>DERIVED</t>
        </is>
      </c>
      <c r="C13" s="9" t="n">
        <v>242369</v>
      </c>
      <c r="D13" s="25" t="n">
        <v>384.71</v>
      </c>
      <c r="E13" s="26" t="n">
        <v>0.1954</v>
      </c>
    </row>
    <row r="14">
      <c r="A14" s="8" t="inlineStr">
        <is>
          <t>Meter revenue</t>
        </is>
      </c>
      <c r="B14" s="24" t="inlineStr">
        <is>
          <t>not reported</t>
        </is>
      </c>
      <c r="C14" s="27" t="inlineStr">
        <is>
          <t>not reported</t>
        </is>
      </c>
      <c r="D14" s="27" t="inlineStr">
        <is>
          <t>not reported</t>
        </is>
      </c>
      <c r="E14" s="27" t="inlineStr">
        <is>
          <t>not reported</t>
        </is>
      </c>
    </row>
    <row r="15">
      <c r="A15" s="8" t="inlineStr">
        <is>
          <t>Overage or tiered penalty revenue</t>
        </is>
      </c>
      <c r="B15" s="24" t="inlineStr">
        <is>
          <t>not reported</t>
        </is>
      </c>
      <c r="C15" s="27" t="inlineStr">
        <is>
          <t>not reported</t>
        </is>
      </c>
      <c r="D15" s="27" t="inlineStr">
        <is>
          <t>not reported</t>
        </is>
      </c>
      <c r="E15" s="27"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0" t="inlineStr">
        <is>
          <t>Numerator: Water rate revenue</t>
        </is>
      </c>
      <c r="B19" s="9" t="n">
        <v>997871</v>
      </c>
      <c r="C19" s="22" t="inlineStr">
        <is>
          <t>eAR Section 8b field B1.1 (residential water rates) only (this filer reported no non-residential water-rate revenue). State Water Board eAR Section 8b, question B1.1 + B1.2 (revenue from water rates), reporting year 2023</t>
        </is>
      </c>
    </row>
    <row r="20">
      <c r="A20" s="20" t="inlineStr">
        <is>
          <t>Denominator: Total service connections</t>
        </is>
      </c>
      <c r="B20" s="21" t="n">
        <v>630</v>
      </c>
      <c r="C20" s="22" t="inlineStr">
        <is>
          <t>eAR Section 4 CurTotalConnections, reporting year 2023. State Water Board eAR Section 4 (CurTotalConnections), reporting year 2023</t>
        </is>
      </c>
    </row>
    <row r="21" ht="36" customHeight="1">
      <c r="A21" s="3" t="inlineStr">
        <is>
          <t>Per customer: water rate revenue $997,871 / 630 connections = $1,583.92 per connection</t>
        </is>
      </c>
    </row>
    <row r="22" ht="36" customHeight="1">
      <c r="A22" s="3" t="inlineStr">
        <is>
          <t>Share of revenue: water rate revenue $997,871 / total annual revenue (eAR Section 8b B1.8) $1,269,651 = 78.59%</t>
        </is>
      </c>
    </row>
    <row r="23" ht="81" customHeight="1">
      <c r="A23" s="3" t="inlineStr">
        <is>
          <t>Period treatment: Numerator (eAR Section 8b, the fiscal year ending November 30, 2023) and denominator (eAR Section 4 connections reported in the same eAR filing) are both the eAR reporting year 2023,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0" t="inlineStr">
        <is>
          <t>Input A: Form 990 program-service revenue</t>
        </is>
      </c>
      <c r="B28" s="9" t="n">
        <v>1240240</v>
      </c>
      <c r="C28" s="22" t="inlineStr">
        <is>
          <t>Form 990 Part VIII line 2 (total program-service revenue), fiscal year 2023 ending November 30, 2023</t>
        </is>
      </c>
    </row>
    <row r="29">
      <c r="A29" s="20" t="inlineStr">
        <is>
          <t>Input B: eAR water-rate revenue</t>
        </is>
      </c>
      <c r="B29" s="9" t="n">
        <v>997871</v>
      </c>
      <c r="C29" s="22" t="inlineStr">
        <is>
          <t>State Water Board eAR Section 8b, question B1.1 + B1.2 (revenue from water rates), reporting year 2023</t>
        </is>
      </c>
    </row>
    <row r="30">
      <c r="A30" s="14" t="inlineStr">
        <is>
          <t>Residual (A minus B) = assessment revenue</t>
        </is>
      </c>
      <c r="B30" s="15">
        <f>B28-B29</f>
        <v/>
      </c>
      <c r="C30" s="22" t="inlineStr">
        <is>
          <t>$1,240,240 (990 program-service revenue) minus $997,871 (eAR water-rate revenue) = $242,369</t>
        </is>
      </c>
    </row>
    <row r="31" ht="66" customHeight="1">
      <c r="A31" s="3" t="inlineStr">
        <is>
          <t>Period alignment: Both inputs cover the same period: the eAR Section 8b is the fiscal year ending November 30, 2023 and the Form 990 fiscal year 2023 ends November 30, 2023,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0" t="inlineStr">
        <is>
          <t>Denominator: Total service connections</t>
        </is>
      </c>
      <c r="B34" s="21" t="n">
        <v>630</v>
      </c>
      <c r="C34" s="22" t="inlineStr">
        <is>
          <t>eAR Section 4 CurTotalConnections, reporting year 2023. State Water Board eAR Section 4 (CurTotalConnections), reporting year 2023</t>
        </is>
      </c>
    </row>
    <row r="35" ht="36" customHeight="1">
      <c r="A35" s="3" t="inlineStr">
        <is>
          <t>Per customer: residual $242,369 / 630 connections = $384.71 per connection</t>
        </is>
      </c>
    </row>
    <row r="36" ht="36" customHeight="1">
      <c r="A36" s="3" t="inlineStr">
        <is>
          <t>Share of revenue: residual $242,369 / 990 program-service revenue $1,240,240 = 19.54%</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Crestview Mutual Water Company</t>
        </is>
      </c>
    </row>
    <row r="2">
      <c r="A2" s="2" t="inlineStr">
        <is>
          <t>Rate structure and representative bill - eAR Section 8a (RY2023)</t>
        </is>
      </c>
    </row>
    <row r="3">
      <c r="A3" s="2" t="inlineStr">
        <is>
          <t>Entity ID: cawc_0010   |   Fiscal year ends November 30.</t>
        </is>
      </c>
    </row>
    <row r="5" ht="81" customHeight="1">
      <c r="A5" s="28" t="inlineStr">
        <is>
          <t>This block is a rate-schedule illustration at defined usage levels. It is NOT billed revenue and not a claim about any real customer's usage. The revenue side of unit economics is the separate Unit Economics block.</t>
        </is>
      </c>
    </row>
    <row r="6" ht="51" customHeight="1">
      <c r="A6" s="29" t="inlineStr">
        <is>
          <t>Structure: Tiered increasing-block with a fixed base, billed monthly, priced per Thousand Gallons.</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0" t="inlineStr"/>
      <c r="B10" s="5" t="inlineStr">
        <is>
          <t>Low</t>
        </is>
      </c>
      <c r="C10" s="5" t="inlineStr">
        <is>
          <t>Median</t>
        </is>
      </c>
      <c r="D10" s="5" t="inlineStr">
        <is>
          <t>High</t>
        </is>
      </c>
    </row>
    <row r="11">
      <c r="A11" s="8" t="inlineStr">
        <is>
          <t>Defined usage level (HCF per month)</t>
        </is>
      </c>
      <c r="B11" s="31" t="n">
        <v>5</v>
      </c>
      <c r="C11" s="31" t="n">
        <v>10</v>
      </c>
      <c r="D11" s="31" t="n">
        <v>25</v>
      </c>
    </row>
    <row r="12">
      <c r="A12" s="8" t="inlineStr">
        <is>
          <t>Conversion: one HCF is this many Thousand Gallons</t>
        </is>
      </c>
      <c r="B12" s="32" t="n">
        <v>0.748</v>
      </c>
      <c r="C12" s="13" t="inlineStr">
        <is>
          <t>1 HCF = 748 gallons</t>
        </is>
      </c>
    </row>
    <row r="13">
      <c r="A13" s="8" t="inlineStr">
        <is>
          <t>Monthly usage (Thousand Gallons)</t>
        </is>
      </c>
      <c r="B13" s="31">
        <f>B11*$B$12</f>
        <v/>
      </c>
      <c r="C13" s="31">
        <f>C11*$B$12</f>
        <v/>
      </c>
      <c r="D13" s="31">
        <f>D11*$B$12</f>
        <v/>
      </c>
    </row>
    <row r="14">
      <c r="A14" s="8" t="inlineStr">
        <is>
          <t>Months per bill (from filed billing frequency)</t>
        </is>
      </c>
      <c r="B14" s="33" t="n">
        <v>1</v>
      </c>
      <c r="C14" s="13" t="inlineStr">
        <is>
          <t>monthly biller</t>
        </is>
      </c>
    </row>
    <row r="16">
      <c r="A16" s="6" t="inlineStr">
        <is>
          <t>Filed rate table - single-family residential (as filed, eAR Section 8a)</t>
        </is>
      </c>
      <c r="B16" s="7" t="n"/>
      <c r="C16" s="7" t="n"/>
      <c r="D16" s="7" t="n"/>
    </row>
    <row r="17">
      <c r="A17" s="8" t="inlineStr">
        <is>
          <t>Base / fixed charge per monthly bill ($)</t>
        </is>
      </c>
      <c r="B17" s="25" t="n">
        <v>2.85</v>
      </c>
    </row>
    <row r="18">
      <c r="A18" s="4" t="inlineStr">
        <is>
          <t>Tier</t>
        </is>
      </c>
      <c r="B18" s="4" t="inlineStr">
        <is>
          <t>Range (Thousand Gallons)</t>
        </is>
      </c>
      <c r="C18" s="34" t="inlineStr">
        <is>
          <t>Price ($/Thousand Gallons)</t>
        </is>
      </c>
      <c r="D18" s="34" t="inlineStr">
        <is>
          <t>Upper limit (Thousand Gallons)</t>
        </is>
      </c>
    </row>
    <row r="19">
      <c r="A19" s="8" t="inlineStr">
        <is>
          <t>Tier 1</t>
        </is>
      </c>
      <c r="B19" s="8" t="inlineStr">
        <is>
          <t>0 to 8.5 Thousand Gallons</t>
        </is>
      </c>
      <c r="C19" s="35" t="n">
        <v>20</v>
      </c>
      <c r="D19" s="36" t="n">
        <v>8.5</v>
      </c>
    </row>
    <row r="20">
      <c r="A20" s="8" t="inlineStr">
        <is>
          <t>Tier 2</t>
        </is>
      </c>
      <c r="B20" s="8" t="inlineStr">
        <is>
          <t>8.5 to 8000 Thousand Gallons</t>
        </is>
      </c>
      <c r="C20" s="35" t="n">
        <v>8000</v>
      </c>
      <c r="D20" s="36" t="n">
        <v>8000</v>
      </c>
    </row>
    <row r="21">
      <c r="A21" s="8" t="inlineStr">
        <is>
          <t>Tier 3</t>
        </is>
      </c>
      <c r="B21" s="8" t="inlineStr">
        <is>
          <t>over 8000 Thousand Gallons</t>
        </is>
      </c>
      <c r="C21" s="35" t="n">
        <v>16000</v>
      </c>
      <c r="D21" s="36" t="inlineStr">
        <is>
          <t>no limit</t>
        </is>
      </c>
    </row>
    <row r="23">
      <c r="A23" s="6" t="inlineStr">
        <is>
          <t>Flags on the filed rate table (nothing below is corrected)</t>
        </is>
      </c>
      <c r="B23" s="7" t="n"/>
      <c r="C23" s="7" t="n"/>
      <c r="D23" s="7" t="n"/>
    </row>
    <row r="24" ht="111" customHeight="1">
      <c r="A24" s="3" t="inlineStr">
        <is>
          <t>Tier 2 price: implausible as filed; checked against source. The filed tier 2 price of $8,000.00 per unit implies $5,984.00 per HCF, outside the $0.50 to $50.00 per HCF range a residential water rate plausibly takes. Carried exactly as filed and not corrected. Source: State Water Board eAR Section 8 / WRSFUsageCost2</t>
        </is>
      </c>
    </row>
    <row r="25" ht="111" customHeight="1">
      <c r="A25" s="3" t="inlineStr">
        <is>
          <t>Tier 3 price: implausible as filed; checked against source. The filed tier 3 price of $16,000.00 per unit implies $11,968.00 per HCF, outside the $0.50 to $50.00 per HCF range a residential water rate plausibly takes. Carried exactly as filed and not corrected. Source: State Water Board eAR Section 8 / WRSFUsageCost3</t>
        </is>
      </c>
    </row>
    <row r="26" ht="126" customHeight="1">
      <c r="A26" s="3" t="inlineStr">
        <is>
          <t>Fixed charge: implausible as filed; checked against source. The filed base charge of $2.85 per bill is $2.85 per month, outside the $5.00 to $500.00 per month range a residential fixed charge plausibly takes. A filed $0.00 can simply mean the company charges no fixed charge. Carried exactly as filed and not corrected. Source: State Water Board eAR Section 8 / WRSFCostPerUOM1</t>
        </is>
      </c>
    </row>
    <row r="28">
      <c r="A28" s="6" t="inlineStr">
        <is>
          <t>Representative monthly bill - NOT COMPUTED</t>
        </is>
      </c>
      <c r="B28" s="7" t="n"/>
      <c r="C28" s="7" t="n"/>
      <c r="D28" s="7" t="n"/>
    </row>
    <row r="29" ht="156" customHeight="1">
      <c r="A29" s="3" t="inlineStr">
        <is>
          <t>No representative bill is computed for this system: the rate table is implausible as filed, because the filed tier 2 carries the same figure, 8,000, as both its usage threshold and its price per unit, so one column holds the other's figure. The filed rate table is shown above exactly as filed and nothing in it has been corrected. Source: State Water Board eAR Section 8 / WRSFMetricUsage2; State Water Board eAR Section 8 / WRSFUsageCost2.</t>
        </is>
      </c>
    </row>
    <row r="31">
      <c r="A31" s="6" t="inlineStr">
        <is>
          <t>Rate-structure comparison metrics</t>
        </is>
      </c>
      <c r="B31" s="7" t="n"/>
      <c r="C31" s="7" t="n"/>
      <c r="D31" s="7" t="n"/>
    </row>
    <row r="32">
      <c r="A32" s="8" t="inlineStr">
        <is>
          <t>Tier price ratio (highest to lowest positive tier)</t>
        </is>
      </c>
      <c r="B32" s="27" t="inlineStr">
        <is>
          <t>800.00x</t>
        </is>
      </c>
      <c r="C32" s="13" t="inlineStr">
        <is>
          <t>highest filed tier price divided by lowest filed tier price.</t>
        </is>
      </c>
    </row>
    <row r="33">
      <c r="A33" s="8" t="inlineStr">
        <is>
          <t>Rate structure (as filed)</t>
        </is>
      </c>
      <c r="B33" s="27" t="inlineStr">
        <is>
          <t>tiered</t>
        </is>
      </c>
    </row>
    <row r="34" ht="66" customHeight="1">
      <c r="A34" s="3" t="inlineStr">
        <is>
          <t>The fixed versus volumetric share is computed from the representative bill, so it is withheld with it. The tier price ratio divides two filed prices and is kept.</t>
        </is>
      </c>
    </row>
  </sheetData>
  <mergeCells count="11">
    <mergeCell ref="A1:D1"/>
    <mergeCell ref="A5:D5"/>
    <mergeCell ref="A6:D6"/>
    <mergeCell ref="A34:D34"/>
    <mergeCell ref="A3:D3"/>
    <mergeCell ref="A26:D26"/>
    <mergeCell ref="A29:D29"/>
    <mergeCell ref="A7:D7"/>
    <mergeCell ref="A25:D25"/>
    <mergeCell ref="A24:D24"/>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Crestview Mutual Water Company</t>
        </is>
      </c>
    </row>
    <row r="2">
      <c r="A2" s="2" t="inlineStr">
        <is>
          <t>eAR annual revenue and expenses - State Water Board eAR Section 8b (USD)</t>
        </is>
      </c>
    </row>
    <row r="3">
      <c r="A3" s="2" t="inlineStr">
        <is>
          <t>Entity ID: cawc_0010   |   Fiscal year ends November 30.</t>
        </is>
      </c>
    </row>
    <row r="5" ht="156" customHeight="1">
      <c r="A5" s="3" t="inlineStr">
        <is>
          <t>The water system's own annual figures from the public eAR Section 8b, on the fiscal year ending November 30, 2023 the filer self-reported (B0.1/B0.2). Shown beside the period-aligned Form 990 with the variance flagged: a different source (a State Water Board self-report vs an IRS filing). Preserved as filed, never reconciled.</t>
        </is>
      </c>
    </row>
    <row r="6">
      <c r="A6" s="20" t="inlineStr">
        <is>
          <t>Reporting period basis (self-reported)</t>
        </is>
      </c>
      <c r="B6" s="23" t="inlineStr">
        <is>
          <t>fiscal year ending November 30, 2023</t>
        </is>
      </c>
      <c r="C6" s="22" t="inlineStr">
        <is>
          <t>eAR Section 8b B0.1 (WRFinancialReportingPeriod) / B0.2 start 12/01/2022</t>
        </is>
      </c>
    </row>
    <row r="8">
      <c r="A8" s="6" t="inlineStr">
        <is>
          <t>Revenue (eAR Section 8b, questions B1.x)</t>
        </is>
      </c>
      <c r="B8" s="7" t="n"/>
      <c r="C8" s="7" t="n"/>
    </row>
    <row r="9">
      <c r="A9" s="5" t="inlineStr">
        <is>
          <t>Line</t>
        </is>
      </c>
      <c r="B9" s="5" t="inlineStr">
        <is>
          <t>Amount (USD)</t>
        </is>
      </c>
      <c r="C9" s="5" t="inlineStr">
        <is>
          <t>Citation</t>
        </is>
      </c>
    </row>
    <row r="10">
      <c r="A10" s="20" t="inlineStr">
        <is>
          <t>Water rate revenue</t>
        </is>
      </c>
      <c r="B10" s="9" t="n">
        <v>997871</v>
      </c>
      <c r="C10" s="22" t="inlineStr">
        <is>
          <t>State Water Board eAR Section 8b, question B1.1 + B1.2 (revenue from water rates), reporting year 2023</t>
        </is>
      </c>
    </row>
    <row r="11">
      <c r="A11" s="20" t="inlineStr">
        <is>
          <t>Other fees and charges</t>
        </is>
      </c>
      <c r="B11" s="9" t="n">
        <v>271780</v>
      </c>
      <c r="C11" s="22" t="inlineStr">
        <is>
          <t>State Water Board eAR Section 8b, question B1.3 + B1.4 (revenue from other fees), reporting year 2023</t>
        </is>
      </c>
    </row>
    <row r="12">
      <c r="A12" s="20" t="inlineStr">
        <is>
          <t>Non-customer revenue</t>
        </is>
      </c>
      <c r="B12" s="9" t="n">
        <v>0</v>
      </c>
      <c r="C12" s="22" t="inlineStr">
        <is>
          <t>State Water Board eAR Section 8b, question B1.7 (grants, interest, and other non-customer), reporting year 2023</t>
        </is>
      </c>
    </row>
    <row r="13">
      <c r="A13" s="20" t="inlineStr">
        <is>
          <t>Total annual revenue</t>
        </is>
      </c>
      <c r="B13" s="37" t="n">
        <v>1269651</v>
      </c>
      <c r="C13" s="22" t="inlineStr">
        <is>
          <t>State Water Board eAR Section 8b, question B1.8 (total annual revenue for the reporting year), reporting year 2023</t>
        </is>
      </c>
    </row>
    <row r="15">
      <c r="A15" s="6" t="inlineStr">
        <is>
          <t>Expenses (eAR Section 8b, questions B2.x)</t>
        </is>
      </c>
      <c r="B15" s="7" t="n"/>
      <c r="C15" s="7" t="n"/>
    </row>
    <row r="16">
      <c r="A16" s="5" t="inlineStr">
        <is>
          <t>Line</t>
        </is>
      </c>
      <c r="B16" s="5" t="inlineStr">
        <is>
          <t>Amount (USD)</t>
        </is>
      </c>
      <c r="C16" s="5" t="inlineStr">
        <is>
          <t>Citation</t>
        </is>
      </c>
    </row>
    <row r="17">
      <c r="A17" s="20" t="inlineStr">
        <is>
          <t>Operations and maintenance</t>
        </is>
      </c>
      <c r="B17" s="9" t="n">
        <v>1148540</v>
      </c>
      <c r="C17" s="22" t="inlineStr">
        <is>
          <t>State Water Board eAR Section 8b, question B2.1 (annual O and M expense), reporting year 2023</t>
        </is>
      </c>
    </row>
    <row r="18">
      <c r="A18" s="20" t="inlineStr">
        <is>
          <t>Capital</t>
        </is>
      </c>
      <c r="B18" s="9" t="n">
        <v>0</v>
      </c>
      <c r="C18" s="22" t="inlineStr">
        <is>
          <t>State Water Board eAR Section 8b, question B2.2 (annual expenses from investing or capital), reporting year 2023</t>
        </is>
      </c>
    </row>
    <row r="19">
      <c r="A19" s="20" t="inlineStr">
        <is>
          <t>Financing</t>
        </is>
      </c>
      <c r="B19" s="9" t="n">
        <v>0</v>
      </c>
      <c r="C19" s="22" t="inlineStr">
        <is>
          <t>State Water Board eAR Section 8b, question B2.3 (annual expenses from financing), reporting year 2023</t>
        </is>
      </c>
    </row>
    <row r="20">
      <c r="A20" s="20" t="inlineStr">
        <is>
          <t>Other</t>
        </is>
      </c>
      <c r="B20" s="9" t="n">
        <v>445845</v>
      </c>
      <c r="C20" s="22" t="inlineStr">
        <is>
          <t>State Water Board eAR Section 8b, question B2.4 (total other annual expenses), reporting year 2023</t>
        </is>
      </c>
    </row>
    <row r="21">
      <c r="A21" s="20" t="inlineStr">
        <is>
          <t>Total annual expenses</t>
        </is>
      </c>
      <c r="B21" s="37" t="n">
        <v>1594385</v>
      </c>
      <c r="C21" s="22" t="inlineStr">
        <is>
          <t>State Water Board eAR Section 8b, question B2.5 (total annual expenses), reporting year 2023</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1269651</v>
      </c>
      <c r="C25" s="9" t="n">
        <v>1275777</v>
      </c>
    </row>
    <row r="26">
      <c r="A26" s="14" t="inlineStr">
        <is>
          <t>Variance (eAR minus Form 990)</t>
        </is>
      </c>
      <c r="B26" s="15">
        <f>B25-C25</f>
        <v/>
      </c>
      <c r="C26" s="38" t="n"/>
    </row>
    <row r="27" ht="201" customHeight="1">
      <c r="A27" s="3" t="inlineStr">
        <is>
          <t>The eAR Section 8b total revenue (State Water Board self-report, fiscal year ending November 30, 2023) and the Form 990 total revenue (IRS filing) are a different source and cover the same fiscal year (December 1, 2022 to November 30, 2023): the water system self-reported the eAR Section 8b on a fiscal year (B0.1 Fiscal, B0.2 start 12/01/2022), which matches the Form 990 fiscal year. Both are carried as filed; the variance is surfaced, never reconciled.</t>
        </is>
      </c>
    </row>
    <row r="28">
      <c r="A28" s="8" t="inlineStr">
        <is>
          <t>total expenses</t>
        </is>
      </c>
      <c r="B28" s="9" t="n">
        <v>1594385</v>
      </c>
      <c r="C28" s="9" t="n">
        <v>1707538</v>
      </c>
    </row>
    <row r="29">
      <c r="A29" s="14" t="inlineStr">
        <is>
          <t>Variance (eAR minus Form 990)</t>
        </is>
      </c>
      <c r="B29" s="15">
        <f>B28-C28</f>
        <v/>
      </c>
      <c r="C29" s="38" t="n"/>
    </row>
    <row r="30" ht="201" customHeight="1">
      <c r="A30" s="3" t="inlineStr">
        <is>
          <t>The eAR Section 8b total expenses (State Water Board self-report, fiscal year ending November 30, 2023) and the Form 990 total expenses (IRS filing) are a different source and cover the same fiscal year (December 1, 2022 to November 30, 2023): the water system self-reported the eAR Section 8b on a fiscal year (B0.1 Fiscal, B0.2 start 12/01/2022), which matches the Form 990 fiscal year.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Crestview Mutual Water Company</t>
        </is>
      </c>
    </row>
    <row r="2">
      <c r="A2" s="2" t="inlineStr">
        <is>
          <t>Denominators and calendar alignment</t>
        </is>
      </c>
    </row>
    <row r="3">
      <c r="A3" s="2" t="inlineStr">
        <is>
          <t>Entity ID: cawc_0010   |   Fiscal year ends November 30.</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0" t="inlineStr">
        <is>
          <t>Customer (service connection)</t>
        </is>
      </c>
      <c r="B7" s="23" t="n"/>
      <c r="C7" s="22" t="inlineStr">
        <is>
          <t>State Water Board eAR Section 4</t>
        </is>
      </c>
    </row>
    <row r="8">
      <c r="A8" s="20" t="inlineStr">
        <is>
          <t>SDWIS service-connection count (different registry)</t>
        </is>
      </c>
      <c r="B8" s="21" t="n">
        <v>630</v>
      </c>
      <c r="C8" s="22" t="inlineStr"/>
    </row>
    <row r="9">
      <c r="A9" s="20" t="inlineStr">
        <is>
          <t>Member (shareholder)</t>
        </is>
      </c>
      <c r="B9" s="23" t="n"/>
      <c r="C9" s="22" t="inlineStr">
        <is>
          <t>No published shareholder count</t>
        </is>
      </c>
    </row>
    <row r="10" ht="96" customHeight="1">
      <c r="A10"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2">
      <c r="A12" s="6" t="inlineStr">
        <is>
          <t>Denominator layer by fiscal year</t>
        </is>
      </c>
      <c r="B12" s="7" t="n"/>
      <c r="C12" s="7" t="n"/>
      <c r="D12" s="7" t="n"/>
      <c r="E12" s="7" t="n"/>
      <c r="F12" s="7" t="n"/>
      <c r="G12" s="7" t="n"/>
    </row>
    <row r="13">
      <c r="A13" s="5" t="inlineStr">
        <is>
          <t>Fiscal year (end)</t>
        </is>
      </c>
      <c r="B13" s="5" t="inlineStr">
        <is>
          <t>Connections</t>
        </is>
      </c>
      <c r="C13" s="5" t="inlineStr">
        <is>
          <t>Population</t>
        </is>
      </c>
      <c r="D13" s="5" t="inlineStr">
        <is>
          <t>Service-area acres</t>
        </is>
      </c>
      <c r="E13" s="5" t="inlineStr">
        <is>
          <t>Water produced (AF)</t>
        </is>
      </c>
      <c r="F13" s="5" t="inlineStr">
        <is>
          <t>Water delivered (AF)</t>
        </is>
      </c>
      <c r="G13" s="5" t="inlineStr">
        <is>
          <t>Alignment method</t>
        </is>
      </c>
    </row>
    <row r="14" ht="40" customHeight="1">
      <c r="A14" s="8" t="inlineStr">
        <is>
          <t>FY2021 (2021-11-30)</t>
        </is>
      </c>
      <c r="B14" s="21" t="n">
        <v>630</v>
      </c>
      <c r="C14" s="17" t="inlineStr">
        <is>
          <t>not reported</t>
        </is>
      </c>
      <c r="D14" s="21" t="n">
        <v>935.9</v>
      </c>
      <c r="E14" s="21" t="n">
        <v>998</v>
      </c>
      <c r="F14" s="21" t="n">
        <v>946.4</v>
      </c>
      <c r="G14" s="23" t="inlineStr">
        <is>
          <t>recast from monthly eAR data to fiscal year ending November 30, 2021</t>
        </is>
      </c>
    </row>
    <row r="15" ht="40" customHeight="1">
      <c r="A15" s="8" t="inlineStr">
        <is>
          <t>FY2022 (2022-11-30)</t>
        </is>
      </c>
      <c r="B15" s="21" t="n">
        <v>630</v>
      </c>
      <c r="C15" s="17" t="inlineStr">
        <is>
          <t>not reported</t>
        </is>
      </c>
      <c r="D15" s="21" t="n">
        <v>935.9</v>
      </c>
      <c r="E15" s="21" t="n">
        <v>785.1</v>
      </c>
      <c r="F15" s="21" t="n">
        <v>744.3</v>
      </c>
      <c r="G15" s="23" t="inlineStr">
        <is>
          <t>recast from monthly eAR data to fiscal year ending November 30, 2022</t>
        </is>
      </c>
    </row>
    <row r="16" ht="40" customHeight="1">
      <c r="A16" s="8" t="inlineStr">
        <is>
          <t>FY2023 (2023-11-30)</t>
        </is>
      </c>
      <c r="B16" s="21" t="n">
        <v>630</v>
      </c>
      <c r="C16" s="21" t="n">
        <v>2079</v>
      </c>
      <c r="D16" s="21" t="n">
        <v>935.9</v>
      </c>
      <c r="E16" s="17" t="inlineStr">
        <is>
          <t>not reported</t>
        </is>
      </c>
      <c r="F16" s="17" t="inlineStr">
        <is>
          <t>not reported</t>
        </is>
      </c>
      <c r="G16" s="23" t="inlineStr">
        <is>
          <t>recast from monthly eAR data to fiscal year ending November 30, 2023</t>
        </is>
      </c>
    </row>
    <row r="17" ht="40" customHeight="1">
      <c r="A17" s="8" t="inlineStr">
        <is>
          <t>FY2024 (2024-11-30)</t>
        </is>
      </c>
      <c r="B17" s="21" t="n">
        <v>630</v>
      </c>
      <c r="C17" s="21" t="n">
        <v>2079</v>
      </c>
      <c r="D17" s="21" t="n">
        <v>935.9</v>
      </c>
      <c r="E17" s="17" t="inlineStr">
        <is>
          <t>not reported</t>
        </is>
      </c>
      <c r="F17" s="17" t="inlineStr">
        <is>
          <t>not reported</t>
        </is>
      </c>
      <c r="G17" s="23" t="inlineStr">
        <is>
          <t>recast from monthly eAR data to fiscal year ending November 30, 2024</t>
        </is>
      </c>
    </row>
    <row r="18" ht="40" customHeight="1">
      <c r="A18" s="8" t="inlineStr">
        <is>
          <t>FY2025 (2025-11-30)</t>
        </is>
      </c>
      <c r="B18" s="17" t="inlineStr">
        <is>
          <t>not reported</t>
        </is>
      </c>
      <c r="C18" s="17" t="inlineStr">
        <is>
          <t>not reported</t>
        </is>
      </c>
      <c r="D18" s="21" t="n">
        <v>935.9</v>
      </c>
      <c r="E18" s="17" t="inlineStr">
        <is>
          <t>not reported</t>
        </is>
      </c>
      <c r="F18" s="17" t="inlineStr">
        <is>
          <t>not reported</t>
        </is>
      </c>
      <c r="G18" s="23" t="inlineStr">
        <is>
          <t>recast from monthly eAR data to fiscal year ending November 30, 2025</t>
        </is>
      </c>
    </row>
    <row r="20">
      <c r="A20" s="6" t="inlineStr">
        <is>
          <t>Connections by class - FY2024 (eAR Section 4)</t>
        </is>
      </c>
      <c r="B20" s="7" t="n"/>
      <c r="C20" s="7" t="n"/>
      <c r="D20" s="7" t="n"/>
      <c r="E20" s="7" t="n"/>
      <c r="F20" s="7" t="n"/>
      <c r="G20" s="7" t="n"/>
    </row>
    <row r="21">
      <c r="A21" s="20" t="inlineStr">
        <is>
          <t>Single-family residential</t>
        </is>
      </c>
      <c r="B21" s="21" t="n">
        <v>630</v>
      </c>
      <c r="C21" s="22" t="inlineStr"/>
    </row>
    <row r="22" ht="81" customHeight="1">
      <c r="A22"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3:G3"/>
    <mergeCell ref="A22:G22"/>
    <mergeCell ref="A2:G2"/>
    <mergeCell ref="A10:G10"/>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Crestview Mutual Water Company</t>
        </is>
      </c>
    </row>
    <row r="2">
      <c r="A2" s="2" t="inlineStr">
        <is>
          <t>Governance evidence status - Ostrom's eight design principles</t>
        </is>
      </c>
    </row>
    <row r="3">
      <c r="A3" s="2" t="inlineStr">
        <is>
          <t>Entity ID: cawc_0010   |   Fiscal year ends November 30.</t>
        </is>
      </c>
    </row>
    <row r="5">
      <c r="A5" s="39" t="inlineStr">
        <is>
          <t>Evidence summary: 6 documented, 0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4" t="inlineStr">
        <is>
          <t>DOCUMENTED</t>
        </is>
      </c>
      <c r="C10" s="23" t="inlineStr">
        <is>
          <t>The system is a defined public water system: 630 service connections over a State-published service-area boundary.</t>
        </is>
      </c>
      <c r="D10" s="23" t="inlineStr">
        <is>
          <t>SDWIS Community water system; SABL service-area boundary (not verified (sabl)); connections defined.</t>
        </is>
      </c>
      <c r="E10" s="40" t="inlineStr">
        <is>
          <t>[C][G]</t>
        </is>
      </c>
    </row>
    <row r="11" ht="81" customHeight="1">
      <c r="A11" s="3" t="inlineStr">
        <is>
          <t>What the record shows: SDWIS defines the membership as a fixed set of service connections and the State Water Board publishes a SABL service-area polygon, so who is inside and outside the system is documented. The boundary is Not Verified (SABL), so its outer edge rests on that State layer.</t>
        </is>
      </c>
    </row>
    <row r="12" ht="46" customHeight="1">
      <c r="A12" s="8" t="inlineStr">
        <is>
          <t>Rules fit local conditions</t>
        </is>
      </c>
      <c r="B12" s="24" t="inlineStr">
        <is>
          <t>DOCUMENTED</t>
        </is>
      </c>
      <c r="C12" s="23" t="inlineStr">
        <is>
          <t>Charges are tied to service under a documented rate or share-based allocation rule reported to the State or set in the company's structure.</t>
        </is>
      </c>
      <c r="D12" s="23" t="inlineStr">
        <is>
          <t>eAR Section 8a customer charges; documented rate or share-allocation rule.</t>
        </is>
      </c>
      <c r="E12" s="40" t="inlineStr">
        <is>
          <t>[E][r1]</t>
        </is>
      </c>
    </row>
    <row r="13" ht="81" customHeight="1">
      <c r="A13" s="3" t="inlineStr">
        <is>
          <t>What the record shows: The record documents how charges are set, whether a filed metered rate schedule or a share-and-acreage allocation, so cost tracks service. Whether every tier scales precisely with use is only partially visible at this scale, but a real cost-to-service rule is on record.</t>
        </is>
      </c>
    </row>
    <row r="14" ht="46" customHeight="1">
      <c r="A14" s="8" t="inlineStr">
        <is>
          <t>Collective-choice arrangements</t>
        </is>
      </c>
      <c r="B14" s="24" t="inlineStr">
        <is>
          <t>DOCUMENTED</t>
        </is>
      </c>
      <c r="C14" s="23" t="inlineStr">
        <is>
          <t>The company is owned by its customer-shareholders and run by a named board they elect, documented in its Form 990 governance section.</t>
        </is>
      </c>
      <c r="D14" s="23" t="inlineStr">
        <is>
          <t>Mutual ownership; named elected board of directors (Form 990).</t>
        </is>
      </c>
      <c r="E14" s="40" t="inlineStr">
        <is>
          <t>[990][r1]</t>
        </is>
      </c>
    </row>
    <row r="15" ht="81" customHeight="1">
      <c r="A15" s="3" t="inlineStr">
        <is>
          <t>What the record shows: The record documents a collective-choice mechanism: customers are shareholders who elect a named board that governs the company. Turnout and specific member votes on major decisions are not documented, but the elected-board structure and its membership are on record.</t>
        </is>
      </c>
    </row>
    <row r="16" ht="46" customHeight="1">
      <c r="A16" s="8" t="inlineStr">
        <is>
          <t>Monitoring</t>
        </is>
      </c>
      <c r="B16" s="24" t="inlineStr">
        <is>
          <t>DOCUMENTED</t>
        </is>
      </c>
      <c r="C16" s="23" t="inlineStr">
        <is>
          <t>The system is metered and monitored: the State SAFER risk assessment shows it Not Failing, and it files an annual eAR.</t>
        </is>
      </c>
      <c r="D16" s="23" t="inlineStr">
        <is>
          <t>SAFER Not Failing; annual eAR reporting; metered connections.</t>
        </is>
      </c>
      <c r="E16" s="40" t="inlineStr">
        <is>
          <t>[S][E]</t>
        </is>
      </c>
    </row>
    <row r="17" ht="81" customHeight="1">
      <c r="A17" s="3" t="inlineStr">
        <is>
          <t>What the record shows: Operational monitoring is documented: the State rates the system Not Failing on its drinking-water risk assessment and the system files an annual eAR. No independent audited financial statement is published, so financial monitoring is weaker, but the operational record is present.</t>
        </is>
      </c>
    </row>
    <row r="18" ht="46" customHeight="1">
      <c r="A18" s="8" t="inlineStr">
        <is>
          <t>Graduated sanctions</t>
        </is>
      </c>
      <c r="B18" s="24" t="inlineStr">
        <is>
          <t>NOT DOCUMENTED</t>
        </is>
      </c>
      <c r="C18" s="23" t="inlineStr">
        <is>
          <t>No published shut-off, penalty, or delinquency policy was found for this system.</t>
        </is>
      </c>
      <c r="D18" s="23" t="inlineStr">
        <is>
          <t>No sourced sanctions policy.</t>
        </is>
      </c>
      <c r="E18" s="40" t="inlineStr">
        <is>
          <t>not reported</t>
        </is>
      </c>
    </row>
    <row r="19" ht="81" customHeight="1">
      <c r="A19" s="3" t="inlineStr">
        <is>
          <t>What the record shows: No public record of a graduated shut-off or penalty policy was found for a system this small.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4" t="inlineStr">
        <is>
          <t>NOT DOCUMENTED</t>
        </is>
      </c>
      <c r="C20" s="23" t="inlineStr">
        <is>
          <t>No published bylaws, dispute procedure, or grievance mechanism was found for this system.</t>
        </is>
      </c>
      <c r="D20" s="23" t="inlineStr">
        <is>
          <t>No sourced conflict-resolution record.</t>
        </is>
      </c>
      <c r="E20" s="40" t="inlineStr">
        <is>
          <t>not reported</t>
        </is>
      </c>
    </row>
    <row r="21" ht="81" customHeight="1">
      <c r="A21" s="3" t="inlineStr">
        <is>
          <t>What the record shows: No public record of a member dispute or conflict-resolution procedure was found.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4" t="inlineStr">
        <is>
          <t>DOCUMENTED</t>
        </is>
      </c>
      <c r="C22" s="23" t="inlineStr">
        <is>
          <t>An incorporated California mutual water company recognized by the IRS (501(c)(12)) and by the State Water Board as a public water system.</t>
        </is>
      </c>
      <c r="D22" s="23" t="inlineStr">
        <is>
          <t>IRS 501(c)(12) exempt filer (Form 990); SDWIS public water system.</t>
        </is>
      </c>
      <c r="E22" s="40" t="inlineStr">
        <is>
          <t>[990][C][SOS]</t>
        </is>
      </c>
    </row>
    <row r="23" ht="150" customHeight="1">
      <c r="A23" s="3" t="inlineStr">
        <is>
          <t>What the record shows: Baseline legal standing is documented: the company is an incorporated mutual recognized by the IRS as a tax-exempt filer and by the State Water Board as a regulated water system. This records the right to organize as a member entity, not a documented instance of exercising it. The California Secretary of State holds the company as a registered corporation, entity number 0243093, first registered 03/03/1950, status as filed "Active", with a governing body named in the Statement of Information filed 12/8/2025. That is a direct state record of the right to organize being recognized, so the evidence behind this status is now a filed corporate record rather than an inference from the company's tax form. The status was already DOCUMENTED and does not move.</t>
        </is>
      </c>
    </row>
    <row r="24" ht="46" customHeight="1">
      <c r="A24" s="8" t="inlineStr">
        <is>
          <t>Nested enterprises</t>
        </is>
      </c>
      <c r="B24" s="24" t="inlineStr">
        <is>
          <t>DOCUMENTED</t>
        </is>
      </c>
      <c r="C24" s="23" t="inlineStr">
        <is>
          <t>The system buys treated water wholesale from a larger supplier, so it is nested inside a regional water enterprise.</t>
        </is>
      </c>
      <c r="D24" s="23" t="inlineStr">
        <is>
          <t>SDWIS Primary Water Source Type: purchased surface water.</t>
        </is>
      </c>
      <c r="E24" s="40" t="inlineStr">
        <is>
          <t>[C][r1]</t>
        </is>
      </c>
    </row>
    <row r="25" ht="81" customHeight="1">
      <c r="A25" s="3" t="inlineStr">
        <is>
          <t>What the record shows: Nesting is documented on the supply side: SDWIS records the system as buying treated surface water wholesale, so it sits inside a larger regional supplier's system. Its role in basin or regional governance is not documented, so the nesting on record is physical rather than a governed layer.</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Crestview Mutual Water Company</t>
        </is>
      </c>
    </row>
    <row r="2">
      <c r="A2" s="2" t="inlineStr">
        <is>
          <t>Operational metrics - plant per acre, density, terrain</t>
        </is>
      </c>
    </row>
    <row r="3">
      <c r="A3" s="2" t="inlineStr">
        <is>
          <t>Entity ID: cawc_0010   |   Fiscal year ends November 30.</t>
        </is>
      </c>
    </row>
    <row r="5">
      <c r="A5" s="6" t="inlineStr">
        <is>
          <t>Plant assets per acre</t>
        </is>
      </c>
      <c r="B5" s="7" t="n"/>
      <c r="C5" s="7" t="n"/>
    </row>
    <row r="6">
      <c r="A6" s="20" t="inlineStr">
        <is>
          <t>Service-area acres</t>
        </is>
      </c>
      <c r="B6" s="41" t="n">
        <v>935.9</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10317.5564</v>
      </c>
      <c r="C8" s="9" t="n">
        <v>4222.512</v>
      </c>
    </row>
    <row r="9">
      <c r="A9" s="18" t="inlineStr">
        <is>
          <t>FY2022</t>
        </is>
      </c>
      <c r="B9" s="9" t="n">
        <v>10731.8132</v>
      </c>
      <c r="C9" s="9" t="n">
        <v>4467.6055</v>
      </c>
    </row>
    <row r="10">
      <c r="A10" s="18" t="inlineStr">
        <is>
          <t>FY2023</t>
        </is>
      </c>
      <c r="B10" s="9" t="n">
        <v>10622.1092</v>
      </c>
      <c r="C10" s="9" t="n">
        <v>4452.8262</v>
      </c>
    </row>
    <row r="11">
      <c r="A11" s="18" t="inlineStr">
        <is>
          <t>FY2024</t>
        </is>
      </c>
      <c r="B11" s="9" t="n">
        <v>10650.9307</v>
      </c>
      <c r="C11" s="9" t="n">
        <v>4275.5935</v>
      </c>
    </row>
    <row r="12">
      <c r="A12" s="18" t="inlineStr">
        <is>
          <t>FY2025</t>
        </is>
      </c>
      <c r="B12" s="9" t="n">
        <v>10862.3143</v>
      </c>
      <c r="C12" s="9" t="n">
        <v>4293.3337</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0.67</v>
      </c>
      <c r="C19" s="22" t="inlineStr">
        <is>
          <t>630 connections / 935.9 acres. CA State Water Board SABL SERVICE_CONNECTIONS; Geodesic area (WGS84 spherical excess) of the SABL service-area polygon.</t>
        </is>
      </c>
    </row>
    <row r="21">
      <c r="A21" s="6" t="inlineStr">
        <is>
          <t>Who they are</t>
        </is>
      </c>
      <c r="B21" s="7" t="n"/>
      <c r="C21" s="7" t="n"/>
    </row>
    <row r="22">
      <c r="A22" s="20" t="inlineStr">
        <is>
          <t>Terrain class</t>
        </is>
      </c>
      <c r="B22" s="23" t="inlineStr">
        <is>
          <t>flat valley</t>
        </is>
      </c>
      <c r="C22" s="22" t="inlineStr">
        <is>
          <t>Company context page (BLUEPRINT 5B)</t>
        </is>
      </c>
    </row>
    <row r="23" ht="96" customHeight="1">
      <c r="A23" s="3" t="inlineStr">
        <is>
          <t>A shareholder-owned mutual water company (501(c)(12)) serving about 630 service connections (roughly 618 households, ~2,079 residents) in Camarillo, Ventura County, on flat valley terrain.</t>
        </is>
      </c>
    </row>
  </sheetData>
  <mergeCells count="8">
    <mergeCell ref="A13:C13"/>
    <mergeCell ref="A1:C1"/>
    <mergeCell ref="A16:C16"/>
    <mergeCell ref="A23:C23"/>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Crestview Mutual Water Company</t>
        </is>
      </c>
    </row>
    <row r="2">
      <c r="A2" s="2" t="inlineStr">
        <is>
          <t>Supply and weather indicators (DWR water year)</t>
        </is>
      </c>
    </row>
    <row r="3">
      <c r="A3" s="2" t="inlineStr">
        <is>
          <t>Entity ID: cawc_0010   |   Fiscal year ends November 30.</t>
        </is>
      </c>
    </row>
    <row r="5" ht="96" customHeight="1">
      <c r="A5" s="3" t="inlineStr">
        <is>
          <t>Reporting calendar: Different reporting periods. The DWR water year runs October 1 to September 30; this system's fiscal year ends November 30, so the two period ends are two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40" t="inlineStr">
        <is>
          <t>Critical</t>
        </is>
      </c>
      <c r="C8" s="40" t="inlineStr">
        <is>
          <t>Critical</t>
        </is>
      </c>
      <c r="D8" s="40" t="inlineStr">
        <is>
          <t>Wet</t>
        </is>
      </c>
      <c r="E8" s="40" t="inlineStr">
        <is>
          <t>Above Normal</t>
        </is>
      </c>
      <c r="F8" s="42" t="inlineStr">
        <is>
          <t>not reported</t>
        </is>
      </c>
    </row>
    <row r="9">
      <c r="A9" s="8" t="inlineStr">
        <is>
          <t>Peak drought, Ventura County</t>
        </is>
      </c>
      <c r="B9" s="40" t="inlineStr">
        <is>
          <t>D4</t>
        </is>
      </c>
      <c r="C9" s="40" t="inlineStr">
        <is>
          <t>D4</t>
        </is>
      </c>
      <c r="D9" s="40" t="inlineStr">
        <is>
          <t>D3</t>
        </is>
      </c>
      <c r="E9" s="40" t="inlineStr">
        <is>
          <t>None (no D0-D4 during the fiscal year)</t>
        </is>
      </c>
      <c r="F9" s="40" t="inlineStr">
        <is>
          <t>D3</t>
        </is>
      </c>
    </row>
    <row r="10">
      <c r="A10" s="8" t="inlineStr">
        <is>
          <t>Precip, percent of normal (8-Station Index)</t>
        </is>
      </c>
      <c r="B10" s="40" t="inlineStr">
        <is>
          <t>48</t>
        </is>
      </c>
      <c r="C10" s="40" t="inlineStr">
        <is>
          <t>86</t>
        </is>
      </c>
      <c r="D10" s="40" t="inlineStr">
        <is>
          <t>133</t>
        </is>
      </c>
      <c r="E10" s="40" t="inlineStr">
        <is>
          <t>96</t>
        </is>
      </c>
      <c r="F10" s="40" t="inlineStr">
        <is>
          <t>113</t>
        </is>
      </c>
    </row>
    <row r="11">
      <c r="A11" s="8" t="inlineStr">
        <is>
          <t>Snowpack, April 1 percent of average</t>
        </is>
      </c>
      <c r="B11" s="40" t="inlineStr">
        <is>
          <t>59%</t>
        </is>
      </c>
      <c r="C11" s="40" t="inlineStr">
        <is>
          <t>38%</t>
        </is>
      </c>
      <c r="D11" s="40" t="inlineStr">
        <is>
          <t>237%</t>
        </is>
      </c>
      <c r="E11" s="40" t="inlineStr">
        <is>
          <t>110%</t>
        </is>
      </c>
      <c r="F11" s="40" t="inlineStr">
        <is>
          <t>96%</t>
        </is>
      </c>
    </row>
    <row r="12">
      <c r="A12" s="8" t="inlineStr">
        <is>
          <t>State Water Project allocation</t>
        </is>
      </c>
      <c r="B12" s="40" t="inlineStr">
        <is>
          <t>5%</t>
        </is>
      </c>
      <c r="C12" s="40" t="inlineStr">
        <is>
          <t>5%</t>
        </is>
      </c>
      <c r="D12" s="40" t="inlineStr">
        <is>
          <t>100%</t>
        </is>
      </c>
      <c r="E12" s="40" t="inlineStr">
        <is>
          <t>40%</t>
        </is>
      </c>
      <c r="F12" s="40"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Crestview Mutual Water Company</t>
        </is>
      </c>
    </row>
    <row r="2">
      <c r="A2" s="2" t="inlineStr">
        <is>
          <t>How this was built - forensic lineage</t>
        </is>
      </c>
    </row>
    <row r="3">
      <c r="A3" s="2" t="inlineStr">
        <is>
          <t>Entity ID: cawc_0010   |   Fiscal year ends November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2023,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0" t="inlineStr">
        <is>
          <t>Sources checked</t>
        </is>
      </c>
      <c r="B12" s="22" t="inlineStr">
        <is>
          <t>Form 990 Part VIII line 2 (program-service revenue); State Water Board eAR Section 8b (water-rate revenue B1.1/B1.2)</t>
        </is>
      </c>
    </row>
    <row r="13" ht="72" customHeight="1">
      <c r="A13" s="20" t="inlineStr">
        <is>
          <t>What was found</t>
        </is>
      </c>
      <c r="B13" s="22" t="inlineStr">
        <is>
          <t>No source separately reports a member assessment, so it is DERIVED as a residual: $1,240,240 (990 program-service revenue) minus $997,871 (eAR water-rate revenue) = $242,369. Period-aligned; medium confidence.</t>
        </is>
      </c>
    </row>
    <row r="14" ht="72" customHeight="1">
      <c r="A14" s="20" t="inlineStr">
        <is>
          <t>Caveat</t>
        </is>
      </c>
      <c r="B14" s="22"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Crestview Mutual Water Company</t>
        </is>
      </c>
    </row>
    <row r="2">
      <c r="A2" s="2" t="inlineStr">
        <is>
          <t>Water Operations (sourced outside the financial filings)</t>
        </is>
      </c>
    </row>
    <row r="3">
      <c r="A3" s="2" t="inlineStr">
        <is>
          <t>Entity ID: cawc_0010   |   Fiscal year ends November 30.</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23" t="inlineStr">
        <is>
          <t>Potable (community drinking water)</t>
        </is>
      </c>
      <c r="C8" s="8" t="inlineStr">
        <is>
          <t>SDWIS Drinking Water Watch (State Water Board)</t>
        </is>
      </c>
      <c r="D8" s="40" t="n">
        <v>2024</v>
      </c>
      <c r="E8" s="8" t="inlineStr">
        <is>
          <t>high</t>
        </is>
      </c>
      <c r="F8" s="23" t="inlineStr">
        <is>
          <t>CRESTVIEW MUTUAL WATER CO: State Water System Type = Community.</t>
        </is>
      </c>
    </row>
    <row r="9" ht="42" customHeight="1">
      <c r="A9" s="8" t="inlineStr">
        <is>
          <t>Source mix</t>
        </is>
      </c>
      <c r="B9" s="23" t="inlineStr">
        <is>
          <t>Primary source: purchased treated surface water from a wholesale supplier (SDWIS Primary Water Source Type: Surface Water Purchased). SDWIS classifies the primary supply type; it states no acre-foot volume by source.</t>
        </is>
      </c>
      <c r="C9" s="8" t="inlineStr">
        <is>
          <t>SDWIS Drinking Water Watch (State Water Board)</t>
        </is>
      </c>
      <c r="D9" s="40" t="n">
        <v>2024</v>
      </c>
      <c r="E9" s="8" t="inlineStr">
        <is>
          <t>high</t>
        </is>
      </c>
      <c r="F9" s="23" t="inlineStr">
        <is>
          <t>CRESTVIEW MUTUAL WATER CO: Primary Water Source Type = Surface Water Purchased.</t>
        </is>
      </c>
    </row>
    <row r="10" ht="42" customHeight="1">
      <c r="A10" s="8" t="inlineStr">
        <is>
          <t>Service connections (total)</t>
        </is>
      </c>
      <c r="B10" s="23" t="inlineStr">
        <is>
          <t>630 connections</t>
        </is>
      </c>
      <c r="C10" s="8" t="inlineStr">
        <is>
          <t>SDWIS Drinking Water Watch (State Water Board)</t>
        </is>
      </c>
      <c r="D10" s="40" t="n">
        <v>2024</v>
      </c>
      <c r="E10" s="8" t="inlineStr">
        <is>
          <t>high</t>
        </is>
      </c>
      <c r="F10" s="23" t="inlineStr">
        <is>
          <t>CRESTVIEW MUTUAL WATER CO: Total Number of Service Connections = 630.  [cross-source: SDWIS connection snapshot; the eAR reports active service connections on its own basis and per reporting year. Both preserved, not reconciled.]</t>
        </is>
      </c>
    </row>
    <row r="11" ht="42" customHeight="1">
      <c r="A11" s="8" t="inlineStr">
        <is>
          <t>Connections by class</t>
        </is>
      </c>
      <c r="B11" s="23" t="inlineStr">
        <is>
          <t>Service connections by type (SDWIS snapshot): Residential 630; Total 630.</t>
        </is>
      </c>
      <c r="C11" s="8" t="inlineStr">
        <is>
          <t>SDWIS Drinking Water Watch (State Water Board)</t>
        </is>
      </c>
      <c r="D11" s="40" t="n">
        <v>2024</v>
      </c>
      <c r="E11" s="8" t="inlineStr">
        <is>
          <t>high</t>
        </is>
      </c>
      <c r="F11" s="23" t="inlineStr">
        <is>
          <t>CRESTVIEW MUTUAL WATER CO: connections by type - Residential 630; Total 630.</t>
        </is>
      </c>
    </row>
    <row r="12" ht="42" customHeight="1">
      <c r="A12" s="8" t="inlineStr">
        <is>
          <t>Population served</t>
        </is>
      </c>
      <c r="B12" s="23" t="inlineStr">
        <is>
          <t>2,079 residents</t>
        </is>
      </c>
      <c r="C12" s="8" t="inlineStr">
        <is>
          <t>SDWIS Drinking Water Watch (State Water Board)</t>
        </is>
      </c>
      <c r="D12" s="40" t="n">
        <v>2024</v>
      </c>
      <c r="E12" s="8" t="inlineStr">
        <is>
          <t>high</t>
        </is>
      </c>
      <c r="F12" s="23" t="inlineStr">
        <is>
          <t>CRESTVIEW MUTUAL WATER CO: Total Population = 2,079.</t>
        </is>
      </c>
    </row>
    <row r="13" ht="42" customHeight="1">
      <c r="A13" s="8" t="inlineStr">
        <is>
          <t>Treatment and water quality</t>
        </is>
      </c>
      <c r="B13" s="23" t="inlineStr">
        <is>
          <t>Operator certification on file: Treatment Operator Level 1; Distribution Operator Level 3. SDWIS states operator grades, not the treatment process detail.</t>
        </is>
      </c>
      <c r="C13" s="8" t="inlineStr">
        <is>
          <t>SDWIS Drinking Water Watch (State Water Board)</t>
        </is>
      </c>
      <c r="D13" s="40" t="n">
        <v>2024</v>
      </c>
      <c r="E13" s="8" t="inlineStr">
        <is>
          <t>high</t>
        </is>
      </c>
      <c r="F13" s="23" t="inlineStr">
        <is>
          <t>CRESTVIEW MUTUAL WATER CO: Treatment Plant Class = Treatment Operator Level 1; Distribution System Class = Distribution Operator Level 3.</t>
        </is>
      </c>
    </row>
    <row r="15">
      <c r="A15" s="6" t="inlineStr">
        <is>
          <t>Not reported (source still needed)</t>
        </is>
      </c>
      <c r="B15" s="7" t="n"/>
      <c r="C15" s="7" t="n"/>
      <c r="D15" s="7" t="n"/>
      <c r="E15" s="7" t="n"/>
      <c r="F15" s="7" t="n"/>
    </row>
    <row r="16" ht="30" customHeight="1">
      <c r="A16" s="8" t="inlineStr">
        <is>
          <t>Annual volume delivered (acre-feet)</t>
        </is>
      </c>
      <c r="B16" s="22" t="inlineStr">
        <is>
          <t>not reported - needs annual volume in acre-feet (State Water Board eAR Section 6 or company production records); the CCR states only a percentage mix</t>
        </is>
      </c>
      <c r="C16" s="38" t="n"/>
      <c r="D16" s="38" t="n"/>
      <c r="E16" s="38" t="n"/>
      <c r="F16" s="38" t="n"/>
    </row>
    <row r="17" ht="30" customHeight="1">
      <c r="A17" s="8" t="inlineStr">
        <is>
          <t>Customer classes served</t>
        </is>
      </c>
      <c r="B17" s="22" t="inlineStr">
        <is>
          <t>not reported - needs the State Water Board eAR or the system CCR</t>
        </is>
      </c>
      <c r="C17" s="38" t="n"/>
      <c r="D17" s="38" t="n"/>
      <c r="E17" s="38" t="n"/>
      <c r="F17" s="38" t="n"/>
    </row>
  </sheetData>
  <mergeCells count="4">
    <mergeCell ref="A3:F3"/>
    <mergeCell ref="A2:F2"/>
    <mergeCell ref="A1:F1"/>
    <mergeCell ref="A5:F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3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Crestview Mutual Water Company</t>
        </is>
      </c>
    </row>
    <row r="2">
      <c r="A2" s="2" t="inlineStr">
        <is>
          <t>Sources &amp; audit - full provenance and tie-outs (kept off the statements so they read clean)</t>
        </is>
      </c>
    </row>
    <row r="3">
      <c r="A3" s="2" t="inlineStr">
        <is>
          <t>Entity ID: cawc_0010   |   Fiscal year ends November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0" t="inlineStr">
        <is>
          <t>FY2020</t>
        </is>
      </c>
      <c r="B10" s="8" t="inlineStr">
        <is>
          <t>2020-11-30</t>
        </is>
      </c>
      <c r="C10" s="8" t="inlineStr">
        <is>
          <t>990</t>
        </is>
      </c>
      <c r="D10" s="8" t="inlineStr">
        <is>
          <t>high</t>
        </is>
      </c>
      <c r="E10" s="8" t="inlineStr">
        <is>
          <t>d09ae1aa-d662-4059-ad01-bcc8d901e90b</t>
        </is>
      </c>
      <c r="F10" s="8" t="inlineStr">
        <is>
          <t>202102509349301345</t>
        </is>
      </c>
      <c r="G10" s="8" t="inlineStr">
        <is>
          <t>claude-opus-5</t>
        </is>
      </c>
      <c r="H10" s="8" t="inlineStr">
        <is>
          <t>2026-09-14T20:40:22+00:00</t>
        </is>
      </c>
      <c r="I10" s="8" t="inlineStr">
        <is>
          <t>https://apps.irs.gov/pub/epostcard/990/xml/2021/2021_TEOS_XML_01A.zip#202102509349301345_public.xml</t>
        </is>
      </c>
    </row>
    <row r="11">
      <c r="A11" s="40" t="inlineStr">
        <is>
          <t>FY2021</t>
        </is>
      </c>
      <c r="B11" s="8" t="inlineStr">
        <is>
          <t>2021-11-30</t>
        </is>
      </c>
      <c r="C11" s="8" t="inlineStr">
        <is>
          <t>990</t>
        </is>
      </c>
      <c r="D11" s="8" t="inlineStr">
        <is>
          <t>high</t>
        </is>
      </c>
      <c r="E11" s="8" t="inlineStr">
        <is>
          <t>5bf28e55-35bb-4eae-9d89-a3cc772320b5</t>
        </is>
      </c>
      <c r="F11" s="8" t="inlineStr">
        <is>
          <t>202231829349300118</t>
        </is>
      </c>
      <c r="G11" s="8" t="inlineStr">
        <is>
          <t>claude-opus-5</t>
        </is>
      </c>
      <c r="H11" s="8" t="inlineStr">
        <is>
          <t>2026-09-14T20:40:22+00:00</t>
        </is>
      </c>
      <c r="I11" s="8" t="inlineStr">
        <is>
          <t>https://apps.irs.gov/pub/epostcard/990/xml/2022/2022_TEOS_XML_01A.zip#202231829349300118_public.xml</t>
        </is>
      </c>
    </row>
    <row r="12">
      <c r="A12" s="40" t="inlineStr">
        <is>
          <t>FY2022</t>
        </is>
      </c>
      <c r="B12" s="8" t="inlineStr">
        <is>
          <t>2022-11-30</t>
        </is>
      </c>
      <c r="C12" s="8" t="inlineStr">
        <is>
          <t>990</t>
        </is>
      </c>
      <c r="D12" s="8" t="inlineStr">
        <is>
          <t>high</t>
        </is>
      </c>
      <c r="E12" s="8" t="inlineStr">
        <is>
          <t>4ea47521-ff44-45d6-817b-32403ef09be2</t>
        </is>
      </c>
      <c r="F12" s="8" t="inlineStr">
        <is>
          <t>202311849349301016</t>
        </is>
      </c>
      <c r="G12" s="8" t="inlineStr">
        <is>
          <t>claude-opus-5</t>
        </is>
      </c>
      <c r="H12" s="8" t="inlineStr">
        <is>
          <t>2026-09-14T20:40:22+00:00</t>
        </is>
      </c>
      <c r="I12" s="8" t="inlineStr">
        <is>
          <t>https://apps.irs.gov/pub/epostcard/990/xml/2023/2023_TEOS_XML_07A.zip#202311849349301016_public.xml</t>
        </is>
      </c>
    </row>
    <row r="13">
      <c r="A13" s="40" t="inlineStr">
        <is>
          <t>FY2023</t>
        </is>
      </c>
      <c r="B13" s="8" t="inlineStr">
        <is>
          <t>2023-11-30</t>
        </is>
      </c>
      <c r="C13" s="8" t="inlineStr">
        <is>
          <t>990</t>
        </is>
      </c>
      <c r="D13" s="8" t="inlineStr">
        <is>
          <t>high</t>
        </is>
      </c>
      <c r="E13" s="8" t="inlineStr">
        <is>
          <t>fd3c0dfd-cd79-451b-9170-15ecbd0a193c</t>
        </is>
      </c>
      <c r="F13" s="8" t="inlineStr">
        <is>
          <t>202441699349300759</t>
        </is>
      </c>
      <c r="G13" s="8" t="inlineStr">
        <is>
          <t>claude-opus-5</t>
        </is>
      </c>
      <c r="H13" s="8" t="inlineStr">
        <is>
          <t>2026-09-14T20:40:22+00:00</t>
        </is>
      </c>
      <c r="I13" s="8" t="inlineStr">
        <is>
          <t>https://apps.irs.gov/pub/epostcard/990/xml/2024/2024_TEOS_XML_06A.zip#202441699349300759_public.xml</t>
        </is>
      </c>
    </row>
    <row r="14">
      <c r="A14" s="40" t="inlineStr">
        <is>
          <t>FY2024</t>
        </is>
      </c>
      <c r="B14" s="8" t="inlineStr">
        <is>
          <t>2024-11-30</t>
        </is>
      </c>
      <c r="C14" s="8" t="inlineStr">
        <is>
          <t>990</t>
        </is>
      </c>
      <c r="D14" s="8" t="inlineStr">
        <is>
          <t>high</t>
        </is>
      </c>
      <c r="E14" s="8" t="inlineStr">
        <is>
          <t>70e18b8c-3893-40b7-a929-a8f554c1eb79</t>
        </is>
      </c>
      <c r="F14" s="8" t="inlineStr">
        <is>
          <t>202501329349306675</t>
        </is>
      </c>
      <c r="G14" s="8" t="inlineStr">
        <is>
          <t>claude-opus-5</t>
        </is>
      </c>
      <c r="H14" s="8" t="inlineStr">
        <is>
          <t>2026-09-14T20:40:22+00:00</t>
        </is>
      </c>
      <c r="I14" s="8" t="inlineStr">
        <is>
          <t>https://apps.irs.gov/pub/epostcard/990/xml/2025/2025_TEOS_XML_05A.zip#202501329349306675_public.xml</t>
        </is>
      </c>
    </row>
    <row r="15">
      <c r="A15" s="40" t="inlineStr">
        <is>
          <t>FY2025</t>
        </is>
      </c>
      <c r="B15" s="8" t="inlineStr">
        <is>
          <t>2025-11-30</t>
        </is>
      </c>
      <c r="C15" s="8" t="inlineStr">
        <is>
          <t>990</t>
        </is>
      </c>
      <c r="D15" s="8" t="inlineStr">
        <is>
          <t>high</t>
        </is>
      </c>
      <c r="E15" s="8" t="inlineStr">
        <is>
          <t>806edcb5-94fc-4f6b-a64b-befa7dea3eaa</t>
        </is>
      </c>
      <c r="F15" s="8" t="inlineStr">
        <is>
          <t>202641699349300529</t>
        </is>
      </c>
      <c r="G15" s="8" t="inlineStr">
        <is>
          <t>claude-opus-5</t>
        </is>
      </c>
      <c r="H15" s="8" t="inlineStr">
        <is>
          <t>2026-09-14T20:40:22+00:00</t>
        </is>
      </c>
      <c r="I15" s="8" t="inlineStr">
        <is>
          <t>https://apps.irs.gov/pub/epostcard/990/xml/2026/2026_TEOS_XML_06A.zip#202641699349300529_public.xml</t>
        </is>
      </c>
    </row>
    <row r="17">
      <c r="A17" s="3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1787473</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2123328</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2217178</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1240239</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1718834</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1909951</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611797</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27186</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30951</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37391</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52970</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43022</v>
      </c>
    </row>
    <row r="31">
      <c r="A31" s="8" t="inlineStr">
        <is>
          <t>Revenue (detail)</t>
        </is>
      </c>
      <c r="B31" s="8" t="inlineStr">
        <is>
          <t>B8</t>
        </is>
      </c>
      <c r="C31" s="8" t="inlineStr">
        <is>
          <t>2g. Total program service revenue</t>
        </is>
      </c>
      <c r="D31" s="8" t="inlineStr">
        <is>
          <t>2g</t>
        </is>
      </c>
      <c r="E31" s="8" t="inlineStr">
        <is>
          <t>part_viii_revenue.total_program_service_revenue</t>
        </is>
      </c>
      <c r="F31" s="8" t="inlineStr">
        <is>
          <t>high</t>
        </is>
      </c>
      <c r="G31" s="9" t="n">
        <v>2381777</v>
      </c>
    </row>
    <row r="32">
      <c r="A32" s="8" t="inlineStr">
        <is>
          <t>Revenue (detail)</t>
        </is>
      </c>
      <c r="B32" s="8" t="inlineStr">
        <is>
          <t>C8</t>
        </is>
      </c>
      <c r="C32" s="8" t="inlineStr">
        <is>
          <t>2g. Total program service revenue</t>
        </is>
      </c>
      <c r="D32" s="8" t="inlineStr">
        <is>
          <t>2g</t>
        </is>
      </c>
      <c r="E32" s="8" t="inlineStr">
        <is>
          <t>part_viii_revenue.total_program_service_revenue</t>
        </is>
      </c>
      <c r="F32" s="8" t="inlineStr">
        <is>
          <t>high</t>
        </is>
      </c>
      <c r="G32" s="9" t="n">
        <v>2125290</v>
      </c>
    </row>
    <row r="33">
      <c r="A33" s="8" t="inlineStr">
        <is>
          <t>Revenue (detail)</t>
        </is>
      </c>
      <c r="B33" s="8" t="inlineStr">
        <is>
          <t>D8</t>
        </is>
      </c>
      <c r="C33" s="8" t="inlineStr">
        <is>
          <t>2g. Total program service revenue</t>
        </is>
      </c>
      <c r="D33" s="8" t="inlineStr">
        <is>
          <t>2g</t>
        </is>
      </c>
      <c r="E33" s="8" t="inlineStr">
        <is>
          <t>part_viii_revenue.total_program_service_revenue</t>
        </is>
      </c>
      <c r="F33" s="8" t="inlineStr">
        <is>
          <t>high</t>
        </is>
      </c>
      <c r="G33" s="9" t="n">
        <v>2217179</v>
      </c>
    </row>
    <row r="34">
      <c r="A34" s="8" t="inlineStr">
        <is>
          <t>Revenue (detail)</t>
        </is>
      </c>
      <c r="B34" s="8" t="inlineStr">
        <is>
          <t>E8</t>
        </is>
      </c>
      <c r="C34" s="8" t="inlineStr">
        <is>
          <t>2g. Total program service revenue</t>
        </is>
      </c>
      <c r="D34" s="8" t="inlineStr">
        <is>
          <t>2g</t>
        </is>
      </c>
      <c r="E34" s="8" t="inlineStr">
        <is>
          <t>part_viii_revenue.total_program_service_revenue</t>
        </is>
      </c>
      <c r="F34" s="8" t="inlineStr">
        <is>
          <t>high</t>
        </is>
      </c>
      <c r="G34" s="9" t="n">
        <v>1240240</v>
      </c>
    </row>
    <row r="35">
      <c r="A35" s="8" t="inlineStr">
        <is>
          <t>Revenue (detail)</t>
        </is>
      </c>
      <c r="B35" s="8" t="inlineStr">
        <is>
          <t>F8</t>
        </is>
      </c>
      <c r="C35" s="8" t="inlineStr">
        <is>
          <t>2g. Total program service revenue</t>
        </is>
      </c>
      <c r="D35" s="8" t="inlineStr">
        <is>
          <t>2g</t>
        </is>
      </c>
      <c r="E35" s="8" t="inlineStr">
        <is>
          <t>part_viii_revenue.total_program_service_revenue</t>
        </is>
      </c>
      <c r="F35" s="8" t="inlineStr">
        <is>
          <t>high</t>
        </is>
      </c>
      <c r="G35" s="9" t="n">
        <v>1718834</v>
      </c>
    </row>
    <row r="36">
      <c r="A36" s="8" t="inlineStr">
        <is>
          <t>Revenue (detail)</t>
        </is>
      </c>
      <c r="B36" s="8" t="inlineStr">
        <is>
          <t>G8</t>
        </is>
      </c>
      <c r="C36" s="8" t="inlineStr">
        <is>
          <t>2g. Total program service revenue</t>
        </is>
      </c>
      <c r="D36" s="8" t="inlineStr">
        <is>
          <t>2g</t>
        </is>
      </c>
      <c r="E36" s="8" t="inlineStr">
        <is>
          <t>part_viii_revenue.total_program_service_revenue</t>
        </is>
      </c>
      <c r="F36" s="8" t="inlineStr">
        <is>
          <t>high</t>
        </is>
      </c>
      <c r="G36" s="9" t="n">
        <v>1909946</v>
      </c>
    </row>
    <row r="37">
      <c r="A37" s="8" t="inlineStr">
        <is>
          <t>Revenue (detail)</t>
        </is>
      </c>
      <c r="B37" s="8" t="inlineStr">
        <is>
          <t>B9</t>
        </is>
      </c>
      <c r="C37" s="8" t="inlineStr">
        <is>
          <t>3. Investment income</t>
        </is>
      </c>
      <c r="D37" s="8" t="inlineStr">
        <is>
          <t>3</t>
        </is>
      </c>
      <c r="E37" s="8" t="inlineStr">
        <is>
          <t>part_viii_revenue.investment_income</t>
        </is>
      </c>
      <c r="F37" s="8" t="inlineStr">
        <is>
          <t>high</t>
        </is>
      </c>
      <c r="G37" s="9" t="n">
        <v>17493</v>
      </c>
    </row>
    <row r="38">
      <c r="A38" s="8" t="inlineStr">
        <is>
          <t>Revenue (detail)</t>
        </is>
      </c>
      <c r="B38" s="8" t="inlineStr">
        <is>
          <t>C9</t>
        </is>
      </c>
      <c r="C38" s="8" t="inlineStr">
        <is>
          <t>3. Investment income</t>
        </is>
      </c>
      <c r="D38" s="8" t="inlineStr">
        <is>
          <t>3</t>
        </is>
      </c>
      <c r="E38" s="8" t="inlineStr">
        <is>
          <t>part_viii_revenue.investment_income</t>
        </is>
      </c>
      <c r="F38" s="8" t="inlineStr">
        <is>
          <t>high</t>
        </is>
      </c>
      <c r="G38" s="9" t="n">
        <v>25224</v>
      </c>
    </row>
    <row r="39">
      <c r="A39" s="8" t="inlineStr">
        <is>
          <t>Revenue (detail)</t>
        </is>
      </c>
      <c r="B39" s="8" t="inlineStr">
        <is>
          <t>D9</t>
        </is>
      </c>
      <c r="C39" s="8" t="inlineStr">
        <is>
          <t>3. Investment income</t>
        </is>
      </c>
      <c r="D39" s="8" t="inlineStr">
        <is>
          <t>3</t>
        </is>
      </c>
      <c r="E39" s="8" t="inlineStr">
        <is>
          <t>part_viii_revenue.investment_income</t>
        </is>
      </c>
      <c r="F39" s="8" t="inlineStr">
        <is>
          <t>high</t>
        </is>
      </c>
      <c r="G39" s="9" t="n">
        <v>29951</v>
      </c>
    </row>
    <row r="40">
      <c r="A40" s="8" t="inlineStr">
        <is>
          <t>Revenue (detail)</t>
        </is>
      </c>
      <c r="B40" s="8" t="inlineStr">
        <is>
          <t>E9</t>
        </is>
      </c>
      <c r="C40" s="8" t="inlineStr">
        <is>
          <t>3. Investment income</t>
        </is>
      </c>
      <c r="D40" s="8" t="inlineStr">
        <is>
          <t>3</t>
        </is>
      </c>
      <c r="E40" s="8" t="inlineStr">
        <is>
          <t>part_viii_revenue.investment_income</t>
        </is>
      </c>
      <c r="F40" s="8" t="inlineStr">
        <is>
          <t>high</t>
        </is>
      </c>
      <c r="G40" s="9" t="n">
        <v>37391</v>
      </c>
    </row>
    <row r="41">
      <c r="A41" s="8" t="inlineStr">
        <is>
          <t>Revenue (detail)</t>
        </is>
      </c>
      <c r="B41" s="8" t="inlineStr">
        <is>
          <t>F9</t>
        </is>
      </c>
      <c r="C41" s="8" t="inlineStr">
        <is>
          <t>3. Investment income</t>
        </is>
      </c>
      <c r="D41" s="8" t="inlineStr">
        <is>
          <t>3</t>
        </is>
      </c>
      <c r="E41" s="8" t="inlineStr">
        <is>
          <t>part_viii_revenue.investment_income</t>
        </is>
      </c>
      <c r="F41" s="8" t="inlineStr">
        <is>
          <t>high</t>
        </is>
      </c>
      <c r="G41" s="9" t="n">
        <v>52970</v>
      </c>
    </row>
    <row r="42">
      <c r="A42" s="8" t="inlineStr">
        <is>
          <t>Revenue (detail)</t>
        </is>
      </c>
      <c r="B42" s="8" t="inlineStr">
        <is>
          <t>G9</t>
        </is>
      </c>
      <c r="C42" s="8" t="inlineStr">
        <is>
          <t>3. Investment income</t>
        </is>
      </c>
      <c r="D42" s="8" t="inlineStr">
        <is>
          <t>3</t>
        </is>
      </c>
      <c r="E42" s="8" t="inlineStr">
        <is>
          <t>part_viii_revenue.investment_income</t>
        </is>
      </c>
      <c r="F42" s="8" t="inlineStr">
        <is>
          <t>high</t>
        </is>
      </c>
      <c r="G42" s="9" t="n">
        <v>43022</v>
      </c>
    </row>
    <row r="43">
      <c r="A43" s="8" t="inlineStr">
        <is>
          <t>Revenue (detail)</t>
        </is>
      </c>
      <c r="B43" s="8" t="inlineStr">
        <is>
          <t>D11</t>
        </is>
      </c>
      <c r="C43" s="8" t="inlineStr">
        <is>
          <t>7d. Net gain/(loss) from investment sales</t>
        </is>
      </c>
      <c r="D43" s="8" t="inlineStr">
        <is>
          <t>7d</t>
        </is>
      </c>
      <c r="E43" s="8" t="inlineStr">
        <is>
          <t>part_viii_revenue.net_gain_or_loss_investments</t>
        </is>
      </c>
      <c r="F43" s="8" t="inlineStr">
        <is>
          <t>high</t>
        </is>
      </c>
      <c r="G43" s="9" t="n">
        <v>1000</v>
      </c>
    </row>
    <row r="44">
      <c r="A44" s="8" t="inlineStr">
        <is>
          <t>Revenue (detail)</t>
        </is>
      </c>
      <c r="B44" s="8" t="inlineStr">
        <is>
          <t>E11</t>
        </is>
      </c>
      <c r="C44" s="8" t="inlineStr">
        <is>
          <t>7d. Net gain/(loss) from investment sales</t>
        </is>
      </c>
      <c r="D44" s="8" t="inlineStr">
        <is>
          <t>7d</t>
        </is>
      </c>
      <c r="E44" s="8" t="inlineStr">
        <is>
          <t>part_viii_revenue.net_gain_or_loss_investments</t>
        </is>
      </c>
      <c r="F44" s="8" t="inlineStr">
        <is>
          <t>high</t>
        </is>
      </c>
      <c r="G44" s="9" t="n">
        <v>-1854</v>
      </c>
    </row>
    <row r="45">
      <c r="A45" s="8" t="inlineStr">
        <is>
          <t>Revenue (detail)</t>
        </is>
      </c>
      <c r="B45" s="8" t="inlineStr">
        <is>
          <t>F11</t>
        </is>
      </c>
      <c r="C45" s="8" t="inlineStr">
        <is>
          <t>7d. Net gain/(loss) from investment sales</t>
        </is>
      </c>
      <c r="D45" s="8" t="inlineStr">
        <is>
          <t>7d</t>
        </is>
      </c>
      <c r="E45" s="8" t="inlineStr">
        <is>
          <t>part_viii_revenue.net_gain_or_loss_investments</t>
        </is>
      </c>
      <c r="F45" s="8" t="inlineStr">
        <is>
          <t>high</t>
        </is>
      </c>
      <c r="G45" s="9" t="n">
        <v>-2893</v>
      </c>
    </row>
    <row r="46">
      <c r="A46" s="8" t="inlineStr">
        <is>
          <t>Operating expenses (detail)</t>
        </is>
      </c>
      <c r="B46" s="8" t="inlineStr">
        <is>
          <t>B7</t>
        </is>
      </c>
      <c r="C46" s="8" t="inlineStr">
        <is>
          <t>7. Other salaries and wages</t>
        </is>
      </c>
      <c r="D46" s="8" t="inlineStr">
        <is>
          <t>7</t>
        </is>
      </c>
      <c r="E46" s="8" t="inlineStr">
        <is>
          <t>part_ix_expenses.other_salaries_and_wages</t>
        </is>
      </c>
      <c r="F46" s="8" t="inlineStr">
        <is>
          <t>high</t>
        </is>
      </c>
      <c r="G46" s="9" t="n">
        <v>250956</v>
      </c>
    </row>
    <row r="47">
      <c r="A47" s="8" t="inlineStr">
        <is>
          <t>Operating expenses (detail)</t>
        </is>
      </c>
      <c r="B47" s="8" t="inlineStr">
        <is>
          <t>C7</t>
        </is>
      </c>
      <c r="C47" s="8" t="inlineStr">
        <is>
          <t>7. Other salaries and wages</t>
        </is>
      </c>
      <c r="D47" s="8" t="inlineStr">
        <is>
          <t>7</t>
        </is>
      </c>
      <c r="E47" s="8" t="inlineStr">
        <is>
          <t>part_ix_expenses.other_salaries_and_wages</t>
        </is>
      </c>
      <c r="F47" s="8" t="inlineStr">
        <is>
          <t>high</t>
        </is>
      </c>
      <c r="G47" s="9" t="n">
        <v>265470</v>
      </c>
    </row>
    <row r="48">
      <c r="A48" s="8" t="inlineStr">
        <is>
          <t>Operating expenses (detail)</t>
        </is>
      </c>
      <c r="B48" s="8" t="inlineStr">
        <is>
          <t>D7</t>
        </is>
      </c>
      <c r="C48" s="8" t="inlineStr">
        <is>
          <t>7. Other salaries and wages</t>
        </is>
      </c>
      <c r="D48" s="8" t="inlineStr">
        <is>
          <t>7</t>
        </is>
      </c>
      <c r="E48" s="8" t="inlineStr">
        <is>
          <t>part_ix_expenses.other_salaries_and_wages</t>
        </is>
      </c>
      <c r="F48" s="8" t="inlineStr">
        <is>
          <t>high</t>
        </is>
      </c>
      <c r="G48" s="9" t="n">
        <v>261943</v>
      </c>
    </row>
    <row r="49">
      <c r="A49" s="8" t="inlineStr">
        <is>
          <t>Operating expenses (detail)</t>
        </is>
      </c>
      <c r="B49" s="8" t="inlineStr">
        <is>
          <t>E7</t>
        </is>
      </c>
      <c r="C49" s="8" t="inlineStr">
        <is>
          <t>7. Other salaries and wages</t>
        </is>
      </c>
      <c r="D49" s="8" t="inlineStr">
        <is>
          <t>7</t>
        </is>
      </c>
      <c r="E49" s="8" t="inlineStr">
        <is>
          <t>part_ix_expenses.other_salaries_and_wages</t>
        </is>
      </c>
      <c r="F49" s="8" t="inlineStr">
        <is>
          <t>high</t>
        </is>
      </c>
      <c r="G49" s="9" t="n">
        <v>292522</v>
      </c>
    </row>
    <row r="50">
      <c r="A50" s="8" t="inlineStr">
        <is>
          <t>Operating expenses (detail)</t>
        </is>
      </c>
      <c r="B50" s="8" t="inlineStr">
        <is>
          <t>F7</t>
        </is>
      </c>
      <c r="C50" s="8" t="inlineStr">
        <is>
          <t>7. Other salaries and wages</t>
        </is>
      </c>
      <c r="D50" s="8" t="inlineStr">
        <is>
          <t>7</t>
        </is>
      </c>
      <c r="E50" s="8" t="inlineStr">
        <is>
          <t>part_ix_expenses.other_salaries_and_wages</t>
        </is>
      </c>
      <c r="F50" s="8" t="inlineStr">
        <is>
          <t>high</t>
        </is>
      </c>
      <c r="G50" s="9" t="n">
        <v>429089</v>
      </c>
    </row>
    <row r="51">
      <c r="A51" s="8" t="inlineStr">
        <is>
          <t>Operating expenses (detail)</t>
        </is>
      </c>
      <c r="B51" s="8" t="inlineStr">
        <is>
          <t>G7</t>
        </is>
      </c>
      <c r="C51" s="8" t="inlineStr">
        <is>
          <t>7. Other salaries and wages</t>
        </is>
      </c>
      <c r="D51" s="8" t="inlineStr">
        <is>
          <t>7</t>
        </is>
      </c>
      <c r="E51" s="8" t="inlineStr">
        <is>
          <t>part_ix_expenses.other_salaries_and_wages</t>
        </is>
      </c>
      <c r="F51" s="8" t="inlineStr">
        <is>
          <t>high</t>
        </is>
      </c>
      <c r="G51" s="9" t="n">
        <v>432197</v>
      </c>
    </row>
    <row r="52">
      <c r="A52" s="8" t="inlineStr">
        <is>
          <t>Operating expenses (detail)</t>
        </is>
      </c>
      <c r="B52" s="8" t="inlineStr">
        <is>
          <t>B8</t>
        </is>
      </c>
      <c r="C52" s="8" t="inlineStr">
        <is>
          <t>8. Pension plan accruals and contributions</t>
        </is>
      </c>
      <c r="D52" s="8" t="inlineStr">
        <is>
          <t>8</t>
        </is>
      </c>
      <c r="E52" s="8" t="inlineStr">
        <is>
          <t>part_ix_expenses.pension_plan_contributions</t>
        </is>
      </c>
      <c r="F52" s="8" t="inlineStr">
        <is>
          <t>high</t>
        </is>
      </c>
      <c r="G52" s="9" t="n">
        <v>21538</v>
      </c>
    </row>
    <row r="53">
      <c r="A53" s="8" t="inlineStr">
        <is>
          <t>Operating expenses (detail)</t>
        </is>
      </c>
      <c r="B53" s="8" t="inlineStr">
        <is>
          <t>C8</t>
        </is>
      </c>
      <c r="C53" s="8" t="inlineStr">
        <is>
          <t>8. Pension plan accruals and contributions</t>
        </is>
      </c>
      <c r="D53" s="8" t="inlineStr">
        <is>
          <t>8</t>
        </is>
      </c>
      <c r="E53" s="8" t="inlineStr">
        <is>
          <t>part_ix_expenses.pension_plan_contributions</t>
        </is>
      </c>
      <c r="F53" s="8" t="inlineStr">
        <is>
          <t>high</t>
        </is>
      </c>
      <c r="G53" s="9" t="n">
        <v>24604</v>
      </c>
    </row>
    <row r="54">
      <c r="A54" s="8" t="inlineStr">
        <is>
          <t>Operating expenses (detail)</t>
        </is>
      </c>
      <c r="B54" s="8" t="inlineStr">
        <is>
          <t>D8</t>
        </is>
      </c>
      <c r="C54" s="8" t="inlineStr">
        <is>
          <t>8. Pension plan accruals and contributions</t>
        </is>
      </c>
      <c r="D54" s="8" t="inlineStr">
        <is>
          <t>8</t>
        </is>
      </c>
      <c r="E54" s="8" t="inlineStr">
        <is>
          <t>part_ix_expenses.pension_plan_contributions</t>
        </is>
      </c>
      <c r="F54" s="8" t="inlineStr">
        <is>
          <t>high</t>
        </is>
      </c>
      <c r="G54" s="9" t="n">
        <v>17931</v>
      </c>
    </row>
    <row r="55">
      <c r="A55" s="8" t="inlineStr">
        <is>
          <t>Operating expenses (detail)</t>
        </is>
      </c>
      <c r="B55" s="8" t="inlineStr">
        <is>
          <t>E8</t>
        </is>
      </c>
      <c r="C55" s="8" t="inlineStr">
        <is>
          <t>8. Pension plan accruals and contributions</t>
        </is>
      </c>
      <c r="D55" s="8" t="inlineStr">
        <is>
          <t>8</t>
        </is>
      </c>
      <c r="E55" s="8" t="inlineStr">
        <is>
          <t>part_ix_expenses.pension_plan_contributions</t>
        </is>
      </c>
      <c r="F55" s="8" t="inlineStr">
        <is>
          <t>high</t>
        </is>
      </c>
      <c r="G55" s="9" t="n">
        <v>22339</v>
      </c>
    </row>
    <row r="56">
      <c r="A56" s="8" t="inlineStr">
        <is>
          <t>Operating expenses (detail)</t>
        </is>
      </c>
      <c r="B56" s="8" t="inlineStr">
        <is>
          <t>F8</t>
        </is>
      </c>
      <c r="C56" s="8" t="inlineStr">
        <is>
          <t>8. Pension plan accruals and contributions</t>
        </is>
      </c>
      <c r="D56" s="8" t="inlineStr">
        <is>
          <t>8</t>
        </is>
      </c>
      <c r="E56" s="8" t="inlineStr">
        <is>
          <t>part_ix_expenses.pension_plan_contributions</t>
        </is>
      </c>
      <c r="F56" s="8" t="inlineStr">
        <is>
          <t>high</t>
        </is>
      </c>
      <c r="G56" s="9" t="n">
        <v>37350</v>
      </c>
    </row>
    <row r="57">
      <c r="A57" s="8" t="inlineStr">
        <is>
          <t>Operating expenses (detail)</t>
        </is>
      </c>
      <c r="B57" s="8" t="inlineStr">
        <is>
          <t>G8</t>
        </is>
      </c>
      <c r="C57" s="8" t="inlineStr">
        <is>
          <t>8. Pension plan accruals and contributions</t>
        </is>
      </c>
      <c r="D57" s="8" t="inlineStr">
        <is>
          <t>8</t>
        </is>
      </c>
      <c r="E57" s="8" t="inlineStr">
        <is>
          <t>part_ix_expenses.pension_plan_contributions</t>
        </is>
      </c>
      <c r="F57" s="8" t="inlineStr">
        <is>
          <t>high</t>
        </is>
      </c>
      <c r="G57" s="9" t="n">
        <v>26133</v>
      </c>
    </row>
    <row r="58">
      <c r="A58" s="8" t="inlineStr">
        <is>
          <t>Operating expenses (detail)</t>
        </is>
      </c>
      <c r="B58" s="8" t="inlineStr">
        <is>
          <t>B9</t>
        </is>
      </c>
      <c r="C58" s="8" t="inlineStr">
        <is>
          <t>9. Other employee benefits</t>
        </is>
      </c>
      <c r="D58" s="8" t="inlineStr">
        <is>
          <t>9</t>
        </is>
      </c>
      <c r="E58" s="8" t="inlineStr">
        <is>
          <t>part_ix_expenses.other_employee_benefits</t>
        </is>
      </c>
      <c r="F58" s="8" t="inlineStr">
        <is>
          <t>high</t>
        </is>
      </c>
      <c r="G58" s="9" t="n">
        <v>42593</v>
      </c>
    </row>
    <row r="59">
      <c r="A59" s="8" t="inlineStr">
        <is>
          <t>Operating expenses (detail)</t>
        </is>
      </c>
      <c r="B59" s="8" t="inlineStr">
        <is>
          <t>C9</t>
        </is>
      </c>
      <c r="C59" s="8" t="inlineStr">
        <is>
          <t>9. Other employee benefits</t>
        </is>
      </c>
      <c r="D59" s="8" t="inlineStr">
        <is>
          <t>9</t>
        </is>
      </c>
      <c r="E59" s="8" t="inlineStr">
        <is>
          <t>part_ix_expenses.other_employee_benefits</t>
        </is>
      </c>
      <c r="F59" s="8" t="inlineStr">
        <is>
          <t>high</t>
        </is>
      </c>
      <c r="G59" s="9" t="n">
        <v>42491</v>
      </c>
    </row>
    <row r="60">
      <c r="A60" s="8" t="inlineStr">
        <is>
          <t>Operating expenses (detail)</t>
        </is>
      </c>
      <c r="B60" s="8" t="inlineStr">
        <is>
          <t>D9</t>
        </is>
      </c>
      <c r="C60" s="8" t="inlineStr">
        <is>
          <t>9. Other employee benefits</t>
        </is>
      </c>
      <c r="D60" s="8" t="inlineStr">
        <is>
          <t>9</t>
        </is>
      </c>
      <c r="E60" s="8" t="inlineStr">
        <is>
          <t>part_ix_expenses.other_employee_benefits</t>
        </is>
      </c>
      <c r="F60" s="8" t="inlineStr">
        <is>
          <t>high</t>
        </is>
      </c>
      <c r="G60" s="9" t="n">
        <v>41571</v>
      </c>
    </row>
    <row r="61">
      <c r="A61" s="8" t="inlineStr">
        <is>
          <t>Operating expenses (detail)</t>
        </is>
      </c>
      <c r="B61" s="8" t="inlineStr">
        <is>
          <t>E9</t>
        </is>
      </c>
      <c r="C61" s="8" t="inlineStr">
        <is>
          <t>9. Other employee benefits</t>
        </is>
      </c>
      <c r="D61" s="8" t="inlineStr">
        <is>
          <t>9</t>
        </is>
      </c>
      <c r="E61" s="8" t="inlineStr">
        <is>
          <t>part_ix_expenses.other_employee_benefits</t>
        </is>
      </c>
      <c r="F61" s="8" t="inlineStr">
        <is>
          <t>high</t>
        </is>
      </c>
      <c r="G61" s="9" t="n">
        <v>38478</v>
      </c>
    </row>
    <row r="62">
      <c r="A62" s="8" t="inlineStr">
        <is>
          <t>Operating expenses (detail)</t>
        </is>
      </c>
      <c r="B62" s="8" t="inlineStr">
        <is>
          <t>F9</t>
        </is>
      </c>
      <c r="C62" s="8" t="inlineStr">
        <is>
          <t>9. Other employee benefits</t>
        </is>
      </c>
      <c r="D62" s="8" t="inlineStr">
        <is>
          <t>9</t>
        </is>
      </c>
      <c r="E62" s="8" t="inlineStr">
        <is>
          <t>part_ix_expenses.other_employee_benefits</t>
        </is>
      </c>
      <c r="F62" s="8" t="inlineStr">
        <is>
          <t>high</t>
        </is>
      </c>
      <c r="G62" s="9" t="n">
        <v>57068</v>
      </c>
    </row>
    <row r="63">
      <c r="A63" s="8" t="inlineStr">
        <is>
          <t>Operating expenses (detail)</t>
        </is>
      </c>
      <c r="B63" s="8" t="inlineStr">
        <is>
          <t>G9</t>
        </is>
      </c>
      <c r="C63" s="8" t="inlineStr">
        <is>
          <t>9. Other employee benefits</t>
        </is>
      </c>
      <c r="D63" s="8" t="inlineStr">
        <is>
          <t>9</t>
        </is>
      </c>
      <c r="E63" s="8" t="inlineStr">
        <is>
          <t>part_ix_expenses.other_employee_benefits</t>
        </is>
      </c>
      <c r="F63" s="8" t="inlineStr">
        <is>
          <t>high</t>
        </is>
      </c>
      <c r="G63" s="9" t="n">
        <v>64240</v>
      </c>
    </row>
    <row r="64">
      <c r="A64" s="8" t="inlineStr">
        <is>
          <t>Operating expenses (detail)</t>
        </is>
      </c>
      <c r="B64" s="8" t="inlineStr">
        <is>
          <t>B10</t>
        </is>
      </c>
      <c r="C64" s="8" t="inlineStr">
        <is>
          <t>10. Payroll taxes</t>
        </is>
      </c>
      <c r="D64" s="8" t="inlineStr">
        <is>
          <t>10</t>
        </is>
      </c>
      <c r="E64" s="8" t="inlineStr">
        <is>
          <t>part_ix_expenses.payroll_taxes</t>
        </is>
      </c>
      <c r="F64" s="8" t="inlineStr">
        <is>
          <t>high</t>
        </is>
      </c>
      <c r="G64" s="9" t="n">
        <v>19990</v>
      </c>
    </row>
    <row r="65">
      <c r="A65" s="8" t="inlineStr">
        <is>
          <t>Operating expenses (detail)</t>
        </is>
      </c>
      <c r="B65" s="8" t="inlineStr">
        <is>
          <t>C10</t>
        </is>
      </c>
      <c r="C65" s="8" t="inlineStr">
        <is>
          <t>10. Payroll taxes</t>
        </is>
      </c>
      <c r="D65" s="8" t="inlineStr">
        <is>
          <t>10</t>
        </is>
      </c>
      <c r="E65" s="8" t="inlineStr">
        <is>
          <t>part_ix_expenses.payroll_taxes</t>
        </is>
      </c>
      <c r="F65" s="8" t="inlineStr">
        <is>
          <t>high</t>
        </is>
      </c>
      <c r="G65" s="9" t="n">
        <v>21415</v>
      </c>
    </row>
    <row r="66">
      <c r="A66" s="8" t="inlineStr">
        <is>
          <t>Operating expenses (detail)</t>
        </is>
      </c>
      <c r="B66" s="8" t="inlineStr">
        <is>
          <t>D10</t>
        </is>
      </c>
      <c r="C66" s="8" t="inlineStr">
        <is>
          <t>10. Payroll taxes</t>
        </is>
      </c>
      <c r="D66" s="8" t="inlineStr">
        <is>
          <t>10</t>
        </is>
      </c>
      <c r="E66" s="8" t="inlineStr">
        <is>
          <t>part_ix_expenses.payroll_taxes</t>
        </is>
      </c>
      <c r="F66" s="8" t="inlineStr">
        <is>
          <t>high</t>
        </is>
      </c>
      <c r="G66" s="9" t="n">
        <v>22247</v>
      </c>
    </row>
    <row r="67">
      <c r="A67" s="8" t="inlineStr">
        <is>
          <t>Operating expenses (detail)</t>
        </is>
      </c>
      <c r="B67" s="8" t="inlineStr">
        <is>
          <t>E10</t>
        </is>
      </c>
      <c r="C67" s="8" t="inlineStr">
        <is>
          <t>10. Payroll taxes</t>
        </is>
      </c>
      <c r="D67" s="8" t="inlineStr">
        <is>
          <t>10</t>
        </is>
      </c>
      <c r="E67" s="8" t="inlineStr">
        <is>
          <t>part_ix_expenses.payroll_taxes</t>
        </is>
      </c>
      <c r="F67" s="8" t="inlineStr">
        <is>
          <t>high</t>
        </is>
      </c>
      <c r="G67" s="9" t="n">
        <v>23186</v>
      </c>
    </row>
    <row r="68">
      <c r="A68" s="8" t="inlineStr">
        <is>
          <t>Operating expenses (detail)</t>
        </is>
      </c>
      <c r="B68" s="8" t="inlineStr">
        <is>
          <t>F10</t>
        </is>
      </c>
      <c r="C68" s="8" t="inlineStr">
        <is>
          <t>10. Payroll taxes</t>
        </is>
      </c>
      <c r="D68" s="8" t="inlineStr">
        <is>
          <t>10</t>
        </is>
      </c>
      <c r="E68" s="8" t="inlineStr">
        <is>
          <t>part_ix_expenses.payroll_taxes</t>
        </is>
      </c>
      <c r="F68" s="8" t="inlineStr">
        <is>
          <t>high</t>
        </is>
      </c>
      <c r="G68" s="9" t="n">
        <v>35215</v>
      </c>
    </row>
    <row r="69">
      <c r="A69" s="8" t="inlineStr">
        <is>
          <t>Operating expenses (detail)</t>
        </is>
      </c>
      <c r="B69" s="8" t="inlineStr">
        <is>
          <t>G10</t>
        </is>
      </c>
      <c r="C69" s="8" t="inlineStr">
        <is>
          <t>10. Payroll taxes</t>
        </is>
      </c>
      <c r="D69" s="8" t="inlineStr">
        <is>
          <t>10</t>
        </is>
      </c>
      <c r="E69" s="8" t="inlineStr">
        <is>
          <t>part_ix_expenses.payroll_taxes</t>
        </is>
      </c>
      <c r="F69" s="8" t="inlineStr">
        <is>
          <t>high</t>
        </is>
      </c>
      <c r="G69" s="9" t="n">
        <v>35265</v>
      </c>
    </row>
    <row r="70">
      <c r="A70" s="8" t="inlineStr">
        <is>
          <t>Operating expenses (detail)</t>
        </is>
      </c>
      <c r="B70" s="8" t="inlineStr">
        <is>
          <t>B11</t>
        </is>
      </c>
      <c r="C70" s="8" t="inlineStr">
        <is>
          <t>11a. Fees for services: management</t>
        </is>
      </c>
      <c r="D70" s="8" t="inlineStr">
        <is>
          <t>11a</t>
        </is>
      </c>
      <c r="E70" s="8" t="inlineStr">
        <is>
          <t>part_ix_expenses.fees_management</t>
        </is>
      </c>
      <c r="F70" s="8" t="inlineStr">
        <is>
          <t>high</t>
        </is>
      </c>
      <c r="G70" s="9" t="n">
        <v>187589</v>
      </c>
    </row>
    <row r="71">
      <c r="A71" s="8" t="inlineStr">
        <is>
          <t>Operating expenses (detail)</t>
        </is>
      </c>
      <c r="B71" s="8" t="inlineStr">
        <is>
          <t>C11</t>
        </is>
      </c>
      <c r="C71" s="8" t="inlineStr">
        <is>
          <t>11a. Fees for services: management</t>
        </is>
      </c>
      <c r="D71" s="8" t="inlineStr">
        <is>
          <t>11a</t>
        </is>
      </c>
      <c r="E71" s="8" t="inlineStr">
        <is>
          <t>part_ix_expenses.fees_management</t>
        </is>
      </c>
      <c r="F71" s="8" t="inlineStr">
        <is>
          <t>high</t>
        </is>
      </c>
      <c r="G71" s="9" t="n">
        <v>180735</v>
      </c>
    </row>
    <row r="72">
      <c r="A72" s="8" t="inlineStr">
        <is>
          <t>Operating expenses (detail)</t>
        </is>
      </c>
      <c r="B72" s="8" t="inlineStr">
        <is>
          <t>D11</t>
        </is>
      </c>
      <c r="C72" s="8" t="inlineStr">
        <is>
          <t>11a. Fees for services: management</t>
        </is>
      </c>
      <c r="D72" s="8" t="inlineStr">
        <is>
          <t>11a</t>
        </is>
      </c>
      <c r="E72" s="8" t="inlineStr">
        <is>
          <t>part_ix_expenses.fees_management</t>
        </is>
      </c>
      <c r="F72" s="8" t="inlineStr">
        <is>
          <t>high</t>
        </is>
      </c>
      <c r="G72" s="9" t="n">
        <v>224363</v>
      </c>
    </row>
    <row r="73">
      <c r="A73" s="8" t="inlineStr">
        <is>
          <t>Operating expenses (detail)</t>
        </is>
      </c>
      <c r="B73" s="8" t="inlineStr">
        <is>
          <t>E11</t>
        </is>
      </c>
      <c r="C73" s="8" t="inlineStr">
        <is>
          <t>11a. Fees for services: management</t>
        </is>
      </c>
      <c r="D73" s="8" t="inlineStr">
        <is>
          <t>11a</t>
        </is>
      </c>
      <c r="E73" s="8" t="inlineStr">
        <is>
          <t>part_ix_expenses.fees_management</t>
        </is>
      </c>
      <c r="F73" s="8" t="inlineStr">
        <is>
          <t>high</t>
        </is>
      </c>
      <c r="G73" s="9" t="n">
        <v>149938</v>
      </c>
    </row>
    <row r="74">
      <c r="A74" s="8" t="inlineStr">
        <is>
          <t>Operating expenses (detail)</t>
        </is>
      </c>
      <c r="B74" s="8" t="inlineStr">
        <is>
          <t>F11</t>
        </is>
      </c>
      <c r="C74" s="8" t="inlineStr">
        <is>
          <t>11a. Fees for services: management</t>
        </is>
      </c>
      <c r="D74" s="8" t="inlineStr">
        <is>
          <t>11a</t>
        </is>
      </c>
      <c r="E74" s="8" t="inlineStr">
        <is>
          <t>part_ix_expenses.fees_management</t>
        </is>
      </c>
      <c r="F74" s="8" t="inlineStr">
        <is>
          <t>high</t>
        </is>
      </c>
      <c r="G74" s="9" t="n">
        <v>86276</v>
      </c>
    </row>
    <row r="75">
      <c r="A75" s="8" t="inlineStr">
        <is>
          <t>Operating expenses (detail)</t>
        </is>
      </c>
      <c r="B75" s="8" t="inlineStr">
        <is>
          <t>B12</t>
        </is>
      </c>
      <c r="C75" s="8" t="inlineStr">
        <is>
          <t>11b. Fees for services: legal</t>
        </is>
      </c>
      <c r="D75" s="8" t="inlineStr">
        <is>
          <t>11b</t>
        </is>
      </c>
      <c r="E75" s="8" t="inlineStr">
        <is>
          <t>part_ix_expenses.fees_legal</t>
        </is>
      </c>
      <c r="F75" s="8" t="inlineStr">
        <is>
          <t>high</t>
        </is>
      </c>
      <c r="G75" s="9" t="n">
        <v>153103</v>
      </c>
    </row>
    <row r="76">
      <c r="A76" s="8" t="inlineStr">
        <is>
          <t>Operating expenses (detail)</t>
        </is>
      </c>
      <c r="B76" s="8" t="inlineStr">
        <is>
          <t>C12</t>
        </is>
      </c>
      <c r="C76" s="8" t="inlineStr">
        <is>
          <t>11b. Fees for services: legal</t>
        </is>
      </c>
      <c r="D76" s="8" t="inlineStr">
        <is>
          <t>11b</t>
        </is>
      </c>
      <c r="E76" s="8" t="inlineStr">
        <is>
          <t>part_ix_expenses.fees_legal</t>
        </is>
      </c>
      <c r="F76" s="8" t="inlineStr">
        <is>
          <t>high</t>
        </is>
      </c>
      <c r="G76" s="9" t="n">
        <v>165666</v>
      </c>
    </row>
    <row r="77">
      <c r="A77" s="8" t="inlineStr">
        <is>
          <t>Operating expenses (detail)</t>
        </is>
      </c>
      <c r="B77" s="8" t="inlineStr">
        <is>
          <t>D12</t>
        </is>
      </c>
      <c r="C77" s="8" t="inlineStr">
        <is>
          <t>11b. Fees for services: legal</t>
        </is>
      </c>
      <c r="D77" s="8" t="inlineStr">
        <is>
          <t>11b</t>
        </is>
      </c>
      <c r="E77" s="8" t="inlineStr">
        <is>
          <t>part_ix_expenses.fees_legal</t>
        </is>
      </c>
      <c r="F77" s="8" t="inlineStr">
        <is>
          <t>high</t>
        </is>
      </c>
      <c r="G77" s="9" t="n">
        <v>186409</v>
      </c>
    </row>
    <row r="78">
      <c r="A78" s="8" t="inlineStr">
        <is>
          <t>Operating expenses (detail)</t>
        </is>
      </c>
      <c r="B78" s="8" t="inlineStr">
        <is>
          <t>E12</t>
        </is>
      </c>
      <c r="C78" s="8" t="inlineStr">
        <is>
          <t>11b. Fees for services: legal</t>
        </is>
      </c>
      <c r="D78" s="8" t="inlineStr">
        <is>
          <t>11b</t>
        </is>
      </c>
      <c r="E78" s="8" t="inlineStr">
        <is>
          <t>part_ix_expenses.fees_legal</t>
        </is>
      </c>
      <c r="F78" s="8" t="inlineStr">
        <is>
          <t>high</t>
        </is>
      </c>
      <c r="G78" s="9" t="n">
        <v>195861</v>
      </c>
    </row>
    <row r="79">
      <c r="A79" s="8" t="inlineStr">
        <is>
          <t>Operating expenses (detail)</t>
        </is>
      </c>
      <c r="B79" s="8" t="inlineStr">
        <is>
          <t>F12</t>
        </is>
      </c>
      <c r="C79" s="8" t="inlineStr">
        <is>
          <t>11b. Fees for services: legal</t>
        </is>
      </c>
      <c r="D79" s="8" t="inlineStr">
        <is>
          <t>11b</t>
        </is>
      </c>
      <c r="E79" s="8" t="inlineStr">
        <is>
          <t>part_ix_expenses.fees_legal</t>
        </is>
      </c>
      <c r="F79" s="8" t="inlineStr">
        <is>
          <t>high</t>
        </is>
      </c>
      <c r="G79" s="9" t="n">
        <v>71283</v>
      </c>
    </row>
    <row r="80">
      <c r="A80" s="8" t="inlineStr">
        <is>
          <t>Operating expenses (detail)</t>
        </is>
      </c>
      <c r="B80" s="8" t="inlineStr">
        <is>
          <t>G12</t>
        </is>
      </c>
      <c r="C80" s="8" t="inlineStr">
        <is>
          <t>11b. Fees for services: legal</t>
        </is>
      </c>
      <c r="D80" s="8" t="inlineStr">
        <is>
          <t>11b</t>
        </is>
      </c>
      <c r="E80" s="8" t="inlineStr">
        <is>
          <t>part_ix_expenses.fees_legal</t>
        </is>
      </c>
      <c r="F80" s="8" t="inlineStr">
        <is>
          <t>high</t>
        </is>
      </c>
      <c r="G80" s="9" t="n">
        <v>178194</v>
      </c>
    </row>
    <row r="81">
      <c r="A81" s="8" t="inlineStr">
        <is>
          <t>Operating expenses (detail)</t>
        </is>
      </c>
      <c r="B81" s="8" t="inlineStr">
        <is>
          <t>B13</t>
        </is>
      </c>
      <c r="C81" s="8" t="inlineStr">
        <is>
          <t>11c. Fees for services: accounting</t>
        </is>
      </c>
      <c r="D81" s="8" t="inlineStr">
        <is>
          <t>11c</t>
        </is>
      </c>
      <c r="E81" s="8" t="inlineStr">
        <is>
          <t>part_ix_expenses.fees_accounting</t>
        </is>
      </c>
      <c r="F81" s="8" t="inlineStr">
        <is>
          <t>high</t>
        </is>
      </c>
      <c r="G81" s="9" t="n">
        <v>8200</v>
      </c>
    </row>
    <row r="82">
      <c r="A82" s="8" t="inlineStr">
        <is>
          <t>Operating expenses (detail)</t>
        </is>
      </c>
      <c r="B82" s="8" t="inlineStr">
        <is>
          <t>C13</t>
        </is>
      </c>
      <c r="C82" s="8" t="inlineStr">
        <is>
          <t>11c. Fees for services: accounting</t>
        </is>
      </c>
      <c r="D82" s="8" t="inlineStr">
        <is>
          <t>11c</t>
        </is>
      </c>
      <c r="E82" s="8" t="inlineStr">
        <is>
          <t>part_ix_expenses.fees_accounting</t>
        </is>
      </c>
      <c r="F82" s="8" t="inlineStr">
        <is>
          <t>high</t>
        </is>
      </c>
      <c r="G82" s="9" t="n">
        <v>10300</v>
      </c>
    </row>
    <row r="83">
      <c r="A83" s="8" t="inlineStr">
        <is>
          <t>Operating expenses (detail)</t>
        </is>
      </c>
      <c r="B83" s="8" t="inlineStr">
        <is>
          <t>D13</t>
        </is>
      </c>
      <c r="C83" s="8" t="inlineStr">
        <is>
          <t>11c. Fees for services: accounting</t>
        </is>
      </c>
      <c r="D83" s="8" t="inlineStr">
        <is>
          <t>11c</t>
        </is>
      </c>
      <c r="E83" s="8" t="inlineStr">
        <is>
          <t>part_ix_expenses.fees_accounting</t>
        </is>
      </c>
      <c r="F83" s="8" t="inlineStr">
        <is>
          <t>high</t>
        </is>
      </c>
      <c r="G83" s="9" t="n">
        <v>10700</v>
      </c>
    </row>
    <row r="84">
      <c r="A84" s="8" t="inlineStr">
        <is>
          <t>Operating expenses (detail)</t>
        </is>
      </c>
      <c r="B84" s="8" t="inlineStr">
        <is>
          <t>E13</t>
        </is>
      </c>
      <c r="C84" s="8" t="inlineStr">
        <is>
          <t>11c. Fees for services: accounting</t>
        </is>
      </c>
      <c r="D84" s="8" t="inlineStr">
        <is>
          <t>11c</t>
        </is>
      </c>
      <c r="E84" s="8" t="inlineStr">
        <is>
          <t>part_ix_expenses.fees_accounting</t>
        </is>
      </c>
      <c r="F84" s="8" t="inlineStr">
        <is>
          <t>high</t>
        </is>
      </c>
      <c r="G84" s="9" t="n">
        <v>10700</v>
      </c>
    </row>
    <row r="85">
      <c r="A85" s="8" t="inlineStr">
        <is>
          <t>Operating expenses (detail)</t>
        </is>
      </c>
      <c r="B85" s="8" t="inlineStr">
        <is>
          <t>F13</t>
        </is>
      </c>
      <c r="C85" s="8" t="inlineStr">
        <is>
          <t>11c. Fees for services: accounting</t>
        </is>
      </c>
      <c r="D85" s="8" t="inlineStr">
        <is>
          <t>11c</t>
        </is>
      </c>
      <c r="E85" s="8" t="inlineStr">
        <is>
          <t>part_ix_expenses.fees_accounting</t>
        </is>
      </c>
      <c r="F85" s="8" t="inlineStr">
        <is>
          <t>high</t>
        </is>
      </c>
      <c r="G85" s="9" t="n">
        <v>10000</v>
      </c>
    </row>
    <row r="86">
      <c r="A86" s="8" t="inlineStr">
        <is>
          <t>Operating expenses (detail)</t>
        </is>
      </c>
      <c r="B86" s="8" t="inlineStr">
        <is>
          <t>G13</t>
        </is>
      </c>
      <c r="C86" s="8" t="inlineStr">
        <is>
          <t>11c. Fees for services: accounting</t>
        </is>
      </c>
      <c r="D86" s="8" t="inlineStr">
        <is>
          <t>11c</t>
        </is>
      </c>
      <c r="E86" s="8" t="inlineStr">
        <is>
          <t>part_ix_expenses.fees_accounting</t>
        </is>
      </c>
      <c r="F86" s="8" t="inlineStr">
        <is>
          <t>high</t>
        </is>
      </c>
      <c r="G86" s="9" t="n">
        <v>9700</v>
      </c>
    </row>
    <row r="87">
      <c r="A87" s="8" t="inlineStr">
        <is>
          <t>Operating expenses (detail)</t>
        </is>
      </c>
      <c r="B87" s="8" t="inlineStr">
        <is>
          <t>D14</t>
        </is>
      </c>
      <c r="C87" s="8" t="inlineStr">
        <is>
          <t>11g. Fees for services: other</t>
        </is>
      </c>
      <c r="D87" s="8" t="inlineStr">
        <is>
          <t>11g</t>
        </is>
      </c>
      <c r="E87" s="8" t="inlineStr">
        <is>
          <t>part_ix_expenses.fees_other</t>
        </is>
      </c>
      <c r="F87" s="8" t="inlineStr">
        <is>
          <t>high</t>
        </is>
      </c>
      <c r="G87" s="9" t="n">
        <v>22535</v>
      </c>
    </row>
    <row r="88">
      <c r="A88" s="8" t="inlineStr">
        <is>
          <t>Operating expenses (detail)</t>
        </is>
      </c>
      <c r="B88" s="8" t="inlineStr">
        <is>
          <t>E14</t>
        </is>
      </c>
      <c r="C88" s="8" t="inlineStr">
        <is>
          <t>11g. Fees for services: other</t>
        </is>
      </c>
      <c r="D88" s="8" t="inlineStr">
        <is>
          <t>11g</t>
        </is>
      </c>
      <c r="E88" s="8" t="inlineStr">
        <is>
          <t>part_ix_expenses.fees_other</t>
        </is>
      </c>
      <c r="F88" s="8" t="inlineStr">
        <is>
          <t>high</t>
        </is>
      </c>
      <c r="G88" s="9" t="n">
        <v>46728</v>
      </c>
    </row>
    <row r="89">
      <c r="A89" s="8" t="inlineStr">
        <is>
          <t>Operating expenses (detail)</t>
        </is>
      </c>
      <c r="B89" s="8" t="inlineStr">
        <is>
          <t>F14</t>
        </is>
      </c>
      <c r="C89" s="8" t="inlineStr">
        <is>
          <t>11g. Fees for services: other</t>
        </is>
      </c>
      <c r="D89" s="8" t="inlineStr">
        <is>
          <t>11g</t>
        </is>
      </c>
      <c r="E89" s="8" t="inlineStr">
        <is>
          <t>part_ix_expenses.fees_other</t>
        </is>
      </c>
      <c r="F89" s="8" t="inlineStr">
        <is>
          <t>high</t>
        </is>
      </c>
      <c r="G89" s="9" t="n">
        <v>15601</v>
      </c>
    </row>
    <row r="90">
      <c r="A90" s="8" t="inlineStr">
        <is>
          <t>Operating expenses (detail)</t>
        </is>
      </c>
      <c r="B90" s="8" t="inlineStr">
        <is>
          <t>G14</t>
        </is>
      </c>
      <c r="C90" s="8" t="inlineStr">
        <is>
          <t>11g. Fees for services: other</t>
        </is>
      </c>
      <c r="D90" s="8" t="inlineStr">
        <is>
          <t>11g</t>
        </is>
      </c>
      <c r="E90" s="8" t="inlineStr">
        <is>
          <t>part_ix_expenses.fees_other</t>
        </is>
      </c>
      <c r="F90" s="8" t="inlineStr">
        <is>
          <t>high</t>
        </is>
      </c>
      <c r="G90" s="9" t="n">
        <v>193419</v>
      </c>
    </row>
    <row r="91">
      <c r="A91" s="8" t="inlineStr">
        <is>
          <t>Operating expenses (detail)</t>
        </is>
      </c>
      <c r="B91" s="8" t="inlineStr">
        <is>
          <t>B15</t>
        </is>
      </c>
      <c r="C91" s="8" t="inlineStr">
        <is>
          <t>13. Office expenses</t>
        </is>
      </c>
      <c r="D91" s="8" t="inlineStr">
        <is>
          <t>13</t>
        </is>
      </c>
      <c r="E91" s="8" t="inlineStr">
        <is>
          <t>part_ix_expenses.office_expenses</t>
        </is>
      </c>
      <c r="F91" s="8" t="inlineStr">
        <is>
          <t>high</t>
        </is>
      </c>
      <c r="G91" s="9" t="n">
        <v>4224</v>
      </c>
    </row>
    <row r="92">
      <c r="A92" s="8" t="inlineStr">
        <is>
          <t>Operating expenses (detail)</t>
        </is>
      </c>
      <c r="B92" s="8" t="inlineStr">
        <is>
          <t>C15</t>
        </is>
      </c>
      <c r="C92" s="8" t="inlineStr">
        <is>
          <t>13. Office expenses</t>
        </is>
      </c>
      <c r="D92" s="8" t="inlineStr">
        <is>
          <t>13</t>
        </is>
      </c>
      <c r="E92" s="8" t="inlineStr">
        <is>
          <t>part_ix_expenses.office_expenses</t>
        </is>
      </c>
      <c r="F92" s="8" t="inlineStr">
        <is>
          <t>high</t>
        </is>
      </c>
      <c r="G92" s="9" t="n">
        <v>4686</v>
      </c>
    </row>
    <row r="93">
      <c r="A93" s="8" t="inlineStr">
        <is>
          <t>Operating expenses (detail)</t>
        </is>
      </c>
      <c r="B93" s="8" t="inlineStr">
        <is>
          <t>D15</t>
        </is>
      </c>
      <c r="C93" s="8" t="inlineStr">
        <is>
          <t>13. Office expenses</t>
        </is>
      </c>
      <c r="D93" s="8" t="inlineStr">
        <is>
          <t>13</t>
        </is>
      </c>
      <c r="E93" s="8" t="inlineStr">
        <is>
          <t>part_ix_expenses.office_expenses</t>
        </is>
      </c>
      <c r="F93" s="8" t="inlineStr">
        <is>
          <t>high</t>
        </is>
      </c>
      <c r="G93" s="9" t="n">
        <v>3921</v>
      </c>
    </row>
    <row r="94">
      <c r="A94" s="8" t="inlineStr">
        <is>
          <t>Operating expenses (detail)</t>
        </is>
      </c>
      <c r="B94" s="8" t="inlineStr">
        <is>
          <t>E15</t>
        </is>
      </c>
      <c r="C94" s="8" t="inlineStr">
        <is>
          <t>13. Office expenses</t>
        </is>
      </c>
      <c r="D94" s="8" t="inlineStr">
        <is>
          <t>13</t>
        </is>
      </c>
      <c r="E94" s="8" t="inlineStr">
        <is>
          <t>part_ix_expenses.office_expenses</t>
        </is>
      </c>
      <c r="F94" s="8" t="inlineStr">
        <is>
          <t>high</t>
        </is>
      </c>
      <c r="G94" s="9" t="n">
        <v>4102</v>
      </c>
    </row>
    <row r="95">
      <c r="A95" s="8" t="inlineStr">
        <is>
          <t>Operating expenses (detail)</t>
        </is>
      </c>
      <c r="B95" s="8" t="inlineStr">
        <is>
          <t>F15</t>
        </is>
      </c>
      <c r="C95" s="8" t="inlineStr">
        <is>
          <t>13. Office expenses</t>
        </is>
      </c>
      <c r="D95" s="8" t="inlineStr">
        <is>
          <t>13</t>
        </is>
      </c>
      <c r="E95" s="8" t="inlineStr">
        <is>
          <t>part_ix_expenses.office_expenses</t>
        </is>
      </c>
      <c r="F95" s="8" t="inlineStr">
        <is>
          <t>high</t>
        </is>
      </c>
      <c r="G95" s="9" t="n">
        <v>9870</v>
      </c>
    </row>
    <row r="96">
      <c r="A96" s="8" t="inlineStr">
        <is>
          <t>Operating expenses (detail)</t>
        </is>
      </c>
      <c r="B96" s="8" t="inlineStr">
        <is>
          <t>G15</t>
        </is>
      </c>
      <c r="C96" s="8" t="inlineStr">
        <is>
          <t>13. Office expenses</t>
        </is>
      </c>
      <c r="D96" s="8" t="inlineStr">
        <is>
          <t>13</t>
        </is>
      </c>
      <c r="E96" s="8" t="inlineStr">
        <is>
          <t>part_ix_expenses.office_expenses</t>
        </is>
      </c>
      <c r="F96" s="8" t="inlineStr">
        <is>
          <t>high</t>
        </is>
      </c>
      <c r="G96" s="9" t="n">
        <v>9944</v>
      </c>
    </row>
    <row r="97">
      <c r="A97" s="8" t="inlineStr">
        <is>
          <t>Operating expenses (detail)</t>
        </is>
      </c>
      <c r="B97" s="8" t="inlineStr">
        <is>
          <t>B16</t>
        </is>
      </c>
      <c r="C97" s="8" t="inlineStr">
        <is>
          <t>14. Information technology</t>
        </is>
      </c>
      <c r="D97" s="8" t="inlineStr">
        <is>
          <t>14</t>
        </is>
      </c>
      <c r="E97" s="8" t="inlineStr">
        <is>
          <t>part_ix_expenses.information_technology</t>
        </is>
      </c>
      <c r="F97" s="8" t="inlineStr">
        <is>
          <t>high</t>
        </is>
      </c>
      <c r="G97" s="9" t="n">
        <v>11538</v>
      </c>
    </row>
    <row r="98">
      <c r="A98" s="8" t="inlineStr">
        <is>
          <t>Operating expenses (detail)</t>
        </is>
      </c>
      <c r="B98" s="8" t="inlineStr">
        <is>
          <t>C16</t>
        </is>
      </c>
      <c r="C98" s="8" t="inlineStr">
        <is>
          <t>14. Information technology</t>
        </is>
      </c>
      <c r="D98" s="8" t="inlineStr">
        <is>
          <t>14</t>
        </is>
      </c>
      <c r="E98" s="8" t="inlineStr">
        <is>
          <t>part_ix_expenses.information_technology</t>
        </is>
      </c>
      <c r="F98" s="8" t="inlineStr">
        <is>
          <t>high</t>
        </is>
      </c>
      <c r="G98" s="9" t="n">
        <v>18661</v>
      </c>
    </row>
    <row r="99">
      <c r="A99" s="8" t="inlineStr">
        <is>
          <t>Operating expenses (detail)</t>
        </is>
      </c>
      <c r="B99" s="8" t="inlineStr">
        <is>
          <t>D16</t>
        </is>
      </c>
      <c r="C99" s="8" t="inlineStr">
        <is>
          <t>14. Information technology</t>
        </is>
      </c>
      <c r="D99" s="8" t="inlineStr">
        <is>
          <t>14</t>
        </is>
      </c>
      <c r="E99" s="8" t="inlineStr">
        <is>
          <t>part_ix_expenses.information_technology</t>
        </is>
      </c>
      <c r="F99" s="8" t="inlineStr">
        <is>
          <t>high</t>
        </is>
      </c>
      <c r="G99" s="9" t="n">
        <v>22940</v>
      </c>
    </row>
    <row r="100">
      <c r="A100" s="8" t="inlineStr">
        <is>
          <t>Operating expenses (detail)</t>
        </is>
      </c>
      <c r="B100" s="8" t="inlineStr">
        <is>
          <t>E16</t>
        </is>
      </c>
      <c r="C100" s="8" t="inlineStr">
        <is>
          <t>14. Information technology</t>
        </is>
      </c>
      <c r="D100" s="8" t="inlineStr">
        <is>
          <t>14</t>
        </is>
      </c>
      <c r="E100" s="8" t="inlineStr">
        <is>
          <t>part_ix_expenses.information_technology</t>
        </is>
      </c>
      <c r="F100" s="8" t="inlineStr">
        <is>
          <t>high</t>
        </is>
      </c>
      <c r="G100" s="9" t="n">
        <v>34878</v>
      </c>
    </row>
    <row r="101">
      <c r="A101" s="8" t="inlineStr">
        <is>
          <t>Operating expenses (detail)</t>
        </is>
      </c>
      <c r="B101" s="8" t="inlineStr">
        <is>
          <t>F16</t>
        </is>
      </c>
      <c r="C101" s="8" t="inlineStr">
        <is>
          <t>14. Information technology</t>
        </is>
      </c>
      <c r="D101" s="8" t="inlineStr">
        <is>
          <t>14</t>
        </is>
      </c>
      <c r="E101" s="8" t="inlineStr">
        <is>
          <t>part_ix_expenses.information_technology</t>
        </is>
      </c>
      <c r="F101" s="8" t="inlineStr">
        <is>
          <t>high</t>
        </is>
      </c>
      <c r="G101" s="9" t="n">
        <v>69654</v>
      </c>
    </row>
    <row r="102">
      <c r="A102" s="8" t="inlineStr">
        <is>
          <t>Operating expenses (detail)</t>
        </is>
      </c>
      <c r="B102" s="8" t="inlineStr">
        <is>
          <t>G16</t>
        </is>
      </c>
      <c r="C102" s="8" t="inlineStr">
        <is>
          <t>14. Information technology</t>
        </is>
      </c>
      <c r="D102" s="8" t="inlineStr">
        <is>
          <t>14</t>
        </is>
      </c>
      <c r="E102" s="8" t="inlineStr">
        <is>
          <t>part_ix_expenses.information_technology</t>
        </is>
      </c>
      <c r="F102" s="8" t="inlineStr">
        <is>
          <t>high</t>
        </is>
      </c>
      <c r="G102" s="9" t="n">
        <v>37238</v>
      </c>
    </row>
    <row r="103">
      <c r="A103" s="8" t="inlineStr">
        <is>
          <t>Operating expenses (detail)</t>
        </is>
      </c>
      <c r="B103" s="8" t="inlineStr">
        <is>
          <t>B17</t>
        </is>
      </c>
      <c r="C103" s="8" t="inlineStr">
        <is>
          <t>22. Depreciation, depletion, and amortization</t>
        </is>
      </c>
      <c r="D103" s="8" t="inlineStr">
        <is>
          <t>22</t>
        </is>
      </c>
      <c r="E103" s="8" t="inlineStr">
        <is>
          <t>part_ix_expenses.depreciation</t>
        </is>
      </c>
      <c r="F103" s="8" t="inlineStr">
        <is>
          <t>high</t>
        </is>
      </c>
      <c r="G103" s="9" t="n">
        <v>272490</v>
      </c>
    </row>
    <row r="104">
      <c r="A104" s="8" t="inlineStr">
        <is>
          <t>Operating expenses (detail)</t>
        </is>
      </c>
      <c r="B104" s="8" t="inlineStr">
        <is>
          <t>C17</t>
        </is>
      </c>
      <c r="C104" s="8" t="inlineStr">
        <is>
          <t>22. Depreciation, depletion, and amortization</t>
        </is>
      </c>
      <c r="D104" s="8" t="inlineStr">
        <is>
          <t>22</t>
        </is>
      </c>
      <c r="E104" s="8" t="inlineStr">
        <is>
          <t>part_ix_expenses.depreciation</t>
        </is>
      </c>
      <c r="F104" s="8" t="inlineStr">
        <is>
          <t>high</t>
        </is>
      </c>
      <c r="G104" s="9" t="n">
        <v>219585</v>
      </c>
    </row>
    <row r="105">
      <c r="A105" s="8" t="inlineStr">
        <is>
          <t>Operating expenses (detail)</t>
        </is>
      </c>
      <c r="B105" s="8" t="inlineStr">
        <is>
          <t>D17</t>
        </is>
      </c>
      <c r="C105" s="8" t="inlineStr">
        <is>
          <t>22. Depreciation, depletion, and amortization</t>
        </is>
      </c>
      <c r="D105" s="8" t="inlineStr">
        <is>
          <t>22</t>
        </is>
      </c>
      <c r="E105" s="8" t="inlineStr">
        <is>
          <t>part_ix_expenses.depreciation</t>
        </is>
      </c>
      <c r="F105" s="8" t="inlineStr">
        <is>
          <t>high</t>
        </is>
      </c>
      <c r="G105" s="9" t="n">
        <v>179664</v>
      </c>
    </row>
    <row r="106">
      <c r="A106" s="8" t="inlineStr">
        <is>
          <t>Operating expenses (detail)</t>
        </is>
      </c>
      <c r="B106" s="8" t="inlineStr">
        <is>
          <t>E17</t>
        </is>
      </c>
      <c r="C106" s="8" t="inlineStr">
        <is>
          <t>22. Depreciation, depletion, and amortization</t>
        </is>
      </c>
      <c r="D106" s="8" t="inlineStr">
        <is>
          <t>22</t>
        </is>
      </c>
      <c r="E106" s="8" t="inlineStr">
        <is>
          <t>part_ix_expenses.depreciation</t>
        </is>
      </c>
      <c r="F106" s="8" t="inlineStr">
        <is>
          <t>high</t>
        </is>
      </c>
      <c r="G106" s="9" t="n">
        <v>196965</v>
      </c>
    </row>
    <row r="107">
      <c r="A107" s="8" t="inlineStr">
        <is>
          <t>Operating expenses (detail)</t>
        </is>
      </c>
      <c r="B107" s="8" t="inlineStr">
        <is>
          <t>F17</t>
        </is>
      </c>
      <c r="C107" s="8" t="inlineStr">
        <is>
          <t>22. Depreciation, depletion, and amortization</t>
        </is>
      </c>
      <c r="D107" s="8" t="inlineStr">
        <is>
          <t>22</t>
        </is>
      </c>
      <c r="E107" s="8" t="inlineStr">
        <is>
          <t>part_ix_expenses.depreciation</t>
        </is>
      </c>
      <c r="F107" s="8" t="inlineStr">
        <is>
          <t>high</t>
        </is>
      </c>
      <c r="G107" s="9" t="n">
        <v>192952</v>
      </c>
    </row>
    <row r="108">
      <c r="A108" s="8" t="inlineStr">
        <is>
          <t>Operating expenses (detail)</t>
        </is>
      </c>
      <c r="B108" s="8" t="inlineStr">
        <is>
          <t>G17</t>
        </is>
      </c>
      <c r="C108" s="8" t="inlineStr">
        <is>
          <t>22. Depreciation, depletion, and amortization</t>
        </is>
      </c>
      <c r="D108" s="8" t="inlineStr">
        <is>
          <t>22</t>
        </is>
      </c>
      <c r="E108" s="8" t="inlineStr">
        <is>
          <t>part_ix_expenses.depreciation</t>
        </is>
      </c>
      <c r="F108" s="8" t="inlineStr">
        <is>
          <t>high</t>
        </is>
      </c>
      <c r="G108" s="9" t="n">
        <v>181231</v>
      </c>
    </row>
    <row r="109">
      <c r="A109" s="8" t="inlineStr">
        <is>
          <t>Operating expenses (detail)</t>
        </is>
      </c>
      <c r="B109" s="8" t="inlineStr">
        <is>
          <t>B18</t>
        </is>
      </c>
      <c r="C109" s="8" t="inlineStr">
        <is>
          <t>23. Insurance</t>
        </is>
      </c>
      <c r="D109" s="8" t="inlineStr">
        <is>
          <t>23</t>
        </is>
      </c>
      <c r="E109" s="8" t="inlineStr">
        <is>
          <t>part_ix_expenses.insurance</t>
        </is>
      </c>
      <c r="F109" s="8" t="inlineStr">
        <is>
          <t>high</t>
        </is>
      </c>
      <c r="G109" s="9" t="n">
        <v>31258</v>
      </c>
    </row>
    <row r="110">
      <c r="A110" s="8" t="inlineStr">
        <is>
          <t>Operating expenses (detail)</t>
        </is>
      </c>
      <c r="B110" s="8" t="inlineStr">
        <is>
          <t>C18</t>
        </is>
      </c>
      <c r="C110" s="8" t="inlineStr">
        <is>
          <t>23. Insurance</t>
        </is>
      </c>
      <c r="D110" s="8" t="inlineStr">
        <is>
          <t>23</t>
        </is>
      </c>
      <c r="E110" s="8" t="inlineStr">
        <is>
          <t>part_ix_expenses.insurance</t>
        </is>
      </c>
      <c r="F110" s="8" t="inlineStr">
        <is>
          <t>high</t>
        </is>
      </c>
      <c r="G110" s="9" t="n">
        <v>35584</v>
      </c>
    </row>
    <row r="111">
      <c r="A111" s="8" t="inlineStr">
        <is>
          <t>Operating expenses (detail)</t>
        </is>
      </c>
      <c r="B111" s="8" t="inlineStr">
        <is>
          <t>D18</t>
        </is>
      </c>
      <c r="C111" s="8" t="inlineStr">
        <is>
          <t>23. Insurance</t>
        </is>
      </c>
      <c r="D111" s="8" t="inlineStr">
        <is>
          <t>23</t>
        </is>
      </c>
      <c r="E111" s="8" t="inlineStr">
        <is>
          <t>part_ix_expenses.insurance</t>
        </is>
      </c>
      <c r="F111" s="8" t="inlineStr">
        <is>
          <t>high</t>
        </is>
      </c>
      <c r="G111" s="9" t="n">
        <v>40374</v>
      </c>
    </row>
    <row r="112">
      <c r="A112" s="8" t="inlineStr">
        <is>
          <t>Operating expenses (detail)</t>
        </is>
      </c>
      <c r="B112" s="8" t="inlineStr">
        <is>
          <t>E18</t>
        </is>
      </c>
      <c r="C112" s="8" t="inlineStr">
        <is>
          <t>23. Insurance</t>
        </is>
      </c>
      <c r="D112" s="8" t="inlineStr">
        <is>
          <t>23</t>
        </is>
      </c>
      <c r="E112" s="8" t="inlineStr">
        <is>
          <t>part_ix_expenses.insurance</t>
        </is>
      </c>
      <c r="F112" s="8" t="inlineStr">
        <is>
          <t>high</t>
        </is>
      </c>
      <c r="G112" s="9" t="n">
        <v>44781</v>
      </c>
    </row>
    <row r="113">
      <c r="A113" s="8" t="inlineStr">
        <is>
          <t>Operating expenses (detail)</t>
        </is>
      </c>
      <c r="B113" s="8" t="inlineStr">
        <is>
          <t>F18</t>
        </is>
      </c>
      <c r="C113" s="8" t="inlineStr">
        <is>
          <t>23. Insurance</t>
        </is>
      </c>
      <c r="D113" s="8" t="inlineStr">
        <is>
          <t>23</t>
        </is>
      </c>
      <c r="E113" s="8" t="inlineStr">
        <is>
          <t>part_ix_expenses.insurance</t>
        </is>
      </c>
      <c r="F113" s="8" t="inlineStr">
        <is>
          <t>high</t>
        </is>
      </c>
      <c r="G113" s="9" t="n">
        <v>58127</v>
      </c>
    </row>
    <row r="114">
      <c r="A114" s="8" t="inlineStr">
        <is>
          <t>Operating expenses (detail)</t>
        </is>
      </c>
      <c r="B114" s="8" t="inlineStr">
        <is>
          <t>G18</t>
        </is>
      </c>
      <c r="C114" s="8" t="inlineStr">
        <is>
          <t>23. Insurance</t>
        </is>
      </c>
      <c r="D114" s="8" t="inlineStr">
        <is>
          <t>23</t>
        </is>
      </c>
      <c r="E114" s="8" t="inlineStr">
        <is>
          <t>part_ix_expenses.insurance</t>
        </is>
      </c>
      <c r="F114" s="8" t="inlineStr">
        <is>
          <t>high</t>
        </is>
      </c>
      <c r="G114" s="9" t="n">
        <v>65393</v>
      </c>
    </row>
    <row r="115">
      <c r="A115" s="8" t="inlineStr">
        <is>
          <t>Operating expenses (detail)</t>
        </is>
      </c>
      <c r="B115" s="8" t="inlineStr">
        <is>
          <t>B26</t>
        </is>
      </c>
      <c r="C115" s="8" t="inlineStr">
        <is>
          <t>24e. All other expenses</t>
        </is>
      </c>
      <c r="D115" s="8" t="inlineStr">
        <is>
          <t>24e</t>
        </is>
      </c>
      <c r="E115" s="8" t="inlineStr">
        <is>
          <t>part_ix_expenses.all_other_expenses</t>
        </is>
      </c>
      <c r="F115" s="8" t="inlineStr">
        <is>
          <t>high</t>
        </is>
      </c>
      <c r="G115" s="9" t="n">
        <v>90762</v>
      </c>
    </row>
    <row r="116">
      <c r="A116" s="8" t="inlineStr">
        <is>
          <t>Operating expenses (detail)</t>
        </is>
      </c>
      <c r="B116" s="8" t="inlineStr">
        <is>
          <t>C26</t>
        </is>
      </c>
      <c r="C116" s="8" t="inlineStr">
        <is>
          <t>24e. All other expenses</t>
        </is>
      </c>
      <c r="D116" s="8" t="inlineStr">
        <is>
          <t>24e</t>
        </is>
      </c>
      <c r="E116" s="8" t="inlineStr">
        <is>
          <t>part_ix_expenses.all_other_expenses</t>
        </is>
      </c>
      <c r="F116" s="8" t="inlineStr">
        <is>
          <t>high</t>
        </is>
      </c>
      <c r="G116" s="9" t="n">
        <v>90975</v>
      </c>
    </row>
    <row r="117">
      <c r="A117" s="8" t="inlineStr">
        <is>
          <t>Operating expenses (detail)</t>
        </is>
      </c>
      <c r="B117" s="8" t="inlineStr">
        <is>
          <t>D26</t>
        </is>
      </c>
      <c r="C117" s="8" t="inlineStr">
        <is>
          <t>24e. All other expenses</t>
        </is>
      </c>
      <c r="D117" s="8" t="inlineStr">
        <is>
          <t>24e</t>
        </is>
      </c>
      <c r="E117" s="8" t="inlineStr">
        <is>
          <t>part_ix_expenses.all_other_expenses</t>
        </is>
      </c>
      <c r="F117" s="8" t="inlineStr">
        <is>
          <t>high</t>
        </is>
      </c>
      <c r="G117" s="9" t="n">
        <v>128771</v>
      </c>
    </row>
    <row r="118">
      <c r="A118" s="8" t="inlineStr">
        <is>
          <t>Operating expenses (detail)</t>
        </is>
      </c>
      <c r="B118" s="8" t="inlineStr">
        <is>
          <t>E26</t>
        </is>
      </c>
      <c r="C118" s="8" t="inlineStr">
        <is>
          <t>24e. All other expenses</t>
        </is>
      </c>
      <c r="D118" s="8" t="inlineStr">
        <is>
          <t>24e</t>
        </is>
      </c>
      <c r="E118" s="8" t="inlineStr">
        <is>
          <t>part_ix_expenses.all_other_expenses</t>
        </is>
      </c>
      <c r="F118" s="8" t="inlineStr">
        <is>
          <t>high</t>
        </is>
      </c>
      <c r="G118" s="9" t="n">
        <v>168101</v>
      </c>
    </row>
    <row r="119">
      <c r="A119" s="8" t="inlineStr">
        <is>
          <t>Operating expenses (detail)</t>
        </is>
      </c>
      <c r="B119" s="8" t="inlineStr">
        <is>
          <t>F26</t>
        </is>
      </c>
      <c r="C119" s="8" t="inlineStr">
        <is>
          <t>24e. All other expenses</t>
        </is>
      </c>
      <c r="D119" s="8" t="inlineStr">
        <is>
          <t>24e</t>
        </is>
      </c>
      <c r="E119" s="8" t="inlineStr">
        <is>
          <t>part_ix_expenses.all_other_expenses</t>
        </is>
      </c>
      <c r="F119" s="8" t="inlineStr">
        <is>
          <t>high</t>
        </is>
      </c>
      <c r="G119" s="9" t="n">
        <v>154422</v>
      </c>
    </row>
    <row r="120">
      <c r="A120" s="8" t="inlineStr">
        <is>
          <t>Operating expenses (detail)</t>
        </is>
      </c>
      <c r="B120" s="8" t="inlineStr">
        <is>
          <t>G26</t>
        </is>
      </c>
      <c r="C120" s="8" t="inlineStr">
        <is>
          <t>24e. All other expenses</t>
        </is>
      </c>
      <c r="D120" s="8" t="inlineStr">
        <is>
          <t>24e</t>
        </is>
      </c>
      <c r="E120" s="8" t="inlineStr">
        <is>
          <t>part_ix_expenses.all_other_expenses</t>
        </is>
      </c>
      <c r="F120" s="8" t="inlineStr">
        <is>
          <t>high</t>
        </is>
      </c>
      <c r="G120" s="9" t="n">
        <v>195721</v>
      </c>
    </row>
    <row r="121">
      <c r="A121" s="8" t="inlineStr">
        <is>
          <t>Balance sheet (detail)</t>
        </is>
      </c>
      <c r="B121" s="8" t="inlineStr">
        <is>
          <t>B7</t>
        </is>
      </c>
      <c r="C121" s="8" t="inlineStr">
        <is>
          <t>1. Cash - non-interest-bearing</t>
        </is>
      </c>
      <c r="D121" s="8" t="inlineStr">
        <is>
          <t>1E</t>
        </is>
      </c>
      <c r="E121" s="8" t="inlineStr">
        <is>
          <t>part_x_balance_sheet.cash_noninterest_eoy</t>
        </is>
      </c>
      <c r="F121" s="8" t="inlineStr">
        <is>
          <t>high</t>
        </is>
      </c>
      <c r="G121" s="9" t="n">
        <v>2346176</v>
      </c>
    </row>
    <row r="122">
      <c r="A122" s="8" t="inlineStr">
        <is>
          <t>Balance sheet (detail)</t>
        </is>
      </c>
      <c r="B122" s="8" t="inlineStr">
        <is>
          <t>C7</t>
        </is>
      </c>
      <c r="C122" s="8" t="inlineStr">
        <is>
          <t>1. Cash - non-interest-bearing</t>
        </is>
      </c>
      <c r="D122" s="8" t="inlineStr">
        <is>
          <t>1E</t>
        </is>
      </c>
      <c r="E122" s="8" t="inlineStr">
        <is>
          <t>part_x_balance_sheet.cash_noninterest_eoy</t>
        </is>
      </c>
      <c r="F122" s="8" t="inlineStr">
        <is>
          <t>high</t>
        </is>
      </c>
      <c r="G122" s="9" t="n">
        <v>2088776</v>
      </c>
    </row>
    <row r="123">
      <c r="A123" s="8" t="inlineStr">
        <is>
          <t>Balance sheet (detail)</t>
        </is>
      </c>
      <c r="B123" s="8" t="inlineStr">
        <is>
          <t>D7</t>
        </is>
      </c>
      <c r="C123" s="8" t="inlineStr">
        <is>
          <t>1. Cash - non-interest-bearing</t>
        </is>
      </c>
      <c r="D123" s="8" t="inlineStr">
        <is>
          <t>1E</t>
        </is>
      </c>
      <c r="E123" s="8" t="inlineStr">
        <is>
          <t>part_x_balance_sheet.cash_noninterest_eoy</t>
        </is>
      </c>
      <c r="F123" s="8" t="inlineStr">
        <is>
          <t>high</t>
        </is>
      </c>
      <c r="G123" s="9" t="n">
        <v>1477271</v>
      </c>
    </row>
    <row r="124">
      <c r="A124" s="8" t="inlineStr">
        <is>
          <t>Balance sheet (detail)</t>
        </is>
      </c>
      <c r="B124" s="8" t="inlineStr">
        <is>
          <t>E7</t>
        </is>
      </c>
      <c r="C124" s="8" t="inlineStr">
        <is>
          <t>1. Cash - non-interest-bearing</t>
        </is>
      </c>
      <c r="D124" s="8" t="inlineStr">
        <is>
          <t>1E</t>
        </is>
      </c>
      <c r="E124" s="8" t="inlineStr">
        <is>
          <t>part_x_balance_sheet.cash_noninterest_eoy</t>
        </is>
      </c>
      <c r="F124" s="8" t="inlineStr">
        <is>
          <t>high</t>
        </is>
      </c>
      <c r="G124" s="9" t="n">
        <v>462594</v>
      </c>
    </row>
    <row r="125">
      <c r="A125" s="8" t="inlineStr">
        <is>
          <t>Balance sheet (detail)</t>
        </is>
      </c>
      <c r="B125" s="8" t="inlineStr">
        <is>
          <t>F7</t>
        </is>
      </c>
      <c r="C125" s="8" t="inlineStr">
        <is>
          <t>1. Cash - non-interest-bearing</t>
        </is>
      </c>
      <c r="D125" s="8" t="inlineStr">
        <is>
          <t>1E</t>
        </is>
      </c>
      <c r="E125" s="8" t="inlineStr">
        <is>
          <t>part_x_balance_sheet.cash_noninterest_eoy</t>
        </is>
      </c>
      <c r="F125" s="8" t="inlineStr">
        <is>
          <t>high</t>
        </is>
      </c>
      <c r="G125" s="9" t="n">
        <v>1373373</v>
      </c>
    </row>
    <row r="126">
      <c r="A126" s="8" t="inlineStr">
        <is>
          <t>Balance sheet (detail)</t>
        </is>
      </c>
      <c r="B126" s="8" t="inlineStr">
        <is>
          <t>G7</t>
        </is>
      </c>
      <c r="C126" s="8" t="inlineStr">
        <is>
          <t>1. Cash - non-interest-bearing</t>
        </is>
      </c>
      <c r="D126" s="8" t="inlineStr">
        <is>
          <t>1E</t>
        </is>
      </c>
      <c r="E126" s="8" t="inlineStr">
        <is>
          <t>part_x_balance_sheet.cash_noninterest_eoy</t>
        </is>
      </c>
      <c r="F126" s="8" t="inlineStr">
        <is>
          <t>high</t>
        </is>
      </c>
      <c r="G126" s="9" t="n">
        <v>1210412</v>
      </c>
    </row>
    <row r="127">
      <c r="A127" s="8" t="inlineStr">
        <is>
          <t>Balance sheet (detail)</t>
        </is>
      </c>
      <c r="B127" s="8" t="inlineStr">
        <is>
          <t>B8</t>
        </is>
      </c>
      <c r="C127" s="8" t="inlineStr">
        <is>
          <t>2. Savings and temporary cash investments</t>
        </is>
      </c>
      <c r="D127" s="8" t="inlineStr">
        <is>
          <t>2E</t>
        </is>
      </c>
      <c r="E127" s="8" t="inlineStr">
        <is>
          <t>part_x_balance_sheet.savings_temp_invest_eoy</t>
        </is>
      </c>
      <c r="F127" s="8" t="inlineStr">
        <is>
          <t>high</t>
        </is>
      </c>
      <c r="G127" s="9" t="n">
        <v>480850</v>
      </c>
    </row>
    <row r="128">
      <c r="A128" s="8" t="inlineStr">
        <is>
          <t>Balance sheet (detail)</t>
        </is>
      </c>
      <c r="B128" s="8" t="inlineStr">
        <is>
          <t>C8</t>
        </is>
      </c>
      <c r="C128" s="8" t="inlineStr">
        <is>
          <t>2. Savings and temporary cash investments</t>
        </is>
      </c>
      <c r="D128" s="8" t="inlineStr">
        <is>
          <t>2E</t>
        </is>
      </c>
      <c r="E128" s="8" t="inlineStr">
        <is>
          <t>part_x_balance_sheet.savings_temp_invest_eoy</t>
        </is>
      </c>
      <c r="F128" s="8" t="inlineStr">
        <is>
          <t>high</t>
        </is>
      </c>
      <c r="G128" s="9" t="n">
        <v>477566</v>
      </c>
    </row>
    <row r="129">
      <c r="A129" s="8" t="inlineStr">
        <is>
          <t>Balance sheet (detail)</t>
        </is>
      </c>
      <c r="B129" s="8" t="inlineStr">
        <is>
          <t>D8</t>
        </is>
      </c>
      <c r="C129" s="8" t="inlineStr">
        <is>
          <t>2. Savings and temporary cash investments</t>
        </is>
      </c>
      <c r="D129" s="8" t="inlineStr">
        <is>
          <t>2E</t>
        </is>
      </c>
      <c r="E129" s="8" t="inlineStr">
        <is>
          <t>part_x_balance_sheet.savings_temp_invest_eoy</t>
        </is>
      </c>
      <c r="F129" s="8" t="inlineStr">
        <is>
          <t>high</t>
        </is>
      </c>
      <c r="G129" s="9" t="n">
        <v>1449309</v>
      </c>
    </row>
    <row r="130">
      <c r="A130" s="8" t="inlineStr">
        <is>
          <t>Balance sheet (detail)</t>
        </is>
      </c>
      <c r="B130" s="8" t="inlineStr">
        <is>
          <t>E8</t>
        </is>
      </c>
      <c r="C130" s="8" t="inlineStr">
        <is>
          <t>2. Savings and temporary cash investments</t>
        </is>
      </c>
      <c r="D130" s="8" t="inlineStr">
        <is>
          <t>2E</t>
        </is>
      </c>
      <c r="E130" s="8" t="inlineStr">
        <is>
          <t>part_x_balance_sheet.savings_temp_invest_eoy</t>
        </is>
      </c>
      <c r="F130" s="8" t="inlineStr">
        <is>
          <t>high</t>
        </is>
      </c>
      <c r="G130" s="9" t="n">
        <v>997259</v>
      </c>
    </row>
    <row r="131">
      <c r="A131" s="8" t="inlineStr">
        <is>
          <t>Balance sheet (detail)</t>
        </is>
      </c>
      <c r="B131" s="8" t="inlineStr">
        <is>
          <t>F8</t>
        </is>
      </c>
      <c r="C131" s="8" t="inlineStr">
        <is>
          <t>2. Savings and temporary cash investments</t>
        </is>
      </c>
      <c r="D131" s="8" t="inlineStr">
        <is>
          <t>2E</t>
        </is>
      </c>
      <c r="E131" s="8" t="inlineStr">
        <is>
          <t>part_x_balance_sheet.savings_temp_invest_eoy</t>
        </is>
      </c>
      <c r="F131" s="8" t="inlineStr">
        <is>
          <t>high</t>
        </is>
      </c>
      <c r="G131" s="9" t="n">
        <v>515589</v>
      </c>
    </row>
    <row r="132">
      <c r="A132" s="8" t="inlineStr">
        <is>
          <t>Balance sheet (detail)</t>
        </is>
      </c>
      <c r="B132" s="8" t="inlineStr">
        <is>
          <t>G8</t>
        </is>
      </c>
      <c r="C132" s="8" t="inlineStr">
        <is>
          <t>2. Savings and temporary cash investments</t>
        </is>
      </c>
      <c r="D132" s="8" t="inlineStr">
        <is>
          <t>2E</t>
        </is>
      </c>
      <c r="E132" s="8" t="inlineStr">
        <is>
          <t>part_x_balance_sheet.savings_temp_invest_eoy</t>
        </is>
      </c>
      <c r="F132" s="8" t="inlineStr">
        <is>
          <t>high</t>
        </is>
      </c>
      <c r="G132" s="9" t="n">
        <v>521810</v>
      </c>
    </row>
    <row r="133">
      <c r="A133" s="8" t="inlineStr">
        <is>
          <t>Balance sheet (detail)</t>
        </is>
      </c>
      <c r="B133" s="8" t="inlineStr">
        <is>
          <t>B9</t>
        </is>
      </c>
      <c r="C133" s="8" t="inlineStr">
        <is>
          <t>4. Accounts receivable, net</t>
        </is>
      </c>
      <c r="D133" s="8" t="inlineStr">
        <is>
          <t>4E</t>
        </is>
      </c>
      <c r="E133" s="8" t="inlineStr">
        <is>
          <t>part_x_balance_sheet.accounts_receivable_eoy</t>
        </is>
      </c>
      <c r="F133" s="8" t="inlineStr">
        <is>
          <t>high</t>
        </is>
      </c>
      <c r="G133" s="9" t="n">
        <v>185374</v>
      </c>
    </row>
    <row r="134">
      <c r="A134" s="8" t="inlineStr">
        <is>
          <t>Balance sheet (detail)</t>
        </is>
      </c>
      <c r="B134" s="8" t="inlineStr">
        <is>
          <t>C9</t>
        </is>
      </c>
      <c r="C134" s="8" t="inlineStr">
        <is>
          <t>4. Accounts receivable, net</t>
        </is>
      </c>
      <c r="D134" s="8" t="inlineStr">
        <is>
          <t>4E</t>
        </is>
      </c>
      <c r="E134" s="8" t="inlineStr">
        <is>
          <t>part_x_balance_sheet.accounts_receivable_eoy</t>
        </is>
      </c>
      <c r="F134" s="8" t="inlineStr">
        <is>
          <t>high</t>
        </is>
      </c>
      <c r="G134" s="9" t="n">
        <v>200325</v>
      </c>
    </row>
    <row r="135">
      <c r="A135" s="8" t="inlineStr">
        <is>
          <t>Balance sheet (detail)</t>
        </is>
      </c>
      <c r="B135" s="8" t="inlineStr">
        <is>
          <t>D9</t>
        </is>
      </c>
      <c r="C135" s="8" t="inlineStr">
        <is>
          <t>4. Accounts receivable, net</t>
        </is>
      </c>
      <c r="D135" s="8" t="inlineStr">
        <is>
          <t>4E</t>
        </is>
      </c>
      <c r="E135" s="8" t="inlineStr">
        <is>
          <t>part_x_balance_sheet.accounts_receivable_eoy</t>
        </is>
      </c>
      <c r="F135" s="8" t="inlineStr">
        <is>
          <t>high</t>
        </is>
      </c>
      <c r="G135" s="9" t="n">
        <v>134061</v>
      </c>
    </row>
    <row r="136">
      <c r="A136" s="8" t="inlineStr">
        <is>
          <t>Balance sheet (detail)</t>
        </is>
      </c>
      <c r="B136" s="8" t="inlineStr">
        <is>
          <t>E9</t>
        </is>
      </c>
      <c r="C136" s="8" t="inlineStr">
        <is>
          <t>4. Accounts receivable, net</t>
        </is>
      </c>
      <c r="D136" s="8" t="inlineStr">
        <is>
          <t>4E</t>
        </is>
      </c>
      <c r="E136" s="8" t="inlineStr">
        <is>
          <t>part_x_balance_sheet.accounts_receivable_eoy</t>
        </is>
      </c>
      <c r="F136" s="8" t="inlineStr">
        <is>
          <t>high</t>
        </is>
      </c>
      <c r="G136" s="9" t="n">
        <v>147063</v>
      </c>
    </row>
    <row r="137">
      <c r="A137" s="8" t="inlineStr">
        <is>
          <t>Balance sheet (detail)</t>
        </is>
      </c>
      <c r="B137" s="8" t="inlineStr">
        <is>
          <t>F9</t>
        </is>
      </c>
      <c r="C137" s="8" t="inlineStr">
        <is>
          <t>4. Accounts receivable, net</t>
        </is>
      </c>
      <c r="D137" s="8" t="inlineStr">
        <is>
          <t>4E</t>
        </is>
      </c>
      <c r="E137" s="8" t="inlineStr">
        <is>
          <t>part_x_balance_sheet.accounts_receivable_eoy</t>
        </is>
      </c>
      <c r="F137" s="8" t="inlineStr">
        <is>
          <t>high</t>
        </is>
      </c>
      <c r="G137" s="9" t="n">
        <v>183873</v>
      </c>
    </row>
    <row r="138">
      <c r="A138" s="8" t="inlineStr">
        <is>
          <t>Balance sheet (detail)</t>
        </is>
      </c>
      <c r="B138" s="8" t="inlineStr">
        <is>
          <t>G9</t>
        </is>
      </c>
      <c r="C138" s="8" t="inlineStr">
        <is>
          <t>4. Accounts receivable, net</t>
        </is>
      </c>
      <c r="D138" s="8" t="inlineStr">
        <is>
          <t>4E</t>
        </is>
      </c>
      <c r="E138" s="8" t="inlineStr">
        <is>
          <t>part_x_balance_sheet.accounts_receivable_eoy</t>
        </is>
      </c>
      <c r="F138" s="8" t="inlineStr">
        <is>
          <t>high</t>
        </is>
      </c>
      <c r="G138" s="9" t="n">
        <v>112939</v>
      </c>
    </row>
    <row r="139">
      <c r="A139" s="8" t="inlineStr">
        <is>
          <t>Balance sheet (detail)</t>
        </is>
      </c>
      <c r="B139" s="8" t="inlineStr">
        <is>
          <t>B10</t>
        </is>
      </c>
      <c r="C139" s="8" t="inlineStr">
        <is>
          <t>9. Prepaid expenses and deferred charges</t>
        </is>
      </c>
      <c r="D139" s="8" t="inlineStr">
        <is>
          <t>9E</t>
        </is>
      </c>
      <c r="E139" s="8" t="inlineStr">
        <is>
          <t>part_x_balance_sheet.prepaid_expenses_eoy</t>
        </is>
      </c>
      <c r="F139" s="8" t="inlineStr">
        <is>
          <t>high</t>
        </is>
      </c>
      <c r="G139" s="9" t="n">
        <v>109319</v>
      </c>
    </row>
    <row r="140">
      <c r="A140" s="8" t="inlineStr">
        <is>
          <t>Balance sheet (detail)</t>
        </is>
      </c>
      <c r="B140" s="8" t="inlineStr">
        <is>
          <t>C10</t>
        </is>
      </c>
      <c r="C140" s="8" t="inlineStr">
        <is>
          <t>9. Prepaid expenses and deferred charges</t>
        </is>
      </c>
      <c r="D140" s="8" t="inlineStr">
        <is>
          <t>9E</t>
        </is>
      </c>
      <c r="E140" s="8" t="inlineStr">
        <is>
          <t>part_x_balance_sheet.prepaid_expenses_eoy</t>
        </is>
      </c>
      <c r="F140" s="8" t="inlineStr">
        <is>
          <t>high</t>
        </is>
      </c>
      <c r="G140" s="9" t="n">
        <v>87892</v>
      </c>
    </row>
    <row r="141">
      <c r="A141" s="8" t="inlineStr">
        <is>
          <t>Balance sheet (detail)</t>
        </is>
      </c>
      <c r="B141" s="8" t="inlineStr">
        <is>
          <t>D10</t>
        </is>
      </c>
      <c r="C141" s="8" t="inlineStr">
        <is>
          <t>9. Prepaid expenses and deferred charges</t>
        </is>
      </c>
      <c r="D141" s="8" t="inlineStr">
        <is>
          <t>9E</t>
        </is>
      </c>
      <c r="E141" s="8" t="inlineStr">
        <is>
          <t>part_x_balance_sheet.prepaid_expenses_eoy</t>
        </is>
      </c>
      <c r="F141" s="8" t="inlineStr">
        <is>
          <t>high</t>
        </is>
      </c>
      <c r="G141" s="9" t="n">
        <v>106407</v>
      </c>
    </row>
    <row r="142">
      <c r="A142" s="8" t="inlineStr">
        <is>
          <t>Balance sheet (detail)</t>
        </is>
      </c>
      <c r="B142" s="8" t="inlineStr">
        <is>
          <t>E10</t>
        </is>
      </c>
      <c r="C142" s="8" t="inlineStr">
        <is>
          <t>9. Prepaid expenses and deferred charges</t>
        </is>
      </c>
      <c r="D142" s="8" t="inlineStr">
        <is>
          <t>9E</t>
        </is>
      </c>
      <c r="E142" s="8" t="inlineStr">
        <is>
          <t>part_x_balance_sheet.prepaid_expenses_eoy</t>
        </is>
      </c>
      <c r="F142" s="8" t="inlineStr">
        <is>
          <t>high</t>
        </is>
      </c>
      <c r="G142" s="9" t="n">
        <v>128063</v>
      </c>
    </row>
    <row r="143">
      <c r="A143" s="8" t="inlineStr">
        <is>
          <t>Balance sheet (detail)</t>
        </is>
      </c>
      <c r="B143" s="8" t="inlineStr">
        <is>
          <t>F10</t>
        </is>
      </c>
      <c r="C143" s="8" t="inlineStr">
        <is>
          <t>9. Prepaid expenses and deferred charges</t>
        </is>
      </c>
      <c r="D143" s="8" t="inlineStr">
        <is>
          <t>9E</t>
        </is>
      </c>
      <c r="E143" s="8" t="inlineStr">
        <is>
          <t>part_x_balance_sheet.prepaid_expenses_eoy</t>
        </is>
      </c>
      <c r="F143" s="8" t="inlineStr">
        <is>
          <t>high</t>
        </is>
      </c>
      <c r="G143" s="9" t="n">
        <v>82189</v>
      </c>
    </row>
    <row r="144">
      <c r="A144" s="8" t="inlineStr">
        <is>
          <t>Balance sheet (detail)</t>
        </is>
      </c>
      <c r="B144" s="8" t="inlineStr">
        <is>
          <t>G10</t>
        </is>
      </c>
      <c r="C144" s="8" t="inlineStr">
        <is>
          <t>9. Prepaid expenses and deferred charges</t>
        </is>
      </c>
      <c r="D144" s="8" t="inlineStr">
        <is>
          <t>9E</t>
        </is>
      </c>
      <c r="E144" s="8" t="inlineStr">
        <is>
          <t>part_x_balance_sheet.prepaid_expenses_eoy</t>
        </is>
      </c>
      <c r="F144" s="8" t="inlineStr">
        <is>
          <t>high</t>
        </is>
      </c>
      <c r="G144" s="9" t="n">
        <v>82869</v>
      </c>
    </row>
    <row r="145">
      <c r="A145" s="8" t="inlineStr">
        <is>
          <t>Balance sheet (detail)</t>
        </is>
      </c>
      <c r="B145" s="8" t="inlineStr">
        <is>
          <t>B11</t>
        </is>
      </c>
      <c r="C145" s="8" t="inlineStr">
        <is>
          <t>10c. Land, buildings, and equipment, net</t>
        </is>
      </c>
      <c r="D145" s="8" t="inlineStr">
        <is>
          <t>10cE</t>
        </is>
      </c>
      <c r="E145" s="8" t="inlineStr">
        <is>
          <t>part_x_balance_sheet.land_bldg_equip_net_eoy</t>
        </is>
      </c>
      <c r="F145" s="8" t="inlineStr">
        <is>
          <t>high</t>
        </is>
      </c>
      <c r="G145" s="9" t="n">
        <v>3713548</v>
      </c>
    </row>
    <row r="146">
      <c r="A146" s="8" t="inlineStr">
        <is>
          <t>Balance sheet (detail)</t>
        </is>
      </c>
      <c r="B146" s="8" t="inlineStr">
        <is>
          <t>C11</t>
        </is>
      </c>
      <c r="C146" s="8" t="inlineStr">
        <is>
          <t>10c. Land, buildings, and equipment, net</t>
        </is>
      </c>
      <c r="D146" s="8" t="inlineStr">
        <is>
          <t>10cE</t>
        </is>
      </c>
      <c r="E146" s="8" t="inlineStr">
        <is>
          <t>part_x_balance_sheet.land_bldg_equip_net_eoy</t>
        </is>
      </c>
      <c r="F146" s="8" t="inlineStr">
        <is>
          <t>high</t>
        </is>
      </c>
      <c r="G146" s="9" t="n">
        <v>3951849</v>
      </c>
    </row>
    <row r="147">
      <c r="A147" s="8" t="inlineStr">
        <is>
          <t>Balance sheet (detail)</t>
        </is>
      </c>
      <c r="B147" s="8" t="inlineStr">
        <is>
          <t>D11</t>
        </is>
      </c>
      <c r="C147" s="8" t="inlineStr">
        <is>
          <t>10c. Land, buildings, and equipment, net</t>
        </is>
      </c>
      <c r="D147" s="8" t="inlineStr">
        <is>
          <t>10cE</t>
        </is>
      </c>
      <c r="E147" s="8" t="inlineStr">
        <is>
          <t>part_x_balance_sheet.land_bldg_equip_net_eoy</t>
        </is>
      </c>
      <c r="F147" s="8" t="inlineStr">
        <is>
          <t>high</t>
        </is>
      </c>
      <c r="G147" s="9" t="n">
        <v>4181232</v>
      </c>
    </row>
    <row r="148">
      <c r="A148" s="8" t="inlineStr">
        <is>
          <t>Balance sheet (detail)</t>
        </is>
      </c>
      <c r="B148" s="8" t="inlineStr">
        <is>
          <t>E11</t>
        </is>
      </c>
      <c r="C148" s="8" t="inlineStr">
        <is>
          <t>10c. Land, buildings, and equipment, net</t>
        </is>
      </c>
      <c r="D148" s="8" t="inlineStr">
        <is>
          <t>10cE</t>
        </is>
      </c>
      <c r="E148" s="8" t="inlineStr">
        <is>
          <t>part_x_balance_sheet.land_bldg_equip_net_eoy</t>
        </is>
      </c>
      <c r="F148" s="8" t="inlineStr">
        <is>
          <t>high</t>
        </is>
      </c>
      <c r="G148" s="9" t="n">
        <v>4167400</v>
      </c>
    </row>
    <row r="149">
      <c r="A149" s="8" t="inlineStr">
        <is>
          <t>Balance sheet (detail)</t>
        </is>
      </c>
      <c r="B149" s="8" t="inlineStr">
        <is>
          <t>F11</t>
        </is>
      </c>
      <c r="C149" s="8" t="inlineStr">
        <is>
          <t>10c. Land, buildings, and equipment, net</t>
        </is>
      </c>
      <c r="D149" s="8" t="inlineStr">
        <is>
          <t>10cE</t>
        </is>
      </c>
      <c r="E149" s="8" t="inlineStr">
        <is>
          <t>part_x_balance_sheet.land_bldg_equip_net_eoy</t>
        </is>
      </c>
      <c r="F149" s="8" t="inlineStr">
        <is>
          <t>high</t>
        </is>
      </c>
      <c r="G149" s="9" t="n">
        <v>4001528</v>
      </c>
    </row>
    <row r="150">
      <c r="A150" s="8" t="inlineStr">
        <is>
          <t>Balance sheet (detail)</t>
        </is>
      </c>
      <c r="B150" s="8" t="inlineStr">
        <is>
          <t>G11</t>
        </is>
      </c>
      <c r="C150" s="8" t="inlineStr">
        <is>
          <t>10c. Land, buildings, and equipment, net</t>
        </is>
      </c>
      <c r="D150" s="8" t="inlineStr">
        <is>
          <t>10cE</t>
        </is>
      </c>
      <c r="E150" s="8" t="inlineStr">
        <is>
          <t>part_x_balance_sheet.land_bldg_equip_net_eoy</t>
        </is>
      </c>
      <c r="F150" s="8" t="inlineStr">
        <is>
          <t>high</t>
        </is>
      </c>
      <c r="G150" s="9" t="n">
        <v>4018131</v>
      </c>
    </row>
    <row r="151">
      <c r="A151" s="8" t="inlineStr">
        <is>
          <t>Balance sheet (detail)</t>
        </is>
      </c>
      <c r="B151" s="8" t="inlineStr">
        <is>
          <t>B15</t>
        </is>
      </c>
      <c r="C151" s="8" t="inlineStr">
        <is>
          <t>17. Accounts payable and accrued expenses</t>
        </is>
      </c>
      <c r="D151" s="8" t="inlineStr">
        <is>
          <t>17E</t>
        </is>
      </c>
      <c r="E151" s="8" t="inlineStr">
        <is>
          <t>part_x_balance_sheet.accounts_payable_eoy</t>
        </is>
      </c>
      <c r="F151" s="8" t="inlineStr">
        <is>
          <t>high</t>
        </is>
      </c>
      <c r="G151" s="9" t="n">
        <v>266874</v>
      </c>
    </row>
    <row r="152">
      <c r="A152" s="8" t="inlineStr">
        <is>
          <t>Balance sheet (detail)</t>
        </is>
      </c>
      <c r="B152" s="8" t="inlineStr">
        <is>
          <t>C15</t>
        </is>
      </c>
      <c r="C152" s="8" t="inlineStr">
        <is>
          <t>17. Accounts payable and accrued expenses</t>
        </is>
      </c>
      <c r="D152" s="8" t="inlineStr">
        <is>
          <t>17E</t>
        </is>
      </c>
      <c r="E152" s="8" t="inlineStr">
        <is>
          <t>part_x_balance_sheet.accounts_payable_eoy</t>
        </is>
      </c>
      <c r="F152" s="8" t="inlineStr">
        <is>
          <t>high</t>
        </is>
      </c>
      <c r="G152" s="9" t="n">
        <v>160925</v>
      </c>
    </row>
    <row r="153">
      <c r="A153" s="8" t="inlineStr">
        <is>
          <t>Balance sheet (detail)</t>
        </is>
      </c>
      <c r="B153" s="8" t="inlineStr">
        <is>
          <t>D15</t>
        </is>
      </c>
      <c r="C153" s="8" t="inlineStr">
        <is>
          <t>17. Accounts payable and accrued expenses</t>
        </is>
      </c>
      <c r="D153" s="8" t="inlineStr">
        <is>
          <t>17E</t>
        </is>
      </c>
      <c r="E153" s="8" t="inlineStr">
        <is>
          <t>part_x_balance_sheet.accounts_payable_eoy</t>
        </is>
      </c>
      <c r="F153" s="8" t="inlineStr">
        <is>
          <t>high</t>
        </is>
      </c>
      <c r="G153" s="9" t="n">
        <v>161268</v>
      </c>
    </row>
    <row r="154">
      <c r="A154" s="8" t="inlineStr">
        <is>
          <t>Balance sheet (detail)</t>
        </is>
      </c>
      <c r="B154" s="8" t="inlineStr">
        <is>
          <t>E15</t>
        </is>
      </c>
      <c r="C154" s="8" t="inlineStr">
        <is>
          <t>17. Accounts payable and accrued expenses</t>
        </is>
      </c>
      <c r="D154" s="8" t="inlineStr">
        <is>
          <t>17E</t>
        </is>
      </c>
      <c r="E154" s="8" t="inlineStr">
        <is>
          <t>part_x_balance_sheet.accounts_payable_eoy</t>
        </is>
      </c>
      <c r="F154" s="8" t="inlineStr">
        <is>
          <t>high</t>
        </is>
      </c>
      <c r="G154" s="9" t="n">
        <v>201286</v>
      </c>
    </row>
    <row r="155">
      <c r="A155" s="8" t="inlineStr">
        <is>
          <t>Balance sheet (detail)</t>
        </is>
      </c>
      <c r="B155" s="8" t="inlineStr">
        <is>
          <t>F15</t>
        </is>
      </c>
      <c r="C155" s="8" t="inlineStr">
        <is>
          <t>17. Accounts payable and accrued expenses</t>
        </is>
      </c>
      <c r="D155" s="8" t="inlineStr">
        <is>
          <t>17E</t>
        </is>
      </c>
      <c r="E155" s="8" t="inlineStr">
        <is>
          <t>part_x_balance_sheet.accounts_payable_eoy</t>
        </is>
      </c>
      <c r="F155" s="8" t="inlineStr">
        <is>
          <t>high</t>
        </is>
      </c>
      <c r="G155" s="9" t="n">
        <v>330674</v>
      </c>
    </row>
    <row r="156">
      <c r="A156" s="8" t="inlineStr">
        <is>
          <t>Balance sheet (detail)</t>
        </is>
      </c>
      <c r="B156" s="8" t="inlineStr">
        <is>
          <t>G15</t>
        </is>
      </c>
      <c r="C156" s="8" t="inlineStr">
        <is>
          <t>17. Accounts payable and accrued expenses</t>
        </is>
      </c>
      <c r="D156" s="8" t="inlineStr">
        <is>
          <t>17E</t>
        </is>
      </c>
      <c r="E156" s="8" t="inlineStr">
        <is>
          <t>part_x_balance_sheet.accounts_payable_eoy</t>
        </is>
      </c>
      <c r="F156" s="8" t="inlineStr">
        <is>
          <t>high</t>
        </is>
      </c>
      <c r="G156" s="9" t="n">
        <v>172908</v>
      </c>
    </row>
    <row r="157">
      <c r="A157" s="8" t="inlineStr">
        <is>
          <t>Balance sheet (detail)</t>
        </is>
      </c>
      <c r="B157" s="8" t="inlineStr">
        <is>
          <t>B16</t>
        </is>
      </c>
      <c r="C157" s="8" t="inlineStr">
        <is>
          <t>23. Secured mortgages and notes payable</t>
        </is>
      </c>
      <c r="D157" s="8" t="inlineStr">
        <is>
          <t>23E</t>
        </is>
      </c>
      <c r="E157" s="8" t="inlineStr">
        <is>
          <t>part_x_balance_sheet.mortgages_secured_notes_eoy</t>
        </is>
      </c>
      <c r="F157" s="8" t="inlineStr">
        <is>
          <t>high</t>
        </is>
      </c>
      <c r="G157" s="9" t="n">
        <v>1304223</v>
      </c>
    </row>
    <row r="158">
      <c r="A158" s="8" t="inlineStr">
        <is>
          <t>Balance sheet (detail)</t>
        </is>
      </c>
      <c r="B158" s="8" t="inlineStr">
        <is>
          <t>C16</t>
        </is>
      </c>
      <c r="C158" s="8" t="inlineStr">
        <is>
          <t>23. Secured mortgages and notes payable</t>
        </is>
      </c>
      <c r="D158" s="8" t="inlineStr">
        <is>
          <t>23E</t>
        </is>
      </c>
      <c r="E158" s="8" t="inlineStr">
        <is>
          <t>part_x_balance_sheet.mortgages_secured_notes_eoy</t>
        </is>
      </c>
      <c r="F158" s="8" t="inlineStr">
        <is>
          <t>high</t>
        </is>
      </c>
      <c r="G158" s="9" t="n">
        <v>1176683</v>
      </c>
    </row>
    <row r="159">
      <c r="A159" s="8" t="inlineStr">
        <is>
          <t>Balance sheet (detail)</t>
        </is>
      </c>
      <c r="B159" s="8" t="inlineStr">
        <is>
          <t>D16</t>
        </is>
      </c>
      <c r="C159" s="8" t="inlineStr">
        <is>
          <t>23. Secured mortgages and notes payable</t>
        </is>
      </c>
      <c r="D159" s="8" t="inlineStr">
        <is>
          <t>23E</t>
        </is>
      </c>
      <c r="E159" s="8" t="inlineStr">
        <is>
          <t>part_x_balance_sheet.mortgages_secured_notes_eoy</t>
        </is>
      </c>
      <c r="F159" s="8" t="inlineStr">
        <is>
          <t>high</t>
        </is>
      </c>
      <c r="G159" s="9" t="n">
        <v>1054156</v>
      </c>
    </row>
    <row r="160">
      <c r="A160" s="8" t="inlineStr">
        <is>
          <t>Balance sheet (detail)</t>
        </is>
      </c>
      <c r="B160" s="8" t="inlineStr">
        <is>
          <t>B20</t>
        </is>
      </c>
      <c r="C160" s="8" t="inlineStr">
        <is>
          <t>27. Net assets without donor restrictions</t>
        </is>
      </c>
      <c r="D160" s="8" t="inlineStr">
        <is>
          <t>27E</t>
        </is>
      </c>
      <c r="E160" s="8" t="inlineStr">
        <is>
          <t>part_x_balance_sheet.net_assets_no_donor_restriction_eoy</t>
        </is>
      </c>
      <c r="F160" s="8" t="inlineStr">
        <is>
          <t>high</t>
        </is>
      </c>
      <c r="G160" s="9" t="n">
        <v>5264170</v>
      </c>
    </row>
    <row r="161">
      <c r="A161" s="8" t="inlineStr">
        <is>
          <t>Balance sheet (detail)</t>
        </is>
      </c>
      <c r="B161" s="8" t="inlineStr">
        <is>
          <t>C20</t>
        </is>
      </c>
      <c r="C161" s="8" t="inlineStr">
        <is>
          <t>27. Net assets without donor restrictions</t>
        </is>
      </c>
      <c r="D161" s="8" t="inlineStr">
        <is>
          <t>27E</t>
        </is>
      </c>
      <c r="E161" s="8" t="inlineStr">
        <is>
          <t>part_x_balance_sheet.net_assets_no_donor_restriction_eoy</t>
        </is>
      </c>
      <c r="F161" s="8" t="inlineStr">
        <is>
          <t>high</t>
        </is>
      </c>
      <c r="G161" s="9" t="n">
        <v>5468800</v>
      </c>
    </row>
    <row r="162">
      <c r="A162" s="8" t="inlineStr">
        <is>
          <t>Balance sheet (detail)</t>
        </is>
      </c>
      <c r="B162" s="8" t="inlineStr">
        <is>
          <t>D20</t>
        </is>
      </c>
      <c r="C162" s="8" t="inlineStr">
        <is>
          <t>27. Net assets without donor restrictions</t>
        </is>
      </c>
      <c r="D162" s="8" t="inlineStr">
        <is>
          <t>27E</t>
        </is>
      </c>
      <c r="E162" s="8" t="inlineStr">
        <is>
          <t>part_x_balance_sheet.net_assets_no_donor_restriction_eoy</t>
        </is>
      </c>
      <c r="F162" s="8" t="inlineStr">
        <is>
          <t>high</t>
        </is>
      </c>
      <c r="G162" s="9" t="n">
        <v>6132856</v>
      </c>
    </row>
    <row r="163">
      <c r="A163" s="8" t="inlineStr">
        <is>
          <t>Balance sheet (detail)</t>
        </is>
      </c>
      <c r="B163" s="8" t="inlineStr">
        <is>
          <t>E20</t>
        </is>
      </c>
      <c r="C163" s="8" t="inlineStr">
        <is>
          <t>27. Net assets without donor restrictions</t>
        </is>
      </c>
      <c r="D163" s="8" t="inlineStr">
        <is>
          <t>27E</t>
        </is>
      </c>
      <c r="E163" s="8" t="inlineStr">
        <is>
          <t>part_x_balance_sheet.net_assets_no_donor_restriction_eoy</t>
        </is>
      </c>
      <c r="F163" s="8" t="inlineStr">
        <is>
          <t>high</t>
        </is>
      </c>
      <c r="G163" s="9" t="n">
        <v>5701093</v>
      </c>
    </row>
    <row r="164">
      <c r="A164" s="8" t="inlineStr">
        <is>
          <t>Balance sheet (detail)</t>
        </is>
      </c>
      <c r="B164" s="8" t="inlineStr">
        <is>
          <t>F20</t>
        </is>
      </c>
      <c r="C164" s="8" t="inlineStr">
        <is>
          <t>27. Net assets without donor restrictions</t>
        </is>
      </c>
      <c r="D164" s="8" t="inlineStr">
        <is>
          <t>27E</t>
        </is>
      </c>
      <c r="E164" s="8" t="inlineStr">
        <is>
          <t>part_x_balance_sheet.net_assets_no_donor_restriction_eoy</t>
        </is>
      </c>
      <c r="F164" s="8" t="inlineStr">
        <is>
          <t>high</t>
        </is>
      </c>
      <c r="G164" s="9" t="n">
        <v>5825878</v>
      </c>
    </row>
    <row r="165">
      <c r="A165" s="8" t="inlineStr">
        <is>
          <t>Balance sheet (detail)</t>
        </is>
      </c>
      <c r="B165" s="8" t="inlineStr">
        <is>
          <t>G20</t>
        </is>
      </c>
      <c r="C165" s="8" t="inlineStr">
        <is>
          <t>27. Net assets without donor restrictions</t>
        </is>
      </c>
      <c r="D165" s="8" t="inlineStr">
        <is>
          <t>27E</t>
        </is>
      </c>
      <c r="E165" s="8" t="inlineStr">
        <is>
          <t>part_x_balance_sheet.net_assets_no_donor_restriction_eoy</t>
        </is>
      </c>
      <c r="F165" s="8" t="inlineStr">
        <is>
          <t>high</t>
        </is>
      </c>
      <c r="G165" s="9" t="n">
        <v>5773253</v>
      </c>
    </row>
    <row r="166">
      <c r="A166" s="8" t="inlineStr">
        <is>
          <t>Net-assets reconciliation</t>
        </is>
      </c>
      <c r="B166" s="8" t="inlineStr">
        <is>
          <t>B7</t>
        </is>
      </c>
      <c r="C166" s="8" t="inlineStr">
        <is>
          <t>4. Net assets, beginning of year</t>
        </is>
      </c>
      <c r="D166" s="8" t="inlineStr">
        <is>
          <t>Part XI line 4</t>
        </is>
      </c>
      <c r="E166" s="8" t="inlineStr">
        <is>
          <t>part_xi_reconciliation.net_assets_boy</t>
        </is>
      </c>
      <c r="F166" s="8" t="inlineStr">
        <is>
          <t>high</t>
        </is>
      </c>
      <c r="G166" s="9" t="n">
        <v>4453907</v>
      </c>
    </row>
    <row r="167">
      <c r="A167" s="8" t="inlineStr">
        <is>
          <t>Net-assets reconciliation</t>
        </is>
      </c>
      <c r="B167" s="8" t="inlineStr">
        <is>
          <t>C7</t>
        </is>
      </c>
      <c r="C167" s="8" t="inlineStr">
        <is>
          <t>4. Net assets, beginning of year</t>
        </is>
      </c>
      <c r="D167" s="8" t="inlineStr">
        <is>
          <t>Part XI line 4</t>
        </is>
      </c>
      <c r="E167" s="8" t="inlineStr">
        <is>
          <t>part_xi_reconciliation.net_assets_boy</t>
        </is>
      </c>
      <c r="F167" s="8" t="inlineStr">
        <is>
          <t>high</t>
        </is>
      </c>
      <c r="G167" s="9" t="n">
        <v>5264170</v>
      </c>
    </row>
    <row r="168">
      <c r="A168" s="8" t="inlineStr">
        <is>
          <t>Net-assets reconciliation</t>
        </is>
      </c>
      <c r="B168" s="8" t="inlineStr">
        <is>
          <t>D7</t>
        </is>
      </c>
      <c r="C168" s="8" t="inlineStr">
        <is>
          <t>4. Net assets, beginning of year</t>
        </is>
      </c>
      <c r="D168" s="8" t="inlineStr">
        <is>
          <t>Part XI line 4</t>
        </is>
      </c>
      <c r="E168" s="8" t="inlineStr">
        <is>
          <t>part_xi_reconciliation.net_assets_boy</t>
        </is>
      </c>
      <c r="F168" s="8" t="inlineStr">
        <is>
          <t>high</t>
        </is>
      </c>
      <c r="G168" s="9" t="n">
        <v>5468800</v>
      </c>
    </row>
    <row r="169">
      <c r="A169" s="8" t="inlineStr">
        <is>
          <t>Net-assets reconciliation</t>
        </is>
      </c>
      <c r="B169" s="8" t="inlineStr">
        <is>
          <t>E7</t>
        </is>
      </c>
      <c r="C169" s="8" t="inlineStr">
        <is>
          <t>4. Net assets, beginning of year</t>
        </is>
      </c>
      <c r="D169" s="8" t="inlineStr">
        <is>
          <t>Part XI line 4</t>
        </is>
      </c>
      <c r="E169" s="8" t="inlineStr">
        <is>
          <t>part_xi_reconciliation.net_assets_boy</t>
        </is>
      </c>
      <c r="F169" s="8" t="inlineStr">
        <is>
          <t>high</t>
        </is>
      </c>
      <c r="G169" s="9" t="n">
        <v>6132856</v>
      </c>
    </row>
    <row r="170">
      <c r="A170" s="8" t="inlineStr">
        <is>
          <t>Net-assets reconciliation</t>
        </is>
      </c>
      <c r="B170" s="8" t="inlineStr">
        <is>
          <t>F7</t>
        </is>
      </c>
      <c r="C170" s="8" t="inlineStr">
        <is>
          <t>4. Net assets, beginning of year</t>
        </is>
      </c>
      <c r="D170" s="8" t="inlineStr">
        <is>
          <t>Part XI line 4</t>
        </is>
      </c>
      <c r="E170" s="8" t="inlineStr">
        <is>
          <t>part_xi_reconciliation.net_assets_boy</t>
        </is>
      </c>
      <c r="F170" s="8" t="inlineStr">
        <is>
          <t>high</t>
        </is>
      </c>
      <c r="G170" s="9" t="n">
        <v>5701093</v>
      </c>
    </row>
    <row r="171">
      <c r="A171" s="8" t="inlineStr">
        <is>
          <t>Net-assets reconciliation</t>
        </is>
      </c>
      <c r="B171" s="8" t="inlineStr">
        <is>
          <t>G7</t>
        </is>
      </c>
      <c r="C171" s="8" t="inlineStr">
        <is>
          <t>4. Net assets, beginning of year</t>
        </is>
      </c>
      <c r="D171" s="8" t="inlineStr">
        <is>
          <t>Part XI line 4</t>
        </is>
      </c>
      <c r="E171" s="8" t="inlineStr">
        <is>
          <t>part_xi_reconciliation.net_assets_boy</t>
        </is>
      </c>
      <c r="F171" s="8" t="inlineStr">
        <is>
          <t>high</t>
        </is>
      </c>
      <c r="G171" s="9" t="n">
        <v>5825878</v>
      </c>
    </row>
    <row r="172">
      <c r="A172" s="8" t="inlineStr">
        <is>
          <t>Net-assets reconciliation</t>
        </is>
      </c>
      <c r="B172" s="8" t="inlineStr">
        <is>
          <t>B8</t>
        </is>
      </c>
      <c r="C172" s="8" t="inlineStr">
        <is>
          <t>3. Revenue less expenses</t>
        </is>
      </c>
      <c r="D172" s="8" t="inlineStr">
        <is>
          <t>Part XI line 3</t>
        </is>
      </c>
      <c r="E172" s="8" t="inlineStr">
        <is>
          <t>part_xi_reconciliation.reconciliation_revenue_expenses</t>
        </is>
      </c>
      <c r="F172" s="8" t="inlineStr">
        <is>
          <t>high</t>
        </is>
      </c>
      <c r="G172" s="9" t="n">
        <v>810263</v>
      </c>
    </row>
    <row r="173">
      <c r="A173" s="8" t="inlineStr">
        <is>
          <t>Net-assets reconciliation</t>
        </is>
      </c>
      <c r="B173" s="8" t="inlineStr">
        <is>
          <t>C8</t>
        </is>
      </c>
      <c r="C173" s="8" t="inlineStr">
        <is>
          <t>3. Revenue less expenses</t>
        </is>
      </c>
      <c r="D173" s="8" t="inlineStr">
        <is>
          <t>Part XI line 3</t>
        </is>
      </c>
      <c r="E173" s="8" t="inlineStr">
        <is>
          <t>part_xi_reconciliation.reconciliation_revenue_expenses</t>
        </is>
      </c>
      <c r="F173" s="8" t="inlineStr">
        <is>
          <t>high</t>
        </is>
      </c>
      <c r="G173" s="9" t="n">
        <v>204630</v>
      </c>
    </row>
    <row r="174">
      <c r="A174" s="8" t="inlineStr">
        <is>
          <t>Net-assets reconciliation</t>
        </is>
      </c>
      <c r="B174" s="8" t="inlineStr">
        <is>
          <t>D8</t>
        </is>
      </c>
      <c r="C174" s="8" t="inlineStr">
        <is>
          <t>3. Revenue less expenses</t>
        </is>
      </c>
      <c r="D174" s="8" t="inlineStr">
        <is>
          <t>Part XI line 3</t>
        </is>
      </c>
      <c r="E174" s="8" t="inlineStr">
        <is>
          <t>part_xi_reconciliation.reconciliation_revenue_expenses</t>
        </is>
      </c>
      <c r="F174" s="8" t="inlineStr">
        <is>
          <t>high</t>
        </is>
      </c>
      <c r="G174" s="9" t="n">
        <v>664056</v>
      </c>
    </row>
    <row r="175">
      <c r="A175" s="8" t="inlineStr">
        <is>
          <t>Net-assets reconciliation</t>
        </is>
      </c>
      <c r="B175" s="8" t="inlineStr">
        <is>
          <t>E8</t>
        </is>
      </c>
      <c r="C175" s="8" t="inlineStr">
        <is>
          <t>3. Revenue less expenses</t>
        </is>
      </c>
      <c r="D175" s="8" t="inlineStr">
        <is>
          <t>Part XI line 3</t>
        </is>
      </c>
      <c r="E175" s="8" t="inlineStr">
        <is>
          <t>part_xi_reconciliation.reconciliation_revenue_expenses</t>
        </is>
      </c>
      <c r="F175" s="8" t="inlineStr">
        <is>
          <t>high</t>
        </is>
      </c>
      <c r="G175" s="9" t="n">
        <v>-431761</v>
      </c>
    </row>
    <row r="176">
      <c r="A176" s="8" t="inlineStr">
        <is>
          <t>Net-assets reconciliation</t>
        </is>
      </c>
      <c r="B176" s="8" t="inlineStr">
        <is>
          <t>F8</t>
        </is>
      </c>
      <c r="C176" s="8" t="inlineStr">
        <is>
          <t>3. Revenue less expenses</t>
        </is>
      </c>
      <c r="D176" s="8" t="inlineStr">
        <is>
          <t>Part XI line 3</t>
        </is>
      </c>
      <c r="E176" s="8" t="inlineStr">
        <is>
          <t>part_xi_reconciliation.reconciliation_revenue_expenses</t>
        </is>
      </c>
      <c r="F176" s="8" t="inlineStr">
        <is>
          <t>high</t>
        </is>
      </c>
      <c r="G176" s="9" t="n">
        <v>124785</v>
      </c>
    </row>
    <row r="177">
      <c r="A177" s="8" t="inlineStr">
        <is>
          <t>Net-assets reconciliation</t>
        </is>
      </c>
      <c r="B177" s="8" t="inlineStr">
        <is>
          <t>G8</t>
        </is>
      </c>
      <c r="C177" s="8" t="inlineStr">
        <is>
          <t>3. Revenue less expenses</t>
        </is>
      </c>
      <c r="D177" s="8" t="inlineStr">
        <is>
          <t>Part XI line 3</t>
        </is>
      </c>
      <c r="E177" s="8" t="inlineStr">
        <is>
          <t>part_xi_reconciliation.reconciliation_revenue_expenses</t>
        </is>
      </c>
      <c r="F177" s="8" t="inlineStr">
        <is>
          <t>high</t>
        </is>
      </c>
      <c r="G177" s="9" t="n">
        <v>-52625</v>
      </c>
    </row>
    <row r="178">
      <c r="A178" s="8" t="inlineStr">
        <is>
          <t>Net-assets reconciliation</t>
        </is>
      </c>
      <c r="B178" s="8" t="inlineStr">
        <is>
          <t>E10</t>
        </is>
      </c>
      <c r="C178" s="8" t="inlineStr">
        <is>
          <t>9. Other changes in net assets</t>
        </is>
      </c>
      <c r="D178" s="8" t="inlineStr">
        <is>
          <t>Part XI line 9</t>
        </is>
      </c>
      <c r="E178" s="8" t="inlineStr">
        <is>
          <t>part_xi_reconciliation.other_changes_net_assets</t>
        </is>
      </c>
      <c r="F178" s="8" t="inlineStr">
        <is>
          <t>high</t>
        </is>
      </c>
      <c r="G178" s="9" t="n">
        <v>-2</v>
      </c>
    </row>
    <row r="180">
      <c r="A180" s="39" t="inlineStr">
        <is>
          <t>C. Tie-out checks (filed vs computed; any nonzero variance is flagged red)</t>
        </is>
      </c>
      <c r="B180" s="7" t="n"/>
      <c r="C180" s="7" t="n"/>
      <c r="D180" s="7" t="n"/>
      <c r="E180" s="7" t="n"/>
      <c r="F180" s="7" t="n"/>
      <c r="G180" s="7" t="n"/>
      <c r="H180" s="7" t="n"/>
      <c r="I180" s="7" t="n"/>
      <c r="J180" s="7" t="n"/>
      <c r="K180" s="7" t="n"/>
    </row>
    <row r="181">
      <c r="A181" s="5" t="inlineStr">
        <is>
          <t>Tab</t>
        </is>
      </c>
      <c r="B181" s="5" t="inlineStr">
        <is>
          <t>Check</t>
        </is>
      </c>
      <c r="C181" s="5" t="inlineStr">
        <is>
          <t>Fiscal year</t>
        </is>
      </c>
      <c r="D181" s="5" t="inlineStr">
        <is>
          <t>Filed</t>
        </is>
      </c>
      <c r="E181" s="5" t="inlineStr">
        <is>
          <t>Computed</t>
        </is>
      </c>
      <c r="F181" s="5" t="inlineStr">
        <is>
          <t>Variance (computed - filed)</t>
        </is>
      </c>
    </row>
    <row r="182">
      <c r="A182" s="18" t="inlineStr">
        <is>
          <t>Revenue (detail)</t>
        </is>
      </c>
      <c r="B182" s="18" t="inlineStr">
        <is>
          <t>12. Total revenue</t>
        </is>
      </c>
      <c r="C182" s="18" t="inlineStr">
        <is>
          <t>FY2020</t>
        </is>
      </c>
      <c r="D182" s="9" t="n">
        <v>2399270</v>
      </c>
      <c r="E182" s="9">
        <f>'Revenue (detail)'!B13</f>
        <v/>
      </c>
      <c r="F182" s="9">
        <f>E182-D182</f>
        <v/>
      </c>
    </row>
    <row r="183">
      <c r="A183" s="18" t="inlineStr">
        <is>
          <t>Revenue (detail)</t>
        </is>
      </c>
      <c r="B183" s="18" t="inlineStr">
        <is>
          <t>12. Total revenue</t>
        </is>
      </c>
      <c r="C183" s="18" t="inlineStr">
        <is>
          <t>FY2021</t>
        </is>
      </c>
      <c r="D183" s="9" t="n">
        <v>2150514</v>
      </c>
      <c r="E183" s="9">
        <f>'Revenue (detail)'!C13</f>
        <v/>
      </c>
      <c r="F183" s="9">
        <f>E183-D183</f>
        <v/>
      </c>
    </row>
    <row r="184">
      <c r="A184" s="18" t="inlineStr">
        <is>
          <t>Revenue (detail)</t>
        </is>
      </c>
      <c r="B184" s="18" t="inlineStr">
        <is>
          <t>12. Total revenue</t>
        </is>
      </c>
      <c r="C184" s="18" t="inlineStr">
        <is>
          <t>FY2022</t>
        </is>
      </c>
      <c r="D184" s="9" t="n">
        <v>2248130</v>
      </c>
      <c r="E184" s="9">
        <f>'Revenue (detail)'!D13</f>
        <v/>
      </c>
      <c r="F184" s="9">
        <f>E184-D184</f>
        <v/>
      </c>
    </row>
    <row r="185">
      <c r="A185" s="18" t="inlineStr">
        <is>
          <t>Revenue (detail)</t>
        </is>
      </c>
      <c r="B185" s="18" t="inlineStr">
        <is>
          <t>12. Total revenue</t>
        </is>
      </c>
      <c r="C185" s="18" t="inlineStr">
        <is>
          <t>FY2023</t>
        </is>
      </c>
      <c r="D185" s="9" t="n">
        <v>1275777</v>
      </c>
      <c r="E185" s="9">
        <f>'Revenue (detail)'!E13</f>
        <v/>
      </c>
      <c r="F185" s="9">
        <f>E185-D185</f>
        <v/>
      </c>
    </row>
    <row r="186">
      <c r="A186" s="18" t="inlineStr">
        <is>
          <t>Revenue (detail)</t>
        </is>
      </c>
      <c r="B186" s="18" t="inlineStr">
        <is>
          <t>12. Total revenue</t>
        </is>
      </c>
      <c r="C186" s="18" t="inlineStr">
        <is>
          <t>FY2024</t>
        </is>
      </c>
      <c r="D186" s="9" t="n">
        <v>1768911</v>
      </c>
      <c r="E186" s="9">
        <f>'Revenue (detail)'!F13</f>
        <v/>
      </c>
      <c r="F186" s="9">
        <f>E186-D186</f>
        <v/>
      </c>
    </row>
    <row r="187">
      <c r="A187" s="18" t="inlineStr">
        <is>
          <t>Revenue (detail)</t>
        </is>
      </c>
      <c r="B187" s="18" t="inlineStr">
        <is>
          <t>12. Total revenue</t>
        </is>
      </c>
      <c r="C187" s="18" t="inlineStr">
        <is>
          <t>FY2025</t>
        </is>
      </c>
      <c r="D187" s="9" t="n">
        <v>1952968</v>
      </c>
      <c r="E187" s="9">
        <f>'Revenue (detail)'!G13</f>
        <v/>
      </c>
      <c r="F187" s="9">
        <f>E187-D187</f>
        <v/>
      </c>
    </row>
    <row r="188">
      <c r="A188" s="18" t="inlineStr">
        <is>
          <t>Revenue (detail)</t>
        </is>
      </c>
      <c r="B188" s="18" t="inlineStr">
        <is>
          <t>2g program service revenue = sum of lines 2a-2f (FY2025)</t>
        </is>
      </c>
      <c r="C188" s="18" t="inlineStr">
        <is>
          <t>FY2025</t>
        </is>
      </c>
      <c r="D188" s="9" t="n">
        <v>1909946</v>
      </c>
      <c r="E188" s="9">
        <f>SUM('Revenue (detail)'!C17:C19)</f>
        <v/>
      </c>
      <c r="F188" s="9">
        <f>E188-D188</f>
        <v/>
      </c>
    </row>
    <row r="189">
      <c r="A189" s="18" t="inlineStr">
        <is>
          <t>Operating expenses (detail)</t>
        </is>
      </c>
      <c r="B189" s="18" t="inlineStr">
        <is>
          <t>25. Total functional expenses</t>
        </is>
      </c>
      <c r="C189" s="18" t="inlineStr">
        <is>
          <t>FY2020</t>
        </is>
      </c>
      <c r="D189" s="9" t="n">
        <v>1589007</v>
      </c>
      <c r="E189" s="9">
        <f>'Operating expenses (detail)'!B27</f>
        <v/>
      </c>
      <c r="F189" s="9">
        <f>E189-D189</f>
        <v/>
      </c>
    </row>
    <row r="190">
      <c r="A190" s="18" t="inlineStr">
        <is>
          <t>Operating expenses (detail)</t>
        </is>
      </c>
      <c r="B190" s="18" t="inlineStr">
        <is>
          <t>25. Total functional expenses</t>
        </is>
      </c>
      <c r="C190" s="18" t="inlineStr">
        <is>
          <t>FY2021</t>
        </is>
      </c>
      <c r="D190" s="9" t="n">
        <v>1945884</v>
      </c>
      <c r="E190" s="9">
        <f>'Operating expenses (detail)'!C27</f>
        <v/>
      </c>
      <c r="F190" s="9">
        <f>E190-D190</f>
        <v/>
      </c>
    </row>
    <row r="191">
      <c r="A191" s="18" t="inlineStr">
        <is>
          <t>Operating expenses (detail)</t>
        </is>
      </c>
      <c r="B191" s="18" t="inlineStr">
        <is>
          <t>25. Total functional expenses</t>
        </is>
      </c>
      <c r="C191" s="18" t="inlineStr">
        <is>
          <t>FY2022</t>
        </is>
      </c>
      <c r="D191" s="9" t="n">
        <v>1584074</v>
      </c>
      <c r="E191" s="9">
        <f>'Operating expenses (detail)'!D27</f>
        <v/>
      </c>
      <c r="F191" s="9">
        <f>E191-D191</f>
        <v/>
      </c>
    </row>
    <row r="192">
      <c r="A192" s="18" t="inlineStr">
        <is>
          <t>Operating expenses (detail)</t>
        </is>
      </c>
      <c r="B192" s="18" t="inlineStr">
        <is>
          <t>25. Total functional expenses</t>
        </is>
      </c>
      <c r="C192" s="18" t="inlineStr">
        <is>
          <t>FY2023</t>
        </is>
      </c>
      <c r="D192" s="9" t="n">
        <v>1707538</v>
      </c>
      <c r="E192" s="9">
        <f>'Operating expenses (detail)'!E27</f>
        <v/>
      </c>
      <c r="F192" s="9">
        <f>E192-D192</f>
        <v/>
      </c>
    </row>
    <row r="193">
      <c r="A193" s="18" t="inlineStr">
        <is>
          <t>Operating expenses (detail)</t>
        </is>
      </c>
      <c r="B193" s="18" t="inlineStr">
        <is>
          <t>25. Total functional expenses</t>
        </is>
      </c>
      <c r="C193" s="18" t="inlineStr">
        <is>
          <t>FY2024</t>
        </is>
      </c>
      <c r="D193" s="9" t="n">
        <v>1644126</v>
      </c>
      <c r="E193" s="9">
        <f>'Operating expenses (detail)'!F27</f>
        <v/>
      </c>
      <c r="F193" s="9">
        <f>E193-D193</f>
        <v/>
      </c>
    </row>
    <row r="194">
      <c r="A194" s="18" t="inlineStr">
        <is>
          <t>Operating expenses (detail)</t>
        </is>
      </c>
      <c r="B194" s="18" t="inlineStr">
        <is>
          <t>25. Total functional expenses</t>
        </is>
      </c>
      <c r="C194" s="18" t="inlineStr">
        <is>
          <t>FY2025</t>
        </is>
      </c>
      <c r="D194" s="9" t="n">
        <v>2005593</v>
      </c>
      <c r="E194" s="9">
        <f>'Operating expenses (detail)'!G27</f>
        <v/>
      </c>
      <c r="F194" s="9">
        <f>E194-D194</f>
        <v/>
      </c>
    </row>
    <row r="195">
      <c r="A195" s="18" t="inlineStr">
        <is>
          <t>Operating expenses (detail)</t>
        </is>
      </c>
      <c r="B195" s="18" t="inlineStr">
        <is>
          <t>Part IX column split: col A = B + C + D (FY2025)</t>
        </is>
      </c>
      <c r="C195" s="18" t="inlineStr">
        <is>
          <t>FY2025</t>
        </is>
      </c>
      <c r="D195" s="9">
        <f>'Operating expenses (detail)'!B42</f>
        <v/>
      </c>
      <c r="E195" s="9">
        <f>'Operating expenses (detail)'!C42+'Operating expenses (detail)'!D42+'Operating expenses (detail)'!E42</f>
        <v/>
      </c>
      <c r="F195" s="9">
        <f>E195-D195</f>
        <v/>
      </c>
    </row>
    <row r="196">
      <c r="A196" s="18" t="inlineStr">
        <is>
          <t>Balance sheet (detail)</t>
        </is>
      </c>
      <c r="B196" s="18" t="inlineStr">
        <is>
          <t>16. Total assets</t>
        </is>
      </c>
      <c r="C196" s="18" t="inlineStr">
        <is>
          <t>FY2020</t>
        </is>
      </c>
      <c r="D196" s="9" t="n">
        <v>6835267</v>
      </c>
      <c r="E196" s="9">
        <f>'Balance sheet (detail)'!B12</f>
        <v/>
      </c>
      <c r="F196" s="9">
        <f>E196-D196</f>
        <v/>
      </c>
    </row>
    <row r="197">
      <c r="A197" s="18" t="inlineStr">
        <is>
          <t>Balance sheet (detail)</t>
        </is>
      </c>
      <c r="B197" s="18" t="inlineStr">
        <is>
          <t>16. Total assets</t>
        </is>
      </c>
      <c r="C197" s="18" t="inlineStr">
        <is>
          <t>FY2021</t>
        </is>
      </c>
      <c r="D197" s="9" t="n">
        <v>6806408</v>
      </c>
      <c r="E197" s="9">
        <f>'Balance sheet (detail)'!C12</f>
        <v/>
      </c>
      <c r="F197" s="9">
        <f>E197-D197</f>
        <v/>
      </c>
    </row>
    <row r="198">
      <c r="A198" s="18" t="inlineStr">
        <is>
          <t>Balance sheet (detail)</t>
        </is>
      </c>
      <c r="B198" s="18" t="inlineStr">
        <is>
          <t>16. Total assets</t>
        </is>
      </c>
      <c r="C198" s="18" t="inlineStr">
        <is>
          <t>FY2022</t>
        </is>
      </c>
      <c r="D198" s="9" t="n">
        <v>7348280</v>
      </c>
      <c r="E198" s="9">
        <f>'Balance sheet (detail)'!D12</f>
        <v/>
      </c>
      <c r="F198" s="9">
        <f>E198-D198</f>
        <v/>
      </c>
    </row>
    <row r="199">
      <c r="A199" s="18" t="inlineStr">
        <is>
          <t>Balance sheet (detail)</t>
        </is>
      </c>
      <c r="B199" s="18" t="inlineStr">
        <is>
          <t>16. Total assets</t>
        </is>
      </c>
      <c r="C199" s="18" t="inlineStr">
        <is>
          <t>FY2023</t>
        </is>
      </c>
      <c r="D199" s="9" t="n">
        <v>5902379</v>
      </c>
      <c r="E199" s="9">
        <f>'Balance sheet (detail)'!E12</f>
        <v/>
      </c>
      <c r="F199" s="9">
        <f>E199-D199</f>
        <v/>
      </c>
    </row>
    <row r="200">
      <c r="A200" s="18" t="inlineStr">
        <is>
          <t>Balance sheet (detail)</t>
        </is>
      </c>
      <c r="B200" s="18" t="inlineStr">
        <is>
          <t>16. Total assets</t>
        </is>
      </c>
      <c r="C200" s="18" t="inlineStr">
        <is>
          <t>FY2024</t>
        </is>
      </c>
      <c r="D200" s="9" t="n">
        <v>6156552</v>
      </c>
      <c r="E200" s="9">
        <f>'Balance sheet (detail)'!F12</f>
        <v/>
      </c>
      <c r="F200" s="9">
        <f>E200-D200</f>
        <v/>
      </c>
    </row>
    <row r="201">
      <c r="A201" s="18" t="inlineStr">
        <is>
          <t>Balance sheet (detail)</t>
        </is>
      </c>
      <c r="B201" s="18" t="inlineStr">
        <is>
          <t>16. Total assets</t>
        </is>
      </c>
      <c r="C201" s="18" t="inlineStr">
        <is>
          <t>FY2025</t>
        </is>
      </c>
      <c r="D201" s="9" t="n">
        <v>5946161</v>
      </c>
      <c r="E201" s="9">
        <f>'Balance sheet (detail)'!G12</f>
        <v/>
      </c>
      <c r="F201" s="9">
        <f>E201-D201</f>
        <v/>
      </c>
    </row>
    <row r="202">
      <c r="A202" s="18" t="inlineStr">
        <is>
          <t>Balance sheet (detail)</t>
        </is>
      </c>
      <c r="B202" s="18" t="inlineStr">
        <is>
          <t>26. Total liabilities</t>
        </is>
      </c>
      <c r="C202" s="18" t="inlineStr">
        <is>
          <t>FY2020</t>
        </is>
      </c>
      <c r="D202" s="9" t="n">
        <v>1571097</v>
      </c>
      <c r="E202" s="9">
        <f>'Balance sheet (detail)'!B17</f>
        <v/>
      </c>
      <c r="F202" s="9">
        <f>E202-D202</f>
        <v/>
      </c>
    </row>
    <row r="203">
      <c r="A203" s="18" t="inlineStr">
        <is>
          <t>Balance sheet (detail)</t>
        </is>
      </c>
      <c r="B203" s="18" t="inlineStr">
        <is>
          <t>26. Total liabilities</t>
        </is>
      </c>
      <c r="C203" s="18" t="inlineStr">
        <is>
          <t>FY2021</t>
        </is>
      </c>
      <c r="D203" s="9" t="n">
        <v>1337608</v>
      </c>
      <c r="E203" s="9">
        <f>'Balance sheet (detail)'!C17</f>
        <v/>
      </c>
      <c r="F203" s="9">
        <f>E203-D203</f>
        <v/>
      </c>
    </row>
    <row r="204">
      <c r="A204" s="18" t="inlineStr">
        <is>
          <t>Balance sheet (detail)</t>
        </is>
      </c>
      <c r="B204" s="18" t="inlineStr">
        <is>
          <t>26. Total liabilities</t>
        </is>
      </c>
      <c r="C204" s="18" t="inlineStr">
        <is>
          <t>FY2022</t>
        </is>
      </c>
      <c r="D204" s="9" t="n">
        <v>1215424</v>
      </c>
      <c r="E204" s="9">
        <f>'Balance sheet (detail)'!D17</f>
        <v/>
      </c>
      <c r="F204" s="9">
        <f>E204-D204</f>
        <v/>
      </c>
    </row>
    <row r="205">
      <c r="A205" s="18" t="inlineStr">
        <is>
          <t>Balance sheet (detail)</t>
        </is>
      </c>
      <c r="B205" s="18" t="inlineStr">
        <is>
          <t>26. Total liabilities</t>
        </is>
      </c>
      <c r="C205" s="18" t="inlineStr">
        <is>
          <t>FY2023</t>
        </is>
      </c>
      <c r="D205" s="9" t="n">
        <v>201286</v>
      </c>
      <c r="E205" s="9">
        <f>'Balance sheet (detail)'!E17</f>
        <v/>
      </c>
      <c r="F205" s="9">
        <f>E205-D205</f>
        <v/>
      </c>
    </row>
    <row r="206">
      <c r="A206" s="18" t="inlineStr">
        <is>
          <t>Balance sheet (detail)</t>
        </is>
      </c>
      <c r="B206" s="18" t="inlineStr">
        <is>
          <t>26. Total liabilities</t>
        </is>
      </c>
      <c r="C206" s="18" t="inlineStr">
        <is>
          <t>FY2024</t>
        </is>
      </c>
      <c r="D206" s="9" t="n">
        <v>330674</v>
      </c>
      <c r="E206" s="9">
        <f>'Balance sheet (detail)'!F17</f>
        <v/>
      </c>
      <c r="F206" s="9">
        <f>E206-D206</f>
        <v/>
      </c>
    </row>
    <row r="207">
      <c r="A207" s="18" t="inlineStr">
        <is>
          <t>Balance sheet (detail)</t>
        </is>
      </c>
      <c r="B207" s="18" t="inlineStr">
        <is>
          <t>26. Total liabilities</t>
        </is>
      </c>
      <c r="C207" s="18" t="inlineStr">
        <is>
          <t>FY2025</t>
        </is>
      </c>
      <c r="D207" s="9" t="n">
        <v>172908</v>
      </c>
      <c r="E207" s="9">
        <f>'Balance sheet (detail)'!G17</f>
        <v/>
      </c>
      <c r="F207" s="9">
        <f>E207-D207</f>
        <v/>
      </c>
    </row>
    <row r="208">
      <c r="A208" s="18" t="inlineStr">
        <is>
          <t>Balance sheet (detail)</t>
        </is>
      </c>
      <c r="B208" s="18" t="inlineStr">
        <is>
          <t>32. Total net assets / fund balances</t>
        </is>
      </c>
      <c r="C208" s="18" t="inlineStr">
        <is>
          <t>FY2020</t>
        </is>
      </c>
      <c r="D208" s="9" t="n">
        <v>5264170</v>
      </c>
      <c r="E208" s="9">
        <f>'Balance sheet (detail)'!B21</f>
        <v/>
      </c>
      <c r="F208" s="9">
        <f>E208-D208</f>
        <v/>
      </c>
    </row>
    <row r="209">
      <c r="A209" s="18" t="inlineStr">
        <is>
          <t>Balance sheet (detail)</t>
        </is>
      </c>
      <c r="B209" s="18" t="inlineStr">
        <is>
          <t>32. Total net assets / fund balances</t>
        </is>
      </c>
      <c r="C209" s="18" t="inlineStr">
        <is>
          <t>FY2021</t>
        </is>
      </c>
      <c r="D209" s="9" t="n">
        <v>5468800</v>
      </c>
      <c r="E209" s="9">
        <f>'Balance sheet (detail)'!C21</f>
        <v/>
      </c>
      <c r="F209" s="9">
        <f>E209-D209</f>
        <v/>
      </c>
    </row>
    <row r="210">
      <c r="A210" s="18" t="inlineStr">
        <is>
          <t>Balance sheet (detail)</t>
        </is>
      </c>
      <c r="B210" s="18" t="inlineStr">
        <is>
          <t>32. Total net assets / fund balances</t>
        </is>
      </c>
      <c r="C210" s="18" t="inlineStr">
        <is>
          <t>FY2022</t>
        </is>
      </c>
      <c r="D210" s="9" t="n">
        <v>6132856</v>
      </c>
      <c r="E210" s="9">
        <f>'Balance sheet (detail)'!D21</f>
        <v/>
      </c>
      <c r="F210" s="9">
        <f>E210-D210</f>
        <v/>
      </c>
    </row>
    <row r="211">
      <c r="A211" s="18" t="inlineStr">
        <is>
          <t>Balance sheet (detail)</t>
        </is>
      </c>
      <c r="B211" s="18" t="inlineStr">
        <is>
          <t>32. Total net assets / fund balances</t>
        </is>
      </c>
      <c r="C211" s="18" t="inlineStr">
        <is>
          <t>FY2023</t>
        </is>
      </c>
      <c r="D211" s="9" t="n">
        <v>5701093</v>
      </c>
      <c r="E211" s="9">
        <f>'Balance sheet (detail)'!E21</f>
        <v/>
      </c>
      <c r="F211" s="9">
        <f>E211-D211</f>
        <v/>
      </c>
    </row>
    <row r="212">
      <c r="A212" s="18" t="inlineStr">
        <is>
          <t>Balance sheet (detail)</t>
        </is>
      </c>
      <c r="B212" s="18" t="inlineStr">
        <is>
          <t>32. Total net assets / fund balances</t>
        </is>
      </c>
      <c r="C212" s="18" t="inlineStr">
        <is>
          <t>FY2024</t>
        </is>
      </c>
      <c r="D212" s="9" t="n">
        <v>5825878</v>
      </c>
      <c r="E212" s="9">
        <f>'Balance sheet (detail)'!F21</f>
        <v/>
      </c>
      <c r="F212" s="9">
        <f>E212-D212</f>
        <v/>
      </c>
    </row>
    <row r="213">
      <c r="A213" s="18" t="inlineStr">
        <is>
          <t>Balance sheet (detail)</t>
        </is>
      </c>
      <c r="B213" s="18" t="inlineStr">
        <is>
          <t>32. Total net assets / fund balances</t>
        </is>
      </c>
      <c r="C213" s="18" t="inlineStr">
        <is>
          <t>FY2025</t>
        </is>
      </c>
      <c r="D213" s="9" t="n">
        <v>5773253</v>
      </c>
      <c r="E213" s="9">
        <f>'Balance sheet (detail)'!G21</f>
        <v/>
      </c>
      <c r="F213" s="9">
        <f>E213-D213</f>
        <v/>
      </c>
    </row>
    <row r="214">
      <c r="A214" s="18" t="inlineStr">
        <is>
          <t>Balance sheet (detail)</t>
        </is>
      </c>
      <c r="B214" s="18" t="inlineStr">
        <is>
          <t>Balance sheet identity: line 16 = line 26 + line 32 (EOY)</t>
        </is>
      </c>
      <c r="C214" s="18" t="inlineStr">
        <is>
          <t>FY2020</t>
        </is>
      </c>
      <c r="D214" s="9">
        <f>'Balance sheet (detail)'!B12</f>
        <v/>
      </c>
      <c r="E214" s="9">
        <f>SUM('Balance sheet (detail)'!B17,'Balance sheet (detail)'!B21)</f>
        <v/>
      </c>
      <c r="F214" s="9">
        <f>E214-D214</f>
        <v/>
      </c>
    </row>
    <row r="215">
      <c r="A215" s="18" t="inlineStr">
        <is>
          <t>Balance sheet (detail)</t>
        </is>
      </c>
      <c r="B215" s="18" t="inlineStr">
        <is>
          <t>Balance sheet identity: line 16 = line 26 + line 32 (EOY)</t>
        </is>
      </c>
      <c r="C215" s="18" t="inlineStr">
        <is>
          <t>FY2021</t>
        </is>
      </c>
      <c r="D215" s="9">
        <f>'Balance sheet (detail)'!C12</f>
        <v/>
      </c>
      <c r="E215" s="9">
        <f>SUM('Balance sheet (detail)'!C17,'Balance sheet (detail)'!C21)</f>
        <v/>
      </c>
      <c r="F215" s="9">
        <f>E215-D215</f>
        <v/>
      </c>
    </row>
    <row r="216">
      <c r="A216" s="18" t="inlineStr">
        <is>
          <t>Balance sheet (detail)</t>
        </is>
      </c>
      <c r="B216" s="18" t="inlineStr">
        <is>
          <t>Balance sheet identity: line 16 = line 26 + line 32 (EOY)</t>
        </is>
      </c>
      <c r="C216" s="18" t="inlineStr">
        <is>
          <t>FY2022</t>
        </is>
      </c>
      <c r="D216" s="9">
        <f>'Balance sheet (detail)'!D12</f>
        <v/>
      </c>
      <c r="E216" s="9">
        <f>SUM('Balance sheet (detail)'!D17,'Balance sheet (detail)'!D21)</f>
        <v/>
      </c>
      <c r="F216" s="9">
        <f>E216-D216</f>
        <v/>
      </c>
    </row>
    <row r="217">
      <c r="A217" s="18" t="inlineStr">
        <is>
          <t>Balance sheet (detail)</t>
        </is>
      </c>
      <c r="B217" s="18" t="inlineStr">
        <is>
          <t>Balance sheet identity: line 16 = line 26 + line 32 (EOY)</t>
        </is>
      </c>
      <c r="C217" s="18" t="inlineStr">
        <is>
          <t>FY2023</t>
        </is>
      </c>
      <c r="D217" s="9">
        <f>'Balance sheet (detail)'!E12</f>
        <v/>
      </c>
      <c r="E217" s="9">
        <f>SUM('Balance sheet (detail)'!E17,'Balance sheet (detail)'!E21)</f>
        <v/>
      </c>
      <c r="F217" s="9">
        <f>E217-D217</f>
        <v/>
      </c>
    </row>
    <row r="218">
      <c r="A218" s="18" t="inlineStr">
        <is>
          <t>Balance sheet (detail)</t>
        </is>
      </c>
      <c r="B218" s="18" t="inlineStr">
        <is>
          <t>Balance sheet identity: line 16 = line 26 + line 32 (EOY)</t>
        </is>
      </c>
      <c r="C218" s="18" t="inlineStr">
        <is>
          <t>FY2024</t>
        </is>
      </c>
      <c r="D218" s="9">
        <f>'Balance sheet (detail)'!F12</f>
        <v/>
      </c>
      <c r="E218" s="9">
        <f>SUM('Balance sheet (detail)'!F17,'Balance sheet (detail)'!F21)</f>
        <v/>
      </c>
      <c r="F218" s="9">
        <f>E218-D218</f>
        <v/>
      </c>
    </row>
    <row r="219">
      <c r="A219" s="18" t="inlineStr">
        <is>
          <t>Balance sheet (detail)</t>
        </is>
      </c>
      <c r="B219" s="18" t="inlineStr">
        <is>
          <t>Balance sheet identity: line 16 = line 26 + line 32 (EOY)</t>
        </is>
      </c>
      <c r="C219" s="18" t="inlineStr">
        <is>
          <t>FY2025</t>
        </is>
      </c>
      <c r="D219" s="9">
        <f>'Balance sheet (detail)'!G12</f>
        <v/>
      </c>
      <c r="E219" s="9">
        <f>SUM('Balance sheet (detail)'!G17,'Balance sheet (detail)'!G21)</f>
        <v/>
      </c>
      <c r="F219" s="9">
        <f>E219-D219</f>
        <v/>
      </c>
    </row>
    <row r="220">
      <c r="A220" s="18" t="inlineStr">
        <is>
          <t>Net-assets reconciliation</t>
        </is>
      </c>
      <c r="B220" s="18" t="inlineStr">
        <is>
          <t>10. Net assets, end of year</t>
        </is>
      </c>
      <c r="C220" s="18" t="inlineStr">
        <is>
          <t>FY2020</t>
        </is>
      </c>
      <c r="D220" s="9" t="n">
        <v>5264170</v>
      </c>
      <c r="E220" s="9">
        <f>'Net-assets reconciliation'!B11</f>
        <v/>
      </c>
      <c r="F220" s="9">
        <f>E220-D220</f>
        <v/>
      </c>
    </row>
    <row r="221">
      <c r="A221" s="18" t="inlineStr">
        <is>
          <t>Net-assets reconciliation</t>
        </is>
      </c>
      <c r="B221" s="18" t="inlineStr">
        <is>
          <t>10. Net assets, end of year</t>
        </is>
      </c>
      <c r="C221" s="18" t="inlineStr">
        <is>
          <t>FY2021</t>
        </is>
      </c>
      <c r="D221" s="9" t="n">
        <v>5468800</v>
      </c>
      <c r="E221" s="9">
        <f>'Net-assets reconciliation'!C11</f>
        <v/>
      </c>
      <c r="F221" s="9">
        <f>E221-D221</f>
        <v/>
      </c>
    </row>
    <row r="222">
      <c r="A222" s="18" t="inlineStr">
        <is>
          <t>Net-assets reconciliation</t>
        </is>
      </c>
      <c r="B222" s="18" t="inlineStr">
        <is>
          <t>10. Net assets, end of year</t>
        </is>
      </c>
      <c r="C222" s="18" t="inlineStr">
        <is>
          <t>FY2022</t>
        </is>
      </c>
      <c r="D222" s="9" t="n">
        <v>6132856</v>
      </c>
      <c r="E222" s="9">
        <f>'Net-assets reconciliation'!D11</f>
        <v/>
      </c>
      <c r="F222" s="9">
        <f>E222-D222</f>
        <v/>
      </c>
    </row>
    <row r="223">
      <c r="A223" s="18" t="inlineStr">
        <is>
          <t>Net-assets reconciliation</t>
        </is>
      </c>
      <c r="B223" s="18" t="inlineStr">
        <is>
          <t>10. Net assets, end of year</t>
        </is>
      </c>
      <c r="C223" s="18" t="inlineStr">
        <is>
          <t>FY2023</t>
        </is>
      </c>
      <c r="D223" s="9" t="n">
        <v>5701093</v>
      </c>
      <c r="E223" s="9">
        <f>'Net-assets reconciliation'!E11</f>
        <v/>
      </c>
      <c r="F223" s="9">
        <f>E223-D223</f>
        <v/>
      </c>
    </row>
    <row r="224">
      <c r="A224" s="18" t="inlineStr">
        <is>
          <t>Net-assets reconciliation</t>
        </is>
      </c>
      <c r="B224" s="18" t="inlineStr">
        <is>
          <t>10. Net assets, end of year</t>
        </is>
      </c>
      <c r="C224" s="18" t="inlineStr">
        <is>
          <t>FY2024</t>
        </is>
      </c>
      <c r="D224" s="9" t="n">
        <v>5825878</v>
      </c>
      <c r="E224" s="9">
        <f>'Net-assets reconciliation'!F11</f>
        <v/>
      </c>
      <c r="F224" s="9">
        <f>E224-D224</f>
        <v/>
      </c>
    </row>
    <row r="225">
      <c r="A225" s="18" t="inlineStr">
        <is>
          <t>Net-assets reconciliation</t>
        </is>
      </c>
      <c r="B225" s="18" t="inlineStr">
        <is>
          <t>10. Net assets, end of year</t>
        </is>
      </c>
      <c r="C225" s="18" t="inlineStr">
        <is>
          <t>FY2025</t>
        </is>
      </c>
      <c r="D225" s="9" t="n">
        <v>5773253</v>
      </c>
      <c r="E225" s="9">
        <f>'Net-assets reconciliation'!G11</f>
        <v/>
      </c>
      <c r="F225" s="9">
        <f>E225-D225</f>
        <v/>
      </c>
    </row>
    <row r="227">
      <c r="A227" s="39" t="inlineStr">
        <is>
          <t>D. Preparer / auditor trail (one row per fiscal year, as filed)</t>
        </is>
      </c>
      <c r="B227" s="7" t="n"/>
      <c r="C227" s="7" t="n"/>
      <c r="D227" s="7" t="n"/>
      <c r="E227" s="7" t="n"/>
      <c r="F227" s="7" t="n"/>
      <c r="G227" s="7" t="n"/>
      <c r="H227" s="7" t="n"/>
      <c r="I227" s="7" t="n"/>
      <c r="J227" s="7" t="n"/>
      <c r="K227" s="7" t="n"/>
    </row>
    <row r="228">
      <c r="A228" s="5" t="inlineStr">
        <is>
          <t>Fiscal year</t>
        </is>
      </c>
      <c r="B228" s="5" t="inlineStr">
        <is>
          <t>Paid preparer</t>
        </is>
      </c>
      <c r="C228" s="5" t="inlineStr">
        <is>
          <t>Preparer firm</t>
        </is>
      </c>
      <c r="D228" s="5" t="inlineStr">
        <is>
          <t>Independent auditor</t>
        </is>
      </c>
      <c r="E228" s="5" t="inlineStr">
        <is>
          <t>Citation</t>
        </is>
      </c>
    </row>
    <row r="229" ht="42" customHeight="1">
      <c r="A229" s="40" t="inlineStr">
        <is>
          <t>FY2020</t>
        </is>
      </c>
      <c r="B229" s="8" t="inlineStr">
        <is>
          <t>JUAN GUERRERO</t>
        </is>
      </c>
      <c r="C229" s="8" t="inlineStr">
        <is>
          <t>LINDSAY AND COMPANY LLP</t>
        </is>
      </c>
      <c r="D229" s="43" t="inlineStr">
        <is>
          <t>not reported</t>
        </is>
      </c>
      <c r="E229" s="23" t="inlineStr">
        <is>
          <t>Form 990 Return Header, Paid Preparer block (return_header.preparer_person_name / preparer_firm_name); auditor: Part XII line 2 reports audited financial statements but does not name the firm.</t>
        </is>
      </c>
    </row>
    <row r="230" ht="42" customHeight="1">
      <c r="A230" s="40" t="inlineStr">
        <is>
          <t>FY2021</t>
        </is>
      </c>
      <c r="B230" s="8" t="inlineStr">
        <is>
          <t>JUAN GUERRERO</t>
        </is>
      </c>
      <c r="C230" s="8" t="inlineStr">
        <is>
          <t>LINDSAY AND COMPANY LLP</t>
        </is>
      </c>
      <c r="D230" s="43" t="inlineStr">
        <is>
          <t>not reported</t>
        </is>
      </c>
      <c r="E230" s="23" t="inlineStr">
        <is>
          <t>Form 990 Return Header, Paid Preparer block (return_header.preparer_person_name / preparer_firm_name); auditor: Part XII line 2 reports audited financial statements but does not name the firm.</t>
        </is>
      </c>
    </row>
    <row r="231" ht="42" customHeight="1">
      <c r="A231" s="40" t="inlineStr">
        <is>
          <t>FY2022</t>
        </is>
      </c>
      <c r="B231" s="8" t="inlineStr">
        <is>
          <t>JUAN GUERRERO</t>
        </is>
      </c>
      <c r="C231" s="8" t="inlineStr">
        <is>
          <t>LINDSAY AND COMPANY LLP</t>
        </is>
      </c>
      <c r="D231" s="43" t="inlineStr">
        <is>
          <t>not reported</t>
        </is>
      </c>
      <c r="E231" s="23" t="inlineStr">
        <is>
          <t>Form 990 Return Header, Paid Preparer block (return_header.preparer_person_name / preparer_firm_name); auditor: Part XII line 2 reports audited financial statements but does not name the firm.</t>
        </is>
      </c>
    </row>
    <row r="232" ht="42" customHeight="1">
      <c r="A232" s="40" t="inlineStr">
        <is>
          <t>FY2023</t>
        </is>
      </c>
      <c r="B232" s="8" t="inlineStr">
        <is>
          <t>JUAN GUERRERO</t>
        </is>
      </c>
      <c r="C232" s="8" t="inlineStr">
        <is>
          <t>LINDSAY AND COMPANY LLP</t>
        </is>
      </c>
      <c r="D232" s="43" t="inlineStr">
        <is>
          <t>not reported</t>
        </is>
      </c>
      <c r="E232" s="23" t="inlineStr">
        <is>
          <t>Form 990 Return Header, Paid Preparer block (return_header.preparer_person_name / preparer_firm_name); auditor: Part XII line 2 reports audited financial statements but does not name the firm.</t>
        </is>
      </c>
    </row>
    <row r="233" ht="42" customHeight="1">
      <c r="A233" s="40" t="inlineStr">
        <is>
          <t>FY2024</t>
        </is>
      </c>
      <c r="B233" s="8" t="inlineStr">
        <is>
          <t>JUAN GUERRERO</t>
        </is>
      </c>
      <c r="C233" s="8" t="inlineStr">
        <is>
          <t>LINDSAY AND COMPANY LLP</t>
        </is>
      </c>
      <c r="D233" s="43" t="inlineStr">
        <is>
          <t>not reported</t>
        </is>
      </c>
      <c r="E233" s="23" t="inlineStr">
        <is>
          <t>Form 990 Return Header, Paid Preparer block (return_header.preparer_person_name / preparer_firm_name); auditor: Part XII line 2 reports audited financial statements but does not name the firm.</t>
        </is>
      </c>
    </row>
    <row r="234" ht="42" customHeight="1">
      <c r="A234" s="40" t="inlineStr">
        <is>
          <t>FY2025</t>
        </is>
      </c>
      <c r="B234" s="8" t="inlineStr">
        <is>
          <t>JUAN GUERRERO</t>
        </is>
      </c>
      <c r="C234" s="8" t="inlineStr">
        <is>
          <t>LINDSAY AND COMPANY LLP</t>
        </is>
      </c>
      <c r="D234" s="43" t="inlineStr">
        <is>
          <t>not reported</t>
        </is>
      </c>
      <c r="E234" s="23" t="inlineStr">
        <is>
          <t>Form 990 Return Header, Paid Preparer block (return_header.preparer_person_name / preparer_firm_name); auditor: Part XII line 2 reports audited financial statements but does not name the firm.</t>
        </is>
      </c>
    </row>
    <row r="236" ht="42" customHeight="1">
      <c r="A23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236:K236"/>
    <mergeCell ref="A3:K3"/>
    <mergeCell ref="A2:K2"/>
    <mergeCell ref="A5:K5"/>
    <mergeCell ref="A1:K1"/>
  </mergeCells>
  <conditionalFormatting sqref="F182:F225">
    <cfRule type="cellIs" priority="1" operator="notEqual" dxfId="0">
      <formula>0</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