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omments/comment1.xml" ContentType="application/vnd.openxmlformats-officedocument.spreadsheetml.comments+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eAR revenue &amp; expenses" sheetId="14" state="visible" r:id="rId14"/>
    <sheet name="Denominators &amp; alignment" sheetId="15" state="visible" r:id="rId15"/>
    <sheet name="Governance evidence" sheetId="16" state="visible" r:id="rId16"/>
    <sheet name="Operational metrics" sheetId="17" state="visible" r:id="rId17"/>
    <sheet name="Supply &amp; weather" sheetId="18" state="visible" r:id="rId18"/>
    <sheet name="How this was built" sheetId="19" state="visible" r:id="rId19"/>
    <sheet name="Water Operations" sheetId="20" state="visible" r:id="rId20"/>
    <sheet name="Sources &amp; audit" sheetId="21" state="visible" r:id="rId21"/>
    <sheet name="Provenance" sheetId="22" state="visible" r:id="rId22"/>
  </sheets>
  <definedNames/>
  <calcPr calcId="124519" fullCalcOnLoad="1"/>
</workbook>
</file>

<file path=xl/styles.xml><?xml version="1.0" encoding="utf-8"?>
<styleSheet xmlns="http://schemas.openxmlformats.org/spreadsheetml/2006/main">
  <numFmts count="7">
    <numFmt numFmtId="164" formatCode="#,##0;(#,##0)"/>
    <numFmt numFmtId="165" formatCode="0.0%"/>
    <numFmt numFmtId="166" formatCode="$#,##0.00"/>
    <numFmt numFmtId="167" formatCode="#,##0.000"/>
    <numFmt numFmtId="168" formatCode="$#,##0.00###"/>
    <numFmt numFmtId="169" formatCode="#,##0.####"/>
    <numFmt numFmtId="170" formatCode="#,##0.0"/>
  </numFmts>
  <fonts count="11">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b val="1"/>
      <color rgb="001F3864"/>
      <sz val="10"/>
    </font>
    <font>
      <name val="Calibri"/>
      <i val="1"/>
      <color rgb="00A6A6A6"/>
      <sz val="10"/>
    </font>
    <font>
      <name val="Calibri"/>
      <b val="1"/>
      <color rgb="007F6000"/>
      <sz val="10"/>
    </font>
  </fonts>
  <fills count="7">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4">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5" borderId="1" applyAlignment="1" pivotButton="0" quotePrefix="0" xfId="0">
      <alignment horizontal="left" vertical="center"/>
    </xf>
    <xf numFmtId="164" fontId="8" fillId="5" borderId="1" applyAlignment="1" pivotButton="0" quotePrefix="0" xfId="0">
      <alignment horizontal="right"/>
    </xf>
    <xf numFmtId="165" fontId="8" fillId="5" borderId="1" applyAlignment="1" pivotButton="0" quotePrefix="0" xfId="0">
      <alignment horizontal="right"/>
    </xf>
    <xf numFmtId="0" fontId="9" fillId="0" borderId="1" applyAlignment="1" pivotButton="0" quotePrefix="0" xfId="0">
      <alignment horizontal="right"/>
    </xf>
    <xf numFmtId="0" fontId="6" fillId="0" borderId="1" pivotButton="0" quotePrefix="0" xfId="0"/>
    <xf numFmtId="2" fontId="6" fillId="0" borderId="1" applyAlignment="1" pivotButton="0" quotePrefix="0" xfId="0">
      <alignment horizontal="right"/>
    </xf>
    <xf numFmtId="0" fontId="6" fillId="0" borderId="1" applyAlignment="1" pivotButton="0" quotePrefix="0" xfId="0">
      <alignment horizontal="left" vertical="top"/>
    </xf>
    <xf numFmtId="3" fontId="6" fillId="0" borderId="1" applyAlignment="1" pivotButton="0" quotePrefix="0" xfId="0">
      <alignment horizontal="right"/>
    </xf>
    <xf numFmtId="0" fontId="3" fillId="0" borderId="1" applyAlignment="1" pivotButton="0" quotePrefix="0" xfId="0">
      <alignment horizontal="left" vertical="top" wrapText="1"/>
    </xf>
    <xf numFmtId="0" fontId="6" fillId="0" borderId="1" applyAlignment="1" pivotButton="0" quotePrefix="0" xfId="0">
      <alignment horizontal="left" vertical="top" wrapText="1"/>
    </xf>
    <xf numFmtId="0" fontId="8" fillId="0" borderId="1" applyAlignment="1" pivotButton="0" quotePrefix="0" xfId="0">
      <alignment horizontal="center" vertical="center"/>
    </xf>
    <xf numFmtId="166" fontId="6" fillId="0" borderId="1" applyAlignment="1" pivotButton="0" quotePrefix="0" xfId="0">
      <alignment horizontal="right"/>
    </xf>
    <xf numFmtId="10" fontId="6" fillId="0" borderId="1" applyAlignment="1" pivotButton="0" quotePrefix="0" xfId="0">
      <alignment horizontal="right"/>
    </xf>
    <xf numFmtId="0" fontId="6" fillId="0" borderId="1" applyAlignment="1" pivotButton="0" quotePrefix="0" xfId="0">
      <alignment horizontal="right"/>
    </xf>
    <xf numFmtId="0" fontId="2" fillId="0" borderId="0" applyAlignment="1" pivotButton="0" quotePrefix="0" xfId="0">
      <alignment horizontal="left" vertical="top" wrapText="1"/>
    </xf>
    <xf numFmtId="0" fontId="6" fillId="0" borderId="0" applyAlignment="1" pivotButton="0" quotePrefix="0" xfId="0">
      <alignment horizontal="left" vertical="top" wrapText="1"/>
    </xf>
    <xf numFmtId="0" fontId="0" fillId="2" borderId="1" pivotButton="0" quotePrefix="0" xfId="0"/>
    <xf numFmtId="4" fontId="10" fillId="6" borderId="1" applyAlignment="1" pivotButton="0" quotePrefix="0" xfId="0">
      <alignment horizontal="right"/>
    </xf>
    <xf numFmtId="167" fontId="10" fillId="6" borderId="1" applyAlignment="1" pivotButton="0" quotePrefix="0" xfId="0">
      <alignment horizontal="right"/>
    </xf>
    <xf numFmtId="1" fontId="10" fillId="6" borderId="1" applyAlignment="1" pivotButton="0" quotePrefix="0" xfId="0">
      <alignment horizontal="right"/>
    </xf>
    <xf numFmtId="0" fontId="4" fillId="2" borderId="1" applyAlignment="1" pivotButton="0" quotePrefix="0" xfId="0">
      <alignment horizontal="right"/>
    </xf>
    <xf numFmtId="168" fontId="6" fillId="0" borderId="1" applyAlignment="1" pivotButton="0" quotePrefix="0" xfId="0">
      <alignment horizontal="right"/>
    </xf>
    <xf numFmtId="169" fontId="6" fillId="0" borderId="1" applyAlignment="1" pivotButton="0" quotePrefix="0" xfId="0">
      <alignment horizontal="right"/>
    </xf>
    <xf numFmtId="164" fontId="7" fillId="0" borderId="1" applyAlignment="1" pivotButton="0" quotePrefix="0" xfId="0">
      <alignment horizontal="right"/>
    </xf>
    <xf numFmtId="0" fontId="0" fillId="0" borderId="1" pivotButton="0" quotePrefix="0" xfId="0"/>
    <xf numFmtId="0" fontId="5" fillId="3" borderId="0" applyAlignment="1" pivotButton="0" quotePrefix="0" xfId="0">
      <alignment horizontal="left" vertical="center"/>
    </xf>
    <xf numFmtId="0" fontId="6" fillId="0" borderId="1" applyAlignment="1" pivotButton="0" quotePrefix="0" xfId="0">
      <alignment horizontal="center" vertical="center"/>
    </xf>
    <xf numFmtId="170" fontId="6" fillId="0" borderId="1" applyAlignment="1" pivotButton="0" quotePrefix="0" xfId="0">
      <alignment horizontal="right"/>
    </xf>
    <xf numFmtId="0" fontId="9" fillId="0" borderId="1" applyAlignment="1" pivotButton="0" quotePrefix="0" xfId="0">
      <alignment horizontal="center" vertical="center"/>
    </xf>
    <xf numFmtId="0" fontId="9"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styles" Target="styles.xml" Id="rId23" /><Relationship Type="http://schemas.openxmlformats.org/officeDocument/2006/relationships/theme" Target="theme/theme1.xml" Id="rId24"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no water-year-type record for WY2025 (year may be incomplete)</t>
      </text>
    </comment>
    <comment ref="B9" authorId="0" shapeId="0">
      <text>
        <t>peak weekly category over Jul 2020-Jun 2021 (exceptional)</t>
      </text>
    </comment>
    <comment ref="C9" authorId="0" shapeId="0">
      <text>
        <t>peak weekly category over Jul 2021-Jun 2022 (exceptional)</t>
      </text>
    </comment>
    <comment ref="D9" authorId="0" shapeId="0">
      <text>
        <t>peak weekly category over Jul 2022-Jun 2023 (extreme)</t>
      </text>
    </comment>
    <comment ref="E9" authorId="0" shapeId="0">
      <text>
        <t>peak weekly category over Jul 2023-Jun 2024 (none)</t>
      </text>
    </comment>
    <comment ref="F9" authorId="0" shapeId="0">
      <text>
        <t>peak weekly category over Jul 2024-Jun 2025 (extreme)</t>
      </text>
    </comment>
    <comment ref="B10" authorId="0" shapeId="0">
      <text>
        <t>water-year cumulative 24.0 in / 50 in seasonal normal; statewide SWP-supply index, not local precipitation</t>
      </text>
    </comment>
    <comment ref="C10" authorId="0" shapeId="0">
      <text>
        <t>water-year cumulative 43.0 in / 50 in seasonal normal; statewide SWP-supply index, not local precipitation</t>
      </text>
    </comment>
    <comment ref="D10" authorId="0" shapeId="0">
      <text>
        <t>water-year cumulative 66.6 in / 50 in seasonal normal; statewide SWP-supply index, not local precipitation</t>
      </text>
    </comment>
    <comment ref="E10" authorId="0" shapeId="0">
      <text>
        <t>water-year cumulative 48.2 in / 50 in seasonal normal; statewide SWP-supply index, not local precipitation</t>
      </text>
    </comment>
    <comment ref="F10" authorId="0" shapeId="0">
      <text>
        <t>water-year cumulative 56.5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G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Crestview Mutual Water Company</t>
        </is>
      </c>
    </row>
    <row r="2">
      <c r="A2" s="2" t="inlineStr">
        <is>
          <t>Financial Summary - multi-year overview (USD)</t>
        </is>
      </c>
    </row>
    <row r="3">
      <c r="A3" s="2" t="inlineStr">
        <is>
          <t>Entity ID: cawc_0010   |   Fiscal year ends November 30.</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FY2022</t>
        </is>
      </c>
      <c r="E8" s="5" t="inlineStr">
        <is>
          <t>FY2023</t>
        </is>
      </c>
      <c r="F8" s="5" t="inlineStr">
        <is>
          <t>FY2024</t>
        </is>
      </c>
      <c r="G8" s="5" t="inlineStr">
        <is>
          <t>FY2025</t>
        </is>
      </c>
    </row>
    <row r="9">
      <c r="A9" s="6" t="inlineStr">
        <is>
          <t>Operating results (USD)</t>
        </is>
      </c>
      <c r="B9" s="7" t="n"/>
      <c r="C9" s="7" t="n"/>
      <c r="D9" s="7" t="n"/>
      <c r="E9" s="7" t="n"/>
      <c r="F9" s="7" t="n"/>
      <c r="G9" s="7" t="n"/>
    </row>
    <row r="10">
      <c r="A10" s="8" t="inlineStr">
        <is>
          <t xml:space="preserve">    Total revenue</t>
        </is>
      </c>
      <c r="B10" s="9" t="n">
        <v>2399270</v>
      </c>
      <c r="C10" s="9" t="n">
        <v>2150514</v>
      </c>
      <c r="D10" s="9" t="n">
        <v>2248130</v>
      </c>
      <c r="E10" s="9" t="n">
        <v>1275777</v>
      </c>
      <c r="F10" s="9" t="n">
        <v>1768911</v>
      </c>
      <c r="G10" s="9" t="n">
        <v>1952968</v>
      </c>
    </row>
    <row r="11">
      <c r="A11" s="8" t="inlineStr">
        <is>
          <t xml:space="preserve">    Total expenses</t>
        </is>
      </c>
      <c r="B11" s="9" t="n">
        <v>1589007</v>
      </c>
      <c r="C11" s="9" t="n">
        <v>1945884</v>
      </c>
      <c r="D11" s="9" t="n">
        <v>1584074</v>
      </c>
      <c r="E11" s="9" t="n">
        <v>1707538</v>
      </c>
      <c r="F11" s="9" t="n">
        <v>1644126</v>
      </c>
      <c r="G11" s="9" t="n">
        <v>2005593</v>
      </c>
    </row>
    <row r="12">
      <c r="A12" s="10" t="inlineStr">
        <is>
          <t xml:space="preserve">    Net income</t>
        </is>
      </c>
      <c r="B12" s="11" t="n">
        <v>810263</v>
      </c>
      <c r="C12" s="11" t="n">
        <v>204630</v>
      </c>
      <c r="D12" s="11" t="n">
        <v>664056</v>
      </c>
      <c r="E12" s="11" t="n">
        <v>-431761</v>
      </c>
      <c r="F12" s="11" t="n">
        <v>124785</v>
      </c>
      <c r="G12" s="11" t="n">
        <v>-52625</v>
      </c>
    </row>
    <row r="14">
      <c r="A14" s="6" t="inlineStr">
        <is>
          <t>Financial position (USD, end of year)</t>
        </is>
      </c>
      <c r="B14" s="7" t="n"/>
      <c r="C14" s="7" t="n"/>
      <c r="D14" s="7" t="n"/>
      <c r="E14" s="7" t="n"/>
      <c r="F14" s="7" t="n"/>
      <c r="G14" s="7" t="n"/>
    </row>
    <row r="15">
      <c r="A15" s="8" t="inlineStr">
        <is>
          <t xml:space="preserve">    Total assets</t>
        </is>
      </c>
      <c r="B15" s="9" t="n">
        <v>6835267</v>
      </c>
      <c r="C15" s="9" t="n">
        <v>6806408</v>
      </c>
      <c r="D15" s="9" t="n">
        <v>7348280</v>
      </c>
      <c r="E15" s="9" t="n">
        <v>5902379</v>
      </c>
      <c r="F15" s="9" t="n">
        <v>6156552</v>
      </c>
      <c r="G15" s="9" t="n">
        <v>5946161</v>
      </c>
    </row>
    <row r="16">
      <c r="A16" s="8" t="inlineStr">
        <is>
          <t xml:space="preserve">    Total liabilities</t>
        </is>
      </c>
      <c r="B16" s="9" t="n">
        <v>1571097</v>
      </c>
      <c r="C16" s="9" t="n">
        <v>1337608</v>
      </c>
      <c r="D16" s="9" t="n">
        <v>1215424</v>
      </c>
      <c r="E16" s="9" t="n">
        <v>201286</v>
      </c>
      <c r="F16" s="9" t="n">
        <v>330674</v>
      </c>
      <c r="G16" s="9" t="n">
        <v>172908</v>
      </c>
    </row>
    <row r="17">
      <c r="A17" s="10" t="inlineStr">
        <is>
          <t xml:space="preserve">    Net assets</t>
        </is>
      </c>
      <c r="B17" s="11" t="n">
        <v>5264170</v>
      </c>
      <c r="C17" s="11" t="n">
        <v>5468800</v>
      </c>
      <c r="D17" s="11" t="n">
        <v>6132856</v>
      </c>
      <c r="E17" s="11" t="n">
        <v>5701093</v>
      </c>
      <c r="F17" s="11" t="n">
        <v>5825878</v>
      </c>
      <c r="G17" s="11" t="n">
        <v>5773253</v>
      </c>
    </row>
    <row r="19">
      <c r="A19" s="6" t="inlineStr">
        <is>
          <t>Headline ratios</t>
        </is>
      </c>
      <c r="B19" s="7" t="n"/>
      <c r="C19" s="7" t="n"/>
      <c r="D19" s="7" t="n"/>
      <c r="E19" s="7" t="n"/>
      <c r="F19" s="7" t="n"/>
      <c r="G19" s="7" t="n"/>
    </row>
    <row r="20">
      <c r="A20" s="8" t="inlineStr">
        <is>
          <t xml:space="preserve">    Operating margin</t>
        </is>
      </c>
      <c r="B20" s="12" t="n">
        <v>0.3377123041591817</v>
      </c>
      <c r="C20" s="12" t="n">
        <v>0.09515399574241321</v>
      </c>
      <c r="D20" s="12" t="n">
        <v>0.2953814948423801</v>
      </c>
      <c r="E20" s="12" t="n">
        <v>-0.3384298353082082</v>
      </c>
      <c r="F20" s="12" t="n">
        <v>0.0705434021270714</v>
      </c>
      <c r="G20" s="12" t="n">
        <v>-0.02694616604061101</v>
      </c>
    </row>
    <row r="21">
      <c r="A21" s="8" t="inlineStr">
        <is>
          <t xml:space="preserve">    Revenue growth (YoY)</t>
        </is>
      </c>
      <c r="B21" s="12" t="n">
        <v>0.5499300381269598</v>
      </c>
      <c r="C21" s="12" t="n">
        <v>-0.1036798692935768</v>
      </c>
      <c r="D21" s="12" t="n">
        <v>0.04539193885740804</v>
      </c>
      <c r="E21" s="12" t="n">
        <v>-0.432516358039793</v>
      </c>
      <c r="F21" s="12" t="n">
        <v>0.3865362049950736</v>
      </c>
      <c r="G21" s="12" t="n">
        <v>0.1040510234828095</v>
      </c>
    </row>
    <row r="22">
      <c r="A22" s="8" t="inlineStr">
        <is>
          <t xml:space="preserve">    Return on assets</t>
        </is>
      </c>
      <c r="B22" s="12" t="n">
        <v>0.1185415288093355</v>
      </c>
      <c r="C22" s="12" t="n">
        <v>0.03006431586234619</v>
      </c>
      <c r="D22" s="12" t="n">
        <v>0.09036890265477092</v>
      </c>
      <c r="E22" s="12" t="n">
        <v>-0.07315033480567751</v>
      </c>
      <c r="F22" s="12" t="n">
        <v>0.02026865037443036</v>
      </c>
      <c r="G22" s="12" t="n">
        <v>-0.008850248084436328</v>
      </c>
    </row>
    <row r="24" ht="42" customHeight="1">
      <c r="A24" s="3" t="inlineStr">
        <is>
          <t>Figures as reported in source filings (full provenance on the Sources &amp; audit tab). Parentheses denote negatives; ratios are computed upstream in financials_annual.</t>
        </is>
      </c>
    </row>
  </sheetData>
  <mergeCells count="6">
    <mergeCell ref="A1:G1"/>
    <mergeCell ref="A3:G3"/>
    <mergeCell ref="A6:G6"/>
    <mergeCell ref="A24:G24"/>
    <mergeCell ref="A2:G2"/>
    <mergeCell ref="A5:G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Crestview Mutual Water Company</t>
        </is>
      </c>
    </row>
    <row r="2">
      <c r="A2" s="2" t="inlineStr">
        <is>
          <t>Financial Statements - income statement, balance sheet, cash flow, member income test (USD)</t>
        </is>
      </c>
    </row>
    <row r="3">
      <c r="A3" s="2" t="inlineStr">
        <is>
          <t>Entity ID: cawc_0010   |   Fiscal year ends November 30.</t>
        </is>
      </c>
    </row>
    <row r="5">
      <c r="A5" s="6" t="inlineStr">
        <is>
          <t>INCOME STATEMENT - as reported (USD)</t>
        </is>
      </c>
      <c r="B5" s="7" t="n"/>
      <c r="C5" s="7" t="n"/>
      <c r="D5" s="7" t="n"/>
      <c r="E5" s="7" t="n"/>
      <c r="F5" s="7" t="n"/>
      <c r="G5" s="7" t="n"/>
    </row>
    <row r="6">
      <c r="A6" s="4" t="inlineStr">
        <is>
          <t>Line item</t>
        </is>
      </c>
      <c r="B6" s="5" t="inlineStr">
        <is>
          <t>FY2020</t>
        </is>
      </c>
      <c r="C6" s="5" t="inlineStr">
        <is>
          <t>FY2021</t>
        </is>
      </c>
      <c r="D6" s="5" t="inlineStr">
        <is>
          <t>FY2022</t>
        </is>
      </c>
      <c r="E6" s="5" t="inlineStr">
        <is>
          <t>FY2023</t>
        </is>
      </c>
      <c r="F6" s="5" t="inlineStr">
        <is>
          <t>FY2024</t>
        </is>
      </c>
      <c r="G6" s="5" t="inlineStr">
        <is>
          <t>FY2025</t>
        </is>
      </c>
    </row>
    <row r="7">
      <c r="A7" s="6" t="inlineStr">
        <is>
          <t>Revenue</t>
        </is>
      </c>
      <c r="B7" s="7" t="n"/>
      <c r="C7" s="7" t="n"/>
      <c r="D7" s="7" t="n"/>
      <c r="E7" s="7" t="n"/>
      <c r="F7" s="7" t="n"/>
      <c r="G7" s="7" t="n"/>
    </row>
    <row r="8">
      <c r="A8" s="8" t="inlineStr">
        <is>
          <t xml:space="preserve">    Program service revenue</t>
        </is>
      </c>
      <c r="B8" s="9" t="n">
        <v>2381777</v>
      </c>
      <c r="C8" s="9" t="n">
        <v>2125290</v>
      </c>
      <c r="D8" s="9" t="n">
        <v>2217179</v>
      </c>
      <c r="E8" s="9" t="n">
        <v>1240240</v>
      </c>
      <c r="F8" s="9" t="n">
        <v>1718834</v>
      </c>
      <c r="G8" s="9" t="n">
        <v>1909946</v>
      </c>
    </row>
    <row r="9">
      <c r="A9" s="8" t="inlineStr">
        <is>
          <t xml:space="preserve">    Investment income</t>
        </is>
      </c>
      <c r="B9" s="9" t="n">
        <v>17493</v>
      </c>
      <c r="C9" s="9" t="n">
        <v>25224</v>
      </c>
      <c r="D9" s="9" t="n">
        <v>29951</v>
      </c>
      <c r="E9" s="9" t="n">
        <v>37391</v>
      </c>
      <c r="F9" s="9" t="n">
        <v>52970</v>
      </c>
      <c r="G9" s="9" t="n">
        <v>43022</v>
      </c>
    </row>
    <row r="10">
      <c r="A10" s="8" t="inlineStr">
        <is>
          <t xml:space="preserve">    Net rental income</t>
        </is>
      </c>
      <c r="B10" s="9" t="n"/>
      <c r="C10" s="9" t="n"/>
      <c r="D10" s="9" t="n"/>
      <c r="E10" s="9" t="n"/>
      <c r="F10" s="9" t="n"/>
      <c r="G10" s="9" t="n"/>
    </row>
    <row r="11">
      <c r="A11" s="8" t="inlineStr">
        <is>
          <t xml:space="preserve">    Net gain/(loss) on investment sales</t>
        </is>
      </c>
      <c r="B11" s="9" t="n"/>
      <c r="C11" s="9" t="n"/>
      <c r="D11" s="9" t="n">
        <v>1000</v>
      </c>
      <c r="E11" s="9" t="n">
        <v>-1854</v>
      </c>
      <c r="F11" s="9" t="n">
        <v>-2893</v>
      </c>
      <c r="G11" s="9" t="n"/>
    </row>
    <row r="12">
      <c r="A12" s="8" t="inlineStr">
        <is>
          <t xml:space="preserve">    Other revenue</t>
        </is>
      </c>
      <c r="B12" s="9" t="n"/>
      <c r="C12" s="9" t="n"/>
      <c r="D12" s="9" t="n"/>
      <c r="E12" s="9" t="n"/>
      <c r="F12" s="9" t="n"/>
      <c r="G12" s="9" t="n"/>
    </row>
    <row r="13">
      <c r="A13" s="8" t="inlineStr">
        <is>
          <t xml:space="preserve">    Contributions &amp; grants</t>
        </is>
      </c>
      <c r="B13" s="9" t="n"/>
      <c r="C13" s="9" t="n"/>
      <c r="D13" s="9" t="n"/>
      <c r="E13" s="9" t="n"/>
      <c r="F13" s="9" t="n"/>
      <c r="G13" s="9" t="n"/>
    </row>
    <row r="14">
      <c r="A14" s="10" t="inlineStr">
        <is>
          <t>Total revenue</t>
        </is>
      </c>
      <c r="B14" s="11" t="n">
        <v>2399270</v>
      </c>
      <c r="C14" s="11" t="n">
        <v>2150514</v>
      </c>
      <c r="D14" s="11" t="n">
        <v>2248130</v>
      </c>
      <c r="E14" s="11" t="n">
        <v>1275777</v>
      </c>
      <c r="F14" s="11" t="n">
        <v>1768911</v>
      </c>
      <c r="G14" s="11" t="n">
        <v>1952968</v>
      </c>
    </row>
    <row r="16">
      <c r="A16" s="6" t="inlineStr">
        <is>
          <t>Expenses</t>
        </is>
      </c>
      <c r="B16" s="7" t="n"/>
      <c r="C16" s="7" t="n"/>
      <c r="D16" s="7" t="n"/>
      <c r="E16" s="7" t="n"/>
      <c r="F16" s="7" t="n"/>
      <c r="G16" s="7" t="n"/>
    </row>
    <row r="17">
      <c r="A17" s="8" t="inlineStr">
        <is>
          <t xml:space="preserve">    Depreciation</t>
        </is>
      </c>
      <c r="B17" s="9" t="n">
        <v>272490</v>
      </c>
      <c r="C17" s="9" t="n">
        <v>219585</v>
      </c>
      <c r="D17" s="9" t="n">
        <v>179664</v>
      </c>
      <c r="E17" s="9" t="n">
        <v>196965</v>
      </c>
      <c r="F17" s="9" t="n">
        <v>192952</v>
      </c>
      <c r="G17" s="9" t="n">
        <v>181231</v>
      </c>
    </row>
    <row r="18">
      <c r="A18" s="8" t="inlineStr">
        <is>
          <t xml:space="preserve">    Interest expense</t>
        </is>
      </c>
      <c r="B18" s="9" t="n"/>
      <c r="C18" s="9" t="n"/>
      <c r="D18" s="9" t="n"/>
      <c r="E18" s="9" t="n"/>
      <c r="F18" s="9" t="n"/>
      <c r="G18" s="9" t="n"/>
    </row>
    <row r="19">
      <c r="A19" s="10" t="inlineStr">
        <is>
          <t>Total expenses</t>
        </is>
      </c>
      <c r="B19" s="11" t="n">
        <v>1589007</v>
      </c>
      <c r="C19" s="11" t="n">
        <v>1945884</v>
      </c>
      <c r="D19" s="11" t="n">
        <v>1584074</v>
      </c>
      <c r="E19" s="11" t="n">
        <v>1707538</v>
      </c>
      <c r="F19" s="11" t="n">
        <v>1644126</v>
      </c>
      <c r="G19" s="11" t="n">
        <v>2005593</v>
      </c>
    </row>
    <row r="21">
      <c r="A21" s="10" t="inlineStr">
        <is>
          <t>Net income</t>
        </is>
      </c>
      <c r="B21" s="11" t="n">
        <v>810263</v>
      </c>
      <c r="C21" s="11" t="n">
        <v>204630</v>
      </c>
      <c r="D21" s="11" t="n">
        <v>664056</v>
      </c>
      <c r="E21" s="11" t="n">
        <v>-431761</v>
      </c>
      <c r="F21" s="11" t="n">
        <v>124785</v>
      </c>
      <c r="G21" s="11" t="n">
        <v>-52625</v>
      </c>
    </row>
    <row r="24">
      <c r="A24" s="6" t="inlineStr">
        <is>
          <t>BALANCE SHEET - as reported (USD, end of year)</t>
        </is>
      </c>
      <c r="B24" s="7" t="n"/>
      <c r="C24" s="7" t="n"/>
      <c r="D24" s="7" t="n"/>
      <c r="E24" s="7" t="n"/>
      <c r="F24" s="7" t="n"/>
      <c r="G24" s="7" t="n"/>
    </row>
    <row r="25">
      <c r="A25" s="4" t="inlineStr">
        <is>
          <t>Line item</t>
        </is>
      </c>
      <c r="B25" s="5" t="inlineStr">
        <is>
          <t>FY2020</t>
        </is>
      </c>
      <c r="C25" s="5" t="inlineStr">
        <is>
          <t>FY2021</t>
        </is>
      </c>
      <c r="D25" s="5" t="inlineStr">
        <is>
          <t>FY2022</t>
        </is>
      </c>
      <c r="E25" s="5" t="inlineStr">
        <is>
          <t>FY2023</t>
        </is>
      </c>
      <c r="F25" s="5" t="inlineStr">
        <is>
          <t>FY2024</t>
        </is>
      </c>
      <c r="G25" s="5" t="inlineStr">
        <is>
          <t>FY2025</t>
        </is>
      </c>
    </row>
    <row r="26">
      <c r="A26" s="6" t="inlineStr">
        <is>
          <t>Assets</t>
        </is>
      </c>
      <c r="B26" s="7" t="n"/>
      <c r="C26" s="7" t="n"/>
      <c r="D26" s="7" t="n"/>
      <c r="E26" s="7" t="n"/>
      <c r="F26" s="7" t="n"/>
      <c r="G26" s="7" t="n"/>
    </row>
    <row r="27">
      <c r="A27" s="8" t="inlineStr">
        <is>
          <t xml:space="preserve">    Cash</t>
        </is>
      </c>
      <c r="B27" s="9" t="n">
        <v>2346176</v>
      </c>
      <c r="C27" s="9" t="n">
        <v>2088776</v>
      </c>
      <c r="D27" s="9" t="n">
        <v>1477271</v>
      </c>
      <c r="E27" s="9" t="n">
        <v>462594</v>
      </c>
      <c r="F27" s="9" t="n">
        <v>1373373</v>
      </c>
      <c r="G27" s="9" t="n">
        <v>1210412</v>
      </c>
    </row>
    <row r="28">
      <c r="A28" s="8" t="inlineStr">
        <is>
          <t xml:space="preserve">    Savings &amp; temporary investments</t>
        </is>
      </c>
      <c r="B28" s="9" t="n">
        <v>480850</v>
      </c>
      <c r="C28" s="9" t="n">
        <v>477566</v>
      </c>
      <c r="D28" s="9" t="n">
        <v>1449309</v>
      </c>
      <c r="E28" s="9" t="n">
        <v>997259</v>
      </c>
      <c r="F28" s="9" t="n">
        <v>515589</v>
      </c>
      <c r="G28" s="9" t="n">
        <v>521810</v>
      </c>
    </row>
    <row r="29">
      <c r="A29" s="8" t="inlineStr">
        <is>
          <t xml:space="preserve">    Accounts receivable</t>
        </is>
      </c>
      <c r="B29" s="9" t="n">
        <v>185374</v>
      </c>
      <c r="C29" s="9" t="n">
        <v>200325</v>
      </c>
      <c r="D29" s="9" t="n">
        <v>134061</v>
      </c>
      <c r="E29" s="9" t="n">
        <v>147063</v>
      </c>
      <c r="F29" s="9" t="n">
        <v>183873</v>
      </c>
      <c r="G29" s="9" t="n">
        <v>112939</v>
      </c>
    </row>
    <row r="30">
      <c r="A30" s="8" t="inlineStr">
        <is>
          <t xml:space="preserve">    Inventories</t>
        </is>
      </c>
      <c r="B30" s="9" t="n"/>
      <c r="C30" s="9" t="n"/>
      <c r="D30" s="9" t="n"/>
      <c r="E30" s="9" t="n"/>
      <c r="F30" s="9" t="n"/>
      <c r="G30" s="9" t="n"/>
    </row>
    <row r="31">
      <c r="A31" s="8" t="inlineStr">
        <is>
          <t xml:space="preserve">    Prepaid expenses</t>
        </is>
      </c>
      <c r="B31" s="9" t="n">
        <v>109319</v>
      </c>
      <c r="C31" s="9" t="n">
        <v>87892</v>
      </c>
      <c r="D31" s="9" t="n">
        <v>106407</v>
      </c>
      <c r="E31" s="9" t="n">
        <v>128063</v>
      </c>
      <c r="F31" s="9" t="n">
        <v>82189</v>
      </c>
      <c r="G31" s="9" t="n">
        <v>82869</v>
      </c>
    </row>
    <row r="32">
      <c r="A32" s="8" t="inlineStr">
        <is>
          <t xml:space="preserve">    Property, plant &amp; equipment (gross)</t>
        </is>
      </c>
      <c r="B32" s="9" t="n">
        <v>9198315</v>
      </c>
      <c r="C32" s="9" t="n">
        <v>9656201</v>
      </c>
      <c r="D32" s="9" t="n">
        <v>10043904</v>
      </c>
      <c r="E32" s="9" t="n">
        <v>9941232</v>
      </c>
      <c r="F32" s="9" t="n">
        <v>9968206</v>
      </c>
      <c r="G32" s="9" t="n">
        <v>10166040</v>
      </c>
    </row>
    <row r="33">
      <c r="A33" s="8" t="inlineStr">
        <is>
          <t xml:space="preserve">    Less: accumulated depreciation</t>
        </is>
      </c>
      <c r="B33" s="9" t="n">
        <v>-5484767</v>
      </c>
      <c r="C33" s="9" t="n">
        <v>-5704352</v>
      </c>
      <c r="D33" s="9" t="n">
        <v>-5862672</v>
      </c>
      <c r="E33" s="9" t="n">
        <v>-5773832</v>
      </c>
      <c r="F33" s="9" t="n">
        <v>-5966678</v>
      </c>
      <c r="G33" s="9" t="n">
        <v>-6147909</v>
      </c>
    </row>
    <row r="34">
      <c r="A34" s="10" t="inlineStr">
        <is>
          <t xml:space="preserve">    Net property, plant &amp; equipment</t>
        </is>
      </c>
      <c r="B34" s="11" t="n">
        <v>3713548</v>
      </c>
      <c r="C34" s="11" t="n">
        <v>3951849</v>
      </c>
      <c r="D34" s="11" t="n">
        <v>4181232</v>
      </c>
      <c r="E34" s="11" t="n">
        <v>4167400</v>
      </c>
      <c r="F34" s="11" t="n">
        <v>4001528</v>
      </c>
      <c r="G34" s="11" t="n">
        <v>4018131</v>
      </c>
    </row>
    <row r="35">
      <c r="A35" s="10" t="inlineStr">
        <is>
          <t>Total assets</t>
        </is>
      </c>
      <c r="B35" s="11" t="n">
        <v>6835267</v>
      </c>
      <c r="C35" s="11" t="n">
        <v>6806408</v>
      </c>
      <c r="D35" s="11" t="n">
        <v>7348280</v>
      </c>
      <c r="E35" s="11" t="n">
        <v>5902379</v>
      </c>
      <c r="F35" s="11" t="n">
        <v>6156552</v>
      </c>
      <c r="G35" s="11" t="n">
        <v>5946161</v>
      </c>
    </row>
    <row r="37">
      <c r="A37" s="6" t="inlineStr">
        <is>
          <t>Liabilities</t>
        </is>
      </c>
      <c r="B37" s="7" t="n"/>
      <c r="C37" s="7" t="n"/>
      <c r="D37" s="7" t="n"/>
      <c r="E37" s="7" t="n"/>
      <c r="F37" s="7" t="n"/>
      <c r="G37" s="7" t="n"/>
    </row>
    <row r="38">
      <c r="A38" s="8" t="inlineStr">
        <is>
          <t xml:space="preserve">    Accounts payable</t>
        </is>
      </c>
      <c r="B38" s="9" t="n">
        <v>266874</v>
      </c>
      <c r="C38" s="9" t="n">
        <v>160925</v>
      </c>
      <c r="D38" s="9" t="n">
        <v>161268</v>
      </c>
      <c r="E38" s="9" t="n">
        <v>201286</v>
      </c>
      <c r="F38" s="9" t="n">
        <v>330674</v>
      </c>
      <c r="G38" s="9" t="n">
        <v>172908</v>
      </c>
    </row>
    <row r="39">
      <c r="A39" s="8" t="inlineStr">
        <is>
          <t xml:space="preserve">    Mortgages &amp; notes payable</t>
        </is>
      </c>
      <c r="B39" s="9" t="n">
        <v>1304223</v>
      </c>
      <c r="C39" s="9" t="n">
        <v>1176683</v>
      </c>
      <c r="D39" s="9" t="n">
        <v>1054156</v>
      </c>
      <c r="E39" s="9" t="n"/>
      <c r="F39" s="9" t="n"/>
      <c r="G39" s="9" t="n"/>
    </row>
    <row r="40">
      <c r="A40" s="10" t="inlineStr">
        <is>
          <t>Total liabilities</t>
        </is>
      </c>
      <c r="B40" s="11" t="n">
        <v>1571097</v>
      </c>
      <c r="C40" s="11" t="n">
        <v>1337608</v>
      </c>
      <c r="D40" s="11" t="n">
        <v>1215424</v>
      </c>
      <c r="E40" s="11" t="n">
        <v>201286</v>
      </c>
      <c r="F40" s="11" t="n">
        <v>330674</v>
      </c>
      <c r="G40" s="11" t="n">
        <v>172908</v>
      </c>
    </row>
    <row r="42">
      <c r="A42" s="6" t="inlineStr">
        <is>
          <t>Net Assets / Equity</t>
        </is>
      </c>
      <c r="B42" s="7" t="n"/>
      <c r="C42" s="7" t="n"/>
      <c r="D42" s="7" t="n"/>
      <c r="E42" s="7" t="n"/>
      <c r="F42" s="7" t="n"/>
      <c r="G42" s="7" t="n"/>
    </row>
    <row r="43">
      <c r="A43" s="8" t="inlineStr">
        <is>
          <t xml:space="preserve">    Capital stock</t>
        </is>
      </c>
      <c r="B43" s="9" t="n"/>
      <c r="C43" s="9" t="n"/>
      <c r="D43" s="9" t="n"/>
      <c r="E43" s="9" t="n"/>
      <c r="F43" s="9" t="n"/>
      <c r="G43" s="9" t="n"/>
    </row>
    <row r="44">
      <c r="A44" s="8" t="inlineStr">
        <is>
          <t xml:space="preserve">    Paid-in capital</t>
        </is>
      </c>
      <c r="B44" s="9" t="n"/>
      <c r="C44" s="9" t="n"/>
      <c r="D44" s="9" t="n"/>
      <c r="E44" s="9" t="n"/>
      <c r="F44" s="9" t="n"/>
      <c r="G44" s="9" t="n"/>
    </row>
    <row r="45">
      <c r="A45" s="8" t="inlineStr">
        <is>
          <t xml:space="preserve">    Retained earnings</t>
        </is>
      </c>
      <c r="B45" s="9" t="n"/>
      <c r="C45" s="9" t="n"/>
      <c r="D45" s="9" t="n"/>
      <c r="E45" s="9" t="n"/>
      <c r="F45" s="9" t="n"/>
      <c r="G45" s="9" t="n"/>
    </row>
    <row r="46">
      <c r="A46" s="10" t="inlineStr">
        <is>
          <t>Net assets</t>
        </is>
      </c>
      <c r="B46" s="11" t="n">
        <v>5264170</v>
      </c>
      <c r="C46" s="11" t="n">
        <v>5468800</v>
      </c>
      <c r="D46" s="11" t="n">
        <v>6132856</v>
      </c>
      <c r="E46" s="11" t="n">
        <v>5701093</v>
      </c>
      <c r="F46" s="11" t="n">
        <v>5825878</v>
      </c>
      <c r="G46" s="11" t="n">
        <v>5773253</v>
      </c>
    </row>
    <row r="49">
      <c r="A49" s="6" t="inlineStr">
        <is>
          <t>CASH FLOW - derived proxy (USD)</t>
        </is>
      </c>
      <c r="B49" s="7" t="n"/>
      <c r="C49" s="7" t="n"/>
      <c r="D49" s="7" t="n"/>
      <c r="E49" s="7" t="n"/>
      <c r="F49" s="7" t="n"/>
      <c r="G49" s="7" t="n"/>
    </row>
    <row r="50">
      <c r="A50" s="4" t="inlineStr">
        <is>
          <t>Proxy line</t>
        </is>
      </c>
      <c r="B50" s="5" t="inlineStr">
        <is>
          <t>FY2020</t>
        </is>
      </c>
      <c r="C50" s="5" t="inlineStr">
        <is>
          <t>FY2021</t>
        </is>
      </c>
      <c r="D50" s="5" t="inlineStr">
        <is>
          <t>FY2022</t>
        </is>
      </c>
      <c r="E50" s="5" t="inlineStr">
        <is>
          <t>FY2023</t>
        </is>
      </c>
      <c r="F50" s="5" t="inlineStr">
        <is>
          <t>FY2024</t>
        </is>
      </c>
      <c r="G50" s="5" t="inlineStr">
        <is>
          <t>FY2025</t>
        </is>
      </c>
    </row>
    <row r="51">
      <c r="A51" s="6" t="inlineStr">
        <is>
          <t>Operating</t>
        </is>
      </c>
      <c r="B51" s="7" t="n"/>
      <c r="C51" s="7" t="n"/>
      <c r="D51" s="7" t="n"/>
      <c r="E51" s="7" t="n"/>
      <c r="F51" s="7" t="n"/>
      <c r="G51" s="7" t="n"/>
    </row>
    <row r="52">
      <c r="A52" s="8" t="inlineStr">
        <is>
          <t xml:space="preserve">    Net income</t>
        </is>
      </c>
      <c r="B52" s="9" t="n">
        <v>810263</v>
      </c>
      <c r="C52" s="9" t="n">
        <v>204630</v>
      </c>
      <c r="D52" s="9" t="n">
        <v>664056</v>
      </c>
      <c r="E52" s="9" t="n">
        <v>-431761</v>
      </c>
      <c r="F52" s="9" t="n">
        <v>124785</v>
      </c>
      <c r="G52" s="9" t="n">
        <v>-52625</v>
      </c>
    </row>
    <row r="53">
      <c r="A53" s="8" t="inlineStr">
        <is>
          <t xml:space="preserve">    + Depreciation (reported)</t>
        </is>
      </c>
      <c r="B53" s="9" t="n">
        <v>272490</v>
      </c>
      <c r="C53" s="9" t="n">
        <v>219585</v>
      </c>
      <c r="D53" s="9" t="n">
        <v>179664</v>
      </c>
      <c r="E53" s="9" t="n">
        <v>196965</v>
      </c>
      <c r="F53" s="9" t="n">
        <v>192952</v>
      </c>
      <c r="G53" s="9" t="n">
        <v>181231</v>
      </c>
    </row>
    <row r="54">
      <c r="A54" s="8" t="inlineStr">
        <is>
          <t xml:space="preserve">    − Δ Accounts receivable</t>
        </is>
      </c>
      <c r="B54" s="9" t="n"/>
      <c r="C54" s="9" t="n">
        <v>-14951</v>
      </c>
      <c r="D54" s="9" t="n">
        <v>66264</v>
      </c>
      <c r="E54" s="9" t="n">
        <v>-13002</v>
      </c>
      <c r="F54" s="9" t="n">
        <v>-36810</v>
      </c>
      <c r="G54" s="9" t="n">
        <v>70934</v>
      </c>
    </row>
    <row r="55">
      <c r="A55" s="8" t="inlineStr">
        <is>
          <t xml:space="preserve">    − Δ Inventories</t>
        </is>
      </c>
      <c r="B55" s="9" t="n"/>
      <c r="C55" s="9" t="n"/>
      <c r="D55" s="9" t="n"/>
      <c r="E55" s="9" t="n"/>
      <c r="F55" s="9" t="n"/>
      <c r="G55" s="9" t="n"/>
    </row>
    <row r="56">
      <c r="A56" s="8" t="inlineStr">
        <is>
          <t xml:space="preserve">    − Δ Prepaid expenses</t>
        </is>
      </c>
      <c r="B56" s="9" t="n"/>
      <c r="C56" s="9" t="n">
        <v>21427</v>
      </c>
      <c r="D56" s="9" t="n">
        <v>-18515</v>
      </c>
      <c r="E56" s="9" t="n">
        <v>-21656</v>
      </c>
      <c r="F56" s="9" t="n">
        <v>45874</v>
      </c>
      <c r="G56" s="9" t="n">
        <v>-680</v>
      </c>
    </row>
    <row r="57">
      <c r="A57" s="8" t="inlineStr">
        <is>
          <t xml:space="preserve">    + Δ Accounts payable</t>
        </is>
      </c>
      <c r="B57" s="9" t="n"/>
      <c r="C57" s="9" t="n">
        <v>-105949</v>
      </c>
      <c r="D57" s="9" t="n">
        <v>343</v>
      </c>
      <c r="E57" s="9" t="n">
        <v>40018</v>
      </c>
      <c r="F57" s="9" t="n">
        <v>129388</v>
      </c>
      <c r="G57" s="9" t="n">
        <v>-157766</v>
      </c>
    </row>
    <row r="58">
      <c r="A58" s="10" t="inlineStr">
        <is>
          <t xml:space="preserve">    Operating cash flow proxy</t>
        </is>
      </c>
      <c r="B58" s="11" t="n"/>
      <c r="C58" s="11" t="n">
        <v>324742</v>
      </c>
      <c r="D58" s="11" t="n">
        <v>891812</v>
      </c>
      <c r="E58" s="11" t="n">
        <v>-229436</v>
      </c>
      <c r="F58" s="11" t="n">
        <v>456189</v>
      </c>
      <c r="G58" s="11" t="n">
        <v>41094</v>
      </c>
    </row>
    <row r="60">
      <c r="A60" s="6" t="inlineStr">
        <is>
          <t>Investing</t>
        </is>
      </c>
      <c r="B60" s="7" t="n"/>
      <c r="C60" s="7" t="n"/>
      <c r="D60" s="7" t="n"/>
      <c r="E60" s="7" t="n"/>
      <c r="F60" s="7" t="n"/>
      <c r="G60" s="7" t="n"/>
    </row>
    <row r="61">
      <c r="A61" s="8" t="inlineStr">
        <is>
          <t xml:space="preserve">    − Δ PP&amp;E gross (capex proxy)</t>
        </is>
      </c>
      <c r="B61" s="9" t="n"/>
      <c r="C61" s="9" t="n">
        <v>-457886</v>
      </c>
      <c r="D61" s="9" t="n">
        <v>-387703</v>
      </c>
      <c r="E61" s="9" t="n">
        <v>102672</v>
      </c>
      <c r="F61" s="9" t="n">
        <v>-26974</v>
      </c>
      <c r="G61" s="9" t="n">
        <v>-197834</v>
      </c>
    </row>
    <row r="63">
      <c r="A63" s="6" t="inlineStr">
        <is>
          <t>Financing</t>
        </is>
      </c>
      <c r="B63" s="7" t="n"/>
      <c r="C63" s="7" t="n"/>
      <c r="D63" s="7" t="n"/>
      <c r="E63" s="7" t="n"/>
      <c r="F63" s="7" t="n"/>
      <c r="G63" s="7" t="n"/>
    </row>
    <row r="64">
      <c r="A64" s="8" t="inlineStr">
        <is>
          <t xml:space="preserve">    Δ Mortgages &amp; notes payable</t>
        </is>
      </c>
      <c r="B64" s="9" t="n"/>
      <c r="C64" s="9" t="n">
        <v>-127540</v>
      </c>
      <c r="D64" s="9" t="n">
        <v>-122527</v>
      </c>
      <c r="E64" s="9" t="n"/>
      <c r="F64" s="9" t="n"/>
      <c r="G64" s="9" t="n"/>
    </row>
    <row r="66">
      <c r="A66" s="6" t="inlineStr">
        <is>
          <t>Reconciliation</t>
        </is>
      </c>
      <c r="B66" s="7" t="n"/>
      <c r="C66" s="7" t="n"/>
      <c r="D66" s="7" t="n"/>
      <c r="E66" s="7" t="n"/>
      <c r="F66" s="7" t="n"/>
      <c r="G66" s="7" t="n"/>
    </row>
    <row r="67">
      <c r="A67" s="10" t="inlineStr">
        <is>
          <t xml:space="preserve">    Δ Cash + temp. investments (actual)</t>
        </is>
      </c>
      <c r="B67" s="11" t="n"/>
      <c r="C67" s="11" t="n">
        <v>-260684</v>
      </c>
      <c r="D67" s="11" t="n">
        <v>360238</v>
      </c>
      <c r="E67" s="11" t="n">
        <v>-1466727</v>
      </c>
      <c r="F67" s="11" t="n">
        <v>429109</v>
      </c>
      <c r="G67" s="11" t="n">
        <v>-156740</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c r="F71" s="7" t="n"/>
      <c r="G71" s="7" t="n"/>
    </row>
    <row r="72">
      <c r="A72" s="4" t="inlineStr">
        <is>
          <t>Part V line 11</t>
        </is>
      </c>
      <c r="B72" s="5" t="inlineStr">
        <is>
          <t>FY2020</t>
        </is>
      </c>
      <c r="C72" s="5" t="inlineStr">
        <is>
          <t>FY2021</t>
        </is>
      </c>
      <c r="D72" s="5" t="inlineStr">
        <is>
          <t>FY2022</t>
        </is>
      </c>
      <c r="E72" s="5" t="inlineStr">
        <is>
          <t>FY2023</t>
        </is>
      </c>
      <c r="F72" s="5" t="inlineStr">
        <is>
          <t>FY2024</t>
        </is>
      </c>
      <c r="G72" s="5" t="inlineStr">
        <is>
          <t>FY2025</t>
        </is>
      </c>
    </row>
    <row r="73">
      <c r="A73" s="8" t="inlineStr">
        <is>
          <t xml:space="preserve">    11a. Gross income from members or shareholders</t>
        </is>
      </c>
      <c r="B73" s="9" t="n">
        <v>1787473</v>
      </c>
      <c r="C73" s="9" t="n">
        <v>2123328</v>
      </c>
      <c r="D73" s="9" t="n">
        <v>2217178</v>
      </c>
      <c r="E73" s="9" t="n">
        <v>1240239</v>
      </c>
      <c r="F73" s="9" t="n">
        <v>1718834</v>
      </c>
      <c r="G73" s="9" t="n">
        <v>1909951</v>
      </c>
    </row>
    <row r="74">
      <c r="A74" s="8" t="inlineStr">
        <is>
          <t xml:space="preserve">    11b. Gross income from other sources</t>
        </is>
      </c>
      <c r="B74" s="9" t="n">
        <v>611797</v>
      </c>
      <c r="C74" s="9" t="n">
        <v>27186</v>
      </c>
      <c r="D74" s="9" t="n">
        <v>30951</v>
      </c>
      <c r="E74" s="9" t="n">
        <v>37391</v>
      </c>
      <c r="F74" s="9" t="n">
        <v>52970</v>
      </c>
      <c r="G74" s="9" t="n">
        <v>43022</v>
      </c>
    </row>
    <row r="75">
      <c r="A75" s="14" t="inlineStr">
        <is>
          <t>Total gross income (11a + 11b)</t>
        </is>
      </c>
      <c r="B75" s="15">
        <f>SUM(B73,B74)</f>
        <v/>
      </c>
      <c r="C75" s="15">
        <f>SUM(C73,C74)</f>
        <v/>
      </c>
      <c r="D75" s="15">
        <f>SUM(D73,D74)</f>
        <v/>
      </c>
      <c r="E75" s="15">
        <f>SUM(E73,E74)</f>
        <v/>
      </c>
      <c r="F75" s="15">
        <f>SUM(F73,F74)</f>
        <v/>
      </c>
      <c r="G75" s="15">
        <f>SUM(G73,G74)</f>
        <v/>
      </c>
    </row>
    <row r="76">
      <c r="A76" s="14" t="inlineStr">
        <is>
          <t>Member income share (11a / total)</t>
        </is>
      </c>
      <c r="B76" s="16">
        <f>IF(B75=0,"",B73/B75)</f>
        <v/>
      </c>
      <c r="C76" s="16">
        <f>IF(C75=0,"",C73/C75)</f>
        <v/>
      </c>
      <c r="D76" s="16">
        <f>IF(D75=0,"",D73/D75)</f>
        <v/>
      </c>
      <c r="E76" s="16">
        <f>IF(E75=0,"",E73/E75)</f>
        <v/>
      </c>
      <c r="F76" s="16">
        <f>IF(F75=0,"",F73/F75)</f>
        <v/>
      </c>
      <c r="G76" s="16">
        <f>IF(G75=0,"",G73/G75)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1:G1"/>
    <mergeCell ref="A3:G3"/>
    <mergeCell ref="A69:G69"/>
    <mergeCell ref="A78:G78"/>
    <mergeCell ref="A2:G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Crestview Mutual Water Company</t>
        </is>
      </c>
    </row>
    <row r="2">
      <c r="A2" s="2" t="inlineStr">
        <is>
          <t>Balance Sheet - as reported (USD, end of year)</t>
        </is>
      </c>
    </row>
    <row r="3">
      <c r="A3" s="2" t="inlineStr">
        <is>
          <t>Entity ID: cawc_0010   |   Fiscal year ends November 30.</t>
        </is>
      </c>
    </row>
    <row r="5">
      <c r="A5" s="4" t="inlineStr">
        <is>
          <t>Line item</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Cash</t>
        </is>
      </c>
      <c r="B7" s="9" t="n">
        <v>2346176</v>
      </c>
      <c r="C7" s="9" t="n">
        <v>2088776</v>
      </c>
      <c r="D7" s="9" t="n">
        <v>1477271</v>
      </c>
      <c r="E7" s="9" t="n">
        <v>462594</v>
      </c>
      <c r="F7" s="9" t="n">
        <v>1373373</v>
      </c>
      <c r="G7" s="9" t="n">
        <v>1210412</v>
      </c>
    </row>
    <row r="8">
      <c r="A8" s="8" t="inlineStr">
        <is>
          <t xml:space="preserve">    Savings &amp; temporary investments</t>
        </is>
      </c>
      <c r="B8" s="9" t="n">
        <v>480850</v>
      </c>
      <c r="C8" s="9" t="n">
        <v>477566</v>
      </c>
      <c r="D8" s="9" t="n">
        <v>1449309</v>
      </c>
      <c r="E8" s="9" t="n">
        <v>997259</v>
      </c>
      <c r="F8" s="9" t="n">
        <v>515589</v>
      </c>
      <c r="G8" s="9" t="n">
        <v>521810</v>
      </c>
    </row>
    <row r="9">
      <c r="A9" s="8" t="inlineStr">
        <is>
          <t xml:space="preserve">    Accounts receivable</t>
        </is>
      </c>
      <c r="B9" s="9" t="n">
        <v>185374</v>
      </c>
      <c r="C9" s="9" t="n">
        <v>200325</v>
      </c>
      <c r="D9" s="9" t="n">
        <v>134061</v>
      </c>
      <c r="E9" s="9" t="n">
        <v>147063</v>
      </c>
      <c r="F9" s="9" t="n">
        <v>183873</v>
      </c>
      <c r="G9" s="9" t="n">
        <v>112939</v>
      </c>
    </row>
    <row r="10">
      <c r="A10" s="8" t="inlineStr">
        <is>
          <t xml:space="preserve">    Inventories</t>
        </is>
      </c>
      <c r="B10" s="9" t="n"/>
      <c r="C10" s="9" t="n"/>
      <c r="D10" s="9" t="n"/>
      <c r="E10" s="9" t="n"/>
      <c r="F10" s="9" t="n"/>
      <c r="G10" s="9" t="n"/>
    </row>
    <row r="11">
      <c r="A11" s="8" t="inlineStr">
        <is>
          <t xml:space="preserve">    Prepaid expenses</t>
        </is>
      </c>
      <c r="B11" s="9" t="n">
        <v>109319</v>
      </c>
      <c r="C11" s="9" t="n">
        <v>87892</v>
      </c>
      <c r="D11" s="9" t="n">
        <v>106407</v>
      </c>
      <c r="E11" s="9" t="n">
        <v>128063</v>
      </c>
      <c r="F11" s="9" t="n">
        <v>82189</v>
      </c>
      <c r="G11" s="9" t="n">
        <v>82869</v>
      </c>
    </row>
    <row r="12">
      <c r="A12" s="8" t="inlineStr">
        <is>
          <t xml:space="preserve">    Property, plant &amp; equipment (gross)</t>
        </is>
      </c>
      <c r="B12" s="9" t="n">
        <v>9198315</v>
      </c>
      <c r="C12" s="9" t="n">
        <v>9656201</v>
      </c>
      <c r="D12" s="9" t="n">
        <v>10043904</v>
      </c>
      <c r="E12" s="9" t="n">
        <v>9941232</v>
      </c>
      <c r="F12" s="9" t="n">
        <v>9968206</v>
      </c>
      <c r="G12" s="9" t="n">
        <v>10166040</v>
      </c>
    </row>
    <row r="13">
      <c r="A13" s="8" t="inlineStr">
        <is>
          <t xml:space="preserve">    Less: accumulated depreciation</t>
        </is>
      </c>
      <c r="B13" s="9" t="n">
        <v>-5484767</v>
      </c>
      <c r="C13" s="9" t="n">
        <v>-5704352</v>
      </c>
      <c r="D13" s="9" t="n">
        <v>-5862672</v>
      </c>
      <c r="E13" s="9" t="n">
        <v>-5773832</v>
      </c>
      <c r="F13" s="9" t="n">
        <v>-5966678</v>
      </c>
      <c r="G13" s="9" t="n">
        <v>-6147909</v>
      </c>
    </row>
    <row r="14">
      <c r="A14" s="10" t="inlineStr">
        <is>
          <t xml:space="preserve">    Net property, plant &amp; equipment</t>
        </is>
      </c>
      <c r="B14" s="11" t="n">
        <v>3713548</v>
      </c>
      <c r="C14" s="11" t="n">
        <v>3951849</v>
      </c>
      <c r="D14" s="11" t="n">
        <v>4181232</v>
      </c>
      <c r="E14" s="11" t="n">
        <v>4167400</v>
      </c>
      <c r="F14" s="11" t="n">
        <v>4001528</v>
      </c>
      <c r="G14" s="11" t="n">
        <v>4018131</v>
      </c>
    </row>
    <row r="15">
      <c r="A15" s="10" t="inlineStr">
        <is>
          <t>Total assets</t>
        </is>
      </c>
      <c r="B15" s="11" t="n">
        <v>6835267</v>
      </c>
      <c r="C15" s="11" t="n">
        <v>6806408</v>
      </c>
      <c r="D15" s="11" t="n">
        <v>7348280</v>
      </c>
      <c r="E15" s="11" t="n">
        <v>5902379</v>
      </c>
      <c r="F15" s="11" t="n">
        <v>6156552</v>
      </c>
      <c r="G15" s="11" t="n">
        <v>5946161</v>
      </c>
    </row>
    <row r="17">
      <c r="A17" s="6" t="inlineStr">
        <is>
          <t>Liabilities</t>
        </is>
      </c>
      <c r="B17" s="7" t="n"/>
      <c r="C17" s="7" t="n"/>
      <c r="D17" s="7" t="n"/>
      <c r="E17" s="7" t="n"/>
      <c r="F17" s="7" t="n"/>
      <c r="G17" s="7" t="n"/>
    </row>
    <row r="18">
      <c r="A18" s="8" t="inlineStr">
        <is>
          <t xml:space="preserve">    Accounts payable</t>
        </is>
      </c>
      <c r="B18" s="9" t="n">
        <v>266874</v>
      </c>
      <c r="C18" s="9" t="n">
        <v>160925</v>
      </c>
      <c r="D18" s="9" t="n">
        <v>161268</v>
      </c>
      <c r="E18" s="9" t="n">
        <v>201286</v>
      </c>
      <c r="F18" s="9" t="n">
        <v>330674</v>
      </c>
      <c r="G18" s="9" t="n">
        <v>172908</v>
      </c>
    </row>
    <row r="19">
      <c r="A19" s="8" t="inlineStr">
        <is>
          <t xml:space="preserve">    Mortgages &amp; notes payable</t>
        </is>
      </c>
      <c r="B19" s="9" t="n">
        <v>1304223</v>
      </c>
      <c r="C19" s="9" t="n">
        <v>1176683</v>
      </c>
      <c r="D19" s="9" t="n">
        <v>1054156</v>
      </c>
      <c r="E19" s="9" t="n"/>
      <c r="F19" s="9" t="n"/>
      <c r="G19" s="9" t="n"/>
    </row>
    <row r="20">
      <c r="A20" s="10" t="inlineStr">
        <is>
          <t>Total liabilities</t>
        </is>
      </c>
      <c r="B20" s="11" t="n">
        <v>1571097</v>
      </c>
      <c r="C20" s="11" t="n">
        <v>1337608</v>
      </c>
      <c r="D20" s="11" t="n">
        <v>1215424</v>
      </c>
      <c r="E20" s="11" t="n">
        <v>201286</v>
      </c>
      <c r="F20" s="11" t="n">
        <v>330674</v>
      </c>
      <c r="G20" s="11" t="n">
        <v>172908</v>
      </c>
    </row>
    <row r="22">
      <c r="A22" s="6" t="inlineStr">
        <is>
          <t>Net Assets / Equity</t>
        </is>
      </c>
      <c r="B22" s="7" t="n"/>
      <c r="C22" s="7" t="n"/>
      <c r="D22" s="7" t="n"/>
      <c r="E22" s="7" t="n"/>
      <c r="F22" s="7" t="n"/>
      <c r="G22" s="7" t="n"/>
    </row>
    <row r="23">
      <c r="A23" s="8" t="inlineStr">
        <is>
          <t xml:space="preserve">    Capital stock</t>
        </is>
      </c>
      <c r="B23" s="9" t="n"/>
      <c r="C23" s="9" t="n"/>
      <c r="D23" s="9" t="n"/>
      <c r="E23" s="9" t="n"/>
      <c r="F23" s="9" t="n"/>
      <c r="G23" s="9" t="n"/>
    </row>
    <row r="24">
      <c r="A24" s="8" t="inlineStr">
        <is>
          <t xml:space="preserve">    Paid-in capital</t>
        </is>
      </c>
      <c r="B24" s="9" t="n"/>
      <c r="C24" s="9" t="n"/>
      <c r="D24" s="9" t="n"/>
      <c r="E24" s="9" t="n"/>
      <c r="F24" s="9" t="n"/>
      <c r="G24" s="9" t="n"/>
    </row>
    <row r="25">
      <c r="A25" s="8" t="inlineStr">
        <is>
          <t xml:space="preserve">    Retained earnings</t>
        </is>
      </c>
      <c r="B25" s="9" t="n"/>
      <c r="C25" s="9" t="n"/>
      <c r="D25" s="9" t="n"/>
      <c r="E25" s="9" t="n"/>
      <c r="F25" s="9" t="n"/>
      <c r="G25" s="9" t="n"/>
    </row>
    <row r="26">
      <c r="A26" s="10" t="inlineStr">
        <is>
          <t>Net assets</t>
        </is>
      </c>
      <c r="B26" s="11" t="n">
        <v>5264170</v>
      </c>
      <c r="C26" s="11" t="n">
        <v>5468800</v>
      </c>
      <c r="D26" s="11" t="n">
        <v>6132856</v>
      </c>
      <c r="E26" s="11" t="n">
        <v>5701093</v>
      </c>
      <c r="F26" s="11" t="n">
        <v>5825878</v>
      </c>
      <c r="G26" s="11" t="n">
        <v>5773253</v>
      </c>
    </row>
    <row r="28">
      <c r="A28" s="8" t="inlineStr">
        <is>
          <t>Balance check (assets − liab. − net assets)</t>
        </is>
      </c>
      <c r="B28" s="9" t="n">
        <v>0</v>
      </c>
      <c r="C28" s="9" t="n">
        <v>0</v>
      </c>
      <c r="D28" s="9" t="n">
        <v>0</v>
      </c>
      <c r="E28" s="9" t="n">
        <v>0</v>
      </c>
      <c r="F28" s="9" t="n">
        <v>0</v>
      </c>
      <c r="G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G3"/>
    <mergeCell ref="A2:G2"/>
    <mergeCell ref="A30:G30"/>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6"/>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Crestview Mutual Water Company</t>
        </is>
      </c>
    </row>
    <row r="2">
      <c r="A2" s="2" t="inlineStr">
        <is>
          <t>Officers, Directors &amp; Contractors - Form 990 Part VII (FY2025; USD)</t>
        </is>
      </c>
    </row>
    <row r="3">
      <c r="A3" s="2" t="inlineStr">
        <is>
          <t>Entity ID: cawc_0010   |   Fiscal year ends November 30.</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8" t="inlineStr">
        <is>
          <t>LAURIE BENNETT</t>
        </is>
      </c>
      <c r="B7" s="8" t="inlineStr">
        <is>
          <t>TREASURER</t>
        </is>
      </c>
      <c r="C7" s="9" t="n">
        <v>0</v>
      </c>
      <c r="D7" s="9" t="n">
        <v>0</v>
      </c>
      <c r="E7" s="9" t="n">
        <v>0</v>
      </c>
      <c r="F7" s="9" t="n">
        <v>0</v>
      </c>
    </row>
    <row r="8">
      <c r="A8" s="8" t="inlineStr">
        <is>
          <t>FRANK MEZZATESTA</t>
        </is>
      </c>
      <c r="B8" s="8" t="inlineStr">
        <is>
          <t>DIRECTOR</t>
        </is>
      </c>
      <c r="C8" s="9" t="n">
        <v>0</v>
      </c>
      <c r="D8" s="9" t="n">
        <v>0</v>
      </c>
      <c r="E8" s="9" t="n">
        <v>0</v>
      </c>
      <c r="F8" s="9" t="n">
        <v>0</v>
      </c>
    </row>
    <row r="9">
      <c r="A9" s="8" t="inlineStr">
        <is>
          <t>STEVEN MURO</t>
        </is>
      </c>
      <c r="B9" s="8" t="inlineStr">
        <is>
          <t>SECRETARY</t>
        </is>
      </c>
      <c r="C9" s="9" t="n">
        <v>0</v>
      </c>
      <c r="D9" s="9" t="n">
        <v>0</v>
      </c>
      <c r="E9" s="9" t="n">
        <v>0</v>
      </c>
      <c r="F9" s="9" t="n">
        <v>0</v>
      </c>
    </row>
    <row r="10">
      <c r="A10" s="8" t="inlineStr">
        <is>
          <t>ALMA QUEZADA</t>
        </is>
      </c>
      <c r="B10" s="8" t="inlineStr">
        <is>
          <t>VICE PRESIDE</t>
        </is>
      </c>
      <c r="C10" s="9" t="n">
        <v>0</v>
      </c>
      <c r="D10" s="9" t="n">
        <v>0</v>
      </c>
      <c r="E10" s="9" t="n">
        <v>0</v>
      </c>
      <c r="F10" s="9" t="n">
        <v>0</v>
      </c>
    </row>
    <row r="11">
      <c r="A11" s="8" t="inlineStr">
        <is>
          <t>DAVE STEPHENSON</t>
        </is>
      </c>
      <c r="B11" s="8" t="inlineStr">
        <is>
          <t>PRESIDENT</t>
        </is>
      </c>
      <c r="C11" s="9" t="n">
        <v>0</v>
      </c>
      <c r="D11" s="9" t="n">
        <v>0</v>
      </c>
      <c r="E11" s="9" t="n">
        <v>0</v>
      </c>
      <c r="F11" s="9" t="n">
        <v>0</v>
      </c>
    </row>
    <row r="13">
      <c r="A13" s="6" t="inlineStr">
        <is>
          <t>Section B - Independent contractors (over $100,000)</t>
        </is>
      </c>
      <c r="B13" s="7" t="n"/>
      <c r="C13" s="7" t="n"/>
      <c r="D13" s="7" t="n"/>
      <c r="E13" s="7" t="n"/>
      <c r="F13" s="7" t="n"/>
    </row>
    <row r="14">
      <c r="A14" s="5" t="inlineStr">
        <is>
          <t>Contractor</t>
        </is>
      </c>
      <c r="B14" s="5" t="inlineStr">
        <is>
          <t>Services</t>
        </is>
      </c>
      <c r="C14" s="5" t="inlineStr">
        <is>
          <t>Compensation</t>
        </is>
      </c>
    </row>
    <row r="16" ht="42" customHeight="1">
      <c r="A16"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None such contractor(s). Source and confidence for every figure are on the Sources &amp; audit tab.</t>
        </is>
      </c>
    </row>
  </sheetData>
  <mergeCells count="4">
    <mergeCell ref="A3:F3"/>
    <mergeCell ref="A2:F2"/>
    <mergeCell ref="A16:F16"/>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Crestview Mutual Water Company</t>
        </is>
      </c>
    </row>
    <row r="2">
      <c r="A2" s="2" t="inlineStr">
        <is>
          <t>Revenue - Form 990 Part VIII (USD)</t>
        </is>
      </c>
    </row>
    <row r="3">
      <c r="A3" s="2" t="inlineStr">
        <is>
          <t>Entity ID: cawc_0010   |   Fiscal year ends November 30.</t>
        </is>
      </c>
    </row>
    <row r="5">
      <c r="A5" s="4" t="inlineStr">
        <is>
          <t>Part VIII line</t>
        </is>
      </c>
      <c r="B5" s="5" t="inlineStr">
        <is>
          <t>FY2020</t>
        </is>
      </c>
      <c r="C5" s="5" t="inlineStr">
        <is>
          <t>FY2021</t>
        </is>
      </c>
      <c r="D5" s="5" t="inlineStr">
        <is>
          <t>FY2022</t>
        </is>
      </c>
      <c r="E5" s="5" t="inlineStr">
        <is>
          <t>FY2023</t>
        </is>
      </c>
      <c r="F5" s="5" t="inlineStr">
        <is>
          <t>FY2024</t>
        </is>
      </c>
      <c r="G5" s="5" t="inlineStr">
        <is>
          <t>FY2025</t>
        </is>
      </c>
    </row>
    <row r="6">
      <c r="A6" s="6" t="inlineStr">
        <is>
          <t>Revenue by category</t>
        </is>
      </c>
      <c r="B6" s="7" t="n"/>
      <c r="C6" s="7" t="n"/>
      <c r="D6" s="7" t="n"/>
      <c r="E6" s="7" t="n"/>
      <c r="F6" s="7" t="n"/>
      <c r="G6" s="7" t="n"/>
    </row>
    <row r="7">
      <c r="A7" s="8" t="inlineStr">
        <is>
          <t xml:space="preserve">    1h. Total contributions, gifts, grants</t>
        </is>
      </c>
      <c r="B7" s="17" t="inlineStr">
        <is>
          <t>not reported</t>
        </is>
      </c>
      <c r="C7" s="17" t="inlineStr">
        <is>
          <t>not reported</t>
        </is>
      </c>
      <c r="D7" s="17" t="inlineStr">
        <is>
          <t>not reported</t>
        </is>
      </c>
      <c r="E7" s="17" t="inlineStr">
        <is>
          <t>not reported</t>
        </is>
      </c>
      <c r="F7" s="17" t="inlineStr">
        <is>
          <t>not reported</t>
        </is>
      </c>
      <c r="G7" s="17" t="inlineStr">
        <is>
          <t>not reported</t>
        </is>
      </c>
    </row>
    <row r="8">
      <c r="A8" s="8" t="inlineStr">
        <is>
          <t xml:space="preserve">    2g. Total program service revenue</t>
        </is>
      </c>
      <c r="B8" s="9" t="n">
        <v>2381777</v>
      </c>
      <c r="C8" s="9" t="n">
        <v>2125290</v>
      </c>
      <c r="D8" s="9" t="n">
        <v>2217179</v>
      </c>
      <c r="E8" s="9" t="n">
        <v>1240240</v>
      </c>
      <c r="F8" s="9" t="n">
        <v>1718834</v>
      </c>
      <c r="G8" s="9" t="n">
        <v>1909946</v>
      </c>
    </row>
    <row r="9">
      <c r="A9" s="8" t="inlineStr">
        <is>
          <t xml:space="preserve">    3. Investment income</t>
        </is>
      </c>
      <c r="B9" s="9" t="n">
        <v>17493</v>
      </c>
      <c r="C9" s="9" t="n">
        <v>25224</v>
      </c>
      <c r="D9" s="9" t="n">
        <v>29951</v>
      </c>
      <c r="E9" s="9" t="n">
        <v>37391</v>
      </c>
      <c r="F9" s="9" t="n">
        <v>52970</v>
      </c>
      <c r="G9" s="9" t="n">
        <v>43022</v>
      </c>
    </row>
    <row r="10">
      <c r="A10" s="8" t="inlineStr">
        <is>
          <t xml:space="preserve">    6d. Net rental income</t>
        </is>
      </c>
      <c r="B10" s="17" t="inlineStr">
        <is>
          <t>not reported</t>
        </is>
      </c>
      <c r="C10" s="17" t="inlineStr">
        <is>
          <t>not reported</t>
        </is>
      </c>
      <c r="D10" s="17" t="inlineStr">
        <is>
          <t>not reported</t>
        </is>
      </c>
      <c r="E10" s="17" t="inlineStr">
        <is>
          <t>not reported</t>
        </is>
      </c>
      <c r="F10" s="17" t="inlineStr">
        <is>
          <t>not reported</t>
        </is>
      </c>
      <c r="G10" s="17" t="inlineStr">
        <is>
          <t>not reported</t>
        </is>
      </c>
    </row>
    <row r="11">
      <c r="A11" s="8" t="inlineStr">
        <is>
          <t xml:space="preserve">    7d. Net gain/(loss) from investment sales</t>
        </is>
      </c>
      <c r="B11" s="17" t="inlineStr">
        <is>
          <t>not reported</t>
        </is>
      </c>
      <c r="C11" s="17" t="inlineStr">
        <is>
          <t>not reported</t>
        </is>
      </c>
      <c r="D11" s="9" t="n">
        <v>1000</v>
      </c>
      <c r="E11" s="9" t="n">
        <v>-1854</v>
      </c>
      <c r="F11" s="9" t="n">
        <v>-2893</v>
      </c>
      <c r="G11" s="17" t="inlineStr">
        <is>
          <t>not reported</t>
        </is>
      </c>
    </row>
    <row r="12">
      <c r="A12" s="8" t="inlineStr">
        <is>
          <t xml:space="preserve">    11e. Other revenue</t>
        </is>
      </c>
      <c r="B12" s="17" t="inlineStr">
        <is>
          <t>not reported</t>
        </is>
      </c>
      <c r="C12" s="17" t="inlineStr">
        <is>
          <t>not reported</t>
        </is>
      </c>
      <c r="D12" s="17" t="inlineStr">
        <is>
          <t>not reported</t>
        </is>
      </c>
      <c r="E12" s="17" t="inlineStr">
        <is>
          <t>not reported</t>
        </is>
      </c>
      <c r="F12" s="17" t="inlineStr">
        <is>
          <t>not reported</t>
        </is>
      </c>
      <c r="G12" s="17" t="inlineStr">
        <is>
          <t>not reported</t>
        </is>
      </c>
    </row>
    <row r="13">
      <c r="A13" s="10" t="inlineStr">
        <is>
          <t>12. Total revenue</t>
        </is>
      </c>
      <c r="B13" s="11">
        <f>SUM(B7:B12)</f>
        <v/>
      </c>
      <c r="C13" s="11">
        <f>SUM(C7:C12)</f>
        <v/>
      </c>
      <c r="D13" s="11">
        <f>SUM(D7:D12)</f>
        <v/>
      </c>
      <c r="E13" s="11">
        <f>SUM(E7:E12)</f>
        <v/>
      </c>
      <c r="F13" s="11">
        <f>SUM(F7:F12)</f>
        <v/>
      </c>
      <c r="G13" s="11">
        <f>SUM(G7:G12)</f>
        <v/>
      </c>
    </row>
    <row r="15">
      <c r="A15" s="6" t="inlineStr">
        <is>
          <t>Program service revenue detail - FY2025 (lines 2a-2f)</t>
        </is>
      </c>
      <c r="B15" s="7" t="n"/>
      <c r="C15" s="7" t="n"/>
      <c r="D15" s="7" t="n"/>
      <c r="E15" s="7" t="n"/>
      <c r="F15" s="7" t="n"/>
      <c r="G15" s="7" t="n"/>
    </row>
    <row r="16">
      <c r="A16" s="5" t="inlineStr">
        <is>
          <t>Description</t>
        </is>
      </c>
      <c r="B16" s="5" t="inlineStr">
        <is>
          <t>Business code</t>
        </is>
      </c>
      <c r="C16" s="5" t="inlineStr">
        <is>
          <t>Total revenue</t>
        </is>
      </c>
    </row>
    <row r="17">
      <c r="A17" s="8" t="inlineStr">
        <is>
          <t>WATER SALES</t>
        </is>
      </c>
      <c r="B17" s="8" t="inlineStr">
        <is>
          <t>221000</t>
        </is>
      </c>
      <c r="C17" s="9" t="n">
        <v>1511804</v>
      </c>
    </row>
    <row r="18">
      <c r="A18" s="8" t="inlineStr">
        <is>
          <t>SERVICE AVAILABILITY FEES</t>
        </is>
      </c>
      <c r="B18" s="8" t="inlineStr">
        <is>
          <t>900099</t>
        </is>
      </c>
      <c r="C18" s="9" t="n">
        <v>388755</v>
      </c>
    </row>
    <row r="19">
      <c r="A19" s="8" t="inlineStr">
        <is>
          <t>MISCELLANEOUS REVENUE</t>
        </is>
      </c>
      <c r="B19" s="8" t="inlineStr">
        <is>
          <t>900099</t>
        </is>
      </c>
      <c r="C19" s="9" t="n">
        <v>9387</v>
      </c>
    </row>
    <row r="20" ht="42" customHeight="1">
      <c r="A20"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20:G20"/>
    <mergeCell ref="A3:G3"/>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4"/>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Crestview Mutual Water Company</t>
        </is>
      </c>
    </row>
    <row r="2">
      <c r="A2" s="2" t="inlineStr">
        <is>
          <t>Statement of Functional Expenses - Form 990 Part IX (USD)</t>
        </is>
      </c>
    </row>
    <row r="3">
      <c r="A3" s="2" t="inlineStr">
        <is>
          <t>Entity ID: cawc_0010   |   Fiscal year ends November 30.</t>
        </is>
      </c>
    </row>
    <row r="5">
      <c r="A5" s="4" t="inlineStr">
        <is>
          <t>Part IX line (column A Total)</t>
        </is>
      </c>
      <c r="B5" s="5" t="inlineStr">
        <is>
          <t>FY2020</t>
        </is>
      </c>
      <c r="C5" s="5" t="inlineStr">
        <is>
          <t>FY2021</t>
        </is>
      </c>
      <c r="D5" s="5" t="inlineStr">
        <is>
          <t>FY2022</t>
        </is>
      </c>
      <c r="E5" s="5" t="inlineStr">
        <is>
          <t>FY2023</t>
        </is>
      </c>
      <c r="F5" s="5" t="inlineStr">
        <is>
          <t>FY2024</t>
        </is>
      </c>
      <c r="G5" s="5" t="inlineStr">
        <is>
          <t>FY2025</t>
        </is>
      </c>
    </row>
    <row r="6">
      <c r="A6" s="6" t="inlineStr">
        <is>
          <t>Functional expenses, column A Total - by year</t>
        </is>
      </c>
      <c r="B6" s="7" t="n"/>
      <c r="C6" s="7" t="n"/>
      <c r="D6" s="7" t="n"/>
      <c r="E6" s="7" t="n"/>
      <c r="F6" s="7" t="n"/>
      <c r="G6" s="7" t="n"/>
    </row>
    <row r="7">
      <c r="A7" s="8" t="inlineStr">
        <is>
          <t xml:space="preserve">    7. Other salaries and wages</t>
        </is>
      </c>
      <c r="B7" s="9" t="n">
        <v>250956</v>
      </c>
      <c r="C7" s="9" t="n">
        <v>265470</v>
      </c>
      <c r="D7" s="9" t="n">
        <v>261943</v>
      </c>
      <c r="E7" s="9" t="n">
        <v>292522</v>
      </c>
      <c r="F7" s="9" t="n">
        <v>429089</v>
      </c>
      <c r="G7" s="9" t="n">
        <v>432197</v>
      </c>
    </row>
    <row r="8">
      <c r="A8" s="8" t="inlineStr">
        <is>
          <t xml:space="preserve">    8. Pension plan accruals and contributions</t>
        </is>
      </c>
      <c r="B8" s="9" t="n">
        <v>21538</v>
      </c>
      <c r="C8" s="9" t="n">
        <v>24604</v>
      </c>
      <c r="D8" s="9" t="n">
        <v>17931</v>
      </c>
      <c r="E8" s="9" t="n">
        <v>22339</v>
      </c>
      <c r="F8" s="9" t="n">
        <v>37350</v>
      </c>
      <c r="G8" s="9" t="n">
        <v>26133</v>
      </c>
    </row>
    <row r="9">
      <c r="A9" s="8" t="inlineStr">
        <is>
          <t xml:space="preserve">    9. Other employee benefits</t>
        </is>
      </c>
      <c r="B9" s="9" t="n">
        <v>42593</v>
      </c>
      <c r="C9" s="9" t="n">
        <v>42491</v>
      </c>
      <c r="D9" s="9" t="n">
        <v>41571</v>
      </c>
      <c r="E9" s="9" t="n">
        <v>38478</v>
      </c>
      <c r="F9" s="9" t="n">
        <v>57068</v>
      </c>
      <c r="G9" s="9" t="n">
        <v>64240</v>
      </c>
    </row>
    <row r="10">
      <c r="A10" s="8" t="inlineStr">
        <is>
          <t xml:space="preserve">    10. Payroll taxes</t>
        </is>
      </c>
      <c r="B10" s="9" t="n">
        <v>19990</v>
      </c>
      <c r="C10" s="9" t="n">
        <v>21415</v>
      </c>
      <c r="D10" s="9" t="n">
        <v>22247</v>
      </c>
      <c r="E10" s="9" t="n">
        <v>23186</v>
      </c>
      <c r="F10" s="9" t="n">
        <v>35215</v>
      </c>
      <c r="G10" s="9" t="n">
        <v>35265</v>
      </c>
    </row>
    <row r="11">
      <c r="A11" s="8" t="inlineStr">
        <is>
          <t xml:space="preserve">    11a. Fees for services: management</t>
        </is>
      </c>
      <c r="B11" s="9" t="n">
        <v>187589</v>
      </c>
      <c r="C11" s="9" t="n">
        <v>180735</v>
      </c>
      <c r="D11" s="9" t="n">
        <v>224363</v>
      </c>
      <c r="E11" s="9" t="n">
        <v>149938</v>
      </c>
      <c r="F11" s="9" t="n">
        <v>86276</v>
      </c>
      <c r="G11" s="17" t="inlineStr">
        <is>
          <t>not reported</t>
        </is>
      </c>
    </row>
    <row r="12">
      <c r="A12" s="8" t="inlineStr">
        <is>
          <t xml:space="preserve">    11b. Fees for services: legal</t>
        </is>
      </c>
      <c r="B12" s="9" t="n">
        <v>153103</v>
      </c>
      <c r="C12" s="9" t="n">
        <v>165666</v>
      </c>
      <c r="D12" s="9" t="n">
        <v>186409</v>
      </c>
      <c r="E12" s="9" t="n">
        <v>195861</v>
      </c>
      <c r="F12" s="9" t="n">
        <v>71283</v>
      </c>
      <c r="G12" s="9" t="n">
        <v>178194</v>
      </c>
    </row>
    <row r="13">
      <c r="A13" s="8" t="inlineStr">
        <is>
          <t xml:space="preserve">    11c. Fees for services: accounting</t>
        </is>
      </c>
      <c r="B13" s="9" t="n">
        <v>8200</v>
      </c>
      <c r="C13" s="9" t="n">
        <v>10300</v>
      </c>
      <c r="D13" s="9" t="n">
        <v>10700</v>
      </c>
      <c r="E13" s="9" t="n">
        <v>10700</v>
      </c>
      <c r="F13" s="9" t="n">
        <v>10000</v>
      </c>
      <c r="G13" s="9" t="n">
        <v>9700</v>
      </c>
    </row>
    <row r="14">
      <c r="A14" s="8" t="inlineStr">
        <is>
          <t xml:space="preserve">    11g. Fees for services: other</t>
        </is>
      </c>
      <c r="B14" s="17" t="inlineStr">
        <is>
          <t>not reported</t>
        </is>
      </c>
      <c r="C14" s="17" t="inlineStr">
        <is>
          <t>not reported</t>
        </is>
      </c>
      <c r="D14" s="9" t="n">
        <v>22535</v>
      </c>
      <c r="E14" s="9" t="n">
        <v>46728</v>
      </c>
      <c r="F14" s="9" t="n">
        <v>15601</v>
      </c>
      <c r="G14" s="9" t="n">
        <v>193419</v>
      </c>
    </row>
    <row r="15">
      <c r="A15" s="8" t="inlineStr">
        <is>
          <t xml:space="preserve">    13. Office expenses</t>
        </is>
      </c>
      <c r="B15" s="9" t="n">
        <v>4224</v>
      </c>
      <c r="C15" s="9" t="n">
        <v>4686</v>
      </c>
      <c r="D15" s="9" t="n">
        <v>3921</v>
      </c>
      <c r="E15" s="9" t="n">
        <v>4102</v>
      </c>
      <c r="F15" s="9" t="n">
        <v>9870</v>
      </c>
      <c r="G15" s="9" t="n">
        <v>9944</v>
      </c>
    </row>
    <row r="16">
      <c r="A16" s="8" t="inlineStr">
        <is>
          <t xml:space="preserve">    14. Information technology</t>
        </is>
      </c>
      <c r="B16" s="9" t="n">
        <v>11538</v>
      </c>
      <c r="C16" s="9" t="n">
        <v>18661</v>
      </c>
      <c r="D16" s="9" t="n">
        <v>22940</v>
      </c>
      <c r="E16" s="9" t="n">
        <v>34878</v>
      </c>
      <c r="F16" s="9" t="n">
        <v>69654</v>
      </c>
      <c r="G16" s="9" t="n">
        <v>37238</v>
      </c>
    </row>
    <row r="17">
      <c r="A17" s="8" t="inlineStr">
        <is>
          <t xml:space="preserve">    22. Depreciation, depletion, and amortization</t>
        </is>
      </c>
      <c r="B17" s="9" t="n">
        <v>272490</v>
      </c>
      <c r="C17" s="9" t="n">
        <v>219585</v>
      </c>
      <c r="D17" s="9" t="n">
        <v>179664</v>
      </c>
      <c r="E17" s="9" t="n">
        <v>196965</v>
      </c>
      <c r="F17" s="9" t="n">
        <v>192952</v>
      </c>
      <c r="G17" s="9" t="n">
        <v>181231</v>
      </c>
    </row>
    <row r="18">
      <c r="A18" s="8" t="inlineStr">
        <is>
          <t xml:space="preserve">    23. Insurance</t>
        </is>
      </c>
      <c r="B18" s="9" t="n">
        <v>31258</v>
      </c>
      <c r="C18" s="9" t="n">
        <v>35584</v>
      </c>
      <c r="D18" s="9" t="n">
        <v>40374</v>
      </c>
      <c r="E18" s="9" t="n">
        <v>44781</v>
      </c>
      <c r="F18" s="9" t="n">
        <v>58127</v>
      </c>
      <c r="G18" s="9" t="n">
        <v>65393</v>
      </c>
    </row>
    <row r="19">
      <c r="A19" s="8" t="inlineStr">
        <is>
          <t xml:space="preserve">    24. WATER PURCHASE</t>
        </is>
      </c>
      <c r="B19" s="9" t="n">
        <v>312132</v>
      </c>
      <c r="C19" s="9" t="n">
        <v>563719</v>
      </c>
      <c r="D19" s="9" t="n">
        <v>83309</v>
      </c>
      <c r="E19" s="17" t="inlineStr">
        <is>
          <t>not reported</t>
        </is>
      </c>
      <c r="F19" s="9" t="n">
        <v>103733</v>
      </c>
      <c r="G19" s="9" t="n">
        <v>260503</v>
      </c>
    </row>
    <row r="20">
      <c r="A20" s="8" t="inlineStr">
        <is>
          <t xml:space="preserve">    24. POWER</t>
        </is>
      </c>
      <c r="B20" s="9" t="n">
        <v>104369</v>
      </c>
      <c r="C20" s="9" t="n">
        <v>126485</v>
      </c>
      <c r="D20" s="9" t="n">
        <v>150838</v>
      </c>
      <c r="E20" s="9" t="n">
        <v>192098</v>
      </c>
      <c r="F20" s="9" t="n">
        <v>195044</v>
      </c>
      <c r="G20" s="9" t="n">
        <v>180548</v>
      </c>
    </row>
    <row r="21">
      <c r="A21" s="8" t="inlineStr">
        <is>
          <t xml:space="preserve">    24. REPAIRS &amp; MAINTENANCE</t>
        </is>
      </c>
      <c r="B21" s="9" t="n">
        <v>53913</v>
      </c>
      <c r="C21" s="9" t="n">
        <v>136270</v>
      </c>
      <c r="D21" s="9" t="n">
        <v>139597</v>
      </c>
      <c r="E21" s="9" t="n">
        <v>173755</v>
      </c>
      <c r="F21" s="17" t="inlineStr">
        <is>
          <t>not reported</t>
        </is>
      </c>
      <c r="G21" s="9" t="n">
        <v>74776</v>
      </c>
    </row>
    <row r="22">
      <c r="A22" s="8" t="inlineStr">
        <is>
          <t xml:space="preserve">    24. TAXES &amp; LICENSES</t>
        </is>
      </c>
      <c r="B22" s="9" t="n">
        <v>24352</v>
      </c>
      <c r="C22" s="17" t="inlineStr">
        <is>
          <t>not reported</t>
        </is>
      </c>
      <c r="D22" s="17" t="inlineStr">
        <is>
          <t>not reported</t>
        </is>
      </c>
      <c r="E22" s="17" t="inlineStr">
        <is>
          <t>not reported</t>
        </is>
      </c>
      <c r="F22" s="17" t="inlineStr">
        <is>
          <t>not reported</t>
        </is>
      </c>
      <c r="G22" s="17" t="inlineStr">
        <is>
          <t>not reported</t>
        </is>
      </c>
    </row>
    <row r="23">
      <c r="A23" s="8" t="inlineStr">
        <is>
          <t xml:space="preserve">    24. REGULATORY COMPLIANCE</t>
        </is>
      </c>
      <c r="B23" s="17" t="inlineStr">
        <is>
          <t>not reported</t>
        </is>
      </c>
      <c r="C23" s="9" t="n">
        <v>39238</v>
      </c>
      <c r="D23" s="17" t="inlineStr">
        <is>
          <t>not reported</t>
        </is>
      </c>
      <c r="E23" s="9" t="n">
        <v>60998</v>
      </c>
      <c r="F23" s="9" t="n">
        <v>57377</v>
      </c>
      <c r="G23" s="17" t="inlineStr">
        <is>
          <t>not reported</t>
        </is>
      </c>
    </row>
    <row r="24">
      <c r="A24" s="8" t="inlineStr">
        <is>
          <t xml:space="preserve">    24. WATER PURIFICATION</t>
        </is>
      </c>
      <c r="B24" s="17" t="inlineStr">
        <is>
          <t>not reported</t>
        </is>
      </c>
      <c r="C24" s="17" t="inlineStr">
        <is>
          <t>not reported</t>
        </is>
      </c>
      <c r="D24" s="9" t="n">
        <v>46961</v>
      </c>
      <c r="E24" s="9" t="n">
        <v>52108</v>
      </c>
      <c r="F24" s="17" t="inlineStr">
        <is>
          <t>not reported</t>
        </is>
      </c>
      <c r="G24" s="9" t="n">
        <v>61091</v>
      </c>
    </row>
    <row r="25">
      <c r="A25" s="8" t="inlineStr">
        <is>
          <t xml:space="preserve">    24. COSTS RELATED TO FIRE</t>
        </is>
      </c>
      <c r="B25" s="17" t="inlineStr">
        <is>
          <t>not reported</t>
        </is>
      </c>
      <c r="C25" s="17" t="inlineStr">
        <is>
          <t>not reported</t>
        </is>
      </c>
      <c r="D25" s="17" t="inlineStr">
        <is>
          <t>not reported</t>
        </is>
      </c>
      <c r="E25" s="17" t="inlineStr">
        <is>
          <t>not reported</t>
        </is>
      </c>
      <c r="F25" s="9" t="n">
        <v>61065</v>
      </c>
      <c r="G25" s="17" t="inlineStr">
        <is>
          <t>not reported</t>
        </is>
      </c>
    </row>
    <row r="26">
      <c r="A26" s="8" t="inlineStr">
        <is>
          <t xml:space="preserve">    24e. All other expenses</t>
        </is>
      </c>
      <c r="B26" s="9" t="n">
        <v>90762</v>
      </c>
      <c r="C26" s="9" t="n">
        <v>90975</v>
      </c>
      <c r="D26" s="9" t="n">
        <v>128771</v>
      </c>
      <c r="E26" s="9" t="n">
        <v>168101</v>
      </c>
      <c r="F26" s="9" t="n">
        <v>154422</v>
      </c>
      <c r="G26" s="9" t="n">
        <v>195721</v>
      </c>
    </row>
    <row r="27">
      <c r="A27" s="10" t="inlineStr">
        <is>
          <t>25. Total functional expenses</t>
        </is>
      </c>
      <c r="B27" s="11">
        <f>SUM(B7:B26)</f>
        <v/>
      </c>
      <c r="C27" s="11">
        <f>SUM(C7:C26)</f>
        <v/>
      </c>
      <c r="D27" s="11">
        <f>SUM(D7:D26)</f>
        <v/>
      </c>
      <c r="E27" s="11">
        <f>SUM(E7:E26)</f>
        <v/>
      </c>
      <c r="F27" s="11">
        <f>SUM(F7:F26)</f>
        <v/>
      </c>
      <c r="G27" s="11">
        <f>SUM(G7:G26)</f>
        <v/>
      </c>
    </row>
    <row r="29">
      <c r="A29" s="6" t="inlineStr">
        <is>
          <t>Functional column split - FY2025 (col A = B + C + D)</t>
        </is>
      </c>
      <c r="B29" s="7" t="n"/>
      <c r="C29" s="7" t="n"/>
      <c r="D29" s="7" t="n"/>
      <c r="E29" s="7" t="n"/>
      <c r="F29" s="7" t="n"/>
      <c r="G29" s="7" t="n"/>
    </row>
    <row r="30">
      <c r="A30" s="5" t="inlineStr">
        <is>
          <t>Part IX line</t>
        </is>
      </c>
      <c r="B30" s="5" t="inlineStr">
        <is>
          <t>A. Total</t>
        </is>
      </c>
      <c r="C30" s="5" t="inlineStr">
        <is>
          <t>B. Program services</t>
        </is>
      </c>
      <c r="D30" s="5" t="inlineStr">
        <is>
          <t>C. Management &amp; general</t>
        </is>
      </c>
      <c r="E30" s="5" t="inlineStr">
        <is>
          <t>D. Fundraising</t>
        </is>
      </c>
    </row>
    <row r="31">
      <c r="A31" s="18" t="inlineStr">
        <is>
          <t>7. Other salaries and wages</t>
        </is>
      </c>
      <c r="B31" s="9" t="n">
        <v>432197</v>
      </c>
      <c r="C31" s="9" t="n">
        <v>324752</v>
      </c>
      <c r="D31" s="9" t="n">
        <v>107445</v>
      </c>
      <c r="E31" s="9" t="n"/>
    </row>
    <row r="32">
      <c r="A32" s="18" t="inlineStr">
        <is>
          <t>8. Pension plan accruals and contributions</t>
        </is>
      </c>
      <c r="B32" s="9" t="n">
        <v>26133</v>
      </c>
      <c r="C32" s="9" t="n">
        <v>16468</v>
      </c>
      <c r="D32" s="9" t="n">
        <v>9665</v>
      </c>
      <c r="E32" s="9" t="n"/>
    </row>
    <row r="33">
      <c r="A33" s="18" t="inlineStr">
        <is>
          <t>9. Other employee benefits</t>
        </is>
      </c>
      <c r="B33" s="9" t="n">
        <v>64240</v>
      </c>
      <c r="C33" s="9" t="n">
        <v>36015</v>
      </c>
      <c r="D33" s="9" t="n">
        <v>28225</v>
      </c>
      <c r="E33" s="9" t="n"/>
    </row>
    <row r="34">
      <c r="A34" s="18" t="inlineStr">
        <is>
          <t>10. Payroll taxes</t>
        </is>
      </c>
      <c r="B34" s="9" t="n">
        <v>35265</v>
      </c>
      <c r="C34" s="9" t="n">
        <v>26852</v>
      </c>
      <c r="D34" s="9" t="n">
        <v>8413</v>
      </c>
      <c r="E34" s="9" t="n"/>
    </row>
    <row r="35">
      <c r="A35" s="18" t="inlineStr">
        <is>
          <t>11b. Fees for services: legal</t>
        </is>
      </c>
      <c r="B35" s="9" t="n">
        <v>178194</v>
      </c>
      <c r="C35" s="9" t="n"/>
      <c r="D35" s="9" t="n">
        <v>178194</v>
      </c>
      <c r="E35" s="9" t="n"/>
    </row>
    <row r="36">
      <c r="A36" s="18" t="inlineStr">
        <is>
          <t>11c. Fees for services: accounting</t>
        </is>
      </c>
      <c r="B36" s="9" t="n">
        <v>9700</v>
      </c>
      <c r="C36" s="9" t="n"/>
      <c r="D36" s="9" t="n">
        <v>9700</v>
      </c>
      <c r="E36" s="9" t="n"/>
    </row>
    <row r="37">
      <c r="A37" s="18" t="inlineStr">
        <is>
          <t>11g. Fees for services: other</t>
        </is>
      </c>
      <c r="B37" s="9" t="n">
        <v>193419</v>
      </c>
      <c r="C37" s="9" t="n">
        <v>187861</v>
      </c>
      <c r="D37" s="9" t="n">
        <v>5558</v>
      </c>
      <c r="E37" s="9" t="n"/>
    </row>
    <row r="38">
      <c r="A38" s="18" t="inlineStr">
        <is>
          <t>13. Office expenses</t>
        </is>
      </c>
      <c r="B38" s="9" t="n">
        <v>9944</v>
      </c>
      <c r="C38" s="9" t="n"/>
      <c r="D38" s="9" t="n">
        <v>9944</v>
      </c>
      <c r="E38" s="9" t="n"/>
    </row>
    <row r="39">
      <c r="A39" s="18" t="inlineStr">
        <is>
          <t>14. Information technology</t>
        </is>
      </c>
      <c r="B39" s="9" t="n">
        <v>37238</v>
      </c>
      <c r="C39" s="9" t="n">
        <v>20119</v>
      </c>
      <c r="D39" s="9" t="n">
        <v>17119</v>
      </c>
      <c r="E39" s="9" t="n"/>
    </row>
    <row r="40">
      <c r="A40" s="18" t="inlineStr">
        <is>
          <t>22. Depreciation, depletion, and amortization</t>
        </is>
      </c>
      <c r="B40" s="9" t="n">
        <v>181231</v>
      </c>
      <c r="C40" s="9" t="n">
        <v>170525</v>
      </c>
      <c r="D40" s="9" t="n">
        <v>10706</v>
      </c>
      <c r="E40" s="9" t="n"/>
    </row>
    <row r="41">
      <c r="A41" s="18" t="inlineStr">
        <is>
          <t>23. Insurance</t>
        </is>
      </c>
      <c r="B41" s="9" t="n">
        <v>65393</v>
      </c>
      <c r="C41" s="9" t="n">
        <v>63728</v>
      </c>
      <c r="D41" s="9" t="n">
        <v>1665</v>
      </c>
      <c r="E41" s="9" t="n"/>
    </row>
    <row r="42">
      <c r="A42" s="10" t="inlineStr">
        <is>
          <t>25. Total (filed col A / B / C / D)</t>
        </is>
      </c>
      <c r="B42" s="11" t="n">
        <v>2005593</v>
      </c>
      <c r="C42" s="11" t="n">
        <v>1530340</v>
      </c>
      <c r="D42" s="11" t="n">
        <v>475253</v>
      </c>
      <c r="E42" s="11" t="n">
        <v>0</v>
      </c>
    </row>
    <row r="44" ht="42" customHeight="1">
      <c r="A44"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Lower block: the program / management / fundraising split for the latest year, with its col A = B + C + D check on the audit tab. Lines this filer does not report are omitted rather than shown empty.</t>
        </is>
      </c>
    </row>
  </sheetData>
  <mergeCells count="4">
    <mergeCell ref="A3:G3"/>
    <mergeCell ref="A2:G2"/>
    <mergeCell ref="A1:G1"/>
    <mergeCell ref="A44:G4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Crestview Mutual Water Company</t>
        </is>
      </c>
    </row>
    <row r="2">
      <c r="A2" s="2" t="inlineStr">
        <is>
          <t>Balance Sheet - Form 990 Part X (end of year, USD)</t>
        </is>
      </c>
    </row>
    <row r="3">
      <c r="A3" s="2" t="inlineStr">
        <is>
          <t>Entity ID: cawc_0010   |   Fiscal year ends November 30.</t>
        </is>
      </c>
    </row>
    <row r="5">
      <c r="A5" s="4" t="inlineStr">
        <is>
          <t>Part X line (column B, EOY)</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1. Cash - non-interest-bearing</t>
        </is>
      </c>
      <c r="B7" s="9" t="n">
        <v>2346176</v>
      </c>
      <c r="C7" s="9" t="n">
        <v>2088776</v>
      </c>
      <c r="D7" s="9" t="n">
        <v>1477271</v>
      </c>
      <c r="E7" s="9" t="n">
        <v>462594</v>
      </c>
      <c r="F7" s="9" t="n">
        <v>1373373</v>
      </c>
      <c r="G7" s="9" t="n">
        <v>1210412</v>
      </c>
    </row>
    <row r="8">
      <c r="A8" s="8" t="inlineStr">
        <is>
          <t xml:space="preserve">    2. Savings and temporary cash investments</t>
        </is>
      </c>
      <c r="B8" s="9" t="n">
        <v>480850</v>
      </c>
      <c r="C8" s="9" t="n">
        <v>477566</v>
      </c>
      <c r="D8" s="9" t="n">
        <v>1449309</v>
      </c>
      <c r="E8" s="9" t="n">
        <v>997259</v>
      </c>
      <c r="F8" s="9" t="n">
        <v>515589</v>
      </c>
      <c r="G8" s="9" t="n">
        <v>521810</v>
      </c>
    </row>
    <row r="9">
      <c r="A9" s="8" t="inlineStr">
        <is>
          <t xml:space="preserve">    4. Accounts receivable, net</t>
        </is>
      </c>
      <c r="B9" s="9" t="n">
        <v>185374</v>
      </c>
      <c r="C9" s="9" t="n">
        <v>200325</v>
      </c>
      <c r="D9" s="9" t="n">
        <v>134061</v>
      </c>
      <c r="E9" s="9" t="n">
        <v>147063</v>
      </c>
      <c r="F9" s="9" t="n">
        <v>183873</v>
      </c>
      <c r="G9" s="9" t="n">
        <v>112939</v>
      </c>
    </row>
    <row r="10">
      <c r="A10" s="8" t="inlineStr">
        <is>
          <t xml:space="preserve">    9. Prepaid expenses and deferred charges</t>
        </is>
      </c>
      <c r="B10" s="9" t="n">
        <v>109319</v>
      </c>
      <c r="C10" s="9" t="n">
        <v>87892</v>
      </c>
      <c r="D10" s="9" t="n">
        <v>106407</v>
      </c>
      <c r="E10" s="9" t="n">
        <v>128063</v>
      </c>
      <c r="F10" s="9" t="n">
        <v>82189</v>
      </c>
      <c r="G10" s="9" t="n">
        <v>82869</v>
      </c>
    </row>
    <row r="11">
      <c r="A11" s="8" t="inlineStr">
        <is>
          <t xml:space="preserve">    10c. Land, buildings, and equipment, net</t>
        </is>
      </c>
      <c r="B11" s="9" t="n">
        <v>3713548</v>
      </c>
      <c r="C11" s="9" t="n">
        <v>3951849</v>
      </c>
      <c r="D11" s="9" t="n">
        <v>4181232</v>
      </c>
      <c r="E11" s="9" t="n">
        <v>4167400</v>
      </c>
      <c r="F11" s="9" t="n">
        <v>4001528</v>
      </c>
      <c r="G11" s="9" t="n">
        <v>4018131</v>
      </c>
    </row>
    <row r="12">
      <c r="A12" s="10" t="inlineStr">
        <is>
          <t>16. Total assets</t>
        </is>
      </c>
      <c r="B12" s="11">
        <f>SUM(B7:B11)</f>
        <v/>
      </c>
      <c r="C12" s="11">
        <f>SUM(C7:C11)</f>
        <v/>
      </c>
      <c r="D12" s="11">
        <f>SUM(D7:D11)</f>
        <v/>
      </c>
      <c r="E12" s="11">
        <f>SUM(E7:E11)</f>
        <v/>
      </c>
      <c r="F12" s="11">
        <f>SUM(F7:F11)</f>
        <v/>
      </c>
      <c r="G12" s="11">
        <f>SUM(G7:G11)</f>
        <v/>
      </c>
    </row>
    <row r="14">
      <c r="A14" s="6" t="inlineStr">
        <is>
          <t>Liabilities</t>
        </is>
      </c>
      <c r="B14" s="7" t="n"/>
      <c r="C14" s="7" t="n"/>
      <c r="D14" s="7" t="n"/>
      <c r="E14" s="7" t="n"/>
      <c r="F14" s="7" t="n"/>
      <c r="G14" s="7" t="n"/>
    </row>
    <row r="15">
      <c r="A15" s="8" t="inlineStr">
        <is>
          <t xml:space="preserve">    17. Accounts payable and accrued expenses</t>
        </is>
      </c>
      <c r="B15" s="9" t="n">
        <v>266874</v>
      </c>
      <c r="C15" s="9" t="n">
        <v>160925</v>
      </c>
      <c r="D15" s="9" t="n">
        <v>161268</v>
      </c>
      <c r="E15" s="9" t="n">
        <v>201286</v>
      </c>
      <c r="F15" s="9" t="n">
        <v>330674</v>
      </c>
      <c r="G15" s="9" t="n">
        <v>172908</v>
      </c>
    </row>
    <row r="16">
      <c r="A16" s="8" t="inlineStr">
        <is>
          <t xml:space="preserve">    23. Secured mortgages and notes payable</t>
        </is>
      </c>
      <c r="B16" s="9" t="n">
        <v>1304223</v>
      </c>
      <c r="C16" s="9" t="n">
        <v>1176683</v>
      </c>
      <c r="D16" s="9" t="n">
        <v>1054156</v>
      </c>
      <c r="E16" s="17" t="inlineStr">
        <is>
          <t>not reported</t>
        </is>
      </c>
      <c r="F16" s="17" t="inlineStr">
        <is>
          <t>not reported</t>
        </is>
      </c>
      <c r="G16" s="17" t="inlineStr">
        <is>
          <t>not reported</t>
        </is>
      </c>
    </row>
    <row r="17">
      <c r="A17" s="10" t="inlineStr">
        <is>
          <t>26. Total liabilities</t>
        </is>
      </c>
      <c r="B17" s="11">
        <f>SUM(B15:B16)</f>
        <v/>
      </c>
      <c r="C17" s="11">
        <f>SUM(C15:C16)</f>
        <v/>
      </c>
      <c r="D17" s="11">
        <f>SUM(D15:D16)</f>
        <v/>
      </c>
      <c r="E17" s="11">
        <f>SUM(E15:E16)</f>
        <v/>
      </c>
      <c r="F17" s="11">
        <f>SUM(F15:F16)</f>
        <v/>
      </c>
      <c r="G17" s="11">
        <f>SUM(G15:G16)</f>
        <v/>
      </c>
    </row>
    <row r="19">
      <c r="A19" s="6" t="inlineStr">
        <is>
          <t>Net assets / fund balances</t>
        </is>
      </c>
      <c r="B19" s="7" t="n"/>
      <c r="C19" s="7" t="n"/>
      <c r="D19" s="7" t="n"/>
      <c r="E19" s="7" t="n"/>
      <c r="F19" s="7" t="n"/>
      <c r="G19" s="7" t="n"/>
    </row>
    <row r="20">
      <c r="A20" s="8" t="inlineStr">
        <is>
          <t xml:space="preserve">    27. Net assets without donor restrictions</t>
        </is>
      </c>
      <c r="B20" s="9" t="n">
        <v>5264170</v>
      </c>
      <c r="C20" s="9" t="n">
        <v>5468800</v>
      </c>
      <c r="D20" s="9" t="n">
        <v>6132856</v>
      </c>
      <c r="E20" s="9" t="n">
        <v>5701093</v>
      </c>
      <c r="F20" s="9" t="n">
        <v>5825878</v>
      </c>
      <c r="G20" s="9" t="n">
        <v>5773253</v>
      </c>
    </row>
    <row r="21">
      <c r="A21" s="10" t="inlineStr">
        <is>
          <t>32. Total net assets / fund balances</t>
        </is>
      </c>
      <c r="B21" s="11">
        <f>SUM(B20:B20)</f>
        <v/>
      </c>
      <c r="C21" s="11">
        <f>SUM(C20:C20)</f>
        <v/>
      </c>
      <c r="D21" s="11">
        <f>SUM(D20:D20)</f>
        <v/>
      </c>
      <c r="E21" s="11">
        <f>SUM(E20:E20)</f>
        <v/>
      </c>
      <c r="F21" s="11">
        <f>SUM(F20:F20)</f>
        <v/>
      </c>
      <c r="G21" s="11">
        <f>SUM(G20:G20)</f>
        <v/>
      </c>
    </row>
    <row r="23" ht="42" customHeight="1">
      <c r="A23"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3:G3"/>
    <mergeCell ref="A2:G2"/>
    <mergeCell ref="A1:G1"/>
    <mergeCell ref="A23:G23"/>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Crestview Mutual Water Company</t>
        </is>
      </c>
    </row>
    <row r="2">
      <c r="A2" s="2" t="inlineStr">
        <is>
          <t>Reconciliation of Net Assets - Form 990 Part XI (USD)</t>
        </is>
      </c>
    </row>
    <row r="3">
      <c r="A3" s="2" t="inlineStr">
        <is>
          <t>Entity ID: cawc_0010   |   Fiscal year ends November 30.</t>
        </is>
      </c>
    </row>
    <row r="5">
      <c r="A5" s="4" t="inlineStr">
        <is>
          <t>Part XI line</t>
        </is>
      </c>
      <c r="B5" s="5" t="inlineStr">
        <is>
          <t>FY2020</t>
        </is>
      </c>
      <c r="C5" s="5" t="inlineStr">
        <is>
          <t>FY2021</t>
        </is>
      </c>
      <c r="D5" s="5" t="inlineStr">
        <is>
          <t>FY2022</t>
        </is>
      </c>
      <c r="E5" s="5" t="inlineStr">
        <is>
          <t>FY2023</t>
        </is>
      </c>
      <c r="F5" s="5" t="inlineStr">
        <is>
          <t>FY2024</t>
        </is>
      </c>
      <c r="G5" s="5" t="inlineStr">
        <is>
          <t>FY2025</t>
        </is>
      </c>
    </row>
    <row r="6">
      <c r="A6" s="6" t="inlineStr">
        <is>
          <t>Reconciliation</t>
        </is>
      </c>
      <c r="B6" s="7" t="n"/>
      <c r="C6" s="7" t="n"/>
      <c r="D6" s="7" t="n"/>
      <c r="E6" s="7" t="n"/>
      <c r="F6" s="7" t="n"/>
      <c r="G6" s="7" t="n"/>
    </row>
    <row r="7">
      <c r="A7" s="8" t="inlineStr">
        <is>
          <t xml:space="preserve">    4. Net assets, beginning of year</t>
        </is>
      </c>
      <c r="B7" s="9" t="n">
        <v>4453907</v>
      </c>
      <c r="C7" s="9" t="n">
        <v>5264170</v>
      </c>
      <c r="D7" s="9" t="n">
        <v>5468800</v>
      </c>
      <c r="E7" s="9" t="n">
        <v>6132856</v>
      </c>
      <c r="F7" s="9" t="n">
        <v>5701093</v>
      </c>
      <c r="G7" s="9" t="n">
        <v>5825878</v>
      </c>
    </row>
    <row r="8">
      <c r="A8" s="8" t="inlineStr">
        <is>
          <t xml:space="preserve">    3. Revenue less expenses</t>
        </is>
      </c>
      <c r="B8" s="9" t="n">
        <v>810263</v>
      </c>
      <c r="C8" s="9" t="n">
        <v>204630</v>
      </c>
      <c r="D8" s="9" t="n">
        <v>664056</v>
      </c>
      <c r="E8" s="9" t="n">
        <v>-431761</v>
      </c>
      <c r="F8" s="9" t="n">
        <v>124785</v>
      </c>
      <c r="G8" s="9" t="n">
        <v>-52625</v>
      </c>
    </row>
    <row r="9">
      <c r="A9" s="8" t="inlineStr">
        <is>
          <t xml:space="preserve">    8. Prior period adjustments</t>
        </is>
      </c>
      <c r="B9" s="17" t="inlineStr">
        <is>
          <t>not reported</t>
        </is>
      </c>
      <c r="C9" s="17" t="inlineStr">
        <is>
          <t>not reported</t>
        </is>
      </c>
      <c r="D9" s="17" t="inlineStr">
        <is>
          <t>not reported</t>
        </is>
      </c>
      <c r="E9" s="17" t="inlineStr">
        <is>
          <t>not reported</t>
        </is>
      </c>
      <c r="F9" s="17" t="inlineStr">
        <is>
          <t>not reported</t>
        </is>
      </c>
      <c r="G9" s="17" t="inlineStr">
        <is>
          <t>not reported</t>
        </is>
      </c>
    </row>
    <row r="10">
      <c r="A10" s="8" t="inlineStr">
        <is>
          <t xml:space="preserve">    9. Other changes in net assets</t>
        </is>
      </c>
      <c r="B10" s="17" t="inlineStr">
        <is>
          <t>not reported</t>
        </is>
      </c>
      <c r="C10" s="17" t="inlineStr">
        <is>
          <t>not reported</t>
        </is>
      </c>
      <c r="D10" s="17" t="inlineStr">
        <is>
          <t>not reported</t>
        </is>
      </c>
      <c r="E10" s="9" t="n">
        <v>-2</v>
      </c>
      <c r="F10" s="17" t="inlineStr">
        <is>
          <t>not reported</t>
        </is>
      </c>
      <c r="G10" s="17" t="inlineStr">
        <is>
          <t>not reported</t>
        </is>
      </c>
    </row>
    <row r="11">
      <c r="A11" s="10" t="inlineStr">
        <is>
          <t>10. Net assets, end of year</t>
        </is>
      </c>
      <c r="B11" s="11">
        <f>SUM(B7,B8,B9,B10)</f>
        <v/>
      </c>
      <c r="C11" s="11">
        <f>SUM(C7,C8,C9,C10)</f>
        <v/>
      </c>
      <c r="D11" s="11">
        <f>SUM(D7,D8,D9,D10)</f>
        <v/>
      </c>
      <c r="E11" s="11">
        <f>SUM(E7,E8,E9,E10)</f>
        <v/>
      </c>
      <c r="F11" s="11">
        <f>SUM(F7,F8,F9,F10)</f>
        <v/>
      </c>
      <c r="G11" s="11">
        <f>SUM(G7,G8,G9,G10)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13:G13"/>
    <mergeCell ref="A3:G3"/>
    <mergeCell ref="A2:G2"/>
    <mergeCell ref="A1:G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Crestview Mutual Water Company</t>
        </is>
      </c>
    </row>
    <row r="2">
      <c r="A2" s="2" t="inlineStr">
        <is>
          <t>Cash Flow Proxies - derived (USD)</t>
        </is>
      </c>
    </row>
    <row r="3">
      <c r="A3" s="2" t="inlineStr">
        <is>
          <t>Entity ID: cawc_0010   |   Fiscal year ends November 30.</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FY2022</t>
        </is>
      </c>
      <c r="E7" s="5" t="inlineStr">
        <is>
          <t>FY2023</t>
        </is>
      </c>
      <c r="F7" s="5" t="inlineStr">
        <is>
          <t>FY2024</t>
        </is>
      </c>
      <c r="G7" s="5" t="inlineStr">
        <is>
          <t>FY2025</t>
        </is>
      </c>
    </row>
    <row r="8">
      <c r="A8" s="6" t="inlineStr">
        <is>
          <t>Operating</t>
        </is>
      </c>
      <c r="B8" s="7" t="n"/>
      <c r="C8" s="7" t="n"/>
      <c r="D8" s="7" t="n"/>
      <c r="E8" s="7" t="n"/>
      <c r="F8" s="7" t="n"/>
      <c r="G8" s="7" t="n"/>
    </row>
    <row r="9">
      <c r="A9" s="8" t="inlineStr">
        <is>
          <t xml:space="preserve">    Net income</t>
        </is>
      </c>
      <c r="B9" s="9" t="n">
        <v>810263</v>
      </c>
      <c r="C9" s="9" t="n">
        <v>204630</v>
      </c>
      <c r="D9" s="9" t="n">
        <v>664056</v>
      </c>
      <c r="E9" s="9" t="n">
        <v>-431761</v>
      </c>
      <c r="F9" s="9" t="n">
        <v>124785</v>
      </c>
      <c r="G9" s="9" t="n">
        <v>-52625</v>
      </c>
    </row>
    <row r="10">
      <c r="A10" s="8" t="inlineStr">
        <is>
          <t xml:space="preserve">    + Depreciation (reported)</t>
        </is>
      </c>
      <c r="B10" s="9" t="n">
        <v>272490</v>
      </c>
      <c r="C10" s="9" t="n">
        <v>219585</v>
      </c>
      <c r="D10" s="9" t="n">
        <v>179664</v>
      </c>
      <c r="E10" s="9" t="n">
        <v>196965</v>
      </c>
      <c r="F10" s="9" t="n">
        <v>192952</v>
      </c>
      <c r="G10" s="9" t="n">
        <v>181231</v>
      </c>
    </row>
    <row r="11">
      <c r="A11" s="8" t="inlineStr">
        <is>
          <t xml:space="preserve">    − Δ Accounts receivable</t>
        </is>
      </c>
      <c r="B11" s="9" t="n"/>
      <c r="C11" s="9" t="n">
        <v>-14951</v>
      </c>
      <c r="D11" s="9" t="n">
        <v>66264</v>
      </c>
      <c r="E11" s="9" t="n">
        <v>-13002</v>
      </c>
      <c r="F11" s="9" t="n">
        <v>-36810</v>
      </c>
      <c r="G11" s="9" t="n">
        <v>70934</v>
      </c>
    </row>
    <row r="12">
      <c r="A12" s="8" t="inlineStr">
        <is>
          <t xml:space="preserve">    − Δ Inventories</t>
        </is>
      </c>
      <c r="B12" s="9" t="n"/>
      <c r="C12" s="9" t="n"/>
      <c r="D12" s="9" t="n"/>
      <c r="E12" s="9" t="n"/>
      <c r="F12" s="9" t="n"/>
      <c r="G12" s="9" t="n"/>
    </row>
    <row r="13">
      <c r="A13" s="8" t="inlineStr">
        <is>
          <t xml:space="preserve">    − Δ Prepaid expenses</t>
        </is>
      </c>
      <c r="B13" s="9" t="n"/>
      <c r="C13" s="9" t="n">
        <v>21427</v>
      </c>
      <c r="D13" s="9" t="n">
        <v>-18515</v>
      </c>
      <c r="E13" s="9" t="n">
        <v>-21656</v>
      </c>
      <c r="F13" s="9" t="n">
        <v>45874</v>
      </c>
      <c r="G13" s="9" t="n">
        <v>-680</v>
      </c>
    </row>
    <row r="14">
      <c r="A14" s="8" t="inlineStr">
        <is>
          <t xml:space="preserve">    + Δ Accounts payable</t>
        </is>
      </c>
      <c r="B14" s="9" t="n"/>
      <c r="C14" s="9" t="n">
        <v>-105949</v>
      </c>
      <c r="D14" s="9" t="n">
        <v>343</v>
      </c>
      <c r="E14" s="9" t="n">
        <v>40018</v>
      </c>
      <c r="F14" s="9" t="n">
        <v>129388</v>
      </c>
      <c r="G14" s="9" t="n">
        <v>-157766</v>
      </c>
    </row>
    <row r="15">
      <c r="A15" s="10" t="inlineStr">
        <is>
          <t xml:space="preserve">    Operating cash flow proxy</t>
        </is>
      </c>
      <c r="B15" s="11" t="n"/>
      <c r="C15" s="11" t="n">
        <v>324742</v>
      </c>
      <c r="D15" s="11" t="n">
        <v>891812</v>
      </c>
      <c r="E15" s="11" t="n">
        <v>-229436</v>
      </c>
      <c r="F15" s="11" t="n">
        <v>456189</v>
      </c>
      <c r="G15" s="11" t="n">
        <v>41094</v>
      </c>
    </row>
    <row r="17">
      <c r="A17" s="6" t="inlineStr">
        <is>
          <t>Investing</t>
        </is>
      </c>
      <c r="B17" s="7" t="n"/>
      <c r="C17" s="7" t="n"/>
      <c r="D17" s="7" t="n"/>
      <c r="E17" s="7" t="n"/>
      <c r="F17" s="7" t="n"/>
      <c r="G17" s="7" t="n"/>
    </row>
    <row r="18">
      <c r="A18" s="8" t="inlineStr">
        <is>
          <t xml:space="preserve">    − Δ PP&amp;E gross (capex proxy)</t>
        </is>
      </c>
      <c r="B18" s="9" t="n"/>
      <c r="C18" s="9" t="n">
        <v>-457886</v>
      </c>
      <c r="D18" s="9" t="n">
        <v>-387703</v>
      </c>
      <c r="E18" s="9" t="n">
        <v>102672</v>
      </c>
      <c r="F18" s="9" t="n">
        <v>-26974</v>
      </c>
      <c r="G18" s="9" t="n">
        <v>-197834</v>
      </c>
    </row>
    <row r="20">
      <c r="A20" s="6" t="inlineStr">
        <is>
          <t>Financing</t>
        </is>
      </c>
      <c r="B20" s="7" t="n"/>
      <c r="C20" s="7" t="n"/>
      <c r="D20" s="7" t="n"/>
      <c r="E20" s="7" t="n"/>
      <c r="F20" s="7" t="n"/>
      <c r="G20" s="7" t="n"/>
    </row>
    <row r="21">
      <c r="A21" s="8" t="inlineStr">
        <is>
          <t xml:space="preserve">    Δ Mortgages &amp; notes payable</t>
        </is>
      </c>
      <c r="B21" s="9" t="n"/>
      <c r="C21" s="9" t="n">
        <v>-127540</v>
      </c>
      <c r="D21" s="9" t="n">
        <v>-122527</v>
      </c>
      <c r="E21" s="9" t="n"/>
      <c r="F21" s="9" t="n"/>
      <c r="G21" s="9" t="n"/>
    </row>
    <row r="23">
      <c r="A23" s="6" t="inlineStr">
        <is>
          <t>Reconciliation</t>
        </is>
      </c>
      <c r="B23" s="7" t="n"/>
      <c r="C23" s="7" t="n"/>
      <c r="D23" s="7" t="n"/>
      <c r="E23" s="7" t="n"/>
      <c r="F23" s="7" t="n"/>
      <c r="G23" s="7" t="n"/>
    </row>
    <row r="24">
      <c r="A24" s="10" t="inlineStr">
        <is>
          <t xml:space="preserve">    Δ Cash + temp. investments (actual)</t>
        </is>
      </c>
      <c r="B24" s="11" t="n"/>
      <c r="C24" s="11" t="n">
        <v>-260684</v>
      </c>
      <c r="D24" s="11" t="n">
        <v>360238</v>
      </c>
      <c r="E24" s="11" t="n">
        <v>-1466727</v>
      </c>
      <c r="F24" s="11" t="n">
        <v>429109</v>
      </c>
      <c r="G24" s="11" t="n">
        <v>-156740</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1:G1"/>
    <mergeCell ref="A3:G3"/>
    <mergeCell ref="A26:G26"/>
    <mergeCell ref="A2:G2"/>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Crestview Mutual Water Company</t>
        </is>
      </c>
    </row>
    <row r="2">
      <c r="A2" s="2" t="inlineStr">
        <is>
          <t>Financial Ratios</t>
        </is>
      </c>
    </row>
    <row r="3">
      <c r="A3" s="2" t="inlineStr">
        <is>
          <t>Entity ID: cawc_0010   |   Fiscal year ends November 30.</t>
        </is>
      </c>
    </row>
    <row r="5">
      <c r="A5" s="4" t="inlineStr">
        <is>
          <t>Ratio</t>
        </is>
      </c>
      <c r="B5" s="5" t="inlineStr">
        <is>
          <t>FY2020</t>
        </is>
      </c>
      <c r="C5" s="5" t="inlineStr">
        <is>
          <t>FY2021</t>
        </is>
      </c>
      <c r="D5" s="5" t="inlineStr">
        <is>
          <t>FY2022</t>
        </is>
      </c>
      <c r="E5" s="5" t="inlineStr">
        <is>
          <t>FY2023</t>
        </is>
      </c>
      <c r="F5" s="5" t="inlineStr">
        <is>
          <t>FY2024</t>
        </is>
      </c>
      <c r="G5" s="5" t="inlineStr">
        <is>
          <t>FY2025</t>
        </is>
      </c>
    </row>
    <row r="6">
      <c r="A6" s="6" t="inlineStr">
        <is>
          <t>Profitability (computed upstream)</t>
        </is>
      </c>
      <c r="B6" s="7" t="n"/>
      <c r="C6" s="7" t="n"/>
      <c r="D6" s="7" t="n"/>
      <c r="E6" s="7" t="n"/>
      <c r="F6" s="7" t="n"/>
      <c r="G6" s="7" t="n"/>
    </row>
    <row r="7">
      <c r="A7" s="8" t="inlineStr">
        <is>
          <t xml:space="preserve">    Operating margin (NI / revenue)</t>
        </is>
      </c>
      <c r="B7" s="12" t="n">
        <v>0.3377123041591817</v>
      </c>
      <c r="C7" s="12" t="n">
        <v>0.09515399574241321</v>
      </c>
      <c r="D7" s="12" t="n">
        <v>0.2953814948423801</v>
      </c>
      <c r="E7" s="12" t="n">
        <v>-0.3384298353082082</v>
      </c>
      <c r="F7" s="12" t="n">
        <v>0.0705434021270714</v>
      </c>
      <c r="G7" s="12" t="n">
        <v>-0.02694616604061101</v>
      </c>
    </row>
    <row r="8">
      <c r="A8" s="8" t="inlineStr">
        <is>
          <t xml:space="preserve">    Expense ratio (expenses / revenue)</t>
        </is>
      </c>
      <c r="B8" s="12" t="n">
        <v>0.6622876958408183</v>
      </c>
      <c r="C8" s="12" t="n">
        <v>0.9048460042575868</v>
      </c>
      <c r="D8" s="12" t="n">
        <v>0.7046185051576199</v>
      </c>
      <c r="E8" s="12" t="n">
        <v>1.338429835308208</v>
      </c>
      <c r="F8" s="12" t="n">
        <v>0.9294565978729286</v>
      </c>
      <c r="G8" s="12" t="n">
        <v>1.026946166040611</v>
      </c>
    </row>
    <row r="9">
      <c r="A9" s="8" t="inlineStr">
        <is>
          <t xml:space="preserve">    Return on assets (NI / assets)</t>
        </is>
      </c>
      <c r="B9" s="12" t="n">
        <v>0.1185415288093355</v>
      </c>
      <c r="C9" s="12" t="n">
        <v>0.03006431586234619</v>
      </c>
      <c r="D9" s="12" t="n">
        <v>0.09036890265477092</v>
      </c>
      <c r="E9" s="12" t="n">
        <v>-0.07315033480567751</v>
      </c>
      <c r="F9" s="12" t="n">
        <v>0.02026865037443036</v>
      </c>
      <c r="G9" s="12" t="n">
        <v>-0.008850248084436328</v>
      </c>
    </row>
    <row r="10">
      <c r="A10" s="8" t="inlineStr">
        <is>
          <t xml:space="preserve">    Revenue growth (YoY)</t>
        </is>
      </c>
      <c r="B10" s="12" t="n">
        <v>0.5499300381269598</v>
      </c>
      <c r="C10" s="12" t="n">
        <v>-0.1036798692935768</v>
      </c>
      <c r="D10" s="12" t="n">
        <v>0.04539193885740804</v>
      </c>
      <c r="E10" s="12" t="n">
        <v>-0.432516358039793</v>
      </c>
      <c r="F10" s="12" t="n">
        <v>0.3865362049950736</v>
      </c>
      <c r="G10" s="12" t="n">
        <v>0.1040510234828095</v>
      </c>
    </row>
    <row r="12">
      <c r="A12" s="6" t="inlineStr">
        <is>
          <t>Leverage &amp; solvency</t>
        </is>
      </c>
      <c r="B12" s="7" t="n"/>
      <c r="C12" s="7" t="n"/>
      <c r="D12" s="7" t="n"/>
      <c r="E12" s="7" t="n"/>
      <c r="F12" s="7" t="n"/>
      <c r="G12" s="7" t="n"/>
    </row>
    <row r="13">
      <c r="A13" s="8" t="inlineStr">
        <is>
          <t xml:space="preserve">    Debt-to-assets (liab. / assets)</t>
        </is>
      </c>
      <c r="B13" s="12" t="n">
        <v>0.229851591752012</v>
      </c>
      <c r="C13" s="12" t="n">
        <v>0.1965218658652258</v>
      </c>
      <c r="D13" s="12" t="n">
        <v>0.1654025159629192</v>
      </c>
      <c r="E13" s="12" t="n">
        <v>0.03410252035662231</v>
      </c>
      <c r="F13" s="12" t="n">
        <v>0.0537109083136145</v>
      </c>
      <c r="G13" s="12" t="n">
        <v>0.02907893008615138</v>
      </c>
    </row>
    <row r="14">
      <c r="A14" s="8" t="inlineStr">
        <is>
          <t xml:space="preserve">    Equity ratio (net assets / assets)</t>
        </is>
      </c>
      <c r="B14" s="12" t="n">
        <v>0.770148408247988</v>
      </c>
      <c r="C14" s="12" t="n">
        <v>0.8034781341347742</v>
      </c>
      <c r="D14" s="12" t="n">
        <v>0.8345974840370808</v>
      </c>
      <c r="E14" s="12" t="n">
        <v>0.9658974796433777</v>
      </c>
      <c r="F14" s="12" t="n">
        <v>0.9462890916863855</v>
      </c>
      <c r="G14" s="12" t="n">
        <v>0.9709210699138486</v>
      </c>
    </row>
    <row r="16">
      <c r="A16" s="6" t="inlineStr">
        <is>
          <t>Liquidity &amp; asset profile (derived here)</t>
        </is>
      </c>
      <c r="B16" s="7" t="n"/>
      <c r="C16" s="7" t="n"/>
      <c r="D16" s="7" t="n"/>
      <c r="E16" s="7" t="n"/>
      <c r="F16" s="7" t="n"/>
      <c r="G16" s="7" t="n"/>
    </row>
    <row r="17">
      <c r="A17" s="8" t="inlineStr">
        <is>
          <t xml:space="preserve">    Current ratio (current assets / AP)</t>
        </is>
      </c>
      <c r="B17" s="19" t="n">
        <v>11.69735155916275</v>
      </c>
      <c r="C17" s="19" t="n">
        <v>17.73844337424266</v>
      </c>
      <c r="D17" s="19" t="n">
        <v>19.63841555671305</v>
      </c>
      <c r="E17" s="19" t="n">
        <v>8.619471796349472</v>
      </c>
      <c r="F17" s="19" t="n">
        <v>6.517065145732655</v>
      </c>
      <c r="G17" s="19" t="n">
        <v>11.15061188608971</v>
      </c>
    </row>
    <row r="18">
      <c r="A18" s="8" t="inlineStr">
        <is>
          <t xml:space="preserve">    Cash ratio ((cash+temp inv.) / total liab.)</t>
        </is>
      </c>
      <c r="B18" s="19" t="n">
        <v>1.799396218056555</v>
      </c>
      <c r="C18" s="19" t="n">
        <v>1.918605450924337</v>
      </c>
      <c r="D18" s="19" t="n">
        <v>2.407867542520141</v>
      </c>
      <c r="E18" s="19" t="n">
        <v>7.252630585336288</v>
      </c>
      <c r="F18" s="19" t="n">
        <v>5.712460005927288</v>
      </c>
      <c r="G18" s="19" t="n">
        <v>10.01817151317464</v>
      </c>
    </row>
    <row r="19">
      <c r="A19" s="8" t="inlineStr">
        <is>
          <t xml:space="preserve">    Asset age proxy (accum. deprec. / gross PP&amp;E)</t>
        </is>
      </c>
      <c r="B19" s="12" t="n">
        <v>0.5962795359802312</v>
      </c>
      <c r="C19" s="12" t="n">
        <v>0.5907449523886257</v>
      </c>
      <c r="D19" s="12" t="n">
        <v>0.5837045037467503</v>
      </c>
      <c r="E19" s="12" t="n">
        <v>0.580796424427073</v>
      </c>
      <c r="F19" s="12" t="n">
        <v>0.5985708963077208</v>
      </c>
      <c r="G19" s="12" t="n">
        <v>0.604749637026807</v>
      </c>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21:G21"/>
    <mergeCell ref="A3:G3"/>
    <mergeCell ref="A2:G2"/>
    <mergeCell ref="A1:G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44"/>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Crestview Mutual Water Company</t>
        </is>
      </c>
    </row>
    <row r="2">
      <c r="A2" s="2" t="inlineStr">
        <is>
          <t>Unit economics - per-customer revenue by category (USD)</t>
        </is>
      </c>
    </row>
    <row r="3">
      <c r="A3" s="2" t="inlineStr">
        <is>
          <t>Entity ID: cawc_0010   |   Fiscal year ends November 30.</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0" t="inlineStr">
        <is>
          <t>Per-customer denominator (service connections)</t>
        </is>
      </c>
      <c r="B6" s="21" t="n">
        <v>630</v>
      </c>
      <c r="C6" s="22" t="inlineStr">
        <is>
          <t>State Water Board eAR Section 4 (CurTotalConnections), reporting year 2023</t>
        </is>
      </c>
    </row>
    <row r="7">
      <c r="A7" s="20" t="inlineStr">
        <is>
          <t>Total annual revenue (eAR Section 8b B1.8)</t>
        </is>
      </c>
      <c r="B7" s="9" t="n">
        <v>1269651</v>
      </c>
      <c r="C7" s="22" t="inlineStr">
        <is>
          <t>State Water Board eAR Section 8b, question B1.8 (total annual revenue), reporting year 2023</t>
        </is>
      </c>
    </row>
    <row r="8">
      <c r="A8" s="20" t="inlineStr">
        <is>
          <t>Primary source</t>
        </is>
      </c>
      <c r="B8" s="23" t="inlineStr"/>
      <c r="C8" s="22" t="inlineStr">
        <is>
          <t>State Water Board eAR Section 8b (revenue by rate/fee), reporting year 2023</t>
        </is>
      </c>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4" t="inlineStr">
        <is>
          <t>DIRECT</t>
        </is>
      </c>
      <c r="C12" s="9" t="n">
        <v>997871</v>
      </c>
      <c r="D12" s="25" t="n">
        <v>1583.92</v>
      </c>
      <c r="E12" s="26" t="n">
        <v>0.7859</v>
      </c>
    </row>
    <row r="13">
      <c r="A13" s="8" t="inlineStr">
        <is>
          <t>Assessment revenue (990 program-service revenue not matched to eAR water-rate revenue)</t>
        </is>
      </c>
      <c r="B13" s="24" t="inlineStr">
        <is>
          <t>DERIVED</t>
        </is>
      </c>
      <c r="C13" s="9" t="n">
        <v>242369</v>
      </c>
      <c r="D13" s="25" t="n">
        <v>384.71</v>
      </c>
      <c r="E13" s="26" t="n">
        <v>0.1954</v>
      </c>
    </row>
    <row r="14">
      <c r="A14" s="8" t="inlineStr">
        <is>
          <t>Meter revenue</t>
        </is>
      </c>
      <c r="B14" s="24" t="inlineStr">
        <is>
          <t>not reported</t>
        </is>
      </c>
      <c r="C14" s="27" t="inlineStr">
        <is>
          <t>not reported</t>
        </is>
      </c>
      <c r="D14" s="27" t="inlineStr">
        <is>
          <t>not reported</t>
        </is>
      </c>
      <c r="E14" s="27" t="inlineStr">
        <is>
          <t>not reported</t>
        </is>
      </c>
    </row>
    <row r="15">
      <c r="A15" s="8" t="inlineStr">
        <is>
          <t>Overage or tiered penalty revenue</t>
        </is>
      </c>
      <c r="B15" s="24" t="inlineStr">
        <is>
          <t>not reported</t>
        </is>
      </c>
      <c r="C15" s="27" t="inlineStr">
        <is>
          <t>not reported</t>
        </is>
      </c>
      <c r="D15" s="27" t="inlineStr">
        <is>
          <t>not reported</t>
        </is>
      </c>
      <c r="E15" s="27" t="inlineStr">
        <is>
          <t>not reported</t>
        </is>
      </c>
    </row>
    <row r="17">
      <c r="A17" s="6" t="inlineStr">
        <is>
          <t>Water sales revenue - DIRECT</t>
        </is>
      </c>
      <c r="B17" s="7" t="n"/>
      <c r="C17" s="7" t="n"/>
      <c r="D17" s="7" t="n"/>
      <c r="E17" s="7" t="n"/>
    </row>
    <row r="18" ht="51" customHeight="1">
      <c r="A18" s="3" t="inlineStr">
        <is>
          <t>Revenue customers paid for water service, read straight off the filed eAR Section 8b water-rate line. A DIRECT filed figure, not computed by us.</t>
        </is>
      </c>
    </row>
    <row r="19">
      <c r="A19" s="20" t="inlineStr">
        <is>
          <t>Numerator: Water rate revenue</t>
        </is>
      </c>
      <c r="B19" s="9" t="n">
        <v>997871</v>
      </c>
      <c r="C19" s="22" t="inlineStr">
        <is>
          <t>eAR Section 8b field B1.1 (residential water rates) only (this filer reported no non-residential water-rate revenue). State Water Board eAR Section 8b, question B1.1 + B1.2 (revenue from water rates), reporting year 2023</t>
        </is>
      </c>
    </row>
    <row r="20">
      <c r="A20" s="20" t="inlineStr">
        <is>
          <t>Denominator: Total service connections</t>
        </is>
      </c>
      <c r="B20" s="21" t="n">
        <v>630</v>
      </c>
      <c r="C20" s="22" t="inlineStr">
        <is>
          <t>eAR Section 4 CurTotalConnections, reporting year 2023. State Water Board eAR Section 4 (CurTotalConnections), reporting year 2023</t>
        </is>
      </c>
    </row>
    <row r="21" ht="36" customHeight="1">
      <c r="A21" s="3" t="inlineStr">
        <is>
          <t>Per customer: water rate revenue $997,871 / 630 connections = $1,583.92 per connection</t>
        </is>
      </c>
    </row>
    <row r="22" ht="36" customHeight="1">
      <c r="A22" s="3" t="inlineStr">
        <is>
          <t>Share of revenue: water rate revenue $997,871 / total annual revenue (eAR Section 8b B1.8) $1,269,651 = 78.59%</t>
        </is>
      </c>
    </row>
    <row r="23" ht="81" customHeight="1">
      <c r="A23" s="3" t="inlineStr">
        <is>
          <t>Period treatment: Numerator (eAR Section 8b, the fiscal year ending November 30, 2023) and denominator (eAR Section 4 connections reported in the same eAR filing) are both the eAR reporting year 2023, so the two sides are bound to the same reporting year.</t>
        </is>
      </c>
    </row>
    <row r="24" ht="66" customHeight="1">
      <c r="A24" s="3" t="inlineStr">
        <is>
          <t>Rationale: Dividing water-rate revenue by the number of metered service connections gives the average revenue per customer; dividing by total annual revenue shows how much of the system's income comes from water rates.</t>
        </is>
      </c>
    </row>
    <row r="26">
      <c r="A26" s="6" t="inlineStr">
        <is>
          <t>Assessment revenue (990 program-service revenue not matched to eAR water-rate revenue) - DERIVED</t>
        </is>
      </c>
      <c r="B26" s="7" t="n"/>
      <c r="C26" s="7" t="n"/>
      <c r="D26" s="7" t="n"/>
      <c r="E26" s="7" t="n"/>
    </row>
    <row r="27" ht="66" customHeight="1">
      <c r="A27" s="3" t="inlineStr">
        <is>
          <t>A DERIVED residual (medium confidence): the part of the Form 990 program-service revenue that is not matched by the eAR water-rate revenue for the same period. Computed by us, not a filed line.</t>
        </is>
      </c>
    </row>
    <row r="28">
      <c r="A28" s="20" t="inlineStr">
        <is>
          <t>Input A: Form 990 program-service revenue</t>
        </is>
      </c>
      <c r="B28" s="9" t="n">
        <v>1240240</v>
      </c>
      <c r="C28" s="22" t="inlineStr">
        <is>
          <t>Form 990 Part VIII line 2 (total program-service revenue), fiscal year 2023 ending November 30, 2023</t>
        </is>
      </c>
    </row>
    <row r="29">
      <c r="A29" s="20" t="inlineStr">
        <is>
          <t>Input B: eAR water-rate revenue</t>
        </is>
      </c>
      <c r="B29" s="9" t="n">
        <v>997871</v>
      </c>
      <c r="C29" s="22" t="inlineStr">
        <is>
          <t>State Water Board eAR Section 8b, question B1.1 + B1.2 (revenue from water rates), reporting year 2023</t>
        </is>
      </c>
    </row>
    <row r="30">
      <c r="A30" s="14" t="inlineStr">
        <is>
          <t>Residual (A minus B) = assessment revenue</t>
        </is>
      </c>
      <c r="B30" s="15">
        <f>B28-B29</f>
        <v/>
      </c>
      <c r="C30" s="22" t="inlineStr">
        <is>
          <t>$1,240,240 (990 program-service revenue) minus $997,871 (eAR water-rate revenue) = $242,369</t>
        </is>
      </c>
    </row>
    <row r="31" ht="66" customHeight="1">
      <c r="A31" s="3" t="inlineStr">
        <is>
          <t>Period alignment: Both inputs cover the same period: the eAR Section 8b is the fiscal year ending November 30, 2023 and the Form 990 fiscal year 2023 ends November 30, 2023, so the residual is period-aligned.</t>
        </is>
      </c>
    </row>
    <row r="32" ht="51" customHeight="1">
      <c r="A32" s="3" t="inlineStr">
        <is>
          <t>What it IS: revenue the system booked as program service on its 990 that is not accounted for by the eAR water-rate line, plausibly member assessments and other service revenue.</t>
        </is>
      </c>
    </row>
    <row r="33" ht="51" customHeight="1">
      <c r="A33" s="3" t="inlineStr">
        <is>
          <t>This residual is a difference between two sources for the same period; it is not a separately filed assessment line and may include other unmatched revenue.</t>
        </is>
      </c>
    </row>
    <row r="34">
      <c r="A34" s="20" t="inlineStr">
        <is>
          <t>Denominator: Total service connections</t>
        </is>
      </c>
      <c r="B34" s="21" t="n">
        <v>630</v>
      </c>
      <c r="C34" s="22" t="inlineStr">
        <is>
          <t>eAR Section 4 CurTotalConnections, reporting year 2023. State Water Board eAR Section 4 (CurTotalConnections), reporting year 2023</t>
        </is>
      </c>
    </row>
    <row r="35" ht="36" customHeight="1">
      <c r="A35" s="3" t="inlineStr">
        <is>
          <t>Per customer: residual $242,369 / 630 connections = $384.71 per connection</t>
        </is>
      </c>
    </row>
    <row r="36" ht="36" customHeight="1">
      <c r="A36" s="3" t="inlineStr">
        <is>
          <t>Share of revenue: residual $242,369 / 990 program-service revenue $1,240,240 = 19.54%</t>
        </is>
      </c>
    </row>
    <row r="38">
      <c r="A38" s="6" t="inlineStr">
        <is>
          <t>Meter revenue - not reported</t>
        </is>
      </c>
      <c r="B38" s="7" t="n"/>
      <c r="C38" s="7" t="n"/>
      <c r="D38" s="7" t="n"/>
      <c r="E38" s="7" t="n"/>
    </row>
    <row r="39" ht="36" customHeight="1">
      <c r="A39" s="3" t="inlineStr">
        <is>
          <t>Not reported. This category is not built because doing so would double-count.</t>
        </is>
      </c>
    </row>
    <row r="40" ht="81" customHeight="1">
      <c r="A40"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42">
      <c r="A42" s="6" t="inlineStr">
        <is>
          <t>Overage or tiered penalty revenue - not reported</t>
        </is>
      </c>
      <c r="B42" s="7" t="n"/>
      <c r="C42" s="7" t="n"/>
      <c r="D42" s="7" t="n"/>
      <c r="E42" s="7" t="n"/>
    </row>
    <row r="43" ht="36" customHeight="1">
      <c r="A43" s="3" t="inlineStr">
        <is>
          <t>Not reported. This category is not built because doing so would double-count.</t>
        </is>
      </c>
    </row>
    <row r="44" ht="81" customHeight="1">
      <c r="A44"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9">
    <mergeCell ref="A39:E39"/>
    <mergeCell ref="A24:E24"/>
    <mergeCell ref="A1:E1"/>
    <mergeCell ref="A36:E36"/>
    <mergeCell ref="A18:E18"/>
    <mergeCell ref="A27:E27"/>
    <mergeCell ref="A3:E3"/>
    <mergeCell ref="A21:E21"/>
    <mergeCell ref="A2:E2"/>
    <mergeCell ref="A33:E33"/>
    <mergeCell ref="A5:E5"/>
    <mergeCell ref="A23:E23"/>
    <mergeCell ref="A32:E32"/>
    <mergeCell ref="A22:E22"/>
    <mergeCell ref="A35:E35"/>
    <mergeCell ref="A43:E43"/>
    <mergeCell ref="A31:E31"/>
    <mergeCell ref="A44:E44"/>
    <mergeCell ref="A40:E4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Crestview Mutual Water Company</t>
        </is>
      </c>
    </row>
    <row r="2">
      <c r="A2" s="2" t="inlineStr">
        <is>
          <t>Rate structure and representative bill - eAR Section 8a (RY2023)</t>
        </is>
      </c>
    </row>
    <row r="3">
      <c r="A3" s="2" t="inlineStr">
        <is>
          <t>Entity ID: cawc_0010   |   Fiscal year ends November 30.</t>
        </is>
      </c>
    </row>
    <row r="5" ht="81" customHeight="1">
      <c r="A5" s="28" t="inlineStr">
        <is>
          <t>This block is a rate-schedule illustration at defined usage levels. It is NOT billed revenue and not a claim about any real customer's usage. The revenue side of unit economics is the separate Unit Economics block.</t>
        </is>
      </c>
    </row>
    <row r="6" ht="51" customHeight="1">
      <c r="A6" s="29" t="inlineStr">
        <is>
          <t>Structure: Tiered increasing-block with a fixed base, billed monthly, priced per Thousand Gallons.</t>
        </is>
      </c>
    </row>
    <row r="7" ht="216" customHeight="1">
      <c r="A7" s="3" t="inlineStr">
        <is>
          <t>Defined single-family usage levels, identical for every company so the bill is comparable: Low = 5 HCF/month (~125 gallons/day); Median = 10 HCF/month (~249 gallons/day); High = 25 HCF/month (~623 gallons/day). 1 HCF = 748 gallons, and 1 thousand gallons = 1,000 gallons. The usage is converted into the company's own filed unit before the filed tiers are applied, and the bill is stated as a monthly equivalent: a bimonthly structure is computed at twice the monthly usage and divided by two, and any other billing period the same way with its factor stated. These are an illustration, not a measured usage for any real customer.</t>
        </is>
      </c>
    </row>
    <row r="9">
      <c r="A9" s="6" t="inlineStr">
        <is>
          <t>Defined usage levels (EDITABLE - change a yellow cell to move the bill)</t>
        </is>
      </c>
      <c r="B9" s="7" t="n"/>
      <c r="C9" s="7" t="n"/>
      <c r="D9" s="7" t="n"/>
    </row>
    <row r="10">
      <c r="A10" s="30" t="inlineStr"/>
      <c r="B10" s="5" t="inlineStr">
        <is>
          <t>Low</t>
        </is>
      </c>
      <c r="C10" s="5" t="inlineStr">
        <is>
          <t>Median</t>
        </is>
      </c>
      <c r="D10" s="5" t="inlineStr">
        <is>
          <t>High</t>
        </is>
      </c>
    </row>
    <row r="11">
      <c r="A11" s="8" t="inlineStr">
        <is>
          <t>Defined usage level (HCF per month)</t>
        </is>
      </c>
      <c r="B11" s="31" t="n">
        <v>5</v>
      </c>
      <c r="C11" s="31" t="n">
        <v>10</v>
      </c>
      <c r="D11" s="31" t="n">
        <v>25</v>
      </c>
    </row>
    <row r="12">
      <c r="A12" s="8" t="inlineStr">
        <is>
          <t>Conversion: one HCF is this many Thousand Gallons</t>
        </is>
      </c>
      <c r="B12" s="32" t="n">
        <v>0.748</v>
      </c>
      <c r="C12" s="13" t="inlineStr">
        <is>
          <t>1 HCF = 748 gallons</t>
        </is>
      </c>
    </row>
    <row r="13">
      <c r="A13" s="8" t="inlineStr">
        <is>
          <t>Monthly usage (Thousand Gallons)</t>
        </is>
      </c>
      <c r="B13" s="31">
        <f>B11*$B$12</f>
        <v/>
      </c>
      <c r="C13" s="31">
        <f>C11*$B$12</f>
        <v/>
      </c>
      <c r="D13" s="31">
        <f>D11*$B$12</f>
        <v/>
      </c>
    </row>
    <row r="14">
      <c r="A14" s="8" t="inlineStr">
        <is>
          <t>Months per bill (from filed billing frequency)</t>
        </is>
      </c>
      <c r="B14" s="33" t="n">
        <v>1</v>
      </c>
      <c r="C14" s="13" t="inlineStr">
        <is>
          <t>monthly biller</t>
        </is>
      </c>
    </row>
    <row r="16">
      <c r="A16" s="6" t="inlineStr">
        <is>
          <t>Filed rate table - single-family residential (as filed, eAR Section 8a)</t>
        </is>
      </c>
      <c r="B16" s="7" t="n"/>
      <c r="C16" s="7" t="n"/>
      <c r="D16" s="7" t="n"/>
    </row>
    <row r="17">
      <c r="A17" s="8" t="inlineStr">
        <is>
          <t>Base / fixed charge per monthly bill ($)</t>
        </is>
      </c>
      <c r="B17" s="25" t="n">
        <v>2.85</v>
      </c>
    </row>
    <row r="18">
      <c r="A18" s="4" t="inlineStr">
        <is>
          <t>Tier</t>
        </is>
      </c>
      <c r="B18" s="4" t="inlineStr">
        <is>
          <t>Range (Thousand Gallons)</t>
        </is>
      </c>
      <c r="C18" s="34" t="inlineStr">
        <is>
          <t>Price ($/Thousand Gallons)</t>
        </is>
      </c>
      <c r="D18" s="34" t="inlineStr">
        <is>
          <t>Upper limit (Thousand Gallons)</t>
        </is>
      </c>
    </row>
    <row r="19">
      <c r="A19" s="8" t="inlineStr">
        <is>
          <t>Tier 1</t>
        </is>
      </c>
      <c r="B19" s="8" t="inlineStr">
        <is>
          <t>0 to 8.5 Thousand Gallons</t>
        </is>
      </c>
      <c r="C19" s="35" t="n">
        <v>20</v>
      </c>
      <c r="D19" s="36" t="n">
        <v>8.5</v>
      </c>
    </row>
    <row r="20">
      <c r="A20" s="8" t="inlineStr">
        <is>
          <t>Tier 2</t>
        </is>
      </c>
      <c r="B20" s="8" t="inlineStr">
        <is>
          <t>8.5 to 8000 Thousand Gallons</t>
        </is>
      </c>
      <c r="C20" s="35" t="n">
        <v>8000</v>
      </c>
      <c r="D20" s="36" t="n">
        <v>8000</v>
      </c>
    </row>
    <row r="21">
      <c r="A21" s="8" t="inlineStr">
        <is>
          <t>Tier 3</t>
        </is>
      </c>
      <c r="B21" s="8" t="inlineStr">
        <is>
          <t>over 8000 Thousand Gallons</t>
        </is>
      </c>
      <c r="C21" s="35" t="n">
        <v>16000</v>
      </c>
      <c r="D21" s="36" t="inlineStr">
        <is>
          <t>no limit</t>
        </is>
      </c>
    </row>
    <row r="23">
      <c r="A23" s="6" t="inlineStr">
        <is>
          <t>Flags on the filed rate table (nothing below is corrected)</t>
        </is>
      </c>
      <c r="B23" s="7" t="n"/>
      <c r="C23" s="7" t="n"/>
      <c r="D23" s="7" t="n"/>
    </row>
    <row r="24" ht="111" customHeight="1">
      <c r="A24" s="3" t="inlineStr">
        <is>
          <t>Tier 2 price: implausible as filed; checked against source. The filed tier 2 price of $8,000.00 per unit implies $5,984.00 per HCF, outside the $0.50 to $50.00 per HCF range a residential water rate plausibly takes. Carried exactly as filed and not corrected. Source: State Water Board eAR Section 8 / WRSFUsageCost2</t>
        </is>
      </c>
    </row>
    <row r="25" ht="111" customHeight="1">
      <c r="A25" s="3" t="inlineStr">
        <is>
          <t>Tier 3 price: implausible as filed; checked against source. The filed tier 3 price of $16,000.00 per unit implies $11,968.00 per HCF, outside the $0.50 to $50.00 per HCF range a residential water rate plausibly takes. Carried exactly as filed and not corrected. Source: State Water Board eAR Section 8 / WRSFUsageCost3</t>
        </is>
      </c>
    </row>
    <row r="26" ht="126" customHeight="1">
      <c r="A26" s="3" t="inlineStr">
        <is>
          <t>Fixed charge: implausible as filed; checked against source. The filed base charge of $2.85 per bill is $2.85 per month, outside the $5.00 to $500.00 per month range a residential fixed charge plausibly takes. A filed $0.00 can simply mean the company charges no fixed charge. Carried exactly as filed and not corrected. Source: State Water Board eAR Section 8 / WRSFCostPerUOM1</t>
        </is>
      </c>
    </row>
    <row r="28">
      <c r="A28" s="6" t="inlineStr">
        <is>
          <t>Representative monthly bill - NOT COMPUTED</t>
        </is>
      </c>
      <c r="B28" s="7" t="n"/>
      <c r="C28" s="7" t="n"/>
      <c r="D28" s="7" t="n"/>
    </row>
    <row r="29" ht="156" customHeight="1">
      <c r="A29" s="3" t="inlineStr">
        <is>
          <t>No representative bill is computed for this system: the rate table is implausible as filed, because the filed tier 2 carries the same figure, 8,000, as both its usage threshold and its price per unit, so one column holds the other's figure. The filed rate table is shown above exactly as filed and nothing in it has been corrected. Source: State Water Board eAR Section 8 / WRSFMetricUsage2; State Water Board eAR Section 8 / WRSFUsageCost2.</t>
        </is>
      </c>
    </row>
    <row r="31">
      <c r="A31" s="6" t="inlineStr">
        <is>
          <t>Rate-structure comparison metrics</t>
        </is>
      </c>
      <c r="B31" s="7" t="n"/>
      <c r="C31" s="7" t="n"/>
      <c r="D31" s="7" t="n"/>
    </row>
    <row r="32">
      <c r="A32" s="8" t="inlineStr">
        <is>
          <t>Tier price ratio (highest to lowest positive tier)</t>
        </is>
      </c>
      <c r="B32" s="27" t="inlineStr">
        <is>
          <t>800.00x</t>
        </is>
      </c>
      <c r="C32" s="13" t="inlineStr">
        <is>
          <t>highest filed tier price divided by lowest filed tier price.</t>
        </is>
      </c>
    </row>
    <row r="33">
      <c r="A33" s="8" t="inlineStr">
        <is>
          <t>Rate structure (as filed)</t>
        </is>
      </c>
      <c r="B33" s="27" t="inlineStr">
        <is>
          <t>tiered</t>
        </is>
      </c>
    </row>
    <row r="34" ht="66" customHeight="1">
      <c r="A34" s="3" t="inlineStr">
        <is>
          <t>The fixed versus volumetric share is computed from the representative bill, so it is withheld with it. The tier price ratio divides two filed prices and is kept.</t>
        </is>
      </c>
    </row>
  </sheetData>
  <mergeCells count="11">
    <mergeCell ref="A1:D1"/>
    <mergeCell ref="A5:D5"/>
    <mergeCell ref="A6:D6"/>
    <mergeCell ref="A34:D34"/>
    <mergeCell ref="A3:D3"/>
    <mergeCell ref="A26:D26"/>
    <mergeCell ref="A29:D29"/>
    <mergeCell ref="A7:D7"/>
    <mergeCell ref="A25:D25"/>
    <mergeCell ref="A24:D24"/>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30"/>
  <sheetViews>
    <sheetView workbookViewId="0">
      <pane ySplit="4" topLeftCell="A5" activePane="bottomLeft" state="frozen"/>
      <selection pane="bottomLeft" activeCell="A1" sqref="A1"/>
    </sheetView>
  </sheetViews>
  <sheetFormatPr baseColWidth="8" defaultRowHeight="15"/>
  <cols>
    <col width="44" customWidth="1" min="1" max="1"/>
    <col width="20" customWidth="1" min="2" max="2"/>
    <col width="20" customWidth="1" min="3" max="3"/>
  </cols>
  <sheetData>
    <row r="1">
      <c r="A1" s="1" t="inlineStr">
        <is>
          <t>Crestview Mutual Water Company</t>
        </is>
      </c>
    </row>
    <row r="2">
      <c r="A2" s="2" t="inlineStr">
        <is>
          <t>eAR annual revenue and expenses - State Water Board eAR Section 8b (USD)</t>
        </is>
      </c>
    </row>
    <row r="3">
      <c r="A3" s="2" t="inlineStr">
        <is>
          <t>Entity ID: cawc_0010   |   Fiscal year ends November 30.</t>
        </is>
      </c>
    </row>
    <row r="5" ht="156" customHeight="1">
      <c r="A5" s="3" t="inlineStr">
        <is>
          <t>The water system's own annual figures from the public eAR Section 8b, on the fiscal year ending November 30, 2023 the filer self-reported (B0.1/B0.2). Shown beside the period-aligned Form 990 with the variance flagged: a different source (a State Water Board self-report vs an IRS filing). Preserved as filed, never reconciled.</t>
        </is>
      </c>
    </row>
    <row r="6">
      <c r="A6" s="20" t="inlineStr">
        <is>
          <t>Reporting period basis (self-reported)</t>
        </is>
      </c>
      <c r="B6" s="23" t="inlineStr">
        <is>
          <t>fiscal year ending November 30, 2023</t>
        </is>
      </c>
      <c r="C6" s="22" t="inlineStr">
        <is>
          <t>eAR Section 8b B0.1 (WRFinancialReportingPeriod) / B0.2 start 12/01/2022</t>
        </is>
      </c>
    </row>
    <row r="8">
      <c r="A8" s="6" t="inlineStr">
        <is>
          <t>Revenue (eAR Section 8b, questions B1.x)</t>
        </is>
      </c>
      <c r="B8" s="7" t="n"/>
      <c r="C8" s="7" t="n"/>
    </row>
    <row r="9">
      <c r="A9" s="5" t="inlineStr">
        <is>
          <t>Line</t>
        </is>
      </c>
      <c r="B9" s="5" t="inlineStr">
        <is>
          <t>Amount (USD)</t>
        </is>
      </c>
      <c r="C9" s="5" t="inlineStr">
        <is>
          <t>Citation</t>
        </is>
      </c>
    </row>
    <row r="10">
      <c r="A10" s="20" t="inlineStr">
        <is>
          <t>Water rate revenue</t>
        </is>
      </c>
      <c r="B10" s="9" t="n">
        <v>997871</v>
      </c>
      <c r="C10" s="22" t="inlineStr">
        <is>
          <t>State Water Board eAR Section 8b, question B1.1 + B1.2 (revenue from water rates), reporting year 2023</t>
        </is>
      </c>
    </row>
    <row r="11">
      <c r="A11" s="20" t="inlineStr">
        <is>
          <t>Other fees and charges</t>
        </is>
      </c>
      <c r="B11" s="9" t="n">
        <v>271780</v>
      </c>
      <c r="C11" s="22" t="inlineStr">
        <is>
          <t>State Water Board eAR Section 8b, question B1.3 + B1.4 (revenue from other fees), reporting year 2023</t>
        </is>
      </c>
    </row>
    <row r="12">
      <c r="A12" s="20" t="inlineStr">
        <is>
          <t>Non-customer revenue</t>
        </is>
      </c>
      <c r="B12" s="9" t="n">
        <v>0</v>
      </c>
      <c r="C12" s="22" t="inlineStr">
        <is>
          <t>State Water Board eAR Section 8b, question B1.7 (grants, interest, and other non-customer), reporting year 2023</t>
        </is>
      </c>
    </row>
    <row r="13">
      <c r="A13" s="20" t="inlineStr">
        <is>
          <t>Total annual revenue</t>
        </is>
      </c>
      <c r="B13" s="37" t="n">
        <v>1269651</v>
      </c>
      <c r="C13" s="22" t="inlineStr">
        <is>
          <t>State Water Board eAR Section 8b, question B1.8 (total annual revenue for the reporting year), reporting year 2023</t>
        </is>
      </c>
    </row>
    <row r="15">
      <c r="A15" s="6" t="inlineStr">
        <is>
          <t>Expenses (eAR Section 8b, questions B2.x)</t>
        </is>
      </c>
      <c r="B15" s="7" t="n"/>
      <c r="C15" s="7" t="n"/>
    </row>
    <row r="16">
      <c r="A16" s="5" t="inlineStr">
        <is>
          <t>Line</t>
        </is>
      </c>
      <c r="B16" s="5" t="inlineStr">
        <is>
          <t>Amount (USD)</t>
        </is>
      </c>
      <c r="C16" s="5" t="inlineStr">
        <is>
          <t>Citation</t>
        </is>
      </c>
    </row>
    <row r="17">
      <c r="A17" s="20" t="inlineStr">
        <is>
          <t>Operations and maintenance</t>
        </is>
      </c>
      <c r="B17" s="9" t="n">
        <v>1148540</v>
      </c>
      <c r="C17" s="22" t="inlineStr">
        <is>
          <t>State Water Board eAR Section 8b, question B2.1 (annual O and M expense), reporting year 2023</t>
        </is>
      </c>
    </row>
    <row r="18">
      <c r="A18" s="20" t="inlineStr">
        <is>
          <t>Capital</t>
        </is>
      </c>
      <c r="B18" s="9" t="n">
        <v>0</v>
      </c>
      <c r="C18" s="22" t="inlineStr">
        <is>
          <t>State Water Board eAR Section 8b, question B2.2 (annual expenses from investing or capital), reporting year 2023</t>
        </is>
      </c>
    </row>
    <row r="19">
      <c r="A19" s="20" t="inlineStr">
        <is>
          <t>Financing</t>
        </is>
      </c>
      <c r="B19" s="9" t="n">
        <v>0</v>
      </c>
      <c r="C19" s="22" t="inlineStr">
        <is>
          <t>State Water Board eAR Section 8b, question B2.3 (annual expenses from financing), reporting year 2023</t>
        </is>
      </c>
    </row>
    <row r="20">
      <c r="A20" s="20" t="inlineStr">
        <is>
          <t>Other</t>
        </is>
      </c>
      <c r="B20" s="9" t="n">
        <v>445845</v>
      </c>
      <c r="C20" s="22" t="inlineStr">
        <is>
          <t>State Water Board eAR Section 8b, question B2.4 (total other annual expenses), reporting year 2023</t>
        </is>
      </c>
    </row>
    <row r="21">
      <c r="A21" s="20" t="inlineStr">
        <is>
          <t>Total annual expenses</t>
        </is>
      </c>
      <c r="B21" s="37" t="n">
        <v>1594385</v>
      </c>
      <c r="C21" s="22" t="inlineStr">
        <is>
          <t>State Water Board eAR Section 8b, question B2.5 (total annual expenses), reporting year 2023</t>
        </is>
      </c>
    </row>
    <row r="23">
      <c r="A23" s="6" t="inlineStr">
        <is>
          <t>Period-aligned Form 990 comparison (variance surfaced, never reconciled)</t>
        </is>
      </c>
      <c r="B23" s="7" t="n"/>
      <c r="C23" s="7" t="n"/>
    </row>
    <row r="24">
      <c r="A24" s="5" t="inlineStr">
        <is>
          <t>Measure</t>
        </is>
      </c>
      <c r="B24" s="5" t="inlineStr">
        <is>
          <t>eAR Section 8b</t>
        </is>
      </c>
      <c r="C24" s="5" t="inlineStr">
        <is>
          <t>Form 990</t>
        </is>
      </c>
    </row>
    <row r="25">
      <c r="A25" s="8" t="inlineStr">
        <is>
          <t>total revenue</t>
        </is>
      </c>
      <c r="B25" s="9" t="n">
        <v>1269651</v>
      </c>
      <c r="C25" s="9" t="n">
        <v>1275777</v>
      </c>
    </row>
    <row r="26">
      <c r="A26" s="14" t="inlineStr">
        <is>
          <t>Variance (eAR minus Form 990)</t>
        </is>
      </c>
      <c r="B26" s="15">
        <f>B25-C25</f>
        <v/>
      </c>
      <c r="C26" s="38" t="n"/>
    </row>
    <row r="27" ht="201" customHeight="1">
      <c r="A27" s="3" t="inlineStr">
        <is>
          <t>The eAR Section 8b total revenue (State Water Board self-report, fiscal year ending November 30, 2023) and the Form 990 total revenue (IRS filing) are a different source and cover the same fiscal year (December 1, 2022 to November 30, 2023): the water system self-reported the eAR Section 8b on a fiscal year (B0.1 Fiscal, B0.2 start 12/01/2022), which matches the Form 990 fiscal year. Both are carried as filed; the variance is surfaced, never reconciled.</t>
        </is>
      </c>
    </row>
    <row r="28">
      <c r="A28" s="8" t="inlineStr">
        <is>
          <t>total expenses</t>
        </is>
      </c>
      <c r="B28" s="9" t="n">
        <v>1594385</v>
      </c>
      <c r="C28" s="9" t="n">
        <v>1707538</v>
      </c>
    </row>
    <row r="29">
      <c r="A29" s="14" t="inlineStr">
        <is>
          <t>Variance (eAR minus Form 990)</t>
        </is>
      </c>
      <c r="B29" s="15">
        <f>B28-C28</f>
        <v/>
      </c>
      <c r="C29" s="38" t="n"/>
    </row>
    <row r="30" ht="201" customHeight="1">
      <c r="A30" s="3" t="inlineStr">
        <is>
          <t>The eAR Section 8b total expenses (State Water Board self-report, fiscal year ending November 30, 2023) and the Form 990 total expenses (IRS filing) are a different source and cover the same fiscal year (December 1, 2022 to November 30, 2023): the water system self-reported the eAR Section 8b on a fiscal year (B0.1 Fiscal, B0.2 start 12/01/2022), which matches the Form 990 fiscal year. Both are carried as filed; the variance is surfaced, never reconciled.</t>
        </is>
      </c>
    </row>
  </sheetData>
  <mergeCells count="6">
    <mergeCell ref="A1:C1"/>
    <mergeCell ref="A5:C5"/>
    <mergeCell ref="A27:C27"/>
    <mergeCell ref="A3:C3"/>
    <mergeCell ref="A30:C30"/>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2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14" customWidth="1" min="3" max="3"/>
    <col width="16" customWidth="1" min="4" max="4"/>
    <col width="16" customWidth="1" min="5" max="5"/>
    <col width="16" customWidth="1" min="6" max="6"/>
    <col width="48" customWidth="1" min="7" max="7"/>
  </cols>
  <sheetData>
    <row r="1">
      <c r="A1" s="1" t="inlineStr">
        <is>
          <t>Crestview Mutual Water Company</t>
        </is>
      </c>
    </row>
    <row r="2">
      <c r="A2" s="2" t="inlineStr">
        <is>
          <t>Denominators and calendar alignment</t>
        </is>
      </c>
    </row>
    <row r="3">
      <c r="A3" s="2" t="inlineStr">
        <is>
          <t>Entity ID: cawc_0010   |   Fiscal year ends November 30.</t>
        </is>
      </c>
    </row>
    <row r="5" ht="126" customHeight="1">
      <c r="A5" s="3" t="inlineStr">
        <is>
          <t>System size and water use per fiscal year (the operating denominators that per-customer and per-acre metrics divide by), each cited to file and field. The eAR is reported on the calendar year; the 990 fiscal year differs by company. A calendar-year filer's volume is the eAR annual total (fiscal year = calendar year); an offset filer's is recast by a true monthly sum of the covered calendar months, or read not reported naming the missing months. Point-in-time counts (connections, population) are matched to the closest eAR year and never summed. Every derived figure states its formula and accounting rationale.</t>
        </is>
      </c>
    </row>
    <row r="6">
      <c r="A6" s="6" t="inlineStr">
        <is>
          <t>Member vs customer (two different denominators, both preserved)</t>
        </is>
      </c>
      <c r="B6" s="7" t="n"/>
      <c r="C6" s="7" t="n"/>
      <c r="D6" s="7" t="n"/>
      <c r="E6" s="7" t="n"/>
      <c r="F6" s="7" t="n"/>
      <c r="G6" s="7" t="n"/>
    </row>
    <row r="7">
      <c r="A7" s="20" t="inlineStr">
        <is>
          <t>Customer (service connection)</t>
        </is>
      </c>
      <c r="B7" s="23" t="n"/>
      <c r="C7" s="22" t="inlineStr">
        <is>
          <t>State Water Board eAR Section 4</t>
        </is>
      </c>
    </row>
    <row r="8">
      <c r="A8" s="20" t="inlineStr">
        <is>
          <t>SDWIS service-connection count (different registry)</t>
        </is>
      </c>
      <c r="B8" s="21" t="n">
        <v>630</v>
      </c>
      <c r="C8" s="22" t="inlineStr"/>
    </row>
    <row r="9">
      <c r="A9" s="20" t="inlineStr">
        <is>
          <t>Member (shareholder)</t>
        </is>
      </c>
      <c r="B9" s="23" t="n"/>
      <c r="C9" s="22" t="inlineStr">
        <is>
          <t>No published shareholder count</t>
        </is>
      </c>
    </row>
    <row r="10" ht="96" customHeight="1">
      <c r="A10" s="3" t="inlineStr">
        <is>
          <t>In a mutual water company a MEMBER is a shareholder who owns part of the system; a CUSTOMER is a metered service connection that receives water. The two diverge because one owner can hold several connections, a connection can serve people who are not owners, and some mutuals attach shares to land by acreage rather than counting heads. Per-customer metrics divide by service connections; per-member metrics divide by shareholders; the two counts are never used interchangeably.</t>
        </is>
      </c>
    </row>
    <row r="12">
      <c r="A12" s="6" t="inlineStr">
        <is>
          <t>Denominator layer by fiscal year</t>
        </is>
      </c>
      <c r="B12" s="7" t="n"/>
      <c r="C12" s="7" t="n"/>
      <c r="D12" s="7" t="n"/>
      <c r="E12" s="7" t="n"/>
      <c r="F12" s="7" t="n"/>
      <c r="G12" s="7" t="n"/>
    </row>
    <row r="13">
      <c r="A13" s="5" t="inlineStr">
        <is>
          <t>Fiscal year (end)</t>
        </is>
      </c>
      <c r="B13" s="5" t="inlineStr">
        <is>
          <t>Connections</t>
        </is>
      </c>
      <c r="C13" s="5" t="inlineStr">
        <is>
          <t>Population</t>
        </is>
      </c>
      <c r="D13" s="5" t="inlineStr">
        <is>
          <t>Service-area acres</t>
        </is>
      </c>
      <c r="E13" s="5" t="inlineStr">
        <is>
          <t>Water produced (AF)</t>
        </is>
      </c>
      <c r="F13" s="5" t="inlineStr">
        <is>
          <t>Water delivered (AF)</t>
        </is>
      </c>
      <c r="G13" s="5" t="inlineStr">
        <is>
          <t>Alignment method</t>
        </is>
      </c>
    </row>
    <row r="14" ht="40" customHeight="1">
      <c r="A14" s="8" t="inlineStr">
        <is>
          <t>FY2021 (2021-11-30)</t>
        </is>
      </c>
      <c r="B14" s="21" t="n">
        <v>630</v>
      </c>
      <c r="C14" s="17" t="inlineStr">
        <is>
          <t>not reported</t>
        </is>
      </c>
      <c r="D14" s="21" t="n">
        <v>935.9</v>
      </c>
      <c r="E14" s="21" t="n">
        <v>998</v>
      </c>
      <c r="F14" s="21" t="n">
        <v>946.4</v>
      </c>
      <c r="G14" s="23" t="inlineStr">
        <is>
          <t>recast from monthly eAR data to fiscal year ending November 30, 2021</t>
        </is>
      </c>
    </row>
    <row r="15" ht="40" customHeight="1">
      <c r="A15" s="8" t="inlineStr">
        <is>
          <t>FY2022 (2022-11-30)</t>
        </is>
      </c>
      <c r="B15" s="21" t="n">
        <v>630</v>
      </c>
      <c r="C15" s="17" t="inlineStr">
        <is>
          <t>not reported</t>
        </is>
      </c>
      <c r="D15" s="21" t="n">
        <v>935.9</v>
      </c>
      <c r="E15" s="21" t="n">
        <v>785.1</v>
      </c>
      <c r="F15" s="21" t="n">
        <v>744.3</v>
      </c>
      <c r="G15" s="23" t="inlineStr">
        <is>
          <t>recast from monthly eAR data to fiscal year ending November 30, 2022</t>
        </is>
      </c>
    </row>
    <row r="16" ht="40" customHeight="1">
      <c r="A16" s="8" t="inlineStr">
        <is>
          <t>FY2023 (2023-11-30)</t>
        </is>
      </c>
      <c r="B16" s="21" t="n">
        <v>630</v>
      </c>
      <c r="C16" s="21" t="n">
        <v>2079</v>
      </c>
      <c r="D16" s="21" t="n">
        <v>935.9</v>
      </c>
      <c r="E16" s="17" t="inlineStr">
        <is>
          <t>not reported</t>
        </is>
      </c>
      <c r="F16" s="17" t="inlineStr">
        <is>
          <t>not reported</t>
        </is>
      </c>
      <c r="G16" s="23" t="inlineStr">
        <is>
          <t>recast from monthly eAR data to fiscal year ending November 30, 2023</t>
        </is>
      </c>
    </row>
    <row r="17" ht="40" customHeight="1">
      <c r="A17" s="8" t="inlineStr">
        <is>
          <t>FY2024 (2024-11-30)</t>
        </is>
      </c>
      <c r="B17" s="21" t="n">
        <v>630</v>
      </c>
      <c r="C17" s="21" t="n">
        <v>2079</v>
      </c>
      <c r="D17" s="21" t="n">
        <v>935.9</v>
      </c>
      <c r="E17" s="17" t="inlineStr">
        <is>
          <t>not reported</t>
        </is>
      </c>
      <c r="F17" s="17" t="inlineStr">
        <is>
          <t>not reported</t>
        </is>
      </c>
      <c r="G17" s="23" t="inlineStr">
        <is>
          <t>recast from monthly eAR data to fiscal year ending November 30, 2024</t>
        </is>
      </c>
    </row>
    <row r="18" ht="40" customHeight="1">
      <c r="A18" s="8" t="inlineStr">
        <is>
          <t>FY2025 (2025-11-30)</t>
        </is>
      </c>
      <c r="B18" s="17" t="inlineStr">
        <is>
          <t>not reported</t>
        </is>
      </c>
      <c r="C18" s="17" t="inlineStr">
        <is>
          <t>not reported</t>
        </is>
      </c>
      <c r="D18" s="21" t="n">
        <v>935.9</v>
      </c>
      <c r="E18" s="17" t="inlineStr">
        <is>
          <t>not reported</t>
        </is>
      </c>
      <c r="F18" s="17" t="inlineStr">
        <is>
          <t>not reported</t>
        </is>
      </c>
      <c r="G18" s="23" t="inlineStr">
        <is>
          <t>recast from monthly eAR data to fiscal year ending November 30, 2025</t>
        </is>
      </c>
    </row>
    <row r="20">
      <c r="A20" s="6" t="inlineStr">
        <is>
          <t>Connections by class - FY2024 (eAR Section 4)</t>
        </is>
      </c>
      <c r="B20" s="7" t="n"/>
      <c r="C20" s="7" t="n"/>
      <c r="D20" s="7" t="n"/>
      <c r="E20" s="7" t="n"/>
      <c r="F20" s="7" t="n"/>
      <c r="G20" s="7" t="n"/>
    </row>
    <row r="21">
      <c r="A21" s="20" t="inlineStr">
        <is>
          <t>Single-family residential</t>
        </is>
      </c>
      <c r="B21" s="21" t="n">
        <v>630</v>
      </c>
      <c r="C21" s="22" t="inlineStr"/>
    </row>
    <row r="22" ht="81" customHeight="1">
      <c r="A22" s="3" t="inlineStr">
        <is>
          <t>Monthly-volume source: California open-data portal (data.ca.gov): the separate Produced Water (by month and source) and Delivered Water (by month and connection type) resources, which cover every public water system (not only urban suppliers), one resource per reporting year, matched by exact PWSID. This is the aggregate publication of eAR Section 6.</t>
        </is>
      </c>
    </row>
  </sheetData>
  <mergeCells count="6">
    <mergeCell ref="A1:G1"/>
    <mergeCell ref="A3:G3"/>
    <mergeCell ref="A22:G22"/>
    <mergeCell ref="A2:G2"/>
    <mergeCell ref="A10:G10"/>
    <mergeCell ref="A5:G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25"/>
  <sheetViews>
    <sheetView workbookViewId="0">
      <pane ySplit="4" topLeftCell="A5" activePane="bottomLeft" state="frozen"/>
      <selection pane="bottomLeft" activeCell="A1" sqref="A1"/>
    </sheetView>
  </sheetViews>
  <sheetFormatPr baseColWidth="8" defaultRowHeight="15"/>
  <cols>
    <col width="26" customWidth="1" min="1" max="1"/>
    <col width="16" customWidth="1" min="2" max="2"/>
    <col width="40" customWidth="1" min="3" max="3"/>
    <col width="40" customWidth="1" min="4" max="4"/>
    <col width="12" customWidth="1" min="5" max="5"/>
  </cols>
  <sheetData>
    <row r="1">
      <c r="A1" s="1" t="inlineStr">
        <is>
          <t>Crestview Mutual Water Company</t>
        </is>
      </c>
    </row>
    <row r="2">
      <c r="A2" s="2" t="inlineStr">
        <is>
          <t>Governance evidence status - Ostrom's eight design principles</t>
        </is>
      </c>
    </row>
    <row r="3">
      <c r="A3" s="2" t="inlineStr">
        <is>
          <t>Entity ID: cawc_0010   |   Fiscal year ends November 30.</t>
        </is>
      </c>
    </row>
    <row r="5">
      <c r="A5" s="39" t="inlineStr">
        <is>
          <t>Evidence summary: 6 documented, 0 partial, 2 not documented of eight principles.</t>
        </is>
      </c>
      <c r="B5" s="7" t="n"/>
      <c r="C5" s="7" t="n"/>
      <c r="D5" s="7" t="n"/>
      <c r="E5" s="7" t="n"/>
    </row>
    <row r="6" ht="81" customHeight="1">
      <c r="A6" s="3" t="inlineStr">
        <is>
          <t>A count of how many of Elinor Ostrom's eight design principles have a supporting record on file, not a grade. NOT DOCUMENTED means the supporting record was not found, not that the company governs badly. It marks a gap in the documentary record, an evidence gap to close, never a governance failing.</t>
        </is>
      </c>
    </row>
    <row r="7" ht="201" customHeight="1">
      <c r="A7" s="3" t="inlineStr">
        <is>
          <t>Each mutual is read against Elinor Ostrom's eight design principles for institutions that govern a shared resource durably. Per principle: a one-line finding, the observable signal, a citation, and an evidence status stating whether the supporting record exists: DOCUMENTED (a cited record supports alignment), PARTIAL (some evidence exists but it is incomplete), or NOT DOCUMENTED (no supporting record was found). This is an evidence-status read, not a grade: the principles are never ranked, weighted, or given a letter, consistent with reporting as filed and not grading companies. NOT DOCUMENTED means the supporting record was not found, not that the company governs badly. It marks a gap in the documentary record, an evidence gap to close, never a governance failing.</t>
        </is>
      </c>
    </row>
    <row r="9">
      <c r="A9" s="5" t="inlineStr">
        <is>
          <t>Principle</t>
        </is>
      </c>
      <c r="B9" s="5" t="inlineStr">
        <is>
          <t>Evidence status</t>
        </is>
      </c>
      <c r="C9" s="5" t="inlineStr">
        <is>
          <t>Finding</t>
        </is>
      </c>
      <c r="D9" s="5" t="inlineStr">
        <is>
          <t>Signal</t>
        </is>
      </c>
      <c r="E9" s="5" t="inlineStr">
        <is>
          <t>Citation</t>
        </is>
      </c>
    </row>
    <row r="10" ht="46" customHeight="1">
      <c r="A10" s="8" t="inlineStr">
        <is>
          <t>Clearly defined boundaries</t>
        </is>
      </c>
      <c r="B10" s="24" t="inlineStr">
        <is>
          <t>DOCUMENTED</t>
        </is>
      </c>
      <c r="C10" s="23" t="inlineStr">
        <is>
          <t>The system is a defined public water system: 630 service connections over a State-published service-area boundary.</t>
        </is>
      </c>
      <c r="D10" s="23" t="inlineStr">
        <is>
          <t>SDWIS Community water system; SABL service-area boundary (not verified (sabl)); connections defined.</t>
        </is>
      </c>
      <c r="E10" s="40" t="inlineStr">
        <is>
          <t>[C][G]</t>
        </is>
      </c>
    </row>
    <row r="11" ht="81" customHeight="1">
      <c r="A11" s="3" t="inlineStr">
        <is>
          <t>What the record shows: SDWIS defines the membership as a fixed set of service connections and the State Water Board publishes a SABL service-area polygon, so who is inside and outside the system is documented. The boundary is Not Verified (SABL), so its outer edge rests on that State layer.</t>
        </is>
      </c>
    </row>
    <row r="12" ht="46" customHeight="1">
      <c r="A12" s="8" t="inlineStr">
        <is>
          <t>Rules fit local conditions</t>
        </is>
      </c>
      <c r="B12" s="24" t="inlineStr">
        <is>
          <t>DOCUMENTED</t>
        </is>
      </c>
      <c r="C12" s="23" t="inlineStr">
        <is>
          <t>Charges are tied to service under a documented rate or share-based allocation rule reported to the State or set in the company's structure.</t>
        </is>
      </c>
      <c r="D12" s="23" t="inlineStr">
        <is>
          <t>eAR Section 8a customer charges; documented rate or share-allocation rule.</t>
        </is>
      </c>
      <c r="E12" s="40" t="inlineStr">
        <is>
          <t>[E][r1]</t>
        </is>
      </c>
    </row>
    <row r="13" ht="81" customHeight="1">
      <c r="A13" s="3" t="inlineStr">
        <is>
          <t>What the record shows: The record documents how charges are set, whether a filed metered rate schedule or a share-and-acreage allocation, so cost tracks service. Whether every tier scales precisely with use is only partially visible at this scale, but a real cost-to-service rule is on record.</t>
        </is>
      </c>
    </row>
    <row r="14" ht="46" customHeight="1">
      <c r="A14" s="8" t="inlineStr">
        <is>
          <t>Collective-choice arrangements</t>
        </is>
      </c>
      <c r="B14" s="24" t="inlineStr">
        <is>
          <t>DOCUMENTED</t>
        </is>
      </c>
      <c r="C14" s="23" t="inlineStr">
        <is>
          <t>The company is owned by its customer-shareholders and run by a named board they elect, documented in its Form 990 governance section.</t>
        </is>
      </c>
      <c r="D14" s="23" t="inlineStr">
        <is>
          <t>Mutual ownership; named elected board of directors (Form 990).</t>
        </is>
      </c>
      <c r="E14" s="40" t="inlineStr">
        <is>
          <t>[990][r1]</t>
        </is>
      </c>
    </row>
    <row r="15" ht="81" customHeight="1">
      <c r="A15" s="3" t="inlineStr">
        <is>
          <t>What the record shows: The record documents a collective-choice mechanism: customers are shareholders who elect a named board that governs the company. Turnout and specific member votes on major decisions are not documented, but the elected-board structure and its membership are on record.</t>
        </is>
      </c>
    </row>
    <row r="16" ht="46" customHeight="1">
      <c r="A16" s="8" t="inlineStr">
        <is>
          <t>Monitoring</t>
        </is>
      </c>
      <c r="B16" s="24" t="inlineStr">
        <is>
          <t>DOCUMENTED</t>
        </is>
      </c>
      <c r="C16" s="23" t="inlineStr">
        <is>
          <t>The system is metered and monitored: the State SAFER risk assessment shows it Not Failing, and it files an annual eAR.</t>
        </is>
      </c>
      <c r="D16" s="23" t="inlineStr">
        <is>
          <t>SAFER Not Failing; annual eAR reporting; metered connections.</t>
        </is>
      </c>
      <c r="E16" s="40" t="inlineStr">
        <is>
          <t>[S][E]</t>
        </is>
      </c>
    </row>
    <row r="17" ht="81" customHeight="1">
      <c r="A17" s="3" t="inlineStr">
        <is>
          <t>What the record shows: Operational monitoring is documented: the State rates the system Not Failing on its drinking-water risk assessment and the system files an annual eAR. No independent audited financial statement is published, so financial monitoring is weaker, but the operational record is present.</t>
        </is>
      </c>
    </row>
    <row r="18" ht="46" customHeight="1">
      <c r="A18" s="8" t="inlineStr">
        <is>
          <t>Graduated sanctions</t>
        </is>
      </c>
      <c r="B18" s="24" t="inlineStr">
        <is>
          <t>NOT DOCUMENTED</t>
        </is>
      </c>
      <c r="C18" s="23" t="inlineStr">
        <is>
          <t>No published shut-off, penalty, or delinquency policy was found for this system.</t>
        </is>
      </c>
      <c r="D18" s="23" t="inlineStr">
        <is>
          <t>No sourced sanctions policy.</t>
        </is>
      </c>
      <c r="E18" s="40" t="inlineStr">
        <is>
          <t>not reported</t>
        </is>
      </c>
    </row>
    <row r="19" ht="81" customHeight="1">
      <c r="A19" s="3" t="inlineStr">
        <is>
          <t>What the record shows: No public record of a graduated shut-off or penalty policy was found for a system this small. NOT DOCUMENTED means the supporting record was not found, not that the company governs badly. It marks a gap in the documentary record, an evidence gap to close, never a governance failing.</t>
        </is>
      </c>
    </row>
    <row r="20" ht="46" customHeight="1">
      <c r="A20" s="8" t="inlineStr">
        <is>
          <t>Conflict-resolution mechanisms</t>
        </is>
      </c>
      <c r="B20" s="24" t="inlineStr">
        <is>
          <t>NOT DOCUMENTED</t>
        </is>
      </c>
      <c r="C20" s="23" t="inlineStr">
        <is>
          <t>No published bylaws, dispute procedure, or grievance mechanism was found for this system.</t>
        </is>
      </c>
      <c r="D20" s="23" t="inlineStr">
        <is>
          <t>No sourced conflict-resolution record.</t>
        </is>
      </c>
      <c r="E20" s="40" t="inlineStr">
        <is>
          <t>not reported</t>
        </is>
      </c>
    </row>
    <row r="21" ht="81" customHeight="1">
      <c r="A21" s="3" t="inlineStr">
        <is>
          <t>What the record shows: No public record of a member dispute or conflict-resolution procedure was found. NOT DOCUMENTED means the supporting record was not found, not that the company governs badly. It marks a gap in the documentary record, an evidence gap to close, never a governance failing.</t>
        </is>
      </c>
    </row>
    <row r="22" ht="46" customHeight="1">
      <c r="A22" s="8" t="inlineStr">
        <is>
          <t>Recognized right to organize</t>
        </is>
      </c>
      <c r="B22" s="24" t="inlineStr">
        <is>
          <t>DOCUMENTED</t>
        </is>
      </c>
      <c r="C22" s="23" t="inlineStr">
        <is>
          <t>An incorporated California mutual water company recognized by the IRS (501(c)(12)) and by the State Water Board as a public water system.</t>
        </is>
      </c>
      <c r="D22" s="23" t="inlineStr">
        <is>
          <t>IRS 501(c)(12) exempt filer (Form 990); SDWIS public water system.</t>
        </is>
      </c>
      <c r="E22" s="40" t="inlineStr">
        <is>
          <t>[990][C][SOS]</t>
        </is>
      </c>
    </row>
    <row r="23" ht="150" customHeight="1">
      <c r="A23" s="3" t="inlineStr">
        <is>
          <t>What the record shows: Baseline legal standing is documented: the company is an incorporated mutual recognized by the IRS as a tax-exempt filer and by the State Water Board as a regulated water system. This records the right to organize as a member entity, not a documented instance of exercising it. The California Secretary of State holds the company as a registered corporation, entity number 0243093, first registered 03/03/1950, status as filed "Active", with a governing body named in the Statement of Information filed 12/8/2025. That is a direct state record of the right to organize being recognized, so the evidence behind this status is now a filed corporate record rather than an inference from the company's tax form. The status was already DOCUMENTED and does not move.</t>
        </is>
      </c>
    </row>
    <row r="24" ht="46" customHeight="1">
      <c r="A24" s="8" t="inlineStr">
        <is>
          <t>Nested enterprises</t>
        </is>
      </c>
      <c r="B24" s="24" t="inlineStr">
        <is>
          <t>DOCUMENTED</t>
        </is>
      </c>
      <c r="C24" s="23" t="inlineStr">
        <is>
          <t>The system buys treated water wholesale from a larger supplier, so it is nested inside a regional water enterprise.</t>
        </is>
      </c>
      <c r="D24" s="23" t="inlineStr">
        <is>
          <t>SDWIS Primary Water Source Type: purchased surface water.</t>
        </is>
      </c>
      <c r="E24" s="40" t="inlineStr">
        <is>
          <t>[C][r1]</t>
        </is>
      </c>
    </row>
    <row r="25" ht="81" customHeight="1">
      <c r="A25" s="3" t="inlineStr">
        <is>
          <t>What the record shows: Nesting is documented on the supply side: SDWIS records the system as buying treated surface water wholesale, so it sits inside a larger regional supplier's system. Its role in basin or regional governance is not documented, so the nesting on record is physical rather than a governed layer.</t>
        </is>
      </c>
    </row>
  </sheetData>
  <mergeCells count="13">
    <mergeCell ref="A21:E21"/>
    <mergeCell ref="A2:E2"/>
    <mergeCell ref="A15:E15"/>
    <mergeCell ref="A7:E7"/>
    <mergeCell ref="A25:E25"/>
    <mergeCell ref="A19:E19"/>
    <mergeCell ref="A11:E11"/>
    <mergeCell ref="A1:E1"/>
    <mergeCell ref="A23:E23"/>
    <mergeCell ref="A13:E13"/>
    <mergeCell ref="A6:E6"/>
    <mergeCell ref="A17:E17"/>
    <mergeCell ref="A3:E3"/>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23"/>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Crestview Mutual Water Company</t>
        </is>
      </c>
    </row>
    <row r="2">
      <c r="A2" s="2" t="inlineStr">
        <is>
          <t>Operational metrics - plant per acre, density, terrain</t>
        </is>
      </c>
    </row>
    <row r="3">
      <c r="A3" s="2" t="inlineStr">
        <is>
          <t>Entity ID: cawc_0010   |   Fiscal year ends November 30.</t>
        </is>
      </c>
    </row>
    <row r="5">
      <c r="A5" s="6" t="inlineStr">
        <is>
          <t>Plant assets per acre</t>
        </is>
      </c>
      <c r="B5" s="7" t="n"/>
      <c r="C5" s="7" t="n"/>
    </row>
    <row r="6">
      <c r="A6" s="20" t="inlineStr">
        <is>
          <t>Service-area acres</t>
        </is>
      </c>
      <c r="B6" s="41" t="n">
        <v>935.9</v>
      </c>
      <c r="C6" s="22" t="inlineStr">
        <is>
          <t>Geodesic area (WGS84 spherical excess) of the SABL service-area polygon.</t>
        </is>
      </c>
    </row>
    <row r="7">
      <c r="A7" s="5" t="inlineStr">
        <is>
          <t>Fiscal year</t>
        </is>
      </c>
      <c r="B7" s="5" t="inlineStr">
        <is>
          <t>Gross plant per acre (primary)</t>
        </is>
      </c>
      <c r="C7" s="5" t="inlineStr">
        <is>
          <t>Net plant per acre</t>
        </is>
      </c>
    </row>
    <row r="8">
      <c r="A8" s="18" t="inlineStr">
        <is>
          <t>FY2021</t>
        </is>
      </c>
      <c r="B8" s="9" t="n">
        <v>10317.5564</v>
      </c>
      <c r="C8" s="9" t="n">
        <v>4222.512</v>
      </c>
    </row>
    <row r="9">
      <c r="A9" s="18" t="inlineStr">
        <is>
          <t>FY2022</t>
        </is>
      </c>
      <c r="B9" s="9" t="n">
        <v>10731.8132</v>
      </c>
      <c r="C9" s="9" t="n">
        <v>4467.6055</v>
      </c>
    </row>
    <row r="10">
      <c r="A10" s="18" t="inlineStr">
        <is>
          <t>FY2023</t>
        </is>
      </c>
      <c r="B10" s="9" t="n">
        <v>10622.1092</v>
      </c>
      <c r="C10" s="9" t="n">
        <v>4452.8262</v>
      </c>
    </row>
    <row r="11">
      <c r="A11" s="18" t="inlineStr">
        <is>
          <t>FY2024</t>
        </is>
      </c>
      <c r="B11" s="9" t="n">
        <v>10650.9307</v>
      </c>
      <c r="C11" s="9" t="n">
        <v>4275.5935</v>
      </c>
    </row>
    <row r="12">
      <c r="A12" s="18" t="inlineStr">
        <is>
          <t>FY2025</t>
        </is>
      </c>
      <c r="B12" s="9" t="n">
        <v>10862.3143</v>
      </c>
      <c r="C12" s="9" t="n">
        <v>4293.3337</v>
      </c>
    </row>
    <row r="13" ht="156" customHeight="1">
      <c r="A13" s="3" t="inlineStr">
        <is>
          <t>Infrastructure built per acre of service area. Gross plant per acre is the primary read because it measures how much plant the system has put in the ground per acre, and unlike net plant it does not fall over time purely because the assets depreciate on the books. Net plant per acre is shown alongside as the depreciated book value per acre.</t>
        </is>
      </c>
    </row>
    <row r="14" ht="81" customHeight="1">
      <c r="A14" s="3" t="inlineStr">
        <is>
          <t>Formula: gross plant per acre = Form 990 Part X line 10a (land, buildings, and equipment, gross) / SABL service-area acres; net plant per acre uses Part X line 10c (net)</t>
        </is>
      </c>
    </row>
    <row r="15" ht="66" customHeight="1">
      <c r="A15" s="3" t="inlineStr">
        <is>
          <t>Source lines: Form 990 Part X line 10a (gross) and line 10c (net); Geodesic area (WGS84 spherical excess) of the SABL service-area polygon.</t>
        </is>
      </c>
    </row>
    <row r="16" ht="96" customHeight="1">
      <c r="A16" s="3" t="inlineStr">
        <is>
          <t>Confidence: medium. This is worked out from filed figures (a ratio, or a year-to-year change), so it is one step removed from the raw numbers.. Filed gross/net plant over the measured SABL service-area acreage.</t>
        </is>
      </c>
    </row>
    <row r="18">
      <c r="A18" s="6" t="inlineStr">
        <is>
          <t>Connections per acre</t>
        </is>
      </c>
      <c r="B18" s="7" t="n"/>
      <c r="C18" s="7" t="n"/>
    </row>
    <row r="19">
      <c r="A19" s="20" t="inlineStr">
        <is>
          <t>Connections per acre</t>
        </is>
      </c>
      <c r="B19" s="19" t="n">
        <v>0.67</v>
      </c>
      <c r="C19" s="22" t="inlineStr">
        <is>
          <t>630 connections / 935.9 acres. CA State Water Board SABL SERVICE_CONNECTIONS; Geodesic area (WGS84 spherical excess) of the SABL service-area polygon.</t>
        </is>
      </c>
    </row>
    <row r="21">
      <c r="A21" s="6" t="inlineStr">
        <is>
          <t>Who they are</t>
        </is>
      </c>
      <c r="B21" s="7" t="n"/>
      <c r="C21" s="7" t="n"/>
    </row>
    <row r="22">
      <c r="A22" s="20" t="inlineStr">
        <is>
          <t>Terrain class</t>
        </is>
      </c>
      <c r="B22" s="23" t="inlineStr">
        <is>
          <t>flat valley</t>
        </is>
      </c>
      <c r="C22" s="22" t="inlineStr">
        <is>
          <t>Company context page (BLUEPRINT 5B)</t>
        </is>
      </c>
    </row>
    <row r="23" ht="96" customHeight="1">
      <c r="A23" s="3" t="inlineStr">
        <is>
          <t>A shareholder-owned mutual water company (501(c)(12)) serving about 630 service connections (roughly 618 households, ~2,079 residents) in Camarillo, Ventura County, on flat valley terrain.</t>
        </is>
      </c>
    </row>
  </sheetData>
  <mergeCells count="8">
    <mergeCell ref="A13:C13"/>
    <mergeCell ref="A1:C1"/>
    <mergeCell ref="A16:C16"/>
    <mergeCell ref="A23:C23"/>
    <mergeCell ref="A14:C14"/>
    <mergeCell ref="A3:C3"/>
    <mergeCell ref="A15:C15"/>
    <mergeCell ref="A2:C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Crestview Mutual Water Company</t>
        </is>
      </c>
    </row>
    <row r="2">
      <c r="A2" s="2" t="inlineStr">
        <is>
          <t>Supply and weather indicators (DWR water year)</t>
        </is>
      </c>
    </row>
    <row r="3">
      <c r="A3" s="2" t="inlineStr">
        <is>
          <t>Entity ID: cawc_0010   |   Fiscal year ends November 30.</t>
        </is>
      </c>
    </row>
    <row r="5" ht="96" customHeight="1">
      <c r="A5" s="3" t="inlineStr">
        <is>
          <t>Reporting calendar: Different reporting periods. The DWR water year runs October 1 to September 30; this system's fiscal year ends November 30, so the two period ends are two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WY2021</t>
        </is>
      </c>
      <c r="C7" s="5" t="inlineStr">
        <is>
          <t>WY2022</t>
        </is>
      </c>
      <c r="D7" s="5" t="inlineStr">
        <is>
          <t>WY2023</t>
        </is>
      </c>
      <c r="E7" s="5" t="inlineStr">
        <is>
          <t>WY2024</t>
        </is>
      </c>
      <c r="F7" s="5" t="inlineStr">
        <is>
          <t>WY2025</t>
        </is>
      </c>
    </row>
    <row r="8">
      <c r="A8" s="8" t="inlineStr">
        <is>
          <t>Water-year type (Sacramento Valley)</t>
        </is>
      </c>
      <c r="B8" s="40" t="inlineStr">
        <is>
          <t>Critical</t>
        </is>
      </c>
      <c r="C8" s="40" t="inlineStr">
        <is>
          <t>Critical</t>
        </is>
      </c>
      <c r="D8" s="40" t="inlineStr">
        <is>
          <t>Wet</t>
        </is>
      </c>
      <c r="E8" s="40" t="inlineStr">
        <is>
          <t>Above Normal</t>
        </is>
      </c>
      <c r="F8" s="42" t="inlineStr">
        <is>
          <t>not reported</t>
        </is>
      </c>
    </row>
    <row r="9">
      <c r="A9" s="8" t="inlineStr">
        <is>
          <t>Peak drought, Ventura County</t>
        </is>
      </c>
      <c r="B9" s="40" t="inlineStr">
        <is>
          <t>D4</t>
        </is>
      </c>
      <c r="C9" s="40" t="inlineStr">
        <is>
          <t>D4</t>
        </is>
      </c>
      <c r="D9" s="40" t="inlineStr">
        <is>
          <t>D3</t>
        </is>
      </c>
      <c r="E9" s="40" t="inlineStr">
        <is>
          <t>None (no D0-D4 during the fiscal year)</t>
        </is>
      </c>
      <c r="F9" s="40" t="inlineStr">
        <is>
          <t>D3</t>
        </is>
      </c>
    </row>
    <row r="10">
      <c r="A10" s="8" t="inlineStr">
        <is>
          <t>Precip, percent of normal (8-Station Index)</t>
        </is>
      </c>
      <c r="B10" s="40" t="inlineStr">
        <is>
          <t>48</t>
        </is>
      </c>
      <c r="C10" s="40" t="inlineStr">
        <is>
          <t>86</t>
        </is>
      </c>
      <c r="D10" s="40" t="inlineStr">
        <is>
          <t>133</t>
        </is>
      </c>
      <c r="E10" s="40" t="inlineStr">
        <is>
          <t>96</t>
        </is>
      </c>
      <c r="F10" s="40" t="inlineStr">
        <is>
          <t>113</t>
        </is>
      </c>
    </row>
    <row r="11">
      <c r="A11" s="8" t="inlineStr">
        <is>
          <t>Snowpack, April 1 percent of average</t>
        </is>
      </c>
      <c r="B11" s="40" t="inlineStr">
        <is>
          <t>59%</t>
        </is>
      </c>
      <c r="C11" s="40" t="inlineStr">
        <is>
          <t>38%</t>
        </is>
      </c>
      <c r="D11" s="40" t="inlineStr">
        <is>
          <t>237%</t>
        </is>
      </c>
      <c r="E11" s="40" t="inlineStr">
        <is>
          <t>110%</t>
        </is>
      </c>
      <c r="F11" s="40" t="inlineStr">
        <is>
          <t>96%</t>
        </is>
      </c>
    </row>
    <row r="12">
      <c r="A12" s="8" t="inlineStr">
        <is>
          <t>State Water Project allocation</t>
        </is>
      </c>
      <c r="B12" s="40" t="inlineStr">
        <is>
          <t>5%</t>
        </is>
      </c>
      <c r="C12" s="40" t="inlineStr">
        <is>
          <t>5%</t>
        </is>
      </c>
      <c r="D12" s="40" t="inlineStr">
        <is>
          <t>100%</t>
        </is>
      </c>
      <c r="E12" s="40" t="inlineStr">
        <is>
          <t>40%</t>
        </is>
      </c>
      <c r="F12" s="40" t="inlineStr">
        <is>
          <t>50%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Crestview Mutual Water Company</t>
        </is>
      </c>
    </row>
    <row r="2">
      <c r="A2" s="2" t="inlineStr">
        <is>
          <t>How this was built - forensic lineage</t>
        </is>
      </c>
    </row>
    <row r="3">
      <c r="A3" s="2" t="inlineStr">
        <is>
          <t>Entity ID: cawc_0010   |   Fiscal year ends November 30.</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DIRECT</t>
        </is>
      </c>
      <c r="B7" s="7" t="n"/>
    </row>
    <row r="8" ht="72" customHeight="1">
      <c r="A8" s="20" t="inlineStr">
        <is>
          <t>Sources checked</t>
        </is>
      </c>
      <c r="B8" s="22" t="inlineStr">
        <is>
          <t>State Water Board eAR Section 8b (water-rate revenue B1.1/B1.2); State Water Board eAR Section 4 (connection count, same reporting year); audited financial statement (secondary cross-check, where published)</t>
        </is>
      </c>
    </row>
    <row r="9" ht="72" customHeight="1">
      <c r="A9" s="20" t="inlineStr">
        <is>
          <t>What was found</t>
        </is>
      </c>
      <c r="B9" s="22" t="inlineStr">
        <is>
          <t>The eAR Section 8b reports water-rate revenue for reporting year 2023, so this is a DIRECT filed figure; per customer it is divided by the eAR Section 4 connection count for the same reporting year, so numerator and denominator share the year.</t>
        </is>
      </c>
    </row>
    <row r="11">
      <c r="A11" s="6" t="inlineStr">
        <is>
          <t>Assessment revenue (residual) - DERIVED</t>
        </is>
      </c>
      <c r="B11" s="7" t="n"/>
    </row>
    <row r="12" ht="72" customHeight="1">
      <c r="A12" s="20" t="inlineStr">
        <is>
          <t>Sources checked</t>
        </is>
      </c>
      <c r="B12" s="22" t="inlineStr">
        <is>
          <t>Form 990 Part VIII line 2 (program-service revenue); State Water Board eAR Section 8b (water-rate revenue B1.1/B1.2)</t>
        </is>
      </c>
    </row>
    <row r="13" ht="72" customHeight="1">
      <c r="A13" s="20" t="inlineStr">
        <is>
          <t>What was found</t>
        </is>
      </c>
      <c r="B13" s="22" t="inlineStr">
        <is>
          <t>No source separately reports a member assessment, so it is DERIVED as a residual: $1,240,240 (990 program-service revenue) minus $997,871 (eAR water-rate revenue) = $242,369. Period-aligned; medium confidence.</t>
        </is>
      </c>
    </row>
    <row r="14" ht="72" customHeight="1">
      <c r="A14" s="20" t="inlineStr">
        <is>
          <t>Caveat</t>
        </is>
      </c>
      <c r="B14" s="22" t="inlineStr">
        <is>
          <t>This residual is a difference between two sources for the same period; it is not a separately filed assessment line and may include other unmatched revenue.</t>
        </is>
      </c>
    </row>
    <row r="16">
      <c r="A16" s="6" t="inlineStr">
        <is>
          <t>Meter revenue - not reported</t>
        </is>
      </c>
      <c r="B16" s="7" t="n"/>
    </row>
    <row r="17" ht="72" customHeight="1">
      <c r="A17" s="20" t="inlineStr">
        <is>
          <t>Sources checked</t>
        </is>
      </c>
      <c r="B17" s="22" t="inlineStr">
        <is>
          <t>State Water Board eAR Section 8a (rate prices); State Water Board eAR Section 8b (revenue lines); audited financial statement</t>
        </is>
      </c>
    </row>
    <row r="18" ht="72" customHeight="1">
      <c r="A18" s="20" t="inlineStr">
        <is>
          <t>What was found</t>
        </is>
      </c>
      <c r="B18" s="22" t="inlineStr">
        <is>
          <t>The rate price exists in Section 8a but no revenue or tier volume is reported, and the base charge is already inside water sales.</t>
        </is>
      </c>
    </row>
    <row r="19" ht="72" customHeight="1">
      <c r="A19" s="20" t="inlineStr">
        <is>
          <t>Caveat</t>
        </is>
      </c>
      <c r="B19" s="22"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0" t="inlineStr">
        <is>
          <t>Sources checked</t>
        </is>
      </c>
      <c r="B22" s="22" t="inlineStr">
        <is>
          <t>State Water Board eAR Section 8a (rate prices); State Water Board eAR Section 8b (revenue lines); audited financial statement</t>
        </is>
      </c>
    </row>
    <row r="23" ht="72" customHeight="1">
      <c r="A23" s="20" t="inlineStr">
        <is>
          <t>What was found</t>
        </is>
      </c>
      <c r="B23" s="22" t="inlineStr">
        <is>
          <t>The rate price exists in Section 8a but no revenue or tier volume is reported, and the base charge is already inside water sales.</t>
        </is>
      </c>
    </row>
    <row r="24" ht="72" customHeight="1">
      <c r="A24" s="20" t="inlineStr">
        <is>
          <t>Caveat</t>
        </is>
      </c>
      <c r="B24" s="22"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0" t="inlineStr">
        <is>
          <t>Sources checked</t>
        </is>
      </c>
      <c r="B27" s="22" t="inlineStr">
        <is>
          <t>eAR Section 8b B0.1 (WRFinancialReportingPeriod); eAR Section 8b B0.2 (WRFiscalYearStartDate)</t>
        </is>
      </c>
    </row>
    <row r="28" ht="72" customHeight="1">
      <c r="A28" s="20" t="inlineStr">
        <is>
          <t>What was found</t>
        </is>
      </c>
      <c r="B28" s="22"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0" t="inlineStr">
        <is>
          <t>Sources checked</t>
        </is>
      </c>
      <c r="B31" s="22" t="inlineStr">
        <is>
          <t>Form 990 (no member count stated); company website</t>
        </is>
      </c>
    </row>
    <row r="32" ht="72" customHeight="1">
      <c r="A32" s="20" t="inlineStr">
        <is>
          <t>What was found</t>
        </is>
      </c>
      <c r="B32" s="22"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0" t="inlineStr">
        <is>
          <t>Sources checked</t>
        </is>
      </c>
      <c r="B35" s="22" t="inlineStr">
        <is>
          <t>Form 990 (not in the filing); Consumer Confidence Report; eAR Section 6 (PRA-gated)</t>
        </is>
      </c>
    </row>
    <row r="36" ht="72" customHeight="1">
      <c r="A36" s="20" t="inlineStr">
        <is>
          <t>What was found</t>
        </is>
      </c>
      <c r="B36" s="22"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17"/>
  <sheetViews>
    <sheetView workbookViewId="0">
      <pane ySplit="7" topLeftCell="A8" activePane="bottomLeft" state="frozen"/>
      <selection pane="bottomLeft" activeCell="A1" sqref="A1"/>
    </sheetView>
  </sheetViews>
  <sheetFormatPr baseColWidth="8" defaultRowHeight="15"/>
  <cols>
    <col width="30" customWidth="1" min="1" max="1"/>
    <col width="46" customWidth="1" min="2" max="2"/>
    <col width="30" customWidth="1" min="3" max="3"/>
    <col width="10" customWidth="1" min="4" max="4"/>
    <col width="12" customWidth="1" min="5" max="5"/>
    <col width="60" customWidth="1" min="6" max="6"/>
  </cols>
  <sheetData>
    <row r="1">
      <c r="A1" s="1" t="inlineStr">
        <is>
          <t>Crestview Mutual Water Company</t>
        </is>
      </c>
    </row>
    <row r="2">
      <c r="A2" s="2" t="inlineStr">
        <is>
          <t>Water Operations (sourced outside the financial filings)</t>
        </is>
      </c>
    </row>
    <row r="3">
      <c r="A3" s="2" t="inlineStr">
        <is>
          <t>Entity ID: cawc_0010   |   Fiscal year ends November 30.</t>
        </is>
      </c>
    </row>
    <row r="5" ht="42" customHeight="1">
      <c r="A5" s="3" t="inlineStr">
        <is>
          <t>A separate dialect of data from the financial statements: the system's water supply, from the California State Water Board records (the Consumer Confidence Report served by the eAR portal, and SDWIS Drinking Water Watch). Each field carries its source, year, and confidence the same way a financial line item does; a field the source does not state reads 'not reported' with the source still needed. Figures are as reported, never estimated or reconciled across sources.</t>
        </is>
      </c>
    </row>
    <row r="7">
      <c r="A7" s="5" t="inlineStr">
        <is>
          <t>Field</t>
        </is>
      </c>
      <c r="B7" s="5" t="inlineStr">
        <is>
          <t>Value</t>
        </is>
      </c>
      <c r="C7" s="5" t="inlineStr">
        <is>
          <t>Source</t>
        </is>
      </c>
      <c r="D7" s="5" t="inlineStr">
        <is>
          <t>Year</t>
        </is>
      </c>
      <c r="E7" s="5" t="inlineStr">
        <is>
          <t>Confidence</t>
        </is>
      </c>
      <c r="F7" s="5" t="inlineStr">
        <is>
          <t>Source excerpt / cross-source note</t>
        </is>
      </c>
    </row>
    <row r="8" ht="42" customHeight="1">
      <c r="A8" s="8" t="inlineStr">
        <is>
          <t>Water type</t>
        </is>
      </c>
      <c r="B8" s="23" t="inlineStr">
        <is>
          <t>Potable (community drinking water)</t>
        </is>
      </c>
      <c r="C8" s="8" t="inlineStr">
        <is>
          <t>SDWIS Drinking Water Watch (State Water Board)</t>
        </is>
      </c>
      <c r="D8" s="40" t="n">
        <v>2024</v>
      </c>
      <c r="E8" s="8" t="inlineStr">
        <is>
          <t>high</t>
        </is>
      </c>
      <c r="F8" s="23" t="inlineStr">
        <is>
          <t>CRESTVIEW MUTUAL WATER CO: State Water System Type = Community.</t>
        </is>
      </c>
    </row>
    <row r="9" ht="42" customHeight="1">
      <c r="A9" s="8" t="inlineStr">
        <is>
          <t>Source mix</t>
        </is>
      </c>
      <c r="B9" s="23" t="inlineStr">
        <is>
          <t>Primary source: purchased treated surface water from a wholesale supplier (SDWIS Primary Water Source Type: Surface Water Purchased). SDWIS classifies the primary supply type; it states no acre-foot volume by source.</t>
        </is>
      </c>
      <c r="C9" s="8" t="inlineStr">
        <is>
          <t>SDWIS Drinking Water Watch (State Water Board)</t>
        </is>
      </c>
      <c r="D9" s="40" t="n">
        <v>2024</v>
      </c>
      <c r="E9" s="8" t="inlineStr">
        <is>
          <t>high</t>
        </is>
      </c>
      <c r="F9" s="23" t="inlineStr">
        <is>
          <t>CRESTVIEW MUTUAL WATER CO: Primary Water Source Type = Surface Water Purchased.</t>
        </is>
      </c>
    </row>
    <row r="10" ht="42" customHeight="1">
      <c r="A10" s="8" t="inlineStr">
        <is>
          <t>Service connections (total)</t>
        </is>
      </c>
      <c r="B10" s="23" t="inlineStr">
        <is>
          <t>630 connections</t>
        </is>
      </c>
      <c r="C10" s="8" t="inlineStr">
        <is>
          <t>SDWIS Drinking Water Watch (State Water Board)</t>
        </is>
      </c>
      <c r="D10" s="40" t="n">
        <v>2024</v>
      </c>
      <c r="E10" s="8" t="inlineStr">
        <is>
          <t>high</t>
        </is>
      </c>
      <c r="F10" s="23" t="inlineStr">
        <is>
          <t>CRESTVIEW MUTUAL WATER CO: Total Number of Service Connections = 630.  [cross-source: SDWIS connection snapshot; the eAR reports active service connections on its own basis and per reporting year. Both preserved, not reconciled.]</t>
        </is>
      </c>
    </row>
    <row r="11" ht="42" customHeight="1">
      <c r="A11" s="8" t="inlineStr">
        <is>
          <t>Connections by class</t>
        </is>
      </c>
      <c r="B11" s="23" t="inlineStr">
        <is>
          <t>Service connections by type (SDWIS snapshot): Residential 630; Total 630.</t>
        </is>
      </c>
      <c r="C11" s="8" t="inlineStr">
        <is>
          <t>SDWIS Drinking Water Watch (State Water Board)</t>
        </is>
      </c>
      <c r="D11" s="40" t="n">
        <v>2024</v>
      </c>
      <c r="E11" s="8" t="inlineStr">
        <is>
          <t>high</t>
        </is>
      </c>
      <c r="F11" s="23" t="inlineStr">
        <is>
          <t>CRESTVIEW MUTUAL WATER CO: connections by type - Residential 630; Total 630.</t>
        </is>
      </c>
    </row>
    <row r="12" ht="42" customHeight="1">
      <c r="A12" s="8" t="inlineStr">
        <is>
          <t>Population served</t>
        </is>
      </c>
      <c r="B12" s="23" t="inlineStr">
        <is>
          <t>2,079 residents</t>
        </is>
      </c>
      <c r="C12" s="8" t="inlineStr">
        <is>
          <t>SDWIS Drinking Water Watch (State Water Board)</t>
        </is>
      </c>
      <c r="D12" s="40" t="n">
        <v>2024</v>
      </c>
      <c r="E12" s="8" t="inlineStr">
        <is>
          <t>high</t>
        </is>
      </c>
      <c r="F12" s="23" t="inlineStr">
        <is>
          <t>CRESTVIEW MUTUAL WATER CO: Total Population = 2,079.</t>
        </is>
      </c>
    </row>
    <row r="13" ht="42" customHeight="1">
      <c r="A13" s="8" t="inlineStr">
        <is>
          <t>Treatment and water quality</t>
        </is>
      </c>
      <c r="B13" s="23" t="inlineStr">
        <is>
          <t>Operator certification on file: Treatment Operator Level 1; Distribution Operator Level 3. SDWIS states operator grades, not the treatment process detail.</t>
        </is>
      </c>
      <c r="C13" s="8" t="inlineStr">
        <is>
          <t>SDWIS Drinking Water Watch (State Water Board)</t>
        </is>
      </c>
      <c r="D13" s="40" t="n">
        <v>2024</v>
      </c>
      <c r="E13" s="8" t="inlineStr">
        <is>
          <t>high</t>
        </is>
      </c>
      <c r="F13" s="23" t="inlineStr">
        <is>
          <t>CRESTVIEW MUTUAL WATER CO: Treatment Plant Class = Treatment Operator Level 1; Distribution System Class = Distribution Operator Level 3.</t>
        </is>
      </c>
    </row>
    <row r="15">
      <c r="A15" s="6" t="inlineStr">
        <is>
          <t>Not reported (source still needed)</t>
        </is>
      </c>
      <c r="B15" s="7" t="n"/>
      <c r="C15" s="7" t="n"/>
      <c r="D15" s="7" t="n"/>
      <c r="E15" s="7" t="n"/>
      <c r="F15" s="7" t="n"/>
    </row>
    <row r="16" ht="30" customHeight="1">
      <c r="A16" s="8" t="inlineStr">
        <is>
          <t>Annual volume delivered (acre-feet)</t>
        </is>
      </c>
      <c r="B16" s="22" t="inlineStr">
        <is>
          <t>not reported - needs annual volume in acre-feet (State Water Board eAR Section 6 or company production records); the CCR states only a percentage mix</t>
        </is>
      </c>
      <c r="C16" s="38" t="n"/>
      <c r="D16" s="38" t="n"/>
      <c r="E16" s="38" t="n"/>
      <c r="F16" s="38" t="n"/>
    </row>
    <row r="17" ht="30" customHeight="1">
      <c r="A17" s="8" t="inlineStr">
        <is>
          <t>Customer classes served</t>
        </is>
      </c>
      <c r="B17" s="22" t="inlineStr">
        <is>
          <t>not reported - needs the State Water Board eAR or the system CCR</t>
        </is>
      </c>
      <c r="C17" s="38" t="n"/>
      <c r="D17" s="38" t="n"/>
      <c r="E17" s="38" t="n"/>
      <c r="F17" s="38" t="n"/>
    </row>
  </sheetData>
  <mergeCells count="4">
    <mergeCell ref="A3:F3"/>
    <mergeCell ref="A2:F2"/>
    <mergeCell ref="A1:F1"/>
    <mergeCell ref="A5:F5"/>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K236"/>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Crestview Mutual Water Company</t>
        </is>
      </c>
    </row>
    <row r="2">
      <c r="A2" s="2" t="inlineStr">
        <is>
          <t>Sources &amp; audit - full provenance and tie-outs (kept off the statements so they read clean)</t>
        </is>
      </c>
    </row>
    <row r="3">
      <c r="A3" s="2" t="inlineStr">
        <is>
          <t>Entity ID: cawc_0010   |   Fiscal year ends November 30.</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39"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40" t="inlineStr">
        <is>
          <t>FY2020</t>
        </is>
      </c>
      <c r="B10" s="8" t="inlineStr">
        <is>
          <t>2020-11-30</t>
        </is>
      </c>
      <c r="C10" s="8" t="inlineStr">
        <is>
          <t>990</t>
        </is>
      </c>
      <c r="D10" s="8" t="inlineStr">
        <is>
          <t>high</t>
        </is>
      </c>
      <c r="E10" s="8" t="inlineStr">
        <is>
          <t>d09ae1aa-d662-4059-ad01-bcc8d901e90b</t>
        </is>
      </c>
      <c r="F10" s="8" t="inlineStr">
        <is>
          <t>202102509349301345</t>
        </is>
      </c>
      <c r="G10" s="8" t="inlineStr">
        <is>
          <t>claude-opus-5</t>
        </is>
      </c>
      <c r="H10" s="8" t="inlineStr">
        <is>
          <t>2026-09-14T20:40:22+00:00</t>
        </is>
      </c>
      <c r="I10" s="8" t="inlineStr">
        <is>
          <t>https://apps.irs.gov/pub/epostcard/990/xml/2021/2021_TEOS_XML_01A.zip#202102509349301345_public.xml</t>
        </is>
      </c>
    </row>
    <row r="11">
      <c r="A11" s="40" t="inlineStr">
        <is>
          <t>FY2021</t>
        </is>
      </c>
      <c r="B11" s="8" t="inlineStr">
        <is>
          <t>2021-11-30</t>
        </is>
      </c>
      <c r="C11" s="8" t="inlineStr">
        <is>
          <t>990</t>
        </is>
      </c>
      <c r="D11" s="8" t="inlineStr">
        <is>
          <t>high</t>
        </is>
      </c>
      <c r="E11" s="8" t="inlineStr">
        <is>
          <t>5bf28e55-35bb-4eae-9d89-a3cc772320b5</t>
        </is>
      </c>
      <c r="F11" s="8" t="inlineStr">
        <is>
          <t>202231829349300118</t>
        </is>
      </c>
      <c r="G11" s="8" t="inlineStr">
        <is>
          <t>claude-opus-5</t>
        </is>
      </c>
      <c r="H11" s="8" t="inlineStr">
        <is>
          <t>2026-09-14T20:40:22+00:00</t>
        </is>
      </c>
      <c r="I11" s="8" t="inlineStr">
        <is>
          <t>https://apps.irs.gov/pub/epostcard/990/xml/2022/2022_TEOS_XML_01A.zip#202231829349300118_public.xml</t>
        </is>
      </c>
    </row>
    <row r="12">
      <c r="A12" s="40" t="inlineStr">
        <is>
          <t>FY2022</t>
        </is>
      </c>
      <c r="B12" s="8" t="inlineStr">
        <is>
          <t>2022-11-30</t>
        </is>
      </c>
      <c r="C12" s="8" t="inlineStr">
        <is>
          <t>990</t>
        </is>
      </c>
      <c r="D12" s="8" t="inlineStr">
        <is>
          <t>high</t>
        </is>
      </c>
      <c r="E12" s="8" t="inlineStr">
        <is>
          <t>4ea47521-ff44-45d6-817b-32403ef09be2</t>
        </is>
      </c>
      <c r="F12" s="8" t="inlineStr">
        <is>
          <t>202311849349301016</t>
        </is>
      </c>
      <c r="G12" s="8" t="inlineStr">
        <is>
          <t>claude-opus-5</t>
        </is>
      </c>
      <c r="H12" s="8" t="inlineStr">
        <is>
          <t>2026-09-14T20:40:22+00:00</t>
        </is>
      </c>
      <c r="I12" s="8" t="inlineStr">
        <is>
          <t>https://apps.irs.gov/pub/epostcard/990/xml/2023/2023_TEOS_XML_07A.zip#202311849349301016_public.xml</t>
        </is>
      </c>
    </row>
    <row r="13">
      <c r="A13" s="40" t="inlineStr">
        <is>
          <t>FY2023</t>
        </is>
      </c>
      <c r="B13" s="8" t="inlineStr">
        <is>
          <t>2023-11-30</t>
        </is>
      </c>
      <c r="C13" s="8" t="inlineStr">
        <is>
          <t>990</t>
        </is>
      </c>
      <c r="D13" s="8" t="inlineStr">
        <is>
          <t>high</t>
        </is>
      </c>
      <c r="E13" s="8" t="inlineStr">
        <is>
          <t>fd3c0dfd-cd79-451b-9170-15ecbd0a193c</t>
        </is>
      </c>
      <c r="F13" s="8" t="inlineStr">
        <is>
          <t>202441699349300759</t>
        </is>
      </c>
      <c r="G13" s="8" t="inlineStr">
        <is>
          <t>claude-opus-5</t>
        </is>
      </c>
      <c r="H13" s="8" t="inlineStr">
        <is>
          <t>2026-09-14T20:40:22+00:00</t>
        </is>
      </c>
      <c r="I13" s="8" t="inlineStr">
        <is>
          <t>https://apps.irs.gov/pub/epostcard/990/xml/2024/2024_TEOS_XML_06A.zip#202441699349300759_public.xml</t>
        </is>
      </c>
    </row>
    <row r="14">
      <c r="A14" s="40" t="inlineStr">
        <is>
          <t>FY2024</t>
        </is>
      </c>
      <c r="B14" s="8" t="inlineStr">
        <is>
          <t>2024-11-30</t>
        </is>
      </c>
      <c r="C14" s="8" t="inlineStr">
        <is>
          <t>990</t>
        </is>
      </c>
      <c r="D14" s="8" t="inlineStr">
        <is>
          <t>high</t>
        </is>
      </c>
      <c r="E14" s="8" t="inlineStr">
        <is>
          <t>70e18b8c-3893-40b7-a929-a8f554c1eb79</t>
        </is>
      </c>
      <c r="F14" s="8" t="inlineStr">
        <is>
          <t>202501329349306675</t>
        </is>
      </c>
      <c r="G14" s="8" t="inlineStr">
        <is>
          <t>claude-opus-5</t>
        </is>
      </c>
      <c r="H14" s="8" t="inlineStr">
        <is>
          <t>2026-09-14T20:40:22+00:00</t>
        </is>
      </c>
      <c r="I14" s="8" t="inlineStr">
        <is>
          <t>https://apps.irs.gov/pub/epostcard/990/xml/2025/2025_TEOS_XML_05A.zip#202501329349306675_public.xml</t>
        </is>
      </c>
    </row>
    <row r="15">
      <c r="A15" s="40" t="inlineStr">
        <is>
          <t>FY2025</t>
        </is>
      </c>
      <c r="B15" s="8" t="inlineStr">
        <is>
          <t>2025-11-30</t>
        </is>
      </c>
      <c r="C15" s="8" t="inlineStr">
        <is>
          <t>990</t>
        </is>
      </c>
      <c r="D15" s="8" t="inlineStr">
        <is>
          <t>high</t>
        </is>
      </c>
      <c r="E15" s="8" t="inlineStr">
        <is>
          <t>806edcb5-94fc-4f6b-a64b-befa7dea3eaa</t>
        </is>
      </c>
      <c r="F15" s="8" t="inlineStr">
        <is>
          <t>202641699349300529</t>
        </is>
      </c>
      <c r="G15" s="8" t="inlineStr">
        <is>
          <t>claude-opus-5</t>
        </is>
      </c>
      <c r="H15" s="8" t="inlineStr">
        <is>
          <t>2026-09-14T20:40:22+00:00</t>
        </is>
      </c>
      <c r="I15" s="8" t="inlineStr">
        <is>
          <t>https://apps.irs.gov/pub/epostcard/990/xml/2026/2026_TEOS_XML_06A.zip#202641699349300529_public.xml</t>
        </is>
      </c>
    </row>
    <row r="17">
      <c r="A17" s="39" t="inlineStr">
        <is>
          <t>B. Figure citations (every figure on the statement tabs, keyed by cell)</t>
        </is>
      </c>
      <c r="B17" s="7" t="n"/>
      <c r="C17" s="7" t="n"/>
      <c r="D17" s="7" t="n"/>
      <c r="E17" s="7" t="n"/>
      <c r="F17" s="7" t="n"/>
      <c r="G17" s="7" t="n"/>
      <c r="H17" s="7" t="n"/>
      <c r="I17" s="7" t="n"/>
      <c r="J17" s="7" t="n"/>
      <c r="K17" s="7" t="n"/>
    </row>
    <row r="18">
      <c r="A18" s="5" t="inlineStr">
        <is>
          <t>Tab</t>
        </is>
      </c>
      <c r="B18" s="5" t="inlineStr">
        <is>
          <t>Cell</t>
        </is>
      </c>
      <c r="C18" s="5" t="inlineStr">
        <is>
          <t>Line item</t>
        </is>
      </c>
      <c r="D18" s="5" t="inlineStr">
        <is>
          <t>Form 990 line</t>
        </is>
      </c>
      <c r="E18" s="5" t="inlineStr">
        <is>
          <t>Key path</t>
        </is>
      </c>
      <c r="F18" s="5" t="inlineStr">
        <is>
          <t>Confidence</t>
        </is>
      </c>
      <c r="G18" s="5" t="inlineStr">
        <is>
          <t>As filed</t>
        </is>
      </c>
    </row>
    <row r="19">
      <c r="A19" s="8" t="inlineStr">
        <is>
          <t>Financial Statements</t>
        </is>
      </c>
      <c r="B19" s="8" t="inlineStr">
        <is>
          <t>B73</t>
        </is>
      </c>
      <c r="C19" s="8" t="inlineStr">
        <is>
          <t>11a. Gross income from members or shareholders</t>
        </is>
      </c>
      <c r="D19" s="8" t="inlineStr">
        <is>
          <t>11a</t>
        </is>
      </c>
      <c r="E19" s="8" t="inlineStr">
        <is>
          <t>part_v_other_irs_filings.members_and_shareholders_gross_income</t>
        </is>
      </c>
      <c r="F19" s="8" t="inlineStr">
        <is>
          <t>high</t>
        </is>
      </c>
      <c r="G19" s="9" t="n">
        <v>1787473</v>
      </c>
    </row>
    <row r="20">
      <c r="A20" s="8" t="inlineStr">
        <is>
          <t>Financial Statements</t>
        </is>
      </c>
      <c r="B20" s="8" t="inlineStr">
        <is>
          <t>C73</t>
        </is>
      </c>
      <c r="C20" s="8" t="inlineStr">
        <is>
          <t>11a. Gross income from members or shareholders</t>
        </is>
      </c>
      <c r="D20" s="8" t="inlineStr">
        <is>
          <t>11a</t>
        </is>
      </c>
      <c r="E20" s="8" t="inlineStr">
        <is>
          <t>part_v_other_irs_filings.members_and_shareholders_gross_income</t>
        </is>
      </c>
      <c r="F20" s="8" t="inlineStr">
        <is>
          <t>high</t>
        </is>
      </c>
      <c r="G20" s="9" t="n">
        <v>2123328</v>
      </c>
    </row>
    <row r="21">
      <c r="A21" s="8" t="inlineStr">
        <is>
          <t>Financial Statements</t>
        </is>
      </c>
      <c r="B21" s="8" t="inlineStr">
        <is>
          <t>D73</t>
        </is>
      </c>
      <c r="C21" s="8" t="inlineStr">
        <is>
          <t>11a. Gross income from members or shareholders</t>
        </is>
      </c>
      <c r="D21" s="8" t="inlineStr">
        <is>
          <t>11a</t>
        </is>
      </c>
      <c r="E21" s="8" t="inlineStr">
        <is>
          <t>part_v_other_irs_filings.members_and_shareholders_gross_income</t>
        </is>
      </c>
      <c r="F21" s="8" t="inlineStr">
        <is>
          <t>high</t>
        </is>
      </c>
      <c r="G21" s="9" t="n">
        <v>2217178</v>
      </c>
    </row>
    <row r="22">
      <c r="A22" s="8" t="inlineStr">
        <is>
          <t>Financial Statements</t>
        </is>
      </c>
      <c r="B22" s="8" t="inlineStr">
        <is>
          <t>E73</t>
        </is>
      </c>
      <c r="C22" s="8" t="inlineStr">
        <is>
          <t>11a. Gross income from members or shareholders</t>
        </is>
      </c>
      <c r="D22" s="8" t="inlineStr">
        <is>
          <t>11a</t>
        </is>
      </c>
      <c r="E22" s="8" t="inlineStr">
        <is>
          <t>part_v_other_irs_filings.members_and_shareholders_gross_income</t>
        </is>
      </c>
      <c r="F22" s="8" t="inlineStr">
        <is>
          <t>high</t>
        </is>
      </c>
      <c r="G22" s="9" t="n">
        <v>1240239</v>
      </c>
    </row>
    <row r="23">
      <c r="A23" s="8" t="inlineStr">
        <is>
          <t>Financial Statements</t>
        </is>
      </c>
      <c r="B23" s="8" t="inlineStr">
        <is>
          <t>F73</t>
        </is>
      </c>
      <c r="C23" s="8" t="inlineStr">
        <is>
          <t>11a. Gross income from members or shareholders</t>
        </is>
      </c>
      <c r="D23" s="8" t="inlineStr">
        <is>
          <t>11a</t>
        </is>
      </c>
      <c r="E23" s="8" t="inlineStr">
        <is>
          <t>part_v_other_irs_filings.members_and_shareholders_gross_income</t>
        </is>
      </c>
      <c r="F23" s="8" t="inlineStr">
        <is>
          <t>high</t>
        </is>
      </c>
      <c r="G23" s="9" t="n">
        <v>1718834</v>
      </c>
    </row>
    <row r="24">
      <c r="A24" s="8" t="inlineStr">
        <is>
          <t>Financial Statements</t>
        </is>
      </c>
      <c r="B24" s="8" t="inlineStr">
        <is>
          <t>G73</t>
        </is>
      </c>
      <c r="C24" s="8" t="inlineStr">
        <is>
          <t>11a. Gross income from members or shareholders</t>
        </is>
      </c>
      <c r="D24" s="8" t="inlineStr">
        <is>
          <t>11a</t>
        </is>
      </c>
      <c r="E24" s="8" t="inlineStr">
        <is>
          <t>part_v_other_irs_filings.members_and_shareholders_gross_income</t>
        </is>
      </c>
      <c r="F24" s="8" t="inlineStr">
        <is>
          <t>high</t>
        </is>
      </c>
      <c r="G24" s="9" t="n">
        <v>1909951</v>
      </c>
    </row>
    <row r="25">
      <c r="A25" s="8" t="inlineStr">
        <is>
          <t>Financial Statements</t>
        </is>
      </c>
      <c r="B25" s="8" t="inlineStr">
        <is>
          <t>B74</t>
        </is>
      </c>
      <c r="C25" s="8" t="inlineStr">
        <is>
          <t>11b. Gross income from other sources</t>
        </is>
      </c>
      <c r="D25" s="8" t="inlineStr">
        <is>
          <t>11b</t>
        </is>
      </c>
      <c r="E25" s="8" t="inlineStr">
        <is>
          <t>part_v_other_irs_filings.other_sources_gross_income</t>
        </is>
      </c>
      <c r="F25" s="8" t="inlineStr">
        <is>
          <t>high</t>
        </is>
      </c>
      <c r="G25" s="9" t="n">
        <v>611797</v>
      </c>
    </row>
    <row r="26">
      <c r="A26" s="8" t="inlineStr">
        <is>
          <t>Financial Statements</t>
        </is>
      </c>
      <c r="B26" s="8" t="inlineStr">
        <is>
          <t>C74</t>
        </is>
      </c>
      <c r="C26" s="8" t="inlineStr">
        <is>
          <t>11b. Gross income from other sources</t>
        </is>
      </c>
      <c r="D26" s="8" t="inlineStr">
        <is>
          <t>11b</t>
        </is>
      </c>
      <c r="E26" s="8" t="inlineStr">
        <is>
          <t>part_v_other_irs_filings.other_sources_gross_income</t>
        </is>
      </c>
      <c r="F26" s="8" t="inlineStr">
        <is>
          <t>high</t>
        </is>
      </c>
      <c r="G26" s="9" t="n">
        <v>27186</v>
      </c>
    </row>
    <row r="27">
      <c r="A27" s="8" t="inlineStr">
        <is>
          <t>Financial Statements</t>
        </is>
      </c>
      <c r="B27" s="8" t="inlineStr">
        <is>
          <t>D74</t>
        </is>
      </c>
      <c r="C27" s="8" t="inlineStr">
        <is>
          <t>11b. Gross income from other sources</t>
        </is>
      </c>
      <c r="D27" s="8" t="inlineStr">
        <is>
          <t>11b</t>
        </is>
      </c>
      <c r="E27" s="8" t="inlineStr">
        <is>
          <t>part_v_other_irs_filings.other_sources_gross_income</t>
        </is>
      </c>
      <c r="F27" s="8" t="inlineStr">
        <is>
          <t>high</t>
        </is>
      </c>
      <c r="G27" s="9" t="n">
        <v>30951</v>
      </c>
    </row>
    <row r="28">
      <c r="A28" s="8" t="inlineStr">
        <is>
          <t>Financial Statements</t>
        </is>
      </c>
      <c r="B28" s="8" t="inlineStr">
        <is>
          <t>E74</t>
        </is>
      </c>
      <c r="C28" s="8" t="inlineStr">
        <is>
          <t>11b. Gross income from other sources</t>
        </is>
      </c>
      <c r="D28" s="8" t="inlineStr">
        <is>
          <t>11b</t>
        </is>
      </c>
      <c r="E28" s="8" t="inlineStr">
        <is>
          <t>part_v_other_irs_filings.other_sources_gross_income</t>
        </is>
      </c>
      <c r="F28" s="8" t="inlineStr">
        <is>
          <t>high</t>
        </is>
      </c>
      <c r="G28" s="9" t="n">
        <v>37391</v>
      </c>
    </row>
    <row r="29">
      <c r="A29" s="8" t="inlineStr">
        <is>
          <t>Financial Statements</t>
        </is>
      </c>
      <c r="B29" s="8" t="inlineStr">
        <is>
          <t>F74</t>
        </is>
      </c>
      <c r="C29" s="8" t="inlineStr">
        <is>
          <t>11b. Gross income from other sources</t>
        </is>
      </c>
      <c r="D29" s="8" t="inlineStr">
        <is>
          <t>11b</t>
        </is>
      </c>
      <c r="E29" s="8" t="inlineStr">
        <is>
          <t>part_v_other_irs_filings.other_sources_gross_income</t>
        </is>
      </c>
      <c r="F29" s="8" t="inlineStr">
        <is>
          <t>high</t>
        </is>
      </c>
      <c r="G29" s="9" t="n">
        <v>52970</v>
      </c>
    </row>
    <row r="30">
      <c r="A30" s="8" t="inlineStr">
        <is>
          <t>Financial Statements</t>
        </is>
      </c>
      <c r="B30" s="8" t="inlineStr">
        <is>
          <t>G74</t>
        </is>
      </c>
      <c r="C30" s="8" t="inlineStr">
        <is>
          <t>11b. Gross income from other sources</t>
        </is>
      </c>
      <c r="D30" s="8" t="inlineStr">
        <is>
          <t>11b</t>
        </is>
      </c>
      <c r="E30" s="8" t="inlineStr">
        <is>
          <t>part_v_other_irs_filings.other_sources_gross_income</t>
        </is>
      </c>
      <c r="F30" s="8" t="inlineStr">
        <is>
          <t>high</t>
        </is>
      </c>
      <c r="G30" s="9" t="n">
        <v>43022</v>
      </c>
    </row>
    <row r="31">
      <c r="A31" s="8" t="inlineStr">
        <is>
          <t>Revenue (detail)</t>
        </is>
      </c>
      <c r="B31" s="8" t="inlineStr">
        <is>
          <t>B8</t>
        </is>
      </c>
      <c r="C31" s="8" t="inlineStr">
        <is>
          <t>2g. Total program service revenue</t>
        </is>
      </c>
      <c r="D31" s="8" t="inlineStr">
        <is>
          <t>2g</t>
        </is>
      </c>
      <c r="E31" s="8" t="inlineStr">
        <is>
          <t>part_viii_revenue.total_program_service_revenue</t>
        </is>
      </c>
      <c r="F31" s="8" t="inlineStr">
        <is>
          <t>high</t>
        </is>
      </c>
      <c r="G31" s="9" t="n">
        <v>2381777</v>
      </c>
    </row>
    <row r="32">
      <c r="A32" s="8" t="inlineStr">
        <is>
          <t>Revenue (detail)</t>
        </is>
      </c>
      <c r="B32" s="8" t="inlineStr">
        <is>
          <t>C8</t>
        </is>
      </c>
      <c r="C32" s="8" t="inlineStr">
        <is>
          <t>2g. Total program service revenue</t>
        </is>
      </c>
      <c r="D32" s="8" t="inlineStr">
        <is>
          <t>2g</t>
        </is>
      </c>
      <c r="E32" s="8" t="inlineStr">
        <is>
          <t>part_viii_revenue.total_program_service_revenue</t>
        </is>
      </c>
      <c r="F32" s="8" t="inlineStr">
        <is>
          <t>high</t>
        </is>
      </c>
      <c r="G32" s="9" t="n">
        <v>2125290</v>
      </c>
    </row>
    <row r="33">
      <c r="A33" s="8" t="inlineStr">
        <is>
          <t>Revenue (detail)</t>
        </is>
      </c>
      <c r="B33" s="8" t="inlineStr">
        <is>
          <t>D8</t>
        </is>
      </c>
      <c r="C33" s="8" t="inlineStr">
        <is>
          <t>2g. Total program service revenue</t>
        </is>
      </c>
      <c r="D33" s="8" t="inlineStr">
        <is>
          <t>2g</t>
        </is>
      </c>
      <c r="E33" s="8" t="inlineStr">
        <is>
          <t>part_viii_revenue.total_program_service_revenue</t>
        </is>
      </c>
      <c r="F33" s="8" t="inlineStr">
        <is>
          <t>high</t>
        </is>
      </c>
      <c r="G33" s="9" t="n">
        <v>2217179</v>
      </c>
    </row>
    <row r="34">
      <c r="A34" s="8" t="inlineStr">
        <is>
          <t>Revenue (detail)</t>
        </is>
      </c>
      <c r="B34" s="8" t="inlineStr">
        <is>
          <t>E8</t>
        </is>
      </c>
      <c r="C34" s="8" t="inlineStr">
        <is>
          <t>2g. Total program service revenue</t>
        </is>
      </c>
      <c r="D34" s="8" t="inlineStr">
        <is>
          <t>2g</t>
        </is>
      </c>
      <c r="E34" s="8" t="inlineStr">
        <is>
          <t>part_viii_revenue.total_program_service_revenue</t>
        </is>
      </c>
      <c r="F34" s="8" t="inlineStr">
        <is>
          <t>high</t>
        </is>
      </c>
      <c r="G34" s="9" t="n">
        <v>1240240</v>
      </c>
    </row>
    <row r="35">
      <c r="A35" s="8" t="inlineStr">
        <is>
          <t>Revenue (detail)</t>
        </is>
      </c>
      <c r="B35" s="8" t="inlineStr">
        <is>
          <t>F8</t>
        </is>
      </c>
      <c r="C35" s="8" t="inlineStr">
        <is>
          <t>2g. Total program service revenue</t>
        </is>
      </c>
      <c r="D35" s="8" t="inlineStr">
        <is>
          <t>2g</t>
        </is>
      </c>
      <c r="E35" s="8" t="inlineStr">
        <is>
          <t>part_viii_revenue.total_program_service_revenue</t>
        </is>
      </c>
      <c r="F35" s="8" t="inlineStr">
        <is>
          <t>high</t>
        </is>
      </c>
      <c r="G35" s="9" t="n">
        <v>1718834</v>
      </c>
    </row>
    <row r="36">
      <c r="A36" s="8" t="inlineStr">
        <is>
          <t>Revenue (detail)</t>
        </is>
      </c>
      <c r="B36" s="8" t="inlineStr">
        <is>
          <t>G8</t>
        </is>
      </c>
      <c r="C36" s="8" t="inlineStr">
        <is>
          <t>2g. Total program service revenue</t>
        </is>
      </c>
      <c r="D36" s="8" t="inlineStr">
        <is>
          <t>2g</t>
        </is>
      </c>
      <c r="E36" s="8" t="inlineStr">
        <is>
          <t>part_viii_revenue.total_program_service_revenue</t>
        </is>
      </c>
      <c r="F36" s="8" t="inlineStr">
        <is>
          <t>high</t>
        </is>
      </c>
      <c r="G36" s="9" t="n">
        <v>1909946</v>
      </c>
    </row>
    <row r="37">
      <c r="A37" s="8" t="inlineStr">
        <is>
          <t>Revenue (detail)</t>
        </is>
      </c>
      <c r="B37" s="8" t="inlineStr">
        <is>
          <t>B9</t>
        </is>
      </c>
      <c r="C37" s="8" t="inlineStr">
        <is>
          <t>3. Investment income</t>
        </is>
      </c>
      <c r="D37" s="8" t="inlineStr">
        <is>
          <t>3</t>
        </is>
      </c>
      <c r="E37" s="8" t="inlineStr">
        <is>
          <t>part_viii_revenue.investment_income</t>
        </is>
      </c>
      <c r="F37" s="8" t="inlineStr">
        <is>
          <t>high</t>
        </is>
      </c>
      <c r="G37" s="9" t="n">
        <v>17493</v>
      </c>
    </row>
    <row r="38">
      <c r="A38" s="8" t="inlineStr">
        <is>
          <t>Revenue (detail)</t>
        </is>
      </c>
      <c r="B38" s="8" t="inlineStr">
        <is>
          <t>C9</t>
        </is>
      </c>
      <c r="C38" s="8" t="inlineStr">
        <is>
          <t>3. Investment income</t>
        </is>
      </c>
      <c r="D38" s="8" t="inlineStr">
        <is>
          <t>3</t>
        </is>
      </c>
      <c r="E38" s="8" t="inlineStr">
        <is>
          <t>part_viii_revenue.investment_income</t>
        </is>
      </c>
      <c r="F38" s="8" t="inlineStr">
        <is>
          <t>high</t>
        </is>
      </c>
      <c r="G38" s="9" t="n">
        <v>25224</v>
      </c>
    </row>
    <row r="39">
      <c r="A39" s="8" t="inlineStr">
        <is>
          <t>Revenue (detail)</t>
        </is>
      </c>
      <c r="B39" s="8" t="inlineStr">
        <is>
          <t>D9</t>
        </is>
      </c>
      <c r="C39" s="8" t="inlineStr">
        <is>
          <t>3. Investment income</t>
        </is>
      </c>
      <c r="D39" s="8" t="inlineStr">
        <is>
          <t>3</t>
        </is>
      </c>
      <c r="E39" s="8" t="inlineStr">
        <is>
          <t>part_viii_revenue.investment_income</t>
        </is>
      </c>
      <c r="F39" s="8" t="inlineStr">
        <is>
          <t>high</t>
        </is>
      </c>
      <c r="G39" s="9" t="n">
        <v>29951</v>
      </c>
    </row>
    <row r="40">
      <c r="A40" s="8" t="inlineStr">
        <is>
          <t>Revenue (detail)</t>
        </is>
      </c>
      <c r="B40" s="8" t="inlineStr">
        <is>
          <t>E9</t>
        </is>
      </c>
      <c r="C40" s="8" t="inlineStr">
        <is>
          <t>3. Investment income</t>
        </is>
      </c>
      <c r="D40" s="8" t="inlineStr">
        <is>
          <t>3</t>
        </is>
      </c>
      <c r="E40" s="8" t="inlineStr">
        <is>
          <t>part_viii_revenue.investment_income</t>
        </is>
      </c>
      <c r="F40" s="8" t="inlineStr">
        <is>
          <t>high</t>
        </is>
      </c>
      <c r="G40" s="9" t="n">
        <v>37391</v>
      </c>
    </row>
    <row r="41">
      <c r="A41" s="8" t="inlineStr">
        <is>
          <t>Revenue (detail)</t>
        </is>
      </c>
      <c r="B41" s="8" t="inlineStr">
        <is>
          <t>F9</t>
        </is>
      </c>
      <c r="C41" s="8" t="inlineStr">
        <is>
          <t>3. Investment income</t>
        </is>
      </c>
      <c r="D41" s="8" t="inlineStr">
        <is>
          <t>3</t>
        </is>
      </c>
      <c r="E41" s="8" t="inlineStr">
        <is>
          <t>part_viii_revenue.investment_income</t>
        </is>
      </c>
      <c r="F41" s="8" t="inlineStr">
        <is>
          <t>high</t>
        </is>
      </c>
      <c r="G41" s="9" t="n">
        <v>52970</v>
      </c>
    </row>
    <row r="42">
      <c r="A42" s="8" t="inlineStr">
        <is>
          <t>Revenue (detail)</t>
        </is>
      </c>
      <c r="B42" s="8" t="inlineStr">
        <is>
          <t>G9</t>
        </is>
      </c>
      <c r="C42" s="8" t="inlineStr">
        <is>
          <t>3. Investment income</t>
        </is>
      </c>
      <c r="D42" s="8" t="inlineStr">
        <is>
          <t>3</t>
        </is>
      </c>
      <c r="E42" s="8" t="inlineStr">
        <is>
          <t>part_viii_revenue.investment_income</t>
        </is>
      </c>
      <c r="F42" s="8" t="inlineStr">
        <is>
          <t>high</t>
        </is>
      </c>
      <c r="G42" s="9" t="n">
        <v>43022</v>
      </c>
    </row>
    <row r="43">
      <c r="A43" s="8" t="inlineStr">
        <is>
          <t>Revenue (detail)</t>
        </is>
      </c>
      <c r="B43" s="8" t="inlineStr">
        <is>
          <t>D11</t>
        </is>
      </c>
      <c r="C43" s="8" t="inlineStr">
        <is>
          <t>7d. Net gain/(loss) from investment sales</t>
        </is>
      </c>
      <c r="D43" s="8" t="inlineStr">
        <is>
          <t>7d</t>
        </is>
      </c>
      <c r="E43" s="8" t="inlineStr">
        <is>
          <t>part_viii_revenue.net_gain_or_loss_investments</t>
        </is>
      </c>
      <c r="F43" s="8" t="inlineStr">
        <is>
          <t>high</t>
        </is>
      </c>
      <c r="G43" s="9" t="n">
        <v>1000</v>
      </c>
    </row>
    <row r="44">
      <c r="A44" s="8" t="inlineStr">
        <is>
          <t>Revenue (detail)</t>
        </is>
      </c>
      <c r="B44" s="8" t="inlineStr">
        <is>
          <t>E11</t>
        </is>
      </c>
      <c r="C44" s="8" t="inlineStr">
        <is>
          <t>7d. Net gain/(loss) from investment sales</t>
        </is>
      </c>
      <c r="D44" s="8" t="inlineStr">
        <is>
          <t>7d</t>
        </is>
      </c>
      <c r="E44" s="8" t="inlineStr">
        <is>
          <t>part_viii_revenue.net_gain_or_loss_investments</t>
        </is>
      </c>
      <c r="F44" s="8" t="inlineStr">
        <is>
          <t>high</t>
        </is>
      </c>
      <c r="G44" s="9" t="n">
        <v>-1854</v>
      </c>
    </row>
    <row r="45">
      <c r="A45" s="8" t="inlineStr">
        <is>
          <t>Revenue (detail)</t>
        </is>
      </c>
      <c r="B45" s="8" t="inlineStr">
        <is>
          <t>F11</t>
        </is>
      </c>
      <c r="C45" s="8" t="inlineStr">
        <is>
          <t>7d. Net gain/(loss) from investment sales</t>
        </is>
      </c>
      <c r="D45" s="8" t="inlineStr">
        <is>
          <t>7d</t>
        </is>
      </c>
      <c r="E45" s="8" t="inlineStr">
        <is>
          <t>part_viii_revenue.net_gain_or_loss_investments</t>
        </is>
      </c>
      <c r="F45" s="8" t="inlineStr">
        <is>
          <t>high</t>
        </is>
      </c>
      <c r="G45" s="9" t="n">
        <v>-2893</v>
      </c>
    </row>
    <row r="46">
      <c r="A46" s="8" t="inlineStr">
        <is>
          <t>Operating expenses (detail)</t>
        </is>
      </c>
      <c r="B46" s="8" t="inlineStr">
        <is>
          <t>B7</t>
        </is>
      </c>
      <c r="C46" s="8" t="inlineStr">
        <is>
          <t>7. Other salaries and wages</t>
        </is>
      </c>
      <c r="D46" s="8" t="inlineStr">
        <is>
          <t>7</t>
        </is>
      </c>
      <c r="E46" s="8" t="inlineStr">
        <is>
          <t>part_ix_expenses.other_salaries_and_wages</t>
        </is>
      </c>
      <c r="F46" s="8" t="inlineStr">
        <is>
          <t>high</t>
        </is>
      </c>
      <c r="G46" s="9" t="n">
        <v>250956</v>
      </c>
    </row>
    <row r="47">
      <c r="A47" s="8" t="inlineStr">
        <is>
          <t>Operating expenses (detail)</t>
        </is>
      </c>
      <c r="B47" s="8" t="inlineStr">
        <is>
          <t>C7</t>
        </is>
      </c>
      <c r="C47" s="8" t="inlineStr">
        <is>
          <t>7. Other salaries and wages</t>
        </is>
      </c>
      <c r="D47" s="8" t="inlineStr">
        <is>
          <t>7</t>
        </is>
      </c>
      <c r="E47" s="8" t="inlineStr">
        <is>
          <t>part_ix_expenses.other_salaries_and_wages</t>
        </is>
      </c>
      <c r="F47" s="8" t="inlineStr">
        <is>
          <t>high</t>
        </is>
      </c>
      <c r="G47" s="9" t="n">
        <v>265470</v>
      </c>
    </row>
    <row r="48">
      <c r="A48" s="8" t="inlineStr">
        <is>
          <t>Operating expenses (detail)</t>
        </is>
      </c>
      <c r="B48" s="8" t="inlineStr">
        <is>
          <t>D7</t>
        </is>
      </c>
      <c r="C48" s="8" t="inlineStr">
        <is>
          <t>7. Other salaries and wages</t>
        </is>
      </c>
      <c r="D48" s="8" t="inlineStr">
        <is>
          <t>7</t>
        </is>
      </c>
      <c r="E48" s="8" t="inlineStr">
        <is>
          <t>part_ix_expenses.other_salaries_and_wages</t>
        </is>
      </c>
      <c r="F48" s="8" t="inlineStr">
        <is>
          <t>high</t>
        </is>
      </c>
      <c r="G48" s="9" t="n">
        <v>261943</v>
      </c>
    </row>
    <row r="49">
      <c r="A49" s="8" t="inlineStr">
        <is>
          <t>Operating expenses (detail)</t>
        </is>
      </c>
      <c r="B49" s="8" t="inlineStr">
        <is>
          <t>E7</t>
        </is>
      </c>
      <c r="C49" s="8" t="inlineStr">
        <is>
          <t>7. Other salaries and wages</t>
        </is>
      </c>
      <c r="D49" s="8" t="inlineStr">
        <is>
          <t>7</t>
        </is>
      </c>
      <c r="E49" s="8" t="inlineStr">
        <is>
          <t>part_ix_expenses.other_salaries_and_wages</t>
        </is>
      </c>
      <c r="F49" s="8" t="inlineStr">
        <is>
          <t>high</t>
        </is>
      </c>
      <c r="G49" s="9" t="n">
        <v>292522</v>
      </c>
    </row>
    <row r="50">
      <c r="A50" s="8" t="inlineStr">
        <is>
          <t>Operating expenses (detail)</t>
        </is>
      </c>
      <c r="B50" s="8" t="inlineStr">
        <is>
          <t>F7</t>
        </is>
      </c>
      <c r="C50" s="8" t="inlineStr">
        <is>
          <t>7. Other salaries and wages</t>
        </is>
      </c>
      <c r="D50" s="8" t="inlineStr">
        <is>
          <t>7</t>
        </is>
      </c>
      <c r="E50" s="8" t="inlineStr">
        <is>
          <t>part_ix_expenses.other_salaries_and_wages</t>
        </is>
      </c>
      <c r="F50" s="8" t="inlineStr">
        <is>
          <t>high</t>
        </is>
      </c>
      <c r="G50" s="9" t="n">
        <v>429089</v>
      </c>
    </row>
    <row r="51">
      <c r="A51" s="8" t="inlineStr">
        <is>
          <t>Operating expenses (detail)</t>
        </is>
      </c>
      <c r="B51" s="8" t="inlineStr">
        <is>
          <t>G7</t>
        </is>
      </c>
      <c r="C51" s="8" t="inlineStr">
        <is>
          <t>7. Other salaries and wages</t>
        </is>
      </c>
      <c r="D51" s="8" t="inlineStr">
        <is>
          <t>7</t>
        </is>
      </c>
      <c r="E51" s="8" t="inlineStr">
        <is>
          <t>part_ix_expenses.other_salaries_and_wages</t>
        </is>
      </c>
      <c r="F51" s="8" t="inlineStr">
        <is>
          <t>high</t>
        </is>
      </c>
      <c r="G51" s="9" t="n">
        <v>432197</v>
      </c>
    </row>
    <row r="52">
      <c r="A52" s="8" t="inlineStr">
        <is>
          <t>Operating expenses (detail)</t>
        </is>
      </c>
      <c r="B52" s="8" t="inlineStr">
        <is>
          <t>B8</t>
        </is>
      </c>
      <c r="C52" s="8" t="inlineStr">
        <is>
          <t>8. Pension plan accruals and contributions</t>
        </is>
      </c>
      <c r="D52" s="8" t="inlineStr">
        <is>
          <t>8</t>
        </is>
      </c>
      <c r="E52" s="8" t="inlineStr">
        <is>
          <t>part_ix_expenses.pension_plan_contributions</t>
        </is>
      </c>
      <c r="F52" s="8" t="inlineStr">
        <is>
          <t>high</t>
        </is>
      </c>
      <c r="G52" s="9" t="n">
        <v>21538</v>
      </c>
    </row>
    <row r="53">
      <c r="A53" s="8" t="inlineStr">
        <is>
          <t>Operating expenses (detail)</t>
        </is>
      </c>
      <c r="B53" s="8" t="inlineStr">
        <is>
          <t>C8</t>
        </is>
      </c>
      <c r="C53" s="8" t="inlineStr">
        <is>
          <t>8. Pension plan accruals and contributions</t>
        </is>
      </c>
      <c r="D53" s="8" t="inlineStr">
        <is>
          <t>8</t>
        </is>
      </c>
      <c r="E53" s="8" t="inlineStr">
        <is>
          <t>part_ix_expenses.pension_plan_contributions</t>
        </is>
      </c>
      <c r="F53" s="8" t="inlineStr">
        <is>
          <t>high</t>
        </is>
      </c>
      <c r="G53" s="9" t="n">
        <v>24604</v>
      </c>
    </row>
    <row r="54">
      <c r="A54" s="8" t="inlineStr">
        <is>
          <t>Operating expenses (detail)</t>
        </is>
      </c>
      <c r="B54" s="8" t="inlineStr">
        <is>
          <t>D8</t>
        </is>
      </c>
      <c r="C54" s="8" t="inlineStr">
        <is>
          <t>8. Pension plan accruals and contributions</t>
        </is>
      </c>
      <c r="D54" s="8" t="inlineStr">
        <is>
          <t>8</t>
        </is>
      </c>
      <c r="E54" s="8" t="inlineStr">
        <is>
          <t>part_ix_expenses.pension_plan_contributions</t>
        </is>
      </c>
      <c r="F54" s="8" t="inlineStr">
        <is>
          <t>high</t>
        </is>
      </c>
      <c r="G54" s="9" t="n">
        <v>17931</v>
      </c>
    </row>
    <row r="55">
      <c r="A55" s="8" t="inlineStr">
        <is>
          <t>Operating expenses (detail)</t>
        </is>
      </c>
      <c r="B55" s="8" t="inlineStr">
        <is>
          <t>E8</t>
        </is>
      </c>
      <c r="C55" s="8" t="inlineStr">
        <is>
          <t>8. Pension plan accruals and contributions</t>
        </is>
      </c>
      <c r="D55" s="8" t="inlineStr">
        <is>
          <t>8</t>
        </is>
      </c>
      <c r="E55" s="8" t="inlineStr">
        <is>
          <t>part_ix_expenses.pension_plan_contributions</t>
        </is>
      </c>
      <c r="F55" s="8" t="inlineStr">
        <is>
          <t>high</t>
        </is>
      </c>
      <c r="G55" s="9" t="n">
        <v>22339</v>
      </c>
    </row>
    <row r="56">
      <c r="A56" s="8" t="inlineStr">
        <is>
          <t>Operating expenses (detail)</t>
        </is>
      </c>
      <c r="B56" s="8" t="inlineStr">
        <is>
          <t>F8</t>
        </is>
      </c>
      <c r="C56" s="8" t="inlineStr">
        <is>
          <t>8. Pension plan accruals and contributions</t>
        </is>
      </c>
      <c r="D56" s="8" t="inlineStr">
        <is>
          <t>8</t>
        </is>
      </c>
      <c r="E56" s="8" t="inlineStr">
        <is>
          <t>part_ix_expenses.pension_plan_contributions</t>
        </is>
      </c>
      <c r="F56" s="8" t="inlineStr">
        <is>
          <t>high</t>
        </is>
      </c>
      <c r="G56" s="9" t="n">
        <v>37350</v>
      </c>
    </row>
    <row r="57">
      <c r="A57" s="8" t="inlineStr">
        <is>
          <t>Operating expenses (detail)</t>
        </is>
      </c>
      <c r="B57" s="8" t="inlineStr">
        <is>
          <t>G8</t>
        </is>
      </c>
      <c r="C57" s="8" t="inlineStr">
        <is>
          <t>8. Pension plan accruals and contributions</t>
        </is>
      </c>
      <c r="D57" s="8" t="inlineStr">
        <is>
          <t>8</t>
        </is>
      </c>
      <c r="E57" s="8" t="inlineStr">
        <is>
          <t>part_ix_expenses.pension_plan_contributions</t>
        </is>
      </c>
      <c r="F57" s="8" t="inlineStr">
        <is>
          <t>high</t>
        </is>
      </c>
      <c r="G57" s="9" t="n">
        <v>26133</v>
      </c>
    </row>
    <row r="58">
      <c r="A58" s="8" t="inlineStr">
        <is>
          <t>Operating expenses (detail)</t>
        </is>
      </c>
      <c r="B58" s="8" t="inlineStr">
        <is>
          <t>B9</t>
        </is>
      </c>
      <c r="C58" s="8" t="inlineStr">
        <is>
          <t>9. Other employee benefits</t>
        </is>
      </c>
      <c r="D58" s="8" t="inlineStr">
        <is>
          <t>9</t>
        </is>
      </c>
      <c r="E58" s="8" t="inlineStr">
        <is>
          <t>part_ix_expenses.other_employee_benefits</t>
        </is>
      </c>
      <c r="F58" s="8" t="inlineStr">
        <is>
          <t>high</t>
        </is>
      </c>
      <c r="G58" s="9" t="n">
        <v>42593</v>
      </c>
    </row>
    <row r="59">
      <c r="A59" s="8" t="inlineStr">
        <is>
          <t>Operating expenses (detail)</t>
        </is>
      </c>
      <c r="B59" s="8" t="inlineStr">
        <is>
          <t>C9</t>
        </is>
      </c>
      <c r="C59" s="8" t="inlineStr">
        <is>
          <t>9. Other employee benefits</t>
        </is>
      </c>
      <c r="D59" s="8" t="inlineStr">
        <is>
          <t>9</t>
        </is>
      </c>
      <c r="E59" s="8" t="inlineStr">
        <is>
          <t>part_ix_expenses.other_employee_benefits</t>
        </is>
      </c>
      <c r="F59" s="8" t="inlineStr">
        <is>
          <t>high</t>
        </is>
      </c>
      <c r="G59" s="9" t="n">
        <v>42491</v>
      </c>
    </row>
    <row r="60">
      <c r="A60" s="8" t="inlineStr">
        <is>
          <t>Operating expenses (detail)</t>
        </is>
      </c>
      <c r="B60" s="8" t="inlineStr">
        <is>
          <t>D9</t>
        </is>
      </c>
      <c r="C60" s="8" t="inlineStr">
        <is>
          <t>9. Other employee benefits</t>
        </is>
      </c>
      <c r="D60" s="8" t="inlineStr">
        <is>
          <t>9</t>
        </is>
      </c>
      <c r="E60" s="8" t="inlineStr">
        <is>
          <t>part_ix_expenses.other_employee_benefits</t>
        </is>
      </c>
      <c r="F60" s="8" t="inlineStr">
        <is>
          <t>high</t>
        </is>
      </c>
      <c r="G60" s="9" t="n">
        <v>41571</v>
      </c>
    </row>
    <row r="61">
      <c r="A61" s="8" t="inlineStr">
        <is>
          <t>Operating expenses (detail)</t>
        </is>
      </c>
      <c r="B61" s="8" t="inlineStr">
        <is>
          <t>E9</t>
        </is>
      </c>
      <c r="C61" s="8" t="inlineStr">
        <is>
          <t>9. Other employee benefits</t>
        </is>
      </c>
      <c r="D61" s="8" t="inlineStr">
        <is>
          <t>9</t>
        </is>
      </c>
      <c r="E61" s="8" t="inlineStr">
        <is>
          <t>part_ix_expenses.other_employee_benefits</t>
        </is>
      </c>
      <c r="F61" s="8" t="inlineStr">
        <is>
          <t>high</t>
        </is>
      </c>
      <c r="G61" s="9" t="n">
        <v>38478</v>
      </c>
    </row>
    <row r="62">
      <c r="A62" s="8" t="inlineStr">
        <is>
          <t>Operating expenses (detail)</t>
        </is>
      </c>
      <c r="B62" s="8" t="inlineStr">
        <is>
          <t>F9</t>
        </is>
      </c>
      <c r="C62" s="8" t="inlineStr">
        <is>
          <t>9. Other employee benefits</t>
        </is>
      </c>
      <c r="D62" s="8" t="inlineStr">
        <is>
          <t>9</t>
        </is>
      </c>
      <c r="E62" s="8" t="inlineStr">
        <is>
          <t>part_ix_expenses.other_employee_benefits</t>
        </is>
      </c>
      <c r="F62" s="8" t="inlineStr">
        <is>
          <t>high</t>
        </is>
      </c>
      <c r="G62" s="9" t="n">
        <v>57068</v>
      </c>
    </row>
    <row r="63">
      <c r="A63" s="8" t="inlineStr">
        <is>
          <t>Operating expenses (detail)</t>
        </is>
      </c>
      <c r="B63" s="8" t="inlineStr">
        <is>
          <t>G9</t>
        </is>
      </c>
      <c r="C63" s="8" t="inlineStr">
        <is>
          <t>9. Other employee benefits</t>
        </is>
      </c>
      <c r="D63" s="8" t="inlineStr">
        <is>
          <t>9</t>
        </is>
      </c>
      <c r="E63" s="8" t="inlineStr">
        <is>
          <t>part_ix_expenses.other_employee_benefits</t>
        </is>
      </c>
      <c r="F63" s="8" t="inlineStr">
        <is>
          <t>high</t>
        </is>
      </c>
      <c r="G63" s="9" t="n">
        <v>64240</v>
      </c>
    </row>
    <row r="64">
      <c r="A64" s="8" t="inlineStr">
        <is>
          <t>Operating expenses (detail)</t>
        </is>
      </c>
      <c r="B64" s="8" t="inlineStr">
        <is>
          <t>B10</t>
        </is>
      </c>
      <c r="C64" s="8" t="inlineStr">
        <is>
          <t>10. Payroll taxes</t>
        </is>
      </c>
      <c r="D64" s="8" t="inlineStr">
        <is>
          <t>10</t>
        </is>
      </c>
      <c r="E64" s="8" t="inlineStr">
        <is>
          <t>part_ix_expenses.payroll_taxes</t>
        </is>
      </c>
      <c r="F64" s="8" t="inlineStr">
        <is>
          <t>high</t>
        </is>
      </c>
      <c r="G64" s="9" t="n">
        <v>19990</v>
      </c>
    </row>
    <row r="65">
      <c r="A65" s="8" t="inlineStr">
        <is>
          <t>Operating expenses (detail)</t>
        </is>
      </c>
      <c r="B65" s="8" t="inlineStr">
        <is>
          <t>C10</t>
        </is>
      </c>
      <c r="C65" s="8" t="inlineStr">
        <is>
          <t>10. Payroll taxes</t>
        </is>
      </c>
      <c r="D65" s="8" t="inlineStr">
        <is>
          <t>10</t>
        </is>
      </c>
      <c r="E65" s="8" t="inlineStr">
        <is>
          <t>part_ix_expenses.payroll_taxes</t>
        </is>
      </c>
      <c r="F65" s="8" t="inlineStr">
        <is>
          <t>high</t>
        </is>
      </c>
      <c r="G65" s="9" t="n">
        <v>21415</v>
      </c>
    </row>
    <row r="66">
      <c r="A66" s="8" t="inlineStr">
        <is>
          <t>Operating expenses (detail)</t>
        </is>
      </c>
      <c r="B66" s="8" t="inlineStr">
        <is>
          <t>D10</t>
        </is>
      </c>
      <c r="C66" s="8" t="inlineStr">
        <is>
          <t>10. Payroll taxes</t>
        </is>
      </c>
      <c r="D66" s="8" t="inlineStr">
        <is>
          <t>10</t>
        </is>
      </c>
      <c r="E66" s="8" t="inlineStr">
        <is>
          <t>part_ix_expenses.payroll_taxes</t>
        </is>
      </c>
      <c r="F66" s="8" t="inlineStr">
        <is>
          <t>high</t>
        </is>
      </c>
      <c r="G66" s="9" t="n">
        <v>22247</v>
      </c>
    </row>
    <row r="67">
      <c r="A67" s="8" t="inlineStr">
        <is>
          <t>Operating expenses (detail)</t>
        </is>
      </c>
      <c r="B67" s="8" t="inlineStr">
        <is>
          <t>E10</t>
        </is>
      </c>
      <c r="C67" s="8" t="inlineStr">
        <is>
          <t>10. Payroll taxes</t>
        </is>
      </c>
      <c r="D67" s="8" t="inlineStr">
        <is>
          <t>10</t>
        </is>
      </c>
      <c r="E67" s="8" t="inlineStr">
        <is>
          <t>part_ix_expenses.payroll_taxes</t>
        </is>
      </c>
      <c r="F67" s="8" t="inlineStr">
        <is>
          <t>high</t>
        </is>
      </c>
      <c r="G67" s="9" t="n">
        <v>23186</v>
      </c>
    </row>
    <row r="68">
      <c r="A68" s="8" t="inlineStr">
        <is>
          <t>Operating expenses (detail)</t>
        </is>
      </c>
      <c r="B68" s="8" t="inlineStr">
        <is>
          <t>F10</t>
        </is>
      </c>
      <c r="C68" s="8" t="inlineStr">
        <is>
          <t>10. Payroll taxes</t>
        </is>
      </c>
      <c r="D68" s="8" t="inlineStr">
        <is>
          <t>10</t>
        </is>
      </c>
      <c r="E68" s="8" t="inlineStr">
        <is>
          <t>part_ix_expenses.payroll_taxes</t>
        </is>
      </c>
      <c r="F68" s="8" t="inlineStr">
        <is>
          <t>high</t>
        </is>
      </c>
      <c r="G68" s="9" t="n">
        <v>35215</v>
      </c>
    </row>
    <row r="69">
      <c r="A69" s="8" t="inlineStr">
        <is>
          <t>Operating expenses (detail)</t>
        </is>
      </c>
      <c r="B69" s="8" t="inlineStr">
        <is>
          <t>G10</t>
        </is>
      </c>
      <c r="C69" s="8" t="inlineStr">
        <is>
          <t>10. Payroll taxes</t>
        </is>
      </c>
      <c r="D69" s="8" t="inlineStr">
        <is>
          <t>10</t>
        </is>
      </c>
      <c r="E69" s="8" t="inlineStr">
        <is>
          <t>part_ix_expenses.payroll_taxes</t>
        </is>
      </c>
      <c r="F69" s="8" t="inlineStr">
        <is>
          <t>high</t>
        </is>
      </c>
      <c r="G69" s="9" t="n">
        <v>35265</v>
      </c>
    </row>
    <row r="70">
      <c r="A70" s="8" t="inlineStr">
        <is>
          <t>Operating expenses (detail)</t>
        </is>
      </c>
      <c r="B70" s="8" t="inlineStr">
        <is>
          <t>B11</t>
        </is>
      </c>
      <c r="C70" s="8" t="inlineStr">
        <is>
          <t>11a. Fees for services: management</t>
        </is>
      </c>
      <c r="D70" s="8" t="inlineStr">
        <is>
          <t>11a</t>
        </is>
      </c>
      <c r="E70" s="8" t="inlineStr">
        <is>
          <t>part_ix_expenses.fees_management</t>
        </is>
      </c>
      <c r="F70" s="8" t="inlineStr">
        <is>
          <t>high</t>
        </is>
      </c>
      <c r="G70" s="9" t="n">
        <v>187589</v>
      </c>
    </row>
    <row r="71">
      <c r="A71" s="8" t="inlineStr">
        <is>
          <t>Operating expenses (detail)</t>
        </is>
      </c>
      <c r="B71" s="8" t="inlineStr">
        <is>
          <t>C11</t>
        </is>
      </c>
      <c r="C71" s="8" t="inlineStr">
        <is>
          <t>11a. Fees for services: management</t>
        </is>
      </c>
      <c r="D71" s="8" t="inlineStr">
        <is>
          <t>11a</t>
        </is>
      </c>
      <c r="E71" s="8" t="inlineStr">
        <is>
          <t>part_ix_expenses.fees_management</t>
        </is>
      </c>
      <c r="F71" s="8" t="inlineStr">
        <is>
          <t>high</t>
        </is>
      </c>
      <c r="G71" s="9" t="n">
        <v>180735</v>
      </c>
    </row>
    <row r="72">
      <c r="A72" s="8" t="inlineStr">
        <is>
          <t>Operating expenses (detail)</t>
        </is>
      </c>
      <c r="B72" s="8" t="inlineStr">
        <is>
          <t>D11</t>
        </is>
      </c>
      <c r="C72" s="8" t="inlineStr">
        <is>
          <t>11a. Fees for services: management</t>
        </is>
      </c>
      <c r="D72" s="8" t="inlineStr">
        <is>
          <t>11a</t>
        </is>
      </c>
      <c r="E72" s="8" t="inlineStr">
        <is>
          <t>part_ix_expenses.fees_management</t>
        </is>
      </c>
      <c r="F72" s="8" t="inlineStr">
        <is>
          <t>high</t>
        </is>
      </c>
      <c r="G72" s="9" t="n">
        <v>224363</v>
      </c>
    </row>
    <row r="73">
      <c r="A73" s="8" t="inlineStr">
        <is>
          <t>Operating expenses (detail)</t>
        </is>
      </c>
      <c r="B73" s="8" t="inlineStr">
        <is>
          <t>E11</t>
        </is>
      </c>
      <c r="C73" s="8" t="inlineStr">
        <is>
          <t>11a. Fees for services: management</t>
        </is>
      </c>
      <c r="D73" s="8" t="inlineStr">
        <is>
          <t>11a</t>
        </is>
      </c>
      <c r="E73" s="8" t="inlineStr">
        <is>
          <t>part_ix_expenses.fees_management</t>
        </is>
      </c>
      <c r="F73" s="8" t="inlineStr">
        <is>
          <t>high</t>
        </is>
      </c>
      <c r="G73" s="9" t="n">
        <v>149938</v>
      </c>
    </row>
    <row r="74">
      <c r="A74" s="8" t="inlineStr">
        <is>
          <t>Operating expenses (detail)</t>
        </is>
      </c>
      <c r="B74" s="8" t="inlineStr">
        <is>
          <t>F11</t>
        </is>
      </c>
      <c r="C74" s="8" t="inlineStr">
        <is>
          <t>11a. Fees for services: management</t>
        </is>
      </c>
      <c r="D74" s="8" t="inlineStr">
        <is>
          <t>11a</t>
        </is>
      </c>
      <c r="E74" s="8" t="inlineStr">
        <is>
          <t>part_ix_expenses.fees_management</t>
        </is>
      </c>
      <c r="F74" s="8" t="inlineStr">
        <is>
          <t>high</t>
        </is>
      </c>
      <c r="G74" s="9" t="n">
        <v>86276</v>
      </c>
    </row>
    <row r="75">
      <c r="A75" s="8" t="inlineStr">
        <is>
          <t>Operating expenses (detail)</t>
        </is>
      </c>
      <c r="B75" s="8" t="inlineStr">
        <is>
          <t>B12</t>
        </is>
      </c>
      <c r="C75" s="8" t="inlineStr">
        <is>
          <t>11b. Fees for services: legal</t>
        </is>
      </c>
      <c r="D75" s="8" t="inlineStr">
        <is>
          <t>11b</t>
        </is>
      </c>
      <c r="E75" s="8" t="inlineStr">
        <is>
          <t>part_ix_expenses.fees_legal</t>
        </is>
      </c>
      <c r="F75" s="8" t="inlineStr">
        <is>
          <t>high</t>
        </is>
      </c>
      <c r="G75" s="9" t="n">
        <v>153103</v>
      </c>
    </row>
    <row r="76">
      <c r="A76" s="8" t="inlineStr">
        <is>
          <t>Operating expenses (detail)</t>
        </is>
      </c>
      <c r="B76" s="8" t="inlineStr">
        <is>
          <t>C12</t>
        </is>
      </c>
      <c r="C76" s="8" t="inlineStr">
        <is>
          <t>11b. Fees for services: legal</t>
        </is>
      </c>
      <c r="D76" s="8" t="inlineStr">
        <is>
          <t>11b</t>
        </is>
      </c>
      <c r="E76" s="8" t="inlineStr">
        <is>
          <t>part_ix_expenses.fees_legal</t>
        </is>
      </c>
      <c r="F76" s="8" t="inlineStr">
        <is>
          <t>high</t>
        </is>
      </c>
      <c r="G76" s="9" t="n">
        <v>165666</v>
      </c>
    </row>
    <row r="77">
      <c r="A77" s="8" t="inlineStr">
        <is>
          <t>Operating expenses (detail)</t>
        </is>
      </c>
      <c r="B77" s="8" t="inlineStr">
        <is>
          <t>D12</t>
        </is>
      </c>
      <c r="C77" s="8" t="inlineStr">
        <is>
          <t>11b. Fees for services: legal</t>
        </is>
      </c>
      <c r="D77" s="8" t="inlineStr">
        <is>
          <t>11b</t>
        </is>
      </c>
      <c r="E77" s="8" t="inlineStr">
        <is>
          <t>part_ix_expenses.fees_legal</t>
        </is>
      </c>
      <c r="F77" s="8" t="inlineStr">
        <is>
          <t>high</t>
        </is>
      </c>
      <c r="G77" s="9" t="n">
        <v>186409</v>
      </c>
    </row>
    <row r="78">
      <c r="A78" s="8" t="inlineStr">
        <is>
          <t>Operating expenses (detail)</t>
        </is>
      </c>
      <c r="B78" s="8" t="inlineStr">
        <is>
          <t>E12</t>
        </is>
      </c>
      <c r="C78" s="8" t="inlineStr">
        <is>
          <t>11b. Fees for services: legal</t>
        </is>
      </c>
      <c r="D78" s="8" t="inlineStr">
        <is>
          <t>11b</t>
        </is>
      </c>
      <c r="E78" s="8" t="inlineStr">
        <is>
          <t>part_ix_expenses.fees_legal</t>
        </is>
      </c>
      <c r="F78" s="8" t="inlineStr">
        <is>
          <t>high</t>
        </is>
      </c>
      <c r="G78" s="9" t="n">
        <v>195861</v>
      </c>
    </row>
    <row r="79">
      <c r="A79" s="8" t="inlineStr">
        <is>
          <t>Operating expenses (detail)</t>
        </is>
      </c>
      <c r="B79" s="8" t="inlineStr">
        <is>
          <t>F12</t>
        </is>
      </c>
      <c r="C79" s="8" t="inlineStr">
        <is>
          <t>11b. Fees for services: legal</t>
        </is>
      </c>
      <c r="D79" s="8" t="inlineStr">
        <is>
          <t>11b</t>
        </is>
      </c>
      <c r="E79" s="8" t="inlineStr">
        <is>
          <t>part_ix_expenses.fees_legal</t>
        </is>
      </c>
      <c r="F79" s="8" t="inlineStr">
        <is>
          <t>high</t>
        </is>
      </c>
      <c r="G79" s="9" t="n">
        <v>71283</v>
      </c>
    </row>
    <row r="80">
      <c r="A80" s="8" t="inlineStr">
        <is>
          <t>Operating expenses (detail)</t>
        </is>
      </c>
      <c r="B80" s="8" t="inlineStr">
        <is>
          <t>G12</t>
        </is>
      </c>
      <c r="C80" s="8" t="inlineStr">
        <is>
          <t>11b. Fees for services: legal</t>
        </is>
      </c>
      <c r="D80" s="8" t="inlineStr">
        <is>
          <t>11b</t>
        </is>
      </c>
      <c r="E80" s="8" t="inlineStr">
        <is>
          <t>part_ix_expenses.fees_legal</t>
        </is>
      </c>
      <c r="F80" s="8" t="inlineStr">
        <is>
          <t>high</t>
        </is>
      </c>
      <c r="G80" s="9" t="n">
        <v>178194</v>
      </c>
    </row>
    <row r="81">
      <c r="A81" s="8" t="inlineStr">
        <is>
          <t>Operating expenses (detail)</t>
        </is>
      </c>
      <c r="B81" s="8" t="inlineStr">
        <is>
          <t>B13</t>
        </is>
      </c>
      <c r="C81" s="8" t="inlineStr">
        <is>
          <t>11c. Fees for services: accounting</t>
        </is>
      </c>
      <c r="D81" s="8" t="inlineStr">
        <is>
          <t>11c</t>
        </is>
      </c>
      <c r="E81" s="8" t="inlineStr">
        <is>
          <t>part_ix_expenses.fees_accounting</t>
        </is>
      </c>
      <c r="F81" s="8" t="inlineStr">
        <is>
          <t>high</t>
        </is>
      </c>
      <c r="G81" s="9" t="n">
        <v>8200</v>
      </c>
    </row>
    <row r="82">
      <c r="A82" s="8" t="inlineStr">
        <is>
          <t>Operating expenses (detail)</t>
        </is>
      </c>
      <c r="B82" s="8" t="inlineStr">
        <is>
          <t>C13</t>
        </is>
      </c>
      <c r="C82" s="8" t="inlineStr">
        <is>
          <t>11c. Fees for services: accounting</t>
        </is>
      </c>
      <c r="D82" s="8" t="inlineStr">
        <is>
          <t>11c</t>
        </is>
      </c>
      <c r="E82" s="8" t="inlineStr">
        <is>
          <t>part_ix_expenses.fees_accounting</t>
        </is>
      </c>
      <c r="F82" s="8" t="inlineStr">
        <is>
          <t>high</t>
        </is>
      </c>
      <c r="G82" s="9" t="n">
        <v>10300</v>
      </c>
    </row>
    <row r="83">
      <c r="A83" s="8" t="inlineStr">
        <is>
          <t>Operating expenses (detail)</t>
        </is>
      </c>
      <c r="B83" s="8" t="inlineStr">
        <is>
          <t>D13</t>
        </is>
      </c>
      <c r="C83" s="8" t="inlineStr">
        <is>
          <t>11c. Fees for services: accounting</t>
        </is>
      </c>
      <c r="D83" s="8" t="inlineStr">
        <is>
          <t>11c</t>
        </is>
      </c>
      <c r="E83" s="8" t="inlineStr">
        <is>
          <t>part_ix_expenses.fees_accounting</t>
        </is>
      </c>
      <c r="F83" s="8" t="inlineStr">
        <is>
          <t>high</t>
        </is>
      </c>
      <c r="G83" s="9" t="n">
        <v>10700</v>
      </c>
    </row>
    <row r="84">
      <c r="A84" s="8" t="inlineStr">
        <is>
          <t>Operating expenses (detail)</t>
        </is>
      </c>
      <c r="B84" s="8" t="inlineStr">
        <is>
          <t>E13</t>
        </is>
      </c>
      <c r="C84" s="8" t="inlineStr">
        <is>
          <t>11c. Fees for services: accounting</t>
        </is>
      </c>
      <c r="D84" s="8" t="inlineStr">
        <is>
          <t>11c</t>
        </is>
      </c>
      <c r="E84" s="8" t="inlineStr">
        <is>
          <t>part_ix_expenses.fees_accounting</t>
        </is>
      </c>
      <c r="F84" s="8" t="inlineStr">
        <is>
          <t>high</t>
        </is>
      </c>
      <c r="G84" s="9" t="n">
        <v>10700</v>
      </c>
    </row>
    <row r="85">
      <c r="A85" s="8" t="inlineStr">
        <is>
          <t>Operating expenses (detail)</t>
        </is>
      </c>
      <c r="B85" s="8" t="inlineStr">
        <is>
          <t>F13</t>
        </is>
      </c>
      <c r="C85" s="8" t="inlineStr">
        <is>
          <t>11c. Fees for services: accounting</t>
        </is>
      </c>
      <c r="D85" s="8" t="inlineStr">
        <is>
          <t>11c</t>
        </is>
      </c>
      <c r="E85" s="8" t="inlineStr">
        <is>
          <t>part_ix_expenses.fees_accounting</t>
        </is>
      </c>
      <c r="F85" s="8" t="inlineStr">
        <is>
          <t>high</t>
        </is>
      </c>
      <c r="G85" s="9" t="n">
        <v>10000</v>
      </c>
    </row>
    <row r="86">
      <c r="A86" s="8" t="inlineStr">
        <is>
          <t>Operating expenses (detail)</t>
        </is>
      </c>
      <c r="B86" s="8" t="inlineStr">
        <is>
          <t>G13</t>
        </is>
      </c>
      <c r="C86" s="8" t="inlineStr">
        <is>
          <t>11c. Fees for services: accounting</t>
        </is>
      </c>
      <c r="D86" s="8" t="inlineStr">
        <is>
          <t>11c</t>
        </is>
      </c>
      <c r="E86" s="8" t="inlineStr">
        <is>
          <t>part_ix_expenses.fees_accounting</t>
        </is>
      </c>
      <c r="F86" s="8" t="inlineStr">
        <is>
          <t>high</t>
        </is>
      </c>
      <c r="G86" s="9" t="n">
        <v>9700</v>
      </c>
    </row>
    <row r="87">
      <c r="A87" s="8" t="inlineStr">
        <is>
          <t>Operating expenses (detail)</t>
        </is>
      </c>
      <c r="B87" s="8" t="inlineStr">
        <is>
          <t>D14</t>
        </is>
      </c>
      <c r="C87" s="8" t="inlineStr">
        <is>
          <t>11g. Fees for services: other</t>
        </is>
      </c>
      <c r="D87" s="8" t="inlineStr">
        <is>
          <t>11g</t>
        </is>
      </c>
      <c r="E87" s="8" t="inlineStr">
        <is>
          <t>part_ix_expenses.fees_other</t>
        </is>
      </c>
      <c r="F87" s="8" t="inlineStr">
        <is>
          <t>high</t>
        </is>
      </c>
      <c r="G87" s="9" t="n">
        <v>22535</v>
      </c>
    </row>
    <row r="88">
      <c r="A88" s="8" t="inlineStr">
        <is>
          <t>Operating expenses (detail)</t>
        </is>
      </c>
      <c r="B88" s="8" t="inlineStr">
        <is>
          <t>E14</t>
        </is>
      </c>
      <c r="C88" s="8" t="inlineStr">
        <is>
          <t>11g. Fees for services: other</t>
        </is>
      </c>
      <c r="D88" s="8" t="inlineStr">
        <is>
          <t>11g</t>
        </is>
      </c>
      <c r="E88" s="8" t="inlineStr">
        <is>
          <t>part_ix_expenses.fees_other</t>
        </is>
      </c>
      <c r="F88" s="8" t="inlineStr">
        <is>
          <t>high</t>
        </is>
      </c>
      <c r="G88" s="9" t="n">
        <v>46728</v>
      </c>
    </row>
    <row r="89">
      <c r="A89" s="8" t="inlineStr">
        <is>
          <t>Operating expenses (detail)</t>
        </is>
      </c>
      <c r="B89" s="8" t="inlineStr">
        <is>
          <t>F14</t>
        </is>
      </c>
      <c r="C89" s="8" t="inlineStr">
        <is>
          <t>11g. Fees for services: other</t>
        </is>
      </c>
      <c r="D89" s="8" t="inlineStr">
        <is>
          <t>11g</t>
        </is>
      </c>
      <c r="E89" s="8" t="inlineStr">
        <is>
          <t>part_ix_expenses.fees_other</t>
        </is>
      </c>
      <c r="F89" s="8" t="inlineStr">
        <is>
          <t>high</t>
        </is>
      </c>
      <c r="G89" s="9" t="n">
        <v>15601</v>
      </c>
    </row>
    <row r="90">
      <c r="A90" s="8" t="inlineStr">
        <is>
          <t>Operating expenses (detail)</t>
        </is>
      </c>
      <c r="B90" s="8" t="inlineStr">
        <is>
          <t>G14</t>
        </is>
      </c>
      <c r="C90" s="8" t="inlineStr">
        <is>
          <t>11g. Fees for services: other</t>
        </is>
      </c>
      <c r="D90" s="8" t="inlineStr">
        <is>
          <t>11g</t>
        </is>
      </c>
      <c r="E90" s="8" t="inlineStr">
        <is>
          <t>part_ix_expenses.fees_other</t>
        </is>
      </c>
      <c r="F90" s="8" t="inlineStr">
        <is>
          <t>high</t>
        </is>
      </c>
      <c r="G90" s="9" t="n">
        <v>193419</v>
      </c>
    </row>
    <row r="91">
      <c r="A91" s="8" t="inlineStr">
        <is>
          <t>Operating expenses (detail)</t>
        </is>
      </c>
      <c r="B91" s="8" t="inlineStr">
        <is>
          <t>B15</t>
        </is>
      </c>
      <c r="C91" s="8" t="inlineStr">
        <is>
          <t>13. Office expenses</t>
        </is>
      </c>
      <c r="D91" s="8" t="inlineStr">
        <is>
          <t>13</t>
        </is>
      </c>
      <c r="E91" s="8" t="inlineStr">
        <is>
          <t>part_ix_expenses.office_expenses</t>
        </is>
      </c>
      <c r="F91" s="8" t="inlineStr">
        <is>
          <t>high</t>
        </is>
      </c>
      <c r="G91" s="9" t="n">
        <v>4224</v>
      </c>
    </row>
    <row r="92">
      <c r="A92" s="8" t="inlineStr">
        <is>
          <t>Operating expenses (detail)</t>
        </is>
      </c>
      <c r="B92" s="8" t="inlineStr">
        <is>
          <t>C15</t>
        </is>
      </c>
      <c r="C92" s="8" t="inlineStr">
        <is>
          <t>13. Office expenses</t>
        </is>
      </c>
      <c r="D92" s="8" t="inlineStr">
        <is>
          <t>13</t>
        </is>
      </c>
      <c r="E92" s="8" t="inlineStr">
        <is>
          <t>part_ix_expenses.office_expenses</t>
        </is>
      </c>
      <c r="F92" s="8" t="inlineStr">
        <is>
          <t>high</t>
        </is>
      </c>
      <c r="G92" s="9" t="n">
        <v>4686</v>
      </c>
    </row>
    <row r="93">
      <c r="A93" s="8" t="inlineStr">
        <is>
          <t>Operating expenses (detail)</t>
        </is>
      </c>
      <c r="B93" s="8" t="inlineStr">
        <is>
          <t>D15</t>
        </is>
      </c>
      <c r="C93" s="8" t="inlineStr">
        <is>
          <t>13. Office expenses</t>
        </is>
      </c>
      <c r="D93" s="8" t="inlineStr">
        <is>
          <t>13</t>
        </is>
      </c>
      <c r="E93" s="8" t="inlineStr">
        <is>
          <t>part_ix_expenses.office_expenses</t>
        </is>
      </c>
      <c r="F93" s="8" t="inlineStr">
        <is>
          <t>high</t>
        </is>
      </c>
      <c r="G93" s="9" t="n">
        <v>3921</v>
      </c>
    </row>
    <row r="94">
      <c r="A94" s="8" t="inlineStr">
        <is>
          <t>Operating expenses (detail)</t>
        </is>
      </c>
      <c r="B94" s="8" t="inlineStr">
        <is>
          <t>E15</t>
        </is>
      </c>
      <c r="C94" s="8" t="inlineStr">
        <is>
          <t>13. Office expenses</t>
        </is>
      </c>
      <c r="D94" s="8" t="inlineStr">
        <is>
          <t>13</t>
        </is>
      </c>
      <c r="E94" s="8" t="inlineStr">
        <is>
          <t>part_ix_expenses.office_expenses</t>
        </is>
      </c>
      <c r="F94" s="8" t="inlineStr">
        <is>
          <t>high</t>
        </is>
      </c>
      <c r="G94" s="9" t="n">
        <v>4102</v>
      </c>
    </row>
    <row r="95">
      <c r="A95" s="8" t="inlineStr">
        <is>
          <t>Operating expenses (detail)</t>
        </is>
      </c>
      <c r="B95" s="8" t="inlineStr">
        <is>
          <t>F15</t>
        </is>
      </c>
      <c r="C95" s="8" t="inlineStr">
        <is>
          <t>13. Office expenses</t>
        </is>
      </c>
      <c r="D95" s="8" t="inlineStr">
        <is>
          <t>13</t>
        </is>
      </c>
      <c r="E95" s="8" t="inlineStr">
        <is>
          <t>part_ix_expenses.office_expenses</t>
        </is>
      </c>
      <c r="F95" s="8" t="inlineStr">
        <is>
          <t>high</t>
        </is>
      </c>
      <c r="G95" s="9" t="n">
        <v>9870</v>
      </c>
    </row>
    <row r="96">
      <c r="A96" s="8" t="inlineStr">
        <is>
          <t>Operating expenses (detail)</t>
        </is>
      </c>
      <c r="B96" s="8" t="inlineStr">
        <is>
          <t>G15</t>
        </is>
      </c>
      <c r="C96" s="8" t="inlineStr">
        <is>
          <t>13. Office expenses</t>
        </is>
      </c>
      <c r="D96" s="8" t="inlineStr">
        <is>
          <t>13</t>
        </is>
      </c>
      <c r="E96" s="8" t="inlineStr">
        <is>
          <t>part_ix_expenses.office_expenses</t>
        </is>
      </c>
      <c r="F96" s="8" t="inlineStr">
        <is>
          <t>high</t>
        </is>
      </c>
      <c r="G96" s="9" t="n">
        <v>9944</v>
      </c>
    </row>
    <row r="97">
      <c r="A97" s="8" t="inlineStr">
        <is>
          <t>Operating expenses (detail)</t>
        </is>
      </c>
      <c r="B97" s="8" t="inlineStr">
        <is>
          <t>B16</t>
        </is>
      </c>
      <c r="C97" s="8" t="inlineStr">
        <is>
          <t>14. Information technology</t>
        </is>
      </c>
      <c r="D97" s="8" t="inlineStr">
        <is>
          <t>14</t>
        </is>
      </c>
      <c r="E97" s="8" t="inlineStr">
        <is>
          <t>part_ix_expenses.information_technology</t>
        </is>
      </c>
      <c r="F97" s="8" t="inlineStr">
        <is>
          <t>high</t>
        </is>
      </c>
      <c r="G97" s="9" t="n">
        <v>11538</v>
      </c>
    </row>
    <row r="98">
      <c r="A98" s="8" t="inlineStr">
        <is>
          <t>Operating expenses (detail)</t>
        </is>
      </c>
      <c r="B98" s="8" t="inlineStr">
        <is>
          <t>C16</t>
        </is>
      </c>
      <c r="C98" s="8" t="inlineStr">
        <is>
          <t>14. Information technology</t>
        </is>
      </c>
      <c r="D98" s="8" t="inlineStr">
        <is>
          <t>14</t>
        </is>
      </c>
      <c r="E98" s="8" t="inlineStr">
        <is>
          <t>part_ix_expenses.information_technology</t>
        </is>
      </c>
      <c r="F98" s="8" t="inlineStr">
        <is>
          <t>high</t>
        </is>
      </c>
      <c r="G98" s="9" t="n">
        <v>18661</v>
      </c>
    </row>
    <row r="99">
      <c r="A99" s="8" t="inlineStr">
        <is>
          <t>Operating expenses (detail)</t>
        </is>
      </c>
      <c r="B99" s="8" t="inlineStr">
        <is>
          <t>D16</t>
        </is>
      </c>
      <c r="C99" s="8" t="inlineStr">
        <is>
          <t>14. Information technology</t>
        </is>
      </c>
      <c r="D99" s="8" t="inlineStr">
        <is>
          <t>14</t>
        </is>
      </c>
      <c r="E99" s="8" t="inlineStr">
        <is>
          <t>part_ix_expenses.information_technology</t>
        </is>
      </c>
      <c r="F99" s="8" t="inlineStr">
        <is>
          <t>high</t>
        </is>
      </c>
      <c r="G99" s="9" t="n">
        <v>22940</v>
      </c>
    </row>
    <row r="100">
      <c r="A100" s="8" t="inlineStr">
        <is>
          <t>Operating expenses (detail)</t>
        </is>
      </c>
      <c r="B100" s="8" t="inlineStr">
        <is>
          <t>E16</t>
        </is>
      </c>
      <c r="C100" s="8" t="inlineStr">
        <is>
          <t>14. Information technology</t>
        </is>
      </c>
      <c r="D100" s="8" t="inlineStr">
        <is>
          <t>14</t>
        </is>
      </c>
      <c r="E100" s="8" t="inlineStr">
        <is>
          <t>part_ix_expenses.information_technology</t>
        </is>
      </c>
      <c r="F100" s="8" t="inlineStr">
        <is>
          <t>high</t>
        </is>
      </c>
      <c r="G100" s="9" t="n">
        <v>34878</v>
      </c>
    </row>
    <row r="101">
      <c r="A101" s="8" t="inlineStr">
        <is>
          <t>Operating expenses (detail)</t>
        </is>
      </c>
      <c r="B101" s="8" t="inlineStr">
        <is>
          <t>F16</t>
        </is>
      </c>
      <c r="C101" s="8" t="inlineStr">
        <is>
          <t>14. Information technology</t>
        </is>
      </c>
      <c r="D101" s="8" t="inlineStr">
        <is>
          <t>14</t>
        </is>
      </c>
      <c r="E101" s="8" t="inlineStr">
        <is>
          <t>part_ix_expenses.information_technology</t>
        </is>
      </c>
      <c r="F101" s="8" t="inlineStr">
        <is>
          <t>high</t>
        </is>
      </c>
      <c r="G101" s="9" t="n">
        <v>69654</v>
      </c>
    </row>
    <row r="102">
      <c r="A102" s="8" t="inlineStr">
        <is>
          <t>Operating expenses (detail)</t>
        </is>
      </c>
      <c r="B102" s="8" t="inlineStr">
        <is>
          <t>G16</t>
        </is>
      </c>
      <c r="C102" s="8" t="inlineStr">
        <is>
          <t>14. Information technology</t>
        </is>
      </c>
      <c r="D102" s="8" t="inlineStr">
        <is>
          <t>14</t>
        </is>
      </c>
      <c r="E102" s="8" t="inlineStr">
        <is>
          <t>part_ix_expenses.information_technology</t>
        </is>
      </c>
      <c r="F102" s="8" t="inlineStr">
        <is>
          <t>high</t>
        </is>
      </c>
      <c r="G102" s="9" t="n">
        <v>37238</v>
      </c>
    </row>
    <row r="103">
      <c r="A103" s="8" t="inlineStr">
        <is>
          <t>Operating expenses (detail)</t>
        </is>
      </c>
      <c r="B103" s="8" t="inlineStr">
        <is>
          <t>B17</t>
        </is>
      </c>
      <c r="C103" s="8" t="inlineStr">
        <is>
          <t>22. Depreciation, depletion, and amortization</t>
        </is>
      </c>
      <c r="D103" s="8" t="inlineStr">
        <is>
          <t>22</t>
        </is>
      </c>
      <c r="E103" s="8" t="inlineStr">
        <is>
          <t>part_ix_expenses.depreciation</t>
        </is>
      </c>
      <c r="F103" s="8" t="inlineStr">
        <is>
          <t>high</t>
        </is>
      </c>
      <c r="G103" s="9" t="n">
        <v>272490</v>
      </c>
    </row>
    <row r="104">
      <c r="A104" s="8" t="inlineStr">
        <is>
          <t>Operating expenses (detail)</t>
        </is>
      </c>
      <c r="B104" s="8" t="inlineStr">
        <is>
          <t>C17</t>
        </is>
      </c>
      <c r="C104" s="8" t="inlineStr">
        <is>
          <t>22. Depreciation, depletion, and amortization</t>
        </is>
      </c>
      <c r="D104" s="8" t="inlineStr">
        <is>
          <t>22</t>
        </is>
      </c>
      <c r="E104" s="8" t="inlineStr">
        <is>
          <t>part_ix_expenses.depreciation</t>
        </is>
      </c>
      <c r="F104" s="8" t="inlineStr">
        <is>
          <t>high</t>
        </is>
      </c>
      <c r="G104" s="9" t="n">
        <v>219585</v>
      </c>
    </row>
    <row r="105">
      <c r="A105" s="8" t="inlineStr">
        <is>
          <t>Operating expenses (detail)</t>
        </is>
      </c>
      <c r="B105" s="8" t="inlineStr">
        <is>
          <t>D17</t>
        </is>
      </c>
      <c r="C105" s="8" t="inlineStr">
        <is>
          <t>22. Depreciation, depletion, and amortization</t>
        </is>
      </c>
      <c r="D105" s="8" t="inlineStr">
        <is>
          <t>22</t>
        </is>
      </c>
      <c r="E105" s="8" t="inlineStr">
        <is>
          <t>part_ix_expenses.depreciation</t>
        </is>
      </c>
      <c r="F105" s="8" t="inlineStr">
        <is>
          <t>high</t>
        </is>
      </c>
      <c r="G105" s="9" t="n">
        <v>179664</v>
      </c>
    </row>
    <row r="106">
      <c r="A106" s="8" t="inlineStr">
        <is>
          <t>Operating expenses (detail)</t>
        </is>
      </c>
      <c r="B106" s="8" t="inlineStr">
        <is>
          <t>E17</t>
        </is>
      </c>
      <c r="C106" s="8" t="inlineStr">
        <is>
          <t>22. Depreciation, depletion, and amortization</t>
        </is>
      </c>
      <c r="D106" s="8" t="inlineStr">
        <is>
          <t>22</t>
        </is>
      </c>
      <c r="E106" s="8" t="inlineStr">
        <is>
          <t>part_ix_expenses.depreciation</t>
        </is>
      </c>
      <c r="F106" s="8" t="inlineStr">
        <is>
          <t>high</t>
        </is>
      </c>
      <c r="G106" s="9" t="n">
        <v>196965</v>
      </c>
    </row>
    <row r="107">
      <c r="A107" s="8" t="inlineStr">
        <is>
          <t>Operating expenses (detail)</t>
        </is>
      </c>
      <c r="B107" s="8" t="inlineStr">
        <is>
          <t>F17</t>
        </is>
      </c>
      <c r="C107" s="8" t="inlineStr">
        <is>
          <t>22. Depreciation, depletion, and amortization</t>
        </is>
      </c>
      <c r="D107" s="8" t="inlineStr">
        <is>
          <t>22</t>
        </is>
      </c>
      <c r="E107" s="8" t="inlineStr">
        <is>
          <t>part_ix_expenses.depreciation</t>
        </is>
      </c>
      <c r="F107" s="8" t="inlineStr">
        <is>
          <t>high</t>
        </is>
      </c>
      <c r="G107" s="9" t="n">
        <v>192952</v>
      </c>
    </row>
    <row r="108">
      <c r="A108" s="8" t="inlineStr">
        <is>
          <t>Operating expenses (detail)</t>
        </is>
      </c>
      <c r="B108" s="8" t="inlineStr">
        <is>
          <t>G17</t>
        </is>
      </c>
      <c r="C108" s="8" t="inlineStr">
        <is>
          <t>22. Depreciation, depletion, and amortization</t>
        </is>
      </c>
      <c r="D108" s="8" t="inlineStr">
        <is>
          <t>22</t>
        </is>
      </c>
      <c r="E108" s="8" t="inlineStr">
        <is>
          <t>part_ix_expenses.depreciation</t>
        </is>
      </c>
      <c r="F108" s="8" t="inlineStr">
        <is>
          <t>high</t>
        </is>
      </c>
      <c r="G108" s="9" t="n">
        <v>181231</v>
      </c>
    </row>
    <row r="109">
      <c r="A109" s="8" t="inlineStr">
        <is>
          <t>Operating expenses (detail)</t>
        </is>
      </c>
      <c r="B109" s="8" t="inlineStr">
        <is>
          <t>B18</t>
        </is>
      </c>
      <c r="C109" s="8" t="inlineStr">
        <is>
          <t>23. Insurance</t>
        </is>
      </c>
      <c r="D109" s="8" t="inlineStr">
        <is>
          <t>23</t>
        </is>
      </c>
      <c r="E109" s="8" t="inlineStr">
        <is>
          <t>part_ix_expenses.insurance</t>
        </is>
      </c>
      <c r="F109" s="8" t="inlineStr">
        <is>
          <t>high</t>
        </is>
      </c>
      <c r="G109" s="9" t="n">
        <v>31258</v>
      </c>
    </row>
    <row r="110">
      <c r="A110" s="8" t="inlineStr">
        <is>
          <t>Operating expenses (detail)</t>
        </is>
      </c>
      <c r="B110" s="8" t="inlineStr">
        <is>
          <t>C18</t>
        </is>
      </c>
      <c r="C110" s="8" t="inlineStr">
        <is>
          <t>23. Insurance</t>
        </is>
      </c>
      <c r="D110" s="8" t="inlineStr">
        <is>
          <t>23</t>
        </is>
      </c>
      <c r="E110" s="8" t="inlineStr">
        <is>
          <t>part_ix_expenses.insurance</t>
        </is>
      </c>
      <c r="F110" s="8" t="inlineStr">
        <is>
          <t>high</t>
        </is>
      </c>
      <c r="G110" s="9" t="n">
        <v>35584</v>
      </c>
    </row>
    <row r="111">
      <c r="A111" s="8" t="inlineStr">
        <is>
          <t>Operating expenses (detail)</t>
        </is>
      </c>
      <c r="B111" s="8" t="inlineStr">
        <is>
          <t>D18</t>
        </is>
      </c>
      <c r="C111" s="8" t="inlineStr">
        <is>
          <t>23. Insurance</t>
        </is>
      </c>
      <c r="D111" s="8" t="inlineStr">
        <is>
          <t>23</t>
        </is>
      </c>
      <c r="E111" s="8" t="inlineStr">
        <is>
          <t>part_ix_expenses.insurance</t>
        </is>
      </c>
      <c r="F111" s="8" t="inlineStr">
        <is>
          <t>high</t>
        </is>
      </c>
      <c r="G111" s="9" t="n">
        <v>40374</v>
      </c>
    </row>
    <row r="112">
      <c r="A112" s="8" t="inlineStr">
        <is>
          <t>Operating expenses (detail)</t>
        </is>
      </c>
      <c r="B112" s="8" t="inlineStr">
        <is>
          <t>E18</t>
        </is>
      </c>
      <c r="C112" s="8" t="inlineStr">
        <is>
          <t>23. Insurance</t>
        </is>
      </c>
      <c r="D112" s="8" t="inlineStr">
        <is>
          <t>23</t>
        </is>
      </c>
      <c r="E112" s="8" t="inlineStr">
        <is>
          <t>part_ix_expenses.insurance</t>
        </is>
      </c>
      <c r="F112" s="8" t="inlineStr">
        <is>
          <t>high</t>
        </is>
      </c>
      <c r="G112" s="9" t="n">
        <v>44781</v>
      </c>
    </row>
    <row r="113">
      <c r="A113" s="8" t="inlineStr">
        <is>
          <t>Operating expenses (detail)</t>
        </is>
      </c>
      <c r="B113" s="8" t="inlineStr">
        <is>
          <t>F18</t>
        </is>
      </c>
      <c r="C113" s="8" t="inlineStr">
        <is>
          <t>23. Insurance</t>
        </is>
      </c>
      <c r="D113" s="8" t="inlineStr">
        <is>
          <t>23</t>
        </is>
      </c>
      <c r="E113" s="8" t="inlineStr">
        <is>
          <t>part_ix_expenses.insurance</t>
        </is>
      </c>
      <c r="F113" s="8" t="inlineStr">
        <is>
          <t>high</t>
        </is>
      </c>
      <c r="G113" s="9" t="n">
        <v>58127</v>
      </c>
    </row>
    <row r="114">
      <c r="A114" s="8" t="inlineStr">
        <is>
          <t>Operating expenses (detail)</t>
        </is>
      </c>
      <c r="B114" s="8" t="inlineStr">
        <is>
          <t>G18</t>
        </is>
      </c>
      <c r="C114" s="8" t="inlineStr">
        <is>
          <t>23. Insurance</t>
        </is>
      </c>
      <c r="D114" s="8" t="inlineStr">
        <is>
          <t>23</t>
        </is>
      </c>
      <c r="E114" s="8" t="inlineStr">
        <is>
          <t>part_ix_expenses.insurance</t>
        </is>
      </c>
      <c r="F114" s="8" t="inlineStr">
        <is>
          <t>high</t>
        </is>
      </c>
      <c r="G114" s="9" t="n">
        <v>65393</v>
      </c>
    </row>
    <row r="115">
      <c r="A115" s="8" t="inlineStr">
        <is>
          <t>Operating expenses (detail)</t>
        </is>
      </c>
      <c r="B115" s="8" t="inlineStr">
        <is>
          <t>B26</t>
        </is>
      </c>
      <c r="C115" s="8" t="inlineStr">
        <is>
          <t>24e. All other expenses</t>
        </is>
      </c>
      <c r="D115" s="8" t="inlineStr">
        <is>
          <t>24e</t>
        </is>
      </c>
      <c r="E115" s="8" t="inlineStr">
        <is>
          <t>part_ix_expenses.all_other_expenses</t>
        </is>
      </c>
      <c r="F115" s="8" t="inlineStr">
        <is>
          <t>high</t>
        </is>
      </c>
      <c r="G115" s="9" t="n">
        <v>90762</v>
      </c>
    </row>
    <row r="116">
      <c r="A116" s="8" t="inlineStr">
        <is>
          <t>Operating expenses (detail)</t>
        </is>
      </c>
      <c r="B116" s="8" t="inlineStr">
        <is>
          <t>C26</t>
        </is>
      </c>
      <c r="C116" s="8" t="inlineStr">
        <is>
          <t>24e. All other expenses</t>
        </is>
      </c>
      <c r="D116" s="8" t="inlineStr">
        <is>
          <t>24e</t>
        </is>
      </c>
      <c r="E116" s="8" t="inlineStr">
        <is>
          <t>part_ix_expenses.all_other_expenses</t>
        </is>
      </c>
      <c r="F116" s="8" t="inlineStr">
        <is>
          <t>high</t>
        </is>
      </c>
      <c r="G116" s="9" t="n">
        <v>90975</v>
      </c>
    </row>
    <row r="117">
      <c r="A117" s="8" t="inlineStr">
        <is>
          <t>Operating expenses (detail)</t>
        </is>
      </c>
      <c r="B117" s="8" t="inlineStr">
        <is>
          <t>D26</t>
        </is>
      </c>
      <c r="C117" s="8" t="inlineStr">
        <is>
          <t>24e. All other expenses</t>
        </is>
      </c>
      <c r="D117" s="8" t="inlineStr">
        <is>
          <t>24e</t>
        </is>
      </c>
      <c r="E117" s="8" t="inlineStr">
        <is>
          <t>part_ix_expenses.all_other_expenses</t>
        </is>
      </c>
      <c r="F117" s="8" t="inlineStr">
        <is>
          <t>high</t>
        </is>
      </c>
      <c r="G117" s="9" t="n">
        <v>128771</v>
      </c>
    </row>
    <row r="118">
      <c r="A118" s="8" t="inlineStr">
        <is>
          <t>Operating expenses (detail)</t>
        </is>
      </c>
      <c r="B118" s="8" t="inlineStr">
        <is>
          <t>E26</t>
        </is>
      </c>
      <c r="C118" s="8" t="inlineStr">
        <is>
          <t>24e. All other expenses</t>
        </is>
      </c>
      <c r="D118" s="8" t="inlineStr">
        <is>
          <t>24e</t>
        </is>
      </c>
      <c r="E118" s="8" t="inlineStr">
        <is>
          <t>part_ix_expenses.all_other_expenses</t>
        </is>
      </c>
      <c r="F118" s="8" t="inlineStr">
        <is>
          <t>high</t>
        </is>
      </c>
      <c r="G118" s="9" t="n">
        <v>168101</v>
      </c>
    </row>
    <row r="119">
      <c r="A119" s="8" t="inlineStr">
        <is>
          <t>Operating expenses (detail)</t>
        </is>
      </c>
      <c r="B119" s="8" t="inlineStr">
        <is>
          <t>F26</t>
        </is>
      </c>
      <c r="C119" s="8" t="inlineStr">
        <is>
          <t>24e. All other expenses</t>
        </is>
      </c>
      <c r="D119" s="8" t="inlineStr">
        <is>
          <t>24e</t>
        </is>
      </c>
      <c r="E119" s="8" t="inlineStr">
        <is>
          <t>part_ix_expenses.all_other_expenses</t>
        </is>
      </c>
      <c r="F119" s="8" t="inlineStr">
        <is>
          <t>high</t>
        </is>
      </c>
      <c r="G119" s="9" t="n">
        <v>154422</v>
      </c>
    </row>
    <row r="120">
      <c r="A120" s="8" t="inlineStr">
        <is>
          <t>Operating expenses (detail)</t>
        </is>
      </c>
      <c r="B120" s="8" t="inlineStr">
        <is>
          <t>G26</t>
        </is>
      </c>
      <c r="C120" s="8" t="inlineStr">
        <is>
          <t>24e. All other expenses</t>
        </is>
      </c>
      <c r="D120" s="8" t="inlineStr">
        <is>
          <t>24e</t>
        </is>
      </c>
      <c r="E120" s="8" t="inlineStr">
        <is>
          <t>part_ix_expenses.all_other_expenses</t>
        </is>
      </c>
      <c r="F120" s="8" t="inlineStr">
        <is>
          <t>high</t>
        </is>
      </c>
      <c r="G120" s="9" t="n">
        <v>195721</v>
      </c>
    </row>
    <row r="121">
      <c r="A121" s="8" t="inlineStr">
        <is>
          <t>Balance sheet (detail)</t>
        </is>
      </c>
      <c r="B121" s="8" t="inlineStr">
        <is>
          <t>B7</t>
        </is>
      </c>
      <c r="C121" s="8" t="inlineStr">
        <is>
          <t>1. Cash - non-interest-bearing</t>
        </is>
      </c>
      <c r="D121" s="8" t="inlineStr">
        <is>
          <t>1E</t>
        </is>
      </c>
      <c r="E121" s="8" t="inlineStr">
        <is>
          <t>part_x_balance_sheet.cash_noninterest_eoy</t>
        </is>
      </c>
      <c r="F121" s="8" t="inlineStr">
        <is>
          <t>high</t>
        </is>
      </c>
      <c r="G121" s="9" t="n">
        <v>2346176</v>
      </c>
    </row>
    <row r="122">
      <c r="A122" s="8" t="inlineStr">
        <is>
          <t>Balance sheet (detail)</t>
        </is>
      </c>
      <c r="B122" s="8" t="inlineStr">
        <is>
          <t>C7</t>
        </is>
      </c>
      <c r="C122" s="8" t="inlineStr">
        <is>
          <t>1. Cash - non-interest-bearing</t>
        </is>
      </c>
      <c r="D122" s="8" t="inlineStr">
        <is>
          <t>1E</t>
        </is>
      </c>
      <c r="E122" s="8" t="inlineStr">
        <is>
          <t>part_x_balance_sheet.cash_noninterest_eoy</t>
        </is>
      </c>
      <c r="F122" s="8" t="inlineStr">
        <is>
          <t>high</t>
        </is>
      </c>
      <c r="G122" s="9" t="n">
        <v>2088776</v>
      </c>
    </row>
    <row r="123">
      <c r="A123" s="8" t="inlineStr">
        <is>
          <t>Balance sheet (detail)</t>
        </is>
      </c>
      <c r="B123" s="8" t="inlineStr">
        <is>
          <t>D7</t>
        </is>
      </c>
      <c r="C123" s="8" t="inlineStr">
        <is>
          <t>1. Cash - non-interest-bearing</t>
        </is>
      </c>
      <c r="D123" s="8" t="inlineStr">
        <is>
          <t>1E</t>
        </is>
      </c>
      <c r="E123" s="8" t="inlineStr">
        <is>
          <t>part_x_balance_sheet.cash_noninterest_eoy</t>
        </is>
      </c>
      <c r="F123" s="8" t="inlineStr">
        <is>
          <t>high</t>
        </is>
      </c>
      <c r="G123" s="9" t="n">
        <v>1477271</v>
      </c>
    </row>
    <row r="124">
      <c r="A124" s="8" t="inlineStr">
        <is>
          <t>Balance sheet (detail)</t>
        </is>
      </c>
      <c r="B124" s="8" t="inlineStr">
        <is>
          <t>E7</t>
        </is>
      </c>
      <c r="C124" s="8" t="inlineStr">
        <is>
          <t>1. Cash - non-interest-bearing</t>
        </is>
      </c>
      <c r="D124" s="8" t="inlineStr">
        <is>
          <t>1E</t>
        </is>
      </c>
      <c r="E124" s="8" t="inlineStr">
        <is>
          <t>part_x_balance_sheet.cash_noninterest_eoy</t>
        </is>
      </c>
      <c r="F124" s="8" t="inlineStr">
        <is>
          <t>high</t>
        </is>
      </c>
      <c r="G124" s="9" t="n">
        <v>462594</v>
      </c>
    </row>
    <row r="125">
      <c r="A125" s="8" t="inlineStr">
        <is>
          <t>Balance sheet (detail)</t>
        </is>
      </c>
      <c r="B125" s="8" t="inlineStr">
        <is>
          <t>F7</t>
        </is>
      </c>
      <c r="C125" s="8" t="inlineStr">
        <is>
          <t>1. Cash - non-interest-bearing</t>
        </is>
      </c>
      <c r="D125" s="8" t="inlineStr">
        <is>
          <t>1E</t>
        </is>
      </c>
      <c r="E125" s="8" t="inlineStr">
        <is>
          <t>part_x_balance_sheet.cash_noninterest_eoy</t>
        </is>
      </c>
      <c r="F125" s="8" t="inlineStr">
        <is>
          <t>high</t>
        </is>
      </c>
      <c r="G125" s="9" t="n">
        <v>1373373</v>
      </c>
    </row>
    <row r="126">
      <c r="A126" s="8" t="inlineStr">
        <is>
          <t>Balance sheet (detail)</t>
        </is>
      </c>
      <c r="B126" s="8" t="inlineStr">
        <is>
          <t>G7</t>
        </is>
      </c>
      <c r="C126" s="8" t="inlineStr">
        <is>
          <t>1. Cash - non-interest-bearing</t>
        </is>
      </c>
      <c r="D126" s="8" t="inlineStr">
        <is>
          <t>1E</t>
        </is>
      </c>
      <c r="E126" s="8" t="inlineStr">
        <is>
          <t>part_x_balance_sheet.cash_noninterest_eoy</t>
        </is>
      </c>
      <c r="F126" s="8" t="inlineStr">
        <is>
          <t>high</t>
        </is>
      </c>
      <c r="G126" s="9" t="n">
        <v>1210412</v>
      </c>
    </row>
    <row r="127">
      <c r="A127" s="8" t="inlineStr">
        <is>
          <t>Balance sheet (detail)</t>
        </is>
      </c>
      <c r="B127" s="8" t="inlineStr">
        <is>
          <t>B8</t>
        </is>
      </c>
      <c r="C127" s="8" t="inlineStr">
        <is>
          <t>2. Savings and temporary cash investments</t>
        </is>
      </c>
      <c r="D127" s="8" t="inlineStr">
        <is>
          <t>2E</t>
        </is>
      </c>
      <c r="E127" s="8" t="inlineStr">
        <is>
          <t>part_x_balance_sheet.savings_temp_invest_eoy</t>
        </is>
      </c>
      <c r="F127" s="8" t="inlineStr">
        <is>
          <t>high</t>
        </is>
      </c>
      <c r="G127" s="9" t="n">
        <v>480850</v>
      </c>
    </row>
    <row r="128">
      <c r="A128" s="8" t="inlineStr">
        <is>
          <t>Balance sheet (detail)</t>
        </is>
      </c>
      <c r="B128" s="8" t="inlineStr">
        <is>
          <t>C8</t>
        </is>
      </c>
      <c r="C128" s="8" t="inlineStr">
        <is>
          <t>2. Savings and temporary cash investments</t>
        </is>
      </c>
      <c r="D128" s="8" t="inlineStr">
        <is>
          <t>2E</t>
        </is>
      </c>
      <c r="E128" s="8" t="inlineStr">
        <is>
          <t>part_x_balance_sheet.savings_temp_invest_eoy</t>
        </is>
      </c>
      <c r="F128" s="8" t="inlineStr">
        <is>
          <t>high</t>
        </is>
      </c>
      <c r="G128" s="9" t="n">
        <v>477566</v>
      </c>
    </row>
    <row r="129">
      <c r="A129" s="8" t="inlineStr">
        <is>
          <t>Balance sheet (detail)</t>
        </is>
      </c>
      <c r="B129" s="8" t="inlineStr">
        <is>
          <t>D8</t>
        </is>
      </c>
      <c r="C129" s="8" t="inlineStr">
        <is>
          <t>2. Savings and temporary cash investments</t>
        </is>
      </c>
      <c r="D129" s="8" t="inlineStr">
        <is>
          <t>2E</t>
        </is>
      </c>
      <c r="E129" s="8" t="inlineStr">
        <is>
          <t>part_x_balance_sheet.savings_temp_invest_eoy</t>
        </is>
      </c>
      <c r="F129" s="8" t="inlineStr">
        <is>
          <t>high</t>
        </is>
      </c>
      <c r="G129" s="9" t="n">
        <v>1449309</v>
      </c>
    </row>
    <row r="130">
      <c r="A130" s="8" t="inlineStr">
        <is>
          <t>Balance sheet (detail)</t>
        </is>
      </c>
      <c r="B130" s="8" t="inlineStr">
        <is>
          <t>E8</t>
        </is>
      </c>
      <c r="C130" s="8" t="inlineStr">
        <is>
          <t>2. Savings and temporary cash investments</t>
        </is>
      </c>
      <c r="D130" s="8" t="inlineStr">
        <is>
          <t>2E</t>
        </is>
      </c>
      <c r="E130" s="8" t="inlineStr">
        <is>
          <t>part_x_balance_sheet.savings_temp_invest_eoy</t>
        </is>
      </c>
      <c r="F130" s="8" t="inlineStr">
        <is>
          <t>high</t>
        </is>
      </c>
      <c r="G130" s="9" t="n">
        <v>997259</v>
      </c>
    </row>
    <row r="131">
      <c r="A131" s="8" t="inlineStr">
        <is>
          <t>Balance sheet (detail)</t>
        </is>
      </c>
      <c r="B131" s="8" t="inlineStr">
        <is>
          <t>F8</t>
        </is>
      </c>
      <c r="C131" s="8" t="inlineStr">
        <is>
          <t>2. Savings and temporary cash investments</t>
        </is>
      </c>
      <c r="D131" s="8" t="inlineStr">
        <is>
          <t>2E</t>
        </is>
      </c>
      <c r="E131" s="8" t="inlineStr">
        <is>
          <t>part_x_balance_sheet.savings_temp_invest_eoy</t>
        </is>
      </c>
      <c r="F131" s="8" t="inlineStr">
        <is>
          <t>high</t>
        </is>
      </c>
      <c r="G131" s="9" t="n">
        <v>515589</v>
      </c>
    </row>
    <row r="132">
      <c r="A132" s="8" t="inlineStr">
        <is>
          <t>Balance sheet (detail)</t>
        </is>
      </c>
      <c r="B132" s="8" t="inlineStr">
        <is>
          <t>G8</t>
        </is>
      </c>
      <c r="C132" s="8" t="inlineStr">
        <is>
          <t>2. Savings and temporary cash investments</t>
        </is>
      </c>
      <c r="D132" s="8" t="inlineStr">
        <is>
          <t>2E</t>
        </is>
      </c>
      <c r="E132" s="8" t="inlineStr">
        <is>
          <t>part_x_balance_sheet.savings_temp_invest_eoy</t>
        </is>
      </c>
      <c r="F132" s="8" t="inlineStr">
        <is>
          <t>high</t>
        </is>
      </c>
      <c r="G132" s="9" t="n">
        <v>521810</v>
      </c>
    </row>
    <row r="133">
      <c r="A133" s="8" t="inlineStr">
        <is>
          <t>Balance sheet (detail)</t>
        </is>
      </c>
      <c r="B133" s="8" t="inlineStr">
        <is>
          <t>B9</t>
        </is>
      </c>
      <c r="C133" s="8" t="inlineStr">
        <is>
          <t>4. Accounts receivable, net</t>
        </is>
      </c>
      <c r="D133" s="8" t="inlineStr">
        <is>
          <t>4E</t>
        </is>
      </c>
      <c r="E133" s="8" t="inlineStr">
        <is>
          <t>part_x_balance_sheet.accounts_receivable_eoy</t>
        </is>
      </c>
      <c r="F133" s="8" t="inlineStr">
        <is>
          <t>high</t>
        </is>
      </c>
      <c r="G133" s="9" t="n">
        <v>185374</v>
      </c>
    </row>
    <row r="134">
      <c r="A134" s="8" t="inlineStr">
        <is>
          <t>Balance sheet (detail)</t>
        </is>
      </c>
      <c r="B134" s="8" t="inlineStr">
        <is>
          <t>C9</t>
        </is>
      </c>
      <c r="C134" s="8" t="inlineStr">
        <is>
          <t>4. Accounts receivable, net</t>
        </is>
      </c>
      <c r="D134" s="8" t="inlineStr">
        <is>
          <t>4E</t>
        </is>
      </c>
      <c r="E134" s="8" t="inlineStr">
        <is>
          <t>part_x_balance_sheet.accounts_receivable_eoy</t>
        </is>
      </c>
      <c r="F134" s="8" t="inlineStr">
        <is>
          <t>high</t>
        </is>
      </c>
      <c r="G134" s="9" t="n">
        <v>200325</v>
      </c>
    </row>
    <row r="135">
      <c r="A135" s="8" t="inlineStr">
        <is>
          <t>Balance sheet (detail)</t>
        </is>
      </c>
      <c r="B135" s="8" t="inlineStr">
        <is>
          <t>D9</t>
        </is>
      </c>
      <c r="C135" s="8" t="inlineStr">
        <is>
          <t>4. Accounts receivable, net</t>
        </is>
      </c>
      <c r="D135" s="8" t="inlineStr">
        <is>
          <t>4E</t>
        </is>
      </c>
      <c r="E135" s="8" t="inlineStr">
        <is>
          <t>part_x_balance_sheet.accounts_receivable_eoy</t>
        </is>
      </c>
      <c r="F135" s="8" t="inlineStr">
        <is>
          <t>high</t>
        </is>
      </c>
      <c r="G135" s="9" t="n">
        <v>134061</v>
      </c>
    </row>
    <row r="136">
      <c r="A136" s="8" t="inlineStr">
        <is>
          <t>Balance sheet (detail)</t>
        </is>
      </c>
      <c r="B136" s="8" t="inlineStr">
        <is>
          <t>E9</t>
        </is>
      </c>
      <c r="C136" s="8" t="inlineStr">
        <is>
          <t>4. Accounts receivable, net</t>
        </is>
      </c>
      <c r="D136" s="8" t="inlineStr">
        <is>
          <t>4E</t>
        </is>
      </c>
      <c r="E136" s="8" t="inlineStr">
        <is>
          <t>part_x_balance_sheet.accounts_receivable_eoy</t>
        </is>
      </c>
      <c r="F136" s="8" t="inlineStr">
        <is>
          <t>high</t>
        </is>
      </c>
      <c r="G136" s="9" t="n">
        <v>147063</v>
      </c>
    </row>
    <row r="137">
      <c r="A137" s="8" t="inlineStr">
        <is>
          <t>Balance sheet (detail)</t>
        </is>
      </c>
      <c r="B137" s="8" t="inlineStr">
        <is>
          <t>F9</t>
        </is>
      </c>
      <c r="C137" s="8" t="inlineStr">
        <is>
          <t>4. Accounts receivable, net</t>
        </is>
      </c>
      <c r="D137" s="8" t="inlineStr">
        <is>
          <t>4E</t>
        </is>
      </c>
      <c r="E137" s="8" t="inlineStr">
        <is>
          <t>part_x_balance_sheet.accounts_receivable_eoy</t>
        </is>
      </c>
      <c r="F137" s="8" t="inlineStr">
        <is>
          <t>high</t>
        </is>
      </c>
      <c r="G137" s="9" t="n">
        <v>183873</v>
      </c>
    </row>
    <row r="138">
      <c r="A138" s="8" t="inlineStr">
        <is>
          <t>Balance sheet (detail)</t>
        </is>
      </c>
      <c r="B138" s="8" t="inlineStr">
        <is>
          <t>G9</t>
        </is>
      </c>
      <c r="C138" s="8" t="inlineStr">
        <is>
          <t>4. Accounts receivable, net</t>
        </is>
      </c>
      <c r="D138" s="8" t="inlineStr">
        <is>
          <t>4E</t>
        </is>
      </c>
      <c r="E138" s="8" t="inlineStr">
        <is>
          <t>part_x_balance_sheet.accounts_receivable_eoy</t>
        </is>
      </c>
      <c r="F138" s="8" t="inlineStr">
        <is>
          <t>high</t>
        </is>
      </c>
      <c r="G138" s="9" t="n">
        <v>112939</v>
      </c>
    </row>
    <row r="139">
      <c r="A139" s="8" t="inlineStr">
        <is>
          <t>Balance sheet (detail)</t>
        </is>
      </c>
      <c r="B139" s="8" t="inlineStr">
        <is>
          <t>B10</t>
        </is>
      </c>
      <c r="C139" s="8" t="inlineStr">
        <is>
          <t>9. Prepaid expenses and deferred charges</t>
        </is>
      </c>
      <c r="D139" s="8" t="inlineStr">
        <is>
          <t>9E</t>
        </is>
      </c>
      <c r="E139" s="8" t="inlineStr">
        <is>
          <t>part_x_balance_sheet.prepaid_expenses_eoy</t>
        </is>
      </c>
      <c r="F139" s="8" t="inlineStr">
        <is>
          <t>high</t>
        </is>
      </c>
      <c r="G139" s="9" t="n">
        <v>109319</v>
      </c>
    </row>
    <row r="140">
      <c r="A140" s="8" t="inlineStr">
        <is>
          <t>Balance sheet (detail)</t>
        </is>
      </c>
      <c r="B140" s="8" t="inlineStr">
        <is>
          <t>C10</t>
        </is>
      </c>
      <c r="C140" s="8" t="inlineStr">
        <is>
          <t>9. Prepaid expenses and deferred charges</t>
        </is>
      </c>
      <c r="D140" s="8" t="inlineStr">
        <is>
          <t>9E</t>
        </is>
      </c>
      <c r="E140" s="8" t="inlineStr">
        <is>
          <t>part_x_balance_sheet.prepaid_expenses_eoy</t>
        </is>
      </c>
      <c r="F140" s="8" t="inlineStr">
        <is>
          <t>high</t>
        </is>
      </c>
      <c r="G140" s="9" t="n">
        <v>87892</v>
      </c>
    </row>
    <row r="141">
      <c r="A141" s="8" t="inlineStr">
        <is>
          <t>Balance sheet (detail)</t>
        </is>
      </c>
      <c r="B141" s="8" t="inlineStr">
        <is>
          <t>D10</t>
        </is>
      </c>
      <c r="C141" s="8" t="inlineStr">
        <is>
          <t>9. Prepaid expenses and deferred charges</t>
        </is>
      </c>
      <c r="D141" s="8" t="inlineStr">
        <is>
          <t>9E</t>
        </is>
      </c>
      <c r="E141" s="8" t="inlineStr">
        <is>
          <t>part_x_balance_sheet.prepaid_expenses_eoy</t>
        </is>
      </c>
      <c r="F141" s="8" t="inlineStr">
        <is>
          <t>high</t>
        </is>
      </c>
      <c r="G141" s="9" t="n">
        <v>106407</v>
      </c>
    </row>
    <row r="142">
      <c r="A142" s="8" t="inlineStr">
        <is>
          <t>Balance sheet (detail)</t>
        </is>
      </c>
      <c r="B142" s="8" t="inlineStr">
        <is>
          <t>E10</t>
        </is>
      </c>
      <c r="C142" s="8" t="inlineStr">
        <is>
          <t>9. Prepaid expenses and deferred charges</t>
        </is>
      </c>
      <c r="D142" s="8" t="inlineStr">
        <is>
          <t>9E</t>
        </is>
      </c>
      <c r="E142" s="8" t="inlineStr">
        <is>
          <t>part_x_balance_sheet.prepaid_expenses_eoy</t>
        </is>
      </c>
      <c r="F142" s="8" t="inlineStr">
        <is>
          <t>high</t>
        </is>
      </c>
      <c r="G142" s="9" t="n">
        <v>128063</v>
      </c>
    </row>
    <row r="143">
      <c r="A143" s="8" t="inlineStr">
        <is>
          <t>Balance sheet (detail)</t>
        </is>
      </c>
      <c r="B143" s="8" t="inlineStr">
        <is>
          <t>F10</t>
        </is>
      </c>
      <c r="C143" s="8" t="inlineStr">
        <is>
          <t>9. Prepaid expenses and deferred charges</t>
        </is>
      </c>
      <c r="D143" s="8" t="inlineStr">
        <is>
          <t>9E</t>
        </is>
      </c>
      <c r="E143" s="8" t="inlineStr">
        <is>
          <t>part_x_balance_sheet.prepaid_expenses_eoy</t>
        </is>
      </c>
      <c r="F143" s="8" t="inlineStr">
        <is>
          <t>high</t>
        </is>
      </c>
      <c r="G143" s="9" t="n">
        <v>82189</v>
      </c>
    </row>
    <row r="144">
      <c r="A144" s="8" t="inlineStr">
        <is>
          <t>Balance sheet (detail)</t>
        </is>
      </c>
      <c r="B144" s="8" t="inlineStr">
        <is>
          <t>G10</t>
        </is>
      </c>
      <c r="C144" s="8" t="inlineStr">
        <is>
          <t>9. Prepaid expenses and deferred charges</t>
        </is>
      </c>
      <c r="D144" s="8" t="inlineStr">
        <is>
          <t>9E</t>
        </is>
      </c>
      <c r="E144" s="8" t="inlineStr">
        <is>
          <t>part_x_balance_sheet.prepaid_expenses_eoy</t>
        </is>
      </c>
      <c r="F144" s="8" t="inlineStr">
        <is>
          <t>high</t>
        </is>
      </c>
      <c r="G144" s="9" t="n">
        <v>82869</v>
      </c>
    </row>
    <row r="145">
      <c r="A145" s="8" t="inlineStr">
        <is>
          <t>Balance sheet (detail)</t>
        </is>
      </c>
      <c r="B145" s="8" t="inlineStr">
        <is>
          <t>B11</t>
        </is>
      </c>
      <c r="C145" s="8" t="inlineStr">
        <is>
          <t>10c. Land, buildings, and equipment, net</t>
        </is>
      </c>
      <c r="D145" s="8" t="inlineStr">
        <is>
          <t>10cE</t>
        </is>
      </c>
      <c r="E145" s="8" t="inlineStr">
        <is>
          <t>part_x_balance_sheet.land_bldg_equip_net_eoy</t>
        </is>
      </c>
      <c r="F145" s="8" t="inlineStr">
        <is>
          <t>high</t>
        </is>
      </c>
      <c r="G145" s="9" t="n">
        <v>3713548</v>
      </c>
    </row>
    <row r="146">
      <c r="A146" s="8" t="inlineStr">
        <is>
          <t>Balance sheet (detail)</t>
        </is>
      </c>
      <c r="B146" s="8" t="inlineStr">
        <is>
          <t>C11</t>
        </is>
      </c>
      <c r="C146" s="8" t="inlineStr">
        <is>
          <t>10c. Land, buildings, and equipment, net</t>
        </is>
      </c>
      <c r="D146" s="8" t="inlineStr">
        <is>
          <t>10cE</t>
        </is>
      </c>
      <c r="E146" s="8" t="inlineStr">
        <is>
          <t>part_x_balance_sheet.land_bldg_equip_net_eoy</t>
        </is>
      </c>
      <c r="F146" s="8" t="inlineStr">
        <is>
          <t>high</t>
        </is>
      </c>
      <c r="G146" s="9" t="n">
        <v>3951849</v>
      </c>
    </row>
    <row r="147">
      <c r="A147" s="8" t="inlineStr">
        <is>
          <t>Balance sheet (detail)</t>
        </is>
      </c>
      <c r="B147" s="8" t="inlineStr">
        <is>
          <t>D11</t>
        </is>
      </c>
      <c r="C147" s="8" t="inlineStr">
        <is>
          <t>10c. Land, buildings, and equipment, net</t>
        </is>
      </c>
      <c r="D147" s="8" t="inlineStr">
        <is>
          <t>10cE</t>
        </is>
      </c>
      <c r="E147" s="8" t="inlineStr">
        <is>
          <t>part_x_balance_sheet.land_bldg_equip_net_eoy</t>
        </is>
      </c>
      <c r="F147" s="8" t="inlineStr">
        <is>
          <t>high</t>
        </is>
      </c>
      <c r="G147" s="9" t="n">
        <v>4181232</v>
      </c>
    </row>
    <row r="148">
      <c r="A148" s="8" t="inlineStr">
        <is>
          <t>Balance sheet (detail)</t>
        </is>
      </c>
      <c r="B148" s="8" t="inlineStr">
        <is>
          <t>E11</t>
        </is>
      </c>
      <c r="C148" s="8" t="inlineStr">
        <is>
          <t>10c. Land, buildings, and equipment, net</t>
        </is>
      </c>
      <c r="D148" s="8" t="inlineStr">
        <is>
          <t>10cE</t>
        </is>
      </c>
      <c r="E148" s="8" t="inlineStr">
        <is>
          <t>part_x_balance_sheet.land_bldg_equip_net_eoy</t>
        </is>
      </c>
      <c r="F148" s="8" t="inlineStr">
        <is>
          <t>high</t>
        </is>
      </c>
      <c r="G148" s="9" t="n">
        <v>4167400</v>
      </c>
    </row>
    <row r="149">
      <c r="A149" s="8" t="inlineStr">
        <is>
          <t>Balance sheet (detail)</t>
        </is>
      </c>
      <c r="B149" s="8" t="inlineStr">
        <is>
          <t>F11</t>
        </is>
      </c>
      <c r="C149" s="8" t="inlineStr">
        <is>
          <t>10c. Land, buildings, and equipment, net</t>
        </is>
      </c>
      <c r="D149" s="8" t="inlineStr">
        <is>
          <t>10cE</t>
        </is>
      </c>
      <c r="E149" s="8" t="inlineStr">
        <is>
          <t>part_x_balance_sheet.land_bldg_equip_net_eoy</t>
        </is>
      </c>
      <c r="F149" s="8" t="inlineStr">
        <is>
          <t>high</t>
        </is>
      </c>
      <c r="G149" s="9" t="n">
        <v>4001528</v>
      </c>
    </row>
    <row r="150">
      <c r="A150" s="8" t="inlineStr">
        <is>
          <t>Balance sheet (detail)</t>
        </is>
      </c>
      <c r="B150" s="8" t="inlineStr">
        <is>
          <t>G11</t>
        </is>
      </c>
      <c r="C150" s="8" t="inlineStr">
        <is>
          <t>10c. Land, buildings, and equipment, net</t>
        </is>
      </c>
      <c r="D150" s="8" t="inlineStr">
        <is>
          <t>10cE</t>
        </is>
      </c>
      <c r="E150" s="8" t="inlineStr">
        <is>
          <t>part_x_balance_sheet.land_bldg_equip_net_eoy</t>
        </is>
      </c>
      <c r="F150" s="8" t="inlineStr">
        <is>
          <t>high</t>
        </is>
      </c>
      <c r="G150" s="9" t="n">
        <v>4018131</v>
      </c>
    </row>
    <row r="151">
      <c r="A151" s="8" t="inlineStr">
        <is>
          <t>Balance sheet (detail)</t>
        </is>
      </c>
      <c r="B151" s="8" t="inlineStr">
        <is>
          <t>B15</t>
        </is>
      </c>
      <c r="C151" s="8" t="inlineStr">
        <is>
          <t>17. Accounts payable and accrued expenses</t>
        </is>
      </c>
      <c r="D151" s="8" t="inlineStr">
        <is>
          <t>17E</t>
        </is>
      </c>
      <c r="E151" s="8" t="inlineStr">
        <is>
          <t>part_x_balance_sheet.accounts_payable_eoy</t>
        </is>
      </c>
      <c r="F151" s="8" t="inlineStr">
        <is>
          <t>high</t>
        </is>
      </c>
      <c r="G151" s="9" t="n">
        <v>266874</v>
      </c>
    </row>
    <row r="152">
      <c r="A152" s="8" t="inlineStr">
        <is>
          <t>Balance sheet (detail)</t>
        </is>
      </c>
      <c r="B152" s="8" t="inlineStr">
        <is>
          <t>C15</t>
        </is>
      </c>
      <c r="C152" s="8" t="inlineStr">
        <is>
          <t>17. Accounts payable and accrued expenses</t>
        </is>
      </c>
      <c r="D152" s="8" t="inlineStr">
        <is>
          <t>17E</t>
        </is>
      </c>
      <c r="E152" s="8" t="inlineStr">
        <is>
          <t>part_x_balance_sheet.accounts_payable_eoy</t>
        </is>
      </c>
      <c r="F152" s="8" t="inlineStr">
        <is>
          <t>high</t>
        </is>
      </c>
      <c r="G152" s="9" t="n">
        <v>160925</v>
      </c>
    </row>
    <row r="153">
      <c r="A153" s="8" t="inlineStr">
        <is>
          <t>Balance sheet (detail)</t>
        </is>
      </c>
      <c r="B153" s="8" t="inlineStr">
        <is>
          <t>D15</t>
        </is>
      </c>
      <c r="C153" s="8" t="inlineStr">
        <is>
          <t>17. Accounts payable and accrued expenses</t>
        </is>
      </c>
      <c r="D153" s="8" t="inlineStr">
        <is>
          <t>17E</t>
        </is>
      </c>
      <c r="E153" s="8" t="inlineStr">
        <is>
          <t>part_x_balance_sheet.accounts_payable_eoy</t>
        </is>
      </c>
      <c r="F153" s="8" t="inlineStr">
        <is>
          <t>high</t>
        </is>
      </c>
      <c r="G153" s="9" t="n">
        <v>161268</v>
      </c>
    </row>
    <row r="154">
      <c r="A154" s="8" t="inlineStr">
        <is>
          <t>Balance sheet (detail)</t>
        </is>
      </c>
      <c r="B154" s="8" t="inlineStr">
        <is>
          <t>E15</t>
        </is>
      </c>
      <c r="C154" s="8" t="inlineStr">
        <is>
          <t>17. Accounts payable and accrued expenses</t>
        </is>
      </c>
      <c r="D154" s="8" t="inlineStr">
        <is>
          <t>17E</t>
        </is>
      </c>
      <c r="E154" s="8" t="inlineStr">
        <is>
          <t>part_x_balance_sheet.accounts_payable_eoy</t>
        </is>
      </c>
      <c r="F154" s="8" t="inlineStr">
        <is>
          <t>high</t>
        </is>
      </c>
      <c r="G154" s="9" t="n">
        <v>201286</v>
      </c>
    </row>
    <row r="155">
      <c r="A155" s="8" t="inlineStr">
        <is>
          <t>Balance sheet (detail)</t>
        </is>
      </c>
      <c r="B155" s="8" t="inlineStr">
        <is>
          <t>F15</t>
        </is>
      </c>
      <c r="C155" s="8" t="inlineStr">
        <is>
          <t>17. Accounts payable and accrued expenses</t>
        </is>
      </c>
      <c r="D155" s="8" t="inlineStr">
        <is>
          <t>17E</t>
        </is>
      </c>
      <c r="E155" s="8" t="inlineStr">
        <is>
          <t>part_x_balance_sheet.accounts_payable_eoy</t>
        </is>
      </c>
      <c r="F155" s="8" t="inlineStr">
        <is>
          <t>high</t>
        </is>
      </c>
      <c r="G155" s="9" t="n">
        <v>330674</v>
      </c>
    </row>
    <row r="156">
      <c r="A156" s="8" t="inlineStr">
        <is>
          <t>Balance sheet (detail)</t>
        </is>
      </c>
      <c r="B156" s="8" t="inlineStr">
        <is>
          <t>G15</t>
        </is>
      </c>
      <c r="C156" s="8" t="inlineStr">
        <is>
          <t>17. Accounts payable and accrued expenses</t>
        </is>
      </c>
      <c r="D156" s="8" t="inlineStr">
        <is>
          <t>17E</t>
        </is>
      </c>
      <c r="E156" s="8" t="inlineStr">
        <is>
          <t>part_x_balance_sheet.accounts_payable_eoy</t>
        </is>
      </c>
      <c r="F156" s="8" t="inlineStr">
        <is>
          <t>high</t>
        </is>
      </c>
      <c r="G156" s="9" t="n">
        <v>172908</v>
      </c>
    </row>
    <row r="157">
      <c r="A157" s="8" t="inlineStr">
        <is>
          <t>Balance sheet (detail)</t>
        </is>
      </c>
      <c r="B157" s="8" t="inlineStr">
        <is>
          <t>B16</t>
        </is>
      </c>
      <c r="C157" s="8" t="inlineStr">
        <is>
          <t>23. Secured mortgages and notes payable</t>
        </is>
      </c>
      <c r="D157" s="8" t="inlineStr">
        <is>
          <t>23E</t>
        </is>
      </c>
      <c r="E157" s="8" t="inlineStr">
        <is>
          <t>part_x_balance_sheet.mortgages_secured_notes_eoy</t>
        </is>
      </c>
      <c r="F157" s="8" t="inlineStr">
        <is>
          <t>high</t>
        </is>
      </c>
      <c r="G157" s="9" t="n">
        <v>1304223</v>
      </c>
    </row>
    <row r="158">
      <c r="A158" s="8" t="inlineStr">
        <is>
          <t>Balance sheet (detail)</t>
        </is>
      </c>
      <c r="B158" s="8" t="inlineStr">
        <is>
          <t>C16</t>
        </is>
      </c>
      <c r="C158" s="8" t="inlineStr">
        <is>
          <t>23. Secured mortgages and notes payable</t>
        </is>
      </c>
      <c r="D158" s="8" t="inlineStr">
        <is>
          <t>23E</t>
        </is>
      </c>
      <c r="E158" s="8" t="inlineStr">
        <is>
          <t>part_x_balance_sheet.mortgages_secured_notes_eoy</t>
        </is>
      </c>
      <c r="F158" s="8" t="inlineStr">
        <is>
          <t>high</t>
        </is>
      </c>
      <c r="G158" s="9" t="n">
        <v>1176683</v>
      </c>
    </row>
    <row r="159">
      <c r="A159" s="8" t="inlineStr">
        <is>
          <t>Balance sheet (detail)</t>
        </is>
      </c>
      <c r="B159" s="8" t="inlineStr">
        <is>
          <t>D16</t>
        </is>
      </c>
      <c r="C159" s="8" t="inlineStr">
        <is>
          <t>23. Secured mortgages and notes payable</t>
        </is>
      </c>
      <c r="D159" s="8" t="inlineStr">
        <is>
          <t>23E</t>
        </is>
      </c>
      <c r="E159" s="8" t="inlineStr">
        <is>
          <t>part_x_balance_sheet.mortgages_secured_notes_eoy</t>
        </is>
      </c>
      <c r="F159" s="8" t="inlineStr">
        <is>
          <t>high</t>
        </is>
      </c>
      <c r="G159" s="9" t="n">
        <v>1054156</v>
      </c>
    </row>
    <row r="160">
      <c r="A160" s="8" t="inlineStr">
        <is>
          <t>Balance sheet (detail)</t>
        </is>
      </c>
      <c r="B160" s="8" t="inlineStr">
        <is>
          <t>B20</t>
        </is>
      </c>
      <c r="C160" s="8" t="inlineStr">
        <is>
          <t>27. Net assets without donor restrictions</t>
        </is>
      </c>
      <c r="D160" s="8" t="inlineStr">
        <is>
          <t>27E</t>
        </is>
      </c>
      <c r="E160" s="8" t="inlineStr">
        <is>
          <t>part_x_balance_sheet.net_assets_no_donor_restriction_eoy</t>
        </is>
      </c>
      <c r="F160" s="8" t="inlineStr">
        <is>
          <t>high</t>
        </is>
      </c>
      <c r="G160" s="9" t="n">
        <v>5264170</v>
      </c>
    </row>
    <row r="161">
      <c r="A161" s="8" t="inlineStr">
        <is>
          <t>Balance sheet (detail)</t>
        </is>
      </c>
      <c r="B161" s="8" t="inlineStr">
        <is>
          <t>C20</t>
        </is>
      </c>
      <c r="C161" s="8" t="inlineStr">
        <is>
          <t>27. Net assets without donor restrictions</t>
        </is>
      </c>
      <c r="D161" s="8" t="inlineStr">
        <is>
          <t>27E</t>
        </is>
      </c>
      <c r="E161" s="8" t="inlineStr">
        <is>
          <t>part_x_balance_sheet.net_assets_no_donor_restriction_eoy</t>
        </is>
      </c>
      <c r="F161" s="8" t="inlineStr">
        <is>
          <t>high</t>
        </is>
      </c>
      <c r="G161" s="9" t="n">
        <v>5468800</v>
      </c>
    </row>
    <row r="162">
      <c r="A162" s="8" t="inlineStr">
        <is>
          <t>Balance sheet (detail)</t>
        </is>
      </c>
      <c r="B162" s="8" t="inlineStr">
        <is>
          <t>D20</t>
        </is>
      </c>
      <c r="C162" s="8" t="inlineStr">
        <is>
          <t>27. Net assets without donor restrictions</t>
        </is>
      </c>
      <c r="D162" s="8" t="inlineStr">
        <is>
          <t>27E</t>
        </is>
      </c>
      <c r="E162" s="8" t="inlineStr">
        <is>
          <t>part_x_balance_sheet.net_assets_no_donor_restriction_eoy</t>
        </is>
      </c>
      <c r="F162" s="8" t="inlineStr">
        <is>
          <t>high</t>
        </is>
      </c>
      <c r="G162" s="9" t="n">
        <v>6132856</v>
      </c>
    </row>
    <row r="163">
      <c r="A163" s="8" t="inlineStr">
        <is>
          <t>Balance sheet (detail)</t>
        </is>
      </c>
      <c r="B163" s="8" t="inlineStr">
        <is>
          <t>E20</t>
        </is>
      </c>
      <c r="C163" s="8" t="inlineStr">
        <is>
          <t>27. Net assets without donor restrictions</t>
        </is>
      </c>
      <c r="D163" s="8" t="inlineStr">
        <is>
          <t>27E</t>
        </is>
      </c>
      <c r="E163" s="8" t="inlineStr">
        <is>
          <t>part_x_balance_sheet.net_assets_no_donor_restriction_eoy</t>
        </is>
      </c>
      <c r="F163" s="8" t="inlineStr">
        <is>
          <t>high</t>
        </is>
      </c>
      <c r="G163" s="9" t="n">
        <v>5701093</v>
      </c>
    </row>
    <row r="164">
      <c r="A164" s="8" t="inlineStr">
        <is>
          <t>Balance sheet (detail)</t>
        </is>
      </c>
      <c r="B164" s="8" t="inlineStr">
        <is>
          <t>F20</t>
        </is>
      </c>
      <c r="C164" s="8" t="inlineStr">
        <is>
          <t>27. Net assets without donor restrictions</t>
        </is>
      </c>
      <c r="D164" s="8" t="inlineStr">
        <is>
          <t>27E</t>
        </is>
      </c>
      <c r="E164" s="8" t="inlineStr">
        <is>
          <t>part_x_balance_sheet.net_assets_no_donor_restriction_eoy</t>
        </is>
      </c>
      <c r="F164" s="8" t="inlineStr">
        <is>
          <t>high</t>
        </is>
      </c>
      <c r="G164" s="9" t="n">
        <v>5825878</v>
      </c>
    </row>
    <row r="165">
      <c r="A165" s="8" t="inlineStr">
        <is>
          <t>Balance sheet (detail)</t>
        </is>
      </c>
      <c r="B165" s="8" t="inlineStr">
        <is>
          <t>G20</t>
        </is>
      </c>
      <c r="C165" s="8" t="inlineStr">
        <is>
          <t>27. Net assets without donor restrictions</t>
        </is>
      </c>
      <c r="D165" s="8" t="inlineStr">
        <is>
          <t>27E</t>
        </is>
      </c>
      <c r="E165" s="8" t="inlineStr">
        <is>
          <t>part_x_balance_sheet.net_assets_no_donor_restriction_eoy</t>
        </is>
      </c>
      <c r="F165" s="8" t="inlineStr">
        <is>
          <t>high</t>
        </is>
      </c>
      <c r="G165" s="9" t="n">
        <v>5773253</v>
      </c>
    </row>
    <row r="166">
      <c r="A166" s="8" t="inlineStr">
        <is>
          <t>Net-assets reconciliation</t>
        </is>
      </c>
      <c r="B166" s="8" t="inlineStr">
        <is>
          <t>B7</t>
        </is>
      </c>
      <c r="C166" s="8" t="inlineStr">
        <is>
          <t>4. Net assets, beginning of year</t>
        </is>
      </c>
      <c r="D166" s="8" t="inlineStr">
        <is>
          <t>Part XI line 4</t>
        </is>
      </c>
      <c r="E166" s="8" t="inlineStr">
        <is>
          <t>part_xi_reconciliation.net_assets_boy</t>
        </is>
      </c>
      <c r="F166" s="8" t="inlineStr">
        <is>
          <t>high</t>
        </is>
      </c>
      <c r="G166" s="9" t="n">
        <v>4453907</v>
      </c>
    </row>
    <row r="167">
      <c r="A167" s="8" t="inlineStr">
        <is>
          <t>Net-assets reconciliation</t>
        </is>
      </c>
      <c r="B167" s="8" t="inlineStr">
        <is>
          <t>C7</t>
        </is>
      </c>
      <c r="C167" s="8" t="inlineStr">
        <is>
          <t>4. Net assets, beginning of year</t>
        </is>
      </c>
      <c r="D167" s="8" t="inlineStr">
        <is>
          <t>Part XI line 4</t>
        </is>
      </c>
      <c r="E167" s="8" t="inlineStr">
        <is>
          <t>part_xi_reconciliation.net_assets_boy</t>
        </is>
      </c>
      <c r="F167" s="8" t="inlineStr">
        <is>
          <t>high</t>
        </is>
      </c>
      <c r="G167" s="9" t="n">
        <v>5264170</v>
      </c>
    </row>
    <row r="168">
      <c r="A168" s="8" t="inlineStr">
        <is>
          <t>Net-assets reconciliation</t>
        </is>
      </c>
      <c r="B168" s="8" t="inlineStr">
        <is>
          <t>D7</t>
        </is>
      </c>
      <c r="C168" s="8" t="inlineStr">
        <is>
          <t>4. Net assets, beginning of year</t>
        </is>
      </c>
      <c r="D168" s="8" t="inlineStr">
        <is>
          <t>Part XI line 4</t>
        </is>
      </c>
      <c r="E168" s="8" t="inlineStr">
        <is>
          <t>part_xi_reconciliation.net_assets_boy</t>
        </is>
      </c>
      <c r="F168" s="8" t="inlineStr">
        <is>
          <t>high</t>
        </is>
      </c>
      <c r="G168" s="9" t="n">
        <v>5468800</v>
      </c>
    </row>
    <row r="169">
      <c r="A169" s="8" t="inlineStr">
        <is>
          <t>Net-assets reconciliation</t>
        </is>
      </c>
      <c r="B169" s="8" t="inlineStr">
        <is>
          <t>E7</t>
        </is>
      </c>
      <c r="C169" s="8" t="inlineStr">
        <is>
          <t>4. Net assets, beginning of year</t>
        </is>
      </c>
      <c r="D169" s="8" t="inlineStr">
        <is>
          <t>Part XI line 4</t>
        </is>
      </c>
      <c r="E169" s="8" t="inlineStr">
        <is>
          <t>part_xi_reconciliation.net_assets_boy</t>
        </is>
      </c>
      <c r="F169" s="8" t="inlineStr">
        <is>
          <t>high</t>
        </is>
      </c>
      <c r="G169" s="9" t="n">
        <v>6132856</v>
      </c>
    </row>
    <row r="170">
      <c r="A170" s="8" t="inlineStr">
        <is>
          <t>Net-assets reconciliation</t>
        </is>
      </c>
      <c r="B170" s="8" t="inlineStr">
        <is>
          <t>F7</t>
        </is>
      </c>
      <c r="C170" s="8" t="inlineStr">
        <is>
          <t>4. Net assets, beginning of year</t>
        </is>
      </c>
      <c r="D170" s="8" t="inlineStr">
        <is>
          <t>Part XI line 4</t>
        </is>
      </c>
      <c r="E170" s="8" t="inlineStr">
        <is>
          <t>part_xi_reconciliation.net_assets_boy</t>
        </is>
      </c>
      <c r="F170" s="8" t="inlineStr">
        <is>
          <t>high</t>
        </is>
      </c>
      <c r="G170" s="9" t="n">
        <v>5701093</v>
      </c>
    </row>
    <row r="171">
      <c r="A171" s="8" t="inlineStr">
        <is>
          <t>Net-assets reconciliation</t>
        </is>
      </c>
      <c r="B171" s="8" t="inlineStr">
        <is>
          <t>G7</t>
        </is>
      </c>
      <c r="C171" s="8" t="inlineStr">
        <is>
          <t>4. Net assets, beginning of year</t>
        </is>
      </c>
      <c r="D171" s="8" t="inlineStr">
        <is>
          <t>Part XI line 4</t>
        </is>
      </c>
      <c r="E171" s="8" t="inlineStr">
        <is>
          <t>part_xi_reconciliation.net_assets_boy</t>
        </is>
      </c>
      <c r="F171" s="8" t="inlineStr">
        <is>
          <t>high</t>
        </is>
      </c>
      <c r="G171" s="9" t="n">
        <v>5825878</v>
      </c>
    </row>
    <row r="172">
      <c r="A172" s="8" t="inlineStr">
        <is>
          <t>Net-assets reconciliation</t>
        </is>
      </c>
      <c r="B172" s="8" t="inlineStr">
        <is>
          <t>B8</t>
        </is>
      </c>
      <c r="C172" s="8" t="inlineStr">
        <is>
          <t>3. Revenue less expenses</t>
        </is>
      </c>
      <c r="D172" s="8" t="inlineStr">
        <is>
          <t>Part XI line 3</t>
        </is>
      </c>
      <c r="E172" s="8" t="inlineStr">
        <is>
          <t>part_xi_reconciliation.reconciliation_revenue_expenses</t>
        </is>
      </c>
      <c r="F172" s="8" t="inlineStr">
        <is>
          <t>high</t>
        </is>
      </c>
      <c r="G172" s="9" t="n">
        <v>810263</v>
      </c>
    </row>
    <row r="173">
      <c r="A173" s="8" t="inlineStr">
        <is>
          <t>Net-assets reconciliation</t>
        </is>
      </c>
      <c r="B173" s="8" t="inlineStr">
        <is>
          <t>C8</t>
        </is>
      </c>
      <c r="C173" s="8" t="inlineStr">
        <is>
          <t>3. Revenue less expenses</t>
        </is>
      </c>
      <c r="D173" s="8" t="inlineStr">
        <is>
          <t>Part XI line 3</t>
        </is>
      </c>
      <c r="E173" s="8" t="inlineStr">
        <is>
          <t>part_xi_reconciliation.reconciliation_revenue_expenses</t>
        </is>
      </c>
      <c r="F173" s="8" t="inlineStr">
        <is>
          <t>high</t>
        </is>
      </c>
      <c r="G173" s="9" t="n">
        <v>204630</v>
      </c>
    </row>
    <row r="174">
      <c r="A174" s="8" t="inlineStr">
        <is>
          <t>Net-assets reconciliation</t>
        </is>
      </c>
      <c r="B174" s="8" t="inlineStr">
        <is>
          <t>D8</t>
        </is>
      </c>
      <c r="C174" s="8" t="inlineStr">
        <is>
          <t>3. Revenue less expenses</t>
        </is>
      </c>
      <c r="D174" s="8" t="inlineStr">
        <is>
          <t>Part XI line 3</t>
        </is>
      </c>
      <c r="E174" s="8" t="inlineStr">
        <is>
          <t>part_xi_reconciliation.reconciliation_revenue_expenses</t>
        </is>
      </c>
      <c r="F174" s="8" t="inlineStr">
        <is>
          <t>high</t>
        </is>
      </c>
      <c r="G174" s="9" t="n">
        <v>664056</v>
      </c>
    </row>
    <row r="175">
      <c r="A175" s="8" t="inlineStr">
        <is>
          <t>Net-assets reconciliation</t>
        </is>
      </c>
      <c r="B175" s="8" t="inlineStr">
        <is>
          <t>E8</t>
        </is>
      </c>
      <c r="C175" s="8" t="inlineStr">
        <is>
          <t>3. Revenue less expenses</t>
        </is>
      </c>
      <c r="D175" s="8" t="inlineStr">
        <is>
          <t>Part XI line 3</t>
        </is>
      </c>
      <c r="E175" s="8" t="inlineStr">
        <is>
          <t>part_xi_reconciliation.reconciliation_revenue_expenses</t>
        </is>
      </c>
      <c r="F175" s="8" t="inlineStr">
        <is>
          <t>high</t>
        </is>
      </c>
      <c r="G175" s="9" t="n">
        <v>-431761</v>
      </c>
    </row>
    <row r="176">
      <c r="A176" s="8" t="inlineStr">
        <is>
          <t>Net-assets reconciliation</t>
        </is>
      </c>
      <c r="B176" s="8" t="inlineStr">
        <is>
          <t>F8</t>
        </is>
      </c>
      <c r="C176" s="8" t="inlineStr">
        <is>
          <t>3. Revenue less expenses</t>
        </is>
      </c>
      <c r="D176" s="8" t="inlineStr">
        <is>
          <t>Part XI line 3</t>
        </is>
      </c>
      <c r="E176" s="8" t="inlineStr">
        <is>
          <t>part_xi_reconciliation.reconciliation_revenue_expenses</t>
        </is>
      </c>
      <c r="F176" s="8" t="inlineStr">
        <is>
          <t>high</t>
        </is>
      </c>
      <c r="G176" s="9" t="n">
        <v>124785</v>
      </c>
    </row>
    <row r="177">
      <c r="A177" s="8" t="inlineStr">
        <is>
          <t>Net-assets reconciliation</t>
        </is>
      </c>
      <c r="B177" s="8" t="inlineStr">
        <is>
          <t>G8</t>
        </is>
      </c>
      <c r="C177" s="8" t="inlineStr">
        <is>
          <t>3. Revenue less expenses</t>
        </is>
      </c>
      <c r="D177" s="8" t="inlineStr">
        <is>
          <t>Part XI line 3</t>
        </is>
      </c>
      <c r="E177" s="8" t="inlineStr">
        <is>
          <t>part_xi_reconciliation.reconciliation_revenue_expenses</t>
        </is>
      </c>
      <c r="F177" s="8" t="inlineStr">
        <is>
          <t>high</t>
        </is>
      </c>
      <c r="G177" s="9" t="n">
        <v>-52625</v>
      </c>
    </row>
    <row r="178">
      <c r="A178" s="8" t="inlineStr">
        <is>
          <t>Net-assets reconciliation</t>
        </is>
      </c>
      <c r="B178" s="8" t="inlineStr">
        <is>
          <t>E10</t>
        </is>
      </c>
      <c r="C178" s="8" t="inlineStr">
        <is>
          <t>9. Other changes in net assets</t>
        </is>
      </c>
      <c r="D178" s="8" t="inlineStr">
        <is>
          <t>Part XI line 9</t>
        </is>
      </c>
      <c r="E178" s="8" t="inlineStr">
        <is>
          <t>part_xi_reconciliation.other_changes_net_assets</t>
        </is>
      </c>
      <c r="F178" s="8" t="inlineStr">
        <is>
          <t>high</t>
        </is>
      </c>
      <c r="G178" s="9" t="n">
        <v>-2</v>
      </c>
    </row>
    <row r="180">
      <c r="A180" s="39" t="inlineStr">
        <is>
          <t>C. Tie-out checks (filed vs computed; any nonzero variance is flagged red)</t>
        </is>
      </c>
      <c r="B180" s="7" t="n"/>
      <c r="C180" s="7" t="n"/>
      <c r="D180" s="7" t="n"/>
      <c r="E180" s="7" t="n"/>
      <c r="F180" s="7" t="n"/>
      <c r="G180" s="7" t="n"/>
      <c r="H180" s="7" t="n"/>
      <c r="I180" s="7" t="n"/>
      <c r="J180" s="7" t="n"/>
      <c r="K180" s="7" t="n"/>
    </row>
    <row r="181">
      <c r="A181" s="5" t="inlineStr">
        <is>
          <t>Tab</t>
        </is>
      </c>
      <c r="B181" s="5" t="inlineStr">
        <is>
          <t>Check</t>
        </is>
      </c>
      <c r="C181" s="5" t="inlineStr">
        <is>
          <t>Fiscal year</t>
        </is>
      </c>
      <c r="D181" s="5" t="inlineStr">
        <is>
          <t>Filed</t>
        </is>
      </c>
      <c r="E181" s="5" t="inlineStr">
        <is>
          <t>Computed</t>
        </is>
      </c>
      <c r="F181" s="5" t="inlineStr">
        <is>
          <t>Variance (computed - filed)</t>
        </is>
      </c>
    </row>
    <row r="182">
      <c r="A182" s="18" t="inlineStr">
        <is>
          <t>Revenue (detail)</t>
        </is>
      </c>
      <c r="B182" s="18" t="inlineStr">
        <is>
          <t>12. Total revenue</t>
        </is>
      </c>
      <c r="C182" s="18" t="inlineStr">
        <is>
          <t>FY2020</t>
        </is>
      </c>
      <c r="D182" s="9" t="n">
        <v>2399270</v>
      </c>
      <c r="E182" s="9">
        <f>'Revenue (detail)'!B13</f>
        <v/>
      </c>
      <c r="F182" s="9">
        <f>E182-D182</f>
        <v/>
      </c>
    </row>
    <row r="183">
      <c r="A183" s="18" t="inlineStr">
        <is>
          <t>Revenue (detail)</t>
        </is>
      </c>
      <c r="B183" s="18" t="inlineStr">
        <is>
          <t>12. Total revenue</t>
        </is>
      </c>
      <c r="C183" s="18" t="inlineStr">
        <is>
          <t>FY2021</t>
        </is>
      </c>
      <c r="D183" s="9" t="n">
        <v>2150514</v>
      </c>
      <c r="E183" s="9">
        <f>'Revenue (detail)'!C13</f>
        <v/>
      </c>
      <c r="F183" s="9">
        <f>E183-D183</f>
        <v/>
      </c>
    </row>
    <row r="184">
      <c r="A184" s="18" t="inlineStr">
        <is>
          <t>Revenue (detail)</t>
        </is>
      </c>
      <c r="B184" s="18" t="inlineStr">
        <is>
          <t>12. Total revenue</t>
        </is>
      </c>
      <c r="C184" s="18" t="inlineStr">
        <is>
          <t>FY2022</t>
        </is>
      </c>
      <c r="D184" s="9" t="n">
        <v>2248130</v>
      </c>
      <c r="E184" s="9">
        <f>'Revenue (detail)'!D13</f>
        <v/>
      </c>
      <c r="F184" s="9">
        <f>E184-D184</f>
        <v/>
      </c>
    </row>
    <row r="185">
      <c r="A185" s="18" t="inlineStr">
        <is>
          <t>Revenue (detail)</t>
        </is>
      </c>
      <c r="B185" s="18" t="inlineStr">
        <is>
          <t>12. Total revenue</t>
        </is>
      </c>
      <c r="C185" s="18" t="inlineStr">
        <is>
          <t>FY2023</t>
        </is>
      </c>
      <c r="D185" s="9" t="n">
        <v>1275777</v>
      </c>
      <c r="E185" s="9">
        <f>'Revenue (detail)'!E13</f>
        <v/>
      </c>
      <c r="F185" s="9">
        <f>E185-D185</f>
        <v/>
      </c>
    </row>
    <row r="186">
      <c r="A186" s="18" t="inlineStr">
        <is>
          <t>Revenue (detail)</t>
        </is>
      </c>
      <c r="B186" s="18" t="inlineStr">
        <is>
          <t>12. Total revenue</t>
        </is>
      </c>
      <c r="C186" s="18" t="inlineStr">
        <is>
          <t>FY2024</t>
        </is>
      </c>
      <c r="D186" s="9" t="n">
        <v>1768911</v>
      </c>
      <c r="E186" s="9">
        <f>'Revenue (detail)'!F13</f>
        <v/>
      </c>
      <c r="F186" s="9">
        <f>E186-D186</f>
        <v/>
      </c>
    </row>
    <row r="187">
      <c r="A187" s="18" t="inlineStr">
        <is>
          <t>Revenue (detail)</t>
        </is>
      </c>
      <c r="B187" s="18" t="inlineStr">
        <is>
          <t>12. Total revenue</t>
        </is>
      </c>
      <c r="C187" s="18" t="inlineStr">
        <is>
          <t>FY2025</t>
        </is>
      </c>
      <c r="D187" s="9" t="n">
        <v>1952968</v>
      </c>
      <c r="E187" s="9">
        <f>'Revenue (detail)'!G13</f>
        <v/>
      </c>
      <c r="F187" s="9">
        <f>E187-D187</f>
        <v/>
      </c>
    </row>
    <row r="188">
      <c r="A188" s="18" t="inlineStr">
        <is>
          <t>Revenue (detail)</t>
        </is>
      </c>
      <c r="B188" s="18" t="inlineStr">
        <is>
          <t>2g program service revenue = sum of lines 2a-2f (FY2025)</t>
        </is>
      </c>
      <c r="C188" s="18" t="inlineStr">
        <is>
          <t>FY2025</t>
        </is>
      </c>
      <c r="D188" s="9" t="n">
        <v>1909946</v>
      </c>
      <c r="E188" s="9">
        <f>SUM('Revenue (detail)'!C17:C19)</f>
        <v/>
      </c>
      <c r="F188" s="9">
        <f>E188-D188</f>
        <v/>
      </c>
    </row>
    <row r="189">
      <c r="A189" s="18" t="inlineStr">
        <is>
          <t>Operating expenses (detail)</t>
        </is>
      </c>
      <c r="B189" s="18" t="inlineStr">
        <is>
          <t>25. Total functional expenses</t>
        </is>
      </c>
      <c r="C189" s="18" t="inlineStr">
        <is>
          <t>FY2020</t>
        </is>
      </c>
      <c r="D189" s="9" t="n">
        <v>1589007</v>
      </c>
      <c r="E189" s="9">
        <f>'Operating expenses (detail)'!B27</f>
        <v/>
      </c>
      <c r="F189" s="9">
        <f>E189-D189</f>
        <v/>
      </c>
    </row>
    <row r="190">
      <c r="A190" s="18" t="inlineStr">
        <is>
          <t>Operating expenses (detail)</t>
        </is>
      </c>
      <c r="B190" s="18" t="inlineStr">
        <is>
          <t>25. Total functional expenses</t>
        </is>
      </c>
      <c r="C190" s="18" t="inlineStr">
        <is>
          <t>FY2021</t>
        </is>
      </c>
      <c r="D190" s="9" t="n">
        <v>1945884</v>
      </c>
      <c r="E190" s="9">
        <f>'Operating expenses (detail)'!C27</f>
        <v/>
      </c>
      <c r="F190" s="9">
        <f>E190-D190</f>
        <v/>
      </c>
    </row>
    <row r="191">
      <c r="A191" s="18" t="inlineStr">
        <is>
          <t>Operating expenses (detail)</t>
        </is>
      </c>
      <c r="B191" s="18" t="inlineStr">
        <is>
          <t>25. Total functional expenses</t>
        </is>
      </c>
      <c r="C191" s="18" t="inlineStr">
        <is>
          <t>FY2022</t>
        </is>
      </c>
      <c r="D191" s="9" t="n">
        <v>1584074</v>
      </c>
      <c r="E191" s="9">
        <f>'Operating expenses (detail)'!D27</f>
        <v/>
      </c>
      <c r="F191" s="9">
        <f>E191-D191</f>
        <v/>
      </c>
    </row>
    <row r="192">
      <c r="A192" s="18" t="inlineStr">
        <is>
          <t>Operating expenses (detail)</t>
        </is>
      </c>
      <c r="B192" s="18" t="inlineStr">
        <is>
          <t>25. Total functional expenses</t>
        </is>
      </c>
      <c r="C192" s="18" t="inlineStr">
        <is>
          <t>FY2023</t>
        </is>
      </c>
      <c r="D192" s="9" t="n">
        <v>1707538</v>
      </c>
      <c r="E192" s="9">
        <f>'Operating expenses (detail)'!E27</f>
        <v/>
      </c>
      <c r="F192" s="9">
        <f>E192-D192</f>
        <v/>
      </c>
    </row>
    <row r="193">
      <c r="A193" s="18" t="inlineStr">
        <is>
          <t>Operating expenses (detail)</t>
        </is>
      </c>
      <c r="B193" s="18" t="inlineStr">
        <is>
          <t>25. Total functional expenses</t>
        </is>
      </c>
      <c r="C193" s="18" t="inlineStr">
        <is>
          <t>FY2024</t>
        </is>
      </c>
      <c r="D193" s="9" t="n">
        <v>1644126</v>
      </c>
      <c r="E193" s="9">
        <f>'Operating expenses (detail)'!F27</f>
        <v/>
      </c>
      <c r="F193" s="9">
        <f>E193-D193</f>
        <v/>
      </c>
    </row>
    <row r="194">
      <c r="A194" s="18" t="inlineStr">
        <is>
          <t>Operating expenses (detail)</t>
        </is>
      </c>
      <c r="B194" s="18" t="inlineStr">
        <is>
          <t>25. Total functional expenses</t>
        </is>
      </c>
      <c r="C194" s="18" t="inlineStr">
        <is>
          <t>FY2025</t>
        </is>
      </c>
      <c r="D194" s="9" t="n">
        <v>2005593</v>
      </c>
      <c r="E194" s="9">
        <f>'Operating expenses (detail)'!G27</f>
        <v/>
      </c>
      <c r="F194" s="9">
        <f>E194-D194</f>
        <v/>
      </c>
    </row>
    <row r="195">
      <c r="A195" s="18" t="inlineStr">
        <is>
          <t>Operating expenses (detail)</t>
        </is>
      </c>
      <c r="B195" s="18" t="inlineStr">
        <is>
          <t>Part IX column split: col A = B + C + D (FY2025)</t>
        </is>
      </c>
      <c r="C195" s="18" t="inlineStr">
        <is>
          <t>FY2025</t>
        </is>
      </c>
      <c r="D195" s="9">
        <f>'Operating expenses (detail)'!B42</f>
        <v/>
      </c>
      <c r="E195" s="9">
        <f>'Operating expenses (detail)'!C42+'Operating expenses (detail)'!D42+'Operating expenses (detail)'!E42</f>
        <v/>
      </c>
      <c r="F195" s="9">
        <f>E195-D195</f>
        <v/>
      </c>
    </row>
    <row r="196">
      <c r="A196" s="18" t="inlineStr">
        <is>
          <t>Balance sheet (detail)</t>
        </is>
      </c>
      <c r="B196" s="18" t="inlineStr">
        <is>
          <t>16. Total assets</t>
        </is>
      </c>
      <c r="C196" s="18" t="inlineStr">
        <is>
          <t>FY2020</t>
        </is>
      </c>
      <c r="D196" s="9" t="n">
        <v>6835267</v>
      </c>
      <c r="E196" s="9">
        <f>'Balance sheet (detail)'!B12</f>
        <v/>
      </c>
      <c r="F196" s="9">
        <f>E196-D196</f>
        <v/>
      </c>
    </row>
    <row r="197">
      <c r="A197" s="18" t="inlineStr">
        <is>
          <t>Balance sheet (detail)</t>
        </is>
      </c>
      <c r="B197" s="18" t="inlineStr">
        <is>
          <t>16. Total assets</t>
        </is>
      </c>
      <c r="C197" s="18" t="inlineStr">
        <is>
          <t>FY2021</t>
        </is>
      </c>
      <c r="D197" s="9" t="n">
        <v>6806408</v>
      </c>
      <c r="E197" s="9">
        <f>'Balance sheet (detail)'!C12</f>
        <v/>
      </c>
      <c r="F197" s="9">
        <f>E197-D197</f>
        <v/>
      </c>
    </row>
    <row r="198">
      <c r="A198" s="18" t="inlineStr">
        <is>
          <t>Balance sheet (detail)</t>
        </is>
      </c>
      <c r="B198" s="18" t="inlineStr">
        <is>
          <t>16. Total assets</t>
        </is>
      </c>
      <c r="C198" s="18" t="inlineStr">
        <is>
          <t>FY2022</t>
        </is>
      </c>
      <c r="D198" s="9" t="n">
        <v>7348280</v>
      </c>
      <c r="E198" s="9">
        <f>'Balance sheet (detail)'!D12</f>
        <v/>
      </c>
      <c r="F198" s="9">
        <f>E198-D198</f>
        <v/>
      </c>
    </row>
    <row r="199">
      <c r="A199" s="18" t="inlineStr">
        <is>
          <t>Balance sheet (detail)</t>
        </is>
      </c>
      <c r="B199" s="18" t="inlineStr">
        <is>
          <t>16. Total assets</t>
        </is>
      </c>
      <c r="C199" s="18" t="inlineStr">
        <is>
          <t>FY2023</t>
        </is>
      </c>
      <c r="D199" s="9" t="n">
        <v>5902379</v>
      </c>
      <c r="E199" s="9">
        <f>'Balance sheet (detail)'!E12</f>
        <v/>
      </c>
      <c r="F199" s="9">
        <f>E199-D199</f>
        <v/>
      </c>
    </row>
    <row r="200">
      <c r="A200" s="18" t="inlineStr">
        <is>
          <t>Balance sheet (detail)</t>
        </is>
      </c>
      <c r="B200" s="18" t="inlineStr">
        <is>
          <t>16. Total assets</t>
        </is>
      </c>
      <c r="C200" s="18" t="inlineStr">
        <is>
          <t>FY2024</t>
        </is>
      </c>
      <c r="D200" s="9" t="n">
        <v>6156552</v>
      </c>
      <c r="E200" s="9">
        <f>'Balance sheet (detail)'!F12</f>
        <v/>
      </c>
      <c r="F200" s="9">
        <f>E200-D200</f>
        <v/>
      </c>
    </row>
    <row r="201">
      <c r="A201" s="18" t="inlineStr">
        <is>
          <t>Balance sheet (detail)</t>
        </is>
      </c>
      <c r="B201" s="18" t="inlineStr">
        <is>
          <t>16. Total assets</t>
        </is>
      </c>
      <c r="C201" s="18" t="inlineStr">
        <is>
          <t>FY2025</t>
        </is>
      </c>
      <c r="D201" s="9" t="n">
        <v>5946161</v>
      </c>
      <c r="E201" s="9">
        <f>'Balance sheet (detail)'!G12</f>
        <v/>
      </c>
      <c r="F201" s="9">
        <f>E201-D201</f>
        <v/>
      </c>
    </row>
    <row r="202">
      <c r="A202" s="18" t="inlineStr">
        <is>
          <t>Balance sheet (detail)</t>
        </is>
      </c>
      <c r="B202" s="18" t="inlineStr">
        <is>
          <t>26. Total liabilities</t>
        </is>
      </c>
      <c r="C202" s="18" t="inlineStr">
        <is>
          <t>FY2020</t>
        </is>
      </c>
      <c r="D202" s="9" t="n">
        <v>1571097</v>
      </c>
      <c r="E202" s="9">
        <f>'Balance sheet (detail)'!B17</f>
        <v/>
      </c>
      <c r="F202" s="9">
        <f>E202-D202</f>
        <v/>
      </c>
    </row>
    <row r="203">
      <c r="A203" s="18" t="inlineStr">
        <is>
          <t>Balance sheet (detail)</t>
        </is>
      </c>
      <c r="B203" s="18" t="inlineStr">
        <is>
          <t>26. Total liabilities</t>
        </is>
      </c>
      <c r="C203" s="18" t="inlineStr">
        <is>
          <t>FY2021</t>
        </is>
      </c>
      <c r="D203" s="9" t="n">
        <v>1337608</v>
      </c>
      <c r="E203" s="9">
        <f>'Balance sheet (detail)'!C17</f>
        <v/>
      </c>
      <c r="F203" s="9">
        <f>E203-D203</f>
        <v/>
      </c>
    </row>
    <row r="204">
      <c r="A204" s="18" t="inlineStr">
        <is>
          <t>Balance sheet (detail)</t>
        </is>
      </c>
      <c r="B204" s="18" t="inlineStr">
        <is>
          <t>26. Total liabilities</t>
        </is>
      </c>
      <c r="C204" s="18" t="inlineStr">
        <is>
          <t>FY2022</t>
        </is>
      </c>
      <c r="D204" s="9" t="n">
        <v>1215424</v>
      </c>
      <c r="E204" s="9">
        <f>'Balance sheet (detail)'!D17</f>
        <v/>
      </c>
      <c r="F204" s="9">
        <f>E204-D204</f>
        <v/>
      </c>
    </row>
    <row r="205">
      <c r="A205" s="18" t="inlineStr">
        <is>
          <t>Balance sheet (detail)</t>
        </is>
      </c>
      <c r="B205" s="18" t="inlineStr">
        <is>
          <t>26. Total liabilities</t>
        </is>
      </c>
      <c r="C205" s="18" t="inlineStr">
        <is>
          <t>FY2023</t>
        </is>
      </c>
      <c r="D205" s="9" t="n">
        <v>201286</v>
      </c>
      <c r="E205" s="9">
        <f>'Balance sheet (detail)'!E17</f>
        <v/>
      </c>
      <c r="F205" s="9">
        <f>E205-D205</f>
        <v/>
      </c>
    </row>
    <row r="206">
      <c r="A206" s="18" t="inlineStr">
        <is>
          <t>Balance sheet (detail)</t>
        </is>
      </c>
      <c r="B206" s="18" t="inlineStr">
        <is>
          <t>26. Total liabilities</t>
        </is>
      </c>
      <c r="C206" s="18" t="inlineStr">
        <is>
          <t>FY2024</t>
        </is>
      </c>
      <c r="D206" s="9" t="n">
        <v>330674</v>
      </c>
      <c r="E206" s="9">
        <f>'Balance sheet (detail)'!F17</f>
        <v/>
      </c>
      <c r="F206" s="9">
        <f>E206-D206</f>
        <v/>
      </c>
    </row>
    <row r="207">
      <c r="A207" s="18" t="inlineStr">
        <is>
          <t>Balance sheet (detail)</t>
        </is>
      </c>
      <c r="B207" s="18" t="inlineStr">
        <is>
          <t>26. Total liabilities</t>
        </is>
      </c>
      <c r="C207" s="18" t="inlineStr">
        <is>
          <t>FY2025</t>
        </is>
      </c>
      <c r="D207" s="9" t="n">
        <v>172908</v>
      </c>
      <c r="E207" s="9">
        <f>'Balance sheet (detail)'!G17</f>
        <v/>
      </c>
      <c r="F207" s="9">
        <f>E207-D207</f>
        <v/>
      </c>
    </row>
    <row r="208">
      <c r="A208" s="18" t="inlineStr">
        <is>
          <t>Balance sheet (detail)</t>
        </is>
      </c>
      <c r="B208" s="18" t="inlineStr">
        <is>
          <t>32. Total net assets / fund balances</t>
        </is>
      </c>
      <c r="C208" s="18" t="inlineStr">
        <is>
          <t>FY2020</t>
        </is>
      </c>
      <c r="D208" s="9" t="n">
        <v>5264170</v>
      </c>
      <c r="E208" s="9">
        <f>'Balance sheet (detail)'!B21</f>
        <v/>
      </c>
      <c r="F208" s="9">
        <f>E208-D208</f>
        <v/>
      </c>
    </row>
    <row r="209">
      <c r="A209" s="18" t="inlineStr">
        <is>
          <t>Balance sheet (detail)</t>
        </is>
      </c>
      <c r="B209" s="18" t="inlineStr">
        <is>
          <t>32. Total net assets / fund balances</t>
        </is>
      </c>
      <c r="C209" s="18" t="inlineStr">
        <is>
          <t>FY2021</t>
        </is>
      </c>
      <c r="D209" s="9" t="n">
        <v>5468800</v>
      </c>
      <c r="E209" s="9">
        <f>'Balance sheet (detail)'!C21</f>
        <v/>
      </c>
      <c r="F209" s="9">
        <f>E209-D209</f>
        <v/>
      </c>
    </row>
    <row r="210">
      <c r="A210" s="18" t="inlineStr">
        <is>
          <t>Balance sheet (detail)</t>
        </is>
      </c>
      <c r="B210" s="18" t="inlineStr">
        <is>
          <t>32. Total net assets / fund balances</t>
        </is>
      </c>
      <c r="C210" s="18" t="inlineStr">
        <is>
          <t>FY2022</t>
        </is>
      </c>
      <c r="D210" s="9" t="n">
        <v>6132856</v>
      </c>
      <c r="E210" s="9">
        <f>'Balance sheet (detail)'!D21</f>
        <v/>
      </c>
      <c r="F210" s="9">
        <f>E210-D210</f>
        <v/>
      </c>
    </row>
    <row r="211">
      <c r="A211" s="18" t="inlineStr">
        <is>
          <t>Balance sheet (detail)</t>
        </is>
      </c>
      <c r="B211" s="18" t="inlineStr">
        <is>
          <t>32. Total net assets / fund balances</t>
        </is>
      </c>
      <c r="C211" s="18" t="inlineStr">
        <is>
          <t>FY2023</t>
        </is>
      </c>
      <c r="D211" s="9" t="n">
        <v>5701093</v>
      </c>
      <c r="E211" s="9">
        <f>'Balance sheet (detail)'!E21</f>
        <v/>
      </c>
      <c r="F211" s="9">
        <f>E211-D211</f>
        <v/>
      </c>
    </row>
    <row r="212">
      <c r="A212" s="18" t="inlineStr">
        <is>
          <t>Balance sheet (detail)</t>
        </is>
      </c>
      <c r="B212" s="18" t="inlineStr">
        <is>
          <t>32. Total net assets / fund balances</t>
        </is>
      </c>
      <c r="C212" s="18" t="inlineStr">
        <is>
          <t>FY2024</t>
        </is>
      </c>
      <c r="D212" s="9" t="n">
        <v>5825878</v>
      </c>
      <c r="E212" s="9">
        <f>'Balance sheet (detail)'!F21</f>
        <v/>
      </c>
      <c r="F212" s="9">
        <f>E212-D212</f>
        <v/>
      </c>
    </row>
    <row r="213">
      <c r="A213" s="18" t="inlineStr">
        <is>
          <t>Balance sheet (detail)</t>
        </is>
      </c>
      <c r="B213" s="18" t="inlineStr">
        <is>
          <t>32. Total net assets / fund balances</t>
        </is>
      </c>
      <c r="C213" s="18" t="inlineStr">
        <is>
          <t>FY2025</t>
        </is>
      </c>
      <c r="D213" s="9" t="n">
        <v>5773253</v>
      </c>
      <c r="E213" s="9">
        <f>'Balance sheet (detail)'!G21</f>
        <v/>
      </c>
      <c r="F213" s="9">
        <f>E213-D213</f>
        <v/>
      </c>
    </row>
    <row r="214">
      <c r="A214" s="18" t="inlineStr">
        <is>
          <t>Balance sheet (detail)</t>
        </is>
      </c>
      <c r="B214" s="18" t="inlineStr">
        <is>
          <t>Balance sheet identity: line 16 = line 26 + line 32 (EOY)</t>
        </is>
      </c>
      <c r="C214" s="18" t="inlineStr">
        <is>
          <t>FY2020</t>
        </is>
      </c>
      <c r="D214" s="9">
        <f>'Balance sheet (detail)'!B12</f>
        <v/>
      </c>
      <c r="E214" s="9">
        <f>SUM('Balance sheet (detail)'!B17,'Balance sheet (detail)'!B21)</f>
        <v/>
      </c>
      <c r="F214" s="9">
        <f>E214-D214</f>
        <v/>
      </c>
    </row>
    <row r="215">
      <c r="A215" s="18" t="inlineStr">
        <is>
          <t>Balance sheet (detail)</t>
        </is>
      </c>
      <c r="B215" s="18" t="inlineStr">
        <is>
          <t>Balance sheet identity: line 16 = line 26 + line 32 (EOY)</t>
        </is>
      </c>
      <c r="C215" s="18" t="inlineStr">
        <is>
          <t>FY2021</t>
        </is>
      </c>
      <c r="D215" s="9">
        <f>'Balance sheet (detail)'!C12</f>
        <v/>
      </c>
      <c r="E215" s="9">
        <f>SUM('Balance sheet (detail)'!C17,'Balance sheet (detail)'!C21)</f>
        <v/>
      </c>
      <c r="F215" s="9">
        <f>E215-D215</f>
        <v/>
      </c>
    </row>
    <row r="216">
      <c r="A216" s="18" t="inlineStr">
        <is>
          <t>Balance sheet (detail)</t>
        </is>
      </c>
      <c r="B216" s="18" t="inlineStr">
        <is>
          <t>Balance sheet identity: line 16 = line 26 + line 32 (EOY)</t>
        </is>
      </c>
      <c r="C216" s="18" t="inlineStr">
        <is>
          <t>FY2022</t>
        </is>
      </c>
      <c r="D216" s="9">
        <f>'Balance sheet (detail)'!D12</f>
        <v/>
      </c>
      <c r="E216" s="9">
        <f>SUM('Balance sheet (detail)'!D17,'Balance sheet (detail)'!D21)</f>
        <v/>
      </c>
      <c r="F216" s="9">
        <f>E216-D216</f>
        <v/>
      </c>
    </row>
    <row r="217">
      <c r="A217" s="18" t="inlineStr">
        <is>
          <t>Balance sheet (detail)</t>
        </is>
      </c>
      <c r="B217" s="18" t="inlineStr">
        <is>
          <t>Balance sheet identity: line 16 = line 26 + line 32 (EOY)</t>
        </is>
      </c>
      <c r="C217" s="18" t="inlineStr">
        <is>
          <t>FY2023</t>
        </is>
      </c>
      <c r="D217" s="9">
        <f>'Balance sheet (detail)'!E12</f>
        <v/>
      </c>
      <c r="E217" s="9">
        <f>SUM('Balance sheet (detail)'!E17,'Balance sheet (detail)'!E21)</f>
        <v/>
      </c>
      <c r="F217" s="9">
        <f>E217-D217</f>
        <v/>
      </c>
    </row>
    <row r="218">
      <c r="A218" s="18" t="inlineStr">
        <is>
          <t>Balance sheet (detail)</t>
        </is>
      </c>
      <c r="B218" s="18" t="inlineStr">
        <is>
          <t>Balance sheet identity: line 16 = line 26 + line 32 (EOY)</t>
        </is>
      </c>
      <c r="C218" s="18" t="inlineStr">
        <is>
          <t>FY2024</t>
        </is>
      </c>
      <c r="D218" s="9">
        <f>'Balance sheet (detail)'!F12</f>
        <v/>
      </c>
      <c r="E218" s="9">
        <f>SUM('Balance sheet (detail)'!F17,'Balance sheet (detail)'!F21)</f>
        <v/>
      </c>
      <c r="F218" s="9">
        <f>E218-D218</f>
        <v/>
      </c>
    </row>
    <row r="219">
      <c r="A219" s="18" t="inlineStr">
        <is>
          <t>Balance sheet (detail)</t>
        </is>
      </c>
      <c r="B219" s="18" t="inlineStr">
        <is>
          <t>Balance sheet identity: line 16 = line 26 + line 32 (EOY)</t>
        </is>
      </c>
      <c r="C219" s="18" t="inlineStr">
        <is>
          <t>FY2025</t>
        </is>
      </c>
      <c r="D219" s="9">
        <f>'Balance sheet (detail)'!G12</f>
        <v/>
      </c>
      <c r="E219" s="9">
        <f>SUM('Balance sheet (detail)'!G17,'Balance sheet (detail)'!G21)</f>
        <v/>
      </c>
      <c r="F219" s="9">
        <f>E219-D219</f>
        <v/>
      </c>
    </row>
    <row r="220">
      <c r="A220" s="18" t="inlineStr">
        <is>
          <t>Net-assets reconciliation</t>
        </is>
      </c>
      <c r="B220" s="18" t="inlineStr">
        <is>
          <t>10. Net assets, end of year</t>
        </is>
      </c>
      <c r="C220" s="18" t="inlineStr">
        <is>
          <t>FY2020</t>
        </is>
      </c>
      <c r="D220" s="9" t="n">
        <v>5264170</v>
      </c>
      <c r="E220" s="9">
        <f>'Net-assets reconciliation'!B11</f>
        <v/>
      </c>
      <c r="F220" s="9">
        <f>E220-D220</f>
        <v/>
      </c>
    </row>
    <row r="221">
      <c r="A221" s="18" t="inlineStr">
        <is>
          <t>Net-assets reconciliation</t>
        </is>
      </c>
      <c r="B221" s="18" t="inlineStr">
        <is>
          <t>10. Net assets, end of year</t>
        </is>
      </c>
      <c r="C221" s="18" t="inlineStr">
        <is>
          <t>FY2021</t>
        </is>
      </c>
      <c r="D221" s="9" t="n">
        <v>5468800</v>
      </c>
      <c r="E221" s="9">
        <f>'Net-assets reconciliation'!C11</f>
        <v/>
      </c>
      <c r="F221" s="9">
        <f>E221-D221</f>
        <v/>
      </c>
    </row>
    <row r="222">
      <c r="A222" s="18" t="inlineStr">
        <is>
          <t>Net-assets reconciliation</t>
        </is>
      </c>
      <c r="B222" s="18" t="inlineStr">
        <is>
          <t>10. Net assets, end of year</t>
        </is>
      </c>
      <c r="C222" s="18" t="inlineStr">
        <is>
          <t>FY2022</t>
        </is>
      </c>
      <c r="D222" s="9" t="n">
        <v>6132856</v>
      </c>
      <c r="E222" s="9">
        <f>'Net-assets reconciliation'!D11</f>
        <v/>
      </c>
      <c r="F222" s="9">
        <f>E222-D222</f>
        <v/>
      </c>
    </row>
    <row r="223">
      <c r="A223" s="18" t="inlineStr">
        <is>
          <t>Net-assets reconciliation</t>
        </is>
      </c>
      <c r="B223" s="18" t="inlineStr">
        <is>
          <t>10. Net assets, end of year</t>
        </is>
      </c>
      <c r="C223" s="18" t="inlineStr">
        <is>
          <t>FY2023</t>
        </is>
      </c>
      <c r="D223" s="9" t="n">
        <v>5701093</v>
      </c>
      <c r="E223" s="9">
        <f>'Net-assets reconciliation'!E11</f>
        <v/>
      </c>
      <c r="F223" s="9">
        <f>E223-D223</f>
        <v/>
      </c>
    </row>
    <row r="224">
      <c r="A224" s="18" t="inlineStr">
        <is>
          <t>Net-assets reconciliation</t>
        </is>
      </c>
      <c r="B224" s="18" t="inlineStr">
        <is>
          <t>10. Net assets, end of year</t>
        </is>
      </c>
      <c r="C224" s="18" t="inlineStr">
        <is>
          <t>FY2024</t>
        </is>
      </c>
      <c r="D224" s="9" t="n">
        <v>5825878</v>
      </c>
      <c r="E224" s="9">
        <f>'Net-assets reconciliation'!F11</f>
        <v/>
      </c>
      <c r="F224" s="9">
        <f>E224-D224</f>
        <v/>
      </c>
    </row>
    <row r="225">
      <c r="A225" s="18" t="inlineStr">
        <is>
          <t>Net-assets reconciliation</t>
        </is>
      </c>
      <c r="B225" s="18" t="inlineStr">
        <is>
          <t>10. Net assets, end of year</t>
        </is>
      </c>
      <c r="C225" s="18" t="inlineStr">
        <is>
          <t>FY2025</t>
        </is>
      </c>
      <c r="D225" s="9" t="n">
        <v>5773253</v>
      </c>
      <c r="E225" s="9">
        <f>'Net-assets reconciliation'!G11</f>
        <v/>
      </c>
      <c r="F225" s="9">
        <f>E225-D225</f>
        <v/>
      </c>
    </row>
    <row r="227">
      <c r="A227" s="39" t="inlineStr">
        <is>
          <t>D. Preparer / auditor trail (one row per fiscal year, as filed)</t>
        </is>
      </c>
      <c r="B227" s="7" t="n"/>
      <c r="C227" s="7" t="n"/>
      <c r="D227" s="7" t="n"/>
      <c r="E227" s="7" t="n"/>
      <c r="F227" s="7" t="n"/>
      <c r="G227" s="7" t="n"/>
      <c r="H227" s="7" t="n"/>
      <c r="I227" s="7" t="n"/>
      <c r="J227" s="7" t="n"/>
      <c r="K227" s="7" t="n"/>
    </row>
    <row r="228">
      <c r="A228" s="5" t="inlineStr">
        <is>
          <t>Fiscal year</t>
        </is>
      </c>
      <c r="B228" s="5" t="inlineStr">
        <is>
          <t>Paid preparer</t>
        </is>
      </c>
      <c r="C228" s="5" t="inlineStr">
        <is>
          <t>Preparer firm</t>
        </is>
      </c>
      <c r="D228" s="5" t="inlineStr">
        <is>
          <t>Independent auditor</t>
        </is>
      </c>
      <c r="E228" s="5" t="inlineStr">
        <is>
          <t>Citation</t>
        </is>
      </c>
    </row>
    <row r="229" ht="42" customHeight="1">
      <c r="A229" s="40" t="inlineStr">
        <is>
          <t>FY2020</t>
        </is>
      </c>
      <c r="B229" s="8" t="inlineStr">
        <is>
          <t>JUAN GUERRERO</t>
        </is>
      </c>
      <c r="C229" s="8" t="inlineStr">
        <is>
          <t>LINDSAY AND COMPANY LLP</t>
        </is>
      </c>
      <c r="D229" s="43" t="inlineStr">
        <is>
          <t>not reported</t>
        </is>
      </c>
      <c r="E229" s="23" t="inlineStr">
        <is>
          <t>Form 990 Return Header, Paid Preparer block (return_header.preparer_person_name / preparer_firm_name); auditor: Part XII line 2 reports audited financial statements but does not name the firm.</t>
        </is>
      </c>
    </row>
    <row r="230" ht="42" customHeight="1">
      <c r="A230" s="40" t="inlineStr">
        <is>
          <t>FY2021</t>
        </is>
      </c>
      <c r="B230" s="8" t="inlineStr">
        <is>
          <t>JUAN GUERRERO</t>
        </is>
      </c>
      <c r="C230" s="8" t="inlineStr">
        <is>
          <t>LINDSAY AND COMPANY LLP</t>
        </is>
      </c>
      <c r="D230" s="43" t="inlineStr">
        <is>
          <t>not reported</t>
        </is>
      </c>
      <c r="E230" s="23" t="inlineStr">
        <is>
          <t>Form 990 Return Header, Paid Preparer block (return_header.preparer_person_name / preparer_firm_name); auditor: Part XII line 2 reports audited financial statements but does not name the firm.</t>
        </is>
      </c>
    </row>
    <row r="231" ht="42" customHeight="1">
      <c r="A231" s="40" t="inlineStr">
        <is>
          <t>FY2022</t>
        </is>
      </c>
      <c r="B231" s="8" t="inlineStr">
        <is>
          <t>JUAN GUERRERO</t>
        </is>
      </c>
      <c r="C231" s="8" t="inlineStr">
        <is>
          <t>LINDSAY AND COMPANY LLP</t>
        </is>
      </c>
      <c r="D231" s="43" t="inlineStr">
        <is>
          <t>not reported</t>
        </is>
      </c>
      <c r="E231" s="23" t="inlineStr">
        <is>
          <t>Form 990 Return Header, Paid Preparer block (return_header.preparer_person_name / preparer_firm_name); auditor: Part XII line 2 reports audited financial statements but does not name the firm.</t>
        </is>
      </c>
    </row>
    <row r="232" ht="42" customHeight="1">
      <c r="A232" s="40" t="inlineStr">
        <is>
          <t>FY2023</t>
        </is>
      </c>
      <c r="B232" s="8" t="inlineStr">
        <is>
          <t>JUAN GUERRERO</t>
        </is>
      </c>
      <c r="C232" s="8" t="inlineStr">
        <is>
          <t>LINDSAY AND COMPANY LLP</t>
        </is>
      </c>
      <c r="D232" s="43" t="inlineStr">
        <is>
          <t>not reported</t>
        </is>
      </c>
      <c r="E232" s="23" t="inlineStr">
        <is>
          <t>Form 990 Return Header, Paid Preparer block (return_header.preparer_person_name / preparer_firm_name); auditor: Part XII line 2 reports audited financial statements but does not name the firm.</t>
        </is>
      </c>
    </row>
    <row r="233" ht="42" customHeight="1">
      <c r="A233" s="40" t="inlineStr">
        <is>
          <t>FY2024</t>
        </is>
      </c>
      <c r="B233" s="8" t="inlineStr">
        <is>
          <t>JUAN GUERRERO</t>
        </is>
      </c>
      <c r="C233" s="8" t="inlineStr">
        <is>
          <t>LINDSAY AND COMPANY LLP</t>
        </is>
      </c>
      <c r="D233" s="43" t="inlineStr">
        <is>
          <t>not reported</t>
        </is>
      </c>
      <c r="E233" s="23" t="inlineStr">
        <is>
          <t>Form 990 Return Header, Paid Preparer block (return_header.preparer_person_name / preparer_firm_name); auditor: Part XII line 2 reports audited financial statements but does not name the firm.</t>
        </is>
      </c>
    </row>
    <row r="234" ht="42" customHeight="1">
      <c r="A234" s="40" t="inlineStr">
        <is>
          <t>FY2025</t>
        </is>
      </c>
      <c r="B234" s="8" t="inlineStr">
        <is>
          <t>JUAN GUERRERO</t>
        </is>
      </c>
      <c r="C234" s="8" t="inlineStr">
        <is>
          <t>LINDSAY AND COMPANY LLP</t>
        </is>
      </c>
      <c r="D234" s="43" t="inlineStr">
        <is>
          <t>not reported</t>
        </is>
      </c>
      <c r="E234" s="23" t="inlineStr">
        <is>
          <t>Form 990 Return Header, Paid Preparer block (return_header.preparer_person_name / preparer_firm_name); auditor: Part XII line 2 reports audited financial statements but does not name the firm.</t>
        </is>
      </c>
    </row>
    <row r="236" ht="42" customHeight="1">
      <c r="A236"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236:K236"/>
    <mergeCell ref="A3:K3"/>
    <mergeCell ref="A2:K2"/>
    <mergeCell ref="A5:K5"/>
    <mergeCell ref="A1:K1"/>
  </mergeCells>
  <conditionalFormatting sqref="F182:F225">
    <cfRule type="cellIs" priority="1" operator="notEqual" dxfId="0">
      <formula>0</formula>
    </cfRule>
  </conditionalFormatting>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