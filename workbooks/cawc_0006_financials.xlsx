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2.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eAR revenue &amp; expenses" sheetId="14" state="visible" r:id="rId14"/>
    <sheet name="Denominators &amp; alignment" sheetId="15" state="visible" r:id="rId15"/>
    <sheet name="Governance evidence" sheetId="16" state="visible" r:id="rId16"/>
    <sheet name="Operational metrics" sheetId="17" state="visible" r:id="rId17"/>
    <sheet name="Supply &amp; weather" sheetId="18" state="visible" r:id="rId18"/>
    <sheet name="How this was built" sheetId="19" state="visible" r:id="rId19"/>
    <sheet name="Water Operations" sheetId="20" state="visible" r:id="rId20"/>
    <sheet name="Anomaly Flags" sheetId="21" state="visible" r:id="rId21"/>
    <sheet name="Sources &amp; audit" sheetId="22" state="visible" r:id="rId22"/>
    <sheet name="Provenance" sheetId="23" state="visible" r:id="rId23"/>
  </sheets>
  <definedNames/>
  <calcPr calcId="124519" fullCalcOnLoad="1"/>
</workbook>
</file>

<file path=xl/styles.xml><?xml version="1.0" encoding="utf-8"?>
<styleSheet xmlns="http://schemas.openxmlformats.org/spreadsheetml/2006/main">
  <numFmts count="6">
    <numFmt numFmtId="164" formatCode="#,##0;(#,##0)"/>
    <numFmt numFmtId="165" formatCode="0.0%"/>
    <numFmt numFmtId="166" formatCode="$#,##0.00"/>
    <numFmt numFmtId="167" formatCode="$#,##0.00###"/>
    <numFmt numFmtId="168" formatCode="#,##0.####"/>
    <numFmt numFmtId="169" formatCode="#,##0.0"/>
  </numFmts>
  <fonts count="13">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b val="1"/>
      <color rgb="00833C00"/>
      <sz val="10"/>
    </font>
    <font>
      <name val="Calibri"/>
      <b val="1"/>
      <color rgb="007F6000"/>
      <sz val="10"/>
    </font>
    <font>
      <name val="Calibri"/>
      <i val="1"/>
      <color rgb="007F4F00"/>
      <sz val="10"/>
    </font>
  </fonts>
  <fills count="9">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
      <patternFill patternType="solid">
        <fgColor rgb="00FFF2CC"/>
      </patternFill>
    </fill>
    <fill>
      <patternFill patternType="solid">
        <fgColor rgb="00FDF2D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10" fillId="6" borderId="1" applyAlignment="1" pivotButton="0" quotePrefix="0" xfId="0">
      <alignment horizontal="left" vertical="center"/>
    </xf>
    <xf numFmtId="164" fontId="10" fillId="6"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3" fontId="6" fillId="0" borderId="1" applyAlignment="1" pivotButton="0" quotePrefix="0" xfId="0">
      <alignment horizontal="right"/>
    </xf>
    <xf numFmtId="0" fontId="3" fillId="0" borderId="1" applyAlignment="1" pivotButton="0" quotePrefix="0" xfId="0">
      <alignment horizontal="left" vertical="top" wrapText="1"/>
    </xf>
    <xf numFmtId="0" fontId="6" fillId="0" borderId="1" applyAlignment="1" pivotButton="0" quotePrefix="0" xfId="0">
      <alignment horizontal="left" vertical="top" wrapText="1"/>
    </xf>
    <xf numFmtId="0" fontId="9" fillId="0" borderId="1" applyAlignment="1" pivotButton="0" quotePrefix="0" xfId="0">
      <alignment horizontal="center" vertical="center"/>
    </xf>
    <xf numFmtId="166" fontId="6" fillId="0" borderId="1" applyAlignment="1" pivotButton="0" quotePrefix="0" xfId="0">
      <alignment horizontal="right"/>
    </xf>
    <xf numFmtId="10" fontId="6" fillId="0" borderId="1" applyAlignment="1" pivotButton="0" quotePrefix="0" xfId="0">
      <alignment horizontal="right"/>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0" applyAlignment="1" pivotButton="0" quotePrefix="0" xfId="0">
      <alignment horizontal="left" vertical="top" wrapText="1"/>
    </xf>
    <xf numFmtId="0" fontId="0" fillId="2" borderId="1" pivotButton="0" quotePrefix="0" xfId="0"/>
    <xf numFmtId="4" fontId="11" fillId="7" borderId="1" applyAlignment="1" pivotButton="0" quotePrefix="0" xfId="0">
      <alignment horizontal="right"/>
    </xf>
    <xf numFmtId="1" fontId="11" fillId="7" borderId="1" applyAlignment="1" pivotButton="0" quotePrefix="0" xfId="0">
      <alignment horizontal="right"/>
    </xf>
    <xf numFmtId="0" fontId="4" fillId="2" borderId="1" applyAlignment="1" pivotButton="0" quotePrefix="0" xfId="0">
      <alignment horizontal="right"/>
    </xf>
    <xf numFmtId="167" fontId="6" fillId="0" borderId="1" applyAlignment="1" pivotButton="0" quotePrefix="0" xfId="0">
      <alignment horizontal="right"/>
    </xf>
    <xf numFmtId="168" fontId="6" fillId="0" borderId="1" applyAlignment="1" pivotButton="0" quotePrefix="0" xfId="0">
      <alignment horizontal="right"/>
    </xf>
    <xf numFmtId="4" fontId="9" fillId="5" borderId="1" applyAlignment="1" pivotButton="0" quotePrefix="0" xfId="0">
      <alignment horizontal="right"/>
    </xf>
    <xf numFmtId="166" fontId="9" fillId="5" borderId="1" applyAlignment="1" pivotButton="0" quotePrefix="0" xfId="0">
      <alignment horizontal="right"/>
    </xf>
    <xf numFmtId="166" fontId="9" fillId="4" borderId="1" applyAlignment="1" pivotButton="0" quotePrefix="0" xfId="0">
      <alignment horizontal="right"/>
    </xf>
    <xf numFmtId="10" fontId="9" fillId="5" borderId="1" applyAlignment="1" pivotButton="0" quotePrefix="0" xfId="0">
      <alignment horizontal="right"/>
    </xf>
    <xf numFmtId="2" fontId="9" fillId="5" borderId="1" applyAlignment="1" pivotButton="0" quotePrefix="0" xfId="0">
      <alignment horizontal="right"/>
    </xf>
    <xf numFmtId="0" fontId="9" fillId="0" borderId="1" applyAlignment="1" pivotButton="0" quotePrefix="0" xfId="0">
      <alignment horizontal="left" vertical="center"/>
    </xf>
    <xf numFmtId="164" fontId="7" fillId="0" borderId="1" applyAlignment="1" pivotButton="0" quotePrefix="0" xfId="0">
      <alignment horizontal="right"/>
    </xf>
    <xf numFmtId="0" fontId="0" fillId="0" borderId="1" pivotButton="0" quotePrefix="0" xfId="0"/>
    <xf numFmtId="0" fontId="5" fillId="3" borderId="0" applyAlignment="1" pivotButton="0" quotePrefix="0" xfId="0">
      <alignment horizontal="left" vertical="center"/>
    </xf>
    <xf numFmtId="0" fontId="6" fillId="0" borderId="1" applyAlignment="1" pivotButton="0" quotePrefix="0" xfId="0">
      <alignment horizontal="center" vertical="center"/>
    </xf>
    <xf numFmtId="169" fontId="6" fillId="0" borderId="1" applyAlignment="1" pivotButton="0" quotePrefix="0" xfId="0">
      <alignment horizontal="right"/>
    </xf>
    <xf numFmtId="0" fontId="6" fillId="0" borderId="1" pivotButton="0" quotePrefix="0" xfId="0"/>
    <xf numFmtId="0" fontId="12" fillId="8" borderId="1" applyAlignment="1" pivotButton="0" quotePrefix="0" xfId="0">
      <alignment horizontal="left" vertical="top" wrapText="1"/>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comments/comment1.xml><?xml version="1.0" encoding="utf-8"?>
<comments xmlns="http://schemas.openxmlformats.org/spreadsheetml/2006/main">
  <authors>
    <author>Hydronomics anomaly flagger</author>
  </authors>
  <commentList>
    <comment ref="E19" authorId="0" shapeId="0">
      <text>
        <t>Documented anomaly (auto-flagged): FY2024 expense drop and net income swing. See the Anomaly Flags tab for the what, why, and source.</t>
      </text>
    </comment>
    <comment ref="E21" authorId="0" shapeId="0">
      <text>
        <t>Documented anomaly (auto-flagged): FY2024 expense drop and net income swing. See the Anomaly Flags tab for the what, why, and source.</t>
      </text>
    </comment>
  </commentList>
</comments>
</file>

<file path=xl/comments/comment2.xml><?xml version="1.0" encoding="utf-8"?>
<comments xmlns="http://schemas.openxmlformats.org/spreadsheetml/2006/main">
  <authors>
    <author>hydronomics</author>
  </authors>
  <commentList>
    <comment ref="B10" authorId="0" shapeId="0">
      <text>
        <t>Sacramento and San Joaquin Valley index classification</t>
      </text>
    </comment>
    <comment ref="C10" authorId="0" shapeId="0">
      <text>
        <t>Sacramento and San Joaquin Valley index classification</t>
      </text>
    </comment>
    <comment ref="D10" authorId="0" shapeId="0">
      <text>
        <t>Sacramento and San Joaquin Valley index classification</t>
      </text>
    </comment>
    <comment ref="E10" authorId="0" shapeId="0">
      <text>
        <t>Sacramento and San Joaquin Valley index classification</t>
      </text>
    </comment>
    <comment ref="F10" authorId="0" shapeId="0">
      <text>
        <t>Sacramento and San Joaquin Valley index classification</t>
      </text>
    </comment>
    <comment ref="B11" authorId="0" shapeId="0">
      <text>
        <t>peak weekly category over Jul 2019-Jun 2020 (moderate)</t>
      </text>
    </comment>
    <comment ref="C11" authorId="0" shapeId="0">
      <text>
        <t>peak weekly category over Jul 2020-Jun 2021 (exceptional)</t>
      </text>
    </comment>
    <comment ref="D11" authorId="0" shapeId="0">
      <text>
        <t>peak weekly category over Jul 2021-Jun 2022 (exceptional)</t>
      </text>
    </comment>
    <comment ref="E11" authorId="0" shapeId="0">
      <text>
        <t>peak weekly category over Jul 2022-Jun 2023 (exceptional)</t>
      </text>
    </comment>
    <comment ref="F11" authorId="0" shapeId="0">
      <text>
        <t>peak weekly category over Jul 2023-Jun 2024 (none)</t>
      </text>
    </comment>
    <comment ref="B12" authorId="0" shapeId="0">
      <text>
        <t>water-year cumulative 31.7 in / 50 in seasonal normal; statewide SWP-supply index, not local precipitation</t>
      </text>
    </comment>
    <comment ref="C12" authorId="0" shapeId="0">
      <text>
        <t>water-year cumulative 24.0 in / 50 in seasonal normal; statewide SWP-supply index, not local precipitation</t>
      </text>
    </comment>
    <comment ref="D12" authorId="0" shapeId="0">
      <text>
        <t>water-year cumulative 43.0 in / 50 in seasonal normal; statewide SWP-supply index, not local precipitation</t>
      </text>
    </comment>
    <comment ref="E12" authorId="0" shapeId="0">
      <text>
        <t>water-year cumulative 66.6 in / 50 in seasonal normal; statewide SWP-supply index, not local precipitation</t>
      </text>
    </comment>
    <comment ref="F12" authorId="0" shapeId="0">
      <text>
        <t>water-year cumulative 48.2 in / 50 in seasonal normal; statewide SWP-supply index, not local precipitation</t>
      </text>
    </comment>
    <comment ref="B13" authorId="0" shapeId="0">
      <text>
        <t>April 1 statewide Sierra snowpack, percent of average; SWP-import indicator (no per-year API)</t>
      </text>
    </comment>
    <comment ref="C13" authorId="0" shapeId="0">
      <text>
        <t>April 1 statewide Sierra snowpack, percent of average; SWP-import indicator (no per-year API)</t>
      </text>
    </comment>
    <comment ref="D13" authorId="0" shapeId="0">
      <text>
        <t>April 1 statewide Sierra snowpack, percent of average; SWP-import indicator (no per-year API)</t>
      </text>
    </comment>
    <comment ref="E13" authorId="0" shapeId="0">
      <text>
        <t>April 1 statewide Sierra snowpack, percent of average; SWP-import indicator (no per-year API)</t>
      </text>
    </comment>
    <comment ref="F13" authorId="0" shapeId="0">
      <text>
        <t>April 1 statewide Sierra snowpack, percent of average; SWP-import indicator (no per-year API)</t>
      </text>
    </comment>
    <comment ref="B14" authorId="0" shapeId="0">
      <text>
        <t>final State Water Project Table A allocation; published DWR notice (no structured API)</t>
      </text>
    </comment>
    <comment ref="C14" authorId="0" shapeId="0">
      <text>
        <t>final State Water Project Table A allocation; published DWR notice (no structured API)</t>
      </text>
    </comment>
    <comment ref="D14" authorId="0" shapeId="0">
      <text>
        <t>final State Water Project Table A allocation; published DWR notice (no structured API)</t>
      </text>
    </comment>
    <comment ref="E14" authorId="0" shapeId="0">
      <text>
        <t>final State Water Project Table A allocation; published DWR notice (no structured API)</t>
      </text>
    </comment>
    <comment ref="F14"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E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s>
  <sheetData>
    <row r="1">
      <c r="A1" s="1" t="inlineStr">
        <is>
          <t>Oildale Mutual Water Company</t>
        </is>
      </c>
    </row>
    <row r="2">
      <c r="A2" s="2" t="inlineStr">
        <is>
          <t>Financial Summary - multi-year overview (USD)</t>
        </is>
      </c>
    </row>
    <row r="3">
      <c r="A3" s="2" t="inlineStr">
        <is>
          <t>Entity ID: cawc_0006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FY2021</t>
        </is>
      </c>
      <c r="C8" s="5" t="inlineStr">
        <is>
          <t>FY2022</t>
        </is>
      </c>
      <c r="D8" s="5" t="inlineStr">
        <is>
          <t>FY2023</t>
        </is>
      </c>
      <c r="E8" s="5" t="inlineStr">
        <is>
          <t>FY2024</t>
        </is>
      </c>
    </row>
    <row r="9">
      <c r="A9" s="6" t="inlineStr">
        <is>
          <t>Operating results (USD)</t>
        </is>
      </c>
      <c r="B9" s="7" t="n"/>
      <c r="C9" s="7" t="n"/>
      <c r="D9" s="7" t="n"/>
      <c r="E9" s="7" t="n"/>
    </row>
    <row r="10">
      <c r="A10" s="8" t="inlineStr">
        <is>
          <t xml:space="preserve">    Total revenue</t>
        </is>
      </c>
      <c r="B10" s="9" t="n">
        <v>9702473</v>
      </c>
      <c r="C10" s="9" t="n">
        <v>11045397</v>
      </c>
      <c r="D10" s="9" t="n">
        <v>11329134</v>
      </c>
      <c r="E10" s="9" t="n">
        <v>11267619</v>
      </c>
    </row>
    <row r="11">
      <c r="A11" s="8" t="inlineStr">
        <is>
          <t xml:space="preserve">    Total expenses</t>
        </is>
      </c>
      <c r="B11" s="9" t="n">
        <v>6649178</v>
      </c>
      <c r="C11" s="9" t="n">
        <v>9806553</v>
      </c>
      <c r="D11" s="9" t="n">
        <v>11023709</v>
      </c>
      <c r="E11" s="9" t="n">
        <v>5702750</v>
      </c>
    </row>
    <row r="12">
      <c r="A12" s="10" t="inlineStr">
        <is>
          <t xml:space="preserve">    Net income</t>
        </is>
      </c>
      <c r="B12" s="11" t="n">
        <v>3053295</v>
      </c>
      <c r="C12" s="11" t="n">
        <v>1238844</v>
      </c>
      <c r="D12" s="11" t="n">
        <v>305425</v>
      </c>
      <c r="E12" s="11" t="n">
        <v>5564869</v>
      </c>
    </row>
    <row r="14">
      <c r="A14" s="6" t="inlineStr">
        <is>
          <t>Financial position (USD, end of year)</t>
        </is>
      </c>
      <c r="B14" s="7" t="n"/>
      <c r="C14" s="7" t="n"/>
      <c r="D14" s="7" t="n"/>
      <c r="E14" s="7" t="n"/>
    </row>
    <row r="15">
      <c r="A15" s="8" t="inlineStr">
        <is>
          <t xml:space="preserve">    Total assets</t>
        </is>
      </c>
      <c r="B15" s="9" t="n">
        <v>40080458</v>
      </c>
      <c r="C15" s="9" t="n">
        <v>46887728</v>
      </c>
      <c r="D15" s="9" t="n">
        <v>47332418</v>
      </c>
      <c r="E15" s="9" t="n">
        <v>59815004</v>
      </c>
    </row>
    <row r="16">
      <c r="A16" s="8" t="inlineStr">
        <is>
          <t xml:space="preserve">    Total liabilities</t>
        </is>
      </c>
      <c r="B16" s="9" t="n">
        <v>12350469</v>
      </c>
      <c r="C16" s="9" t="n">
        <v>17898260</v>
      </c>
      <c r="D16" s="9" t="n">
        <v>18069175</v>
      </c>
      <c r="E16" s="9" t="n">
        <v>24981391</v>
      </c>
    </row>
    <row r="17">
      <c r="A17" s="10" t="inlineStr">
        <is>
          <t xml:space="preserve">    Net assets</t>
        </is>
      </c>
      <c r="B17" s="11" t="n">
        <v>27729989</v>
      </c>
      <c r="C17" s="11" t="n">
        <v>28989468</v>
      </c>
      <c r="D17" s="11" t="n">
        <v>29263243</v>
      </c>
      <c r="E17" s="11" t="n">
        <v>34833613</v>
      </c>
    </row>
    <row r="19">
      <c r="A19" s="6" t="inlineStr">
        <is>
          <t>Headline ratios</t>
        </is>
      </c>
      <c r="B19" s="7" t="n"/>
      <c r="C19" s="7" t="n"/>
      <c r="D19" s="7" t="n"/>
      <c r="E19" s="7" t="n"/>
    </row>
    <row r="20">
      <c r="A20" s="8" t="inlineStr">
        <is>
          <t xml:space="preserve">    Operating margin</t>
        </is>
      </c>
      <c r="B20" s="12" t="n">
        <v>0.3146924500588664</v>
      </c>
      <c r="C20" s="12" t="n">
        <v>0.1121593003854909</v>
      </c>
      <c r="D20" s="12" t="n">
        <v>0.02695925390237242</v>
      </c>
      <c r="E20" s="12" t="n">
        <v>0.4938815378830257</v>
      </c>
    </row>
    <row r="21">
      <c r="A21" s="8" t="inlineStr">
        <is>
          <t xml:space="preserve">    Revenue growth (YoY)</t>
        </is>
      </c>
      <c r="B21" s="12" t="n">
        <v>-0.006593107083366652</v>
      </c>
      <c r="C21" s="12" t="n">
        <v>0.138410485656595</v>
      </c>
      <c r="D21" s="12" t="n">
        <v>0.02568825728943921</v>
      </c>
      <c r="E21" s="12" t="n">
        <v>-0.005429806020477823</v>
      </c>
    </row>
    <row r="22">
      <c r="A22" s="8" t="inlineStr">
        <is>
          <t xml:space="preserve">    Return on assets</t>
        </is>
      </c>
      <c r="B22" s="12" t="n">
        <v>0.07617914445987618</v>
      </c>
      <c r="C22" s="12" t="n">
        <v>0.02642149775310077</v>
      </c>
      <c r="D22" s="12" t="n">
        <v>0.006452765628833921</v>
      </c>
      <c r="E22" s="12" t="n">
        <v>0.09303466735536789</v>
      </c>
    </row>
    <row r="24" ht="42" customHeight="1">
      <c r="A24" s="3" t="inlineStr">
        <is>
          <t>Figures as reported in source filings (full provenance on the Sources &amp; audit tab). Parentheses denote negatives; ratios are computed upstream in financials_annual.</t>
        </is>
      </c>
    </row>
  </sheetData>
  <mergeCells count="6">
    <mergeCell ref="A24:E24"/>
    <mergeCell ref="A2:E2"/>
    <mergeCell ref="A1:E1"/>
    <mergeCell ref="A5:E5"/>
    <mergeCell ref="A6:E6"/>
    <mergeCell ref="A3:E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s>
  <sheetData>
    <row r="1">
      <c r="A1" s="1" t="inlineStr">
        <is>
          <t>Oildale Mutual Water Company</t>
        </is>
      </c>
    </row>
    <row r="2">
      <c r="A2" s="2" t="inlineStr">
        <is>
          <t>Financial Statements - income statement, balance sheet, cash flow, member income test (USD)</t>
        </is>
      </c>
    </row>
    <row r="3">
      <c r="A3" s="2" t="inlineStr">
        <is>
          <t>Entity ID: cawc_0006   |   Fiscal year ends June 30.</t>
        </is>
      </c>
    </row>
    <row r="5">
      <c r="A5" s="6" t="inlineStr">
        <is>
          <t>INCOME STATEMENT - as reported (USD)</t>
        </is>
      </c>
      <c r="B5" s="7" t="n"/>
      <c r="C5" s="7" t="n"/>
      <c r="D5" s="7" t="n"/>
      <c r="E5" s="7" t="n"/>
    </row>
    <row r="6">
      <c r="A6" s="4" t="inlineStr">
        <is>
          <t>Line item</t>
        </is>
      </c>
      <c r="B6" s="5" t="inlineStr">
        <is>
          <t>FY2021</t>
        </is>
      </c>
      <c r="C6" s="5" t="inlineStr">
        <is>
          <t>FY2022</t>
        </is>
      </c>
      <c r="D6" s="5" t="inlineStr">
        <is>
          <t>FY2023</t>
        </is>
      </c>
      <c r="E6" s="5" t="inlineStr">
        <is>
          <t>FY2024</t>
        </is>
      </c>
    </row>
    <row r="7">
      <c r="A7" s="6" t="inlineStr">
        <is>
          <t>Revenue</t>
        </is>
      </c>
      <c r="B7" s="7" t="n"/>
      <c r="C7" s="7" t="n"/>
      <c r="D7" s="7" t="n"/>
      <c r="E7" s="7" t="n"/>
    </row>
    <row r="8">
      <c r="A8" s="8" t="inlineStr">
        <is>
          <t xml:space="preserve">    Program service revenue</t>
        </is>
      </c>
      <c r="B8" s="9" t="n">
        <v>9569181</v>
      </c>
      <c r="C8" s="9" t="n">
        <v>10996285</v>
      </c>
      <c r="D8" s="9" t="n">
        <v>10868355</v>
      </c>
      <c r="E8" s="9" t="n">
        <v>10476825</v>
      </c>
    </row>
    <row r="9">
      <c r="A9" s="8" t="inlineStr">
        <is>
          <t xml:space="preserve">    Investment income</t>
        </is>
      </c>
      <c r="B9" s="9" t="n">
        <v>32992</v>
      </c>
      <c r="C9" s="9" t="n"/>
      <c r="D9" s="9" t="n">
        <v>402031</v>
      </c>
      <c r="E9" s="9" t="n">
        <v>363479</v>
      </c>
    </row>
    <row r="10">
      <c r="A10" s="8" t="inlineStr">
        <is>
          <t xml:space="preserve">    Net rental income</t>
        </is>
      </c>
      <c r="B10" s="9" t="n">
        <v>0</v>
      </c>
      <c r="C10" s="9" t="n"/>
      <c r="D10" s="9" t="n"/>
      <c r="E10" s="9" t="n"/>
    </row>
    <row r="11">
      <c r="A11" s="8" t="inlineStr">
        <is>
          <t xml:space="preserve">    Net gain/(loss) on investment sales</t>
        </is>
      </c>
      <c r="B11" s="9" t="n">
        <v>100300</v>
      </c>
      <c r="C11" s="9" t="n">
        <v>49112</v>
      </c>
      <c r="D11" s="9" t="n">
        <v>5498</v>
      </c>
      <c r="E11" s="9" t="n">
        <v>49641</v>
      </c>
    </row>
    <row r="12">
      <c r="A12" s="8" t="inlineStr">
        <is>
          <t xml:space="preserve">    Other revenue</t>
        </is>
      </c>
      <c r="B12" s="9" t="n">
        <v>0</v>
      </c>
      <c r="C12" s="9" t="n"/>
      <c r="D12" s="9" t="n">
        <v>53250</v>
      </c>
      <c r="E12" s="9" t="n">
        <v>377674</v>
      </c>
    </row>
    <row r="13">
      <c r="A13" s="8" t="inlineStr">
        <is>
          <t xml:space="preserve">    Contributions &amp; grants</t>
        </is>
      </c>
      <c r="B13" s="9" t="n">
        <v>0</v>
      </c>
      <c r="C13" s="9" t="n"/>
      <c r="D13" s="9" t="n"/>
      <c r="E13" s="9" t="n"/>
    </row>
    <row r="14">
      <c r="A14" s="10" t="inlineStr">
        <is>
          <t>Total revenue</t>
        </is>
      </c>
      <c r="B14" s="11" t="n">
        <v>9702473</v>
      </c>
      <c r="C14" s="11" t="n">
        <v>11045397</v>
      </c>
      <c r="D14" s="11" t="n">
        <v>11329134</v>
      </c>
      <c r="E14" s="11" t="n">
        <v>11267619</v>
      </c>
    </row>
    <row r="16">
      <c r="A16" s="6" t="inlineStr">
        <is>
          <t>Expenses</t>
        </is>
      </c>
      <c r="B16" s="7" t="n"/>
      <c r="C16" s="7" t="n"/>
      <c r="D16" s="7" t="n"/>
      <c r="E16" s="7" t="n"/>
    </row>
    <row r="17">
      <c r="A17" s="8" t="inlineStr">
        <is>
          <t xml:space="preserve">    Depreciation</t>
        </is>
      </c>
      <c r="B17" s="9" t="n">
        <v>538372</v>
      </c>
      <c r="C17" s="9" t="n">
        <v>528881</v>
      </c>
      <c r="D17" s="9" t="n">
        <v>620909</v>
      </c>
      <c r="E17" s="9" t="n">
        <v>698760</v>
      </c>
    </row>
    <row r="18">
      <c r="A18" s="8" t="inlineStr">
        <is>
          <t xml:space="preserve">    Interest expense</t>
        </is>
      </c>
      <c r="B18" s="9" t="n">
        <v>0</v>
      </c>
      <c r="C18" s="9" t="n">
        <v>116553</v>
      </c>
      <c r="D18" s="9" t="n"/>
      <c r="E18" s="9" t="n"/>
    </row>
    <row r="19">
      <c r="A19" s="10" t="inlineStr">
        <is>
          <t>Total expenses</t>
        </is>
      </c>
      <c r="B19" s="11" t="n">
        <v>6649178</v>
      </c>
      <c r="C19" s="11" t="n">
        <v>9806553</v>
      </c>
      <c r="D19" s="11" t="n">
        <v>11023709</v>
      </c>
      <c r="E19" s="11" t="n">
        <v>5702750</v>
      </c>
    </row>
    <row r="21">
      <c r="A21" s="10" t="inlineStr">
        <is>
          <t>Net income</t>
        </is>
      </c>
      <c r="B21" s="11" t="n">
        <v>3053295</v>
      </c>
      <c r="C21" s="11" t="n">
        <v>1238844</v>
      </c>
      <c r="D21" s="11" t="n">
        <v>305425</v>
      </c>
      <c r="E21" s="11" t="n">
        <v>5564869</v>
      </c>
    </row>
    <row r="24">
      <c r="A24" s="6" t="inlineStr">
        <is>
          <t>BALANCE SHEET - as reported (USD, end of year)</t>
        </is>
      </c>
      <c r="B24" s="7" t="n"/>
      <c r="C24" s="7" t="n"/>
      <c r="D24" s="7" t="n"/>
      <c r="E24" s="7" t="n"/>
    </row>
    <row r="25">
      <c r="A25" s="4" t="inlineStr">
        <is>
          <t>Line item</t>
        </is>
      </c>
      <c r="B25" s="5" t="inlineStr">
        <is>
          <t>FY2021</t>
        </is>
      </c>
      <c r="C25" s="5" t="inlineStr">
        <is>
          <t>FY2022</t>
        </is>
      </c>
      <c r="D25" s="5" t="inlineStr">
        <is>
          <t>FY2023</t>
        </is>
      </c>
      <c r="E25" s="5" t="inlineStr">
        <is>
          <t>FY2024</t>
        </is>
      </c>
    </row>
    <row r="26">
      <c r="A26" s="6" t="inlineStr">
        <is>
          <t>Assets</t>
        </is>
      </c>
      <c r="B26" s="7" t="n"/>
      <c r="C26" s="7" t="n"/>
      <c r="D26" s="7" t="n"/>
      <c r="E26" s="7" t="n"/>
    </row>
    <row r="27">
      <c r="A27" s="8" t="inlineStr">
        <is>
          <t xml:space="preserve">    Cash</t>
        </is>
      </c>
      <c r="B27" s="9" t="n">
        <v>3572160</v>
      </c>
      <c r="C27" s="9" t="n">
        <v>1624752</v>
      </c>
      <c r="D27" s="9" t="n">
        <v>907881</v>
      </c>
      <c r="E27" s="9" t="n">
        <v>844633</v>
      </c>
    </row>
    <row r="28">
      <c r="A28" s="8" t="inlineStr">
        <is>
          <t xml:space="preserve">    Savings &amp; temporary investments</t>
        </is>
      </c>
      <c r="B28" s="9" t="n">
        <v>13606674</v>
      </c>
      <c r="C28" s="9" t="n">
        <v>14843672</v>
      </c>
      <c r="D28" s="9" t="n">
        <v>8297164</v>
      </c>
      <c r="E28" s="9" t="n">
        <v>8360628</v>
      </c>
    </row>
    <row r="29">
      <c r="A29" s="8" t="inlineStr">
        <is>
          <t xml:space="preserve">    Accounts receivable</t>
        </is>
      </c>
      <c r="B29" s="9" t="n">
        <v>695678</v>
      </c>
      <c r="C29" s="9" t="n">
        <v>490782</v>
      </c>
      <c r="D29" s="9" t="n">
        <v>472706</v>
      </c>
      <c r="E29" s="9" t="n">
        <v>512049</v>
      </c>
    </row>
    <row r="30">
      <c r="A30" s="8" t="inlineStr">
        <is>
          <t xml:space="preserve">    Inventories</t>
        </is>
      </c>
      <c r="B30" s="9" t="n">
        <v>495881</v>
      </c>
      <c r="C30" s="9" t="n">
        <v>992515</v>
      </c>
      <c r="D30" s="9" t="n">
        <v>803462</v>
      </c>
      <c r="E30" s="9" t="n">
        <v>835298</v>
      </c>
    </row>
    <row r="31">
      <c r="A31" s="8" t="inlineStr">
        <is>
          <t xml:space="preserve">    Prepaid expenses</t>
        </is>
      </c>
      <c r="B31" s="9" t="n">
        <v>16532</v>
      </c>
      <c r="C31" s="9" t="n">
        <v>0</v>
      </c>
      <c r="D31" s="9" t="n"/>
      <c r="E31" s="9" t="n"/>
    </row>
    <row r="32">
      <c r="A32" s="8" t="inlineStr">
        <is>
          <t xml:space="preserve">    Property, plant &amp; equipment (gross)</t>
        </is>
      </c>
      <c r="B32" s="9" t="n">
        <v>33167978</v>
      </c>
      <c r="C32" s="9" t="n">
        <v>41368569</v>
      </c>
      <c r="D32" s="9" t="n">
        <v>50422521</v>
      </c>
      <c r="E32" s="9" t="n">
        <v>64150676</v>
      </c>
    </row>
    <row r="33">
      <c r="A33" s="8" t="inlineStr">
        <is>
          <t xml:space="preserve">    Less: accumulated depreciation</t>
        </is>
      </c>
      <c r="B33" s="9" t="n">
        <v>-11474445</v>
      </c>
      <c r="C33" s="9" t="n">
        <v>-12432562</v>
      </c>
      <c r="D33" s="9" t="n">
        <v>-13571316</v>
      </c>
      <c r="E33" s="9" t="n">
        <v>-14888280</v>
      </c>
    </row>
    <row r="34">
      <c r="A34" s="10" t="inlineStr">
        <is>
          <t xml:space="preserve">    Net property, plant &amp; equipment</t>
        </is>
      </c>
      <c r="B34" s="11" t="n">
        <v>21693533</v>
      </c>
      <c r="C34" s="11" t="n">
        <v>28936007</v>
      </c>
      <c r="D34" s="11" t="n">
        <v>36851205</v>
      </c>
      <c r="E34" s="11" t="n">
        <v>49262396</v>
      </c>
    </row>
    <row r="35">
      <c r="A35" s="10" t="inlineStr">
        <is>
          <t>Total assets</t>
        </is>
      </c>
      <c r="B35" s="11" t="n">
        <v>40080458</v>
      </c>
      <c r="C35" s="11" t="n">
        <v>46887728</v>
      </c>
      <c r="D35" s="11" t="n">
        <v>47332418</v>
      </c>
      <c r="E35" s="11" t="n">
        <v>59815004</v>
      </c>
    </row>
    <row r="37">
      <c r="A37" s="6" t="inlineStr">
        <is>
          <t>Liabilities</t>
        </is>
      </c>
      <c r="B37" s="7" t="n"/>
      <c r="C37" s="7" t="n"/>
      <c r="D37" s="7" t="n"/>
      <c r="E37" s="7" t="n"/>
    </row>
    <row r="38">
      <c r="A38" s="8" t="inlineStr">
        <is>
          <t xml:space="preserve">    Accounts payable</t>
        </is>
      </c>
      <c r="B38" s="9" t="n">
        <v>723891</v>
      </c>
      <c r="C38" s="9" t="n">
        <v>602496</v>
      </c>
      <c r="D38" s="9" t="n">
        <v>489012</v>
      </c>
      <c r="E38" s="9" t="n">
        <v>830364</v>
      </c>
    </row>
    <row r="39">
      <c r="A39" s="8" t="inlineStr">
        <is>
          <t xml:space="preserve">    Mortgages &amp; notes payable</t>
        </is>
      </c>
      <c r="B39" s="9" t="n">
        <v>42105</v>
      </c>
      <c r="C39" s="9" t="n">
        <v>40545</v>
      </c>
      <c r="D39" s="9" t="n">
        <v>37426</v>
      </c>
      <c r="E39" s="9" t="n">
        <v>32748</v>
      </c>
    </row>
    <row r="40">
      <c r="A40" s="10" t="inlineStr">
        <is>
          <t>Total liabilities</t>
        </is>
      </c>
      <c r="B40" s="11" t="n">
        <v>12350469</v>
      </c>
      <c r="C40" s="11" t="n">
        <v>17898260</v>
      </c>
      <c r="D40" s="11" t="n">
        <v>18069175</v>
      </c>
      <c r="E40" s="11" t="n">
        <v>24981391</v>
      </c>
    </row>
    <row r="42">
      <c r="A42" s="6" t="inlineStr">
        <is>
          <t>Net Assets / Equity</t>
        </is>
      </c>
      <c r="B42" s="7" t="n"/>
      <c r="C42" s="7" t="n"/>
      <c r="D42" s="7" t="n"/>
      <c r="E42" s="7" t="n"/>
    </row>
    <row r="43">
      <c r="A43" s="8" t="inlineStr">
        <is>
          <t xml:space="preserve">    Capital stock</t>
        </is>
      </c>
      <c r="B43" s="9" t="n">
        <v>3440614</v>
      </c>
      <c r="C43" s="9" t="n">
        <v>3461249</v>
      </c>
      <c r="D43" s="9" t="n">
        <v>3512057</v>
      </c>
      <c r="E43" s="9" t="n">
        <v>3517559</v>
      </c>
    </row>
    <row r="44">
      <c r="A44" s="8" t="inlineStr">
        <is>
          <t xml:space="preserve">    Paid-in capital</t>
        </is>
      </c>
      <c r="B44" s="9" t="n">
        <v>5731277</v>
      </c>
      <c r="C44" s="9" t="n">
        <v>5731277</v>
      </c>
      <c r="D44" s="9" t="n">
        <v>5731277</v>
      </c>
      <c r="E44" s="9" t="n">
        <v>5731277</v>
      </c>
    </row>
    <row r="45">
      <c r="A45" s="8" t="inlineStr">
        <is>
          <t xml:space="preserve">    Retained earnings</t>
        </is>
      </c>
      <c r="B45" s="9" t="n">
        <v>18558098</v>
      </c>
      <c r="C45" s="9" t="n">
        <v>19796942</v>
      </c>
      <c r="D45" s="9" t="n">
        <v>20019909</v>
      </c>
      <c r="E45" s="9" t="n">
        <v>25584777</v>
      </c>
    </row>
    <row r="46">
      <c r="A46" s="10" t="inlineStr">
        <is>
          <t>Net assets</t>
        </is>
      </c>
      <c r="B46" s="11" t="n">
        <v>27729989</v>
      </c>
      <c r="C46" s="11" t="n">
        <v>28989468</v>
      </c>
      <c r="D46" s="11" t="n">
        <v>29263243</v>
      </c>
      <c r="E46" s="11" t="n">
        <v>34833613</v>
      </c>
    </row>
    <row r="49">
      <c r="A49" s="6" t="inlineStr">
        <is>
          <t>CASH FLOW - derived proxy (USD)</t>
        </is>
      </c>
      <c r="B49" s="7" t="n"/>
      <c r="C49" s="7" t="n"/>
      <c r="D49" s="7" t="n"/>
      <c r="E49" s="7" t="n"/>
    </row>
    <row r="50">
      <c r="A50" s="4" t="inlineStr">
        <is>
          <t>Proxy line</t>
        </is>
      </c>
      <c r="B50" s="5" t="inlineStr">
        <is>
          <t>FY2021</t>
        </is>
      </c>
      <c r="C50" s="5" t="inlineStr">
        <is>
          <t>FY2022</t>
        </is>
      </c>
      <c r="D50" s="5" t="inlineStr">
        <is>
          <t>FY2023</t>
        </is>
      </c>
      <c r="E50" s="5" t="inlineStr">
        <is>
          <t>FY2024</t>
        </is>
      </c>
    </row>
    <row r="51">
      <c r="A51" s="6" t="inlineStr">
        <is>
          <t>Operating</t>
        </is>
      </c>
      <c r="B51" s="7" t="n"/>
      <c r="C51" s="7" t="n"/>
      <c r="D51" s="7" t="n"/>
      <c r="E51" s="7" t="n"/>
    </row>
    <row r="52">
      <c r="A52" s="8" t="inlineStr">
        <is>
          <t xml:space="preserve">    Net income</t>
        </is>
      </c>
      <c r="B52" s="9" t="n">
        <v>3053295</v>
      </c>
      <c r="C52" s="9" t="n">
        <v>1238844</v>
      </c>
      <c r="D52" s="9" t="n">
        <v>305425</v>
      </c>
      <c r="E52" s="9" t="n">
        <v>5564869</v>
      </c>
    </row>
    <row r="53">
      <c r="A53" s="8" t="inlineStr">
        <is>
          <t xml:space="preserve">    + Depreciation (reported)</t>
        </is>
      </c>
      <c r="B53" s="9" t="n">
        <v>538372</v>
      </c>
      <c r="C53" s="9" t="n">
        <v>528881</v>
      </c>
      <c r="D53" s="9" t="n">
        <v>620909</v>
      </c>
      <c r="E53" s="9" t="n">
        <v>698760</v>
      </c>
    </row>
    <row r="54">
      <c r="A54" s="8" t="inlineStr">
        <is>
          <t xml:space="preserve">    − Δ Accounts receivable</t>
        </is>
      </c>
      <c r="B54" s="9" t="n"/>
      <c r="C54" s="9" t="n">
        <v>204896</v>
      </c>
      <c r="D54" s="9" t="n">
        <v>18076</v>
      </c>
      <c r="E54" s="9" t="n">
        <v>-39343</v>
      </c>
    </row>
    <row r="55">
      <c r="A55" s="8" t="inlineStr">
        <is>
          <t xml:space="preserve">    − Δ Inventories</t>
        </is>
      </c>
      <c r="B55" s="9" t="n"/>
      <c r="C55" s="9" t="n">
        <v>-496634</v>
      </c>
      <c r="D55" s="9" t="n">
        <v>189053</v>
      </c>
      <c r="E55" s="9" t="n">
        <v>-31836</v>
      </c>
    </row>
    <row r="56">
      <c r="A56" s="8" t="inlineStr">
        <is>
          <t xml:space="preserve">    − Δ Prepaid expenses</t>
        </is>
      </c>
      <c r="B56" s="9" t="n"/>
      <c r="C56" s="9" t="n">
        <v>16532</v>
      </c>
      <c r="D56" s="9" t="n"/>
      <c r="E56" s="9" t="n"/>
    </row>
    <row r="57">
      <c r="A57" s="8" t="inlineStr">
        <is>
          <t xml:space="preserve">    + Δ Accounts payable</t>
        </is>
      </c>
      <c r="B57" s="9" t="n"/>
      <c r="C57" s="9" t="n">
        <v>-121395</v>
      </c>
      <c r="D57" s="9" t="n">
        <v>-113484</v>
      </c>
      <c r="E57" s="9" t="n">
        <v>341352</v>
      </c>
    </row>
    <row r="58">
      <c r="A58" s="10" t="inlineStr">
        <is>
          <t xml:space="preserve">    Operating cash flow proxy</t>
        </is>
      </c>
      <c r="B58" s="11" t="n"/>
      <c r="C58" s="11" t="n">
        <v>1371124</v>
      </c>
      <c r="D58" s="11" t="n">
        <v>1019979</v>
      </c>
      <c r="E58" s="11" t="n">
        <v>6533802</v>
      </c>
    </row>
    <row r="60">
      <c r="A60" s="6" t="inlineStr">
        <is>
          <t>Investing</t>
        </is>
      </c>
      <c r="B60" s="7" t="n"/>
      <c r="C60" s="7" t="n"/>
      <c r="D60" s="7" t="n"/>
      <c r="E60" s="7" t="n"/>
    </row>
    <row r="61">
      <c r="A61" s="8" t="inlineStr">
        <is>
          <t xml:space="preserve">    − Δ PP&amp;E gross (capex proxy)</t>
        </is>
      </c>
      <c r="B61" s="9" t="n"/>
      <c r="C61" s="9" t="n">
        <v>-8200591</v>
      </c>
      <c r="D61" s="9" t="n">
        <v>-9053952</v>
      </c>
      <c r="E61" s="9" t="n">
        <v>-13728155</v>
      </c>
    </row>
    <row r="63">
      <c r="A63" s="6" t="inlineStr">
        <is>
          <t>Financing</t>
        </is>
      </c>
      <c r="B63" s="7" t="n"/>
      <c r="C63" s="7" t="n"/>
      <c r="D63" s="7" t="n"/>
      <c r="E63" s="7" t="n"/>
    </row>
    <row r="64">
      <c r="A64" s="8" t="inlineStr">
        <is>
          <t xml:space="preserve">    Δ Mortgages &amp; notes payable</t>
        </is>
      </c>
      <c r="B64" s="9" t="n"/>
      <c r="C64" s="9" t="n">
        <v>-1560</v>
      </c>
      <c r="D64" s="9" t="n">
        <v>-3119</v>
      </c>
      <c r="E64" s="9" t="n">
        <v>-4678</v>
      </c>
    </row>
    <row r="66">
      <c r="A66" s="6" t="inlineStr">
        <is>
          <t>Reconciliation</t>
        </is>
      </c>
      <c r="B66" s="7" t="n"/>
      <c r="C66" s="7" t="n"/>
      <c r="D66" s="7" t="n"/>
      <c r="E66" s="7" t="n"/>
    </row>
    <row r="67">
      <c r="A67" s="10" t="inlineStr">
        <is>
          <t xml:space="preserve">    Δ Cash + temp. investments (actual)</t>
        </is>
      </c>
      <c r="B67" s="11" t="n"/>
      <c r="C67" s="11" t="n">
        <v>-710410</v>
      </c>
      <c r="D67" s="11" t="n">
        <v>-7263379</v>
      </c>
      <c r="E67" s="11" t="n">
        <v>216</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row>
    <row r="72">
      <c r="A72" s="4" t="inlineStr">
        <is>
          <t>Part V line 11</t>
        </is>
      </c>
      <c r="B72" s="5" t="inlineStr">
        <is>
          <t>FY2021</t>
        </is>
      </c>
      <c r="C72" s="5" t="inlineStr">
        <is>
          <t>FY2022</t>
        </is>
      </c>
      <c r="D72" s="5" t="inlineStr">
        <is>
          <t>FY2023</t>
        </is>
      </c>
      <c r="E72" s="5" t="inlineStr">
        <is>
          <t>FY2024</t>
        </is>
      </c>
    </row>
    <row r="73">
      <c r="A73" s="8" t="inlineStr">
        <is>
          <t xml:space="preserve">    11a. Gross income from members or shareholders</t>
        </is>
      </c>
      <c r="B73" s="14" t="inlineStr">
        <is>
          <t>not reported</t>
        </is>
      </c>
      <c r="C73" s="9" t="n">
        <v>0</v>
      </c>
      <c r="D73" s="9" t="n">
        <v>0</v>
      </c>
      <c r="E73" s="9" t="n">
        <v>0</v>
      </c>
    </row>
    <row r="74">
      <c r="A74" s="8" t="inlineStr">
        <is>
          <t xml:space="preserve">    11b. Gross income from other sources</t>
        </is>
      </c>
      <c r="B74" s="14" t="inlineStr">
        <is>
          <t>not reported</t>
        </is>
      </c>
      <c r="C74" s="9" t="n">
        <v>0</v>
      </c>
      <c r="D74" s="9" t="n">
        <v>0</v>
      </c>
      <c r="E74" s="9" t="n">
        <v>0</v>
      </c>
    </row>
    <row r="75">
      <c r="A75" s="15" t="inlineStr">
        <is>
          <t>Total gross income (11a + 11b)</t>
        </is>
      </c>
      <c r="B75" s="16">
        <f>SUM(B73,B74)</f>
        <v/>
      </c>
      <c r="C75" s="16">
        <f>SUM(C73,C74)</f>
        <v/>
      </c>
      <c r="D75" s="16">
        <f>SUM(D73,D74)</f>
        <v/>
      </c>
      <c r="E75" s="16">
        <f>SUM(E73,E74)</f>
        <v/>
      </c>
    </row>
    <row r="76">
      <c r="A76" s="15" t="inlineStr">
        <is>
          <t>Member income share (11a / total)</t>
        </is>
      </c>
      <c r="B76" s="17">
        <f>IF(B75=0,"",B73/B75)</f>
        <v/>
      </c>
      <c r="C76" s="17">
        <f>IF(C75=0,"",C73/C75)</f>
        <v/>
      </c>
      <c r="D76" s="17">
        <f>IF(D75=0,"",D73/D75)</f>
        <v/>
      </c>
      <c r="E76" s="17">
        <f>IF(E75=0,"",E73/E75)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69:E69"/>
    <mergeCell ref="A78:E78"/>
    <mergeCell ref="A2:E2"/>
    <mergeCell ref="A1:E1"/>
    <mergeCell ref="A3:E3"/>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s>
  <sheetData>
    <row r="1">
      <c r="A1" s="1" t="inlineStr">
        <is>
          <t>Oildale Mutual Water Company</t>
        </is>
      </c>
    </row>
    <row r="2">
      <c r="A2" s="2" t="inlineStr">
        <is>
          <t>Balance Sheet - as reported (USD, end of year)</t>
        </is>
      </c>
    </row>
    <row r="3">
      <c r="A3" s="2" t="inlineStr">
        <is>
          <t>Entity ID: cawc_0006   |   Fiscal year ends June 30.</t>
        </is>
      </c>
    </row>
    <row r="5">
      <c r="A5" s="4" t="inlineStr">
        <is>
          <t>Line item</t>
        </is>
      </c>
      <c r="B5" s="5" t="inlineStr">
        <is>
          <t>FY2021</t>
        </is>
      </c>
      <c r="C5" s="5" t="inlineStr">
        <is>
          <t>FY2022</t>
        </is>
      </c>
      <c r="D5" s="5" t="inlineStr">
        <is>
          <t>FY2023</t>
        </is>
      </c>
      <c r="E5" s="5" t="inlineStr">
        <is>
          <t>FY2024</t>
        </is>
      </c>
    </row>
    <row r="6">
      <c r="A6" s="6" t="inlineStr">
        <is>
          <t>Assets</t>
        </is>
      </c>
      <c r="B6" s="7" t="n"/>
      <c r="C6" s="7" t="n"/>
      <c r="D6" s="7" t="n"/>
      <c r="E6" s="7" t="n"/>
    </row>
    <row r="7">
      <c r="A7" s="8" t="inlineStr">
        <is>
          <t xml:space="preserve">    Cash</t>
        </is>
      </c>
      <c r="B7" s="9" t="n">
        <v>3572160</v>
      </c>
      <c r="C7" s="9" t="n">
        <v>1624752</v>
      </c>
      <c r="D7" s="9" t="n">
        <v>907881</v>
      </c>
      <c r="E7" s="9" t="n">
        <v>844633</v>
      </c>
    </row>
    <row r="8">
      <c r="A8" s="8" t="inlineStr">
        <is>
          <t xml:space="preserve">    Savings &amp; temporary investments</t>
        </is>
      </c>
      <c r="B8" s="9" t="n">
        <v>13606674</v>
      </c>
      <c r="C8" s="9" t="n">
        <v>14843672</v>
      </c>
      <c r="D8" s="9" t="n">
        <v>8297164</v>
      </c>
      <c r="E8" s="9" t="n">
        <v>8360628</v>
      </c>
    </row>
    <row r="9">
      <c r="A9" s="8" t="inlineStr">
        <is>
          <t xml:space="preserve">    Accounts receivable</t>
        </is>
      </c>
      <c r="B9" s="9" t="n">
        <v>695678</v>
      </c>
      <c r="C9" s="9" t="n">
        <v>490782</v>
      </c>
      <c r="D9" s="9" t="n">
        <v>472706</v>
      </c>
      <c r="E9" s="9" t="n">
        <v>512049</v>
      </c>
    </row>
    <row r="10">
      <c r="A10" s="8" t="inlineStr">
        <is>
          <t xml:space="preserve">    Inventories</t>
        </is>
      </c>
      <c r="B10" s="9" t="n">
        <v>495881</v>
      </c>
      <c r="C10" s="9" t="n">
        <v>992515</v>
      </c>
      <c r="D10" s="9" t="n">
        <v>803462</v>
      </c>
      <c r="E10" s="9" t="n">
        <v>835298</v>
      </c>
    </row>
    <row r="11">
      <c r="A11" s="8" t="inlineStr">
        <is>
          <t xml:space="preserve">    Prepaid expenses</t>
        </is>
      </c>
      <c r="B11" s="9" t="n">
        <v>16532</v>
      </c>
      <c r="C11" s="9" t="n">
        <v>0</v>
      </c>
      <c r="D11" s="9" t="n"/>
      <c r="E11" s="9" t="n"/>
    </row>
    <row r="12">
      <c r="A12" s="8" t="inlineStr">
        <is>
          <t xml:space="preserve">    Property, plant &amp; equipment (gross)</t>
        </is>
      </c>
      <c r="B12" s="9" t="n">
        <v>33167978</v>
      </c>
      <c r="C12" s="9" t="n">
        <v>41368569</v>
      </c>
      <c r="D12" s="9" t="n">
        <v>50422521</v>
      </c>
      <c r="E12" s="9" t="n">
        <v>64150676</v>
      </c>
    </row>
    <row r="13">
      <c r="A13" s="8" t="inlineStr">
        <is>
          <t xml:space="preserve">    Less: accumulated depreciation</t>
        </is>
      </c>
      <c r="B13" s="9" t="n">
        <v>-11474445</v>
      </c>
      <c r="C13" s="9" t="n">
        <v>-12432562</v>
      </c>
      <c r="D13" s="9" t="n">
        <v>-13571316</v>
      </c>
      <c r="E13" s="9" t="n">
        <v>-14888280</v>
      </c>
    </row>
    <row r="14">
      <c r="A14" s="10" t="inlineStr">
        <is>
          <t xml:space="preserve">    Net property, plant &amp; equipment</t>
        </is>
      </c>
      <c r="B14" s="11" t="n">
        <v>21693533</v>
      </c>
      <c r="C14" s="11" t="n">
        <v>28936007</v>
      </c>
      <c r="D14" s="11" t="n">
        <v>36851205</v>
      </c>
      <c r="E14" s="11" t="n">
        <v>49262396</v>
      </c>
    </row>
    <row r="15">
      <c r="A15" s="10" t="inlineStr">
        <is>
          <t>Total assets</t>
        </is>
      </c>
      <c r="B15" s="11" t="n">
        <v>40080458</v>
      </c>
      <c r="C15" s="11" t="n">
        <v>46887728</v>
      </c>
      <c r="D15" s="11" t="n">
        <v>47332418</v>
      </c>
      <c r="E15" s="11" t="n">
        <v>59815004</v>
      </c>
    </row>
    <row r="17">
      <c r="A17" s="6" t="inlineStr">
        <is>
          <t>Liabilities</t>
        </is>
      </c>
      <c r="B17" s="7" t="n"/>
      <c r="C17" s="7" t="n"/>
      <c r="D17" s="7" t="n"/>
      <c r="E17" s="7" t="n"/>
    </row>
    <row r="18">
      <c r="A18" s="8" t="inlineStr">
        <is>
          <t xml:space="preserve">    Accounts payable</t>
        </is>
      </c>
      <c r="B18" s="9" t="n">
        <v>723891</v>
      </c>
      <c r="C18" s="9" t="n">
        <v>602496</v>
      </c>
      <c r="D18" s="9" t="n">
        <v>489012</v>
      </c>
      <c r="E18" s="9" t="n">
        <v>830364</v>
      </c>
    </row>
    <row r="19">
      <c r="A19" s="8" t="inlineStr">
        <is>
          <t xml:space="preserve">    Mortgages &amp; notes payable</t>
        </is>
      </c>
      <c r="B19" s="9" t="n">
        <v>42105</v>
      </c>
      <c r="C19" s="9" t="n">
        <v>40545</v>
      </c>
      <c r="D19" s="9" t="n">
        <v>37426</v>
      </c>
      <c r="E19" s="9" t="n">
        <v>32748</v>
      </c>
    </row>
    <row r="20">
      <c r="A20" s="10" t="inlineStr">
        <is>
          <t>Total liabilities</t>
        </is>
      </c>
      <c r="B20" s="11" t="n">
        <v>12350469</v>
      </c>
      <c r="C20" s="11" t="n">
        <v>17898260</v>
      </c>
      <c r="D20" s="11" t="n">
        <v>18069175</v>
      </c>
      <c r="E20" s="11" t="n">
        <v>24981391</v>
      </c>
    </row>
    <row r="22">
      <c r="A22" s="6" t="inlineStr">
        <is>
          <t>Net Assets / Equity</t>
        </is>
      </c>
      <c r="B22" s="7" t="n"/>
      <c r="C22" s="7" t="n"/>
      <c r="D22" s="7" t="n"/>
      <c r="E22" s="7" t="n"/>
    </row>
    <row r="23">
      <c r="A23" s="8" t="inlineStr">
        <is>
          <t xml:space="preserve">    Capital stock</t>
        </is>
      </c>
      <c r="B23" s="9" t="n">
        <v>3440614</v>
      </c>
      <c r="C23" s="9" t="n">
        <v>3461249</v>
      </c>
      <c r="D23" s="9" t="n">
        <v>3512057</v>
      </c>
      <c r="E23" s="9" t="n">
        <v>3517559</v>
      </c>
    </row>
    <row r="24">
      <c r="A24" s="8" t="inlineStr">
        <is>
          <t xml:space="preserve">    Paid-in capital</t>
        </is>
      </c>
      <c r="B24" s="9" t="n">
        <v>5731277</v>
      </c>
      <c r="C24" s="9" t="n">
        <v>5731277</v>
      </c>
      <c r="D24" s="9" t="n">
        <v>5731277</v>
      </c>
      <c r="E24" s="9" t="n">
        <v>5731277</v>
      </c>
    </row>
    <row r="25">
      <c r="A25" s="8" t="inlineStr">
        <is>
          <t xml:space="preserve">    Retained earnings</t>
        </is>
      </c>
      <c r="B25" s="9" t="n">
        <v>18558098</v>
      </c>
      <c r="C25" s="9" t="n">
        <v>19796942</v>
      </c>
      <c r="D25" s="9" t="n">
        <v>20019909</v>
      </c>
      <c r="E25" s="9" t="n">
        <v>25584777</v>
      </c>
    </row>
    <row r="26">
      <c r="A26" s="10" t="inlineStr">
        <is>
          <t>Net assets</t>
        </is>
      </c>
      <c r="B26" s="11" t="n">
        <v>27729989</v>
      </c>
      <c r="C26" s="11" t="n">
        <v>28989468</v>
      </c>
      <c r="D26" s="11" t="n">
        <v>29263243</v>
      </c>
      <c r="E26" s="11" t="n">
        <v>34833613</v>
      </c>
    </row>
    <row r="28">
      <c r="A28" s="8" t="inlineStr">
        <is>
          <t>Balance check (assets − liab. − net assets)</t>
        </is>
      </c>
      <c r="B28" s="9" t="n">
        <v>0</v>
      </c>
      <c r="C28" s="9" t="n">
        <v>0</v>
      </c>
      <c r="D28" s="9" t="n">
        <v>0</v>
      </c>
      <c r="E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2:E2"/>
    <mergeCell ref="A1:E1"/>
    <mergeCell ref="A30:E30"/>
    <mergeCell ref="A3:E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9"/>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Oildale Mutual Water Company</t>
        </is>
      </c>
    </row>
    <row r="2">
      <c r="A2" s="2" t="inlineStr">
        <is>
          <t>Officers, Directors &amp; Contractors - Form 990 Part VII (FY2024; USD)</t>
        </is>
      </c>
    </row>
    <row r="3">
      <c r="A3" s="2" t="inlineStr">
        <is>
          <t>Entity ID: cawc_0006   |   Fiscal year ends June 30.</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LONNEY BOLLER</t>
        </is>
      </c>
      <c r="B7" s="8" t="inlineStr">
        <is>
          <t>DIRECTOR</t>
        </is>
      </c>
      <c r="C7" s="9" t="n">
        <v>6250</v>
      </c>
      <c r="D7" s="9" t="n">
        <v>0</v>
      </c>
      <c r="E7" s="9" t="n">
        <v>0</v>
      </c>
      <c r="F7" s="9" t="n">
        <v>6250</v>
      </c>
    </row>
    <row r="8">
      <c r="A8" s="8" t="inlineStr">
        <is>
          <t>JASON WATTENBARGER</t>
        </is>
      </c>
      <c r="B8" s="8" t="inlineStr">
        <is>
          <t>PRESIDENT</t>
        </is>
      </c>
      <c r="C8" s="9" t="n">
        <v>7300</v>
      </c>
      <c r="D8" s="9" t="n">
        <v>0</v>
      </c>
      <c r="E8" s="9" t="n">
        <v>0</v>
      </c>
      <c r="F8" s="9" t="n">
        <v>7300</v>
      </c>
    </row>
    <row r="9">
      <c r="A9" s="8" t="inlineStr">
        <is>
          <t>ROSS JOHNSON</t>
        </is>
      </c>
      <c r="B9" s="8" t="inlineStr">
        <is>
          <t>VICE PRESIDENT</t>
        </is>
      </c>
      <c r="C9" s="9" t="n">
        <v>6050</v>
      </c>
      <c r="D9" s="9" t="n">
        <v>0</v>
      </c>
      <c r="E9" s="9" t="n">
        <v>0</v>
      </c>
      <c r="F9" s="9" t="n">
        <v>6050</v>
      </c>
    </row>
    <row r="10">
      <c r="A10" s="8" t="inlineStr">
        <is>
          <t>DON WATTENBARGER</t>
        </is>
      </c>
      <c r="B10" s="8" t="inlineStr">
        <is>
          <t>DIRECTOR</t>
        </is>
      </c>
      <c r="C10" s="9" t="n">
        <v>6300</v>
      </c>
      <c r="D10" s="9" t="n">
        <v>0</v>
      </c>
      <c r="E10" s="9" t="n">
        <v>0</v>
      </c>
      <c r="F10" s="9" t="n">
        <v>6300</v>
      </c>
    </row>
    <row r="11">
      <c r="A11" s="18" t="inlineStr">
        <is>
          <t>RYAN NUNNELEY</t>
        </is>
      </c>
      <c r="B11" s="18" t="inlineStr">
        <is>
          <t>GENERAL MANAGER/SECRETARY</t>
        </is>
      </c>
      <c r="C11" s="19" t="n">
        <v>151800</v>
      </c>
      <c r="D11" s="19" t="n">
        <v>0</v>
      </c>
      <c r="E11" s="19" t="n">
        <v>0</v>
      </c>
      <c r="F11" s="19" t="n">
        <v>151800</v>
      </c>
    </row>
    <row r="12">
      <c r="A12" s="8" t="inlineStr">
        <is>
          <t>JUDE HUPP</t>
        </is>
      </c>
      <c r="B12" s="8" t="inlineStr">
        <is>
          <t>VICE PRESIDENT</t>
        </is>
      </c>
      <c r="C12" s="9" t="n">
        <v>6050</v>
      </c>
      <c r="D12" s="9" t="n">
        <v>0</v>
      </c>
      <c r="E12" s="9" t="n">
        <v>0</v>
      </c>
      <c r="F12" s="9" t="n">
        <v>6050</v>
      </c>
    </row>
    <row r="13">
      <c r="A13" s="18" t="inlineStr">
        <is>
          <t>DOUGLAS NUNNELEY</t>
        </is>
      </c>
      <c r="B13" s="18" t="inlineStr">
        <is>
          <t>FORMER SECRETARY</t>
        </is>
      </c>
      <c r="C13" s="19" t="n">
        <v>240000</v>
      </c>
      <c r="D13" s="19" t="n">
        <v>0</v>
      </c>
      <c r="E13" s="19" t="n">
        <v>0</v>
      </c>
      <c r="F13" s="19" t="n">
        <v>240000</v>
      </c>
    </row>
    <row r="14">
      <c r="A14" s="8" t="inlineStr">
        <is>
          <t>ALLAN EVANS</t>
        </is>
      </c>
      <c r="B14" s="8" t="inlineStr">
        <is>
          <t>OPERATIONS MANAGER</t>
        </is>
      </c>
      <c r="C14" s="9" t="n">
        <v>129244</v>
      </c>
      <c r="D14" s="9" t="n">
        <v>0</v>
      </c>
      <c r="E14" s="9" t="n">
        <v>0</v>
      </c>
      <c r="F14" s="9" t="n">
        <v>129244</v>
      </c>
    </row>
    <row r="16">
      <c r="A16" s="6" t="inlineStr">
        <is>
          <t>Section B - Independent contractors (over $100,000)</t>
        </is>
      </c>
      <c r="B16" s="7" t="n"/>
      <c r="C16" s="7" t="n"/>
      <c r="D16" s="7" t="n"/>
      <c r="E16" s="7" t="n"/>
      <c r="F16" s="7" t="n"/>
    </row>
    <row r="17">
      <c r="A17" s="5" t="inlineStr">
        <is>
          <t>Contractor</t>
        </is>
      </c>
      <c r="B17" s="5" t="inlineStr">
        <is>
          <t>Services</t>
        </is>
      </c>
      <c r="C17" s="5" t="inlineStr">
        <is>
          <t>Compensation</t>
        </is>
      </c>
    </row>
    <row r="19" ht="42" customHeight="1">
      <c r="A19"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9:F19"/>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s>
  <sheetData>
    <row r="1">
      <c r="A1" s="1" t="inlineStr">
        <is>
          <t>Oildale Mutual Water Company</t>
        </is>
      </c>
    </row>
    <row r="2">
      <c r="A2" s="2" t="inlineStr">
        <is>
          <t>Revenue - Form 990 Part VIII (USD)</t>
        </is>
      </c>
    </row>
    <row r="3">
      <c r="A3" s="2" t="inlineStr">
        <is>
          <t>Entity ID: cawc_0006   |   Fiscal year ends June 30.</t>
        </is>
      </c>
    </row>
    <row r="5">
      <c r="A5" s="4" t="inlineStr">
        <is>
          <t>Part VIII line</t>
        </is>
      </c>
      <c r="B5" s="5" t="inlineStr">
        <is>
          <t>FY2021</t>
        </is>
      </c>
      <c r="C5" s="5" t="inlineStr">
        <is>
          <t>FY2022</t>
        </is>
      </c>
      <c r="D5" s="5" t="inlineStr">
        <is>
          <t>FY2023</t>
        </is>
      </c>
      <c r="E5" s="5" t="inlineStr">
        <is>
          <t>FY2024</t>
        </is>
      </c>
    </row>
    <row r="6">
      <c r="A6" s="6" t="inlineStr">
        <is>
          <t>Revenue by category</t>
        </is>
      </c>
      <c r="B6" s="7" t="n"/>
      <c r="C6" s="7" t="n"/>
      <c r="D6" s="7" t="n"/>
      <c r="E6" s="7" t="n"/>
    </row>
    <row r="7">
      <c r="A7" s="8" t="inlineStr">
        <is>
          <t xml:space="preserve">    1h. Total contributions, gifts, grants</t>
        </is>
      </c>
      <c r="B7" s="9" t="n">
        <v>0</v>
      </c>
      <c r="C7" s="14" t="inlineStr">
        <is>
          <t>not reported</t>
        </is>
      </c>
      <c r="D7" s="14" t="inlineStr">
        <is>
          <t>not reported</t>
        </is>
      </c>
      <c r="E7" s="14" t="inlineStr">
        <is>
          <t>not reported</t>
        </is>
      </c>
    </row>
    <row r="8">
      <c r="A8" s="8" t="inlineStr">
        <is>
          <t xml:space="preserve">    2g. Total program service revenue</t>
        </is>
      </c>
      <c r="B8" s="9" t="n">
        <v>9569181</v>
      </c>
      <c r="C8" s="9" t="n">
        <v>10996285</v>
      </c>
      <c r="D8" s="9" t="n">
        <v>10868355</v>
      </c>
      <c r="E8" s="9" t="n">
        <v>10476825</v>
      </c>
    </row>
    <row r="9">
      <c r="A9" s="8" t="inlineStr">
        <is>
          <t xml:space="preserve">    3. Investment income</t>
        </is>
      </c>
      <c r="B9" s="9" t="n">
        <v>32992</v>
      </c>
      <c r="C9" s="14" t="inlineStr">
        <is>
          <t>not reported</t>
        </is>
      </c>
      <c r="D9" s="9" t="n">
        <v>402031</v>
      </c>
      <c r="E9" s="9" t="n">
        <v>363479</v>
      </c>
    </row>
    <row r="10">
      <c r="A10" s="8" t="inlineStr">
        <is>
          <t xml:space="preserve">    6d. Net rental income</t>
        </is>
      </c>
      <c r="B10" s="9" t="n">
        <v>0</v>
      </c>
      <c r="C10" s="14" t="inlineStr">
        <is>
          <t>not reported</t>
        </is>
      </c>
      <c r="D10" s="14" t="inlineStr">
        <is>
          <t>not reported</t>
        </is>
      </c>
      <c r="E10" s="14" t="inlineStr">
        <is>
          <t>not reported</t>
        </is>
      </c>
    </row>
    <row r="11">
      <c r="A11" s="8" t="inlineStr">
        <is>
          <t xml:space="preserve">    7d. Net gain/(loss) from investment sales</t>
        </is>
      </c>
      <c r="B11" s="9" t="n">
        <v>100300</v>
      </c>
      <c r="C11" s="9" t="n">
        <v>49112</v>
      </c>
      <c r="D11" s="9" t="n">
        <v>5498</v>
      </c>
      <c r="E11" s="9" t="n">
        <v>49641</v>
      </c>
    </row>
    <row r="12">
      <c r="A12" s="8" t="inlineStr">
        <is>
          <t xml:space="preserve">    11e. Other revenue</t>
        </is>
      </c>
      <c r="B12" s="9" t="n">
        <v>0</v>
      </c>
      <c r="C12" s="14" t="inlineStr">
        <is>
          <t>not reported</t>
        </is>
      </c>
      <c r="D12" s="9" t="n">
        <v>53250</v>
      </c>
      <c r="E12" s="9" t="n">
        <v>377674</v>
      </c>
    </row>
    <row r="13">
      <c r="A13" s="10" t="inlineStr">
        <is>
          <t>12. Total revenue</t>
        </is>
      </c>
      <c r="B13" s="11">
        <f>SUM(B7:B12)</f>
        <v/>
      </c>
      <c r="C13" s="11">
        <f>SUM(C7:C12)</f>
        <v/>
      </c>
      <c r="D13" s="11">
        <f>SUM(D7:D12)</f>
        <v/>
      </c>
      <c r="E13" s="11">
        <f>SUM(E7:E12)</f>
        <v/>
      </c>
    </row>
    <row r="15">
      <c r="A15" s="6" t="inlineStr">
        <is>
          <t>Program service revenue detail - FY2024 (lines 2a-2f)</t>
        </is>
      </c>
      <c r="B15" s="7" t="n"/>
      <c r="C15" s="7" t="n"/>
      <c r="D15" s="7" t="n"/>
      <c r="E15" s="7" t="n"/>
    </row>
    <row r="16">
      <c r="A16" s="5" t="inlineStr">
        <is>
          <t>Description</t>
        </is>
      </c>
      <c r="B16" s="5" t="inlineStr">
        <is>
          <t>Business code</t>
        </is>
      </c>
      <c r="C16" s="5" t="inlineStr">
        <is>
          <t>Total revenue</t>
        </is>
      </c>
    </row>
    <row r="17">
      <c r="A17" s="8" t="inlineStr">
        <is>
          <t>WATER ASSESSMENTS</t>
        </is>
      </c>
      <c r="B17" s="8" t="inlineStr">
        <is>
          <t>221000</t>
        </is>
      </c>
      <c r="C17" s="9" t="n">
        <v>10476825</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2:E2"/>
    <mergeCell ref="A1:E1"/>
    <mergeCell ref="A18:E18"/>
    <mergeCell ref="A3:E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s>
  <sheetData>
    <row r="1">
      <c r="A1" s="1" t="inlineStr">
        <is>
          <t>Oildale Mutual Water Company</t>
        </is>
      </c>
    </row>
    <row r="2">
      <c r="A2" s="2" t="inlineStr">
        <is>
          <t>Statement of Functional Expenses - Form 990 Part IX (USD)</t>
        </is>
      </c>
    </row>
    <row r="3">
      <c r="A3" s="2" t="inlineStr">
        <is>
          <t>Entity ID: cawc_0006   |   Fiscal year ends June 30.</t>
        </is>
      </c>
    </row>
    <row r="5">
      <c r="A5" s="4" t="inlineStr">
        <is>
          <t>Part IX line (column A Total)</t>
        </is>
      </c>
      <c r="B5" s="5" t="inlineStr">
        <is>
          <t>FY2021</t>
        </is>
      </c>
      <c r="C5" s="5" t="inlineStr">
        <is>
          <t>FY2022</t>
        </is>
      </c>
      <c r="D5" s="5" t="inlineStr">
        <is>
          <t>FY2023</t>
        </is>
      </c>
      <c r="E5" s="5" t="inlineStr">
        <is>
          <t>FY2024</t>
        </is>
      </c>
    </row>
    <row r="6">
      <c r="A6" s="6" t="inlineStr">
        <is>
          <t>Functional expenses, column A Total - by year</t>
        </is>
      </c>
      <c r="B6" s="7" t="n"/>
      <c r="C6" s="7" t="n"/>
      <c r="D6" s="7" t="n"/>
      <c r="E6" s="7" t="n"/>
    </row>
    <row r="7">
      <c r="A7" s="8" t="inlineStr">
        <is>
          <t xml:space="preserve">    1. Grants to domestic organizations and governments</t>
        </is>
      </c>
      <c r="B7" s="9" t="n">
        <v>0</v>
      </c>
      <c r="C7" s="14" t="inlineStr">
        <is>
          <t>not reported</t>
        </is>
      </c>
      <c r="D7" s="14" t="inlineStr">
        <is>
          <t>not reported</t>
        </is>
      </c>
      <c r="E7" s="14" t="inlineStr">
        <is>
          <t>not reported</t>
        </is>
      </c>
    </row>
    <row r="8">
      <c r="A8" s="8" t="inlineStr">
        <is>
          <t xml:space="preserve">    2. Grants to domestic individuals</t>
        </is>
      </c>
      <c r="B8" s="9" t="n">
        <v>0</v>
      </c>
      <c r="C8" s="14" t="inlineStr">
        <is>
          <t>not reported</t>
        </is>
      </c>
      <c r="D8" s="14" t="inlineStr">
        <is>
          <t>not reported</t>
        </is>
      </c>
      <c r="E8" s="14" t="inlineStr">
        <is>
          <t>not reported</t>
        </is>
      </c>
    </row>
    <row r="9">
      <c r="A9" s="8" t="inlineStr">
        <is>
          <t xml:space="preserve">    3. Grants to foreign organizations and individuals</t>
        </is>
      </c>
      <c r="B9" s="9" t="n">
        <v>0</v>
      </c>
      <c r="C9" s="14" t="inlineStr">
        <is>
          <t>not reported</t>
        </is>
      </c>
      <c r="D9" s="14" t="inlineStr">
        <is>
          <t>not reported</t>
        </is>
      </c>
      <c r="E9" s="14" t="inlineStr">
        <is>
          <t>not reported</t>
        </is>
      </c>
    </row>
    <row r="10">
      <c r="A10" s="8" t="inlineStr">
        <is>
          <t xml:space="preserve">    4. Benefits paid to or for members</t>
        </is>
      </c>
      <c r="B10" s="9" t="n">
        <v>0</v>
      </c>
      <c r="C10" s="14" t="inlineStr">
        <is>
          <t>not reported</t>
        </is>
      </c>
      <c r="D10" s="14" t="inlineStr">
        <is>
          <t>not reported</t>
        </is>
      </c>
      <c r="E10" s="14" t="inlineStr">
        <is>
          <t>not reported</t>
        </is>
      </c>
    </row>
    <row r="11">
      <c r="A11" s="8" t="inlineStr">
        <is>
          <t xml:space="preserve">    5. Compensation of current officers, directors, trustees</t>
        </is>
      </c>
      <c r="B11" s="9" t="n">
        <v>289486</v>
      </c>
      <c r="C11" s="9" t="n">
        <v>690828</v>
      </c>
      <c r="D11" s="9" t="n">
        <v>492249</v>
      </c>
      <c r="E11" s="9" t="n">
        <v>552994</v>
      </c>
    </row>
    <row r="12">
      <c r="A12" s="8" t="inlineStr">
        <is>
          <t xml:space="preserve">    6. Compensation to disqualified persons</t>
        </is>
      </c>
      <c r="B12" s="9" t="n">
        <v>0</v>
      </c>
      <c r="C12" s="14" t="inlineStr">
        <is>
          <t>not reported</t>
        </is>
      </c>
      <c r="D12" s="14" t="inlineStr">
        <is>
          <t>not reported</t>
        </is>
      </c>
      <c r="E12" s="14" t="inlineStr">
        <is>
          <t>not reported</t>
        </is>
      </c>
    </row>
    <row r="13">
      <c r="A13" s="8" t="inlineStr">
        <is>
          <t xml:space="preserve">    7. Other salaries and wages</t>
        </is>
      </c>
      <c r="B13" s="9" t="n">
        <v>1195777</v>
      </c>
      <c r="C13" s="9" t="n">
        <v>931891</v>
      </c>
      <c r="D13" s="9" t="n">
        <v>1182252</v>
      </c>
      <c r="E13" s="9" t="n">
        <v>1060074</v>
      </c>
    </row>
    <row r="14">
      <c r="A14" s="8" t="inlineStr">
        <is>
          <t xml:space="preserve">    8. Pension plan accruals and contributions</t>
        </is>
      </c>
      <c r="B14" s="9" t="n">
        <v>94623</v>
      </c>
      <c r="C14" s="9" t="n">
        <v>93471</v>
      </c>
      <c r="D14" s="9" t="n">
        <v>121241</v>
      </c>
      <c r="E14" s="9" t="n">
        <v>94513</v>
      </c>
    </row>
    <row r="15">
      <c r="A15" s="8" t="inlineStr">
        <is>
          <t xml:space="preserve">    9. Other employee benefits</t>
        </is>
      </c>
      <c r="B15" s="9" t="n">
        <v>386076</v>
      </c>
      <c r="C15" s="9" t="n">
        <v>296222</v>
      </c>
      <c r="D15" s="9" t="n">
        <v>318406</v>
      </c>
      <c r="E15" s="9" t="n">
        <v>318151</v>
      </c>
    </row>
    <row r="16">
      <c r="A16" s="8" t="inlineStr">
        <is>
          <t xml:space="preserve">    10. Payroll taxes</t>
        </is>
      </c>
      <c r="B16" s="9" t="n">
        <v>103269</v>
      </c>
      <c r="C16" s="9" t="n">
        <v>120308</v>
      </c>
      <c r="D16" s="9" t="n">
        <v>125860</v>
      </c>
      <c r="E16" s="9" t="n">
        <v>133121</v>
      </c>
    </row>
    <row r="17">
      <c r="A17" s="8" t="inlineStr">
        <is>
          <t xml:space="preserve">    11a. Fees for services: management</t>
        </is>
      </c>
      <c r="B17" s="9" t="n">
        <v>0</v>
      </c>
      <c r="C17" s="14" t="inlineStr">
        <is>
          <t>not reported</t>
        </is>
      </c>
      <c r="D17" s="14" t="inlineStr">
        <is>
          <t>not reported</t>
        </is>
      </c>
      <c r="E17" s="14" t="inlineStr">
        <is>
          <t>not reported</t>
        </is>
      </c>
    </row>
    <row r="18">
      <c r="A18" s="8" t="inlineStr">
        <is>
          <t xml:space="preserve">    11b. Fees for services: legal</t>
        </is>
      </c>
      <c r="B18" s="9" t="n">
        <v>27060</v>
      </c>
      <c r="C18" s="9" t="n">
        <v>45048</v>
      </c>
      <c r="D18" s="9" t="n">
        <v>196450</v>
      </c>
      <c r="E18" s="9" t="n">
        <v>293826</v>
      </c>
    </row>
    <row r="19">
      <c r="A19" s="8" t="inlineStr">
        <is>
          <t xml:space="preserve">    11c. Fees for services: accounting</t>
        </is>
      </c>
      <c r="B19" s="9" t="n">
        <v>33830</v>
      </c>
      <c r="C19" s="14" t="inlineStr">
        <is>
          <t>not reported</t>
        </is>
      </c>
      <c r="D19" s="14" t="inlineStr">
        <is>
          <t>not reported</t>
        </is>
      </c>
      <c r="E19" s="14" t="inlineStr">
        <is>
          <t>not reported</t>
        </is>
      </c>
    </row>
    <row r="20">
      <c r="A20" s="8" t="inlineStr">
        <is>
          <t xml:space="preserve">    11d. Fees for services: lobbying</t>
        </is>
      </c>
      <c r="B20" s="9" t="n">
        <v>0</v>
      </c>
      <c r="C20" s="14" t="inlineStr">
        <is>
          <t>not reported</t>
        </is>
      </c>
      <c r="D20" s="14" t="inlineStr">
        <is>
          <t>not reported</t>
        </is>
      </c>
      <c r="E20" s="14" t="inlineStr">
        <is>
          <t>not reported</t>
        </is>
      </c>
    </row>
    <row r="21">
      <c r="A21" s="8" t="inlineStr">
        <is>
          <t xml:space="preserve">    11e. Fees for services: professional fundraising</t>
        </is>
      </c>
      <c r="B21" s="9" t="n">
        <v>0</v>
      </c>
      <c r="C21" s="14" t="inlineStr">
        <is>
          <t>not reported</t>
        </is>
      </c>
      <c r="D21" s="14" t="inlineStr">
        <is>
          <t>not reported</t>
        </is>
      </c>
      <c r="E21" s="14" t="inlineStr">
        <is>
          <t>not reported</t>
        </is>
      </c>
    </row>
    <row r="22">
      <c r="A22" s="8" t="inlineStr">
        <is>
          <t xml:space="preserve">    11f. Fees for services: investment management</t>
        </is>
      </c>
      <c r="B22" s="9" t="n">
        <v>0</v>
      </c>
      <c r="C22" s="14" t="inlineStr">
        <is>
          <t>not reported</t>
        </is>
      </c>
      <c r="D22" s="14" t="inlineStr">
        <is>
          <t>not reported</t>
        </is>
      </c>
      <c r="E22" s="14" t="inlineStr">
        <is>
          <t>not reported</t>
        </is>
      </c>
    </row>
    <row r="23">
      <c r="A23" s="8" t="inlineStr">
        <is>
          <t xml:space="preserve">    11g. Fees for services: other</t>
        </is>
      </c>
      <c r="B23" s="9" t="n">
        <v>0</v>
      </c>
      <c r="C23" s="9" t="n">
        <v>49648</v>
      </c>
      <c r="D23" s="9" t="n">
        <v>31542</v>
      </c>
      <c r="E23" s="9" t="n">
        <v>17954</v>
      </c>
    </row>
    <row r="24">
      <c r="A24" s="8" t="inlineStr">
        <is>
          <t xml:space="preserve">    12. Advertising and promotion</t>
        </is>
      </c>
      <c r="B24" s="9" t="n">
        <v>0</v>
      </c>
      <c r="C24" s="14" t="inlineStr">
        <is>
          <t>not reported</t>
        </is>
      </c>
      <c r="D24" s="14" t="inlineStr">
        <is>
          <t>not reported</t>
        </is>
      </c>
      <c r="E24" s="14" t="inlineStr">
        <is>
          <t>not reported</t>
        </is>
      </c>
    </row>
    <row r="25">
      <c r="A25" s="8" t="inlineStr">
        <is>
          <t xml:space="preserve">    13. Office expenses</t>
        </is>
      </c>
      <c r="B25" s="9" t="n">
        <v>241028</v>
      </c>
      <c r="C25" s="9" t="n">
        <v>274063</v>
      </c>
      <c r="D25" s="9" t="n">
        <v>271183</v>
      </c>
      <c r="E25" s="9" t="n">
        <v>332598</v>
      </c>
    </row>
    <row r="26">
      <c r="A26" s="8" t="inlineStr">
        <is>
          <t xml:space="preserve">    14. Information technology</t>
        </is>
      </c>
      <c r="B26" s="9" t="n">
        <v>0</v>
      </c>
      <c r="C26" s="14" t="inlineStr">
        <is>
          <t>not reported</t>
        </is>
      </c>
      <c r="D26" s="14" t="inlineStr">
        <is>
          <t>not reported</t>
        </is>
      </c>
      <c r="E26" s="14" t="inlineStr">
        <is>
          <t>not reported</t>
        </is>
      </c>
    </row>
    <row r="27">
      <c r="A27" s="8" t="inlineStr">
        <is>
          <t xml:space="preserve">    15. Royalties</t>
        </is>
      </c>
      <c r="B27" s="9" t="n">
        <v>0</v>
      </c>
      <c r="C27" s="14" t="inlineStr">
        <is>
          <t>not reported</t>
        </is>
      </c>
      <c r="D27" s="14" t="inlineStr">
        <is>
          <t>not reported</t>
        </is>
      </c>
      <c r="E27" s="14" t="inlineStr">
        <is>
          <t>not reported</t>
        </is>
      </c>
    </row>
    <row r="28">
      <c r="A28" s="8" t="inlineStr">
        <is>
          <t xml:space="preserve">    16. Occupancy</t>
        </is>
      </c>
      <c r="B28" s="9" t="n">
        <v>0</v>
      </c>
      <c r="C28" s="14" t="inlineStr">
        <is>
          <t>not reported</t>
        </is>
      </c>
      <c r="D28" s="14" t="inlineStr">
        <is>
          <t>not reported</t>
        </is>
      </c>
      <c r="E28" s="14" t="inlineStr">
        <is>
          <t>not reported</t>
        </is>
      </c>
    </row>
    <row r="29">
      <c r="A29" s="8" t="inlineStr">
        <is>
          <t xml:space="preserve">    17. Travel</t>
        </is>
      </c>
      <c r="B29" s="9" t="n">
        <v>0</v>
      </c>
      <c r="C29" s="14" t="inlineStr">
        <is>
          <t>not reported</t>
        </is>
      </c>
      <c r="D29" s="14" t="inlineStr">
        <is>
          <t>not reported</t>
        </is>
      </c>
      <c r="E29" s="14" t="inlineStr">
        <is>
          <t>not reported</t>
        </is>
      </c>
    </row>
    <row r="30">
      <c r="A30" s="8" t="inlineStr">
        <is>
          <t xml:space="preserve">    18. Payments of travel/entertainment for public officials</t>
        </is>
      </c>
      <c r="B30" s="9" t="n">
        <v>0</v>
      </c>
      <c r="C30" s="14" t="inlineStr">
        <is>
          <t>not reported</t>
        </is>
      </c>
      <c r="D30" s="14" t="inlineStr">
        <is>
          <t>not reported</t>
        </is>
      </c>
      <c r="E30" s="14" t="inlineStr">
        <is>
          <t>not reported</t>
        </is>
      </c>
    </row>
    <row r="31">
      <c r="A31" s="8" t="inlineStr">
        <is>
          <t xml:space="preserve">    19. Conferences, conventions, and meetings</t>
        </is>
      </c>
      <c r="B31" s="9" t="n">
        <v>0</v>
      </c>
      <c r="C31" s="9" t="n">
        <v>15255</v>
      </c>
      <c r="D31" s="9" t="n">
        <v>4044</v>
      </c>
      <c r="E31" s="9" t="n">
        <v>16494</v>
      </c>
    </row>
    <row r="32">
      <c r="A32" s="8" t="inlineStr">
        <is>
          <t xml:space="preserve">    20. Interest</t>
        </is>
      </c>
      <c r="B32" s="9" t="n">
        <v>0</v>
      </c>
      <c r="C32" s="9" t="n">
        <v>116553</v>
      </c>
      <c r="D32" s="14" t="inlineStr">
        <is>
          <t>not reported</t>
        </is>
      </c>
      <c r="E32" s="14" t="inlineStr">
        <is>
          <t>not reported</t>
        </is>
      </c>
    </row>
    <row r="33">
      <c r="A33" s="8" t="inlineStr">
        <is>
          <t xml:space="preserve">    21. Payments to affiliates</t>
        </is>
      </c>
      <c r="B33" s="9" t="n">
        <v>0</v>
      </c>
      <c r="C33" s="14" t="inlineStr">
        <is>
          <t>not reported</t>
        </is>
      </c>
      <c r="D33" s="14" t="inlineStr">
        <is>
          <t>not reported</t>
        </is>
      </c>
      <c r="E33" s="14" t="inlineStr">
        <is>
          <t>not reported</t>
        </is>
      </c>
    </row>
    <row r="34">
      <c r="A34" s="8" t="inlineStr">
        <is>
          <t xml:space="preserve">    22. Depreciation, depletion, and amortization</t>
        </is>
      </c>
      <c r="B34" s="9" t="n">
        <v>538372</v>
      </c>
      <c r="C34" s="9" t="n">
        <v>528881</v>
      </c>
      <c r="D34" s="9" t="n">
        <v>620909</v>
      </c>
      <c r="E34" s="9" t="n">
        <v>698760</v>
      </c>
    </row>
    <row r="35">
      <c r="A35" s="8" t="inlineStr">
        <is>
          <t xml:space="preserve">    23. Insurance</t>
        </is>
      </c>
      <c r="B35" s="9" t="n">
        <v>57530</v>
      </c>
      <c r="C35" s="9" t="n">
        <v>172363</v>
      </c>
      <c r="D35" s="9" t="n">
        <v>227426</v>
      </c>
      <c r="E35" s="9" t="n">
        <v>287362</v>
      </c>
    </row>
    <row r="36">
      <c r="A36" s="8" t="inlineStr">
        <is>
          <t xml:space="preserve">    24. WATER PURCHASES</t>
        </is>
      </c>
      <c r="B36" s="9" t="n">
        <v>2481654</v>
      </c>
      <c r="C36" s="14" t="inlineStr">
        <is>
          <t>not reported</t>
        </is>
      </c>
      <c r="D36" s="14" t="inlineStr">
        <is>
          <t>not reported</t>
        </is>
      </c>
      <c r="E36" s="14" t="inlineStr">
        <is>
          <t>not reported</t>
        </is>
      </c>
    </row>
    <row r="37">
      <c r="A37" s="8" t="inlineStr">
        <is>
          <t xml:space="preserve">    24. REPAIRS &amp; MAINTENANCE</t>
        </is>
      </c>
      <c r="B37" s="9" t="n">
        <v>573437</v>
      </c>
      <c r="C37" s="14" t="inlineStr">
        <is>
          <t>not reported</t>
        </is>
      </c>
      <c r="D37" s="14" t="inlineStr">
        <is>
          <t>not reported</t>
        </is>
      </c>
      <c r="E37" s="14" t="inlineStr">
        <is>
          <t>not reported</t>
        </is>
      </c>
    </row>
    <row r="38">
      <c r="A38" s="8" t="inlineStr">
        <is>
          <t xml:space="preserve">    24. UTILITIES</t>
        </is>
      </c>
      <c r="B38" s="9" t="n">
        <v>276546</v>
      </c>
      <c r="C38" s="14" t="inlineStr">
        <is>
          <t>not reported</t>
        </is>
      </c>
      <c r="D38" s="14" t="inlineStr">
        <is>
          <t>not reported</t>
        </is>
      </c>
      <c r="E38" s="9" t="n">
        <v>167677</v>
      </c>
    </row>
    <row r="39">
      <c r="A39" s="8" t="inlineStr">
        <is>
          <t xml:space="preserve">    24. PROPERTY AND FRANCHISE TAX</t>
        </is>
      </c>
      <c r="B39" s="9" t="n">
        <v>161494</v>
      </c>
      <c r="C39" s="14" t="inlineStr">
        <is>
          <t>not reported</t>
        </is>
      </c>
      <c r="D39" s="14" t="inlineStr">
        <is>
          <t>not reported</t>
        </is>
      </c>
      <c r="E39" s="14" t="inlineStr">
        <is>
          <t>not reported</t>
        </is>
      </c>
    </row>
    <row r="40">
      <c r="A40" s="8" t="inlineStr">
        <is>
          <t xml:space="preserve">    24. ANNUAL ENTITLEMENT</t>
        </is>
      </c>
      <c r="B40" s="14" t="inlineStr">
        <is>
          <t>not reported</t>
        </is>
      </c>
      <c r="C40" s="9" t="n">
        <v>2098365</v>
      </c>
      <c r="D40" s="9" t="n">
        <v>2314598</v>
      </c>
      <c r="E40" s="14" t="inlineStr">
        <is>
          <t>not reported</t>
        </is>
      </c>
    </row>
    <row r="41">
      <c r="A41" s="8" t="inlineStr">
        <is>
          <t xml:space="preserve">    24. CAPITAL FAC</t>
        </is>
      </c>
      <c r="B41" s="14" t="inlineStr">
        <is>
          <t>not reported</t>
        </is>
      </c>
      <c r="C41" s="9" t="n">
        <v>1994193</v>
      </c>
      <c r="D41" s="9" t="n">
        <v>1995518</v>
      </c>
      <c r="E41" s="14" t="inlineStr">
        <is>
          <t>not reported</t>
        </is>
      </c>
    </row>
    <row r="42">
      <c r="A42" s="8" t="inlineStr">
        <is>
          <t xml:space="preserve">    24. SERVICES</t>
        </is>
      </c>
      <c r="B42" s="14" t="inlineStr">
        <is>
          <t>not reported</t>
        </is>
      </c>
      <c r="C42" s="9" t="n">
        <v>757207</v>
      </c>
      <c r="D42" s="9" t="n">
        <v>1111416</v>
      </c>
      <c r="E42" s="9" t="n">
        <v>447911</v>
      </c>
    </row>
    <row r="43">
      <c r="A43" s="8" t="inlineStr">
        <is>
          <t xml:space="preserve">    24. REPAIRS AND MAINTANCE</t>
        </is>
      </c>
      <c r="B43" s="14" t="inlineStr">
        <is>
          <t>not reported</t>
        </is>
      </c>
      <c r="C43" s="9" t="n">
        <v>443111</v>
      </c>
      <c r="D43" s="14" t="inlineStr">
        <is>
          <t>not reported</t>
        </is>
      </c>
      <c r="E43" s="9" t="n">
        <v>816268</v>
      </c>
    </row>
    <row r="44">
      <c r="A44" s="8" t="inlineStr">
        <is>
          <t xml:space="preserve">    24. MISC EXPENSES</t>
        </is>
      </c>
      <c r="B44" s="14" t="inlineStr">
        <is>
          <t>not reported</t>
        </is>
      </c>
      <c r="C44" s="14" t="inlineStr">
        <is>
          <t>not reported</t>
        </is>
      </c>
      <c r="D44" s="9" t="n">
        <v>544912</v>
      </c>
      <c r="E44" s="14" t="inlineStr">
        <is>
          <t>not reported</t>
        </is>
      </c>
    </row>
    <row r="45">
      <c r="A45" s="8" t="inlineStr">
        <is>
          <t xml:space="preserve">    24. PROPERTY AND OTHER TAXE</t>
        </is>
      </c>
      <c r="B45" s="14" t="inlineStr">
        <is>
          <t>not reported</t>
        </is>
      </c>
      <c r="C45" s="14" t="inlineStr">
        <is>
          <t>not reported</t>
        </is>
      </c>
      <c r="D45" s="14" t="inlineStr">
        <is>
          <t>not reported</t>
        </is>
      </c>
      <c r="E45" s="9" t="n">
        <v>164874</v>
      </c>
    </row>
    <row r="46">
      <c r="A46" s="8" t="inlineStr">
        <is>
          <t xml:space="preserve">    24e. All other expenses</t>
        </is>
      </c>
      <c r="B46" s="9" t="n">
        <v>188996</v>
      </c>
      <c r="C46" s="9" t="n">
        <v>1179146</v>
      </c>
      <c r="D46" s="9" t="n">
        <v>1465703</v>
      </c>
      <c r="E46" s="9" t="n">
        <v>300173</v>
      </c>
    </row>
    <row r="47">
      <c r="A47" s="10" t="inlineStr">
        <is>
          <t>25. Total functional expenses</t>
        </is>
      </c>
      <c r="B47" s="11">
        <f>SUM(B7:B46)</f>
        <v/>
      </c>
      <c r="C47" s="11">
        <f>SUM(C7:C46)</f>
        <v/>
      </c>
      <c r="D47" s="11">
        <f>SUM(D7:D46)</f>
        <v/>
      </c>
      <c r="E47" s="11">
        <f>SUM(E7:E46)</f>
        <v/>
      </c>
    </row>
    <row r="49">
      <c r="A49" s="6" t="inlineStr">
        <is>
          <t>Functional column split - FY2024</t>
        </is>
      </c>
      <c r="B49" s="7" t="n"/>
      <c r="C49" s="7" t="n"/>
      <c r="D49" s="7" t="n"/>
      <c r="E49" s="7" t="n"/>
    </row>
    <row r="50" ht="42" customHeight="1">
      <c r="A50" s="3" t="inlineStr">
        <is>
          <t>Not reported. This filer reports only column A (Total) of Part IX; the program / management / fundraising split (columns B-D) is not filed, so it is left as not reported rather than shown empty or inferred.</t>
        </is>
      </c>
    </row>
    <row r="51" ht="42" customHeight="1">
      <c r="A51"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This filer reports only column A (Total); the program / management / fundraising split (columns B-D) is not reported. Lines this filer does not report are omitted rather than shown empty.</t>
        </is>
      </c>
    </row>
  </sheetData>
  <mergeCells count="5">
    <mergeCell ref="A50:E50"/>
    <mergeCell ref="A2:E2"/>
    <mergeCell ref="A51:E51"/>
    <mergeCell ref="A1:E1"/>
    <mergeCell ref="A3:E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6"/>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s>
  <sheetData>
    <row r="1">
      <c r="A1" s="1" t="inlineStr">
        <is>
          <t>Oildale Mutual Water Company</t>
        </is>
      </c>
    </row>
    <row r="2">
      <c r="A2" s="2" t="inlineStr">
        <is>
          <t>Balance Sheet - Form 990 Part X (end of year, USD)</t>
        </is>
      </c>
    </row>
    <row r="3">
      <c r="A3" s="2" t="inlineStr">
        <is>
          <t>Entity ID: cawc_0006   |   Fiscal year ends June 30.</t>
        </is>
      </c>
    </row>
    <row r="5">
      <c r="A5" s="4" t="inlineStr">
        <is>
          <t>Part X line (column B, EOY)</t>
        </is>
      </c>
      <c r="B5" s="5" t="inlineStr">
        <is>
          <t>FY2021</t>
        </is>
      </c>
      <c r="C5" s="5" t="inlineStr">
        <is>
          <t>FY2022</t>
        </is>
      </c>
      <c r="D5" s="5" t="inlineStr">
        <is>
          <t>FY2023</t>
        </is>
      </c>
      <c r="E5" s="5" t="inlineStr">
        <is>
          <t>FY2024</t>
        </is>
      </c>
    </row>
    <row r="6">
      <c r="A6" s="6" t="inlineStr">
        <is>
          <t>Assets</t>
        </is>
      </c>
      <c r="B6" s="7" t="n"/>
      <c r="C6" s="7" t="n"/>
      <c r="D6" s="7" t="n"/>
      <c r="E6" s="7" t="n"/>
    </row>
    <row r="7">
      <c r="A7" s="8" t="inlineStr">
        <is>
          <t xml:space="preserve">    1. Cash - non-interest-bearing</t>
        </is>
      </c>
      <c r="B7" s="9" t="n">
        <v>3572160</v>
      </c>
      <c r="C7" s="9" t="n">
        <v>1624752</v>
      </c>
      <c r="D7" s="9" t="n">
        <v>907881</v>
      </c>
      <c r="E7" s="9" t="n">
        <v>844633</v>
      </c>
    </row>
    <row r="8">
      <c r="A8" s="8" t="inlineStr">
        <is>
          <t xml:space="preserve">    2. Savings and temporary cash investments</t>
        </is>
      </c>
      <c r="B8" s="9" t="n">
        <v>13606674</v>
      </c>
      <c r="C8" s="9" t="n">
        <v>14843672</v>
      </c>
      <c r="D8" s="9" t="n">
        <v>8297164</v>
      </c>
      <c r="E8" s="9" t="n">
        <v>8360628</v>
      </c>
    </row>
    <row r="9">
      <c r="A9" s="8" t="inlineStr">
        <is>
          <t xml:space="preserve">    3. Pledges and grants receivable, net</t>
        </is>
      </c>
      <c r="B9" s="9" t="n">
        <v>0</v>
      </c>
      <c r="C9" s="14" t="inlineStr">
        <is>
          <t>not reported</t>
        </is>
      </c>
      <c r="D9" s="14" t="inlineStr">
        <is>
          <t>not reported</t>
        </is>
      </c>
      <c r="E9" s="14" t="inlineStr">
        <is>
          <t>not reported</t>
        </is>
      </c>
    </row>
    <row r="10">
      <c r="A10" s="8" t="inlineStr">
        <is>
          <t xml:space="preserve">    4. Accounts receivable, net</t>
        </is>
      </c>
      <c r="B10" s="9" t="n">
        <v>695678</v>
      </c>
      <c r="C10" s="9" t="n">
        <v>490782</v>
      </c>
      <c r="D10" s="9" t="n">
        <v>472706</v>
      </c>
      <c r="E10" s="9" t="n">
        <v>512049</v>
      </c>
    </row>
    <row r="11">
      <c r="A11" s="8" t="inlineStr">
        <is>
          <t xml:space="preserve">    5. Receivables from officers/directors/trustees</t>
        </is>
      </c>
      <c r="B11" s="9" t="n">
        <v>0</v>
      </c>
      <c r="C11" s="14" t="inlineStr">
        <is>
          <t>not reported</t>
        </is>
      </c>
      <c r="D11" s="14" t="inlineStr">
        <is>
          <t>not reported</t>
        </is>
      </c>
      <c r="E11" s="14" t="inlineStr">
        <is>
          <t>not reported</t>
        </is>
      </c>
    </row>
    <row r="12">
      <c r="A12" s="8" t="inlineStr">
        <is>
          <t xml:space="preserve">    6. Receivables from disqualified persons</t>
        </is>
      </c>
      <c r="B12" s="9" t="n">
        <v>0</v>
      </c>
      <c r="C12" s="14" t="inlineStr">
        <is>
          <t>not reported</t>
        </is>
      </c>
      <c r="D12" s="14" t="inlineStr">
        <is>
          <t>not reported</t>
        </is>
      </c>
      <c r="E12" s="14" t="inlineStr">
        <is>
          <t>not reported</t>
        </is>
      </c>
    </row>
    <row r="13">
      <c r="A13" s="8" t="inlineStr">
        <is>
          <t xml:space="preserve">    7. Notes and loans receivable, net</t>
        </is>
      </c>
      <c r="B13" s="9" t="n">
        <v>0</v>
      </c>
      <c r="C13" s="14" t="inlineStr">
        <is>
          <t>not reported</t>
        </is>
      </c>
      <c r="D13" s="14" t="inlineStr">
        <is>
          <t>not reported</t>
        </is>
      </c>
      <c r="E13" s="14" t="inlineStr">
        <is>
          <t>not reported</t>
        </is>
      </c>
    </row>
    <row r="14">
      <c r="A14" s="8" t="inlineStr">
        <is>
          <t xml:space="preserve">    8. Inventories for sale or use</t>
        </is>
      </c>
      <c r="B14" s="9" t="n">
        <v>495881</v>
      </c>
      <c r="C14" s="9" t="n">
        <v>992515</v>
      </c>
      <c r="D14" s="9" t="n">
        <v>803462</v>
      </c>
      <c r="E14" s="9" t="n">
        <v>835298</v>
      </c>
    </row>
    <row r="15">
      <c r="A15" s="8" t="inlineStr">
        <is>
          <t xml:space="preserve">    9. Prepaid expenses and deferred charges</t>
        </is>
      </c>
      <c r="B15" s="9" t="n">
        <v>16532</v>
      </c>
      <c r="C15" s="9" t="n">
        <v>0</v>
      </c>
      <c r="D15" s="14" t="inlineStr">
        <is>
          <t>not reported</t>
        </is>
      </c>
      <c r="E15" s="14" t="inlineStr">
        <is>
          <t>not reported</t>
        </is>
      </c>
    </row>
    <row r="16">
      <c r="A16" s="8" t="inlineStr">
        <is>
          <t xml:space="preserve">    10c. Land, buildings, and equipment, net</t>
        </is>
      </c>
      <c r="B16" s="9" t="n">
        <v>21693533</v>
      </c>
      <c r="C16" s="9" t="n">
        <v>28936007</v>
      </c>
      <c r="D16" s="9" t="n">
        <v>36851205</v>
      </c>
      <c r="E16" s="9" t="n">
        <v>49262396</v>
      </c>
    </row>
    <row r="17">
      <c r="A17" s="8" t="inlineStr">
        <is>
          <t xml:space="preserve">    11. Investments - publicly traded securities</t>
        </is>
      </c>
      <c r="B17" s="9" t="n">
        <v>0</v>
      </c>
      <c r="C17" s="14" t="inlineStr">
        <is>
          <t>not reported</t>
        </is>
      </c>
      <c r="D17" s="14" t="inlineStr">
        <is>
          <t>not reported</t>
        </is>
      </c>
      <c r="E17" s="14" t="inlineStr">
        <is>
          <t>not reported</t>
        </is>
      </c>
    </row>
    <row r="18">
      <c r="A18" s="8" t="inlineStr">
        <is>
          <t xml:space="preserve">    12. Investments - other securities</t>
        </is>
      </c>
      <c r="B18" s="9" t="n">
        <v>0</v>
      </c>
      <c r="C18" s="14" t="inlineStr">
        <is>
          <t>not reported</t>
        </is>
      </c>
      <c r="D18" s="14" t="inlineStr">
        <is>
          <t>not reported</t>
        </is>
      </c>
      <c r="E18" s="14" t="inlineStr">
        <is>
          <t>not reported</t>
        </is>
      </c>
    </row>
    <row r="19">
      <c r="A19" s="8" t="inlineStr">
        <is>
          <t xml:space="preserve">    13. Investments - program-related</t>
        </is>
      </c>
      <c r="B19" s="9" t="n">
        <v>0</v>
      </c>
      <c r="C19" s="14" t="inlineStr">
        <is>
          <t>not reported</t>
        </is>
      </c>
      <c r="D19" s="14" t="inlineStr">
        <is>
          <t>not reported</t>
        </is>
      </c>
      <c r="E19" s="14" t="inlineStr">
        <is>
          <t>not reported</t>
        </is>
      </c>
    </row>
    <row r="20">
      <c r="A20" s="8" t="inlineStr">
        <is>
          <t xml:space="preserve">    14. Intangible assets</t>
        </is>
      </c>
      <c r="B20" s="9" t="n">
        <v>0</v>
      </c>
      <c r="C20" s="14" t="inlineStr">
        <is>
          <t>not reported</t>
        </is>
      </c>
      <c r="D20" s="14" t="inlineStr">
        <is>
          <t>not reported</t>
        </is>
      </c>
      <c r="E20" s="14" t="inlineStr">
        <is>
          <t>not reported</t>
        </is>
      </c>
    </row>
    <row r="21">
      <c r="A21" s="8" t="inlineStr">
        <is>
          <t xml:space="preserve">    15. Other assets</t>
        </is>
      </c>
      <c r="B21" s="9" t="n">
        <v>0</v>
      </c>
      <c r="C21" s="14" t="inlineStr">
        <is>
          <t>not reported</t>
        </is>
      </c>
      <c r="D21" s="14" t="inlineStr">
        <is>
          <t>not reported</t>
        </is>
      </c>
      <c r="E21" s="14" t="inlineStr">
        <is>
          <t>not reported</t>
        </is>
      </c>
    </row>
    <row r="22">
      <c r="A22" s="10" t="inlineStr">
        <is>
          <t>16. Total assets</t>
        </is>
      </c>
      <c r="B22" s="11">
        <f>SUM(B7:B21)</f>
        <v/>
      </c>
      <c r="C22" s="11">
        <f>SUM(C7:C21)</f>
        <v/>
      </c>
      <c r="D22" s="11">
        <f>SUM(D7:D21)</f>
        <v/>
      </c>
      <c r="E22" s="11">
        <f>SUM(E7:E21)</f>
        <v/>
      </c>
    </row>
    <row r="24">
      <c r="A24" s="6" t="inlineStr">
        <is>
          <t>Liabilities</t>
        </is>
      </c>
      <c r="B24" s="7" t="n"/>
      <c r="C24" s="7" t="n"/>
      <c r="D24" s="7" t="n"/>
      <c r="E24" s="7" t="n"/>
    </row>
    <row r="25">
      <c r="A25" s="8" t="inlineStr">
        <is>
          <t xml:space="preserve">    17. Accounts payable and accrued expenses</t>
        </is>
      </c>
      <c r="B25" s="9" t="n">
        <v>723891</v>
      </c>
      <c r="C25" s="9" t="n">
        <v>602496</v>
      </c>
      <c r="D25" s="9" t="n">
        <v>489012</v>
      </c>
      <c r="E25" s="9" t="n">
        <v>830364</v>
      </c>
    </row>
    <row r="26">
      <c r="A26" s="8" t="inlineStr">
        <is>
          <t xml:space="preserve">    23. Secured mortgages and notes payable</t>
        </is>
      </c>
      <c r="B26" s="9" t="n">
        <v>42105</v>
      </c>
      <c r="C26" s="9" t="n">
        <v>40545</v>
      </c>
      <c r="D26" s="9" t="n">
        <v>37426</v>
      </c>
      <c r="E26" s="9" t="n">
        <v>32748</v>
      </c>
    </row>
    <row r="27">
      <c r="A27" s="8" t="inlineStr">
        <is>
          <t xml:space="preserve">    25. Other liabilities</t>
        </is>
      </c>
      <c r="B27" s="9" t="n">
        <v>11584473</v>
      </c>
      <c r="C27" s="9" t="n">
        <v>17255219</v>
      </c>
      <c r="D27" s="9" t="n">
        <v>17542737</v>
      </c>
      <c r="E27" s="9" t="n">
        <v>24118279</v>
      </c>
    </row>
    <row r="28">
      <c r="A28" s="10" t="inlineStr">
        <is>
          <t>26. Total liabilities</t>
        </is>
      </c>
      <c r="B28" s="11">
        <f>SUM(B25:B27)</f>
        <v/>
      </c>
      <c r="C28" s="11">
        <f>SUM(C25:C27)</f>
        <v/>
      </c>
      <c r="D28" s="11">
        <f>SUM(D25:D27)</f>
        <v/>
      </c>
      <c r="E28" s="11">
        <f>SUM(E25:E27)</f>
        <v/>
      </c>
    </row>
    <row r="30">
      <c r="A30" s="6" t="inlineStr">
        <is>
          <t>Net assets / fund balances</t>
        </is>
      </c>
      <c r="B30" s="7" t="n"/>
      <c r="C30" s="7" t="n"/>
      <c r="D30" s="7" t="n"/>
      <c r="E30" s="7" t="n"/>
    </row>
    <row r="31">
      <c r="A31" s="8" t="inlineStr">
        <is>
          <t xml:space="preserve">    29. Capital stock or trust principal</t>
        </is>
      </c>
      <c r="B31" s="9" t="n">
        <v>3440614</v>
      </c>
      <c r="C31" s="9" t="n">
        <v>3461249</v>
      </c>
      <c r="D31" s="9" t="n">
        <v>3512057</v>
      </c>
      <c r="E31" s="9" t="n">
        <v>3517559</v>
      </c>
    </row>
    <row r="32">
      <c r="A32" s="8" t="inlineStr">
        <is>
          <t xml:space="preserve">    30. Paid-in or capital surplus</t>
        </is>
      </c>
      <c r="B32" s="9" t="n">
        <v>5731277</v>
      </c>
      <c r="C32" s="9" t="n">
        <v>5731277</v>
      </c>
      <c r="D32" s="9" t="n">
        <v>5731277</v>
      </c>
      <c r="E32" s="9" t="n">
        <v>5731277</v>
      </c>
    </row>
    <row r="33">
      <c r="A33" s="8" t="inlineStr">
        <is>
          <t xml:space="preserve">    31. Retained earnings / accumulated funds</t>
        </is>
      </c>
      <c r="B33" s="9" t="n">
        <v>18558098</v>
      </c>
      <c r="C33" s="9" t="n">
        <v>19796942</v>
      </c>
      <c r="D33" s="9" t="n">
        <v>20019909</v>
      </c>
      <c r="E33" s="9" t="n">
        <v>25584777</v>
      </c>
    </row>
    <row r="34">
      <c r="A34" s="10" t="inlineStr">
        <is>
          <t>32. Total net assets / fund balances</t>
        </is>
      </c>
      <c r="B34" s="11">
        <f>SUM(B31:B33)</f>
        <v/>
      </c>
      <c r="C34" s="11">
        <f>SUM(C31:C33)</f>
        <v/>
      </c>
      <c r="D34" s="11">
        <f>SUM(D31:D33)</f>
        <v/>
      </c>
      <c r="E34" s="11">
        <f>SUM(E31:E33)</f>
        <v/>
      </c>
    </row>
    <row r="36" ht="42" customHeight="1">
      <c r="A36"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2:E2"/>
    <mergeCell ref="A1:E1"/>
    <mergeCell ref="A36:E36"/>
    <mergeCell ref="A3:E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s>
  <sheetData>
    <row r="1">
      <c r="A1" s="1" t="inlineStr">
        <is>
          <t>Oildale Mutual Water Company</t>
        </is>
      </c>
    </row>
    <row r="2">
      <c r="A2" s="2" t="inlineStr">
        <is>
          <t>Reconciliation of Net Assets - Form 990 Part XI (USD)</t>
        </is>
      </c>
    </row>
    <row r="3">
      <c r="A3" s="2" t="inlineStr">
        <is>
          <t>Entity ID: cawc_0006   |   Fiscal year ends June 30.</t>
        </is>
      </c>
    </row>
    <row r="5">
      <c r="A5" s="4" t="inlineStr">
        <is>
          <t>Part XI line</t>
        </is>
      </c>
      <c r="B5" s="5" t="inlineStr">
        <is>
          <t>FY2021</t>
        </is>
      </c>
      <c r="C5" s="5" t="inlineStr">
        <is>
          <t>FY2022</t>
        </is>
      </c>
      <c r="D5" s="5" t="inlineStr">
        <is>
          <t>FY2023</t>
        </is>
      </c>
      <c r="E5" s="5" t="inlineStr">
        <is>
          <t>FY2024</t>
        </is>
      </c>
    </row>
    <row r="6">
      <c r="A6" s="6" t="inlineStr">
        <is>
          <t>Reconciliation</t>
        </is>
      </c>
      <c r="B6" s="7" t="n"/>
      <c r="C6" s="7" t="n"/>
      <c r="D6" s="7" t="n"/>
      <c r="E6" s="7" t="n"/>
    </row>
    <row r="7">
      <c r="A7" s="8" t="inlineStr">
        <is>
          <t xml:space="preserve">    4. Net assets, beginning of year</t>
        </is>
      </c>
      <c r="B7" s="9" t="n">
        <v>24596472</v>
      </c>
      <c r="C7" s="9" t="n">
        <v>27729989</v>
      </c>
      <c r="D7" s="9" t="n">
        <v>28989468</v>
      </c>
      <c r="E7" s="9" t="n">
        <v>29263243</v>
      </c>
    </row>
    <row r="8">
      <c r="A8" s="8" t="inlineStr">
        <is>
          <t xml:space="preserve">    3. Revenue less expenses</t>
        </is>
      </c>
      <c r="B8" s="9" t="n">
        <v>3053295</v>
      </c>
      <c r="C8" s="9" t="n">
        <v>1238844</v>
      </c>
      <c r="D8" s="9" t="n">
        <v>305425</v>
      </c>
      <c r="E8" s="9" t="n">
        <v>5564869</v>
      </c>
    </row>
    <row r="9">
      <c r="A9" s="8" t="inlineStr">
        <is>
          <t xml:space="preserve">    8. Prior period adjustments</t>
        </is>
      </c>
      <c r="B9" s="14" t="inlineStr">
        <is>
          <t>not reported</t>
        </is>
      </c>
      <c r="C9" s="14" t="inlineStr">
        <is>
          <t>not reported</t>
        </is>
      </c>
      <c r="D9" s="14" t="inlineStr">
        <is>
          <t>not reported</t>
        </is>
      </c>
      <c r="E9" s="14" t="inlineStr">
        <is>
          <t>not reported</t>
        </is>
      </c>
    </row>
    <row r="10">
      <c r="A10" s="8" t="inlineStr">
        <is>
          <t xml:space="preserve">    9. Other changes in net assets</t>
        </is>
      </c>
      <c r="B10" s="9" t="n">
        <v>80222</v>
      </c>
      <c r="C10" s="9" t="n">
        <v>20635</v>
      </c>
      <c r="D10" s="9" t="n">
        <v>50808</v>
      </c>
      <c r="E10" s="9" t="n">
        <v>5502</v>
      </c>
    </row>
    <row r="11">
      <c r="A11" s="10" t="inlineStr">
        <is>
          <t>10. Net assets, end of year</t>
        </is>
      </c>
      <c r="B11" s="11">
        <f>SUM(B7,B8,B9,B10)</f>
        <v/>
      </c>
      <c r="C11" s="11">
        <f>SUM(C7,C8,C9,C10)</f>
        <v/>
      </c>
      <c r="D11" s="11">
        <f>SUM(D7,D8,D9,D10)</f>
        <v/>
      </c>
      <c r="E11" s="11">
        <f>SUM(E7,E8,E9,E10)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2:E2"/>
    <mergeCell ref="A1:E1"/>
    <mergeCell ref="A13:E13"/>
    <mergeCell ref="A3:E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s>
  <sheetData>
    <row r="1">
      <c r="A1" s="1" t="inlineStr">
        <is>
          <t>Oildale Mutual Water Company</t>
        </is>
      </c>
    </row>
    <row r="2">
      <c r="A2" s="2" t="inlineStr">
        <is>
          <t>Cash Flow Proxies - derived (USD)</t>
        </is>
      </c>
    </row>
    <row r="3">
      <c r="A3" s="2" t="inlineStr">
        <is>
          <t>Entity ID: cawc_0006   |   Fiscal year ends June 30.</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FY2021</t>
        </is>
      </c>
      <c r="C7" s="5" t="inlineStr">
        <is>
          <t>FY2022</t>
        </is>
      </c>
      <c r="D7" s="5" t="inlineStr">
        <is>
          <t>FY2023</t>
        </is>
      </c>
      <c r="E7" s="5" t="inlineStr">
        <is>
          <t>FY2024</t>
        </is>
      </c>
    </row>
    <row r="8">
      <c r="A8" s="6" t="inlineStr">
        <is>
          <t>Operating</t>
        </is>
      </c>
      <c r="B8" s="7" t="n"/>
      <c r="C8" s="7" t="n"/>
      <c r="D8" s="7" t="n"/>
      <c r="E8" s="7" t="n"/>
    </row>
    <row r="9">
      <c r="A9" s="8" t="inlineStr">
        <is>
          <t xml:space="preserve">    Net income</t>
        </is>
      </c>
      <c r="B9" s="9" t="n">
        <v>3053295</v>
      </c>
      <c r="C9" s="9" t="n">
        <v>1238844</v>
      </c>
      <c r="D9" s="9" t="n">
        <v>305425</v>
      </c>
      <c r="E9" s="9" t="n">
        <v>5564869</v>
      </c>
    </row>
    <row r="10">
      <c r="A10" s="8" t="inlineStr">
        <is>
          <t xml:space="preserve">    + Depreciation (reported)</t>
        </is>
      </c>
      <c r="B10" s="9" t="n">
        <v>538372</v>
      </c>
      <c r="C10" s="9" t="n">
        <v>528881</v>
      </c>
      <c r="D10" s="9" t="n">
        <v>620909</v>
      </c>
      <c r="E10" s="9" t="n">
        <v>698760</v>
      </c>
    </row>
    <row r="11">
      <c r="A11" s="8" t="inlineStr">
        <is>
          <t xml:space="preserve">    − Δ Accounts receivable</t>
        </is>
      </c>
      <c r="B11" s="9" t="n"/>
      <c r="C11" s="9" t="n">
        <v>204896</v>
      </c>
      <c r="D11" s="9" t="n">
        <v>18076</v>
      </c>
      <c r="E11" s="9" t="n">
        <v>-39343</v>
      </c>
    </row>
    <row r="12">
      <c r="A12" s="8" t="inlineStr">
        <is>
          <t xml:space="preserve">    − Δ Inventories</t>
        </is>
      </c>
      <c r="B12" s="9" t="n"/>
      <c r="C12" s="9" t="n">
        <v>-496634</v>
      </c>
      <c r="D12" s="9" t="n">
        <v>189053</v>
      </c>
      <c r="E12" s="9" t="n">
        <v>-31836</v>
      </c>
    </row>
    <row r="13">
      <c r="A13" s="8" t="inlineStr">
        <is>
          <t xml:space="preserve">    − Δ Prepaid expenses</t>
        </is>
      </c>
      <c r="B13" s="9" t="n"/>
      <c r="C13" s="9" t="n">
        <v>16532</v>
      </c>
      <c r="D13" s="9" t="n"/>
      <c r="E13" s="9" t="n"/>
    </row>
    <row r="14">
      <c r="A14" s="8" t="inlineStr">
        <is>
          <t xml:space="preserve">    + Δ Accounts payable</t>
        </is>
      </c>
      <c r="B14" s="9" t="n"/>
      <c r="C14" s="9" t="n">
        <v>-121395</v>
      </c>
      <c r="D14" s="9" t="n">
        <v>-113484</v>
      </c>
      <c r="E14" s="9" t="n">
        <v>341352</v>
      </c>
    </row>
    <row r="15">
      <c r="A15" s="10" t="inlineStr">
        <is>
          <t xml:space="preserve">    Operating cash flow proxy</t>
        </is>
      </c>
      <c r="B15" s="11" t="n"/>
      <c r="C15" s="11" t="n">
        <v>1371124</v>
      </c>
      <c r="D15" s="11" t="n">
        <v>1019979</v>
      </c>
      <c r="E15" s="11" t="n">
        <v>6533802</v>
      </c>
    </row>
    <row r="17">
      <c r="A17" s="6" t="inlineStr">
        <is>
          <t>Investing</t>
        </is>
      </c>
      <c r="B17" s="7" t="n"/>
      <c r="C17" s="7" t="n"/>
      <c r="D17" s="7" t="n"/>
      <c r="E17" s="7" t="n"/>
    </row>
    <row r="18">
      <c r="A18" s="8" t="inlineStr">
        <is>
          <t xml:space="preserve">    − Δ PP&amp;E gross (capex proxy)</t>
        </is>
      </c>
      <c r="B18" s="9" t="n"/>
      <c r="C18" s="9" t="n">
        <v>-8200591</v>
      </c>
      <c r="D18" s="9" t="n">
        <v>-9053952</v>
      </c>
      <c r="E18" s="9" t="n">
        <v>-13728155</v>
      </c>
    </row>
    <row r="20">
      <c r="A20" s="6" t="inlineStr">
        <is>
          <t>Financing</t>
        </is>
      </c>
      <c r="B20" s="7" t="n"/>
      <c r="C20" s="7" t="n"/>
      <c r="D20" s="7" t="n"/>
      <c r="E20" s="7" t="n"/>
    </row>
    <row r="21">
      <c r="A21" s="8" t="inlineStr">
        <is>
          <t xml:space="preserve">    Δ Mortgages &amp; notes payable</t>
        </is>
      </c>
      <c r="B21" s="9" t="n"/>
      <c r="C21" s="9" t="n">
        <v>-1560</v>
      </c>
      <c r="D21" s="9" t="n">
        <v>-3119</v>
      </c>
      <c r="E21" s="9" t="n">
        <v>-4678</v>
      </c>
    </row>
    <row r="23">
      <c r="A23" s="6" t="inlineStr">
        <is>
          <t>Reconciliation</t>
        </is>
      </c>
      <c r="B23" s="7" t="n"/>
      <c r="C23" s="7" t="n"/>
      <c r="D23" s="7" t="n"/>
      <c r="E23" s="7" t="n"/>
    </row>
    <row r="24">
      <c r="A24" s="10" t="inlineStr">
        <is>
          <t xml:space="preserve">    Δ Cash + temp. investments (actual)</t>
        </is>
      </c>
      <c r="B24" s="11" t="n"/>
      <c r="C24" s="11" t="n">
        <v>-710410</v>
      </c>
      <c r="D24" s="11" t="n">
        <v>-7263379</v>
      </c>
      <c r="E24" s="11" t="n">
        <v>216</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6:E26"/>
    <mergeCell ref="A2:E2"/>
    <mergeCell ref="A1:E1"/>
    <mergeCell ref="A5:E5"/>
    <mergeCell ref="A3:E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s>
  <sheetData>
    <row r="1">
      <c r="A1" s="1" t="inlineStr">
        <is>
          <t>Oildale Mutual Water Company</t>
        </is>
      </c>
    </row>
    <row r="2">
      <c r="A2" s="2" t="inlineStr">
        <is>
          <t>Financial Ratios</t>
        </is>
      </c>
    </row>
    <row r="3">
      <c r="A3" s="2" t="inlineStr">
        <is>
          <t>Entity ID: cawc_0006   |   Fiscal year ends June 30.</t>
        </is>
      </c>
    </row>
    <row r="5">
      <c r="A5" s="4" t="inlineStr">
        <is>
          <t>Ratio</t>
        </is>
      </c>
      <c r="B5" s="5" t="inlineStr">
        <is>
          <t>FY2021</t>
        </is>
      </c>
      <c r="C5" s="5" t="inlineStr">
        <is>
          <t>FY2022</t>
        </is>
      </c>
      <c r="D5" s="5" t="inlineStr">
        <is>
          <t>FY2023</t>
        </is>
      </c>
      <c r="E5" s="5" t="inlineStr">
        <is>
          <t>FY2024</t>
        </is>
      </c>
    </row>
    <row r="6">
      <c r="A6" s="6" t="inlineStr">
        <is>
          <t>Profitability (computed upstream)</t>
        </is>
      </c>
      <c r="B6" s="7" t="n"/>
      <c r="C6" s="7" t="n"/>
      <c r="D6" s="7" t="n"/>
      <c r="E6" s="7" t="n"/>
    </row>
    <row r="7">
      <c r="A7" s="8" t="inlineStr">
        <is>
          <t xml:space="preserve">    Operating margin (NI / revenue)</t>
        </is>
      </c>
      <c r="B7" s="12" t="n">
        <v>0.3146924500588664</v>
      </c>
      <c r="C7" s="12" t="n">
        <v>0.1121593003854909</v>
      </c>
      <c r="D7" s="12" t="n">
        <v>0.02695925390237242</v>
      </c>
      <c r="E7" s="12" t="n">
        <v>0.4938815378830257</v>
      </c>
    </row>
    <row r="8">
      <c r="A8" s="8" t="inlineStr">
        <is>
          <t xml:space="preserve">    Expense ratio (expenses / revenue)</t>
        </is>
      </c>
      <c r="B8" s="12" t="n">
        <v>0.6853075499411335</v>
      </c>
      <c r="C8" s="12" t="n">
        <v>0.8878406996145091</v>
      </c>
      <c r="D8" s="12" t="n">
        <v>0.9730407460976276</v>
      </c>
      <c r="E8" s="12" t="n">
        <v>0.5061184621169743</v>
      </c>
    </row>
    <row r="9">
      <c r="A9" s="8" t="inlineStr">
        <is>
          <t xml:space="preserve">    Return on assets (NI / assets)</t>
        </is>
      </c>
      <c r="B9" s="12" t="n">
        <v>0.07617914445987618</v>
      </c>
      <c r="C9" s="12" t="n">
        <v>0.02642149775310077</v>
      </c>
      <c r="D9" s="12" t="n">
        <v>0.006452765628833921</v>
      </c>
      <c r="E9" s="12" t="n">
        <v>0.09303466735536789</v>
      </c>
    </row>
    <row r="10">
      <c r="A10" s="8" t="inlineStr">
        <is>
          <t xml:space="preserve">    Revenue growth (YoY)</t>
        </is>
      </c>
      <c r="B10" s="12" t="n">
        <v>-0.006593107083366652</v>
      </c>
      <c r="C10" s="12" t="n">
        <v>0.138410485656595</v>
      </c>
      <c r="D10" s="12" t="n">
        <v>0.02568825728943921</v>
      </c>
      <c r="E10" s="12" t="n">
        <v>-0.005429806020477823</v>
      </c>
    </row>
    <row r="12">
      <c r="A12" s="6" t="inlineStr">
        <is>
          <t>Leverage &amp; solvency</t>
        </is>
      </c>
      <c r="B12" s="7" t="n"/>
      <c r="C12" s="7" t="n"/>
      <c r="D12" s="7" t="n"/>
      <c r="E12" s="7" t="n"/>
    </row>
    <row r="13">
      <c r="A13" s="8" t="inlineStr">
        <is>
          <t xml:space="preserve">    Debt-to-assets (liab. / assets)</t>
        </is>
      </c>
      <c r="B13" s="12" t="n">
        <v>0.3081419129491983</v>
      </c>
      <c r="C13" s="12" t="n">
        <v>0.3817258963795388</v>
      </c>
      <c r="D13" s="12" t="n">
        <v>0.3817505161050509</v>
      </c>
      <c r="E13" s="12" t="n">
        <v>0.4176442251847045</v>
      </c>
    </row>
    <row r="14">
      <c r="A14" s="8" t="inlineStr">
        <is>
          <t xml:space="preserve">    Equity ratio (net assets / assets)</t>
        </is>
      </c>
      <c r="B14" s="12" t="n">
        <v>0.6918580870508017</v>
      </c>
      <c r="C14" s="12" t="n">
        <v>0.6182741036204612</v>
      </c>
      <c r="D14" s="12" t="n">
        <v>0.6182494838949492</v>
      </c>
      <c r="E14" s="12" t="n">
        <v>0.5823557748152955</v>
      </c>
    </row>
    <row r="16">
      <c r="A16" s="6" t="inlineStr">
        <is>
          <t>Liquidity &amp; asset profile (derived here)</t>
        </is>
      </c>
      <c r="B16" s="7" t="n"/>
      <c r="C16" s="7" t="n"/>
      <c r="D16" s="7" t="n"/>
      <c r="E16" s="7" t="n"/>
    </row>
    <row r="17">
      <c r="A17" s="8" t="inlineStr">
        <is>
          <t xml:space="preserve">    Current ratio (current assets / AP)</t>
        </is>
      </c>
      <c r="B17" s="20" t="n">
        <v>25.40012930123458</v>
      </c>
      <c r="C17" s="20" t="n">
        <v>29.79558536488209</v>
      </c>
      <c r="D17" s="20" t="n">
        <v>21.4334474409626</v>
      </c>
      <c r="E17" s="20" t="n">
        <v>12.70841221440236</v>
      </c>
    </row>
    <row r="18">
      <c r="A18" s="8" t="inlineStr">
        <is>
          <t xml:space="preserve">    Cash ratio ((cash+temp inv.) / total liab.)</t>
        </is>
      </c>
      <c r="B18" s="20" t="n">
        <v>1.390945882298073</v>
      </c>
      <c r="C18" s="20" t="n">
        <v>0.9201131283152664</v>
      </c>
      <c r="D18" s="20" t="n">
        <v>0.50943360723442</v>
      </c>
      <c r="E18" s="20" t="n">
        <v>0.3684847252901169</v>
      </c>
    </row>
    <row r="19">
      <c r="A19" s="8" t="inlineStr">
        <is>
          <t xml:space="preserve">    Asset age proxy (accum. deprec. / gross PP&amp;E)</t>
        </is>
      </c>
      <c r="B19" s="12" t="n">
        <v>0.3459494877860809</v>
      </c>
      <c r="C19" s="12" t="n">
        <v>0.3005315944092724</v>
      </c>
      <c r="D19" s="12" t="n">
        <v>0.2691518736240895</v>
      </c>
      <c r="E19" s="12" t="n">
        <v>0.2320829791411707</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E2"/>
    <mergeCell ref="A21:E21"/>
    <mergeCell ref="A1:E1"/>
    <mergeCell ref="A3:E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46"/>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Oildale Mutual Water Company</t>
        </is>
      </c>
    </row>
    <row r="2">
      <c r="A2" s="2" t="inlineStr">
        <is>
          <t>Unit economics - per-customer revenue by category (USD)</t>
        </is>
      </c>
    </row>
    <row r="3">
      <c r="A3" s="2" t="inlineStr">
        <is>
          <t>Entity ID: cawc_0006   |   Fiscal year ends June 30.</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1" t="inlineStr">
        <is>
          <t>Per-customer denominator (service connections)</t>
        </is>
      </c>
      <c r="B6" s="22" t="n">
        <v>12207</v>
      </c>
      <c r="C6" s="23" t="inlineStr">
        <is>
          <t>State Water Board eAR Section 4 (CurTotalConnections), reporting year 2023</t>
        </is>
      </c>
    </row>
    <row r="7">
      <c r="A7" s="21" t="inlineStr">
        <is>
          <t>Total annual revenue (eAR Section 8b B1.8)</t>
        </is>
      </c>
      <c r="B7" s="9" t="n">
        <v>8393855</v>
      </c>
      <c r="C7" s="23" t="inlineStr">
        <is>
          <t>State Water Board eAR Section 8b, question B1.8 (total annual revenue), reporting year 2023</t>
        </is>
      </c>
    </row>
    <row r="8">
      <c r="A8" s="21" t="inlineStr">
        <is>
          <t>Primary source</t>
        </is>
      </c>
      <c r="B8" s="24" t="inlineStr"/>
      <c r="C8" s="23" t="inlineStr">
        <is>
          <t>State Water Board eAR Section 8b (revenue by rate/fee), reporting year 2023</t>
        </is>
      </c>
    </row>
    <row r="9">
      <c r="A9" s="21" t="inlineStr">
        <is>
          <t>Audit cross-check source</t>
        </is>
      </c>
      <c r="B9" s="24" t="inlineStr"/>
      <c r="C9" s="23" t="inlineStr">
        <is>
          <t>Oildale Mutual Water Company audited financial statement (income statement), year ended June 30, 2024</t>
        </is>
      </c>
    </row>
    <row r="11">
      <c r="A11" s="6" t="inlineStr">
        <is>
          <t>Revenue categories (value, classification, per customer, share)</t>
        </is>
      </c>
      <c r="B11" s="7" t="n"/>
      <c r="C11" s="7" t="n"/>
      <c r="D11" s="7" t="n"/>
      <c r="E11" s="7" t="n"/>
    </row>
    <row r="12">
      <c r="A12" s="5" t="inlineStr">
        <is>
          <t>Revenue category</t>
        </is>
      </c>
      <c r="B12" s="5" t="inlineStr">
        <is>
          <t>Classification</t>
        </is>
      </c>
      <c r="C12" s="5" t="inlineStr">
        <is>
          <t>Value (USD)</t>
        </is>
      </c>
      <c r="D12" s="5" t="inlineStr">
        <is>
          <t>Per customer</t>
        </is>
      </c>
      <c r="E12" s="5" t="inlineStr">
        <is>
          <t>Share of revenue</t>
        </is>
      </c>
    </row>
    <row r="13">
      <c r="A13" s="8" t="inlineStr">
        <is>
          <t>Water sales revenue</t>
        </is>
      </c>
      <c r="B13" s="25" t="inlineStr">
        <is>
          <t>DIRECT</t>
        </is>
      </c>
      <c r="C13" s="9" t="n">
        <v>8042213</v>
      </c>
      <c r="D13" s="26" t="n">
        <v>658.8200000000001</v>
      </c>
      <c r="E13" s="27" t="n">
        <v>0.9581</v>
      </c>
    </row>
    <row r="14">
      <c r="A14" s="8" t="inlineStr">
        <is>
          <t>Assessment revenue (990 program-service revenue not matched to eAR water-rate revenue)</t>
        </is>
      </c>
      <c r="B14" s="25" t="inlineStr">
        <is>
          <t>DERIVED</t>
        </is>
      </c>
      <c r="C14" s="9" t="n">
        <v>2826142</v>
      </c>
      <c r="D14" s="26" t="n">
        <v>231.52</v>
      </c>
      <c r="E14" s="27" t="n">
        <v>0.26</v>
      </c>
    </row>
    <row r="15">
      <c r="A15" s="8" t="inlineStr">
        <is>
          <t>Meter revenue</t>
        </is>
      </c>
      <c r="B15" s="25" t="inlineStr">
        <is>
          <t>not reported</t>
        </is>
      </c>
      <c r="C15" s="28" t="inlineStr">
        <is>
          <t>not reported</t>
        </is>
      </c>
      <c r="D15" s="28" t="inlineStr">
        <is>
          <t>not reported</t>
        </is>
      </c>
      <c r="E15" s="28" t="inlineStr">
        <is>
          <t>not reported</t>
        </is>
      </c>
    </row>
    <row r="16">
      <c r="A16" s="8" t="inlineStr">
        <is>
          <t>Overage or tiered penalty revenue</t>
        </is>
      </c>
      <c r="B16" s="25" t="inlineStr">
        <is>
          <t>not reported</t>
        </is>
      </c>
      <c r="C16" s="28" t="inlineStr">
        <is>
          <t>not reported</t>
        </is>
      </c>
      <c r="D16" s="28" t="inlineStr">
        <is>
          <t>not reported</t>
        </is>
      </c>
      <c r="E16" s="28" t="inlineStr">
        <is>
          <t>not reported</t>
        </is>
      </c>
    </row>
    <row r="18">
      <c r="A18" s="6" t="inlineStr">
        <is>
          <t>Water sales revenue - DIRECT</t>
        </is>
      </c>
      <c r="B18" s="7" t="n"/>
      <c r="C18" s="7" t="n"/>
      <c r="D18" s="7" t="n"/>
      <c r="E18" s="7" t="n"/>
    </row>
    <row r="19" ht="51" customHeight="1">
      <c r="A19" s="3" t="inlineStr">
        <is>
          <t>Revenue customers paid for water service, read straight off the filed eAR Section 8b water-rate line. A DIRECT filed figure, not computed by us.</t>
        </is>
      </c>
    </row>
    <row r="20">
      <c r="A20" s="21" t="inlineStr">
        <is>
          <t>Numerator: Water rate revenue</t>
        </is>
      </c>
      <c r="B20" s="9" t="n">
        <v>8042213</v>
      </c>
      <c r="C20" s="23" t="inlineStr">
        <is>
          <t>eAR Section 8b field B1.1 (residential water rates) + B1.2 (non-residential water rates). State Water Board eAR Section 8b, question B1.1 + B1.2 (revenue from water rates), reporting year 2023</t>
        </is>
      </c>
    </row>
    <row r="21">
      <c r="A21" s="21" t="inlineStr">
        <is>
          <t>Denominator: Total service connections</t>
        </is>
      </c>
      <c r="B21" s="22" t="n">
        <v>12207</v>
      </c>
      <c r="C21" s="23" t="inlineStr">
        <is>
          <t>eAR Section 4 CurTotalConnections, reporting year 2023. State Water Board eAR Section 4 (CurTotalConnections), reporting year 2023</t>
        </is>
      </c>
    </row>
    <row r="22" ht="36" customHeight="1">
      <c r="A22" s="3" t="inlineStr">
        <is>
          <t>Per customer: water rate revenue $8,042,213 / 12,207 connections = $658.82 per connection</t>
        </is>
      </c>
    </row>
    <row r="23" ht="36" customHeight="1">
      <c r="A23" s="3" t="inlineStr">
        <is>
          <t>Share of revenue: water rate revenue $8,042,213 / total annual revenue (eAR Section 8b B1.8) $8,393,855 = 95.81%</t>
        </is>
      </c>
    </row>
    <row r="24" ht="81" customHeight="1">
      <c r="A24" s="3" t="inlineStr">
        <is>
          <t>Period treatment: Numerator (eAR Section 8b, the fiscal year ending June 30, 2023) and denominator (eAR Section 4 connections reported in the same eAR filing) are both the eAR reporting year 2023, so the two sides are bound to the same reporting year.</t>
        </is>
      </c>
    </row>
    <row r="25" ht="66" customHeight="1">
      <c r="A25" s="3" t="inlineStr">
        <is>
          <t>Rationale: Dividing water-rate revenue by the number of metered service connections gives the average revenue per customer; dividing by total annual revenue shows how much of the system's income comes from water rates.</t>
        </is>
      </c>
    </row>
    <row r="26" ht="111" customHeight="1">
      <c r="A26" s="3" t="inlineStr">
        <is>
          <t>Cross-check: No like-for-like cross-check available: the only staged audited statement covers the June 30, 2024 fiscal year, a DIFFERENT fiscal year than the eAR Section 8b period (the fiscal year ending June 30, 2023). Cross-checks compare like fiscal years only, so the audit's Water Sales and Related Charges of $9,348,617 (page 2) is not compared against the eAR figure here.</t>
        </is>
      </c>
    </row>
    <row r="28">
      <c r="A28" s="6" t="inlineStr">
        <is>
          <t>Assessment revenue (990 program-service revenue not matched to eAR water-rate revenue) - DERIVED</t>
        </is>
      </c>
      <c r="B28" s="7" t="n"/>
      <c r="C28" s="7" t="n"/>
      <c r="D28" s="7" t="n"/>
      <c r="E28" s="7" t="n"/>
    </row>
    <row r="29" ht="66" customHeight="1">
      <c r="A29" s="3" t="inlineStr">
        <is>
          <t>A DERIVED residual (medium confidence): the part of the Form 990 program-service revenue that is not matched by the eAR water-rate revenue for the same period. Computed by us, not a filed line.</t>
        </is>
      </c>
    </row>
    <row r="30">
      <c r="A30" s="21" t="inlineStr">
        <is>
          <t>Input A: Form 990 program-service revenue</t>
        </is>
      </c>
      <c r="B30" s="9" t="n">
        <v>10868355</v>
      </c>
      <c r="C30" s="23" t="inlineStr">
        <is>
          <t>Form 990 Part VIII line 2 (total program-service revenue), fiscal year 2023 ending June 30, 2023</t>
        </is>
      </c>
    </row>
    <row r="31">
      <c r="A31" s="21" t="inlineStr">
        <is>
          <t>Input B: eAR water-rate revenue</t>
        </is>
      </c>
      <c r="B31" s="9" t="n">
        <v>8042213</v>
      </c>
      <c r="C31" s="23" t="inlineStr">
        <is>
          <t>State Water Board eAR Section 8b, question B1.1 + B1.2 (revenue from water rates), reporting year 2023</t>
        </is>
      </c>
    </row>
    <row r="32">
      <c r="A32" s="15" t="inlineStr">
        <is>
          <t>Residual (A minus B) = assessment revenue</t>
        </is>
      </c>
      <c r="B32" s="16">
        <f>B30-B31</f>
        <v/>
      </c>
      <c r="C32" s="23" t="inlineStr">
        <is>
          <t>$10,868,355 (990 program-service revenue) minus $8,042,213 (eAR water-rate revenue) = $2,826,142</t>
        </is>
      </c>
    </row>
    <row r="33" ht="66" customHeight="1">
      <c r="A33" s="3" t="inlineStr">
        <is>
          <t>Period alignment: Both inputs cover the same period: the eAR Section 8b is the fiscal year ending June 30, 2023 and the Form 990 fiscal year 2023 ends June 30, 2023, so the residual is period-aligned.</t>
        </is>
      </c>
    </row>
    <row r="34" ht="51" customHeight="1">
      <c r="A34" s="3" t="inlineStr">
        <is>
          <t>What it IS: revenue the system booked as program service on its 990 that is not accounted for by the eAR water-rate line, plausibly member assessments and other service revenue.</t>
        </is>
      </c>
    </row>
    <row r="35" ht="81" customHeight="1">
      <c r="A35" s="3" t="inlineStr">
        <is>
          <t>For Oildale this residual is NOT cleanly assessment revenue: it partly reflects the unreconciled gap between the eAR Section 8b total and the Form 990 total for the same fiscal year, so part of it is a source-to-source difference rather than a distinct assessment line.</t>
        </is>
      </c>
    </row>
    <row r="36">
      <c r="A36" s="21" t="inlineStr">
        <is>
          <t>Denominator: Total service connections</t>
        </is>
      </c>
      <c r="B36" s="22" t="n">
        <v>12207</v>
      </c>
      <c r="C36" s="23" t="inlineStr">
        <is>
          <t>eAR Section 4 CurTotalConnections, reporting year 2023. State Water Board eAR Section 4 (CurTotalConnections), reporting year 2023</t>
        </is>
      </c>
    </row>
    <row r="37" ht="36" customHeight="1">
      <c r="A37" s="3" t="inlineStr">
        <is>
          <t>Per customer: residual $2,826,142 / 12,207 connections = $231.52 per connection</t>
        </is>
      </c>
    </row>
    <row r="38" ht="36" customHeight="1">
      <c r="A38" s="3" t="inlineStr">
        <is>
          <t>Share of revenue: residual $2,826,142 / 990 program-service revenue $10,868,355 = 26.00%</t>
        </is>
      </c>
    </row>
    <row r="40">
      <c r="A40" s="6" t="inlineStr">
        <is>
          <t>Meter revenue - not reported</t>
        </is>
      </c>
      <c r="B40" s="7" t="n"/>
      <c r="C40" s="7" t="n"/>
      <c r="D40" s="7" t="n"/>
      <c r="E40" s="7" t="n"/>
    </row>
    <row r="41" ht="36" customHeight="1">
      <c r="A41" s="3" t="inlineStr">
        <is>
          <t>Not reported. This category is not built because doing so would double-count.</t>
        </is>
      </c>
    </row>
    <row r="42" ht="81" customHeight="1">
      <c r="A42"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44">
      <c r="A44" s="6" t="inlineStr">
        <is>
          <t>Overage or tiered penalty revenue - not reported</t>
        </is>
      </c>
      <c r="B44" s="7" t="n"/>
      <c r="C44" s="7" t="n"/>
      <c r="D44" s="7" t="n"/>
      <c r="E44" s="7" t="n"/>
    </row>
    <row r="45" ht="36" customHeight="1">
      <c r="A45" s="3" t="inlineStr">
        <is>
          <t>Not reported. This category is not built because doing so would double-count.</t>
        </is>
      </c>
    </row>
    <row r="46" ht="81" customHeight="1">
      <c r="A46"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20">
    <mergeCell ref="A34:E34"/>
    <mergeCell ref="A24:E24"/>
    <mergeCell ref="A1:E1"/>
    <mergeCell ref="A45:E45"/>
    <mergeCell ref="A25:E25"/>
    <mergeCell ref="A41:E41"/>
    <mergeCell ref="A37:E37"/>
    <mergeCell ref="A46:E46"/>
    <mergeCell ref="A3:E3"/>
    <mergeCell ref="A26:E26"/>
    <mergeCell ref="A2:E2"/>
    <mergeCell ref="A42:E42"/>
    <mergeCell ref="A33:E33"/>
    <mergeCell ref="A5:E5"/>
    <mergeCell ref="A23:E23"/>
    <mergeCell ref="A22:E22"/>
    <mergeCell ref="A29:E29"/>
    <mergeCell ref="A35:E35"/>
    <mergeCell ref="A38:E38"/>
    <mergeCell ref="A19:E19"/>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36"/>
  <sheetViews>
    <sheetView workbookViewId="0">
      <pane ySplit="4" topLeftCell="A5" activePane="bottomLeft" state="frozen"/>
      <selection pane="bottomLeft" activeCell="A1" sqref="A1"/>
    </sheetView>
  </sheetViews>
  <sheetFormatPr baseColWidth="8" defaultRowHeight="15"/>
  <cols>
    <col width="46" customWidth="1" min="1" max="1"/>
    <col width="16" customWidth="1" min="2" max="2"/>
    <col width="16" customWidth="1" min="3" max="3"/>
    <col width="16" customWidth="1" min="4" max="4"/>
  </cols>
  <sheetData>
    <row r="1">
      <c r="A1" s="1" t="inlineStr">
        <is>
          <t>Oildale Mutual Water Company</t>
        </is>
      </c>
    </row>
    <row r="2">
      <c r="A2" s="2" t="inlineStr">
        <is>
          <t>Rate structure and representative bill - eAR Section 8a (RY2024)</t>
        </is>
      </c>
    </row>
    <row r="3">
      <c r="A3" s="2" t="inlineStr">
        <is>
          <t>Entity ID: cawc_0006   |   Fiscal year ends June 30.</t>
        </is>
      </c>
    </row>
    <row r="5" ht="81" customHeight="1">
      <c r="A5" s="29" t="inlineStr">
        <is>
          <t>This block is a rate-schedule illustration at defined usage levels. It is NOT billed revenue and not a claim about any real customer's usage. The revenue side of unit economics is the separate Unit Economics block.</t>
        </is>
      </c>
    </row>
    <row r="6" ht="51" customHeight="1">
      <c r="A6" s="30" t="inlineStr">
        <is>
          <t>Structure: Uniform: fixed base plus a single volumetric rate, billed monthly, priced per HCF. Rate schedule last updated 01/01/2022.</t>
        </is>
      </c>
    </row>
    <row r="7" ht="216" customHeight="1">
      <c r="A7" s="3" t="inlineStr">
        <is>
          <t>Defined single-family usage levels, identical for every company so the bill is comparable: Low = 5 HCF/month (~125 gallons/day); Median = 10 HCF/month (~249 gallons/day); High = 25 HCF/month (~623 gallons/day). 1 HCF = 748 gallons, and 1 thousand gallons = 1,000 gallons. The usage is converted into the company's own filed unit before the filed tiers are applied, and the bill is stated as a monthly equivalent: a bimonthly structure is computed at twice the monthly usage and divided by two, and any other billing period the same way with its factor stated. These are an illustration, not a measured usage for any real customer.</t>
        </is>
      </c>
    </row>
    <row r="9">
      <c r="A9" s="6" t="inlineStr">
        <is>
          <t>Defined usage levels (EDITABLE - change a yellow cell to move the bill)</t>
        </is>
      </c>
      <c r="B9" s="7" t="n"/>
      <c r="C9" s="7" t="n"/>
      <c r="D9" s="7" t="n"/>
    </row>
    <row r="10">
      <c r="A10" s="31" t="inlineStr"/>
      <c r="B10" s="5" t="inlineStr">
        <is>
          <t>Low</t>
        </is>
      </c>
      <c r="C10" s="5" t="inlineStr">
        <is>
          <t>Median</t>
        </is>
      </c>
      <c r="D10" s="5" t="inlineStr">
        <is>
          <t>High</t>
        </is>
      </c>
    </row>
    <row r="11">
      <c r="A11" s="8" t="inlineStr">
        <is>
          <t>Monthly usage (HCF)</t>
        </is>
      </c>
      <c r="B11" s="32" t="n">
        <v>5</v>
      </c>
      <c r="C11" s="32" t="n">
        <v>10</v>
      </c>
      <c r="D11" s="32" t="n">
        <v>25</v>
      </c>
    </row>
    <row r="12">
      <c r="A12" s="8" t="inlineStr">
        <is>
          <t>Months per bill (from filed billing frequency)</t>
        </is>
      </c>
      <c r="B12" s="33" t="n">
        <v>1</v>
      </c>
      <c r="C12" s="13" t="inlineStr">
        <is>
          <t>monthly biller</t>
        </is>
      </c>
    </row>
    <row r="14">
      <c r="A14" s="6" t="inlineStr">
        <is>
          <t>Filed rate table - single-family residential (as filed, eAR Section 8a)</t>
        </is>
      </c>
      <c r="B14" s="7" t="n"/>
      <c r="C14" s="7" t="n"/>
      <c r="D14" s="7" t="n"/>
    </row>
    <row r="15">
      <c r="A15" s="8" t="inlineStr">
        <is>
          <t>Base / fixed charge per monthly bill ($)</t>
        </is>
      </c>
      <c r="B15" s="26" t="n">
        <v>23.4</v>
      </c>
    </row>
    <row r="16">
      <c r="A16" s="4" t="inlineStr">
        <is>
          <t>Tier</t>
        </is>
      </c>
      <c r="B16" s="4" t="inlineStr">
        <is>
          <t>Range (HCF)</t>
        </is>
      </c>
      <c r="C16" s="34" t="inlineStr">
        <is>
          <t>Price ($/HCF)</t>
        </is>
      </c>
      <c r="D16" s="34" t="inlineStr">
        <is>
          <t>Upper limit (HCF)</t>
        </is>
      </c>
    </row>
    <row r="17">
      <c r="A17" s="8" t="inlineStr">
        <is>
          <t>Tier 1</t>
        </is>
      </c>
      <c r="B17" s="8" t="inlineStr">
        <is>
          <t>all usage (HCF)</t>
        </is>
      </c>
      <c r="C17" s="35" t="n">
        <v>1.2</v>
      </c>
      <c r="D17" s="36" t="inlineStr">
        <is>
          <t>no limit</t>
        </is>
      </c>
    </row>
    <row r="19">
      <c r="A19" s="6" t="inlineStr">
        <is>
          <t>Representative monthly bill - LIVE (edit a yellow usage cell to recompute)</t>
        </is>
      </c>
      <c r="B19" s="7" t="n"/>
      <c r="C19" s="7" t="n"/>
      <c r="D19" s="7" t="n"/>
    </row>
    <row r="20">
      <c r="A20" s="31" t="inlineStr"/>
      <c r="B20" s="5" t="inlineStr">
        <is>
          <t>Low</t>
        </is>
      </c>
      <c r="C20" s="5" t="inlineStr">
        <is>
          <t>Median</t>
        </is>
      </c>
      <c r="D20" s="5" t="inlineStr">
        <is>
          <t>High</t>
        </is>
      </c>
    </row>
    <row r="21">
      <c r="A21" s="8" t="inlineStr">
        <is>
          <t>Usage per bill (HCF)</t>
        </is>
      </c>
      <c r="B21" s="37">
        <f>B11*$B$12</f>
        <v/>
      </c>
      <c r="C21" s="37">
        <f>C11*$B$12</f>
        <v/>
      </c>
      <c r="D21" s="37">
        <f>D11*$B$12</f>
        <v/>
      </c>
    </row>
    <row r="22">
      <c r="A22" s="8" t="inlineStr">
        <is>
          <t xml:space="preserve">    Tier 1 charge per bill ($)</t>
        </is>
      </c>
      <c r="B22" s="38">
        <f>$C$17*MAX(0,B21-0)</f>
        <v/>
      </c>
      <c r="C22" s="38">
        <f>$C$17*MAX(0,C21-0)</f>
        <v/>
      </c>
      <c r="D22" s="38">
        <f>$C$17*MAX(0,D21-0)</f>
        <v/>
      </c>
    </row>
    <row r="23">
      <c r="A23" s="8" t="inlineStr">
        <is>
          <t>Volumetric charge per bill ($)</t>
        </is>
      </c>
      <c r="B23" s="38">
        <f>SUM(B22)</f>
        <v/>
      </c>
      <c r="C23" s="38">
        <f>SUM(C22)</f>
        <v/>
      </c>
      <c r="D23" s="38">
        <f>SUM(D22)</f>
        <v/>
      </c>
    </row>
    <row r="24">
      <c r="A24" s="8" t="inlineStr">
        <is>
          <t>Base charge per bill ($)</t>
        </is>
      </c>
      <c r="B24" s="38">
        <f>$B$15</f>
        <v/>
      </c>
      <c r="C24" s="38">
        <f>$B$15</f>
        <v/>
      </c>
      <c r="D24" s="38">
        <f>$B$15</f>
        <v/>
      </c>
    </row>
    <row r="25">
      <c r="A25" s="8" t="inlineStr">
        <is>
          <t>Total per bill ($)</t>
        </is>
      </c>
      <c r="B25" s="38">
        <f>B24+B23</f>
        <v/>
      </c>
      <c r="C25" s="38">
        <f>C24+C23</f>
        <v/>
      </c>
      <c r="D25" s="38">
        <f>D24+D23</f>
        <v/>
      </c>
    </row>
    <row r="26">
      <c r="A26" s="10" t="inlineStr">
        <is>
          <t>Total per MONTH ($)</t>
        </is>
      </c>
      <c r="B26" s="39">
        <f>B25/$B$12</f>
        <v/>
      </c>
      <c r="C26" s="39">
        <f>C25/$B$12</f>
        <v/>
      </c>
      <c r="D26" s="39">
        <f>D25/$B$12</f>
        <v/>
      </c>
    </row>
    <row r="27">
      <c r="A27" s="8" t="inlineStr">
        <is>
          <t xml:space="preserve">    Fixed per month ($)</t>
        </is>
      </c>
      <c r="B27" s="38">
        <f>$B$15/$B$12</f>
        <v/>
      </c>
      <c r="C27" s="38">
        <f>$B$15/$B$12</f>
        <v/>
      </c>
      <c r="D27" s="38">
        <f>$B$15/$B$12</f>
        <v/>
      </c>
    </row>
    <row r="28">
      <c r="A28" s="8" t="inlineStr">
        <is>
          <t xml:space="preserve">    Volumetric per month ($)</t>
        </is>
      </c>
      <c r="B28" s="38">
        <f>B23/$B$12</f>
        <v/>
      </c>
      <c r="C28" s="38">
        <f>C23/$B$12</f>
        <v/>
      </c>
      <c r="D28" s="38">
        <f>D23/$B$12</f>
        <v/>
      </c>
    </row>
    <row r="29">
      <c r="A29" s="8" t="inlineStr">
        <is>
          <t>Effective price ($/HCF)</t>
        </is>
      </c>
      <c r="B29" s="38">
        <f>IF(B11=0,"",B26/B11)</f>
        <v/>
      </c>
      <c r="C29" s="38">
        <f>IF(C11=0,"",C26/C11)</f>
        <v/>
      </c>
      <c r="D29" s="38">
        <f>IF(D11=0,"",D26/D11)</f>
        <v/>
      </c>
    </row>
    <row r="31">
      <c r="A31" s="6" t="inlineStr">
        <is>
          <t>Rate-structure comparison metrics</t>
        </is>
      </c>
      <c r="B31" s="7" t="n"/>
      <c r="C31" s="7" t="n"/>
      <c r="D31" s="7" t="n"/>
    </row>
    <row r="32">
      <c r="A32" s="8" t="inlineStr">
        <is>
          <t>Fixed share of the bill at median usage</t>
        </is>
      </c>
      <c r="B32" s="40">
        <f>C27/C26</f>
        <v/>
      </c>
      <c r="C32" s="13" t="inlineStr">
        <is>
          <t>fixed / total at 10 HCF/month</t>
        </is>
      </c>
    </row>
    <row r="33">
      <c r="A33" s="8" t="inlineStr">
        <is>
          <t>Tier price ratio (highest to lowest positive tier)</t>
        </is>
      </c>
      <c r="B33" s="41">
        <f>$C$17/$C$17</f>
        <v/>
      </c>
      <c r="C33" s="13" t="inlineStr">
        <is>
          <t>uniform structure: a single volumetric rate, so the ratio is 1.00 (flat).</t>
        </is>
      </c>
    </row>
    <row r="34">
      <c r="A34" s="8" t="inlineStr">
        <is>
          <t>Rate structure (as filed)</t>
        </is>
      </c>
      <c r="B34" s="42" t="inlineStr">
        <is>
          <t>uniform (Uniform Usage)</t>
        </is>
      </c>
    </row>
    <row r="36" ht="66" customHeight="1">
      <c r="A36" s="3" t="inlineStr">
        <is>
          <t>State Water Board eAR Section 8a (Customer Charges), single- and multi-family residential charges grid, reporting year 2024. Rate structure only; no revenue.</t>
        </is>
      </c>
    </row>
  </sheetData>
  <mergeCells count="7">
    <mergeCell ref="A1:D1"/>
    <mergeCell ref="A5:D5"/>
    <mergeCell ref="A6:D6"/>
    <mergeCell ref="A3:D3"/>
    <mergeCell ref="A7:D7"/>
    <mergeCell ref="A2:D2"/>
    <mergeCell ref="A36:D3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0"/>
  <sheetViews>
    <sheetView workbookViewId="0">
      <pane ySplit="4" topLeftCell="A5" activePane="bottomLeft" state="frozen"/>
      <selection pane="bottomLeft" activeCell="A1" sqref="A1"/>
    </sheetView>
  </sheetViews>
  <sheetFormatPr baseColWidth="8" defaultRowHeight="15"/>
  <cols>
    <col width="44" customWidth="1" min="1" max="1"/>
    <col width="20" customWidth="1" min="2" max="2"/>
    <col width="20" customWidth="1" min="3" max="3"/>
  </cols>
  <sheetData>
    <row r="1">
      <c r="A1" s="1" t="inlineStr">
        <is>
          <t>Oildale Mutual Water Company</t>
        </is>
      </c>
    </row>
    <row r="2">
      <c r="A2" s="2" t="inlineStr">
        <is>
          <t>eAR annual revenue and expenses - State Water Board eAR Section 8b (USD)</t>
        </is>
      </c>
    </row>
    <row r="3">
      <c r="A3" s="2" t="inlineStr">
        <is>
          <t>Entity ID: cawc_0006   |   Fiscal year ends June 30.</t>
        </is>
      </c>
    </row>
    <row r="5" ht="141" customHeight="1">
      <c r="A5" s="3" t="inlineStr">
        <is>
          <t>The water system's own annual figures from the public eAR Section 8b, on the fiscal year ending June 30, 2023 the filer self-reported (B0.1/B0.2). Shown beside the period-aligned Form 990 with the variance flagged: a different source (a State Water Board self-report vs an IRS filing). Preserved as filed, never reconciled.</t>
        </is>
      </c>
    </row>
    <row r="6">
      <c r="A6" s="21" t="inlineStr">
        <is>
          <t>Reporting period basis (self-reported)</t>
        </is>
      </c>
      <c r="B6" s="24" t="inlineStr">
        <is>
          <t>fiscal year ending June 30, 2023</t>
        </is>
      </c>
      <c r="C6" s="23" t="inlineStr">
        <is>
          <t>eAR Section 8b B0.1 (WRFinancialReportingPeriod) / B0.2 start 07/01/2022</t>
        </is>
      </c>
    </row>
    <row r="8">
      <c r="A8" s="6" t="inlineStr">
        <is>
          <t>Revenue (eAR Section 8b, questions B1.x)</t>
        </is>
      </c>
      <c r="B8" s="7" t="n"/>
      <c r="C8" s="7" t="n"/>
    </row>
    <row r="9">
      <c r="A9" s="5" t="inlineStr">
        <is>
          <t>Line</t>
        </is>
      </c>
      <c r="B9" s="5" t="inlineStr">
        <is>
          <t>Amount (USD)</t>
        </is>
      </c>
      <c r="C9" s="5" t="inlineStr">
        <is>
          <t>Citation</t>
        </is>
      </c>
    </row>
    <row r="10">
      <c r="A10" s="21" t="inlineStr">
        <is>
          <t>Water rate revenue</t>
        </is>
      </c>
      <c r="B10" s="9" t="n">
        <v>8042213</v>
      </c>
      <c r="C10" s="23" t="inlineStr">
        <is>
          <t>State Water Board eAR Section 8b, question B1.1 + B1.2 (revenue from water rates), reporting year 2023</t>
        </is>
      </c>
    </row>
    <row r="11">
      <c r="A11" s="21" t="inlineStr">
        <is>
          <t>Other fees and charges</t>
        </is>
      </c>
      <c r="B11" s="9" t="n">
        <v>351643</v>
      </c>
      <c r="C11" s="23" t="inlineStr">
        <is>
          <t>State Water Board eAR Section 8b, question B1.3 + B1.4 (revenue from other fees), reporting year 2023</t>
        </is>
      </c>
    </row>
    <row r="12">
      <c r="A12" s="21" t="inlineStr">
        <is>
          <t>Non-customer revenue</t>
        </is>
      </c>
      <c r="B12" s="9" t="n">
        <v>0</v>
      </c>
      <c r="C12" s="23" t="inlineStr">
        <is>
          <t>State Water Board eAR Section 8b, question B1.7 (grants, interest, and other non-customer), reporting year 2023</t>
        </is>
      </c>
    </row>
    <row r="13">
      <c r="A13" s="21" t="inlineStr">
        <is>
          <t>Total annual revenue</t>
        </is>
      </c>
      <c r="B13" s="43" t="n">
        <v>8393855</v>
      </c>
      <c r="C13" s="23" t="inlineStr">
        <is>
          <t>State Water Board eAR Section 8b, question B1.8 (total annual revenue for the reporting year), reporting year 2023</t>
        </is>
      </c>
    </row>
    <row r="15">
      <c r="A15" s="6" t="inlineStr">
        <is>
          <t>Expenses (eAR Section 8b, questions B2.x)</t>
        </is>
      </c>
      <c r="B15" s="7" t="n"/>
      <c r="C15" s="7" t="n"/>
    </row>
    <row r="16">
      <c r="A16" s="5" t="inlineStr">
        <is>
          <t>Line</t>
        </is>
      </c>
      <c r="B16" s="5" t="inlineStr">
        <is>
          <t>Amount (USD)</t>
        </is>
      </c>
      <c r="C16" s="5" t="inlineStr">
        <is>
          <t>Citation</t>
        </is>
      </c>
    </row>
    <row r="17">
      <c r="A17" s="21" t="inlineStr">
        <is>
          <t>Operations and maintenance</t>
        </is>
      </c>
      <c r="B17" s="9" t="n">
        <v>10388352</v>
      </c>
      <c r="C17" s="23" t="inlineStr">
        <is>
          <t>State Water Board eAR Section 8b, question B2.1 (annual O and M expense), reporting year 2023</t>
        </is>
      </c>
    </row>
    <row r="18">
      <c r="A18" s="21" t="inlineStr">
        <is>
          <t>Capital</t>
        </is>
      </c>
      <c r="B18" s="9" t="n">
        <v>8233312</v>
      </c>
      <c r="C18" s="23" t="inlineStr">
        <is>
          <t>State Water Board eAR Section 8b, question B2.2 (annual expenses from investing or capital), reporting year 2023</t>
        </is>
      </c>
    </row>
    <row r="19">
      <c r="A19" s="21" t="inlineStr">
        <is>
          <t>Financing</t>
        </is>
      </c>
      <c r="B19" s="9" t="n">
        <v>0</v>
      </c>
      <c r="C19" s="23" t="inlineStr">
        <is>
          <t>State Water Board eAR Section 8b, question B2.3 (annual expenses from financing), reporting year 2023</t>
        </is>
      </c>
    </row>
    <row r="20">
      <c r="A20" s="21" t="inlineStr">
        <is>
          <t>Other</t>
        </is>
      </c>
      <c r="B20" s="9" t="n">
        <v>0</v>
      </c>
      <c r="C20" s="23" t="inlineStr">
        <is>
          <t>State Water Board eAR Section 8b, question B2.4 (total other annual expenses), reporting year 2023</t>
        </is>
      </c>
    </row>
    <row r="21">
      <c r="A21" s="21" t="inlineStr">
        <is>
          <t>Total annual expenses</t>
        </is>
      </c>
      <c r="B21" s="43" t="n">
        <v>18621664</v>
      </c>
      <c r="C21" s="23" t="inlineStr">
        <is>
          <t>State Water Board eAR Section 8b, question B2.5 (total annual expenses), reporting year 2023</t>
        </is>
      </c>
    </row>
    <row r="23">
      <c r="A23" s="6" t="inlineStr">
        <is>
          <t>Period-aligned Form 990 comparison (variance surfaced, never reconciled)</t>
        </is>
      </c>
      <c r="B23" s="7" t="n"/>
      <c r="C23" s="7" t="n"/>
    </row>
    <row r="24">
      <c r="A24" s="5" t="inlineStr">
        <is>
          <t>Measure</t>
        </is>
      </c>
      <c r="B24" s="5" t="inlineStr">
        <is>
          <t>eAR Section 8b</t>
        </is>
      </c>
      <c r="C24" s="5" t="inlineStr">
        <is>
          <t>Form 990</t>
        </is>
      </c>
    </row>
    <row r="25">
      <c r="A25" s="8" t="inlineStr">
        <is>
          <t>total revenue</t>
        </is>
      </c>
      <c r="B25" s="9" t="n">
        <v>8393855</v>
      </c>
      <c r="C25" s="9" t="n">
        <v>11329134</v>
      </c>
    </row>
    <row r="26">
      <c r="A26" s="15" t="inlineStr">
        <is>
          <t>Variance (eAR minus Form 990)</t>
        </is>
      </c>
      <c r="B26" s="16">
        <f>B25-C25</f>
        <v/>
      </c>
      <c r="C26" s="44" t="n"/>
    </row>
    <row r="27" ht="201" customHeight="1">
      <c r="A27" s="3" t="inlineStr">
        <is>
          <t>The eAR Section 8b total revenue (State Water Board self-report, fiscal year ending June 30, 2023) and the Form 990 total revenue (IRS filing) are a different source and cover the same fiscal year (July 1, 2022 to June 30, 2023): the water system self-reported the eAR Section 8b on a fiscal year (B0.1 Fiscal, B0.2 start 07/01/2022), which matches the Form 990 fiscal year. Both are carried as filed; the variance is surfaced, never reconciled.</t>
        </is>
      </c>
    </row>
    <row r="28">
      <c r="A28" s="8" t="inlineStr">
        <is>
          <t>total expenses</t>
        </is>
      </c>
      <c r="B28" s="9" t="n">
        <v>18621664</v>
      </c>
      <c r="C28" s="9" t="n">
        <v>11023709</v>
      </c>
    </row>
    <row r="29">
      <c r="A29" s="15" t="inlineStr">
        <is>
          <t>Variance (eAR minus Form 990)</t>
        </is>
      </c>
      <c r="B29" s="16">
        <f>B28-C28</f>
        <v/>
      </c>
      <c r="C29" s="44" t="n"/>
    </row>
    <row r="30" ht="201" customHeight="1">
      <c r="A30" s="3" t="inlineStr">
        <is>
          <t>The eAR Section 8b total expenses (State Water Board self-report, fiscal year ending June 30, 2023) and the Form 990 total expenses (IRS filing) are a different source and cover the same fiscal year (July 1, 2022 to June 30, 2023): the water system self-reported the eAR Section 8b on a fiscal year (B0.1 Fiscal, B0.2 start 07/01/2022), which matches the Form 990 fiscal year. Both are carried as filed; the variance is surfaced, never reconciled.</t>
        </is>
      </c>
    </row>
  </sheetData>
  <mergeCells count="6">
    <mergeCell ref="A1:C1"/>
    <mergeCell ref="A5:C5"/>
    <mergeCell ref="A27:C27"/>
    <mergeCell ref="A3:C3"/>
    <mergeCell ref="A30:C30"/>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4" customWidth="1" min="3" max="3"/>
    <col width="16" customWidth="1" min="4" max="4"/>
    <col width="16" customWidth="1" min="5" max="5"/>
    <col width="16" customWidth="1" min="6" max="6"/>
    <col width="48" customWidth="1" min="7" max="7"/>
  </cols>
  <sheetData>
    <row r="1">
      <c r="A1" s="1" t="inlineStr">
        <is>
          <t>Oildale Mutual Water Company</t>
        </is>
      </c>
    </row>
    <row r="2">
      <c r="A2" s="2" t="inlineStr">
        <is>
          <t>Denominators and calendar alignment</t>
        </is>
      </c>
    </row>
    <row r="3">
      <c r="A3" s="2" t="inlineStr">
        <is>
          <t>Entity ID: cawc_0006   |   Fiscal year ends June 30.</t>
        </is>
      </c>
    </row>
    <row r="5" ht="126" customHeight="1">
      <c r="A5" s="3" t="inlineStr">
        <is>
          <t>System size and water use per fiscal year (the operating denominators that per-customer and per-acre metrics divide by), each cited to file and field. The eAR is reported on the calendar year; the 990 fiscal year differs by company. A calendar-year filer's volume is the eAR annual total (fiscal year = calendar year); an offset filer's is recast by a true monthly sum of the covered calendar months, or read not reported naming the missing months. Point-in-time counts (connections, population) are matched to the closest eAR year and never summed. Every derived figure states its formula and accounting rationale.</t>
        </is>
      </c>
    </row>
    <row r="6">
      <c r="A6" s="6" t="inlineStr">
        <is>
          <t>Member vs customer (two different denominators, both preserved)</t>
        </is>
      </c>
      <c r="B6" s="7" t="n"/>
      <c r="C6" s="7" t="n"/>
      <c r="D6" s="7" t="n"/>
      <c r="E6" s="7" t="n"/>
      <c r="F6" s="7" t="n"/>
      <c r="G6" s="7" t="n"/>
    </row>
    <row r="7">
      <c r="A7" s="21" t="inlineStr">
        <is>
          <t>Customer (service connection)</t>
        </is>
      </c>
      <c r="B7" s="22" t="n">
        <v>12207</v>
      </c>
      <c r="C7" s="23" t="inlineStr">
        <is>
          <t>State Water Board eAR Section 4 (CurTotalConnections), reporting year 2023</t>
        </is>
      </c>
    </row>
    <row r="8">
      <c r="A8" s="21" t="inlineStr">
        <is>
          <t>SDWIS service-connection count (different registry)</t>
        </is>
      </c>
      <c r="B8" s="22" t="n">
        <v>13172</v>
      </c>
      <c r="C8" s="23" t="inlineStr">
        <is>
          <t>SDWIS reports 13,172 service connections for the same system; the eAR and SDWIS use different registries, so the two counts differ and are both preserved, not reconciled.</t>
        </is>
      </c>
    </row>
    <row r="9">
      <c r="A9" s="21" t="inlineStr">
        <is>
          <t>Member (shareholder)</t>
        </is>
      </c>
      <c r="B9" s="22" t="n">
        <v>11500</v>
      </c>
      <c r="C9" s="23" t="inlineStr">
        <is>
          <t>Form 990 Part III (DELIVERY OF WATER TO 11,500 MEMBERS)</t>
        </is>
      </c>
    </row>
    <row r="10">
      <c r="A10" s="21" t="inlineStr">
        <is>
          <t>Difference (customers minus members)</t>
        </is>
      </c>
      <c r="B10" s="22" t="n">
        <v>707</v>
      </c>
      <c r="C10" s="23" t="inlineStr">
        <is>
          <t>As found: 12,207 service connections and 11,500 members, a difference of 707. Stated as found and not reconciled.</t>
        </is>
      </c>
    </row>
    <row r="11" ht="96" customHeight="1">
      <c r="A11" s="3" t="inlineStr">
        <is>
          <t>In a mutual water company a MEMBER is a shareholder who owns part of the system; a CUSTOMER is a metered service connection that receives water. The two diverge because one owner can hold several connections, a connection can serve people who are not owners, and some mutuals attach shares to land by acreage rather than counting heads. Per-customer metrics divide by service connections; per-member metrics divide by shareholders; the two counts are never used interchangeably.</t>
        </is>
      </c>
    </row>
    <row r="13">
      <c r="A13" s="6" t="inlineStr">
        <is>
          <t>Denominator layer by fiscal year</t>
        </is>
      </c>
      <c r="B13" s="7" t="n"/>
      <c r="C13" s="7" t="n"/>
      <c r="D13" s="7" t="n"/>
      <c r="E13" s="7" t="n"/>
      <c r="F13" s="7" t="n"/>
      <c r="G13" s="7" t="n"/>
    </row>
    <row r="14">
      <c r="A14" s="5" t="inlineStr">
        <is>
          <t>Fiscal year (end)</t>
        </is>
      </c>
      <c r="B14" s="5" t="inlineStr">
        <is>
          <t>Connections</t>
        </is>
      </c>
      <c r="C14" s="5" t="inlineStr">
        <is>
          <t>Population</t>
        </is>
      </c>
      <c r="D14" s="5" t="inlineStr">
        <is>
          <t>Service-area acres</t>
        </is>
      </c>
      <c r="E14" s="5" t="inlineStr">
        <is>
          <t>Water produced (AF)</t>
        </is>
      </c>
      <c r="F14" s="5" t="inlineStr">
        <is>
          <t>Water delivered (AF)</t>
        </is>
      </c>
      <c r="G14" s="5" t="inlineStr">
        <is>
          <t>Alignment method</t>
        </is>
      </c>
    </row>
    <row r="15" ht="40" customHeight="1">
      <c r="A15" s="8" t="inlineStr">
        <is>
          <t>FY2020 (2020-06-30)</t>
        </is>
      </c>
      <c r="B15" s="22" t="n">
        <v>11693</v>
      </c>
      <c r="C15" s="14" t="inlineStr">
        <is>
          <t>not reported</t>
        </is>
      </c>
      <c r="D15" s="22" t="n">
        <v>10873</v>
      </c>
      <c r="E15" s="22" t="n">
        <v>9139.5</v>
      </c>
      <c r="F15" s="22" t="n">
        <v>9136.700000000001</v>
      </c>
      <c r="G15" s="24" t="inlineStr">
        <is>
          <t>recast from monthly eAR data to fiscal year ending June 30, 2020</t>
        </is>
      </c>
    </row>
    <row r="16" ht="40" customHeight="1">
      <c r="A16" s="8" t="inlineStr">
        <is>
          <t>FY2021 (2021-06-30)</t>
        </is>
      </c>
      <c r="B16" s="22" t="n">
        <v>11693</v>
      </c>
      <c r="C16" s="14" t="inlineStr">
        <is>
          <t>not reported</t>
        </is>
      </c>
      <c r="D16" s="22" t="n">
        <v>10873</v>
      </c>
      <c r="E16" s="22" t="n">
        <v>9584.700000000001</v>
      </c>
      <c r="F16" s="22" t="n">
        <v>9583.6</v>
      </c>
      <c r="G16" s="24" t="inlineStr">
        <is>
          <t>recast from monthly eAR data to fiscal year ending June 30, 2021</t>
        </is>
      </c>
    </row>
    <row r="17" ht="40" customHeight="1">
      <c r="A17" s="8" t="inlineStr">
        <is>
          <t>FY2022 (2022-06-30)</t>
        </is>
      </c>
      <c r="B17" s="22" t="n">
        <v>11690</v>
      </c>
      <c r="C17" s="14" t="inlineStr">
        <is>
          <t>not reported</t>
        </is>
      </c>
      <c r="D17" s="22" t="n">
        <v>10873</v>
      </c>
      <c r="E17" s="22" t="n">
        <v>9204.799999999999</v>
      </c>
      <c r="F17" s="22" t="n">
        <v>7056.9</v>
      </c>
      <c r="G17" s="24" t="inlineStr">
        <is>
          <t>recast from monthly eAR data to fiscal year ending June 30, 2022</t>
        </is>
      </c>
    </row>
    <row r="18" ht="40" customHeight="1">
      <c r="A18" s="8" t="inlineStr">
        <is>
          <t>FY2023 (2023-06-30)</t>
        </is>
      </c>
      <c r="B18" s="22" t="n">
        <v>12207</v>
      </c>
      <c r="C18" s="14" t="inlineStr">
        <is>
          <t>not reported</t>
        </is>
      </c>
      <c r="D18" s="22" t="n">
        <v>10873</v>
      </c>
      <c r="E18" s="14" t="inlineStr">
        <is>
          <t>not reported</t>
        </is>
      </c>
      <c r="F18" s="14" t="inlineStr">
        <is>
          <t>not reported</t>
        </is>
      </c>
      <c r="G18" s="24" t="inlineStr">
        <is>
          <t>recast from monthly eAR data to fiscal year ending June 30, 2023</t>
        </is>
      </c>
    </row>
    <row r="19" ht="40" customHeight="1">
      <c r="A19" s="8" t="inlineStr">
        <is>
          <t>FY2024 (2024-06-30)</t>
        </is>
      </c>
      <c r="B19" s="22" t="n">
        <v>12207</v>
      </c>
      <c r="C19" s="22" t="n">
        <v>39756</v>
      </c>
      <c r="D19" s="22" t="n">
        <v>10873</v>
      </c>
      <c r="E19" s="14" t="inlineStr">
        <is>
          <t>not reported</t>
        </is>
      </c>
      <c r="F19" s="14" t="inlineStr">
        <is>
          <t>not reported</t>
        </is>
      </c>
      <c r="G19" s="24" t="inlineStr">
        <is>
          <t>recast from monthly eAR data to fiscal year ending June 30, 2024</t>
        </is>
      </c>
    </row>
    <row r="21">
      <c r="A21" s="6" t="inlineStr">
        <is>
          <t>Connections by class - FY2024 (eAR Section 4)</t>
        </is>
      </c>
      <c r="B21" s="7" t="n"/>
      <c r="C21" s="7" t="n"/>
      <c r="D21" s="7" t="n"/>
      <c r="E21" s="7" t="n"/>
      <c r="F21" s="7" t="n"/>
      <c r="G21" s="7" t="n"/>
    </row>
    <row r="22">
      <c r="A22" s="21" t="inlineStr">
        <is>
          <t>Single-family residential</t>
        </is>
      </c>
      <c r="B22" s="22" t="n">
        <v>11281</v>
      </c>
      <c r="C22" s="23" t="inlineStr"/>
    </row>
    <row r="23">
      <c r="A23" s="21" t="inlineStr">
        <is>
          <t>Multi-family residential</t>
        </is>
      </c>
      <c r="B23" s="22" t="n">
        <v>570</v>
      </c>
      <c r="C23" s="23" t="inlineStr"/>
    </row>
    <row r="24">
      <c r="A24" s="21" t="inlineStr">
        <is>
          <t>Commercial and institutional</t>
        </is>
      </c>
      <c r="B24" s="22" t="n">
        <v>733</v>
      </c>
      <c r="C24" s="23" t="inlineStr"/>
    </row>
    <row r="25">
      <c r="A25" s="21" t="inlineStr">
        <is>
          <t>Industrial</t>
        </is>
      </c>
      <c r="B25" s="22" t="n">
        <v>17</v>
      </c>
      <c r="C25" s="23" t="inlineStr"/>
    </row>
    <row r="26">
      <c r="A26" s="21" t="inlineStr">
        <is>
          <t>Landscape irrigation</t>
        </is>
      </c>
      <c r="B26" s="22" t="n">
        <v>82</v>
      </c>
      <c r="C26" s="23" t="inlineStr"/>
    </row>
    <row r="27" ht="81" customHeight="1">
      <c r="A27" s="3" t="inlineStr">
        <is>
          <t>Monthly-volume source: California open-data portal (data.ca.gov): the separate Produced Water (by month and source) and Delivered Water (by month and connection type) resources, which cover every public water system (not only urban suppliers), one resource per reporting year, matched by exact PWSID. This is the aggregate publication of eAR Section 6.</t>
        </is>
      </c>
    </row>
  </sheetData>
  <mergeCells count="6">
    <mergeCell ref="A1:G1"/>
    <mergeCell ref="A27:G27"/>
    <mergeCell ref="A3:G3"/>
    <mergeCell ref="A2:G2"/>
    <mergeCell ref="A11:G11"/>
    <mergeCell ref="A5:G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5"/>
  <sheetViews>
    <sheetView workbookViewId="0">
      <pane ySplit="4" topLeftCell="A5" activePane="bottomLeft" state="frozen"/>
      <selection pane="bottomLeft" activeCell="A1" sqref="A1"/>
    </sheetView>
  </sheetViews>
  <sheetFormatPr baseColWidth="8" defaultRowHeight="15"/>
  <cols>
    <col width="26" customWidth="1" min="1" max="1"/>
    <col width="16" customWidth="1" min="2" max="2"/>
    <col width="40" customWidth="1" min="3" max="3"/>
    <col width="40" customWidth="1" min="4" max="4"/>
    <col width="12" customWidth="1" min="5" max="5"/>
  </cols>
  <sheetData>
    <row r="1">
      <c r="A1" s="1" t="inlineStr">
        <is>
          <t>Oildale Mutual Water Company</t>
        </is>
      </c>
    </row>
    <row r="2">
      <c r="A2" s="2" t="inlineStr">
        <is>
          <t>Governance evidence status - Ostrom's eight design principles</t>
        </is>
      </c>
    </row>
    <row r="3">
      <c r="A3" s="2" t="inlineStr">
        <is>
          <t>Entity ID: cawc_0006   |   Fiscal year ends June 30.</t>
        </is>
      </c>
    </row>
    <row r="5">
      <c r="A5" s="45" t="inlineStr">
        <is>
          <t>Evidence summary: 5 documented, 2 partial, 1 not documented of eight principles.</t>
        </is>
      </c>
      <c r="B5" s="7" t="n"/>
      <c r="C5" s="7" t="n"/>
      <c r="D5" s="7" t="n"/>
      <c r="E5" s="7" t="n"/>
    </row>
    <row r="6" ht="81" customHeight="1">
      <c r="A6" s="3" t="inlineStr">
        <is>
          <t>A count of how many of Elinor Ostrom's eight design principles have a supporting record on file, not a grade. NOT DOCUMENTED means the supporting record was not found, not that the company governs badly. It marks a gap in the documentary record, an evidence gap to close, never a governance failing.</t>
        </is>
      </c>
    </row>
    <row r="7" ht="201" customHeight="1">
      <c r="A7" s="3" t="inlineStr">
        <is>
          <t>Each mutual is read against Elinor Ostrom's eight design principles for institutions that govern a shared resource durably. Per principle: a one-line finding, the observable signal, a citation, and an evidence status stating whether the supporting record exists: DOCUMENTED (a cited record supports alignment), PARTIAL (some evidence exists but it is incomplete), or NOT DOCUMENTED (no supporting record was found). This is an evidence-status read, not a grade: the principles are never ranked, weighted, or given a letter, consistent with reporting as filed and not grading companies. NOT DOCUMENTED means the supporting record was not found, not that the company governs badly. It marks a gap in the documentary record, an evidence gap to close, never a governance failing.</t>
        </is>
      </c>
    </row>
    <row r="9">
      <c r="A9" s="5" t="inlineStr">
        <is>
          <t>Principle</t>
        </is>
      </c>
      <c r="B9" s="5" t="inlineStr">
        <is>
          <t>Evidence status</t>
        </is>
      </c>
      <c r="C9" s="5" t="inlineStr">
        <is>
          <t>Finding</t>
        </is>
      </c>
      <c r="D9" s="5" t="inlineStr">
        <is>
          <t>Signal</t>
        </is>
      </c>
      <c r="E9" s="5" t="inlineStr">
        <is>
          <t>Citation</t>
        </is>
      </c>
    </row>
    <row r="10" ht="46" customHeight="1">
      <c r="A10" s="8" t="inlineStr">
        <is>
          <t>Clearly defined boundaries</t>
        </is>
      </c>
      <c r="B10" s="25" t="inlineStr">
        <is>
          <t>DOCUMENTED</t>
        </is>
      </c>
      <c r="C10" s="24" t="inlineStr">
        <is>
          <t>Members are shareholders, and the service area covers roughly ten square miles with 12,683 eAR connections.</t>
        </is>
      </c>
      <c r="D10" s="24" t="inlineStr">
        <is>
          <t>eAR total connections 12,683; about ten square miles served.</t>
        </is>
      </c>
      <c r="E10" s="46" t="inlineStr">
        <is>
          <t>[E][1]</t>
        </is>
      </c>
    </row>
    <row r="11" ht="96" customHeight="1">
      <c r="A11" s="3" t="inlineStr">
        <is>
          <t>What the record shows: Membership is by shareholding and the service area is a well-defined roughly ten-square-mile footprint with 12,683 eAR connections. The SABL service-area boundary is present but Not Verified by the State, and the shareholder roll is not in the record, so the documentation is present but rests on a weaker source than a State-verified polygon.</t>
        </is>
      </c>
    </row>
    <row r="12" ht="46" customHeight="1">
      <c r="A12" s="8" t="inlineStr">
        <is>
          <t>Rules fit local conditions</t>
        </is>
      </c>
      <c r="B12" s="25" t="inlineStr">
        <is>
          <t>PARTIAL</t>
        </is>
      </c>
      <c r="C12" s="24" t="inlineStr">
        <is>
          <t>A uniform volumetric rate ties cost to volume, but metering is still being completed under the 2025 State mandate, so charges were historically flat.</t>
        </is>
      </c>
      <c r="D12" s="24" t="inlineStr">
        <is>
          <t>eAR rate structure: Uniform Usage; metering conversion underway.</t>
        </is>
      </c>
      <c r="E12" s="46" t="inlineStr">
        <is>
          <t>[E][1]</t>
        </is>
      </c>
    </row>
    <row r="13" ht="96" customHeight="1">
      <c r="A13" s="3" t="inlineStr">
        <is>
          <t>What the record shows: A uniform volumetric rate documents that cost is tied to volume in principle, but metering is still being completed under the 2025 State mandate, so charges have historically been flat and do not yet track each member's actual use. Congruence is documented as a work in progress, so the evidence is partial.</t>
        </is>
      </c>
    </row>
    <row r="14" ht="46" customHeight="1">
      <c r="A14" s="8" t="inlineStr">
        <is>
          <t>Collective-choice arrangements</t>
        </is>
      </c>
      <c r="B14" s="25" t="inlineStr">
        <is>
          <t>DOCUMENTED</t>
        </is>
      </c>
      <c r="C14" s="24" t="inlineStr">
        <is>
          <t>Stockholders elect five directors each year, vote by proxy, and may bring stockholder proposals at the annual meeting.</t>
        </is>
      </c>
      <c r="D14" s="24" t="inlineStr">
        <is>
          <t>Audited-statement notice: annual election of five directors, 20 percent quorum, proxy voting, stockholder proposals.</t>
        </is>
      </c>
      <c r="E14" s="46" t="inlineStr">
        <is>
          <t>[6][1]</t>
        </is>
      </c>
    </row>
    <row r="15" ht="96" customHeight="1">
      <c r="A15" s="3" t="inlineStr">
        <is>
          <t>What the record shows: The audited-statement notice documents a real, recurring mechanism: annual election of five directors, proxy voting, a 20 percent quorum, and a right to bring stockholder proposals. This is the best-documented collective-choice machinery among the three mutuals. Turnout and contested elections are not in the record.</t>
        </is>
      </c>
    </row>
    <row r="16" ht="46" customHeight="1">
      <c r="A16" s="8" t="inlineStr">
        <is>
          <t>Monitoring</t>
        </is>
      </c>
      <c r="B16" s="25" t="inlineStr">
        <is>
          <t>DOCUMENTED</t>
        </is>
      </c>
      <c r="C16" s="24" t="inlineStr">
        <is>
          <t>The company issues an annual audited financial statement and the State risk assessment shows it Not At-Risk with zero violations.</t>
        </is>
      </c>
      <c r="D16" s="24" t="inlineStr">
        <is>
          <t>Annual audited income statement; SAFER Not At-Risk, 0 of 6 categories.</t>
        </is>
      </c>
      <c r="E16" s="46" t="inlineStr">
        <is>
          <t>[6][S]</t>
        </is>
      </c>
    </row>
    <row r="17" ht="111" customHeight="1">
      <c r="A17" s="3" t="inlineStr">
        <is>
          <t>What the record shows: The company publishes an annual audited financial statement (an independent financial monitor the other two mutuals lack) and the State rates it Not At-Risk with zero violations, so monitoring is independently documented on two fronts. The audit's scope and any operational-performance monitoring beyond the financial statements and the state risk screen are not in the record.</t>
        </is>
      </c>
    </row>
    <row r="18" ht="46" customHeight="1">
      <c r="A18" s="8" t="inlineStr">
        <is>
          <t>Graduated sanctions</t>
        </is>
      </c>
      <c r="B18" s="25" t="inlineStr">
        <is>
          <t>NOT DOCUMENTED</t>
        </is>
      </c>
      <c r="C18" s="24" t="inlineStr">
        <is>
          <t>A schedule of graduated sanctions for non-payment or rule violations is not in the record.</t>
        </is>
      </c>
      <c r="D18" s="24" t="inlineStr">
        <is>
          <t>Not reported.</t>
        </is>
      </c>
      <c r="E18" s="46" t="inlineStr">
        <is>
          <t>not reported</t>
        </is>
      </c>
    </row>
    <row r="19" ht="81" customHeight="1">
      <c r="A19" s="3" t="inlineStr">
        <is>
          <t>What the record shows: No schedule of graduated sanctions for non-payment or rule violations appears anywhere in the record. NOT DOCUMENTED means the supporting record was not found; it is a documentary gap, not a finding that the company fails to enforce its rules or governs badly.</t>
        </is>
      </c>
    </row>
    <row r="20" ht="46" customHeight="1">
      <c r="A20" s="8" t="inlineStr">
        <is>
          <t>Conflict-resolution mechanisms</t>
        </is>
      </c>
      <c r="B20" s="25" t="inlineStr">
        <is>
          <t>DOCUMENTED</t>
        </is>
      </c>
      <c r="C20" s="24" t="inlineStr">
        <is>
          <t>Monthly open board meetings and legal counsel on retainer provide a standing local forum.</t>
        </is>
      </c>
      <c r="D20" s="24" t="inlineStr">
        <is>
          <t>Monthly open board meetings; legal firm on retainer.</t>
        </is>
      </c>
      <c r="E20" s="46" t="inlineStr">
        <is>
          <t>[1][2]</t>
        </is>
      </c>
    </row>
    <row r="21" ht="81" customHeight="1">
      <c r="A21" s="3" t="inlineStr">
        <is>
          <t>What the record shows: Monthly open board meetings and legal counsel on retainer document a standing, regular local forum and access to counsel. The record documents a general governance venue rather than a dedicated dispute-resolution or member-grievance procedure with defined steps.</t>
        </is>
      </c>
    </row>
    <row r="22" ht="46" customHeight="1">
      <c r="A22" s="8" t="inlineStr">
        <is>
          <t>Recognized right to organize</t>
        </is>
      </c>
      <c r="B22" s="25" t="inlineStr">
        <is>
          <t>DOCUMENTED</t>
        </is>
      </c>
      <c r="C22" s="24" t="inlineStr">
        <is>
          <t>Recognized by the State Water Board as a privately owned mutual water company and by the IRS as a 501(c)(12).</t>
        </is>
      </c>
      <c r="D22" s="24" t="inlineStr">
        <is>
          <t>eAR ownership 'Privately owned Mutual Water Company'; IRS 501(c)(12).</t>
        </is>
      </c>
      <c r="E22" s="46" t="inlineStr">
        <is>
          <t>[E][D][SOS]</t>
        </is>
      </c>
    </row>
    <row r="23" ht="150" customHeight="1">
      <c r="A23" s="3" t="inlineStr">
        <is>
          <t>What the record shows: Documented independently by the State Water Board as a privately owned mutual water company and by the IRS as a 501(c)(12). The record documents baseline legal recognition common to every lawful mutual, with no record of the right being actively used to reshape governance. The California Secretary of State holds the company as a registered corporation, entity number 0089591, first registered 10/30/1919, status as filed "Active", with a governing body named in the Statement of Information filed 6/10/2026. That is a direct state record of the right to organize being recognized, so the evidence behind this status is now a filed corporate record rather than an inference from the company's tax form. The status was already DOCUMENTED and does not move.</t>
        </is>
      </c>
    </row>
    <row r="24" ht="46" customHeight="1">
      <c r="A24" s="8" t="inlineStr">
        <is>
          <t>Nested enterprises</t>
        </is>
      </c>
      <c r="B24" s="25" t="inlineStr">
        <is>
          <t>PARTIAL</t>
        </is>
      </c>
      <c r="C24" s="24" t="inlineStr">
        <is>
          <t>Purchases surface water and sits within the Kern County water network alongside neighboring districts, though a formal shared-governance body is not documented.</t>
        </is>
      </c>
      <c r="D24" s="24" t="inlineStr">
        <is>
          <t>eAR purchased surface water; Water Association of Kern County member.</t>
        </is>
      </c>
      <c r="E24" s="46" t="inlineStr">
        <is>
          <t>[E][2]</t>
        </is>
      </c>
    </row>
    <row r="25" ht="96" customHeight="1">
      <c r="A25" s="3" t="inlineStr">
        <is>
          <t>What the record shows: The company purchases surface water and belongs to the Water Association of Kern County, so participation in the wider Kern water network is documented. No formal shared-governance body or agreement is documented, so the nesting on record is an informal membership and a purchase relationship rather than a governed layer, and the evidence is partial.</t>
        </is>
      </c>
    </row>
  </sheetData>
  <mergeCells count="13">
    <mergeCell ref="A21:E21"/>
    <mergeCell ref="A2:E2"/>
    <mergeCell ref="A15:E15"/>
    <mergeCell ref="A7:E7"/>
    <mergeCell ref="A25:E25"/>
    <mergeCell ref="A19:E19"/>
    <mergeCell ref="A11:E11"/>
    <mergeCell ref="A1:E1"/>
    <mergeCell ref="A23:E23"/>
    <mergeCell ref="A13:E13"/>
    <mergeCell ref="A6:E6"/>
    <mergeCell ref="A17:E17"/>
    <mergeCell ref="A3:E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3"/>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Oildale Mutual Water Company</t>
        </is>
      </c>
    </row>
    <row r="2">
      <c r="A2" s="2" t="inlineStr">
        <is>
          <t>Operational metrics - plant per acre, density, terrain</t>
        </is>
      </c>
    </row>
    <row r="3">
      <c r="A3" s="2" t="inlineStr">
        <is>
          <t>Entity ID: cawc_0006   |   Fiscal year ends June 30.</t>
        </is>
      </c>
    </row>
    <row r="5">
      <c r="A5" s="6" t="inlineStr">
        <is>
          <t>Plant assets per acre</t>
        </is>
      </c>
      <c r="B5" s="7" t="n"/>
      <c r="C5" s="7" t="n"/>
    </row>
    <row r="6">
      <c r="A6" s="21" t="inlineStr">
        <is>
          <t>Service-area acres</t>
        </is>
      </c>
      <c r="B6" s="47" t="n">
        <v>10873</v>
      </c>
      <c r="C6" s="23" t="inlineStr">
        <is>
          <t>Geodesic area (WGS84 spherical excess) of the SABL service-area polygon.</t>
        </is>
      </c>
    </row>
    <row r="7">
      <c r="A7" s="5" t="inlineStr">
        <is>
          <t>Fiscal year</t>
        </is>
      </c>
      <c r="B7" s="5" t="inlineStr">
        <is>
          <t>Gross plant per acre (primary)</t>
        </is>
      </c>
      <c r="C7" s="5" t="inlineStr">
        <is>
          <t>Net plant per acre</t>
        </is>
      </c>
    </row>
    <row r="8">
      <c r="A8" s="48" t="inlineStr">
        <is>
          <t>FY2020</t>
        </is>
      </c>
      <c r="B8" s="9" t="n"/>
      <c r="C8" s="9" t="n"/>
    </row>
    <row r="9">
      <c r="A9" s="48" t="inlineStr">
        <is>
          <t>FY2021</t>
        </is>
      </c>
      <c r="B9" s="9" t="n">
        <v>3050.49</v>
      </c>
      <c r="C9" s="9" t="n">
        <v>1995.1746</v>
      </c>
    </row>
    <row r="10">
      <c r="A10" s="48" t="inlineStr">
        <is>
          <t>FY2022</t>
        </is>
      </c>
      <c r="B10" s="9" t="n">
        <v>3804.7061</v>
      </c>
      <c r="C10" s="9" t="n">
        <v>2661.2717</v>
      </c>
    </row>
    <row r="11">
      <c r="A11" s="48" t="inlineStr">
        <is>
          <t>FY2023</t>
        </is>
      </c>
      <c r="B11" s="9" t="n">
        <v>4637.4065</v>
      </c>
      <c r="C11" s="9" t="n">
        <v>3389.2399</v>
      </c>
    </row>
    <row r="12">
      <c r="A12" s="48" t="inlineStr">
        <is>
          <t>FY2024</t>
        </is>
      </c>
      <c r="B12" s="9" t="n">
        <v>5899.9978</v>
      </c>
      <c r="C12" s="9" t="n">
        <v>4530.7087</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1" t="inlineStr">
        <is>
          <t>Connections per acre</t>
        </is>
      </c>
      <c r="B19" s="20" t="n">
        <v>1.26</v>
      </c>
      <c r="C19" s="23" t="inlineStr">
        <is>
          <t>13,733 connections / 10,873.0 acres. CA State Water Board SABL SERVICE_CONNECTIONS; Geodesic area (WGS84 spherical excess) of the SABL service-area polygon.</t>
        </is>
      </c>
    </row>
    <row r="21">
      <c r="A21" s="6" t="inlineStr">
        <is>
          <t>Weak points and watch items</t>
        </is>
      </c>
      <c r="B21" s="7" t="n"/>
      <c r="C21" s="7" t="n"/>
    </row>
    <row r="22">
      <c r="A22" s="21" t="inlineStr">
        <is>
          <t>Terrain class</t>
        </is>
      </c>
      <c r="B22" s="24" t="inlineStr">
        <is>
          <t>flat valley</t>
        </is>
      </c>
      <c r="C22" s="23" t="inlineStr">
        <is>
          <t>Company context page (BLUEPRINT 5B)</t>
        </is>
      </c>
    </row>
    <row r="23" ht="66" customHeight="1">
      <c r="A23" s="3" t="inlineStr">
        <is>
          <t>Flat valley urban setting carries minimal WUI risk, but San Joaquin subsidence and SGMA groundwater politics are long-run watch items.</t>
        </is>
      </c>
    </row>
  </sheetData>
  <mergeCells count="8">
    <mergeCell ref="A13:C13"/>
    <mergeCell ref="A1:C1"/>
    <mergeCell ref="A16:C16"/>
    <mergeCell ref="A23:C23"/>
    <mergeCell ref="A14:C14"/>
    <mergeCell ref="A3:C3"/>
    <mergeCell ref="A15:C15"/>
    <mergeCell ref="A2:C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2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Oildale Mutual Water Company</t>
        </is>
      </c>
    </row>
    <row r="2">
      <c r="A2" s="2" t="inlineStr">
        <is>
          <t>Supply and weather indicators (DWR water year)</t>
        </is>
      </c>
    </row>
    <row r="3">
      <c r="A3" s="2" t="inlineStr">
        <is>
          <t>Entity ID: cawc_0006   |   Fiscal year ends June 30.</t>
        </is>
      </c>
    </row>
    <row r="5" ht="96" customHeight="1">
      <c r="A5" s="3" t="inlineStr">
        <is>
          <t>Reporting calendar: Different reporting periods. The DWR water year runs October 1 to September 30; this system's fiscal year ends June 30,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6" ht="66" customHeight="1">
      <c r="A6" s="3" t="inlineStr">
        <is>
          <t>Supply profile: Oildale serves the Bakersfield area and relies on Kern River and purchased surface water plus groundwater, with system metering still being completed, so its supply and cost move with Central Valley hydrology.</t>
        </is>
      </c>
    </row>
    <row r="7" ht="66" customHeight="1">
      <c r="A7" s="3" t="inlineStr">
        <is>
          <t>Weather link: For Oildale the weather link runs mainly through cost, not revenue: dry years shift it from surface water to pumped groundwater, raising energy and treatment expense, while its historically flat billing kept revenue steadier than a metered peer's.</t>
        </is>
      </c>
    </row>
    <row r="9">
      <c r="A9" s="4" t="inlineStr">
        <is>
          <t>Indicator</t>
        </is>
      </c>
      <c r="B9" s="5" t="inlineStr">
        <is>
          <t>WY2020</t>
        </is>
      </c>
      <c r="C9" s="5" t="inlineStr">
        <is>
          <t>WY2021</t>
        </is>
      </c>
      <c r="D9" s="5" t="inlineStr">
        <is>
          <t>WY2022</t>
        </is>
      </c>
      <c r="E9" s="5" t="inlineStr">
        <is>
          <t>WY2023</t>
        </is>
      </c>
      <c r="F9" s="5" t="inlineStr">
        <is>
          <t>WY2024</t>
        </is>
      </c>
    </row>
    <row r="10">
      <c r="A10" s="8" t="inlineStr">
        <is>
          <t>Water-year type (Sacramento Valley)</t>
        </is>
      </c>
      <c r="B10" s="46" t="inlineStr">
        <is>
          <t>Dry</t>
        </is>
      </c>
      <c r="C10" s="46" t="inlineStr">
        <is>
          <t>Critical</t>
        </is>
      </c>
      <c r="D10" s="46" t="inlineStr">
        <is>
          <t>Critical</t>
        </is>
      </c>
      <c r="E10" s="46" t="inlineStr">
        <is>
          <t>Wet</t>
        </is>
      </c>
      <c r="F10" s="46" t="inlineStr">
        <is>
          <t>Above Normal</t>
        </is>
      </c>
    </row>
    <row r="11">
      <c r="A11" s="8" t="inlineStr">
        <is>
          <t>Peak drought, Kern County</t>
        </is>
      </c>
      <c r="B11" s="46" t="inlineStr">
        <is>
          <t>D1</t>
        </is>
      </c>
      <c r="C11" s="46" t="inlineStr">
        <is>
          <t>D4</t>
        </is>
      </c>
      <c r="D11" s="46" t="inlineStr">
        <is>
          <t>D4</t>
        </is>
      </c>
      <c r="E11" s="46" t="inlineStr">
        <is>
          <t>D4</t>
        </is>
      </c>
      <c r="F11" s="46" t="inlineStr">
        <is>
          <t>None (no D0-D4 during the fiscal year)</t>
        </is>
      </c>
    </row>
    <row r="12">
      <c r="A12" s="8" t="inlineStr">
        <is>
          <t>Precip, percent of normal (8-Station Index)</t>
        </is>
      </c>
      <c r="B12" s="46" t="inlineStr">
        <is>
          <t>63</t>
        </is>
      </c>
      <c r="C12" s="46" t="inlineStr">
        <is>
          <t>48</t>
        </is>
      </c>
      <c r="D12" s="46" t="inlineStr">
        <is>
          <t>86</t>
        </is>
      </c>
      <c r="E12" s="46" t="inlineStr">
        <is>
          <t>133</t>
        </is>
      </c>
      <c r="F12" s="46" t="inlineStr">
        <is>
          <t>96</t>
        </is>
      </c>
    </row>
    <row r="13">
      <c r="A13" s="8" t="inlineStr">
        <is>
          <t>Snowpack, April 1 percent of average</t>
        </is>
      </c>
      <c r="B13" s="46" t="inlineStr">
        <is>
          <t>53%</t>
        </is>
      </c>
      <c r="C13" s="46" t="inlineStr">
        <is>
          <t>59%</t>
        </is>
      </c>
      <c r="D13" s="46" t="inlineStr">
        <is>
          <t>38%</t>
        </is>
      </c>
      <c r="E13" s="46" t="inlineStr">
        <is>
          <t>237%</t>
        </is>
      </c>
      <c r="F13" s="46" t="inlineStr">
        <is>
          <t>110%</t>
        </is>
      </c>
    </row>
    <row r="14">
      <c r="A14" s="8" t="inlineStr">
        <is>
          <t>State Water Project allocation</t>
        </is>
      </c>
      <c r="B14" s="46" t="inlineStr">
        <is>
          <t>20%</t>
        </is>
      </c>
      <c r="C14" s="46" t="inlineStr">
        <is>
          <t>5%</t>
        </is>
      </c>
      <c r="D14" s="46" t="inlineStr">
        <is>
          <t>5%</t>
        </is>
      </c>
      <c r="E14" s="46" t="inlineStr">
        <is>
          <t>100%</t>
        </is>
      </c>
      <c r="F14" s="46" t="inlineStr">
        <is>
          <t>40%</t>
        </is>
      </c>
    </row>
    <row r="16">
      <c r="A16" s="6" t="inlineStr">
        <is>
          <t>How each dimension reads for this company</t>
        </is>
      </c>
      <c r="B16" s="7" t="n"/>
      <c r="C16" s="7" t="n"/>
      <c r="D16" s="7" t="n"/>
      <c r="E16" s="7" t="n"/>
      <c r="F16" s="7" t="n"/>
    </row>
    <row r="17" ht="51" customHeight="1">
      <c r="A17" s="3" t="inlineStr">
        <is>
          <t>Water-year type: A dry water-year type cuts Kern River and project surface-water deliveries, pushing Oildale toward more groundwater pumping, which raises energy and treatment cost.</t>
        </is>
      </c>
    </row>
    <row r="18" ht="66" customHeight="1">
      <c r="A18" s="3" t="inlineStr">
        <is>
          <t>Drought stage: Kern County drought stage drives conservation, but because much of Oildale's billing was historically flat rather than metered, dry-year demand changes hit its revenue less directly than a fully metered system.</t>
        </is>
      </c>
    </row>
    <row r="19" ht="51" customHeight="1">
      <c r="A19" s="3" t="inlineStr">
        <is>
          <t>Precipitation: Local and statewide precipitation feed the Kern River and the valley aquifer Oildale draws on, so a dry precipitation year is a lower-surface-supply, higher-pumping-cost year for it.</t>
        </is>
      </c>
    </row>
    <row r="20" ht="51" customHeight="1">
      <c r="A20" s="3" t="inlineStr">
        <is>
          <t>Snowpack: Southern Sierra snowpack feeds the Kern River, a core Oildale supply, so a thin snowpack year directly reduces its cheapest surface water and raises reliance on pumped groundwater.</t>
        </is>
      </c>
    </row>
    <row r="21" ht="51" customHeight="1">
      <c r="A21" s="3" t="inlineStr">
        <is>
          <t>State Water Project allocation: State Water Project allocation matters to Oildale through Kern County Water Agency deliveries; a low allocation year tightens the regional surface-water pool it buys into.</t>
        </is>
      </c>
    </row>
  </sheetData>
  <mergeCells count="11">
    <mergeCell ref="A2:F2"/>
    <mergeCell ref="A19:F19"/>
    <mergeCell ref="A1:F1"/>
    <mergeCell ref="A5:F5"/>
    <mergeCell ref="A6:F6"/>
    <mergeCell ref="A17:F17"/>
    <mergeCell ref="A18:F18"/>
    <mergeCell ref="A3:F3"/>
    <mergeCell ref="A21:F21"/>
    <mergeCell ref="A20:F20"/>
    <mergeCell ref="A7:F7"/>
  </mergeCells>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33"/>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Oildale Mutual Water Company</t>
        </is>
      </c>
    </row>
    <row r="2">
      <c r="A2" s="2" t="inlineStr">
        <is>
          <t>How this was built - forensic lineage</t>
        </is>
      </c>
    </row>
    <row r="3">
      <c r="A3" s="2" t="inlineStr">
        <is>
          <t>Entity ID: cawc_0006   |   Fiscal year ends June 30.</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DIRECT</t>
        </is>
      </c>
      <c r="B7" s="7" t="n"/>
    </row>
    <row r="8" ht="72" customHeight="1">
      <c r="A8" s="21" t="inlineStr">
        <is>
          <t>Sources checked</t>
        </is>
      </c>
      <c r="B8" s="23" t="inlineStr">
        <is>
          <t>State Water Board eAR Section 8b (water-rate revenue B1.1/B1.2); State Water Board eAR Section 4 (connection count, same reporting year); audited financial statement (secondary cross-check, where published)</t>
        </is>
      </c>
    </row>
    <row r="9" ht="72" customHeight="1">
      <c r="A9" s="21" t="inlineStr">
        <is>
          <t>What was found</t>
        </is>
      </c>
      <c r="B9" s="23" t="inlineStr">
        <is>
          <t>The eAR Section 8b reports water-rate revenue for reporting year 2023, so this is a DIRECT filed figure; per customer it is divided by the eAR Section 4 connection count for the same reporting year, so numerator and denominator share the year.</t>
        </is>
      </c>
    </row>
    <row r="10" ht="72" customHeight="1">
      <c r="A10" s="21" t="inlineStr">
        <is>
          <t>Caveat</t>
        </is>
      </c>
      <c r="B10" s="23" t="inlineStr">
        <is>
          <t>No like-for-like cross-check available: the only staged audited statement covers the June 30, 2024 fiscal year, a DIFFERENT fiscal year than the eAR Section 8b period (the fiscal year ending June 30, 2023). Cross-checks compare like fiscal years only, so the audit's Water Sales and Related Charges of $9,348,617 (page 2) is not compared against the eAR figure here.</t>
        </is>
      </c>
    </row>
    <row r="12">
      <c r="A12" s="6" t="inlineStr">
        <is>
          <t>Assessment revenue (residual) - DERIVED</t>
        </is>
      </c>
      <c r="B12" s="7" t="n"/>
    </row>
    <row r="13" ht="72" customHeight="1">
      <c r="A13" s="21" t="inlineStr">
        <is>
          <t>Sources checked</t>
        </is>
      </c>
      <c r="B13" s="23" t="inlineStr">
        <is>
          <t>Form 990 Part VIII line 2 (program-service revenue); State Water Board eAR Section 8b (water-rate revenue B1.1/B1.2)</t>
        </is>
      </c>
    </row>
    <row r="14" ht="72" customHeight="1">
      <c r="A14" s="21" t="inlineStr">
        <is>
          <t>What was found</t>
        </is>
      </c>
      <c r="B14" s="23" t="inlineStr">
        <is>
          <t>No source separately reports a member assessment, so it is DERIVED as a residual: $10,868,355 (990 program-service revenue) minus $8,042,213 (eAR water-rate revenue) = $2,826,142. Period-aligned; medium confidence.</t>
        </is>
      </c>
    </row>
    <row r="15" ht="72" customHeight="1">
      <c r="A15" s="21" t="inlineStr">
        <is>
          <t>Caveat</t>
        </is>
      </c>
      <c r="B15" s="23" t="inlineStr">
        <is>
          <t>For Oildale this residual is NOT cleanly assessment revenue: it partly reflects the unreconciled gap between the eAR Section 8b total and the Form 990 total for the same fiscal year, so part of it is a source-to-source difference rather than a distinct assessment line.</t>
        </is>
      </c>
    </row>
    <row r="17">
      <c r="A17" s="6" t="inlineStr">
        <is>
          <t>Meter revenue - not reported</t>
        </is>
      </c>
      <c r="B17" s="7" t="n"/>
    </row>
    <row r="18" ht="72" customHeight="1">
      <c r="A18" s="21" t="inlineStr">
        <is>
          <t>Sources checked</t>
        </is>
      </c>
      <c r="B18" s="23" t="inlineStr">
        <is>
          <t>State Water Board eAR Section 8a (rate prices); State Water Board eAR Section 8b (revenue lines); audited financial statement</t>
        </is>
      </c>
    </row>
    <row r="19" ht="72" customHeight="1">
      <c r="A19" s="21" t="inlineStr">
        <is>
          <t>What was found</t>
        </is>
      </c>
      <c r="B19" s="23" t="inlineStr">
        <is>
          <t>The rate price exists in Section 8a but no revenue or tier volume is reported, and the base charge is already inside water sales.</t>
        </is>
      </c>
    </row>
    <row r="20" ht="72" customHeight="1">
      <c r="A20" s="21" t="inlineStr">
        <is>
          <t>Caveat</t>
        </is>
      </c>
      <c r="B20" s="23"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2">
      <c r="A22" s="6" t="inlineStr">
        <is>
          <t>Overage / tiered-penalty revenue - not reported</t>
        </is>
      </c>
      <c r="B22" s="7" t="n"/>
    </row>
    <row r="23" ht="72" customHeight="1">
      <c r="A23" s="21" t="inlineStr">
        <is>
          <t>Sources checked</t>
        </is>
      </c>
      <c r="B23" s="23" t="inlineStr">
        <is>
          <t>State Water Board eAR Section 8a (rate prices); State Water Board eAR Section 8b (revenue lines); audited financial statement</t>
        </is>
      </c>
    </row>
    <row r="24" ht="72" customHeight="1">
      <c r="A24" s="21" t="inlineStr">
        <is>
          <t>What was found</t>
        </is>
      </c>
      <c r="B24" s="23" t="inlineStr">
        <is>
          <t>The rate price exists in Section 8a but no revenue or tier volume is reported, and the base charge is already inside water sales.</t>
        </is>
      </c>
    </row>
    <row r="25" ht="72" customHeight="1">
      <c r="A25" s="21" t="inlineStr">
        <is>
          <t>Caveat</t>
        </is>
      </c>
      <c r="B25" s="23"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7">
      <c r="A27" s="6" t="inlineStr">
        <is>
          <t>eAR Section 8b reporting-period basis - sourced</t>
        </is>
      </c>
      <c r="B27" s="7" t="n"/>
    </row>
    <row r="28" ht="72" customHeight="1">
      <c r="A28" s="21" t="inlineStr">
        <is>
          <t>Sources checked</t>
        </is>
      </c>
      <c r="B28" s="23" t="inlineStr">
        <is>
          <t>eAR Section 8b B0.1 (WRFinancialReportingPeriod); eAR Section 8b B0.2 (WRFiscalYearStartDate)</t>
        </is>
      </c>
    </row>
    <row r="29" ht="72" customHeight="1">
      <c r="A29" s="21" t="inlineStr">
        <is>
          <t>What was found</t>
        </is>
      </c>
      <c r="B29" s="23" t="inlineStr">
        <is>
          <t>The reporting basis (fiscal vs calendar year) is read from the filer's own B0.1/B0.2 answer and staged verbatim, never hardcoded, so the 990 comparison and the residual are period-aligned.</t>
        </is>
      </c>
    </row>
    <row r="31">
      <c r="A31" s="6" t="inlineStr">
        <is>
          <t>Member (shareholder) count denominator - sourced</t>
        </is>
      </c>
      <c r="B31" s="7" t="n"/>
    </row>
    <row r="32" ht="72" customHeight="1">
      <c r="A32" s="21" t="inlineStr">
        <is>
          <t>Sources checked</t>
        </is>
      </c>
      <c r="B32" s="23" t="inlineStr">
        <is>
          <t>Form 990 (no member count stated); form 990 part iii</t>
        </is>
      </c>
    </row>
    <row r="33" ht="72" customHeight="1">
      <c r="A33" s="21" t="inlineStr">
        <is>
          <t>What was found</t>
        </is>
      </c>
      <c r="B33" s="23" t="inlineStr">
        <is>
          <t>The Form 990 does not state a member count, so it is sourced from form 990 part iii at medium confidence and only used for per-member metrics, never mixed with the customer (connection) count.</t>
        </is>
      </c>
    </row>
  </sheetData>
  <mergeCells count="4">
    <mergeCell ref="A3:B3"/>
    <mergeCell ref="A2:B2"/>
    <mergeCell ref="A1:B1"/>
    <mergeCell ref="A5:B5"/>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5"/>
  <sheetViews>
    <sheetView workbookViewId="0">
      <pane ySplit="7" topLeftCell="A8" activePane="bottomLeft" state="frozen"/>
      <selection pane="bottomLeft" activeCell="A1" sqref="A1"/>
    </sheetView>
  </sheetViews>
  <sheetFormatPr baseColWidth="8" defaultRowHeight="15"/>
  <cols>
    <col width="30" customWidth="1" min="1" max="1"/>
    <col width="46" customWidth="1" min="2" max="2"/>
    <col width="30" customWidth="1" min="3" max="3"/>
    <col width="10" customWidth="1" min="4" max="4"/>
    <col width="12" customWidth="1" min="5" max="5"/>
    <col width="60" customWidth="1" min="6" max="6"/>
  </cols>
  <sheetData>
    <row r="1">
      <c r="A1" s="1" t="inlineStr">
        <is>
          <t>Oildale Mutual Water Company</t>
        </is>
      </c>
    </row>
    <row r="2">
      <c r="A2" s="2" t="inlineStr">
        <is>
          <t>Water Operations (sourced outside the financial filings)</t>
        </is>
      </c>
    </row>
    <row r="3">
      <c r="A3" s="2" t="inlineStr">
        <is>
          <t>Entity ID: cawc_0006   |   Fiscal year ends June 30.</t>
        </is>
      </c>
    </row>
    <row r="5" ht="42" customHeight="1">
      <c r="A5" s="3" t="inlineStr">
        <is>
          <t>A separate dialect of data from the financial statements: the system's water supply, from the California State Water Board records (the Consumer Confidence Report served by the eAR portal, and SDWIS Drinking Water Watch). Each field carries its source, year, and confidence the same way a financial line item does; a field the source does not state reads 'not reported' with the source still needed. Figures are as reported, never estimated or reconciled across sources.</t>
        </is>
      </c>
    </row>
    <row r="7">
      <c r="A7" s="5" t="inlineStr">
        <is>
          <t>Field</t>
        </is>
      </c>
      <c r="B7" s="5" t="inlineStr">
        <is>
          <t>Value</t>
        </is>
      </c>
      <c r="C7" s="5" t="inlineStr">
        <is>
          <t>Source</t>
        </is>
      </c>
      <c r="D7" s="5" t="inlineStr">
        <is>
          <t>Year</t>
        </is>
      </c>
      <c r="E7" s="5" t="inlineStr">
        <is>
          <t>Confidence</t>
        </is>
      </c>
      <c r="F7" s="5" t="inlineStr">
        <is>
          <t>Source excerpt / cross-source note</t>
        </is>
      </c>
    </row>
    <row r="8" ht="42" customHeight="1">
      <c r="A8" s="8" t="inlineStr">
        <is>
          <t>Water type</t>
        </is>
      </c>
      <c r="B8" s="24" t="inlineStr">
        <is>
          <t>Potable (community drinking water)</t>
        </is>
      </c>
      <c r="C8" s="8" t="inlineStr">
        <is>
          <t>Consumer Confidence Report (State Water Board eAR portal)</t>
        </is>
      </c>
      <c r="D8" s="46" t="n">
        <v>2024</v>
      </c>
      <c r="E8" s="8" t="inlineStr">
        <is>
          <t>high</t>
        </is>
      </c>
      <c r="F8" s="24" t="inlineStr">
        <is>
          <t>2024 Consumer Confidence Report, Oildale Mutual Water Company and North of the River Municipal Water District</t>
        </is>
      </c>
    </row>
    <row r="9" ht="42" customHeight="1">
      <c r="A9" s="8" t="inlineStr">
        <is>
          <t>Source mix</t>
        </is>
      </c>
      <c r="B9" s="24" t="inlineStr">
        <is>
          <t>2024 supply: 8,069 acre-feet purchased treated surface water from the Kern County Water Agency H.C. Garnett Water Purification Plant (sourced from the Friant-Kern Canal, California Aqueduct, or Kern River) plus 1,093 acre-feet pumped from company-owned groundwater wells (peaking and emergency backup).</t>
        </is>
      </c>
      <c r="C9" s="8" t="inlineStr">
        <is>
          <t>Consumer Confidence Report (State Water Board eAR portal)</t>
        </is>
      </c>
      <c r="D9" s="46" t="n">
        <v>2024</v>
      </c>
      <c r="E9" s="8" t="inlineStr">
        <is>
          <t>medium</t>
        </is>
      </c>
      <c r="F9" s="24" t="inlineStr">
        <is>
          <t>In 2024 the Company purchased 8,069 acre-feet of treated surface water from the Kern County Water Agency H.C Garnett Water Purification Plant and pumped 1,093 acre-feet from company owned wells.</t>
        </is>
      </c>
    </row>
    <row r="10" ht="42" customHeight="1">
      <c r="A10" s="8" t="inlineStr">
        <is>
          <t>Annual volume delivered (acre-feet)</t>
        </is>
      </c>
      <c r="B10" s="24" t="inlineStr">
        <is>
          <t>9,162 acre-feet (8,069 purchased treated surface + 1,093 groundwater)</t>
        </is>
      </c>
      <c r="C10" s="8" t="inlineStr">
        <is>
          <t>Consumer Confidence Report (State Water Board eAR portal)</t>
        </is>
      </c>
      <c r="D10" s="46" t="n">
        <v>2024</v>
      </c>
      <c r="E10" s="8" t="inlineStr">
        <is>
          <t>medium</t>
        </is>
      </c>
      <c r="F10" s="24" t="inlineStr">
        <is>
          <t>purchased 8,069 acre-feet of treated surface water ... and pumped 1,093 acre-feet from company owned wells (2024)  [cross-source: Volume is CALENDAR year 2024 (CCR); the Form 990 financials are FISCAL year ending June 30, 2024. The periods overlap but are not identical, so per-acre-foot ratios built from both are approximate and capped at medium confidence. Preserved, not reconciled.]</t>
        </is>
      </c>
    </row>
    <row r="11" ht="42" customHeight="1">
      <c r="A11" s="8" t="inlineStr">
        <is>
          <t>Customer classes served</t>
        </is>
      </c>
      <c r="B11" s="24" t="inlineStr">
        <is>
          <t>Residential, commercial, agricultural, industrial</t>
        </is>
      </c>
      <c r="C11" s="8" t="inlineStr">
        <is>
          <t>SDWIS Drinking Water Watch (State Water Board)</t>
        </is>
      </c>
      <c r="D11" s="46" t="inlineStr">
        <is>
          <t>snapshot</t>
        </is>
      </c>
      <c r="E11" s="8" t="inlineStr">
        <is>
          <t>medium</t>
        </is>
      </c>
      <c r="F11" s="24" t="inlineStr">
        <is>
          <t>Connection classes: RS, CM, AG, IN</t>
        </is>
      </c>
    </row>
    <row r="12" ht="42" customHeight="1">
      <c r="A12" s="8" t="inlineStr">
        <is>
          <t>Service connections (total)</t>
        </is>
      </c>
      <c r="B12" s="24" t="inlineStr">
        <is>
          <t>Residential 12,328 (9,864 + 2,464); Commercial 743; Agricultural 85; Industrial 16</t>
        </is>
      </c>
      <c r="C12" s="8" t="inlineStr">
        <is>
          <t>SDWIS Drinking Water Watch (State Water Board)</t>
        </is>
      </c>
      <c r="D12" s="46" t="inlineStr">
        <is>
          <t>snapshot</t>
        </is>
      </c>
      <c r="E12" s="8" t="inlineStr">
        <is>
          <t>medium</t>
        </is>
      </c>
      <c r="F12" s="24" t="inlineStr">
        <is>
          <t>RS 9,864 + RS 2,464; CM 743; AG 85; IN 16 service connections  [cross-source: SDWIS service connections (about 13,172) differ from the Form 990 member_count (11,500) and the industry figure (about 12,500 connections). Members, connections, and accounts are different bases; all preserved, not reconciled.]</t>
        </is>
      </c>
    </row>
    <row r="13" ht="42" customHeight="1">
      <c r="A13" s="8" t="inlineStr">
        <is>
          <t>Connections by class</t>
        </is>
      </c>
      <c r="B13" s="24" t="inlineStr">
        <is>
          <t>Residential 12,328; Commercial 743; Agricultural 85; Industrial 16</t>
        </is>
      </c>
      <c r="C13" s="8" t="inlineStr">
        <is>
          <t>SDWIS Drinking Water Watch (State Water Board)</t>
        </is>
      </c>
      <c r="D13" s="46" t="inlineStr">
        <is>
          <t>snapshot</t>
        </is>
      </c>
      <c r="E13" s="8" t="inlineStr">
        <is>
          <t>medium</t>
        </is>
      </c>
      <c r="F13" s="24" t="inlineStr">
        <is>
          <t>RS 9,864 + RS 2,464; CM 743; AG 85; IN 16</t>
        </is>
      </c>
    </row>
    <row r="14" ht="42" customHeight="1">
      <c r="A14" s="8" t="inlineStr">
        <is>
          <t>Population served</t>
        </is>
      </c>
      <c r="B14" s="24" t="inlineStr">
        <is>
          <t>44,899</t>
        </is>
      </c>
      <c r="C14" s="8" t="inlineStr">
        <is>
          <t>SDWIS Drinking Water Watch (State Water Board)</t>
        </is>
      </c>
      <c r="D14" s="46" t="inlineStr">
        <is>
          <t>snapshot</t>
        </is>
      </c>
      <c r="E14" s="8" t="inlineStr">
        <is>
          <t>medium</t>
        </is>
      </c>
      <c r="F14" s="24" t="inlineStr">
        <is>
          <t>Population served 44,899  [cross-source: SDWIS population (44,899) differs from the 2024 CCR service-area figure (about 34,133 residents) and tapwaterdata (38,232). Snapshot and reporting periods differ; all preserved, not reconciled.]</t>
        </is>
      </c>
    </row>
    <row r="15" ht="42" customHeight="1">
      <c r="A15" s="8" t="inlineStr">
        <is>
          <t>Treatment and water quality</t>
        </is>
      </c>
      <c r="B15" s="24" t="inlineStr">
        <is>
          <t>Purchased treated surface water from the Kern County Water Agency H.C. Garnett Water Purification Plant (delivered via the North of the River Municipal Water District); company groundwater wells for peaking and backup; chlorine disinfection.</t>
        </is>
      </c>
      <c r="C15" s="8" t="inlineStr">
        <is>
          <t>Consumer Confidence Report (State Water Board eAR portal)</t>
        </is>
      </c>
      <c r="D15" s="46" t="n">
        <v>2024</v>
      </c>
      <c r="E15" s="8" t="inlineStr">
        <is>
          <t>medium</t>
        </is>
      </c>
      <c r="F15" s="24" t="inlineStr">
        <is>
          <t>purchased treated surface water from the Kern County Water Agency H.C Garnett Water Purification Plant ... company owned wells which are presently used for peaking and emergency back-up supply</t>
        </is>
      </c>
    </row>
  </sheetData>
  <mergeCells count="4">
    <mergeCell ref="A3:F3"/>
    <mergeCell ref="A2:F2"/>
    <mergeCell ref="A1:F1"/>
    <mergeCell ref="A5:F5"/>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cols>
    <col width="32" customWidth="1" min="1" max="1"/>
    <col width="96" customWidth="1" min="2" max="2"/>
  </cols>
  <sheetData>
    <row r="1">
      <c r="A1" s="1" t="inlineStr">
        <is>
          <t>Oildale Mutual Water Company</t>
        </is>
      </c>
    </row>
    <row r="2">
      <c r="A2" s="2" t="inlineStr">
        <is>
          <t>Anomaly Flags (automated; kept separate from the clean statements)</t>
        </is>
      </c>
    </row>
    <row r="3">
      <c r="A3" s="2" t="inlineStr">
        <is>
          <t>Entity ID: cawc_0006   |   Fiscal year ends June 30.</t>
        </is>
      </c>
    </row>
    <row r="5" ht="42" customHeight="1">
      <c r="A5" s="3" t="inlineStr">
        <is>
          <t>Material irregularities found automatically in the filed financials by the Hydronomics anomaly flagger. Each flag has two clearly separated layers. WHAT is mechanical, certain, and sourced: the exact filed lines, years, and amounts, carried as filed and never reconciled. WHY is attempted: the filing's own narrative is checked first, and when it states no reason a single best-guess hypothesis is shown, clearly labelled as a guess that is not in the filing and is not a verified figure.</t>
        </is>
      </c>
    </row>
    <row r="7">
      <c r="A7" s="6" t="inlineStr">
        <is>
          <t>Flag: FY2024 expense drop and net income swing</t>
        </is>
      </c>
      <c r="B7" s="7" t="n"/>
    </row>
    <row r="8">
      <c r="A8" s="21" t="inlineStr">
        <is>
          <t>Affected figure</t>
        </is>
      </c>
      <c r="B8" s="23" t="inlineStr">
        <is>
          <t>Total expenses FY2024, Net income FY2024</t>
        </is>
      </c>
    </row>
    <row r="9">
      <c r="A9" s="21" t="inlineStr">
        <is>
          <t>Confidence</t>
        </is>
      </c>
      <c r="B9" s="23" t="inlineStr">
        <is>
          <t>high</t>
        </is>
      </c>
    </row>
    <row r="10" ht="72" customHeight="1">
      <c r="A10" s="21" t="inlineStr">
        <is>
          <t>What happened (filed, sourced)</t>
        </is>
      </c>
      <c r="B10" s="23" t="inlineStr">
        <is>
          <t>FY2024 total functional expenses (Form 990 Part IX line 25) fell to $5,702,750 from $11,023,709 in FY2023, a 48 percent drop, while total revenue (Part VIII line 12) held roughly flat ($11,267,619 vs $11,329,134), so net income (Part I, revenue less expenses) rose to $5,564,869 from $305,425. The drop is concentrated in 2 filer-itemized Other expenses lines (Part IX line 24) present in prior years but absent in FY2024: ANNUAL ENTITLEMENT ($2,098,365 FY2022, $2,314,598 FY2023) and CAPITAL FAC ($1,994,193 FY2022, $1,995,518 FY2023). MISC EXPENSES ($544,912 FY2023) also drops out. Carried as filed and flagged as a documented anomaly, not smoothed; the remaining line-24 movement is left as filed, not reconciled.</t>
        </is>
      </c>
    </row>
    <row r="11" ht="102" customHeight="1">
      <c r="A11" s="21" t="inlineStr">
        <is>
          <t>Source lines</t>
        </is>
      </c>
      <c r="B11" s="23" t="inlineStr">
        <is>
          <t>- Form 990 Part IX line 25 (total functional expenses): $11,023,709 FY2023, $5,702,750 FY2024
- Form 990 Part IX line 24 (ANNUAL ENTITLEMENT): $2,098,365 FY2022; $2,314,598 FY2023; absent FY2024
- Form 990 Part IX line 24 (CAPITAL FAC): $1,994,193 FY2022; $1,995,518 FY2023; absent FY2024
- Form 990 Part IX line 24 (MISC EXPENSES): $544,912 FY2023; absent FY2024
- Form 990 Part VIII line 12 (total revenue): $11,329,134 FY2023, $11,267,619 FY2024
- Form 990 Part I (revenue less expenses): $305,425 FY2023, $5,564,869 FY2024</t>
        </is>
      </c>
    </row>
    <row r="12" ht="72" customHeight="1">
      <c r="A12" s="21" t="inlineStr">
        <is>
          <t>Confidence reasoning</t>
        </is>
      </c>
      <c r="B12" s="23" t="inlineStr">
        <is>
          <t>Every figure is a direct filed line item (Form 990 Part IX lines 25 and 24, Part VIII line 12, Part I), carried as filed from the analytical layer that round-trips to the IRS efile XML. The cause of the swing is addressed in the why layer and is not asserted as fact (prefer-unknown).</t>
        </is>
      </c>
    </row>
    <row r="13">
      <c r="A13" s="21" t="inlineStr">
        <is>
          <t>Why (not stated in the filing)</t>
        </is>
      </c>
      <c r="B13" s="23" t="inlineStr">
        <is>
          <t>The filing does not state a reason.</t>
        </is>
      </c>
    </row>
    <row r="14" ht="60" customHeight="1">
      <c r="A14" s="21" t="inlineStr">
        <is>
          <t>Possible explanation (guess)</t>
        </is>
      </c>
      <c r="B14" s="49" t="inlineStr">
        <is>
          <t>Possible explanation, not stated in filing: ANNUAL ENTITLEMENT, CAPITAL FAC, and MISC EXPENSES being gone in the latest year may reflect a one-time cost that was recorded only in the earlier years, a change in how these costs were labeled or grouped, or a real drop in them. This is an educated guess from the nature of the line items, not something the filing actually says.</t>
        </is>
      </c>
    </row>
  </sheetData>
  <mergeCells count="4">
    <mergeCell ref="A3:B3"/>
    <mergeCell ref="A2:B2"/>
    <mergeCell ref="A1:B1"/>
    <mergeCell ref="A5:B5"/>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213"/>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Oildale Mutual Water Company</t>
        </is>
      </c>
    </row>
    <row r="2">
      <c r="A2" s="2" t="inlineStr">
        <is>
          <t>Sources &amp; audit - full provenance and tie-outs (kept off the statements so they read clean)</t>
        </is>
      </c>
    </row>
    <row r="3">
      <c r="A3" s="2" t="inlineStr">
        <is>
          <t>Entity ID: cawc_0006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5"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46" t="inlineStr">
        <is>
          <t>FY2021</t>
        </is>
      </c>
      <c r="B10" s="8" t="inlineStr">
        <is>
          <t>2021-06-30</t>
        </is>
      </c>
      <c r="C10" s="8" t="inlineStr">
        <is>
          <t>990</t>
        </is>
      </c>
      <c r="D10" s="8" t="inlineStr">
        <is>
          <t>high</t>
        </is>
      </c>
      <c r="E10" s="8" t="inlineStr">
        <is>
          <t>046a3179-12f1-4903-9438-ce613128840b</t>
        </is>
      </c>
      <c r="F10" s="8" t="inlineStr">
        <is>
          <t>202132369349301408</t>
        </is>
      </c>
      <c r="G10" s="8" t="inlineStr">
        <is>
          <t>claude-opus-5</t>
        </is>
      </c>
      <c r="H10" s="8" t="inlineStr">
        <is>
          <t>2026-09-16T21:34:12+00:00</t>
        </is>
      </c>
      <c r="I10" s="8" t="inlineStr">
        <is>
          <t>https://apps.irs.gov/pub/epostcard/990/xml/2021/2021_TEOS_XML_01A.zip#202132369349301408_public.xml</t>
        </is>
      </c>
    </row>
    <row r="11">
      <c r="A11" s="46" t="inlineStr">
        <is>
          <t>FY2022</t>
        </is>
      </c>
      <c r="B11" s="8" t="inlineStr">
        <is>
          <t>2022-06-30</t>
        </is>
      </c>
      <c r="C11" s="8" t="inlineStr">
        <is>
          <t>990</t>
        </is>
      </c>
      <c r="D11" s="8" t="inlineStr">
        <is>
          <t>high</t>
        </is>
      </c>
      <c r="E11" s="8" t="inlineStr">
        <is>
          <t>5a622e97-345b-439d-8786-6b68591bd9ad</t>
        </is>
      </c>
      <c r="F11" s="8" t="inlineStr">
        <is>
          <t>202203279349300140</t>
        </is>
      </c>
      <c r="G11" s="8" t="inlineStr">
        <is>
          <t>claude-opus-5</t>
        </is>
      </c>
      <c r="H11" s="8" t="inlineStr">
        <is>
          <t>2026-09-14T20:40:21+00:00</t>
        </is>
      </c>
      <c r="I11" s="8" t="inlineStr">
        <is>
          <t>https://apps.irs.gov/pub/epostcard/990/xml/2022/2022_TEOS_XML_02A.zip#202203279349300140_public.xml</t>
        </is>
      </c>
    </row>
    <row r="12">
      <c r="A12" s="46" t="inlineStr">
        <is>
          <t>FY2023</t>
        </is>
      </c>
      <c r="B12" s="8" t="inlineStr">
        <is>
          <t>2023-06-30</t>
        </is>
      </c>
      <c r="C12" s="8" t="inlineStr">
        <is>
          <t>990</t>
        </is>
      </c>
      <c r="D12" s="8" t="inlineStr">
        <is>
          <t>high</t>
        </is>
      </c>
      <c r="E12" s="8" t="inlineStr">
        <is>
          <t>8b00f52e-46f3-424e-8b30-2a66a659ce07</t>
        </is>
      </c>
      <c r="F12" s="8" t="inlineStr">
        <is>
          <t>202333209349302378</t>
        </is>
      </c>
      <c r="G12" s="8" t="inlineStr">
        <is>
          <t>claude-opus-5</t>
        </is>
      </c>
      <c r="H12" s="8" t="inlineStr">
        <is>
          <t>2026-09-14T20:40:21+00:00</t>
        </is>
      </c>
      <c r="I12" s="8" t="inlineStr">
        <is>
          <t>https://apps.irs.gov/pub/epostcard/990/xml/2023/2023_TEOS_XML_11A.zip#202333209349302378_public.xml</t>
        </is>
      </c>
    </row>
    <row r="13">
      <c r="A13" s="46" t="inlineStr">
        <is>
          <t>FY2024</t>
        </is>
      </c>
      <c r="B13" s="8" t="inlineStr">
        <is>
          <t>2024-06-30</t>
        </is>
      </c>
      <c r="C13" s="8" t="inlineStr">
        <is>
          <t>990</t>
        </is>
      </c>
      <c r="D13" s="8" t="inlineStr">
        <is>
          <t>high</t>
        </is>
      </c>
      <c r="E13" s="8" t="inlineStr">
        <is>
          <t>3dc2693c-03a3-47c7-a163-7d15a9068f6a</t>
        </is>
      </c>
      <c r="F13" s="8" t="inlineStr">
        <is>
          <t>202442629349300124</t>
        </is>
      </c>
      <c r="G13" s="8" t="inlineStr">
        <is>
          <t>claude-opus-5</t>
        </is>
      </c>
      <c r="H13" s="8" t="inlineStr">
        <is>
          <t>2026-09-14T20:40:21+00:00</t>
        </is>
      </c>
      <c r="I13" s="8" t="inlineStr">
        <is>
          <t>https://apps.irs.gov/pub/epostcard/990/xml/2024/2024_TEOS_XML_09A.zip#202442629349300124_public.xml</t>
        </is>
      </c>
    </row>
    <row r="15">
      <c r="A15" s="45" t="inlineStr">
        <is>
          <t>B. Figure citations (every figure on the statement tabs, keyed by cell)</t>
        </is>
      </c>
      <c r="B15" s="7" t="n"/>
      <c r="C15" s="7" t="n"/>
      <c r="D15" s="7" t="n"/>
      <c r="E15" s="7" t="n"/>
      <c r="F15" s="7" t="n"/>
      <c r="G15" s="7" t="n"/>
      <c r="H15" s="7" t="n"/>
      <c r="I15" s="7" t="n"/>
      <c r="J15" s="7" t="n"/>
      <c r="K15" s="7" t="n"/>
    </row>
    <row r="16">
      <c r="A16" s="5" t="inlineStr">
        <is>
          <t>Tab</t>
        </is>
      </c>
      <c r="B16" s="5" t="inlineStr">
        <is>
          <t>Cell</t>
        </is>
      </c>
      <c r="C16" s="5" t="inlineStr">
        <is>
          <t>Line item</t>
        </is>
      </c>
      <c r="D16" s="5" t="inlineStr">
        <is>
          <t>Form 990 line</t>
        </is>
      </c>
      <c r="E16" s="5" t="inlineStr">
        <is>
          <t>Key path</t>
        </is>
      </c>
      <c r="F16" s="5" t="inlineStr">
        <is>
          <t>Confidence</t>
        </is>
      </c>
      <c r="G16" s="5" t="inlineStr">
        <is>
          <t>As filed</t>
        </is>
      </c>
    </row>
    <row r="17">
      <c r="A17" s="8" t="inlineStr">
        <is>
          <t>Financial Statements</t>
        </is>
      </c>
      <c r="B17" s="8" t="inlineStr">
        <is>
          <t>C73</t>
        </is>
      </c>
      <c r="C17" s="8" t="inlineStr">
        <is>
          <t>11a. Gross income from members or shareholders</t>
        </is>
      </c>
      <c r="D17" s="8" t="inlineStr">
        <is>
          <t>11a</t>
        </is>
      </c>
      <c r="E17" s="8" t="inlineStr">
        <is>
          <t>part_v_other_irs_filings.members_and_shareholders_gross_income</t>
        </is>
      </c>
      <c r="F17" s="8" t="inlineStr">
        <is>
          <t>high</t>
        </is>
      </c>
      <c r="G17" s="9" t="n">
        <v>0</v>
      </c>
    </row>
    <row r="18">
      <c r="A18" s="8" t="inlineStr">
        <is>
          <t>Financial Statements</t>
        </is>
      </c>
      <c r="B18" s="8" t="inlineStr">
        <is>
          <t>D73</t>
        </is>
      </c>
      <c r="C18" s="8" t="inlineStr">
        <is>
          <t>11a. Gross income from members or shareholders</t>
        </is>
      </c>
      <c r="D18" s="8" t="inlineStr">
        <is>
          <t>11a</t>
        </is>
      </c>
      <c r="E18" s="8" t="inlineStr">
        <is>
          <t>part_v_other_irs_filings.members_and_shareholders_gross_income</t>
        </is>
      </c>
      <c r="F18" s="8" t="inlineStr">
        <is>
          <t>high</t>
        </is>
      </c>
      <c r="G18" s="9" t="n">
        <v>0</v>
      </c>
    </row>
    <row r="19">
      <c r="A19" s="8" t="inlineStr">
        <is>
          <t>Financial Statements</t>
        </is>
      </c>
      <c r="B19" s="8" t="inlineStr">
        <is>
          <t>E73</t>
        </is>
      </c>
      <c r="C19" s="8" t="inlineStr">
        <is>
          <t>11a. Gross income from members or shareholders</t>
        </is>
      </c>
      <c r="D19" s="8" t="inlineStr">
        <is>
          <t>11a</t>
        </is>
      </c>
      <c r="E19" s="8" t="inlineStr">
        <is>
          <t>part_v_other_irs_filings.members_and_shareholders_gross_income</t>
        </is>
      </c>
      <c r="F19" s="8" t="inlineStr">
        <is>
          <t>high</t>
        </is>
      </c>
      <c r="G19" s="9" t="n">
        <v>0</v>
      </c>
    </row>
    <row r="20">
      <c r="A20" s="8" t="inlineStr">
        <is>
          <t>Financial Statements</t>
        </is>
      </c>
      <c r="B20" s="8" t="inlineStr">
        <is>
          <t>C74</t>
        </is>
      </c>
      <c r="C20" s="8" t="inlineStr">
        <is>
          <t>11b. Gross income from other sources</t>
        </is>
      </c>
      <c r="D20" s="8" t="inlineStr">
        <is>
          <t>11b</t>
        </is>
      </c>
      <c r="E20" s="8" t="inlineStr">
        <is>
          <t>part_v_other_irs_filings.other_sources_gross_income</t>
        </is>
      </c>
      <c r="F20" s="8" t="inlineStr">
        <is>
          <t>high</t>
        </is>
      </c>
      <c r="G20" s="9" t="n">
        <v>0</v>
      </c>
    </row>
    <row r="21">
      <c r="A21" s="8" t="inlineStr">
        <is>
          <t>Financial Statements</t>
        </is>
      </c>
      <c r="B21" s="8" t="inlineStr">
        <is>
          <t>D74</t>
        </is>
      </c>
      <c r="C21" s="8" t="inlineStr">
        <is>
          <t>11b. Gross income from other sources</t>
        </is>
      </c>
      <c r="D21" s="8" t="inlineStr">
        <is>
          <t>11b</t>
        </is>
      </c>
      <c r="E21" s="8" t="inlineStr">
        <is>
          <t>part_v_other_irs_filings.other_sources_gross_income</t>
        </is>
      </c>
      <c r="F21" s="8" t="inlineStr">
        <is>
          <t>high</t>
        </is>
      </c>
      <c r="G21" s="9" t="n">
        <v>0</v>
      </c>
    </row>
    <row r="22">
      <c r="A22" s="8" t="inlineStr">
        <is>
          <t>Financial Statements</t>
        </is>
      </c>
      <c r="B22" s="8" t="inlineStr">
        <is>
          <t>E74</t>
        </is>
      </c>
      <c r="C22" s="8" t="inlineStr">
        <is>
          <t>11b. Gross income from other sources</t>
        </is>
      </c>
      <c r="D22" s="8" t="inlineStr">
        <is>
          <t>11b</t>
        </is>
      </c>
      <c r="E22" s="8" t="inlineStr">
        <is>
          <t>part_v_other_irs_filings.other_sources_gross_income</t>
        </is>
      </c>
      <c r="F22" s="8" t="inlineStr">
        <is>
          <t>high</t>
        </is>
      </c>
      <c r="G22" s="9" t="n">
        <v>0</v>
      </c>
    </row>
    <row r="23">
      <c r="A23" s="8" t="inlineStr">
        <is>
          <t>Revenue (detail)</t>
        </is>
      </c>
      <c r="B23" s="8" t="inlineStr">
        <is>
          <t>B7</t>
        </is>
      </c>
      <c r="C23" s="8" t="inlineStr">
        <is>
          <t>1h. Total contributions, gifts, grants</t>
        </is>
      </c>
      <c r="D23" s="8" t="inlineStr">
        <is>
          <t>1h</t>
        </is>
      </c>
      <c r="E23" s="8" t="inlineStr">
        <is>
          <t>part_viii_revenue.total_contributions</t>
        </is>
      </c>
      <c r="F23" s="8" t="inlineStr">
        <is>
          <t>high</t>
        </is>
      </c>
      <c r="G23" s="9" t="n">
        <v>0</v>
      </c>
    </row>
    <row r="24">
      <c r="A24" s="8" t="inlineStr">
        <is>
          <t>Revenue (detail)</t>
        </is>
      </c>
      <c r="B24" s="8" t="inlineStr">
        <is>
          <t>B8</t>
        </is>
      </c>
      <c r="C24" s="8" t="inlineStr">
        <is>
          <t>2g. Total program service revenue</t>
        </is>
      </c>
      <c r="D24" s="8" t="inlineStr">
        <is>
          <t>2g</t>
        </is>
      </c>
      <c r="E24" s="8" t="inlineStr">
        <is>
          <t>part_viii_revenue.total_program_service_revenue</t>
        </is>
      </c>
      <c r="F24" s="8" t="inlineStr">
        <is>
          <t>high</t>
        </is>
      </c>
      <c r="G24" s="9" t="n">
        <v>9569181</v>
      </c>
    </row>
    <row r="25">
      <c r="A25" s="8" t="inlineStr">
        <is>
          <t>Revenue (detail)</t>
        </is>
      </c>
      <c r="B25" s="8" t="inlineStr">
        <is>
          <t>C8</t>
        </is>
      </c>
      <c r="C25" s="8" t="inlineStr">
        <is>
          <t>2g. Total program service revenue</t>
        </is>
      </c>
      <c r="D25" s="8" t="inlineStr">
        <is>
          <t>2g</t>
        </is>
      </c>
      <c r="E25" s="8" t="inlineStr">
        <is>
          <t>part_viii_revenue.total_program_service_revenue</t>
        </is>
      </c>
      <c r="F25" s="8" t="inlineStr">
        <is>
          <t>high</t>
        </is>
      </c>
      <c r="G25" s="9" t="n">
        <v>10996285</v>
      </c>
    </row>
    <row r="26">
      <c r="A26" s="8" t="inlineStr">
        <is>
          <t>Revenue (detail)</t>
        </is>
      </c>
      <c r="B26" s="8" t="inlineStr">
        <is>
          <t>D8</t>
        </is>
      </c>
      <c r="C26" s="8" t="inlineStr">
        <is>
          <t>2g. Total program service revenue</t>
        </is>
      </c>
      <c r="D26" s="8" t="inlineStr">
        <is>
          <t>2g</t>
        </is>
      </c>
      <c r="E26" s="8" t="inlineStr">
        <is>
          <t>part_viii_revenue.total_program_service_revenue</t>
        </is>
      </c>
      <c r="F26" s="8" t="inlineStr">
        <is>
          <t>high</t>
        </is>
      </c>
      <c r="G26" s="9" t="n">
        <v>10868355</v>
      </c>
    </row>
    <row r="27">
      <c r="A27" s="8" t="inlineStr">
        <is>
          <t>Revenue (detail)</t>
        </is>
      </c>
      <c r="B27" s="8" t="inlineStr">
        <is>
          <t>E8</t>
        </is>
      </c>
      <c r="C27" s="8" t="inlineStr">
        <is>
          <t>2g. Total program service revenue</t>
        </is>
      </c>
      <c r="D27" s="8" t="inlineStr">
        <is>
          <t>2g</t>
        </is>
      </c>
      <c r="E27" s="8" t="inlineStr">
        <is>
          <t>part_viii_revenue.total_program_service_revenue</t>
        </is>
      </c>
      <c r="F27" s="8" t="inlineStr">
        <is>
          <t>high</t>
        </is>
      </c>
      <c r="G27" s="9" t="n">
        <v>10476825</v>
      </c>
    </row>
    <row r="28">
      <c r="A28" s="8" t="inlineStr">
        <is>
          <t>Revenue (detail)</t>
        </is>
      </c>
      <c r="B28" s="8" t="inlineStr">
        <is>
          <t>B9</t>
        </is>
      </c>
      <c r="C28" s="8" t="inlineStr">
        <is>
          <t>3. Investment income</t>
        </is>
      </c>
      <c r="D28" s="8" t="inlineStr">
        <is>
          <t>3</t>
        </is>
      </c>
      <c r="E28" s="8" t="inlineStr">
        <is>
          <t>part_viii_revenue.investment_income</t>
        </is>
      </c>
      <c r="F28" s="8" t="inlineStr">
        <is>
          <t>high</t>
        </is>
      </c>
      <c r="G28" s="9" t="n">
        <v>32992</v>
      </c>
    </row>
    <row r="29">
      <c r="A29" s="8" t="inlineStr">
        <is>
          <t>Revenue (detail)</t>
        </is>
      </c>
      <c r="B29" s="8" t="inlineStr">
        <is>
          <t>D9</t>
        </is>
      </c>
      <c r="C29" s="8" t="inlineStr">
        <is>
          <t>3. Investment income</t>
        </is>
      </c>
      <c r="D29" s="8" t="inlineStr">
        <is>
          <t>3</t>
        </is>
      </c>
      <c r="E29" s="8" t="inlineStr">
        <is>
          <t>part_viii_revenue.investment_income</t>
        </is>
      </c>
      <c r="F29" s="8" t="inlineStr">
        <is>
          <t>high</t>
        </is>
      </c>
      <c r="G29" s="9" t="n">
        <v>402031</v>
      </c>
    </row>
    <row r="30">
      <c r="A30" s="8" t="inlineStr">
        <is>
          <t>Revenue (detail)</t>
        </is>
      </c>
      <c r="B30" s="8" t="inlineStr">
        <is>
          <t>E9</t>
        </is>
      </c>
      <c r="C30" s="8" t="inlineStr">
        <is>
          <t>3. Investment income</t>
        </is>
      </c>
      <c r="D30" s="8" t="inlineStr">
        <is>
          <t>3</t>
        </is>
      </c>
      <c r="E30" s="8" t="inlineStr">
        <is>
          <t>part_viii_revenue.investment_income</t>
        </is>
      </c>
      <c r="F30" s="8" t="inlineStr">
        <is>
          <t>high</t>
        </is>
      </c>
      <c r="G30" s="9" t="n">
        <v>363479</v>
      </c>
    </row>
    <row r="31">
      <c r="A31" s="8" t="inlineStr">
        <is>
          <t>Revenue (detail)</t>
        </is>
      </c>
      <c r="B31" s="8" t="inlineStr">
        <is>
          <t>B10</t>
        </is>
      </c>
      <c r="C31" s="8" t="inlineStr">
        <is>
          <t>6d. Net rental income</t>
        </is>
      </c>
      <c r="D31" s="8" t="inlineStr">
        <is>
          <t>6d</t>
        </is>
      </c>
      <c r="E31" s="8" t="inlineStr">
        <is>
          <t>part_viii_revenue.net_rental_income</t>
        </is>
      </c>
      <c r="F31" s="8" t="inlineStr">
        <is>
          <t>high</t>
        </is>
      </c>
      <c r="G31" s="9" t="n">
        <v>0</v>
      </c>
    </row>
    <row r="32">
      <c r="A32" s="8" t="inlineStr">
        <is>
          <t>Revenue (detail)</t>
        </is>
      </c>
      <c r="B32" s="8" t="inlineStr">
        <is>
          <t>B11</t>
        </is>
      </c>
      <c r="C32" s="8" t="inlineStr">
        <is>
          <t>7d. Net gain/(loss) from investment sales</t>
        </is>
      </c>
      <c r="D32" s="8" t="inlineStr">
        <is>
          <t>7d</t>
        </is>
      </c>
      <c r="E32" s="8" t="inlineStr">
        <is>
          <t>part_viii_revenue.net_gain_or_loss_investments</t>
        </is>
      </c>
      <c r="F32" s="8" t="inlineStr">
        <is>
          <t>high</t>
        </is>
      </c>
      <c r="G32" s="9" t="n">
        <v>100300</v>
      </c>
    </row>
    <row r="33">
      <c r="A33" s="8" t="inlineStr">
        <is>
          <t>Revenue (detail)</t>
        </is>
      </c>
      <c r="B33" s="8" t="inlineStr">
        <is>
          <t>C11</t>
        </is>
      </c>
      <c r="C33" s="8" t="inlineStr">
        <is>
          <t>7d. Net gain/(loss) from investment sales</t>
        </is>
      </c>
      <c r="D33" s="8" t="inlineStr">
        <is>
          <t>7d</t>
        </is>
      </c>
      <c r="E33" s="8" t="inlineStr">
        <is>
          <t>part_viii_revenue.net_gain_or_loss_investments</t>
        </is>
      </c>
      <c r="F33" s="8" t="inlineStr">
        <is>
          <t>high</t>
        </is>
      </c>
      <c r="G33" s="9" t="n">
        <v>49112</v>
      </c>
    </row>
    <row r="34">
      <c r="A34" s="8" t="inlineStr">
        <is>
          <t>Revenue (detail)</t>
        </is>
      </c>
      <c r="B34" s="8" t="inlineStr">
        <is>
          <t>D11</t>
        </is>
      </c>
      <c r="C34" s="8" t="inlineStr">
        <is>
          <t>7d. Net gain/(loss) from investment sales</t>
        </is>
      </c>
      <c r="D34" s="8" t="inlineStr">
        <is>
          <t>7d</t>
        </is>
      </c>
      <c r="E34" s="8" t="inlineStr">
        <is>
          <t>part_viii_revenue.net_gain_or_loss_investments</t>
        </is>
      </c>
      <c r="F34" s="8" t="inlineStr">
        <is>
          <t>high</t>
        </is>
      </c>
      <c r="G34" s="9" t="n">
        <v>5498</v>
      </c>
    </row>
    <row r="35">
      <c r="A35" s="8" t="inlineStr">
        <is>
          <t>Revenue (detail)</t>
        </is>
      </c>
      <c r="B35" s="8" t="inlineStr">
        <is>
          <t>E11</t>
        </is>
      </c>
      <c r="C35" s="8" t="inlineStr">
        <is>
          <t>7d. Net gain/(loss) from investment sales</t>
        </is>
      </c>
      <c r="D35" s="8" t="inlineStr">
        <is>
          <t>7d</t>
        </is>
      </c>
      <c r="E35" s="8" t="inlineStr">
        <is>
          <t>part_viii_revenue.net_gain_or_loss_investments</t>
        </is>
      </c>
      <c r="F35" s="8" t="inlineStr">
        <is>
          <t>high</t>
        </is>
      </c>
      <c r="G35" s="9" t="n">
        <v>49641</v>
      </c>
    </row>
    <row r="36">
      <c r="A36" s="8" t="inlineStr">
        <is>
          <t>Revenue (detail)</t>
        </is>
      </c>
      <c r="B36" s="8" t="inlineStr">
        <is>
          <t>B12</t>
        </is>
      </c>
      <c r="C36" s="8" t="inlineStr">
        <is>
          <t>11e. Other revenue</t>
        </is>
      </c>
      <c r="D36" s="8" t="inlineStr">
        <is>
          <t>11e</t>
        </is>
      </c>
      <c r="E36" s="8" t="inlineStr">
        <is>
          <t>part_viii_revenue.other_revenue_total</t>
        </is>
      </c>
      <c r="F36" s="8" t="inlineStr">
        <is>
          <t>high</t>
        </is>
      </c>
      <c r="G36" s="9" t="n">
        <v>0</v>
      </c>
    </row>
    <row r="37">
      <c r="A37" s="8" t="inlineStr">
        <is>
          <t>Revenue (detail)</t>
        </is>
      </c>
      <c r="B37" s="8" t="inlineStr">
        <is>
          <t>D12</t>
        </is>
      </c>
      <c r="C37" s="8" t="inlineStr">
        <is>
          <t>11e. Other revenue</t>
        </is>
      </c>
      <c r="D37" s="8" t="inlineStr">
        <is>
          <t>11e</t>
        </is>
      </c>
      <c r="E37" s="8" t="inlineStr">
        <is>
          <t>part_viii_revenue.other_revenue_total</t>
        </is>
      </c>
      <c r="F37" s="8" t="inlineStr">
        <is>
          <t>high</t>
        </is>
      </c>
      <c r="G37" s="9" t="n">
        <v>53250</v>
      </c>
    </row>
    <row r="38">
      <c r="A38" s="8" t="inlineStr">
        <is>
          <t>Revenue (detail)</t>
        </is>
      </c>
      <c r="B38" s="8" t="inlineStr">
        <is>
          <t>E12</t>
        </is>
      </c>
      <c r="C38" s="8" t="inlineStr">
        <is>
          <t>11e. Other revenue</t>
        </is>
      </c>
      <c r="D38" s="8" t="inlineStr">
        <is>
          <t>11e</t>
        </is>
      </c>
      <c r="E38" s="8" t="inlineStr">
        <is>
          <t>part_viii_revenue.other_revenue_total</t>
        </is>
      </c>
      <c r="F38" s="8" t="inlineStr">
        <is>
          <t>high</t>
        </is>
      </c>
      <c r="G38" s="9" t="n">
        <v>377674</v>
      </c>
    </row>
    <row r="39">
      <c r="A39" s="8" t="inlineStr">
        <is>
          <t>Operating expenses (detail)</t>
        </is>
      </c>
      <c r="B39" s="8" t="inlineStr">
        <is>
          <t>B7</t>
        </is>
      </c>
      <c r="C39" s="8" t="inlineStr">
        <is>
          <t>1. Grants to domestic organizations and governments</t>
        </is>
      </c>
      <c r="D39" s="8" t="inlineStr">
        <is>
          <t>1</t>
        </is>
      </c>
      <c r="E39" s="8" t="inlineStr">
        <is>
          <t>part_ix_expenses.grants_domestic_orgs</t>
        </is>
      </c>
      <c r="F39" s="8" t="inlineStr">
        <is>
          <t>high</t>
        </is>
      </c>
      <c r="G39" s="9" t="n">
        <v>0</v>
      </c>
    </row>
    <row r="40">
      <c r="A40" s="8" t="inlineStr">
        <is>
          <t>Operating expenses (detail)</t>
        </is>
      </c>
      <c r="B40" s="8" t="inlineStr">
        <is>
          <t>B8</t>
        </is>
      </c>
      <c r="C40" s="8" t="inlineStr">
        <is>
          <t>2. Grants to domestic individuals</t>
        </is>
      </c>
      <c r="D40" s="8" t="inlineStr">
        <is>
          <t>2</t>
        </is>
      </c>
      <c r="E40" s="8" t="inlineStr">
        <is>
          <t>part_ix_expenses.grants_domestic_individuals</t>
        </is>
      </c>
      <c r="F40" s="8" t="inlineStr">
        <is>
          <t>high</t>
        </is>
      </c>
      <c r="G40" s="9" t="n">
        <v>0</v>
      </c>
    </row>
    <row r="41">
      <c r="A41" s="8" t="inlineStr">
        <is>
          <t>Operating expenses (detail)</t>
        </is>
      </c>
      <c r="B41" s="8" t="inlineStr">
        <is>
          <t>B9</t>
        </is>
      </c>
      <c r="C41" s="8" t="inlineStr">
        <is>
          <t>3. Grants to foreign organizations and individuals</t>
        </is>
      </c>
      <c r="D41" s="8" t="inlineStr">
        <is>
          <t>3</t>
        </is>
      </c>
      <c r="E41" s="8" t="inlineStr">
        <is>
          <t>part_ix_expenses.foreign_grants</t>
        </is>
      </c>
      <c r="F41" s="8" t="inlineStr">
        <is>
          <t>high</t>
        </is>
      </c>
      <c r="G41" s="9" t="n">
        <v>0</v>
      </c>
    </row>
    <row r="42">
      <c r="A42" s="8" t="inlineStr">
        <is>
          <t>Operating expenses (detail)</t>
        </is>
      </c>
      <c r="B42" s="8" t="inlineStr">
        <is>
          <t>B10</t>
        </is>
      </c>
      <c r="C42" s="8" t="inlineStr">
        <is>
          <t>4. Benefits paid to or for members</t>
        </is>
      </c>
      <c r="D42" s="8" t="inlineStr">
        <is>
          <t>4</t>
        </is>
      </c>
      <c r="E42" s="8" t="inlineStr">
        <is>
          <t>part_ix_expenses.benefits_to_members</t>
        </is>
      </c>
      <c r="F42" s="8" t="inlineStr">
        <is>
          <t>high</t>
        </is>
      </c>
      <c r="G42" s="9" t="n">
        <v>0</v>
      </c>
    </row>
    <row r="43">
      <c r="A43" s="8" t="inlineStr">
        <is>
          <t>Operating expenses (detail)</t>
        </is>
      </c>
      <c r="B43" s="8" t="inlineStr">
        <is>
          <t>B11</t>
        </is>
      </c>
      <c r="C43" s="8" t="inlineStr">
        <is>
          <t>5. Compensation of current officers, directors, trustees</t>
        </is>
      </c>
      <c r="D43" s="8" t="inlineStr">
        <is>
          <t>5</t>
        </is>
      </c>
      <c r="E43" s="8" t="inlineStr">
        <is>
          <t>part_ix_expenses.comp_current_officers</t>
        </is>
      </c>
      <c r="F43" s="8" t="inlineStr">
        <is>
          <t>high</t>
        </is>
      </c>
      <c r="G43" s="9" t="n">
        <v>289486</v>
      </c>
    </row>
    <row r="44">
      <c r="A44" s="8" t="inlineStr">
        <is>
          <t>Operating expenses (detail)</t>
        </is>
      </c>
      <c r="B44" s="8" t="inlineStr">
        <is>
          <t>C11</t>
        </is>
      </c>
      <c r="C44" s="8" t="inlineStr">
        <is>
          <t>5. Compensation of current officers, directors, trustees</t>
        </is>
      </c>
      <c r="D44" s="8" t="inlineStr">
        <is>
          <t>5</t>
        </is>
      </c>
      <c r="E44" s="8" t="inlineStr">
        <is>
          <t>part_ix_expenses.comp_current_officers</t>
        </is>
      </c>
      <c r="F44" s="8" t="inlineStr">
        <is>
          <t>high</t>
        </is>
      </c>
      <c r="G44" s="9" t="n">
        <v>690828</v>
      </c>
    </row>
    <row r="45">
      <c r="A45" s="8" t="inlineStr">
        <is>
          <t>Operating expenses (detail)</t>
        </is>
      </c>
      <c r="B45" s="8" t="inlineStr">
        <is>
          <t>D11</t>
        </is>
      </c>
      <c r="C45" s="8" t="inlineStr">
        <is>
          <t>5. Compensation of current officers, directors, trustees</t>
        </is>
      </c>
      <c r="D45" s="8" t="inlineStr">
        <is>
          <t>5</t>
        </is>
      </c>
      <c r="E45" s="8" t="inlineStr">
        <is>
          <t>part_ix_expenses.comp_current_officers</t>
        </is>
      </c>
      <c r="F45" s="8" t="inlineStr">
        <is>
          <t>high</t>
        </is>
      </c>
      <c r="G45" s="9" t="n">
        <v>492249</v>
      </c>
    </row>
    <row r="46">
      <c r="A46" s="8" t="inlineStr">
        <is>
          <t>Operating expenses (detail)</t>
        </is>
      </c>
      <c r="B46" s="8" t="inlineStr">
        <is>
          <t>E11</t>
        </is>
      </c>
      <c r="C46" s="8" t="inlineStr">
        <is>
          <t>5. Compensation of current officers, directors, trustees</t>
        </is>
      </c>
      <c r="D46" s="8" t="inlineStr">
        <is>
          <t>5</t>
        </is>
      </c>
      <c r="E46" s="8" t="inlineStr">
        <is>
          <t>part_ix_expenses.comp_current_officers</t>
        </is>
      </c>
      <c r="F46" s="8" t="inlineStr">
        <is>
          <t>high</t>
        </is>
      </c>
      <c r="G46" s="9" t="n">
        <v>552994</v>
      </c>
    </row>
    <row r="47">
      <c r="A47" s="8" t="inlineStr">
        <is>
          <t>Operating expenses (detail)</t>
        </is>
      </c>
      <c r="B47" s="8" t="inlineStr">
        <is>
          <t>B12</t>
        </is>
      </c>
      <c r="C47" s="8" t="inlineStr">
        <is>
          <t>6. Compensation to disqualified persons</t>
        </is>
      </c>
      <c r="D47" s="8" t="inlineStr">
        <is>
          <t>6</t>
        </is>
      </c>
      <c r="E47" s="8" t="inlineStr">
        <is>
          <t>part_ix_expenses.comp_disqualified_persons</t>
        </is>
      </c>
      <c r="F47" s="8" t="inlineStr">
        <is>
          <t>high</t>
        </is>
      </c>
      <c r="G47" s="9" t="n">
        <v>0</v>
      </c>
    </row>
    <row r="48">
      <c r="A48" s="8" t="inlineStr">
        <is>
          <t>Operating expenses (detail)</t>
        </is>
      </c>
      <c r="B48" s="8" t="inlineStr">
        <is>
          <t>B13</t>
        </is>
      </c>
      <c r="C48" s="8" t="inlineStr">
        <is>
          <t>7. Other salaries and wages</t>
        </is>
      </c>
      <c r="D48" s="8" t="inlineStr">
        <is>
          <t>7</t>
        </is>
      </c>
      <c r="E48" s="8" t="inlineStr">
        <is>
          <t>part_ix_expenses.other_salaries_and_wages</t>
        </is>
      </c>
      <c r="F48" s="8" t="inlineStr">
        <is>
          <t>high</t>
        </is>
      </c>
      <c r="G48" s="9" t="n">
        <v>1195777</v>
      </c>
    </row>
    <row r="49">
      <c r="A49" s="8" t="inlineStr">
        <is>
          <t>Operating expenses (detail)</t>
        </is>
      </c>
      <c r="B49" s="8" t="inlineStr">
        <is>
          <t>C13</t>
        </is>
      </c>
      <c r="C49" s="8" t="inlineStr">
        <is>
          <t>7. Other salaries and wages</t>
        </is>
      </c>
      <c r="D49" s="8" t="inlineStr">
        <is>
          <t>7</t>
        </is>
      </c>
      <c r="E49" s="8" t="inlineStr">
        <is>
          <t>part_ix_expenses.other_salaries_and_wages</t>
        </is>
      </c>
      <c r="F49" s="8" t="inlineStr">
        <is>
          <t>high</t>
        </is>
      </c>
      <c r="G49" s="9" t="n">
        <v>931891</v>
      </c>
    </row>
    <row r="50">
      <c r="A50" s="8" t="inlineStr">
        <is>
          <t>Operating expenses (detail)</t>
        </is>
      </c>
      <c r="B50" s="8" t="inlineStr">
        <is>
          <t>D13</t>
        </is>
      </c>
      <c r="C50" s="8" t="inlineStr">
        <is>
          <t>7. Other salaries and wages</t>
        </is>
      </c>
      <c r="D50" s="8" t="inlineStr">
        <is>
          <t>7</t>
        </is>
      </c>
      <c r="E50" s="8" t="inlineStr">
        <is>
          <t>part_ix_expenses.other_salaries_and_wages</t>
        </is>
      </c>
      <c r="F50" s="8" t="inlineStr">
        <is>
          <t>high</t>
        </is>
      </c>
      <c r="G50" s="9" t="n">
        <v>1182252</v>
      </c>
    </row>
    <row r="51">
      <c r="A51" s="8" t="inlineStr">
        <is>
          <t>Operating expenses (detail)</t>
        </is>
      </c>
      <c r="B51" s="8" t="inlineStr">
        <is>
          <t>E13</t>
        </is>
      </c>
      <c r="C51" s="8" t="inlineStr">
        <is>
          <t>7. Other salaries and wages</t>
        </is>
      </c>
      <c r="D51" s="8" t="inlineStr">
        <is>
          <t>7</t>
        </is>
      </c>
      <c r="E51" s="8" t="inlineStr">
        <is>
          <t>part_ix_expenses.other_salaries_and_wages</t>
        </is>
      </c>
      <c r="F51" s="8" t="inlineStr">
        <is>
          <t>high</t>
        </is>
      </c>
      <c r="G51" s="9" t="n">
        <v>1060074</v>
      </c>
    </row>
    <row r="52">
      <c r="A52" s="8" t="inlineStr">
        <is>
          <t>Operating expenses (detail)</t>
        </is>
      </c>
      <c r="B52" s="8" t="inlineStr">
        <is>
          <t>B14</t>
        </is>
      </c>
      <c r="C52" s="8" t="inlineStr">
        <is>
          <t>8. Pension plan accruals and contributions</t>
        </is>
      </c>
      <c r="D52" s="8" t="inlineStr">
        <is>
          <t>8</t>
        </is>
      </c>
      <c r="E52" s="8" t="inlineStr">
        <is>
          <t>part_ix_expenses.pension_plan_contributions</t>
        </is>
      </c>
      <c r="F52" s="8" t="inlineStr">
        <is>
          <t>high</t>
        </is>
      </c>
      <c r="G52" s="9" t="n">
        <v>94623</v>
      </c>
    </row>
    <row r="53">
      <c r="A53" s="8" t="inlineStr">
        <is>
          <t>Operating expenses (detail)</t>
        </is>
      </c>
      <c r="B53" s="8" t="inlineStr">
        <is>
          <t>C14</t>
        </is>
      </c>
      <c r="C53" s="8" t="inlineStr">
        <is>
          <t>8. Pension plan accruals and contributions</t>
        </is>
      </c>
      <c r="D53" s="8" t="inlineStr">
        <is>
          <t>8</t>
        </is>
      </c>
      <c r="E53" s="8" t="inlineStr">
        <is>
          <t>part_ix_expenses.pension_plan_contributions</t>
        </is>
      </c>
      <c r="F53" s="8" t="inlineStr">
        <is>
          <t>high</t>
        </is>
      </c>
      <c r="G53" s="9" t="n">
        <v>93471</v>
      </c>
    </row>
    <row r="54">
      <c r="A54" s="8" t="inlineStr">
        <is>
          <t>Operating expenses (detail)</t>
        </is>
      </c>
      <c r="B54" s="8" t="inlineStr">
        <is>
          <t>D14</t>
        </is>
      </c>
      <c r="C54" s="8" t="inlineStr">
        <is>
          <t>8. Pension plan accruals and contributions</t>
        </is>
      </c>
      <c r="D54" s="8" t="inlineStr">
        <is>
          <t>8</t>
        </is>
      </c>
      <c r="E54" s="8" t="inlineStr">
        <is>
          <t>part_ix_expenses.pension_plan_contributions</t>
        </is>
      </c>
      <c r="F54" s="8" t="inlineStr">
        <is>
          <t>high</t>
        </is>
      </c>
      <c r="G54" s="9" t="n">
        <v>121241</v>
      </c>
    </row>
    <row r="55">
      <c r="A55" s="8" t="inlineStr">
        <is>
          <t>Operating expenses (detail)</t>
        </is>
      </c>
      <c r="B55" s="8" t="inlineStr">
        <is>
          <t>E14</t>
        </is>
      </c>
      <c r="C55" s="8" t="inlineStr">
        <is>
          <t>8. Pension plan accruals and contributions</t>
        </is>
      </c>
      <c r="D55" s="8" t="inlineStr">
        <is>
          <t>8</t>
        </is>
      </c>
      <c r="E55" s="8" t="inlineStr">
        <is>
          <t>part_ix_expenses.pension_plan_contributions</t>
        </is>
      </c>
      <c r="F55" s="8" t="inlineStr">
        <is>
          <t>high</t>
        </is>
      </c>
      <c r="G55" s="9" t="n">
        <v>94513</v>
      </c>
    </row>
    <row r="56">
      <c r="A56" s="8" t="inlineStr">
        <is>
          <t>Operating expenses (detail)</t>
        </is>
      </c>
      <c r="B56" s="8" t="inlineStr">
        <is>
          <t>B15</t>
        </is>
      </c>
      <c r="C56" s="8" t="inlineStr">
        <is>
          <t>9. Other employee benefits</t>
        </is>
      </c>
      <c r="D56" s="8" t="inlineStr">
        <is>
          <t>9</t>
        </is>
      </c>
      <c r="E56" s="8" t="inlineStr">
        <is>
          <t>part_ix_expenses.other_employee_benefits</t>
        </is>
      </c>
      <c r="F56" s="8" t="inlineStr">
        <is>
          <t>high</t>
        </is>
      </c>
      <c r="G56" s="9" t="n">
        <v>386076</v>
      </c>
    </row>
    <row r="57">
      <c r="A57" s="8" t="inlineStr">
        <is>
          <t>Operating expenses (detail)</t>
        </is>
      </c>
      <c r="B57" s="8" t="inlineStr">
        <is>
          <t>C15</t>
        </is>
      </c>
      <c r="C57" s="8" t="inlineStr">
        <is>
          <t>9. Other employee benefits</t>
        </is>
      </c>
      <c r="D57" s="8" t="inlineStr">
        <is>
          <t>9</t>
        </is>
      </c>
      <c r="E57" s="8" t="inlineStr">
        <is>
          <t>part_ix_expenses.other_employee_benefits</t>
        </is>
      </c>
      <c r="F57" s="8" t="inlineStr">
        <is>
          <t>high</t>
        </is>
      </c>
      <c r="G57" s="9" t="n">
        <v>296222</v>
      </c>
    </row>
    <row r="58">
      <c r="A58" s="8" t="inlineStr">
        <is>
          <t>Operating expenses (detail)</t>
        </is>
      </c>
      <c r="B58" s="8" t="inlineStr">
        <is>
          <t>D15</t>
        </is>
      </c>
      <c r="C58" s="8" t="inlineStr">
        <is>
          <t>9. Other employee benefits</t>
        </is>
      </c>
      <c r="D58" s="8" t="inlineStr">
        <is>
          <t>9</t>
        </is>
      </c>
      <c r="E58" s="8" t="inlineStr">
        <is>
          <t>part_ix_expenses.other_employee_benefits</t>
        </is>
      </c>
      <c r="F58" s="8" t="inlineStr">
        <is>
          <t>high</t>
        </is>
      </c>
      <c r="G58" s="9" t="n">
        <v>318406</v>
      </c>
    </row>
    <row r="59">
      <c r="A59" s="8" t="inlineStr">
        <is>
          <t>Operating expenses (detail)</t>
        </is>
      </c>
      <c r="B59" s="8" t="inlineStr">
        <is>
          <t>E15</t>
        </is>
      </c>
      <c r="C59" s="8" t="inlineStr">
        <is>
          <t>9. Other employee benefits</t>
        </is>
      </c>
      <c r="D59" s="8" t="inlineStr">
        <is>
          <t>9</t>
        </is>
      </c>
      <c r="E59" s="8" t="inlineStr">
        <is>
          <t>part_ix_expenses.other_employee_benefits</t>
        </is>
      </c>
      <c r="F59" s="8" t="inlineStr">
        <is>
          <t>high</t>
        </is>
      </c>
      <c r="G59" s="9" t="n">
        <v>318151</v>
      </c>
    </row>
    <row r="60">
      <c r="A60" s="8" t="inlineStr">
        <is>
          <t>Operating expenses (detail)</t>
        </is>
      </c>
      <c r="B60" s="8" t="inlineStr">
        <is>
          <t>B16</t>
        </is>
      </c>
      <c r="C60" s="8" t="inlineStr">
        <is>
          <t>10. Payroll taxes</t>
        </is>
      </c>
      <c r="D60" s="8" t="inlineStr">
        <is>
          <t>10</t>
        </is>
      </c>
      <c r="E60" s="8" t="inlineStr">
        <is>
          <t>part_ix_expenses.payroll_taxes</t>
        </is>
      </c>
      <c r="F60" s="8" t="inlineStr">
        <is>
          <t>high</t>
        </is>
      </c>
      <c r="G60" s="9" t="n">
        <v>103269</v>
      </c>
    </row>
    <row r="61">
      <c r="A61" s="8" t="inlineStr">
        <is>
          <t>Operating expenses (detail)</t>
        </is>
      </c>
      <c r="B61" s="8" t="inlineStr">
        <is>
          <t>C16</t>
        </is>
      </c>
      <c r="C61" s="8" t="inlineStr">
        <is>
          <t>10. Payroll taxes</t>
        </is>
      </c>
      <c r="D61" s="8" t="inlineStr">
        <is>
          <t>10</t>
        </is>
      </c>
      <c r="E61" s="8" t="inlineStr">
        <is>
          <t>part_ix_expenses.payroll_taxes</t>
        </is>
      </c>
      <c r="F61" s="8" t="inlineStr">
        <is>
          <t>high</t>
        </is>
      </c>
      <c r="G61" s="9" t="n">
        <v>120308</v>
      </c>
    </row>
    <row r="62">
      <c r="A62" s="8" t="inlineStr">
        <is>
          <t>Operating expenses (detail)</t>
        </is>
      </c>
      <c r="B62" s="8" t="inlineStr">
        <is>
          <t>D16</t>
        </is>
      </c>
      <c r="C62" s="8" t="inlineStr">
        <is>
          <t>10. Payroll taxes</t>
        </is>
      </c>
      <c r="D62" s="8" t="inlineStr">
        <is>
          <t>10</t>
        </is>
      </c>
      <c r="E62" s="8" t="inlineStr">
        <is>
          <t>part_ix_expenses.payroll_taxes</t>
        </is>
      </c>
      <c r="F62" s="8" t="inlineStr">
        <is>
          <t>high</t>
        </is>
      </c>
      <c r="G62" s="9" t="n">
        <v>125860</v>
      </c>
    </row>
    <row r="63">
      <c r="A63" s="8" t="inlineStr">
        <is>
          <t>Operating expenses (detail)</t>
        </is>
      </c>
      <c r="B63" s="8" t="inlineStr">
        <is>
          <t>E16</t>
        </is>
      </c>
      <c r="C63" s="8" t="inlineStr">
        <is>
          <t>10. Payroll taxes</t>
        </is>
      </c>
      <c r="D63" s="8" t="inlineStr">
        <is>
          <t>10</t>
        </is>
      </c>
      <c r="E63" s="8" t="inlineStr">
        <is>
          <t>part_ix_expenses.payroll_taxes</t>
        </is>
      </c>
      <c r="F63" s="8" t="inlineStr">
        <is>
          <t>high</t>
        </is>
      </c>
      <c r="G63" s="9" t="n">
        <v>133121</v>
      </c>
    </row>
    <row r="64">
      <c r="A64" s="8" t="inlineStr">
        <is>
          <t>Operating expenses (detail)</t>
        </is>
      </c>
      <c r="B64" s="8" t="inlineStr">
        <is>
          <t>B17</t>
        </is>
      </c>
      <c r="C64" s="8" t="inlineStr">
        <is>
          <t>11a. Fees for services: management</t>
        </is>
      </c>
      <c r="D64" s="8" t="inlineStr">
        <is>
          <t>11a</t>
        </is>
      </c>
      <c r="E64" s="8" t="inlineStr">
        <is>
          <t>part_ix_expenses.fees_management</t>
        </is>
      </c>
      <c r="F64" s="8" t="inlineStr">
        <is>
          <t>high</t>
        </is>
      </c>
      <c r="G64" s="9" t="n">
        <v>0</v>
      </c>
    </row>
    <row r="65">
      <c r="A65" s="8" t="inlineStr">
        <is>
          <t>Operating expenses (detail)</t>
        </is>
      </c>
      <c r="B65" s="8" t="inlineStr">
        <is>
          <t>B18</t>
        </is>
      </c>
      <c r="C65" s="8" t="inlineStr">
        <is>
          <t>11b. Fees for services: legal</t>
        </is>
      </c>
      <c r="D65" s="8" t="inlineStr">
        <is>
          <t>11b</t>
        </is>
      </c>
      <c r="E65" s="8" t="inlineStr">
        <is>
          <t>part_ix_expenses.fees_legal</t>
        </is>
      </c>
      <c r="F65" s="8" t="inlineStr">
        <is>
          <t>high</t>
        </is>
      </c>
      <c r="G65" s="9" t="n">
        <v>27060</v>
      </c>
    </row>
    <row r="66">
      <c r="A66" s="8" t="inlineStr">
        <is>
          <t>Operating expenses (detail)</t>
        </is>
      </c>
      <c r="B66" s="8" t="inlineStr">
        <is>
          <t>C18</t>
        </is>
      </c>
      <c r="C66" s="8" t="inlineStr">
        <is>
          <t>11b. Fees for services: legal</t>
        </is>
      </c>
      <c r="D66" s="8" t="inlineStr">
        <is>
          <t>11b</t>
        </is>
      </c>
      <c r="E66" s="8" t="inlineStr">
        <is>
          <t>part_ix_expenses.fees_legal</t>
        </is>
      </c>
      <c r="F66" s="8" t="inlineStr">
        <is>
          <t>high</t>
        </is>
      </c>
      <c r="G66" s="9" t="n">
        <v>45048</v>
      </c>
    </row>
    <row r="67">
      <c r="A67" s="8" t="inlineStr">
        <is>
          <t>Operating expenses (detail)</t>
        </is>
      </c>
      <c r="B67" s="8" t="inlineStr">
        <is>
          <t>D18</t>
        </is>
      </c>
      <c r="C67" s="8" t="inlineStr">
        <is>
          <t>11b. Fees for services: legal</t>
        </is>
      </c>
      <c r="D67" s="8" t="inlineStr">
        <is>
          <t>11b</t>
        </is>
      </c>
      <c r="E67" s="8" t="inlineStr">
        <is>
          <t>part_ix_expenses.fees_legal</t>
        </is>
      </c>
      <c r="F67" s="8" t="inlineStr">
        <is>
          <t>high</t>
        </is>
      </c>
      <c r="G67" s="9" t="n">
        <v>196450</v>
      </c>
    </row>
    <row r="68">
      <c r="A68" s="8" t="inlineStr">
        <is>
          <t>Operating expenses (detail)</t>
        </is>
      </c>
      <c r="B68" s="8" t="inlineStr">
        <is>
          <t>E18</t>
        </is>
      </c>
      <c r="C68" s="8" t="inlineStr">
        <is>
          <t>11b. Fees for services: legal</t>
        </is>
      </c>
      <c r="D68" s="8" t="inlineStr">
        <is>
          <t>11b</t>
        </is>
      </c>
      <c r="E68" s="8" t="inlineStr">
        <is>
          <t>part_ix_expenses.fees_legal</t>
        </is>
      </c>
      <c r="F68" s="8" t="inlineStr">
        <is>
          <t>high</t>
        </is>
      </c>
      <c r="G68" s="9" t="n">
        <v>293826</v>
      </c>
    </row>
    <row r="69">
      <c r="A69" s="8" t="inlineStr">
        <is>
          <t>Operating expenses (detail)</t>
        </is>
      </c>
      <c r="B69" s="8" t="inlineStr">
        <is>
          <t>B19</t>
        </is>
      </c>
      <c r="C69" s="8" t="inlineStr">
        <is>
          <t>11c. Fees for services: accounting</t>
        </is>
      </c>
      <c r="D69" s="8" t="inlineStr">
        <is>
          <t>11c</t>
        </is>
      </c>
      <c r="E69" s="8" t="inlineStr">
        <is>
          <t>part_ix_expenses.fees_accounting</t>
        </is>
      </c>
      <c r="F69" s="8" t="inlineStr">
        <is>
          <t>high</t>
        </is>
      </c>
      <c r="G69" s="9" t="n">
        <v>33830</v>
      </c>
    </row>
    <row r="70">
      <c r="A70" s="8" t="inlineStr">
        <is>
          <t>Operating expenses (detail)</t>
        </is>
      </c>
      <c r="B70" s="8" t="inlineStr">
        <is>
          <t>B20</t>
        </is>
      </c>
      <c r="C70" s="8" t="inlineStr">
        <is>
          <t>11d. Fees for services: lobbying</t>
        </is>
      </c>
      <c r="D70" s="8" t="inlineStr">
        <is>
          <t>11d</t>
        </is>
      </c>
      <c r="E70" s="8" t="inlineStr">
        <is>
          <t>part_ix_expenses.fees_lobbying</t>
        </is>
      </c>
      <c r="F70" s="8" t="inlineStr">
        <is>
          <t>high</t>
        </is>
      </c>
      <c r="G70" s="9" t="n">
        <v>0</v>
      </c>
    </row>
    <row r="71">
      <c r="A71" s="8" t="inlineStr">
        <is>
          <t>Operating expenses (detail)</t>
        </is>
      </c>
      <c r="B71" s="8" t="inlineStr">
        <is>
          <t>B21</t>
        </is>
      </c>
      <c r="C71" s="8" t="inlineStr">
        <is>
          <t>11e. Fees for services: professional fundraising</t>
        </is>
      </c>
      <c r="D71" s="8" t="inlineStr">
        <is>
          <t>11e</t>
        </is>
      </c>
      <c r="E71" s="8" t="inlineStr">
        <is>
          <t>part_ix_expenses.fees_prof_fundraising</t>
        </is>
      </c>
      <c r="F71" s="8" t="inlineStr">
        <is>
          <t>high</t>
        </is>
      </c>
      <c r="G71" s="9" t="n">
        <v>0</v>
      </c>
    </row>
    <row r="72">
      <c r="A72" s="8" t="inlineStr">
        <is>
          <t>Operating expenses (detail)</t>
        </is>
      </c>
      <c r="B72" s="8" t="inlineStr">
        <is>
          <t>B22</t>
        </is>
      </c>
      <c r="C72" s="8" t="inlineStr">
        <is>
          <t>11f. Fees for services: investment management</t>
        </is>
      </c>
      <c r="D72" s="8" t="inlineStr">
        <is>
          <t>11f</t>
        </is>
      </c>
      <c r="E72" s="8" t="inlineStr">
        <is>
          <t>part_ix_expenses.fees_investment_mgmt</t>
        </is>
      </c>
      <c r="F72" s="8" t="inlineStr">
        <is>
          <t>high</t>
        </is>
      </c>
      <c r="G72" s="9" t="n">
        <v>0</v>
      </c>
    </row>
    <row r="73">
      <c r="A73" s="8" t="inlineStr">
        <is>
          <t>Operating expenses (detail)</t>
        </is>
      </c>
      <c r="B73" s="8" t="inlineStr">
        <is>
          <t>B23</t>
        </is>
      </c>
      <c r="C73" s="8" t="inlineStr">
        <is>
          <t>11g. Fees for services: other</t>
        </is>
      </c>
      <c r="D73" s="8" t="inlineStr">
        <is>
          <t>11g</t>
        </is>
      </c>
      <c r="E73" s="8" t="inlineStr">
        <is>
          <t>part_ix_expenses.fees_other</t>
        </is>
      </c>
      <c r="F73" s="8" t="inlineStr">
        <is>
          <t>high</t>
        </is>
      </c>
      <c r="G73" s="9" t="n">
        <v>0</v>
      </c>
    </row>
    <row r="74">
      <c r="A74" s="8" t="inlineStr">
        <is>
          <t>Operating expenses (detail)</t>
        </is>
      </c>
      <c r="B74" s="8" t="inlineStr">
        <is>
          <t>C23</t>
        </is>
      </c>
      <c r="C74" s="8" t="inlineStr">
        <is>
          <t>11g. Fees for services: other</t>
        </is>
      </c>
      <c r="D74" s="8" t="inlineStr">
        <is>
          <t>11g</t>
        </is>
      </c>
      <c r="E74" s="8" t="inlineStr">
        <is>
          <t>part_ix_expenses.fees_other</t>
        </is>
      </c>
      <c r="F74" s="8" t="inlineStr">
        <is>
          <t>high</t>
        </is>
      </c>
      <c r="G74" s="9" t="n">
        <v>49648</v>
      </c>
    </row>
    <row r="75">
      <c r="A75" s="8" t="inlineStr">
        <is>
          <t>Operating expenses (detail)</t>
        </is>
      </c>
      <c r="B75" s="8" t="inlineStr">
        <is>
          <t>D23</t>
        </is>
      </c>
      <c r="C75" s="8" t="inlineStr">
        <is>
          <t>11g. Fees for services: other</t>
        </is>
      </c>
      <c r="D75" s="8" t="inlineStr">
        <is>
          <t>11g</t>
        </is>
      </c>
      <c r="E75" s="8" t="inlineStr">
        <is>
          <t>part_ix_expenses.fees_other</t>
        </is>
      </c>
      <c r="F75" s="8" t="inlineStr">
        <is>
          <t>high</t>
        </is>
      </c>
      <c r="G75" s="9" t="n">
        <v>31542</v>
      </c>
    </row>
    <row r="76">
      <c r="A76" s="8" t="inlineStr">
        <is>
          <t>Operating expenses (detail)</t>
        </is>
      </c>
      <c r="B76" s="8" t="inlineStr">
        <is>
          <t>E23</t>
        </is>
      </c>
      <c r="C76" s="8" t="inlineStr">
        <is>
          <t>11g. Fees for services: other</t>
        </is>
      </c>
      <c r="D76" s="8" t="inlineStr">
        <is>
          <t>11g</t>
        </is>
      </c>
      <c r="E76" s="8" t="inlineStr">
        <is>
          <t>part_ix_expenses.fees_other</t>
        </is>
      </c>
      <c r="F76" s="8" t="inlineStr">
        <is>
          <t>high</t>
        </is>
      </c>
      <c r="G76" s="9" t="n">
        <v>17954</v>
      </c>
    </row>
    <row r="77">
      <c r="A77" s="8" t="inlineStr">
        <is>
          <t>Operating expenses (detail)</t>
        </is>
      </c>
      <c r="B77" s="8" t="inlineStr">
        <is>
          <t>B24</t>
        </is>
      </c>
      <c r="C77" s="8" t="inlineStr">
        <is>
          <t>12. Advertising and promotion</t>
        </is>
      </c>
      <c r="D77" s="8" t="inlineStr">
        <is>
          <t>12</t>
        </is>
      </c>
      <c r="E77" s="8" t="inlineStr">
        <is>
          <t>part_ix_expenses.advertising</t>
        </is>
      </c>
      <c r="F77" s="8" t="inlineStr">
        <is>
          <t>high</t>
        </is>
      </c>
      <c r="G77" s="9" t="n">
        <v>0</v>
      </c>
    </row>
    <row r="78">
      <c r="A78" s="8" t="inlineStr">
        <is>
          <t>Operating expenses (detail)</t>
        </is>
      </c>
      <c r="B78" s="8" t="inlineStr">
        <is>
          <t>B25</t>
        </is>
      </c>
      <c r="C78" s="8" t="inlineStr">
        <is>
          <t>13. Office expenses</t>
        </is>
      </c>
      <c r="D78" s="8" t="inlineStr">
        <is>
          <t>13</t>
        </is>
      </c>
      <c r="E78" s="8" t="inlineStr">
        <is>
          <t>part_ix_expenses.office_expenses</t>
        </is>
      </c>
      <c r="F78" s="8" t="inlineStr">
        <is>
          <t>high</t>
        </is>
      </c>
      <c r="G78" s="9" t="n">
        <v>241028</v>
      </c>
    </row>
    <row r="79">
      <c r="A79" s="8" t="inlineStr">
        <is>
          <t>Operating expenses (detail)</t>
        </is>
      </c>
      <c r="B79" s="8" t="inlineStr">
        <is>
          <t>C25</t>
        </is>
      </c>
      <c r="C79" s="8" t="inlineStr">
        <is>
          <t>13. Office expenses</t>
        </is>
      </c>
      <c r="D79" s="8" t="inlineStr">
        <is>
          <t>13</t>
        </is>
      </c>
      <c r="E79" s="8" t="inlineStr">
        <is>
          <t>part_ix_expenses.office_expenses</t>
        </is>
      </c>
      <c r="F79" s="8" t="inlineStr">
        <is>
          <t>high</t>
        </is>
      </c>
      <c r="G79" s="9" t="n">
        <v>274063</v>
      </c>
    </row>
    <row r="80">
      <c r="A80" s="8" t="inlineStr">
        <is>
          <t>Operating expenses (detail)</t>
        </is>
      </c>
      <c r="B80" s="8" t="inlineStr">
        <is>
          <t>D25</t>
        </is>
      </c>
      <c r="C80" s="8" t="inlineStr">
        <is>
          <t>13. Office expenses</t>
        </is>
      </c>
      <c r="D80" s="8" t="inlineStr">
        <is>
          <t>13</t>
        </is>
      </c>
      <c r="E80" s="8" t="inlineStr">
        <is>
          <t>part_ix_expenses.office_expenses</t>
        </is>
      </c>
      <c r="F80" s="8" t="inlineStr">
        <is>
          <t>high</t>
        </is>
      </c>
      <c r="G80" s="9" t="n">
        <v>271183</v>
      </c>
    </row>
    <row r="81">
      <c r="A81" s="8" t="inlineStr">
        <is>
          <t>Operating expenses (detail)</t>
        </is>
      </c>
      <c r="B81" s="8" t="inlineStr">
        <is>
          <t>E25</t>
        </is>
      </c>
      <c r="C81" s="8" t="inlineStr">
        <is>
          <t>13. Office expenses</t>
        </is>
      </c>
      <c r="D81" s="8" t="inlineStr">
        <is>
          <t>13</t>
        </is>
      </c>
      <c r="E81" s="8" t="inlineStr">
        <is>
          <t>part_ix_expenses.office_expenses</t>
        </is>
      </c>
      <c r="F81" s="8" t="inlineStr">
        <is>
          <t>high</t>
        </is>
      </c>
      <c r="G81" s="9" t="n">
        <v>332598</v>
      </c>
    </row>
    <row r="82">
      <c r="A82" s="8" t="inlineStr">
        <is>
          <t>Operating expenses (detail)</t>
        </is>
      </c>
      <c r="B82" s="8" t="inlineStr">
        <is>
          <t>B26</t>
        </is>
      </c>
      <c r="C82" s="8" t="inlineStr">
        <is>
          <t>14. Information technology</t>
        </is>
      </c>
      <c r="D82" s="8" t="inlineStr">
        <is>
          <t>14</t>
        </is>
      </c>
      <c r="E82" s="8" t="inlineStr">
        <is>
          <t>part_ix_expenses.information_technology</t>
        </is>
      </c>
      <c r="F82" s="8" t="inlineStr">
        <is>
          <t>high</t>
        </is>
      </c>
      <c r="G82" s="9" t="n">
        <v>0</v>
      </c>
    </row>
    <row r="83">
      <c r="A83" s="8" t="inlineStr">
        <is>
          <t>Operating expenses (detail)</t>
        </is>
      </c>
      <c r="B83" s="8" t="inlineStr">
        <is>
          <t>B27</t>
        </is>
      </c>
      <c r="C83" s="8" t="inlineStr">
        <is>
          <t>15. Royalties</t>
        </is>
      </c>
      <c r="D83" s="8" t="inlineStr">
        <is>
          <t>15</t>
        </is>
      </c>
      <c r="E83" s="8" t="inlineStr">
        <is>
          <t>part_ix_expenses.royalties</t>
        </is>
      </c>
      <c r="F83" s="8" t="inlineStr">
        <is>
          <t>high</t>
        </is>
      </c>
      <c r="G83" s="9" t="n">
        <v>0</v>
      </c>
    </row>
    <row r="84">
      <c r="A84" s="8" t="inlineStr">
        <is>
          <t>Operating expenses (detail)</t>
        </is>
      </c>
      <c r="B84" s="8" t="inlineStr">
        <is>
          <t>B28</t>
        </is>
      </c>
      <c r="C84" s="8" t="inlineStr">
        <is>
          <t>16. Occupancy</t>
        </is>
      </c>
      <c r="D84" s="8" t="inlineStr">
        <is>
          <t>16</t>
        </is>
      </c>
      <c r="E84" s="8" t="inlineStr">
        <is>
          <t>part_ix_expenses.occupancy</t>
        </is>
      </c>
      <c r="F84" s="8" t="inlineStr">
        <is>
          <t>high</t>
        </is>
      </c>
      <c r="G84" s="9" t="n">
        <v>0</v>
      </c>
    </row>
    <row r="85">
      <c r="A85" s="8" t="inlineStr">
        <is>
          <t>Operating expenses (detail)</t>
        </is>
      </c>
      <c r="B85" s="8" t="inlineStr">
        <is>
          <t>B29</t>
        </is>
      </c>
      <c r="C85" s="8" t="inlineStr">
        <is>
          <t>17. Travel</t>
        </is>
      </c>
      <c r="D85" s="8" t="inlineStr">
        <is>
          <t>17</t>
        </is>
      </c>
      <c r="E85" s="8" t="inlineStr">
        <is>
          <t>part_ix_expenses.travel</t>
        </is>
      </c>
      <c r="F85" s="8" t="inlineStr">
        <is>
          <t>high</t>
        </is>
      </c>
      <c r="G85" s="9" t="n">
        <v>0</v>
      </c>
    </row>
    <row r="86">
      <c r="A86" s="8" t="inlineStr">
        <is>
          <t>Operating expenses (detail)</t>
        </is>
      </c>
      <c r="B86" s="8" t="inlineStr">
        <is>
          <t>B30</t>
        </is>
      </c>
      <c r="C86" s="8" t="inlineStr">
        <is>
          <t>18. Payments of travel/entertainment for public officials</t>
        </is>
      </c>
      <c r="D86" s="8" t="inlineStr">
        <is>
          <t>18</t>
        </is>
      </c>
      <c r="E86" s="8" t="inlineStr">
        <is>
          <t>part_ix_expenses.travel_entertainment_public_officials</t>
        </is>
      </c>
      <c r="F86" s="8" t="inlineStr">
        <is>
          <t>high</t>
        </is>
      </c>
      <c r="G86" s="9" t="n">
        <v>0</v>
      </c>
    </row>
    <row r="87">
      <c r="A87" s="8" t="inlineStr">
        <is>
          <t>Operating expenses (detail)</t>
        </is>
      </c>
      <c r="B87" s="8" t="inlineStr">
        <is>
          <t>B31</t>
        </is>
      </c>
      <c r="C87" s="8" t="inlineStr">
        <is>
          <t>19. Conferences, conventions, and meetings</t>
        </is>
      </c>
      <c r="D87" s="8" t="inlineStr">
        <is>
          <t>19</t>
        </is>
      </c>
      <c r="E87" s="8" t="inlineStr">
        <is>
          <t>part_ix_expenses.conferences_conventions_meetings</t>
        </is>
      </c>
      <c r="F87" s="8" t="inlineStr">
        <is>
          <t>high</t>
        </is>
      </c>
      <c r="G87" s="9" t="n">
        <v>0</v>
      </c>
    </row>
    <row r="88">
      <c r="A88" s="8" t="inlineStr">
        <is>
          <t>Operating expenses (detail)</t>
        </is>
      </c>
      <c r="B88" s="8" t="inlineStr">
        <is>
          <t>C31</t>
        </is>
      </c>
      <c r="C88" s="8" t="inlineStr">
        <is>
          <t>19. Conferences, conventions, and meetings</t>
        </is>
      </c>
      <c r="D88" s="8" t="inlineStr">
        <is>
          <t>19</t>
        </is>
      </c>
      <c r="E88" s="8" t="inlineStr">
        <is>
          <t>part_ix_expenses.conferences_conventions_meetings</t>
        </is>
      </c>
      <c r="F88" s="8" t="inlineStr">
        <is>
          <t>high</t>
        </is>
      </c>
      <c r="G88" s="9" t="n">
        <v>15255</v>
      </c>
    </row>
    <row r="89">
      <c r="A89" s="8" t="inlineStr">
        <is>
          <t>Operating expenses (detail)</t>
        </is>
      </c>
      <c r="B89" s="8" t="inlineStr">
        <is>
          <t>D31</t>
        </is>
      </c>
      <c r="C89" s="8" t="inlineStr">
        <is>
          <t>19. Conferences, conventions, and meetings</t>
        </is>
      </c>
      <c r="D89" s="8" t="inlineStr">
        <is>
          <t>19</t>
        </is>
      </c>
      <c r="E89" s="8" t="inlineStr">
        <is>
          <t>part_ix_expenses.conferences_conventions_meetings</t>
        </is>
      </c>
      <c r="F89" s="8" t="inlineStr">
        <is>
          <t>high</t>
        </is>
      </c>
      <c r="G89" s="9" t="n">
        <v>4044</v>
      </c>
    </row>
    <row r="90">
      <c r="A90" s="8" t="inlineStr">
        <is>
          <t>Operating expenses (detail)</t>
        </is>
      </c>
      <c r="B90" s="8" t="inlineStr">
        <is>
          <t>E31</t>
        </is>
      </c>
      <c r="C90" s="8" t="inlineStr">
        <is>
          <t>19. Conferences, conventions, and meetings</t>
        </is>
      </c>
      <c r="D90" s="8" t="inlineStr">
        <is>
          <t>19</t>
        </is>
      </c>
      <c r="E90" s="8" t="inlineStr">
        <is>
          <t>part_ix_expenses.conferences_conventions_meetings</t>
        </is>
      </c>
      <c r="F90" s="8" t="inlineStr">
        <is>
          <t>high</t>
        </is>
      </c>
      <c r="G90" s="9" t="n">
        <v>16494</v>
      </c>
    </row>
    <row r="91">
      <c r="A91" s="8" t="inlineStr">
        <is>
          <t>Operating expenses (detail)</t>
        </is>
      </c>
      <c r="B91" s="8" t="inlineStr">
        <is>
          <t>B32</t>
        </is>
      </c>
      <c r="C91" s="8" t="inlineStr">
        <is>
          <t>20. Interest</t>
        </is>
      </c>
      <c r="D91" s="8" t="inlineStr">
        <is>
          <t>20</t>
        </is>
      </c>
      <c r="E91" s="8" t="inlineStr">
        <is>
          <t>part_ix_expenses.interest</t>
        </is>
      </c>
      <c r="F91" s="8" t="inlineStr">
        <is>
          <t>high</t>
        </is>
      </c>
      <c r="G91" s="9" t="n">
        <v>0</v>
      </c>
    </row>
    <row r="92">
      <c r="A92" s="8" t="inlineStr">
        <is>
          <t>Operating expenses (detail)</t>
        </is>
      </c>
      <c r="B92" s="8" t="inlineStr">
        <is>
          <t>C32</t>
        </is>
      </c>
      <c r="C92" s="8" t="inlineStr">
        <is>
          <t>20. Interest</t>
        </is>
      </c>
      <c r="D92" s="8" t="inlineStr">
        <is>
          <t>20</t>
        </is>
      </c>
      <c r="E92" s="8" t="inlineStr">
        <is>
          <t>part_ix_expenses.interest</t>
        </is>
      </c>
      <c r="F92" s="8" t="inlineStr">
        <is>
          <t>high</t>
        </is>
      </c>
      <c r="G92" s="9" t="n">
        <v>116553</v>
      </c>
    </row>
    <row r="93">
      <c r="A93" s="8" t="inlineStr">
        <is>
          <t>Operating expenses (detail)</t>
        </is>
      </c>
      <c r="B93" s="8" t="inlineStr">
        <is>
          <t>B33</t>
        </is>
      </c>
      <c r="C93" s="8" t="inlineStr">
        <is>
          <t>21. Payments to affiliates</t>
        </is>
      </c>
      <c r="D93" s="8" t="inlineStr">
        <is>
          <t>21</t>
        </is>
      </c>
      <c r="E93" s="8" t="inlineStr">
        <is>
          <t>part_ix_expenses.payments_to_affiliates</t>
        </is>
      </c>
      <c r="F93" s="8" t="inlineStr">
        <is>
          <t>high</t>
        </is>
      </c>
      <c r="G93" s="9" t="n">
        <v>0</v>
      </c>
    </row>
    <row r="94">
      <c r="A94" s="8" t="inlineStr">
        <is>
          <t>Operating expenses (detail)</t>
        </is>
      </c>
      <c r="B94" s="8" t="inlineStr">
        <is>
          <t>B34</t>
        </is>
      </c>
      <c r="C94" s="8" t="inlineStr">
        <is>
          <t>22. Depreciation, depletion, and amortization</t>
        </is>
      </c>
      <c r="D94" s="8" t="inlineStr">
        <is>
          <t>22</t>
        </is>
      </c>
      <c r="E94" s="8" t="inlineStr">
        <is>
          <t>part_ix_expenses.depreciation</t>
        </is>
      </c>
      <c r="F94" s="8" t="inlineStr">
        <is>
          <t>high</t>
        </is>
      </c>
      <c r="G94" s="9" t="n">
        <v>538372</v>
      </c>
    </row>
    <row r="95">
      <c r="A95" s="8" t="inlineStr">
        <is>
          <t>Operating expenses (detail)</t>
        </is>
      </c>
      <c r="B95" s="8" t="inlineStr">
        <is>
          <t>C34</t>
        </is>
      </c>
      <c r="C95" s="8" t="inlineStr">
        <is>
          <t>22. Depreciation, depletion, and amortization</t>
        </is>
      </c>
      <c r="D95" s="8" t="inlineStr">
        <is>
          <t>22</t>
        </is>
      </c>
      <c r="E95" s="8" t="inlineStr">
        <is>
          <t>part_ix_expenses.depreciation</t>
        </is>
      </c>
      <c r="F95" s="8" t="inlineStr">
        <is>
          <t>high</t>
        </is>
      </c>
      <c r="G95" s="9" t="n">
        <v>528881</v>
      </c>
    </row>
    <row r="96">
      <c r="A96" s="8" t="inlineStr">
        <is>
          <t>Operating expenses (detail)</t>
        </is>
      </c>
      <c r="B96" s="8" t="inlineStr">
        <is>
          <t>D34</t>
        </is>
      </c>
      <c r="C96" s="8" t="inlineStr">
        <is>
          <t>22. Depreciation, depletion, and amortization</t>
        </is>
      </c>
      <c r="D96" s="8" t="inlineStr">
        <is>
          <t>22</t>
        </is>
      </c>
      <c r="E96" s="8" t="inlineStr">
        <is>
          <t>part_ix_expenses.depreciation</t>
        </is>
      </c>
      <c r="F96" s="8" t="inlineStr">
        <is>
          <t>high</t>
        </is>
      </c>
      <c r="G96" s="9" t="n">
        <v>620909</v>
      </c>
    </row>
    <row r="97">
      <c r="A97" s="8" t="inlineStr">
        <is>
          <t>Operating expenses (detail)</t>
        </is>
      </c>
      <c r="B97" s="8" t="inlineStr">
        <is>
          <t>E34</t>
        </is>
      </c>
      <c r="C97" s="8" t="inlineStr">
        <is>
          <t>22. Depreciation, depletion, and amortization</t>
        </is>
      </c>
      <c r="D97" s="8" t="inlineStr">
        <is>
          <t>22</t>
        </is>
      </c>
      <c r="E97" s="8" t="inlineStr">
        <is>
          <t>part_ix_expenses.depreciation</t>
        </is>
      </c>
      <c r="F97" s="8" t="inlineStr">
        <is>
          <t>high</t>
        </is>
      </c>
      <c r="G97" s="9" t="n">
        <v>698760</v>
      </c>
    </row>
    <row r="98">
      <c r="A98" s="8" t="inlineStr">
        <is>
          <t>Operating expenses (detail)</t>
        </is>
      </c>
      <c r="B98" s="8" t="inlineStr">
        <is>
          <t>B35</t>
        </is>
      </c>
      <c r="C98" s="8" t="inlineStr">
        <is>
          <t>23. Insurance</t>
        </is>
      </c>
      <c r="D98" s="8" t="inlineStr">
        <is>
          <t>23</t>
        </is>
      </c>
      <c r="E98" s="8" t="inlineStr">
        <is>
          <t>part_ix_expenses.insurance</t>
        </is>
      </c>
      <c r="F98" s="8" t="inlineStr">
        <is>
          <t>high</t>
        </is>
      </c>
      <c r="G98" s="9" t="n">
        <v>57530</v>
      </c>
    </row>
    <row r="99">
      <c r="A99" s="8" t="inlineStr">
        <is>
          <t>Operating expenses (detail)</t>
        </is>
      </c>
      <c r="B99" s="8" t="inlineStr">
        <is>
          <t>C35</t>
        </is>
      </c>
      <c r="C99" s="8" t="inlineStr">
        <is>
          <t>23. Insurance</t>
        </is>
      </c>
      <c r="D99" s="8" t="inlineStr">
        <is>
          <t>23</t>
        </is>
      </c>
      <c r="E99" s="8" t="inlineStr">
        <is>
          <t>part_ix_expenses.insurance</t>
        </is>
      </c>
      <c r="F99" s="8" t="inlineStr">
        <is>
          <t>high</t>
        </is>
      </c>
      <c r="G99" s="9" t="n">
        <v>172363</v>
      </c>
    </row>
    <row r="100">
      <c r="A100" s="8" t="inlineStr">
        <is>
          <t>Operating expenses (detail)</t>
        </is>
      </c>
      <c r="B100" s="8" t="inlineStr">
        <is>
          <t>D35</t>
        </is>
      </c>
      <c r="C100" s="8" t="inlineStr">
        <is>
          <t>23. Insurance</t>
        </is>
      </c>
      <c r="D100" s="8" t="inlineStr">
        <is>
          <t>23</t>
        </is>
      </c>
      <c r="E100" s="8" t="inlineStr">
        <is>
          <t>part_ix_expenses.insurance</t>
        </is>
      </c>
      <c r="F100" s="8" t="inlineStr">
        <is>
          <t>high</t>
        </is>
      </c>
      <c r="G100" s="9" t="n">
        <v>227426</v>
      </c>
    </row>
    <row r="101">
      <c r="A101" s="8" t="inlineStr">
        <is>
          <t>Operating expenses (detail)</t>
        </is>
      </c>
      <c r="B101" s="8" t="inlineStr">
        <is>
          <t>E35</t>
        </is>
      </c>
      <c r="C101" s="8" t="inlineStr">
        <is>
          <t>23. Insurance</t>
        </is>
      </c>
      <c r="D101" s="8" t="inlineStr">
        <is>
          <t>23</t>
        </is>
      </c>
      <c r="E101" s="8" t="inlineStr">
        <is>
          <t>part_ix_expenses.insurance</t>
        </is>
      </c>
      <c r="F101" s="8" t="inlineStr">
        <is>
          <t>high</t>
        </is>
      </c>
      <c r="G101" s="9" t="n">
        <v>287362</v>
      </c>
    </row>
    <row r="102">
      <c r="A102" s="8" t="inlineStr">
        <is>
          <t>Operating expenses (detail)</t>
        </is>
      </c>
      <c r="B102" s="8" t="inlineStr">
        <is>
          <t>B46</t>
        </is>
      </c>
      <c r="C102" s="8" t="inlineStr">
        <is>
          <t>24e. All other expenses</t>
        </is>
      </c>
      <c r="D102" s="8" t="inlineStr">
        <is>
          <t>24e</t>
        </is>
      </c>
      <c r="E102" s="8" t="inlineStr">
        <is>
          <t>part_ix_expenses.all_other_expenses</t>
        </is>
      </c>
      <c r="F102" s="8" t="inlineStr">
        <is>
          <t>high</t>
        </is>
      </c>
      <c r="G102" s="9" t="n">
        <v>188996</v>
      </c>
    </row>
    <row r="103">
      <c r="A103" s="8" t="inlineStr">
        <is>
          <t>Operating expenses (detail)</t>
        </is>
      </c>
      <c r="B103" s="8" t="inlineStr">
        <is>
          <t>C46</t>
        </is>
      </c>
      <c r="C103" s="8" t="inlineStr">
        <is>
          <t>24e. All other expenses</t>
        </is>
      </c>
      <c r="D103" s="8" t="inlineStr">
        <is>
          <t>24e</t>
        </is>
      </c>
      <c r="E103" s="8" t="inlineStr">
        <is>
          <t>part_ix_expenses.all_other_expenses</t>
        </is>
      </c>
      <c r="F103" s="8" t="inlineStr">
        <is>
          <t>high</t>
        </is>
      </c>
      <c r="G103" s="9" t="n">
        <v>1179146</v>
      </c>
    </row>
    <row r="104">
      <c r="A104" s="8" t="inlineStr">
        <is>
          <t>Operating expenses (detail)</t>
        </is>
      </c>
      <c r="B104" s="8" t="inlineStr">
        <is>
          <t>D46</t>
        </is>
      </c>
      <c r="C104" s="8" t="inlineStr">
        <is>
          <t>24e. All other expenses</t>
        </is>
      </c>
      <c r="D104" s="8" t="inlineStr">
        <is>
          <t>24e</t>
        </is>
      </c>
      <c r="E104" s="8" t="inlineStr">
        <is>
          <t>part_ix_expenses.all_other_expenses</t>
        </is>
      </c>
      <c r="F104" s="8" t="inlineStr">
        <is>
          <t>high</t>
        </is>
      </c>
      <c r="G104" s="9" t="n">
        <v>1465703</v>
      </c>
    </row>
    <row r="105">
      <c r="A105" s="8" t="inlineStr">
        <is>
          <t>Operating expenses (detail)</t>
        </is>
      </c>
      <c r="B105" s="8" t="inlineStr">
        <is>
          <t>E46</t>
        </is>
      </c>
      <c r="C105" s="8" t="inlineStr">
        <is>
          <t>24e. All other expenses</t>
        </is>
      </c>
      <c r="D105" s="8" t="inlineStr">
        <is>
          <t>24e</t>
        </is>
      </c>
      <c r="E105" s="8" t="inlineStr">
        <is>
          <t>part_ix_expenses.all_other_expenses</t>
        </is>
      </c>
      <c r="F105" s="8" t="inlineStr">
        <is>
          <t>high</t>
        </is>
      </c>
      <c r="G105" s="9" t="n">
        <v>300173</v>
      </c>
    </row>
    <row r="106">
      <c r="A106" s="8" t="inlineStr">
        <is>
          <t>Balance sheet (detail)</t>
        </is>
      </c>
      <c r="B106" s="8" t="inlineStr">
        <is>
          <t>B7</t>
        </is>
      </c>
      <c r="C106" s="8" t="inlineStr">
        <is>
          <t>1. Cash - non-interest-bearing</t>
        </is>
      </c>
      <c r="D106" s="8" t="inlineStr">
        <is>
          <t>1E</t>
        </is>
      </c>
      <c r="E106" s="8" t="inlineStr">
        <is>
          <t>part_x_balance_sheet.cash_noninterest_eoy</t>
        </is>
      </c>
      <c r="F106" s="8" t="inlineStr">
        <is>
          <t>high</t>
        </is>
      </c>
      <c r="G106" s="9" t="n">
        <v>3572160</v>
      </c>
    </row>
    <row r="107">
      <c r="A107" s="8" t="inlineStr">
        <is>
          <t>Balance sheet (detail)</t>
        </is>
      </c>
      <c r="B107" s="8" t="inlineStr">
        <is>
          <t>C7</t>
        </is>
      </c>
      <c r="C107" s="8" t="inlineStr">
        <is>
          <t>1. Cash - non-interest-bearing</t>
        </is>
      </c>
      <c r="D107" s="8" t="inlineStr">
        <is>
          <t>1E</t>
        </is>
      </c>
      <c r="E107" s="8" t="inlineStr">
        <is>
          <t>part_x_balance_sheet.cash_noninterest_eoy</t>
        </is>
      </c>
      <c r="F107" s="8" t="inlineStr">
        <is>
          <t>high</t>
        </is>
      </c>
      <c r="G107" s="9" t="n">
        <v>1624752</v>
      </c>
    </row>
    <row r="108">
      <c r="A108" s="8" t="inlineStr">
        <is>
          <t>Balance sheet (detail)</t>
        </is>
      </c>
      <c r="B108" s="8" t="inlineStr">
        <is>
          <t>D7</t>
        </is>
      </c>
      <c r="C108" s="8" t="inlineStr">
        <is>
          <t>1. Cash - non-interest-bearing</t>
        </is>
      </c>
      <c r="D108" s="8" t="inlineStr">
        <is>
          <t>1E</t>
        </is>
      </c>
      <c r="E108" s="8" t="inlineStr">
        <is>
          <t>part_x_balance_sheet.cash_noninterest_eoy</t>
        </is>
      </c>
      <c r="F108" s="8" t="inlineStr">
        <is>
          <t>high</t>
        </is>
      </c>
      <c r="G108" s="9" t="n">
        <v>907881</v>
      </c>
    </row>
    <row r="109">
      <c r="A109" s="8" t="inlineStr">
        <is>
          <t>Balance sheet (detail)</t>
        </is>
      </c>
      <c r="B109" s="8" t="inlineStr">
        <is>
          <t>E7</t>
        </is>
      </c>
      <c r="C109" s="8" t="inlineStr">
        <is>
          <t>1. Cash - non-interest-bearing</t>
        </is>
      </c>
      <c r="D109" s="8" t="inlineStr">
        <is>
          <t>1E</t>
        </is>
      </c>
      <c r="E109" s="8" t="inlineStr">
        <is>
          <t>part_x_balance_sheet.cash_noninterest_eoy</t>
        </is>
      </c>
      <c r="F109" s="8" t="inlineStr">
        <is>
          <t>high</t>
        </is>
      </c>
      <c r="G109" s="9" t="n">
        <v>844633</v>
      </c>
    </row>
    <row r="110">
      <c r="A110" s="8" t="inlineStr">
        <is>
          <t>Balance sheet (detail)</t>
        </is>
      </c>
      <c r="B110" s="8" t="inlineStr">
        <is>
          <t>B8</t>
        </is>
      </c>
      <c r="C110" s="8" t="inlineStr">
        <is>
          <t>2. Savings and temporary cash investments</t>
        </is>
      </c>
      <c r="D110" s="8" t="inlineStr">
        <is>
          <t>2E</t>
        </is>
      </c>
      <c r="E110" s="8" t="inlineStr">
        <is>
          <t>part_x_balance_sheet.savings_temp_invest_eoy</t>
        </is>
      </c>
      <c r="F110" s="8" t="inlineStr">
        <is>
          <t>high</t>
        </is>
      </c>
      <c r="G110" s="9" t="n">
        <v>13606674</v>
      </c>
    </row>
    <row r="111">
      <c r="A111" s="8" t="inlineStr">
        <is>
          <t>Balance sheet (detail)</t>
        </is>
      </c>
      <c r="B111" s="8" t="inlineStr">
        <is>
          <t>C8</t>
        </is>
      </c>
      <c r="C111" s="8" t="inlineStr">
        <is>
          <t>2. Savings and temporary cash investments</t>
        </is>
      </c>
      <c r="D111" s="8" t="inlineStr">
        <is>
          <t>2E</t>
        </is>
      </c>
      <c r="E111" s="8" t="inlineStr">
        <is>
          <t>part_x_balance_sheet.savings_temp_invest_eoy</t>
        </is>
      </c>
      <c r="F111" s="8" t="inlineStr">
        <is>
          <t>high</t>
        </is>
      </c>
      <c r="G111" s="9" t="n">
        <v>14843672</v>
      </c>
    </row>
    <row r="112">
      <c r="A112" s="8" t="inlineStr">
        <is>
          <t>Balance sheet (detail)</t>
        </is>
      </c>
      <c r="B112" s="8" t="inlineStr">
        <is>
          <t>D8</t>
        </is>
      </c>
      <c r="C112" s="8" t="inlineStr">
        <is>
          <t>2. Savings and temporary cash investments</t>
        </is>
      </c>
      <c r="D112" s="8" t="inlineStr">
        <is>
          <t>2E</t>
        </is>
      </c>
      <c r="E112" s="8" t="inlineStr">
        <is>
          <t>part_x_balance_sheet.savings_temp_invest_eoy</t>
        </is>
      </c>
      <c r="F112" s="8" t="inlineStr">
        <is>
          <t>high</t>
        </is>
      </c>
      <c r="G112" s="9" t="n">
        <v>8297164</v>
      </c>
    </row>
    <row r="113">
      <c r="A113" s="8" t="inlineStr">
        <is>
          <t>Balance sheet (detail)</t>
        </is>
      </c>
      <c r="B113" s="8" t="inlineStr">
        <is>
          <t>E8</t>
        </is>
      </c>
      <c r="C113" s="8" t="inlineStr">
        <is>
          <t>2. Savings and temporary cash investments</t>
        </is>
      </c>
      <c r="D113" s="8" t="inlineStr">
        <is>
          <t>2E</t>
        </is>
      </c>
      <c r="E113" s="8" t="inlineStr">
        <is>
          <t>part_x_balance_sheet.savings_temp_invest_eoy</t>
        </is>
      </c>
      <c r="F113" s="8" t="inlineStr">
        <is>
          <t>high</t>
        </is>
      </c>
      <c r="G113" s="9" t="n">
        <v>8360628</v>
      </c>
    </row>
    <row r="114">
      <c r="A114" s="8" t="inlineStr">
        <is>
          <t>Balance sheet (detail)</t>
        </is>
      </c>
      <c r="B114" s="8" t="inlineStr">
        <is>
          <t>B9</t>
        </is>
      </c>
      <c r="C114" s="8" t="inlineStr">
        <is>
          <t>3. Pledges and grants receivable, net</t>
        </is>
      </c>
      <c r="D114" s="8" t="inlineStr">
        <is>
          <t>3E</t>
        </is>
      </c>
      <c r="E114" s="8" t="inlineStr">
        <is>
          <t>part_x_balance_sheet.pledges_grants_receivable_eoy</t>
        </is>
      </c>
      <c r="F114" s="8" t="inlineStr">
        <is>
          <t>high</t>
        </is>
      </c>
      <c r="G114" s="9" t="n">
        <v>0</v>
      </c>
    </row>
    <row r="115">
      <c r="A115" s="8" t="inlineStr">
        <is>
          <t>Balance sheet (detail)</t>
        </is>
      </c>
      <c r="B115" s="8" t="inlineStr">
        <is>
          <t>B10</t>
        </is>
      </c>
      <c r="C115" s="8" t="inlineStr">
        <is>
          <t>4. Accounts receivable, net</t>
        </is>
      </c>
      <c r="D115" s="8" t="inlineStr">
        <is>
          <t>4E</t>
        </is>
      </c>
      <c r="E115" s="8" t="inlineStr">
        <is>
          <t>part_x_balance_sheet.accounts_receivable_eoy</t>
        </is>
      </c>
      <c r="F115" s="8" t="inlineStr">
        <is>
          <t>high</t>
        </is>
      </c>
      <c r="G115" s="9" t="n">
        <v>695678</v>
      </c>
    </row>
    <row r="116">
      <c r="A116" s="8" t="inlineStr">
        <is>
          <t>Balance sheet (detail)</t>
        </is>
      </c>
      <c r="B116" s="8" t="inlineStr">
        <is>
          <t>C10</t>
        </is>
      </c>
      <c r="C116" s="8" t="inlineStr">
        <is>
          <t>4. Accounts receivable, net</t>
        </is>
      </c>
      <c r="D116" s="8" t="inlineStr">
        <is>
          <t>4E</t>
        </is>
      </c>
      <c r="E116" s="8" t="inlineStr">
        <is>
          <t>part_x_balance_sheet.accounts_receivable_eoy</t>
        </is>
      </c>
      <c r="F116" s="8" t="inlineStr">
        <is>
          <t>high</t>
        </is>
      </c>
      <c r="G116" s="9" t="n">
        <v>490782</v>
      </c>
    </row>
    <row r="117">
      <c r="A117" s="8" t="inlineStr">
        <is>
          <t>Balance sheet (detail)</t>
        </is>
      </c>
      <c r="B117" s="8" t="inlineStr">
        <is>
          <t>D10</t>
        </is>
      </c>
      <c r="C117" s="8" t="inlineStr">
        <is>
          <t>4. Accounts receivable, net</t>
        </is>
      </c>
      <c r="D117" s="8" t="inlineStr">
        <is>
          <t>4E</t>
        </is>
      </c>
      <c r="E117" s="8" t="inlineStr">
        <is>
          <t>part_x_balance_sheet.accounts_receivable_eoy</t>
        </is>
      </c>
      <c r="F117" s="8" t="inlineStr">
        <is>
          <t>high</t>
        </is>
      </c>
      <c r="G117" s="9" t="n">
        <v>472706</v>
      </c>
    </row>
    <row r="118">
      <c r="A118" s="8" t="inlineStr">
        <is>
          <t>Balance sheet (detail)</t>
        </is>
      </c>
      <c r="B118" s="8" t="inlineStr">
        <is>
          <t>E10</t>
        </is>
      </c>
      <c r="C118" s="8" t="inlineStr">
        <is>
          <t>4. Accounts receivable, net</t>
        </is>
      </c>
      <c r="D118" s="8" t="inlineStr">
        <is>
          <t>4E</t>
        </is>
      </c>
      <c r="E118" s="8" t="inlineStr">
        <is>
          <t>part_x_balance_sheet.accounts_receivable_eoy</t>
        </is>
      </c>
      <c r="F118" s="8" t="inlineStr">
        <is>
          <t>high</t>
        </is>
      </c>
      <c r="G118" s="9" t="n">
        <v>512049</v>
      </c>
    </row>
    <row r="119">
      <c r="A119" s="8" t="inlineStr">
        <is>
          <t>Balance sheet (detail)</t>
        </is>
      </c>
      <c r="B119" s="8" t="inlineStr">
        <is>
          <t>B11</t>
        </is>
      </c>
      <c r="C119" s="8" t="inlineStr">
        <is>
          <t>5. Receivables from officers/directors/trustees</t>
        </is>
      </c>
      <c r="D119" s="8" t="inlineStr">
        <is>
          <t>5E</t>
        </is>
      </c>
      <c r="E119" s="8" t="inlineStr">
        <is>
          <t>part_x_balance_sheet.receivables_officers_eoy</t>
        </is>
      </c>
      <c r="F119" s="8" t="inlineStr">
        <is>
          <t>high</t>
        </is>
      </c>
      <c r="G119" s="9" t="n">
        <v>0</v>
      </c>
    </row>
    <row r="120">
      <c r="A120" s="8" t="inlineStr">
        <is>
          <t>Balance sheet (detail)</t>
        </is>
      </c>
      <c r="B120" s="8" t="inlineStr">
        <is>
          <t>B12</t>
        </is>
      </c>
      <c r="C120" s="8" t="inlineStr">
        <is>
          <t>6. Receivables from disqualified persons</t>
        </is>
      </c>
      <c r="D120" s="8" t="inlineStr">
        <is>
          <t>6E</t>
        </is>
      </c>
      <c r="E120" s="8" t="inlineStr">
        <is>
          <t>part_x_balance_sheet.receivables_disqualified_eoy</t>
        </is>
      </c>
      <c r="F120" s="8" t="inlineStr">
        <is>
          <t>high</t>
        </is>
      </c>
      <c r="G120" s="9" t="n">
        <v>0</v>
      </c>
    </row>
    <row r="121">
      <c r="A121" s="8" t="inlineStr">
        <is>
          <t>Balance sheet (detail)</t>
        </is>
      </c>
      <c r="B121" s="8" t="inlineStr">
        <is>
          <t>B13</t>
        </is>
      </c>
      <c r="C121" s="8" t="inlineStr">
        <is>
          <t>7. Notes and loans receivable, net</t>
        </is>
      </c>
      <c r="D121" s="8" t="inlineStr">
        <is>
          <t>7E</t>
        </is>
      </c>
      <c r="E121" s="8" t="inlineStr">
        <is>
          <t>part_x_balance_sheet.notes_loans_receivable_eoy</t>
        </is>
      </c>
      <c r="F121" s="8" t="inlineStr">
        <is>
          <t>high</t>
        </is>
      </c>
      <c r="G121" s="9" t="n">
        <v>0</v>
      </c>
    </row>
    <row r="122">
      <c r="A122" s="8" t="inlineStr">
        <is>
          <t>Balance sheet (detail)</t>
        </is>
      </c>
      <c r="B122" s="8" t="inlineStr">
        <is>
          <t>B14</t>
        </is>
      </c>
      <c r="C122" s="8" t="inlineStr">
        <is>
          <t>8. Inventories for sale or use</t>
        </is>
      </c>
      <c r="D122" s="8" t="inlineStr">
        <is>
          <t>8E</t>
        </is>
      </c>
      <c r="E122" s="8" t="inlineStr">
        <is>
          <t>part_x_balance_sheet.inventories_eoy</t>
        </is>
      </c>
      <c r="F122" s="8" t="inlineStr">
        <is>
          <t>high</t>
        </is>
      </c>
      <c r="G122" s="9" t="n">
        <v>495881</v>
      </c>
    </row>
    <row r="123">
      <c r="A123" s="8" t="inlineStr">
        <is>
          <t>Balance sheet (detail)</t>
        </is>
      </c>
      <c r="B123" s="8" t="inlineStr">
        <is>
          <t>C14</t>
        </is>
      </c>
      <c r="C123" s="8" t="inlineStr">
        <is>
          <t>8. Inventories for sale or use</t>
        </is>
      </c>
      <c r="D123" s="8" t="inlineStr">
        <is>
          <t>8E</t>
        </is>
      </c>
      <c r="E123" s="8" t="inlineStr">
        <is>
          <t>part_x_balance_sheet.inventories_eoy</t>
        </is>
      </c>
      <c r="F123" s="8" t="inlineStr">
        <is>
          <t>high</t>
        </is>
      </c>
      <c r="G123" s="9" t="n">
        <v>992515</v>
      </c>
    </row>
    <row r="124">
      <c r="A124" s="8" t="inlineStr">
        <is>
          <t>Balance sheet (detail)</t>
        </is>
      </c>
      <c r="B124" s="8" t="inlineStr">
        <is>
          <t>D14</t>
        </is>
      </c>
      <c r="C124" s="8" t="inlineStr">
        <is>
          <t>8. Inventories for sale or use</t>
        </is>
      </c>
      <c r="D124" s="8" t="inlineStr">
        <is>
          <t>8E</t>
        </is>
      </c>
      <c r="E124" s="8" t="inlineStr">
        <is>
          <t>part_x_balance_sheet.inventories_eoy</t>
        </is>
      </c>
      <c r="F124" s="8" t="inlineStr">
        <is>
          <t>high</t>
        </is>
      </c>
      <c r="G124" s="9" t="n">
        <v>803462</v>
      </c>
    </row>
    <row r="125">
      <c r="A125" s="8" t="inlineStr">
        <is>
          <t>Balance sheet (detail)</t>
        </is>
      </c>
      <c r="B125" s="8" t="inlineStr">
        <is>
          <t>E14</t>
        </is>
      </c>
      <c r="C125" s="8" t="inlineStr">
        <is>
          <t>8. Inventories for sale or use</t>
        </is>
      </c>
      <c r="D125" s="8" t="inlineStr">
        <is>
          <t>8E</t>
        </is>
      </c>
      <c r="E125" s="8" t="inlineStr">
        <is>
          <t>part_x_balance_sheet.inventories_eoy</t>
        </is>
      </c>
      <c r="F125" s="8" t="inlineStr">
        <is>
          <t>high</t>
        </is>
      </c>
      <c r="G125" s="9" t="n">
        <v>835298</v>
      </c>
    </row>
    <row r="126">
      <c r="A126" s="8" t="inlineStr">
        <is>
          <t>Balance sheet (detail)</t>
        </is>
      </c>
      <c r="B126" s="8" t="inlineStr">
        <is>
          <t>B15</t>
        </is>
      </c>
      <c r="C126" s="8" t="inlineStr">
        <is>
          <t>9. Prepaid expenses and deferred charges</t>
        </is>
      </c>
      <c r="D126" s="8" t="inlineStr">
        <is>
          <t>9E</t>
        </is>
      </c>
      <c r="E126" s="8" t="inlineStr">
        <is>
          <t>part_x_balance_sheet.prepaid_expenses_eoy</t>
        </is>
      </c>
      <c r="F126" s="8" t="inlineStr">
        <is>
          <t>high</t>
        </is>
      </c>
      <c r="G126" s="9" t="n">
        <v>16532</v>
      </c>
    </row>
    <row r="127">
      <c r="A127" s="8" t="inlineStr">
        <is>
          <t>Balance sheet (detail)</t>
        </is>
      </c>
      <c r="B127" s="8" t="inlineStr">
        <is>
          <t>C15</t>
        </is>
      </c>
      <c r="C127" s="8" t="inlineStr">
        <is>
          <t>9. Prepaid expenses and deferred charges</t>
        </is>
      </c>
      <c r="D127" s="8" t="inlineStr">
        <is>
          <t>9E</t>
        </is>
      </c>
      <c r="E127" s="8" t="inlineStr">
        <is>
          <t>part_x_balance_sheet.prepaid_expenses_eoy</t>
        </is>
      </c>
      <c r="F127" s="8" t="inlineStr">
        <is>
          <t>high</t>
        </is>
      </c>
      <c r="G127" s="9" t="n">
        <v>0</v>
      </c>
    </row>
    <row r="128">
      <c r="A128" s="8" t="inlineStr">
        <is>
          <t>Balance sheet (detail)</t>
        </is>
      </c>
      <c r="B128" s="8" t="inlineStr">
        <is>
          <t>B16</t>
        </is>
      </c>
      <c r="C128" s="8" t="inlineStr">
        <is>
          <t>10c. Land, buildings, and equipment, net</t>
        </is>
      </c>
      <c r="D128" s="8" t="inlineStr">
        <is>
          <t>10cE</t>
        </is>
      </c>
      <c r="E128" s="8" t="inlineStr">
        <is>
          <t>part_x_balance_sheet.land_bldg_equip_net_eoy</t>
        </is>
      </c>
      <c r="F128" s="8" t="inlineStr">
        <is>
          <t>high</t>
        </is>
      </c>
      <c r="G128" s="9" t="n">
        <v>21693533</v>
      </c>
    </row>
    <row r="129">
      <c r="A129" s="8" t="inlineStr">
        <is>
          <t>Balance sheet (detail)</t>
        </is>
      </c>
      <c r="B129" s="8" t="inlineStr">
        <is>
          <t>C16</t>
        </is>
      </c>
      <c r="C129" s="8" t="inlineStr">
        <is>
          <t>10c. Land, buildings, and equipment, net</t>
        </is>
      </c>
      <c r="D129" s="8" t="inlineStr">
        <is>
          <t>10cE</t>
        </is>
      </c>
      <c r="E129" s="8" t="inlineStr">
        <is>
          <t>part_x_balance_sheet.land_bldg_equip_net_eoy</t>
        </is>
      </c>
      <c r="F129" s="8" t="inlineStr">
        <is>
          <t>high</t>
        </is>
      </c>
      <c r="G129" s="9" t="n">
        <v>28936007</v>
      </c>
    </row>
    <row r="130">
      <c r="A130" s="8" t="inlineStr">
        <is>
          <t>Balance sheet (detail)</t>
        </is>
      </c>
      <c r="B130" s="8" t="inlineStr">
        <is>
          <t>D16</t>
        </is>
      </c>
      <c r="C130" s="8" t="inlineStr">
        <is>
          <t>10c. Land, buildings, and equipment, net</t>
        </is>
      </c>
      <c r="D130" s="8" t="inlineStr">
        <is>
          <t>10cE</t>
        </is>
      </c>
      <c r="E130" s="8" t="inlineStr">
        <is>
          <t>part_x_balance_sheet.land_bldg_equip_net_eoy</t>
        </is>
      </c>
      <c r="F130" s="8" t="inlineStr">
        <is>
          <t>high</t>
        </is>
      </c>
      <c r="G130" s="9" t="n">
        <v>36851205</v>
      </c>
    </row>
    <row r="131">
      <c r="A131" s="8" t="inlineStr">
        <is>
          <t>Balance sheet (detail)</t>
        </is>
      </c>
      <c r="B131" s="8" t="inlineStr">
        <is>
          <t>E16</t>
        </is>
      </c>
      <c r="C131" s="8" t="inlineStr">
        <is>
          <t>10c. Land, buildings, and equipment, net</t>
        </is>
      </c>
      <c r="D131" s="8" t="inlineStr">
        <is>
          <t>10cE</t>
        </is>
      </c>
      <c r="E131" s="8" t="inlineStr">
        <is>
          <t>part_x_balance_sheet.land_bldg_equip_net_eoy</t>
        </is>
      </c>
      <c r="F131" s="8" t="inlineStr">
        <is>
          <t>high</t>
        </is>
      </c>
      <c r="G131" s="9" t="n">
        <v>49262396</v>
      </c>
    </row>
    <row r="132">
      <c r="A132" s="8" t="inlineStr">
        <is>
          <t>Balance sheet (detail)</t>
        </is>
      </c>
      <c r="B132" s="8" t="inlineStr">
        <is>
          <t>B17</t>
        </is>
      </c>
      <c r="C132" s="8" t="inlineStr">
        <is>
          <t>11. Investments - publicly traded securities</t>
        </is>
      </c>
      <c r="D132" s="8" t="inlineStr">
        <is>
          <t>11E</t>
        </is>
      </c>
      <c r="E132" s="8" t="inlineStr">
        <is>
          <t>part_x_balance_sheet.investments_public_securities_eoy</t>
        </is>
      </c>
      <c r="F132" s="8" t="inlineStr">
        <is>
          <t>high</t>
        </is>
      </c>
      <c r="G132" s="9" t="n">
        <v>0</v>
      </c>
    </row>
    <row r="133">
      <c r="A133" s="8" t="inlineStr">
        <is>
          <t>Balance sheet (detail)</t>
        </is>
      </c>
      <c r="B133" s="8" t="inlineStr">
        <is>
          <t>B18</t>
        </is>
      </c>
      <c r="C133" s="8" t="inlineStr">
        <is>
          <t>12. Investments - other securities</t>
        </is>
      </c>
      <c r="D133" s="8" t="inlineStr">
        <is>
          <t>12E</t>
        </is>
      </c>
      <c r="E133" s="8" t="inlineStr">
        <is>
          <t>part_x_balance_sheet.investments_other_securities_eoy</t>
        </is>
      </c>
      <c r="F133" s="8" t="inlineStr">
        <is>
          <t>high</t>
        </is>
      </c>
      <c r="G133" s="9" t="n">
        <v>0</v>
      </c>
    </row>
    <row r="134">
      <c r="A134" s="8" t="inlineStr">
        <is>
          <t>Balance sheet (detail)</t>
        </is>
      </c>
      <c r="B134" s="8" t="inlineStr">
        <is>
          <t>B19</t>
        </is>
      </c>
      <c r="C134" s="8" t="inlineStr">
        <is>
          <t>13. Investments - program-related</t>
        </is>
      </c>
      <c r="D134" s="8" t="inlineStr">
        <is>
          <t>13E</t>
        </is>
      </c>
      <c r="E134" s="8" t="inlineStr">
        <is>
          <t>part_x_balance_sheet.investments_program_related_eoy</t>
        </is>
      </c>
      <c r="F134" s="8" t="inlineStr">
        <is>
          <t>high</t>
        </is>
      </c>
      <c r="G134" s="9" t="n">
        <v>0</v>
      </c>
    </row>
    <row r="135">
      <c r="A135" s="8" t="inlineStr">
        <is>
          <t>Balance sheet (detail)</t>
        </is>
      </c>
      <c r="B135" s="8" t="inlineStr">
        <is>
          <t>B20</t>
        </is>
      </c>
      <c r="C135" s="8" t="inlineStr">
        <is>
          <t>14. Intangible assets</t>
        </is>
      </c>
      <c r="D135" s="8" t="inlineStr">
        <is>
          <t>14E</t>
        </is>
      </c>
      <c r="E135" s="8" t="inlineStr">
        <is>
          <t>part_x_balance_sheet.intangible_assets_eoy</t>
        </is>
      </c>
      <c r="F135" s="8" t="inlineStr">
        <is>
          <t>high</t>
        </is>
      </c>
      <c r="G135" s="9" t="n">
        <v>0</v>
      </c>
    </row>
    <row r="136">
      <c r="A136" s="8" t="inlineStr">
        <is>
          <t>Balance sheet (detail)</t>
        </is>
      </c>
      <c r="B136" s="8" t="inlineStr">
        <is>
          <t>B21</t>
        </is>
      </c>
      <c r="C136" s="8" t="inlineStr">
        <is>
          <t>15. Other assets</t>
        </is>
      </c>
      <c r="D136" s="8" t="inlineStr">
        <is>
          <t>15E</t>
        </is>
      </c>
      <c r="E136" s="8" t="inlineStr">
        <is>
          <t>part_x_balance_sheet.other_assets_eoy</t>
        </is>
      </c>
      <c r="F136" s="8" t="inlineStr">
        <is>
          <t>high</t>
        </is>
      </c>
      <c r="G136" s="9" t="n">
        <v>0</v>
      </c>
    </row>
    <row r="137">
      <c r="A137" s="8" t="inlineStr">
        <is>
          <t>Balance sheet (detail)</t>
        </is>
      </c>
      <c r="B137" s="8" t="inlineStr">
        <is>
          <t>B25</t>
        </is>
      </c>
      <c r="C137" s="8" t="inlineStr">
        <is>
          <t>17. Accounts payable and accrued expenses</t>
        </is>
      </c>
      <c r="D137" s="8" t="inlineStr">
        <is>
          <t>17E</t>
        </is>
      </c>
      <c r="E137" s="8" t="inlineStr">
        <is>
          <t>part_x_balance_sheet.accounts_payable_eoy</t>
        </is>
      </c>
      <c r="F137" s="8" t="inlineStr">
        <is>
          <t>high</t>
        </is>
      </c>
      <c r="G137" s="9" t="n">
        <v>723891</v>
      </c>
    </row>
    <row r="138">
      <c r="A138" s="8" t="inlineStr">
        <is>
          <t>Balance sheet (detail)</t>
        </is>
      </c>
      <c r="B138" s="8" t="inlineStr">
        <is>
          <t>C25</t>
        </is>
      </c>
      <c r="C138" s="8" t="inlineStr">
        <is>
          <t>17. Accounts payable and accrued expenses</t>
        </is>
      </c>
      <c r="D138" s="8" t="inlineStr">
        <is>
          <t>17E</t>
        </is>
      </c>
      <c r="E138" s="8" t="inlineStr">
        <is>
          <t>part_x_balance_sheet.accounts_payable_eoy</t>
        </is>
      </c>
      <c r="F138" s="8" t="inlineStr">
        <is>
          <t>high</t>
        </is>
      </c>
      <c r="G138" s="9" t="n">
        <v>602496</v>
      </c>
    </row>
    <row r="139">
      <c r="A139" s="8" t="inlineStr">
        <is>
          <t>Balance sheet (detail)</t>
        </is>
      </c>
      <c r="B139" s="8" t="inlineStr">
        <is>
          <t>D25</t>
        </is>
      </c>
      <c r="C139" s="8" t="inlineStr">
        <is>
          <t>17. Accounts payable and accrued expenses</t>
        </is>
      </c>
      <c r="D139" s="8" t="inlineStr">
        <is>
          <t>17E</t>
        </is>
      </c>
      <c r="E139" s="8" t="inlineStr">
        <is>
          <t>part_x_balance_sheet.accounts_payable_eoy</t>
        </is>
      </c>
      <c r="F139" s="8" t="inlineStr">
        <is>
          <t>high</t>
        </is>
      </c>
      <c r="G139" s="9" t="n">
        <v>489012</v>
      </c>
    </row>
    <row r="140">
      <c r="A140" s="8" t="inlineStr">
        <is>
          <t>Balance sheet (detail)</t>
        </is>
      </c>
      <c r="B140" s="8" t="inlineStr">
        <is>
          <t>E25</t>
        </is>
      </c>
      <c r="C140" s="8" t="inlineStr">
        <is>
          <t>17. Accounts payable and accrued expenses</t>
        </is>
      </c>
      <c r="D140" s="8" t="inlineStr">
        <is>
          <t>17E</t>
        </is>
      </c>
      <c r="E140" s="8" t="inlineStr">
        <is>
          <t>part_x_balance_sheet.accounts_payable_eoy</t>
        </is>
      </c>
      <c r="F140" s="8" t="inlineStr">
        <is>
          <t>high</t>
        </is>
      </c>
      <c r="G140" s="9" t="n">
        <v>830364</v>
      </c>
    </row>
    <row r="141">
      <c r="A141" s="8" t="inlineStr">
        <is>
          <t>Balance sheet (detail)</t>
        </is>
      </c>
      <c r="B141" s="8" t="inlineStr">
        <is>
          <t>B26</t>
        </is>
      </c>
      <c r="C141" s="8" t="inlineStr">
        <is>
          <t>23. Secured mortgages and notes payable</t>
        </is>
      </c>
      <c r="D141" s="8" t="inlineStr">
        <is>
          <t>23E</t>
        </is>
      </c>
      <c r="E141" s="8" t="inlineStr">
        <is>
          <t>part_x_balance_sheet.mortgages_secured_notes_eoy</t>
        </is>
      </c>
      <c r="F141" s="8" t="inlineStr">
        <is>
          <t>high</t>
        </is>
      </c>
      <c r="G141" s="9" t="n">
        <v>42105</v>
      </c>
    </row>
    <row r="142">
      <c r="A142" s="8" t="inlineStr">
        <is>
          <t>Balance sheet (detail)</t>
        </is>
      </c>
      <c r="B142" s="8" t="inlineStr">
        <is>
          <t>C26</t>
        </is>
      </c>
      <c r="C142" s="8" t="inlineStr">
        <is>
          <t>23. Secured mortgages and notes payable</t>
        </is>
      </c>
      <c r="D142" s="8" t="inlineStr">
        <is>
          <t>23E</t>
        </is>
      </c>
      <c r="E142" s="8" t="inlineStr">
        <is>
          <t>part_x_balance_sheet.mortgages_secured_notes_eoy</t>
        </is>
      </c>
      <c r="F142" s="8" t="inlineStr">
        <is>
          <t>high</t>
        </is>
      </c>
      <c r="G142" s="9" t="n">
        <v>40545</v>
      </c>
    </row>
    <row r="143">
      <c r="A143" s="8" t="inlineStr">
        <is>
          <t>Balance sheet (detail)</t>
        </is>
      </c>
      <c r="B143" s="8" t="inlineStr">
        <is>
          <t>D26</t>
        </is>
      </c>
      <c r="C143" s="8" t="inlineStr">
        <is>
          <t>23. Secured mortgages and notes payable</t>
        </is>
      </c>
      <c r="D143" s="8" t="inlineStr">
        <is>
          <t>23E</t>
        </is>
      </c>
      <c r="E143" s="8" t="inlineStr">
        <is>
          <t>part_x_balance_sheet.mortgages_secured_notes_eoy</t>
        </is>
      </c>
      <c r="F143" s="8" t="inlineStr">
        <is>
          <t>high</t>
        </is>
      </c>
      <c r="G143" s="9" t="n">
        <v>37426</v>
      </c>
    </row>
    <row r="144">
      <c r="A144" s="8" t="inlineStr">
        <is>
          <t>Balance sheet (detail)</t>
        </is>
      </c>
      <c r="B144" s="8" t="inlineStr">
        <is>
          <t>E26</t>
        </is>
      </c>
      <c r="C144" s="8" t="inlineStr">
        <is>
          <t>23. Secured mortgages and notes payable</t>
        </is>
      </c>
      <c r="D144" s="8" t="inlineStr">
        <is>
          <t>23E</t>
        </is>
      </c>
      <c r="E144" s="8" t="inlineStr">
        <is>
          <t>part_x_balance_sheet.mortgages_secured_notes_eoy</t>
        </is>
      </c>
      <c r="F144" s="8" t="inlineStr">
        <is>
          <t>high</t>
        </is>
      </c>
      <c r="G144" s="9" t="n">
        <v>32748</v>
      </c>
    </row>
    <row r="145">
      <c r="A145" s="8" t="inlineStr">
        <is>
          <t>Balance sheet (detail)</t>
        </is>
      </c>
      <c r="B145" s="8" t="inlineStr">
        <is>
          <t>B27</t>
        </is>
      </c>
      <c r="C145" s="8" t="inlineStr">
        <is>
          <t>25. Other liabilities</t>
        </is>
      </c>
      <c r="D145" s="8" t="inlineStr">
        <is>
          <t>25E</t>
        </is>
      </c>
      <c r="E145" s="8" t="inlineStr">
        <is>
          <t>part_x_balance_sheet.other_liabilities_eoy</t>
        </is>
      </c>
      <c r="F145" s="8" t="inlineStr">
        <is>
          <t>high</t>
        </is>
      </c>
      <c r="G145" s="9" t="n">
        <v>11584473</v>
      </c>
    </row>
    <row r="146">
      <c r="A146" s="8" t="inlineStr">
        <is>
          <t>Balance sheet (detail)</t>
        </is>
      </c>
      <c r="B146" s="8" t="inlineStr">
        <is>
          <t>C27</t>
        </is>
      </c>
      <c r="C146" s="8" t="inlineStr">
        <is>
          <t>25. Other liabilities</t>
        </is>
      </c>
      <c r="D146" s="8" t="inlineStr">
        <is>
          <t>25E</t>
        </is>
      </c>
      <c r="E146" s="8" t="inlineStr">
        <is>
          <t>part_x_balance_sheet.other_liabilities_eoy</t>
        </is>
      </c>
      <c r="F146" s="8" t="inlineStr">
        <is>
          <t>high</t>
        </is>
      </c>
      <c r="G146" s="9" t="n">
        <v>17255219</v>
      </c>
    </row>
    <row r="147">
      <c r="A147" s="8" t="inlineStr">
        <is>
          <t>Balance sheet (detail)</t>
        </is>
      </c>
      <c r="B147" s="8" t="inlineStr">
        <is>
          <t>D27</t>
        </is>
      </c>
      <c r="C147" s="8" t="inlineStr">
        <is>
          <t>25. Other liabilities</t>
        </is>
      </c>
      <c r="D147" s="8" t="inlineStr">
        <is>
          <t>25E</t>
        </is>
      </c>
      <c r="E147" s="8" t="inlineStr">
        <is>
          <t>part_x_balance_sheet.other_liabilities_eoy</t>
        </is>
      </c>
      <c r="F147" s="8" t="inlineStr">
        <is>
          <t>high</t>
        </is>
      </c>
      <c r="G147" s="9" t="n">
        <v>17542737</v>
      </c>
    </row>
    <row r="148">
      <c r="A148" s="8" t="inlineStr">
        <is>
          <t>Balance sheet (detail)</t>
        </is>
      </c>
      <c r="B148" s="8" t="inlineStr">
        <is>
          <t>E27</t>
        </is>
      </c>
      <c r="C148" s="8" t="inlineStr">
        <is>
          <t>25. Other liabilities</t>
        </is>
      </c>
      <c r="D148" s="8" t="inlineStr">
        <is>
          <t>25E</t>
        </is>
      </c>
      <c r="E148" s="8" t="inlineStr">
        <is>
          <t>part_x_balance_sheet.other_liabilities_eoy</t>
        </is>
      </c>
      <c r="F148" s="8" t="inlineStr">
        <is>
          <t>high</t>
        </is>
      </c>
      <c r="G148" s="9" t="n">
        <v>24118279</v>
      </c>
    </row>
    <row r="149">
      <c r="A149" s="8" t="inlineStr">
        <is>
          <t>Balance sheet (detail)</t>
        </is>
      </c>
      <c r="B149" s="8" t="inlineStr">
        <is>
          <t>B31</t>
        </is>
      </c>
      <c r="C149" s="8" t="inlineStr">
        <is>
          <t>29. Capital stock or trust principal</t>
        </is>
      </c>
      <c r="D149" s="8" t="inlineStr">
        <is>
          <t>29E</t>
        </is>
      </c>
      <c r="E149" s="8" t="inlineStr">
        <is>
          <t>part_x_balance_sheet.cap_stock_eoy</t>
        </is>
      </c>
      <c r="F149" s="8" t="inlineStr">
        <is>
          <t>high</t>
        </is>
      </c>
      <c r="G149" s="9" t="n">
        <v>3440614</v>
      </c>
    </row>
    <row r="150">
      <c r="A150" s="8" t="inlineStr">
        <is>
          <t>Balance sheet (detail)</t>
        </is>
      </c>
      <c r="B150" s="8" t="inlineStr">
        <is>
          <t>C31</t>
        </is>
      </c>
      <c r="C150" s="8" t="inlineStr">
        <is>
          <t>29. Capital stock or trust principal</t>
        </is>
      </c>
      <c r="D150" s="8" t="inlineStr">
        <is>
          <t>29E</t>
        </is>
      </c>
      <c r="E150" s="8" t="inlineStr">
        <is>
          <t>part_x_balance_sheet.cap_stock_eoy</t>
        </is>
      </c>
      <c r="F150" s="8" t="inlineStr">
        <is>
          <t>high</t>
        </is>
      </c>
      <c r="G150" s="9" t="n">
        <v>3461249</v>
      </c>
    </row>
    <row r="151">
      <c r="A151" s="8" t="inlineStr">
        <is>
          <t>Balance sheet (detail)</t>
        </is>
      </c>
      <c r="B151" s="8" t="inlineStr">
        <is>
          <t>D31</t>
        </is>
      </c>
      <c r="C151" s="8" t="inlineStr">
        <is>
          <t>29. Capital stock or trust principal</t>
        </is>
      </c>
      <c r="D151" s="8" t="inlineStr">
        <is>
          <t>29E</t>
        </is>
      </c>
      <c r="E151" s="8" t="inlineStr">
        <is>
          <t>part_x_balance_sheet.cap_stock_eoy</t>
        </is>
      </c>
      <c r="F151" s="8" t="inlineStr">
        <is>
          <t>high</t>
        </is>
      </c>
      <c r="G151" s="9" t="n">
        <v>3512057</v>
      </c>
    </row>
    <row r="152">
      <c r="A152" s="8" t="inlineStr">
        <is>
          <t>Balance sheet (detail)</t>
        </is>
      </c>
      <c r="B152" s="8" t="inlineStr">
        <is>
          <t>E31</t>
        </is>
      </c>
      <c r="C152" s="8" t="inlineStr">
        <is>
          <t>29. Capital stock or trust principal</t>
        </is>
      </c>
      <c r="D152" s="8" t="inlineStr">
        <is>
          <t>29E</t>
        </is>
      </c>
      <c r="E152" s="8" t="inlineStr">
        <is>
          <t>part_x_balance_sheet.cap_stock_eoy</t>
        </is>
      </c>
      <c r="F152" s="8" t="inlineStr">
        <is>
          <t>high</t>
        </is>
      </c>
      <c r="G152" s="9" t="n">
        <v>3517559</v>
      </c>
    </row>
    <row r="153">
      <c r="A153" s="8" t="inlineStr">
        <is>
          <t>Balance sheet (detail)</t>
        </is>
      </c>
      <c r="B153" s="8" t="inlineStr">
        <is>
          <t>B32</t>
        </is>
      </c>
      <c r="C153" s="8" t="inlineStr">
        <is>
          <t>30. Paid-in or capital surplus</t>
        </is>
      </c>
      <c r="D153" s="8" t="inlineStr">
        <is>
          <t>30E</t>
        </is>
      </c>
      <c r="E153" s="8" t="inlineStr">
        <is>
          <t>part_x_balance_sheet.paid_in_capital_eoy</t>
        </is>
      </c>
      <c r="F153" s="8" t="inlineStr">
        <is>
          <t>high</t>
        </is>
      </c>
      <c r="G153" s="9" t="n">
        <v>5731277</v>
      </c>
    </row>
    <row r="154">
      <c r="A154" s="8" t="inlineStr">
        <is>
          <t>Balance sheet (detail)</t>
        </is>
      </c>
      <c r="B154" s="8" t="inlineStr">
        <is>
          <t>C32</t>
        </is>
      </c>
      <c r="C154" s="8" t="inlineStr">
        <is>
          <t>30. Paid-in or capital surplus</t>
        </is>
      </c>
      <c r="D154" s="8" t="inlineStr">
        <is>
          <t>30E</t>
        </is>
      </c>
      <c r="E154" s="8" t="inlineStr">
        <is>
          <t>part_x_balance_sheet.paid_in_capital_eoy</t>
        </is>
      </c>
      <c r="F154" s="8" t="inlineStr">
        <is>
          <t>high</t>
        </is>
      </c>
      <c r="G154" s="9" t="n">
        <v>5731277</v>
      </c>
    </row>
    <row r="155">
      <c r="A155" s="8" t="inlineStr">
        <is>
          <t>Balance sheet (detail)</t>
        </is>
      </c>
      <c r="B155" s="8" t="inlineStr">
        <is>
          <t>D32</t>
        </is>
      </c>
      <c r="C155" s="8" t="inlineStr">
        <is>
          <t>30. Paid-in or capital surplus</t>
        </is>
      </c>
      <c r="D155" s="8" t="inlineStr">
        <is>
          <t>30E</t>
        </is>
      </c>
      <c r="E155" s="8" t="inlineStr">
        <is>
          <t>part_x_balance_sheet.paid_in_capital_eoy</t>
        </is>
      </c>
      <c r="F155" s="8" t="inlineStr">
        <is>
          <t>high</t>
        </is>
      </c>
      <c r="G155" s="9" t="n">
        <v>5731277</v>
      </c>
    </row>
    <row r="156">
      <c r="A156" s="8" t="inlineStr">
        <is>
          <t>Balance sheet (detail)</t>
        </is>
      </c>
      <c r="B156" s="8" t="inlineStr">
        <is>
          <t>E32</t>
        </is>
      </c>
      <c r="C156" s="8" t="inlineStr">
        <is>
          <t>30. Paid-in or capital surplus</t>
        </is>
      </c>
      <c r="D156" s="8" t="inlineStr">
        <is>
          <t>30E</t>
        </is>
      </c>
      <c r="E156" s="8" t="inlineStr">
        <is>
          <t>part_x_balance_sheet.paid_in_capital_eoy</t>
        </is>
      </c>
      <c r="F156" s="8" t="inlineStr">
        <is>
          <t>high</t>
        </is>
      </c>
      <c r="G156" s="9" t="n">
        <v>5731277</v>
      </c>
    </row>
    <row r="157">
      <c r="A157" s="8" t="inlineStr">
        <is>
          <t>Balance sheet (detail)</t>
        </is>
      </c>
      <c r="B157" s="8" t="inlineStr">
        <is>
          <t>B33</t>
        </is>
      </c>
      <c r="C157" s="8" t="inlineStr">
        <is>
          <t>31. Retained earnings / accumulated funds</t>
        </is>
      </c>
      <c r="D157" s="8" t="inlineStr">
        <is>
          <t>31E</t>
        </is>
      </c>
      <c r="E157" s="8" t="inlineStr">
        <is>
          <t>part_x_balance_sheet.retained_earnings_eoy</t>
        </is>
      </c>
      <c r="F157" s="8" t="inlineStr">
        <is>
          <t>high</t>
        </is>
      </c>
      <c r="G157" s="9" t="n">
        <v>18558098</v>
      </c>
    </row>
    <row r="158">
      <c r="A158" s="8" t="inlineStr">
        <is>
          <t>Balance sheet (detail)</t>
        </is>
      </c>
      <c r="B158" s="8" t="inlineStr">
        <is>
          <t>C33</t>
        </is>
      </c>
      <c r="C158" s="8" t="inlineStr">
        <is>
          <t>31. Retained earnings / accumulated funds</t>
        </is>
      </c>
      <c r="D158" s="8" t="inlineStr">
        <is>
          <t>31E</t>
        </is>
      </c>
      <c r="E158" s="8" t="inlineStr">
        <is>
          <t>part_x_balance_sheet.retained_earnings_eoy</t>
        </is>
      </c>
      <c r="F158" s="8" t="inlineStr">
        <is>
          <t>high</t>
        </is>
      </c>
      <c r="G158" s="9" t="n">
        <v>19796942</v>
      </c>
    </row>
    <row r="159">
      <c r="A159" s="8" t="inlineStr">
        <is>
          <t>Balance sheet (detail)</t>
        </is>
      </c>
      <c r="B159" s="8" t="inlineStr">
        <is>
          <t>D33</t>
        </is>
      </c>
      <c r="C159" s="8" t="inlineStr">
        <is>
          <t>31. Retained earnings / accumulated funds</t>
        </is>
      </c>
      <c r="D159" s="8" t="inlineStr">
        <is>
          <t>31E</t>
        </is>
      </c>
      <c r="E159" s="8" t="inlineStr">
        <is>
          <t>part_x_balance_sheet.retained_earnings_eoy</t>
        </is>
      </c>
      <c r="F159" s="8" t="inlineStr">
        <is>
          <t>high</t>
        </is>
      </c>
      <c r="G159" s="9" t="n">
        <v>20019909</v>
      </c>
    </row>
    <row r="160">
      <c r="A160" s="8" t="inlineStr">
        <is>
          <t>Balance sheet (detail)</t>
        </is>
      </c>
      <c r="B160" s="8" t="inlineStr">
        <is>
          <t>E33</t>
        </is>
      </c>
      <c r="C160" s="8" t="inlineStr">
        <is>
          <t>31. Retained earnings / accumulated funds</t>
        </is>
      </c>
      <c r="D160" s="8" t="inlineStr">
        <is>
          <t>31E</t>
        </is>
      </c>
      <c r="E160" s="8" t="inlineStr">
        <is>
          <t>part_x_balance_sheet.retained_earnings_eoy</t>
        </is>
      </c>
      <c r="F160" s="8" t="inlineStr">
        <is>
          <t>high</t>
        </is>
      </c>
      <c r="G160" s="9" t="n">
        <v>25584777</v>
      </c>
    </row>
    <row r="161">
      <c r="A161" s="8" t="inlineStr">
        <is>
          <t>Net-assets reconciliation</t>
        </is>
      </c>
      <c r="B161" s="8" t="inlineStr">
        <is>
          <t>B7</t>
        </is>
      </c>
      <c r="C161" s="8" t="inlineStr">
        <is>
          <t>4. Net assets, beginning of year</t>
        </is>
      </c>
      <c r="D161" s="8" t="inlineStr">
        <is>
          <t>Part XI line 4</t>
        </is>
      </c>
      <c r="E161" s="8" t="inlineStr">
        <is>
          <t>part_xi_reconciliation.net_assets_boy</t>
        </is>
      </c>
      <c r="F161" s="8" t="inlineStr">
        <is>
          <t>high</t>
        </is>
      </c>
      <c r="G161" s="9" t="n">
        <v>24596472</v>
      </c>
    </row>
    <row r="162">
      <c r="A162" s="8" t="inlineStr">
        <is>
          <t>Net-assets reconciliation</t>
        </is>
      </c>
      <c r="B162" s="8" t="inlineStr">
        <is>
          <t>C7</t>
        </is>
      </c>
      <c r="C162" s="8" t="inlineStr">
        <is>
          <t>4. Net assets, beginning of year</t>
        </is>
      </c>
      <c r="D162" s="8" t="inlineStr">
        <is>
          <t>Part XI line 4</t>
        </is>
      </c>
      <c r="E162" s="8" t="inlineStr">
        <is>
          <t>part_xi_reconciliation.net_assets_boy</t>
        </is>
      </c>
      <c r="F162" s="8" t="inlineStr">
        <is>
          <t>high</t>
        </is>
      </c>
      <c r="G162" s="9" t="n">
        <v>27729989</v>
      </c>
    </row>
    <row r="163">
      <c r="A163" s="8" t="inlineStr">
        <is>
          <t>Net-assets reconciliation</t>
        </is>
      </c>
      <c r="B163" s="8" t="inlineStr">
        <is>
          <t>D7</t>
        </is>
      </c>
      <c r="C163" s="8" t="inlineStr">
        <is>
          <t>4. Net assets, beginning of year</t>
        </is>
      </c>
      <c r="D163" s="8" t="inlineStr">
        <is>
          <t>Part XI line 4</t>
        </is>
      </c>
      <c r="E163" s="8" t="inlineStr">
        <is>
          <t>part_xi_reconciliation.net_assets_boy</t>
        </is>
      </c>
      <c r="F163" s="8" t="inlineStr">
        <is>
          <t>high</t>
        </is>
      </c>
      <c r="G163" s="9" t="n">
        <v>28989468</v>
      </c>
    </row>
    <row r="164">
      <c r="A164" s="8" t="inlineStr">
        <is>
          <t>Net-assets reconciliation</t>
        </is>
      </c>
      <c r="B164" s="8" t="inlineStr">
        <is>
          <t>E7</t>
        </is>
      </c>
      <c r="C164" s="8" t="inlineStr">
        <is>
          <t>4. Net assets, beginning of year</t>
        </is>
      </c>
      <c r="D164" s="8" t="inlineStr">
        <is>
          <t>Part XI line 4</t>
        </is>
      </c>
      <c r="E164" s="8" t="inlineStr">
        <is>
          <t>part_xi_reconciliation.net_assets_boy</t>
        </is>
      </c>
      <c r="F164" s="8" t="inlineStr">
        <is>
          <t>high</t>
        </is>
      </c>
      <c r="G164" s="9" t="n">
        <v>29263243</v>
      </c>
    </row>
    <row r="165">
      <c r="A165" s="8" t="inlineStr">
        <is>
          <t>Net-assets reconciliation</t>
        </is>
      </c>
      <c r="B165" s="8" t="inlineStr">
        <is>
          <t>B8</t>
        </is>
      </c>
      <c r="C165" s="8" t="inlineStr">
        <is>
          <t>3. Revenue less expenses</t>
        </is>
      </c>
      <c r="D165" s="8" t="inlineStr">
        <is>
          <t>Part XI line 3</t>
        </is>
      </c>
      <c r="E165" s="8" t="inlineStr">
        <is>
          <t>part_xi_reconciliation.reconciliation_revenue_expenses</t>
        </is>
      </c>
      <c r="F165" s="8" t="inlineStr">
        <is>
          <t>high</t>
        </is>
      </c>
      <c r="G165" s="9" t="n">
        <v>3053295</v>
      </c>
    </row>
    <row r="166">
      <c r="A166" s="8" t="inlineStr">
        <is>
          <t>Net-assets reconciliation</t>
        </is>
      </c>
      <c r="B166" s="8" t="inlineStr">
        <is>
          <t>C8</t>
        </is>
      </c>
      <c r="C166" s="8" t="inlineStr">
        <is>
          <t>3. Revenue less expenses</t>
        </is>
      </c>
      <c r="D166" s="8" t="inlineStr">
        <is>
          <t>Part XI line 3</t>
        </is>
      </c>
      <c r="E166" s="8" t="inlineStr">
        <is>
          <t>part_xi_reconciliation.reconciliation_revenue_expenses</t>
        </is>
      </c>
      <c r="F166" s="8" t="inlineStr">
        <is>
          <t>high</t>
        </is>
      </c>
      <c r="G166" s="9" t="n">
        <v>1238844</v>
      </c>
    </row>
    <row r="167">
      <c r="A167" s="8" t="inlineStr">
        <is>
          <t>Net-assets reconciliation</t>
        </is>
      </c>
      <c r="B167" s="8" t="inlineStr">
        <is>
          <t>D8</t>
        </is>
      </c>
      <c r="C167" s="8" t="inlineStr">
        <is>
          <t>3. Revenue less expenses</t>
        </is>
      </c>
      <c r="D167" s="8" t="inlineStr">
        <is>
          <t>Part XI line 3</t>
        </is>
      </c>
      <c r="E167" s="8" t="inlineStr">
        <is>
          <t>part_xi_reconciliation.reconciliation_revenue_expenses</t>
        </is>
      </c>
      <c r="F167" s="8" t="inlineStr">
        <is>
          <t>high</t>
        </is>
      </c>
      <c r="G167" s="9" t="n">
        <v>305425</v>
      </c>
    </row>
    <row r="168">
      <c r="A168" s="8" t="inlineStr">
        <is>
          <t>Net-assets reconciliation</t>
        </is>
      </c>
      <c r="B168" s="8" t="inlineStr">
        <is>
          <t>E8</t>
        </is>
      </c>
      <c r="C168" s="8" t="inlineStr">
        <is>
          <t>3. Revenue less expenses</t>
        </is>
      </c>
      <c r="D168" s="8" t="inlineStr">
        <is>
          <t>Part XI line 3</t>
        </is>
      </c>
      <c r="E168" s="8" t="inlineStr">
        <is>
          <t>part_xi_reconciliation.reconciliation_revenue_expenses</t>
        </is>
      </c>
      <c r="F168" s="8" t="inlineStr">
        <is>
          <t>high</t>
        </is>
      </c>
      <c r="G168" s="9" t="n">
        <v>5564869</v>
      </c>
    </row>
    <row r="169">
      <c r="A169" s="8" t="inlineStr">
        <is>
          <t>Net-assets reconciliation</t>
        </is>
      </c>
      <c r="B169" s="8" t="inlineStr">
        <is>
          <t>B10</t>
        </is>
      </c>
      <c r="C169" s="8" t="inlineStr">
        <is>
          <t>9. Other changes in net assets</t>
        </is>
      </c>
      <c r="D169" s="8" t="inlineStr">
        <is>
          <t>Part XI line 9</t>
        </is>
      </c>
      <c r="E169" s="8" t="inlineStr">
        <is>
          <t>part_xi_reconciliation.other_changes_net_assets</t>
        </is>
      </c>
      <c r="F169" s="8" t="inlineStr">
        <is>
          <t>high</t>
        </is>
      </c>
      <c r="G169" s="9" t="n">
        <v>80222</v>
      </c>
    </row>
    <row r="170">
      <c r="A170" s="8" t="inlineStr">
        <is>
          <t>Net-assets reconciliation</t>
        </is>
      </c>
      <c r="B170" s="8" t="inlineStr">
        <is>
          <t>C10</t>
        </is>
      </c>
      <c r="C170" s="8" t="inlineStr">
        <is>
          <t>9. Other changes in net assets</t>
        </is>
      </c>
      <c r="D170" s="8" t="inlineStr">
        <is>
          <t>Part XI line 9</t>
        </is>
      </c>
      <c r="E170" s="8" t="inlineStr">
        <is>
          <t>part_xi_reconciliation.other_changes_net_assets</t>
        </is>
      </c>
      <c r="F170" s="8" t="inlineStr">
        <is>
          <t>high</t>
        </is>
      </c>
      <c r="G170" s="9" t="n">
        <v>20635</v>
      </c>
    </row>
    <row r="171">
      <c r="A171" s="8" t="inlineStr">
        <is>
          <t>Net-assets reconciliation</t>
        </is>
      </c>
      <c r="B171" s="8" t="inlineStr">
        <is>
          <t>D10</t>
        </is>
      </c>
      <c r="C171" s="8" t="inlineStr">
        <is>
          <t>9. Other changes in net assets</t>
        </is>
      </c>
      <c r="D171" s="8" t="inlineStr">
        <is>
          <t>Part XI line 9</t>
        </is>
      </c>
      <c r="E171" s="8" t="inlineStr">
        <is>
          <t>part_xi_reconciliation.other_changes_net_assets</t>
        </is>
      </c>
      <c r="F171" s="8" t="inlineStr">
        <is>
          <t>high</t>
        </is>
      </c>
      <c r="G171" s="9" t="n">
        <v>50808</v>
      </c>
    </row>
    <row r="172">
      <c r="A172" s="8" t="inlineStr">
        <is>
          <t>Net-assets reconciliation</t>
        </is>
      </c>
      <c r="B172" s="8" t="inlineStr">
        <is>
          <t>E10</t>
        </is>
      </c>
      <c r="C172" s="8" t="inlineStr">
        <is>
          <t>9. Other changes in net assets</t>
        </is>
      </c>
      <c r="D172" s="8" t="inlineStr">
        <is>
          <t>Part XI line 9</t>
        </is>
      </c>
      <c r="E172" s="8" t="inlineStr">
        <is>
          <t>part_xi_reconciliation.other_changes_net_assets</t>
        </is>
      </c>
      <c r="F172" s="8" t="inlineStr">
        <is>
          <t>high</t>
        </is>
      </c>
      <c r="G172" s="9" t="n">
        <v>5502</v>
      </c>
    </row>
    <row r="174">
      <c r="A174" s="45" t="inlineStr">
        <is>
          <t>C. Tie-out checks (filed vs computed; any nonzero variance is flagged red)</t>
        </is>
      </c>
      <c r="B174" s="7" t="n"/>
      <c r="C174" s="7" t="n"/>
      <c r="D174" s="7" t="n"/>
      <c r="E174" s="7" t="n"/>
      <c r="F174" s="7" t="n"/>
      <c r="G174" s="7" t="n"/>
      <c r="H174" s="7" t="n"/>
      <c r="I174" s="7" t="n"/>
      <c r="J174" s="7" t="n"/>
      <c r="K174" s="7" t="n"/>
    </row>
    <row r="175">
      <c r="A175" s="5" t="inlineStr">
        <is>
          <t>Tab</t>
        </is>
      </c>
      <c r="B175" s="5" t="inlineStr">
        <is>
          <t>Check</t>
        </is>
      </c>
      <c r="C175" s="5" t="inlineStr">
        <is>
          <t>Fiscal year</t>
        </is>
      </c>
      <c r="D175" s="5" t="inlineStr">
        <is>
          <t>Filed</t>
        </is>
      </c>
      <c r="E175" s="5" t="inlineStr">
        <is>
          <t>Computed</t>
        </is>
      </c>
      <c r="F175" s="5" t="inlineStr">
        <is>
          <t>Variance (computed - filed)</t>
        </is>
      </c>
    </row>
    <row r="176">
      <c r="A176" s="48" t="inlineStr">
        <is>
          <t>Revenue (detail)</t>
        </is>
      </c>
      <c r="B176" s="48" t="inlineStr">
        <is>
          <t>12. Total revenue</t>
        </is>
      </c>
      <c r="C176" s="48" t="inlineStr">
        <is>
          <t>FY2021</t>
        </is>
      </c>
      <c r="D176" s="9" t="n">
        <v>9702473</v>
      </c>
      <c r="E176" s="9">
        <f>'Revenue (detail)'!B13</f>
        <v/>
      </c>
      <c r="F176" s="9">
        <f>E176-D176</f>
        <v/>
      </c>
    </row>
    <row r="177">
      <c r="A177" s="48" t="inlineStr">
        <is>
          <t>Revenue (detail)</t>
        </is>
      </c>
      <c r="B177" s="48" t="inlineStr">
        <is>
          <t>12. Total revenue</t>
        </is>
      </c>
      <c r="C177" s="48" t="inlineStr">
        <is>
          <t>FY2022</t>
        </is>
      </c>
      <c r="D177" s="9" t="n">
        <v>11045397</v>
      </c>
      <c r="E177" s="9">
        <f>'Revenue (detail)'!C13</f>
        <v/>
      </c>
      <c r="F177" s="9">
        <f>E177-D177</f>
        <v/>
      </c>
    </row>
    <row r="178">
      <c r="A178" s="48" t="inlineStr">
        <is>
          <t>Revenue (detail)</t>
        </is>
      </c>
      <c r="B178" s="48" t="inlineStr">
        <is>
          <t>12. Total revenue</t>
        </is>
      </c>
      <c r="C178" s="48" t="inlineStr">
        <is>
          <t>FY2023</t>
        </is>
      </c>
      <c r="D178" s="9" t="n">
        <v>11329134</v>
      </c>
      <c r="E178" s="9">
        <f>'Revenue (detail)'!D13</f>
        <v/>
      </c>
      <c r="F178" s="9">
        <f>E178-D178</f>
        <v/>
      </c>
    </row>
    <row r="179">
      <c r="A179" s="48" t="inlineStr">
        <is>
          <t>Revenue (detail)</t>
        </is>
      </c>
      <c r="B179" s="48" t="inlineStr">
        <is>
          <t>12. Total revenue</t>
        </is>
      </c>
      <c r="C179" s="48" t="inlineStr">
        <is>
          <t>FY2024</t>
        </is>
      </c>
      <c r="D179" s="9" t="n">
        <v>11267619</v>
      </c>
      <c r="E179" s="9">
        <f>'Revenue (detail)'!E13</f>
        <v/>
      </c>
      <c r="F179" s="9">
        <f>E179-D179</f>
        <v/>
      </c>
    </row>
    <row r="180">
      <c r="A180" s="48" t="inlineStr">
        <is>
          <t>Revenue (detail)</t>
        </is>
      </c>
      <c r="B180" s="48" t="inlineStr">
        <is>
          <t>2g program service revenue = sum of lines 2a-2f (FY2024)</t>
        </is>
      </c>
      <c r="C180" s="48" t="inlineStr">
        <is>
          <t>FY2024</t>
        </is>
      </c>
      <c r="D180" s="9" t="n">
        <v>10476825</v>
      </c>
      <c r="E180" s="9">
        <f>SUM('Revenue (detail)'!C17:C17)</f>
        <v/>
      </c>
      <c r="F180" s="9">
        <f>E180-D180</f>
        <v/>
      </c>
    </row>
    <row r="181">
      <c r="A181" s="48" t="inlineStr">
        <is>
          <t>Operating expenses (detail)</t>
        </is>
      </c>
      <c r="B181" s="48" t="inlineStr">
        <is>
          <t>25. Total functional expenses</t>
        </is>
      </c>
      <c r="C181" s="48" t="inlineStr">
        <is>
          <t>FY2021</t>
        </is>
      </c>
      <c r="D181" s="9" t="n">
        <v>6649178</v>
      </c>
      <c r="E181" s="9">
        <f>'Operating expenses (detail)'!B47</f>
        <v/>
      </c>
      <c r="F181" s="9">
        <f>E181-D181</f>
        <v/>
      </c>
    </row>
    <row r="182">
      <c r="A182" s="48" t="inlineStr">
        <is>
          <t>Operating expenses (detail)</t>
        </is>
      </c>
      <c r="B182" s="48" t="inlineStr">
        <is>
          <t>25. Total functional expenses</t>
        </is>
      </c>
      <c r="C182" s="48" t="inlineStr">
        <is>
          <t>FY2022</t>
        </is>
      </c>
      <c r="D182" s="9" t="n">
        <v>9806553</v>
      </c>
      <c r="E182" s="9">
        <f>'Operating expenses (detail)'!C47</f>
        <v/>
      </c>
      <c r="F182" s="9">
        <f>E182-D182</f>
        <v/>
      </c>
    </row>
    <row r="183">
      <c r="A183" s="48" t="inlineStr">
        <is>
          <t>Operating expenses (detail)</t>
        </is>
      </c>
      <c r="B183" s="48" t="inlineStr">
        <is>
          <t>25. Total functional expenses</t>
        </is>
      </c>
      <c r="C183" s="48" t="inlineStr">
        <is>
          <t>FY2023</t>
        </is>
      </c>
      <c r="D183" s="9" t="n">
        <v>11023709</v>
      </c>
      <c r="E183" s="9">
        <f>'Operating expenses (detail)'!D47</f>
        <v/>
      </c>
      <c r="F183" s="9">
        <f>E183-D183</f>
        <v/>
      </c>
    </row>
    <row r="184">
      <c r="A184" s="48" t="inlineStr">
        <is>
          <t>Operating expenses (detail)</t>
        </is>
      </c>
      <c r="B184" s="48" t="inlineStr">
        <is>
          <t>25. Total functional expenses</t>
        </is>
      </c>
      <c r="C184" s="48" t="inlineStr">
        <is>
          <t>FY2024</t>
        </is>
      </c>
      <c r="D184" s="9" t="n">
        <v>5702750</v>
      </c>
      <c r="E184" s="9">
        <f>'Operating expenses (detail)'!E47</f>
        <v/>
      </c>
      <c r="F184" s="9">
        <f>E184-D184</f>
        <v/>
      </c>
    </row>
    <row r="185">
      <c r="A185" s="48" t="inlineStr">
        <is>
          <t>Balance sheet (detail)</t>
        </is>
      </c>
      <c r="B185" s="48" t="inlineStr">
        <is>
          <t>16. Total assets</t>
        </is>
      </c>
      <c r="C185" s="48" t="inlineStr">
        <is>
          <t>FY2021</t>
        </is>
      </c>
      <c r="D185" s="9" t="n">
        <v>40080458</v>
      </c>
      <c r="E185" s="9">
        <f>'Balance sheet (detail)'!B22</f>
        <v/>
      </c>
      <c r="F185" s="9">
        <f>E185-D185</f>
        <v/>
      </c>
    </row>
    <row r="186">
      <c r="A186" s="48" t="inlineStr">
        <is>
          <t>Balance sheet (detail)</t>
        </is>
      </c>
      <c r="B186" s="48" t="inlineStr">
        <is>
          <t>16. Total assets</t>
        </is>
      </c>
      <c r="C186" s="48" t="inlineStr">
        <is>
          <t>FY2022</t>
        </is>
      </c>
      <c r="D186" s="9" t="n">
        <v>46887728</v>
      </c>
      <c r="E186" s="9">
        <f>'Balance sheet (detail)'!C22</f>
        <v/>
      </c>
      <c r="F186" s="9">
        <f>E186-D186</f>
        <v/>
      </c>
    </row>
    <row r="187">
      <c r="A187" s="48" t="inlineStr">
        <is>
          <t>Balance sheet (detail)</t>
        </is>
      </c>
      <c r="B187" s="48" t="inlineStr">
        <is>
          <t>16. Total assets</t>
        </is>
      </c>
      <c r="C187" s="48" t="inlineStr">
        <is>
          <t>FY2023</t>
        </is>
      </c>
      <c r="D187" s="9" t="n">
        <v>47332418</v>
      </c>
      <c r="E187" s="9">
        <f>'Balance sheet (detail)'!D22</f>
        <v/>
      </c>
      <c r="F187" s="9">
        <f>E187-D187</f>
        <v/>
      </c>
    </row>
    <row r="188">
      <c r="A188" s="48" t="inlineStr">
        <is>
          <t>Balance sheet (detail)</t>
        </is>
      </c>
      <c r="B188" s="48" t="inlineStr">
        <is>
          <t>16. Total assets</t>
        </is>
      </c>
      <c r="C188" s="48" t="inlineStr">
        <is>
          <t>FY2024</t>
        </is>
      </c>
      <c r="D188" s="9" t="n">
        <v>59815004</v>
      </c>
      <c r="E188" s="9">
        <f>'Balance sheet (detail)'!E22</f>
        <v/>
      </c>
      <c r="F188" s="9">
        <f>E188-D188</f>
        <v/>
      </c>
    </row>
    <row r="189">
      <c r="A189" s="48" t="inlineStr">
        <is>
          <t>Balance sheet (detail)</t>
        </is>
      </c>
      <c r="B189" s="48" t="inlineStr">
        <is>
          <t>26. Total liabilities</t>
        </is>
      </c>
      <c r="C189" s="48" t="inlineStr">
        <is>
          <t>FY2021</t>
        </is>
      </c>
      <c r="D189" s="9" t="n">
        <v>12350469</v>
      </c>
      <c r="E189" s="9">
        <f>'Balance sheet (detail)'!B28</f>
        <v/>
      </c>
      <c r="F189" s="9">
        <f>E189-D189</f>
        <v/>
      </c>
    </row>
    <row r="190">
      <c r="A190" s="48" t="inlineStr">
        <is>
          <t>Balance sheet (detail)</t>
        </is>
      </c>
      <c r="B190" s="48" t="inlineStr">
        <is>
          <t>26. Total liabilities</t>
        </is>
      </c>
      <c r="C190" s="48" t="inlineStr">
        <is>
          <t>FY2022</t>
        </is>
      </c>
      <c r="D190" s="9" t="n">
        <v>17898260</v>
      </c>
      <c r="E190" s="9">
        <f>'Balance sheet (detail)'!C28</f>
        <v/>
      </c>
      <c r="F190" s="9">
        <f>E190-D190</f>
        <v/>
      </c>
    </row>
    <row r="191">
      <c r="A191" s="48" t="inlineStr">
        <is>
          <t>Balance sheet (detail)</t>
        </is>
      </c>
      <c r="B191" s="48" t="inlineStr">
        <is>
          <t>26. Total liabilities</t>
        </is>
      </c>
      <c r="C191" s="48" t="inlineStr">
        <is>
          <t>FY2023</t>
        </is>
      </c>
      <c r="D191" s="9" t="n">
        <v>18069175</v>
      </c>
      <c r="E191" s="9">
        <f>'Balance sheet (detail)'!D28</f>
        <v/>
      </c>
      <c r="F191" s="9">
        <f>E191-D191</f>
        <v/>
      </c>
    </row>
    <row r="192">
      <c r="A192" s="48" t="inlineStr">
        <is>
          <t>Balance sheet (detail)</t>
        </is>
      </c>
      <c r="B192" s="48" t="inlineStr">
        <is>
          <t>26. Total liabilities</t>
        </is>
      </c>
      <c r="C192" s="48" t="inlineStr">
        <is>
          <t>FY2024</t>
        </is>
      </c>
      <c r="D192" s="9" t="n">
        <v>24981391</v>
      </c>
      <c r="E192" s="9">
        <f>'Balance sheet (detail)'!E28</f>
        <v/>
      </c>
      <c r="F192" s="9">
        <f>E192-D192</f>
        <v/>
      </c>
    </row>
    <row r="193">
      <c r="A193" s="48" t="inlineStr">
        <is>
          <t>Balance sheet (detail)</t>
        </is>
      </c>
      <c r="B193" s="48" t="inlineStr">
        <is>
          <t>32. Total net assets / fund balances</t>
        </is>
      </c>
      <c r="C193" s="48" t="inlineStr">
        <is>
          <t>FY2021</t>
        </is>
      </c>
      <c r="D193" s="9" t="n">
        <v>27729989</v>
      </c>
      <c r="E193" s="9">
        <f>'Balance sheet (detail)'!B34</f>
        <v/>
      </c>
      <c r="F193" s="9">
        <f>E193-D193</f>
        <v/>
      </c>
    </row>
    <row r="194">
      <c r="A194" s="48" t="inlineStr">
        <is>
          <t>Balance sheet (detail)</t>
        </is>
      </c>
      <c r="B194" s="48" t="inlineStr">
        <is>
          <t>32. Total net assets / fund balances</t>
        </is>
      </c>
      <c r="C194" s="48" t="inlineStr">
        <is>
          <t>FY2022</t>
        </is>
      </c>
      <c r="D194" s="9" t="n">
        <v>28989468</v>
      </c>
      <c r="E194" s="9">
        <f>'Balance sheet (detail)'!C34</f>
        <v/>
      </c>
      <c r="F194" s="9">
        <f>E194-D194</f>
        <v/>
      </c>
    </row>
    <row r="195">
      <c r="A195" s="48" t="inlineStr">
        <is>
          <t>Balance sheet (detail)</t>
        </is>
      </c>
      <c r="B195" s="48" t="inlineStr">
        <is>
          <t>32. Total net assets / fund balances</t>
        </is>
      </c>
      <c r="C195" s="48" t="inlineStr">
        <is>
          <t>FY2023</t>
        </is>
      </c>
      <c r="D195" s="9" t="n">
        <v>29263243</v>
      </c>
      <c r="E195" s="9">
        <f>'Balance sheet (detail)'!D34</f>
        <v/>
      </c>
      <c r="F195" s="9">
        <f>E195-D195</f>
        <v/>
      </c>
    </row>
    <row r="196">
      <c r="A196" s="48" t="inlineStr">
        <is>
          <t>Balance sheet (detail)</t>
        </is>
      </c>
      <c r="B196" s="48" t="inlineStr">
        <is>
          <t>32. Total net assets / fund balances</t>
        </is>
      </c>
      <c r="C196" s="48" t="inlineStr">
        <is>
          <t>FY2024</t>
        </is>
      </c>
      <c r="D196" s="9" t="n">
        <v>34833613</v>
      </c>
      <c r="E196" s="9">
        <f>'Balance sheet (detail)'!E34</f>
        <v/>
      </c>
      <c r="F196" s="9">
        <f>E196-D196</f>
        <v/>
      </c>
    </row>
    <row r="197">
      <c r="A197" s="48" t="inlineStr">
        <is>
          <t>Balance sheet (detail)</t>
        </is>
      </c>
      <c r="B197" s="48" t="inlineStr">
        <is>
          <t>Balance sheet identity: line 16 = line 26 + line 32 (EOY)</t>
        </is>
      </c>
      <c r="C197" s="48" t="inlineStr">
        <is>
          <t>FY2021</t>
        </is>
      </c>
      <c r="D197" s="9">
        <f>'Balance sheet (detail)'!B22</f>
        <v/>
      </c>
      <c r="E197" s="9">
        <f>SUM('Balance sheet (detail)'!B28,'Balance sheet (detail)'!B34)</f>
        <v/>
      </c>
      <c r="F197" s="9">
        <f>E197-D197</f>
        <v/>
      </c>
    </row>
    <row r="198">
      <c r="A198" s="48" t="inlineStr">
        <is>
          <t>Balance sheet (detail)</t>
        </is>
      </c>
      <c r="B198" s="48" t="inlineStr">
        <is>
          <t>Balance sheet identity: line 16 = line 26 + line 32 (EOY)</t>
        </is>
      </c>
      <c r="C198" s="48" t="inlineStr">
        <is>
          <t>FY2022</t>
        </is>
      </c>
      <c r="D198" s="9">
        <f>'Balance sheet (detail)'!C22</f>
        <v/>
      </c>
      <c r="E198" s="9">
        <f>SUM('Balance sheet (detail)'!C28,'Balance sheet (detail)'!C34)</f>
        <v/>
      </c>
      <c r="F198" s="9">
        <f>E198-D198</f>
        <v/>
      </c>
    </row>
    <row r="199">
      <c r="A199" s="48" t="inlineStr">
        <is>
          <t>Balance sheet (detail)</t>
        </is>
      </c>
      <c r="B199" s="48" t="inlineStr">
        <is>
          <t>Balance sheet identity: line 16 = line 26 + line 32 (EOY)</t>
        </is>
      </c>
      <c r="C199" s="48" t="inlineStr">
        <is>
          <t>FY2023</t>
        </is>
      </c>
      <c r="D199" s="9">
        <f>'Balance sheet (detail)'!D22</f>
        <v/>
      </c>
      <c r="E199" s="9">
        <f>SUM('Balance sheet (detail)'!D28,'Balance sheet (detail)'!D34)</f>
        <v/>
      </c>
      <c r="F199" s="9">
        <f>E199-D199</f>
        <v/>
      </c>
    </row>
    <row r="200">
      <c r="A200" s="48" t="inlineStr">
        <is>
          <t>Balance sheet (detail)</t>
        </is>
      </c>
      <c r="B200" s="48" t="inlineStr">
        <is>
          <t>Balance sheet identity: line 16 = line 26 + line 32 (EOY)</t>
        </is>
      </c>
      <c r="C200" s="48" t="inlineStr">
        <is>
          <t>FY2024</t>
        </is>
      </c>
      <c r="D200" s="9">
        <f>'Balance sheet (detail)'!E22</f>
        <v/>
      </c>
      <c r="E200" s="9">
        <f>SUM('Balance sheet (detail)'!E28,'Balance sheet (detail)'!E34)</f>
        <v/>
      </c>
      <c r="F200" s="9">
        <f>E200-D200</f>
        <v/>
      </c>
    </row>
    <row r="201">
      <c r="A201" s="48" t="inlineStr">
        <is>
          <t>Net-assets reconciliation</t>
        </is>
      </c>
      <c r="B201" s="48" t="inlineStr">
        <is>
          <t>10. Net assets, end of year</t>
        </is>
      </c>
      <c r="C201" s="48" t="inlineStr">
        <is>
          <t>FY2021</t>
        </is>
      </c>
      <c r="D201" s="9" t="n">
        <v>27729989</v>
      </c>
      <c r="E201" s="9">
        <f>'Net-assets reconciliation'!B11</f>
        <v/>
      </c>
      <c r="F201" s="9">
        <f>E201-D201</f>
        <v/>
      </c>
    </row>
    <row r="202">
      <c r="A202" s="48" t="inlineStr">
        <is>
          <t>Net-assets reconciliation</t>
        </is>
      </c>
      <c r="B202" s="48" t="inlineStr">
        <is>
          <t>10. Net assets, end of year</t>
        </is>
      </c>
      <c r="C202" s="48" t="inlineStr">
        <is>
          <t>FY2022</t>
        </is>
      </c>
      <c r="D202" s="9" t="n">
        <v>28989468</v>
      </c>
      <c r="E202" s="9">
        <f>'Net-assets reconciliation'!C11</f>
        <v/>
      </c>
      <c r="F202" s="9">
        <f>E202-D202</f>
        <v/>
      </c>
    </row>
    <row r="203">
      <c r="A203" s="48" t="inlineStr">
        <is>
          <t>Net-assets reconciliation</t>
        </is>
      </c>
      <c r="B203" s="48" t="inlineStr">
        <is>
          <t>10. Net assets, end of year</t>
        </is>
      </c>
      <c r="C203" s="48" t="inlineStr">
        <is>
          <t>FY2023</t>
        </is>
      </c>
      <c r="D203" s="9" t="n">
        <v>29263243</v>
      </c>
      <c r="E203" s="9">
        <f>'Net-assets reconciliation'!D11</f>
        <v/>
      </c>
      <c r="F203" s="9">
        <f>E203-D203</f>
        <v/>
      </c>
    </row>
    <row r="204">
      <c r="A204" s="48" t="inlineStr">
        <is>
          <t>Net-assets reconciliation</t>
        </is>
      </c>
      <c r="B204" s="48" t="inlineStr">
        <is>
          <t>10. Net assets, end of year</t>
        </is>
      </c>
      <c r="C204" s="48" t="inlineStr">
        <is>
          <t>FY2024</t>
        </is>
      </c>
      <c r="D204" s="9" t="n">
        <v>34833613</v>
      </c>
      <c r="E204" s="9">
        <f>'Net-assets reconciliation'!E11</f>
        <v/>
      </c>
      <c r="F204" s="9">
        <f>E204-D204</f>
        <v/>
      </c>
    </row>
    <row r="206">
      <c r="A206" s="45" t="inlineStr">
        <is>
          <t>D. Preparer / auditor trail (one row per fiscal year, as filed)</t>
        </is>
      </c>
      <c r="B206" s="7" t="n"/>
      <c r="C206" s="7" t="n"/>
      <c r="D206" s="7" t="n"/>
      <c r="E206" s="7" t="n"/>
      <c r="F206" s="7" t="n"/>
      <c r="G206" s="7" t="n"/>
      <c r="H206" s="7" t="n"/>
      <c r="I206" s="7" t="n"/>
      <c r="J206" s="7" t="n"/>
      <c r="K206" s="7" t="n"/>
    </row>
    <row r="207">
      <c r="A207" s="5" t="inlineStr">
        <is>
          <t>Fiscal year</t>
        </is>
      </c>
      <c r="B207" s="5" t="inlineStr">
        <is>
          <t>Paid preparer</t>
        </is>
      </c>
      <c r="C207" s="5" t="inlineStr">
        <is>
          <t>Preparer firm</t>
        </is>
      </c>
      <c r="D207" s="5" t="inlineStr">
        <is>
          <t>Independent auditor</t>
        </is>
      </c>
      <c r="E207" s="5" t="inlineStr">
        <is>
          <t>Citation</t>
        </is>
      </c>
    </row>
    <row r="208" ht="42" customHeight="1">
      <c r="A208" s="46" t="inlineStr">
        <is>
          <t>FY2021</t>
        </is>
      </c>
      <c r="B208" s="8" t="inlineStr">
        <is>
          <t>DALE PINER</t>
        </is>
      </c>
      <c r="C208" s="8" t="inlineStr">
        <is>
          <t>DALE PINER CPA</t>
        </is>
      </c>
      <c r="D208" s="50" t="inlineStr">
        <is>
          <t>not reported</t>
        </is>
      </c>
      <c r="E208" s="24" t="inlineStr">
        <is>
          <t>Form 990 Return Header, Paid Preparer block (return_header.preparer_person_name / preparer_firm_name); auditor: Part XII line 2 reports audited financial statements but does not name the firm.</t>
        </is>
      </c>
    </row>
    <row r="209" ht="42" customHeight="1">
      <c r="A209" s="46" t="inlineStr">
        <is>
          <t>FY2022</t>
        </is>
      </c>
      <c r="B209" s="8" t="inlineStr">
        <is>
          <t>GEOFFREY B KING</t>
        </is>
      </c>
      <c r="C209" s="8" t="inlineStr">
        <is>
          <t>BARBICH HOOPER KING DILL HOFFMAN</t>
        </is>
      </c>
      <c r="D209" s="50" t="inlineStr">
        <is>
          <t>not reported</t>
        </is>
      </c>
      <c r="E209" s="24" t="inlineStr">
        <is>
          <t>Form 990 Return Header, Paid Preparer block (return_header.preparer_person_name / preparer_firm_name); auditor: Part XII line 2 reports audited financial statements but does not name the firm.</t>
        </is>
      </c>
    </row>
    <row r="210" ht="42" customHeight="1">
      <c r="A210" s="46" t="inlineStr">
        <is>
          <t>FY2023</t>
        </is>
      </c>
      <c r="B210" s="8" t="inlineStr">
        <is>
          <t>GEOFFREY B KING</t>
        </is>
      </c>
      <c r="C210" s="8" t="inlineStr">
        <is>
          <t>BARBICH HOOPER KING DILL HOFFMAN</t>
        </is>
      </c>
      <c r="D210" s="50" t="inlineStr">
        <is>
          <t>not reported</t>
        </is>
      </c>
      <c r="E210" s="24" t="inlineStr">
        <is>
          <t>Form 990 Return Header, Paid Preparer block (return_header.preparer_person_name / preparer_firm_name); auditor: Part XII line 2 reports audited financial statements but does not name the firm.</t>
        </is>
      </c>
    </row>
    <row r="211" ht="42" customHeight="1">
      <c r="A211" s="46" t="inlineStr">
        <is>
          <t>FY2024</t>
        </is>
      </c>
      <c r="B211" s="8" t="inlineStr">
        <is>
          <t>GEOFFREY B KING</t>
        </is>
      </c>
      <c r="C211" s="8" t="inlineStr">
        <is>
          <t>BARBICH HOOPER KING DILL HOFFMAN</t>
        </is>
      </c>
      <c r="D211" s="50" t="inlineStr">
        <is>
          <t>not reported</t>
        </is>
      </c>
      <c r="E211" s="24" t="inlineStr">
        <is>
          <t>Form 990 Return Header, Paid Preparer block (return_header.preparer_person_name / preparer_firm_name); auditor: Part XII line 2 reports audited financial statements but does not name the firm.</t>
        </is>
      </c>
    </row>
    <row r="213" ht="42" customHeight="1">
      <c r="A213"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213:K213"/>
    <mergeCell ref="A5:K5"/>
    <mergeCell ref="A1:K1"/>
  </mergeCells>
  <conditionalFormatting sqref="F176:F204">
    <cfRule type="cellIs" priority="1" operator="notEqual" dxfId="0">
      <formula>0</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