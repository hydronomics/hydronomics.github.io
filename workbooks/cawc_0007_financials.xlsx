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Anomaly Flags" sheetId="21" state="visible" r:id="rId21"/>
    <sheet name="Sources &amp; audit" sheetId="22" state="visible" r:id="rId22"/>
    <sheet name="Provenance" sheetId="23" state="visible" r:id="rId23"/>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4">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i val="1"/>
      <color rgb="00833C00"/>
      <sz val="10"/>
    </font>
    <font>
      <name val="Calibri"/>
      <b val="1"/>
      <color rgb="007F6000"/>
      <sz val="10"/>
    </font>
    <font>
      <name val="Calibri"/>
      <i val="1"/>
      <color rgb="007F4F00"/>
      <sz val="10"/>
    </font>
  </fonts>
  <fills count="9">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11" fillId="6" borderId="0" applyAlignment="1" pivotButton="0" quotePrefix="0" xfId="0">
      <alignment horizontal="left" vertical="top" wrapText="1"/>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2" fillId="7" borderId="1" applyAlignment="1" pivotButton="0" quotePrefix="0" xfId="0">
      <alignment horizontal="right"/>
    </xf>
    <xf numFmtId="1" fontId="12"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8" fillId="0" borderId="1" applyAlignment="1" pivotButton="0" quotePrefix="0" xfId="0">
      <alignment horizontal="center" vertical="center"/>
    </xf>
    <xf numFmtId="0" fontId="13" fillId="8" borderId="1" applyAlignment="1" pivotButton="0" quotePrefix="0" xfId="0">
      <alignment horizontal="left" vertical="top" wrapText="1"/>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hydronomics</author>
  </authors>
  <commentList>
    <comment ref="B10" authorId="0" shapeId="0">
      <text>
        <t>Sacramento and San Joaquin Valley index classification</t>
      </text>
    </comment>
    <comment ref="C10" authorId="0" shapeId="0">
      <text>
        <t>Sacramento and San Joaquin Valley index classification</t>
      </text>
    </comment>
    <comment ref="D10" authorId="0" shapeId="0">
      <text>
        <t>Sacramento and San Joaquin Valley index classification</t>
      </text>
    </comment>
    <comment ref="E10" authorId="0" shapeId="0">
      <text>
        <t>Sacramento and San Joaquin Valley index classification</t>
      </text>
    </comment>
    <comment ref="F10" authorId="0" shapeId="0">
      <text>
        <t>no water-year-type record for WY2025 (year may be incomplete)</t>
      </text>
    </comment>
    <comment ref="B11" authorId="0" shapeId="0">
      <text>
        <t>peak weekly category over Jul 2020-Jun 2021 (exceptional)</t>
      </text>
    </comment>
    <comment ref="C11" authorId="0" shapeId="0">
      <text>
        <t>peak weekly category over Jul 2021-Jun 2022 (exceptional)</t>
      </text>
    </comment>
    <comment ref="D11" authorId="0" shapeId="0">
      <text>
        <t>peak weekly category over Jul 2022-Jun 2023 (extreme)</t>
      </text>
    </comment>
    <comment ref="E11" authorId="0" shapeId="0">
      <text>
        <t>peak weekly category over Jul 2023-Jun 2024 (none)</t>
      </text>
    </comment>
    <comment ref="F11" authorId="0" shapeId="0">
      <text>
        <t>peak weekly category over Jul 2024-Jun 2025 (extreme)</t>
      </text>
    </comment>
    <comment ref="B12" authorId="0" shapeId="0">
      <text>
        <t>water-year cumulative 24.0 in / 50 in seasonal normal; statewide SWP-supply index, not local precipitation</t>
      </text>
    </comment>
    <comment ref="C12" authorId="0" shapeId="0">
      <text>
        <t>water-year cumulative 43.0 in / 50 in seasonal normal; statewide SWP-supply index, not local precipitation</t>
      </text>
    </comment>
    <comment ref="D12" authorId="0" shapeId="0">
      <text>
        <t>water-year cumulative 66.6 in / 50 in seasonal normal; statewide SWP-supply index, not local precipitation</t>
      </text>
    </comment>
    <comment ref="E12" authorId="0" shapeId="0">
      <text>
        <t>water-year cumulative 48.2 in / 50 in seasonal normal; statewide SWP-supply index, not local precipitation</t>
      </text>
    </comment>
    <comment ref="F12" authorId="0" shapeId="0">
      <text>
        <t>water-year cumulative 56.5 in / 50 in seasonal normal; statewide SWP-supply index, not local precipitation</t>
      </text>
    </comment>
    <comment ref="B13" authorId="0" shapeId="0">
      <text>
        <t>April 1 statewide Sierra snowpack, percent of average; SWP-import indicator (no per-year API)</t>
      </text>
    </comment>
    <comment ref="C13" authorId="0" shapeId="0">
      <text>
        <t>April 1 statewide Sierra snowpack, percent of average; SWP-import indicator (no per-year API)</t>
      </text>
    </comment>
    <comment ref="D13" authorId="0" shapeId="0">
      <text>
        <t>April 1 statewide Sierra snowpack, percent of average; SWP-import indicator (no per-year API)</t>
      </text>
    </comment>
    <comment ref="E13" authorId="0" shapeId="0">
      <text>
        <t>April 1 statewide Sierra snowpack, percent of average; SWP-import indicator (no per-year API)</t>
      </text>
    </comment>
    <comment ref="F13" authorId="0" shapeId="0">
      <text>
        <t>April 1 statewide Sierra snowpack, percent of average; SWP-import indicator (no per-year API)</t>
      </text>
    </comment>
    <comment ref="B14" authorId="0" shapeId="0">
      <text>
        <t>final State Water Project Table A allocation; published DWR notice (no structured API)</t>
      </text>
    </comment>
    <comment ref="C14" authorId="0" shapeId="0">
      <text>
        <t>final State Water Project Table A allocation; published DWR notice (no structured API)</t>
      </text>
    </comment>
    <comment ref="D14" authorId="0" shapeId="0">
      <text>
        <t>final State Water Project Table A allocation; published DWR notice (no structured API)</t>
      </text>
    </comment>
    <comment ref="E14" authorId="0" shapeId="0">
      <text>
        <t>final State Water Project Table A allocation; published DWR notice (no structured API)</t>
      </text>
    </comment>
    <comment ref="F14"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Financial Summary - multi-year overview (USD)</t>
        </is>
      </c>
    </row>
    <row r="3">
      <c r="A3" s="2" t="inlineStr">
        <is>
          <t>Entity ID: cawc_0007   |   Fiscal year ends March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1031921</v>
      </c>
      <c r="C10" s="9" t="n">
        <v>1314234</v>
      </c>
      <c r="D10" s="9" t="n">
        <v>1264590</v>
      </c>
      <c r="E10" s="9" t="n">
        <v>1284537</v>
      </c>
      <c r="F10" s="9" t="n">
        <v>1771990</v>
      </c>
    </row>
    <row r="11">
      <c r="A11" s="8" t="inlineStr">
        <is>
          <t xml:space="preserve">    Total expenses</t>
        </is>
      </c>
      <c r="B11" s="9" t="n">
        <v>1047467</v>
      </c>
      <c r="C11" s="9" t="n">
        <v>1481663</v>
      </c>
      <c r="D11" s="9" t="n">
        <v>1193025</v>
      </c>
      <c r="E11" s="9" t="n">
        <v>886908</v>
      </c>
      <c r="F11" s="9" t="n">
        <v>1126391</v>
      </c>
    </row>
    <row r="12">
      <c r="A12" s="10" t="inlineStr">
        <is>
          <t xml:space="preserve">    Net income</t>
        </is>
      </c>
      <c r="B12" s="11" t="n">
        <v>-15546</v>
      </c>
      <c r="C12" s="11" t="n">
        <v>-167429</v>
      </c>
      <c r="D12" s="11" t="n">
        <v>71565</v>
      </c>
      <c r="E12" s="11" t="n">
        <v>397629</v>
      </c>
      <c r="F12" s="11" t="n">
        <v>645599</v>
      </c>
    </row>
    <row r="14">
      <c r="A14" s="6" t="inlineStr">
        <is>
          <t>Financial position (USD, end of year)</t>
        </is>
      </c>
      <c r="B14" s="7" t="n"/>
      <c r="C14" s="7" t="n"/>
      <c r="D14" s="7" t="n"/>
      <c r="E14" s="7" t="n"/>
      <c r="F14" s="7" t="n"/>
    </row>
    <row r="15">
      <c r="A15" s="8" t="inlineStr">
        <is>
          <t xml:space="preserve">    Total assets</t>
        </is>
      </c>
      <c r="B15" s="9" t="n">
        <v>1699000</v>
      </c>
      <c r="C15" s="9" t="n">
        <v>1525513</v>
      </c>
      <c r="D15" s="9" t="n">
        <v>1853989</v>
      </c>
      <c r="E15" s="9" t="n">
        <v>2285625</v>
      </c>
      <c r="F15" s="9" t="n">
        <v>3286985</v>
      </c>
    </row>
    <row r="16">
      <c r="A16" s="8" t="inlineStr">
        <is>
          <t xml:space="preserve">    Total liabilities</t>
        </is>
      </c>
      <c r="B16" s="9" t="n">
        <v>553954</v>
      </c>
      <c r="C16" s="9" t="n">
        <v>547896</v>
      </c>
      <c r="D16" s="9" t="n">
        <v>804807</v>
      </c>
      <c r="E16" s="9" t="n">
        <v>803103</v>
      </c>
      <c r="F16" s="9" t="n">
        <v>1158864</v>
      </c>
    </row>
    <row r="17">
      <c r="A17" s="10" t="inlineStr">
        <is>
          <t xml:space="preserve">    Net assets</t>
        </is>
      </c>
      <c r="B17" s="11" t="n">
        <v>1145046</v>
      </c>
      <c r="C17" s="11" t="n">
        <v>977617</v>
      </c>
      <c r="D17" s="11" t="n">
        <v>1049182</v>
      </c>
      <c r="E17" s="11" t="n">
        <v>1482522</v>
      </c>
      <c r="F17" s="11" t="n">
        <v>2128121</v>
      </c>
    </row>
    <row r="19">
      <c r="A19" s="6" t="inlineStr">
        <is>
          <t>Headline ratios</t>
        </is>
      </c>
      <c r="B19" s="7" t="n"/>
      <c r="C19" s="7" t="n"/>
      <c r="D19" s="7" t="n"/>
      <c r="E19" s="7" t="n"/>
      <c r="F19" s="7" t="n"/>
    </row>
    <row r="20">
      <c r="A20" s="8" t="inlineStr">
        <is>
          <t xml:space="preserve">    Operating margin</t>
        </is>
      </c>
      <c r="B20" s="12" t="n">
        <v>-0.01506510672813132</v>
      </c>
      <c r="C20" s="12" t="n">
        <v>-0.1273966432157439</v>
      </c>
      <c r="D20" s="12" t="n">
        <v>0.05659146442720565</v>
      </c>
      <c r="E20" s="12" t="n">
        <v>0.3095504450241605</v>
      </c>
      <c r="F20" s="12" t="n">
        <v>0.3643355775145458</v>
      </c>
    </row>
    <row r="21">
      <c r="A21" s="8" t="inlineStr">
        <is>
          <t xml:space="preserve">    Revenue growth (YoY)</t>
        </is>
      </c>
      <c r="B21" s="12" t="n">
        <v>0.1800962446737219</v>
      </c>
      <c r="C21" s="12" t="n">
        <v>0.2735800511860889</v>
      </c>
      <c r="D21" s="12" t="n">
        <v>-0.03777409502417377</v>
      </c>
      <c r="E21" s="12" t="n">
        <v>0.01577349180366759</v>
      </c>
      <c r="F21" s="12" t="n">
        <v>0.3794775860874385</v>
      </c>
    </row>
    <row r="22">
      <c r="A22" s="8" t="inlineStr">
        <is>
          <t xml:space="preserve">    Return on assets</t>
        </is>
      </c>
      <c r="B22" s="12" t="n">
        <v>-0.00915008828722778</v>
      </c>
      <c r="C22" s="12" t="n">
        <v>-0.1097525881457582</v>
      </c>
      <c r="D22" s="12" t="n">
        <v>0.03860055264621311</v>
      </c>
      <c r="E22" s="12" t="n">
        <v>0.1739694831829368</v>
      </c>
      <c r="F22" s="12" t="n">
        <v>0.1964106924734977</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Financial Statements - income statement, balance sheet, cash flow, member income test (USD)</t>
        </is>
      </c>
    </row>
    <row r="3">
      <c r="A3" s="2" t="inlineStr">
        <is>
          <t>Entity ID: cawc_0007   |   Fiscal year ends March 31.</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0</v>
      </c>
      <c r="C8" s="9" t="n">
        <v>0</v>
      </c>
      <c r="D8" s="9" t="n">
        <v>0</v>
      </c>
      <c r="E8" s="9" t="n">
        <v>0</v>
      </c>
      <c r="F8" s="9" t="n">
        <v>0</v>
      </c>
    </row>
    <row r="9">
      <c r="A9" s="8" t="inlineStr">
        <is>
          <t xml:space="preserve">    Investment income</t>
        </is>
      </c>
      <c r="B9" s="9" t="n">
        <v>0</v>
      </c>
      <c r="C9" s="9" t="n">
        <v>0</v>
      </c>
      <c r="D9" s="9" t="n">
        <v>0</v>
      </c>
      <c r="E9" s="9" t="n">
        <v>0</v>
      </c>
      <c r="F9" s="9" t="n">
        <v>0</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2000</v>
      </c>
      <c r="C11" s="9" t="n">
        <v>0</v>
      </c>
      <c r="D11" s="9" t="n">
        <v>0</v>
      </c>
      <c r="E11" s="9" t="n">
        <v>4200</v>
      </c>
      <c r="F11" s="9" t="n">
        <v>0</v>
      </c>
    </row>
    <row r="12">
      <c r="A12" s="8" t="inlineStr">
        <is>
          <t xml:space="preserve">    Other revenue</t>
        </is>
      </c>
      <c r="B12" s="9" t="n">
        <v>1028288</v>
      </c>
      <c r="C12" s="9" t="n">
        <v>1314234</v>
      </c>
      <c r="D12" s="9" t="n">
        <v>1264590</v>
      </c>
      <c r="E12" s="9" t="n">
        <v>1280337</v>
      </c>
      <c r="F12" s="9" t="n">
        <v>1771990</v>
      </c>
    </row>
    <row r="13">
      <c r="A13" s="8" t="inlineStr">
        <is>
          <t xml:space="preserve">    Contributions &amp; grants</t>
        </is>
      </c>
      <c r="B13" s="9" t="n">
        <v>1633</v>
      </c>
      <c r="C13" s="9" t="n">
        <v>0</v>
      </c>
      <c r="D13" s="9" t="n">
        <v>0</v>
      </c>
      <c r="E13" s="9" t="n">
        <v>0</v>
      </c>
      <c r="F13" s="9" t="n">
        <v>0</v>
      </c>
    </row>
    <row r="14">
      <c r="A14" s="10" t="inlineStr">
        <is>
          <t>Total revenue</t>
        </is>
      </c>
      <c r="B14" s="11" t="n">
        <v>1031921</v>
      </c>
      <c r="C14" s="11" t="n">
        <v>1314234</v>
      </c>
      <c r="D14" s="11" t="n">
        <v>1264590</v>
      </c>
      <c r="E14" s="11" t="n">
        <v>1284537</v>
      </c>
      <c r="F14" s="11" t="n">
        <v>1771990</v>
      </c>
    </row>
    <row r="16">
      <c r="A16" s="6" t="inlineStr">
        <is>
          <t>Expenses</t>
        </is>
      </c>
      <c r="B16" s="7" t="n"/>
      <c r="C16" s="7" t="n"/>
      <c r="D16" s="7" t="n"/>
      <c r="E16" s="7" t="n"/>
      <c r="F16" s="7" t="n"/>
    </row>
    <row r="17">
      <c r="A17" s="8" t="inlineStr">
        <is>
          <t xml:space="preserve">    Depreciation</t>
        </is>
      </c>
      <c r="B17" s="9" t="n">
        <v>109605</v>
      </c>
      <c r="C17" s="9" t="n">
        <v>110451</v>
      </c>
      <c r="D17" s="9" t="n">
        <v>98517</v>
      </c>
      <c r="E17" s="9" t="n">
        <v>123411</v>
      </c>
      <c r="F17" s="9" t="n">
        <v>141282</v>
      </c>
    </row>
    <row r="18">
      <c r="A18" s="8" t="inlineStr">
        <is>
          <t xml:space="preserve">    Interest expense</t>
        </is>
      </c>
      <c r="B18" s="9" t="n">
        <v>9167</v>
      </c>
      <c r="C18" s="9" t="n">
        <v>9294</v>
      </c>
      <c r="D18" s="9" t="n">
        <v>21781</v>
      </c>
      <c r="E18" s="9" t="n">
        <v>32222</v>
      </c>
      <c r="F18" s="9" t="n">
        <v>23816</v>
      </c>
    </row>
    <row r="19">
      <c r="A19" s="10" t="inlineStr">
        <is>
          <t>Total expenses</t>
        </is>
      </c>
      <c r="B19" s="11" t="n">
        <v>1047467</v>
      </c>
      <c r="C19" s="11" t="n">
        <v>1481663</v>
      </c>
      <c r="D19" s="11" t="n">
        <v>1193025</v>
      </c>
      <c r="E19" s="11" t="n">
        <v>886908</v>
      </c>
      <c r="F19" s="11" t="n">
        <v>1126391</v>
      </c>
    </row>
    <row r="21">
      <c r="A21" s="10" t="inlineStr">
        <is>
          <t>Net income</t>
        </is>
      </c>
      <c r="B21" s="11" t="n">
        <v>-15546</v>
      </c>
      <c r="C21" s="11" t="n">
        <v>-167429</v>
      </c>
      <c r="D21" s="11" t="n">
        <v>71565</v>
      </c>
      <c r="E21" s="11" t="n">
        <v>397629</v>
      </c>
      <c r="F21" s="11" t="n">
        <v>645599</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161193</v>
      </c>
      <c r="C27" s="9" t="n">
        <v>68404</v>
      </c>
      <c r="D27" s="9" t="n">
        <v>85969</v>
      </c>
      <c r="E27" s="9" t="n">
        <v>199983</v>
      </c>
      <c r="F27" s="9" t="n">
        <v>1099361</v>
      </c>
    </row>
    <row r="28">
      <c r="A28" s="8" t="inlineStr">
        <is>
          <t xml:space="preserve">    Savings &amp; temporary investments</t>
        </is>
      </c>
      <c r="B28" s="9" t="n">
        <v>0</v>
      </c>
      <c r="C28" s="9" t="n">
        <v>0</v>
      </c>
      <c r="D28" s="9" t="n">
        <v>0</v>
      </c>
      <c r="E28" s="9" t="n">
        <v>0</v>
      </c>
      <c r="F28" s="9" t="n">
        <v>0</v>
      </c>
    </row>
    <row r="29">
      <c r="A29" s="8" t="inlineStr">
        <is>
          <t xml:space="preserve">    Accounts receivable</t>
        </is>
      </c>
      <c r="B29" s="9" t="n">
        <v>5875</v>
      </c>
      <c r="C29" s="9" t="n">
        <v>0</v>
      </c>
      <c r="D29" s="9" t="n">
        <v>416170</v>
      </c>
      <c r="E29" s="9" t="n">
        <v>67466</v>
      </c>
      <c r="F29" s="9" t="n">
        <v>15440</v>
      </c>
    </row>
    <row r="30">
      <c r="A30" s="8" t="inlineStr">
        <is>
          <t xml:space="preserve">    Inventories</t>
        </is>
      </c>
      <c r="B30" s="9" t="n">
        <v>0</v>
      </c>
      <c r="C30" s="9" t="n">
        <v>0</v>
      </c>
      <c r="D30" s="9" t="n">
        <v>0</v>
      </c>
      <c r="E30" s="9" t="n">
        <v>0</v>
      </c>
      <c r="F30" s="9" t="n">
        <v>0</v>
      </c>
    </row>
    <row r="31">
      <c r="A31" s="8" t="inlineStr">
        <is>
          <t xml:space="preserve">    Prepaid expenses</t>
        </is>
      </c>
      <c r="B31" s="9" t="n">
        <v>110</v>
      </c>
      <c r="C31" s="9" t="n">
        <v>21338</v>
      </c>
      <c r="D31" s="9" t="n">
        <v>2227</v>
      </c>
      <c r="E31" s="9" t="n">
        <v>11777</v>
      </c>
      <c r="F31" s="9" t="n">
        <v>23499</v>
      </c>
    </row>
    <row r="32">
      <c r="A32" s="8" t="inlineStr">
        <is>
          <t xml:space="preserve">    Property, plant &amp; equipment (gross)</t>
        </is>
      </c>
      <c r="B32" s="9" t="n">
        <v>2728801</v>
      </c>
      <c r="C32" s="9" t="n">
        <v>2743201</v>
      </c>
      <c r="D32" s="9" t="n">
        <v>2752724</v>
      </c>
      <c r="E32" s="9" t="n">
        <v>3356539</v>
      </c>
      <c r="F32" s="9" t="n">
        <v>3806718</v>
      </c>
    </row>
    <row r="33">
      <c r="A33" s="8" t="inlineStr">
        <is>
          <t xml:space="preserve">    Less: accumulated depreciation</t>
        </is>
      </c>
      <c r="B33" s="9" t="n">
        <v>-1297136</v>
      </c>
      <c r="C33" s="9" t="n">
        <v>-1407587</v>
      </c>
      <c r="D33" s="9" t="n">
        <v>-1505993</v>
      </c>
      <c r="E33" s="9" t="n">
        <v>-1617037</v>
      </c>
      <c r="F33" s="9" t="n">
        <v>-1758152</v>
      </c>
    </row>
    <row r="34">
      <c r="A34" s="10" t="inlineStr">
        <is>
          <t xml:space="preserve">    Net property, plant &amp; equipment</t>
        </is>
      </c>
      <c r="B34" s="11" t="n">
        <v>1431665</v>
      </c>
      <c r="C34" s="11" t="n">
        <v>1335614</v>
      </c>
      <c r="D34" s="11" t="n">
        <v>1246731</v>
      </c>
      <c r="E34" s="11" t="n">
        <v>1739502</v>
      </c>
      <c r="F34" s="11" t="n">
        <v>2048566</v>
      </c>
    </row>
    <row r="35">
      <c r="A35" s="10" t="inlineStr">
        <is>
          <t>Total assets</t>
        </is>
      </c>
      <c r="B35" s="11" t="n">
        <v>1699000</v>
      </c>
      <c r="C35" s="11" t="n">
        <v>1525513</v>
      </c>
      <c r="D35" s="11" t="n">
        <v>1853989</v>
      </c>
      <c r="E35" s="11" t="n">
        <v>2285625</v>
      </c>
      <c r="F35" s="11" t="n">
        <v>3286985</v>
      </c>
    </row>
    <row r="37">
      <c r="A37" s="6" t="inlineStr">
        <is>
          <t>Liabilities</t>
        </is>
      </c>
      <c r="B37" s="7" t="n"/>
      <c r="C37" s="7" t="n"/>
      <c r="D37" s="7" t="n"/>
      <c r="E37" s="7" t="n"/>
      <c r="F37" s="7" t="n"/>
    </row>
    <row r="38">
      <c r="A38" s="8" t="inlineStr">
        <is>
          <t xml:space="preserve">    Accounts payable</t>
        </is>
      </c>
      <c r="B38" s="9" t="n">
        <v>386</v>
      </c>
      <c r="C38" s="9" t="n">
        <v>401</v>
      </c>
      <c r="D38" s="9" t="n">
        <v>18150</v>
      </c>
      <c r="E38" s="9" t="n">
        <v>48813</v>
      </c>
      <c r="F38" s="9" t="n">
        <v>7886</v>
      </c>
    </row>
    <row r="39">
      <c r="A39" s="8" t="inlineStr">
        <is>
          <t xml:space="preserve">    Mortgages &amp; notes payable</t>
        </is>
      </c>
      <c r="B39" s="9" t="n">
        <v>484543</v>
      </c>
      <c r="C39" s="9" t="n">
        <v>538605</v>
      </c>
      <c r="D39" s="9" t="n">
        <v>517240</v>
      </c>
      <c r="E39" s="9" t="n">
        <v>483533</v>
      </c>
      <c r="F39" s="9" t="n">
        <v>446811</v>
      </c>
    </row>
    <row r="40">
      <c r="A40" s="10" t="inlineStr">
        <is>
          <t>Total liabilities</t>
        </is>
      </c>
      <c r="B40" s="11" t="n">
        <v>553954</v>
      </c>
      <c r="C40" s="11" t="n">
        <v>547896</v>
      </c>
      <c r="D40" s="11" t="n">
        <v>804807</v>
      </c>
      <c r="E40" s="11" t="n">
        <v>803103</v>
      </c>
      <c r="F40" s="11" t="n">
        <v>1158864</v>
      </c>
    </row>
    <row r="42">
      <c r="A42" s="6" t="inlineStr">
        <is>
          <t>Net Assets / Equity</t>
        </is>
      </c>
      <c r="B42" s="7" t="n"/>
      <c r="C42" s="7" t="n"/>
      <c r="D42" s="7" t="n"/>
      <c r="E42" s="7" t="n"/>
      <c r="F42" s="7" t="n"/>
    </row>
    <row r="43">
      <c r="A43" s="8" t="inlineStr">
        <is>
          <t xml:space="preserve">    Capital stock</t>
        </is>
      </c>
      <c r="B43" s="9" t="n">
        <v>276619</v>
      </c>
      <c r="C43" s="9" t="n">
        <v>276619</v>
      </c>
      <c r="D43" s="9" t="n">
        <v>276619</v>
      </c>
      <c r="E43" s="9" t="n">
        <v>276619</v>
      </c>
      <c r="F43" s="9" t="n">
        <v>276619</v>
      </c>
    </row>
    <row r="44">
      <c r="A44" s="8" t="inlineStr">
        <is>
          <t xml:space="preserve">    Paid-in capital</t>
        </is>
      </c>
      <c r="B44" s="9" t="n"/>
      <c r="C44" s="9" t="n"/>
      <c r="D44" s="9" t="n"/>
      <c r="E44" s="9" t="n"/>
      <c r="F44" s="9" t="n"/>
    </row>
    <row r="45">
      <c r="A45" s="8" t="inlineStr">
        <is>
          <t xml:space="preserve">    Retained earnings</t>
        </is>
      </c>
      <c r="B45" s="9" t="n">
        <v>868427</v>
      </c>
      <c r="C45" s="9" t="n">
        <v>700998</v>
      </c>
      <c r="D45" s="9" t="n">
        <v>772563</v>
      </c>
      <c r="E45" s="9" t="n">
        <v>1205903</v>
      </c>
      <c r="F45" s="9" t="n">
        <v>1851502</v>
      </c>
    </row>
    <row r="46">
      <c r="A46" s="10" t="inlineStr">
        <is>
          <t>Net assets</t>
        </is>
      </c>
      <c r="B46" s="11" t="n">
        <v>1145046</v>
      </c>
      <c r="C46" s="11" t="n">
        <v>977617</v>
      </c>
      <c r="D46" s="11" t="n">
        <v>1049182</v>
      </c>
      <c r="E46" s="11" t="n">
        <v>1482522</v>
      </c>
      <c r="F46" s="11" t="n">
        <v>2128121</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-15546</v>
      </c>
      <c r="C52" s="9" t="n">
        <v>-167429</v>
      </c>
      <c r="D52" s="9" t="n">
        <v>71565</v>
      </c>
      <c r="E52" s="9" t="n">
        <v>397629</v>
      </c>
      <c r="F52" s="9" t="n">
        <v>645599</v>
      </c>
    </row>
    <row r="53">
      <c r="A53" s="8" t="inlineStr">
        <is>
          <t xml:space="preserve">    + Depreciation (reported)</t>
        </is>
      </c>
      <c r="B53" s="9" t="n">
        <v>109605</v>
      </c>
      <c r="C53" s="9" t="n">
        <v>110451</v>
      </c>
      <c r="D53" s="9" t="n">
        <v>98517</v>
      </c>
      <c r="E53" s="9" t="n">
        <v>123411</v>
      </c>
      <c r="F53" s="9" t="n">
        <v>141282</v>
      </c>
    </row>
    <row r="54">
      <c r="A54" s="8" t="inlineStr">
        <is>
          <t xml:space="preserve">    − Δ Accounts receivable</t>
        </is>
      </c>
      <c r="B54" s="9" t="n"/>
      <c r="C54" s="9" t="n">
        <v>5875</v>
      </c>
      <c r="D54" s="9" t="n">
        <v>-416170</v>
      </c>
      <c r="E54" s="9" t="n">
        <v>348704</v>
      </c>
      <c r="F54" s="9" t="n">
        <v>52026</v>
      </c>
    </row>
    <row r="55">
      <c r="A55" s="8" t="inlineStr">
        <is>
          <t xml:space="preserve">    − Δ Inventories</t>
        </is>
      </c>
      <c r="B55" s="9" t="n"/>
      <c r="C55" s="9" t="n">
        <v>0</v>
      </c>
      <c r="D55" s="9" t="n">
        <v>0</v>
      </c>
      <c r="E55" s="9" t="n">
        <v>0</v>
      </c>
      <c r="F55" s="9" t="n">
        <v>0</v>
      </c>
    </row>
    <row r="56">
      <c r="A56" s="8" t="inlineStr">
        <is>
          <t xml:space="preserve">    − Δ Prepaid expenses</t>
        </is>
      </c>
      <c r="B56" s="9" t="n"/>
      <c r="C56" s="9" t="n">
        <v>-21228</v>
      </c>
      <c r="D56" s="9" t="n">
        <v>19111</v>
      </c>
      <c r="E56" s="9" t="n">
        <v>-9550</v>
      </c>
      <c r="F56" s="9" t="n">
        <v>-11722</v>
      </c>
    </row>
    <row r="57">
      <c r="A57" s="8" t="inlineStr">
        <is>
          <t xml:space="preserve">    + Δ Accounts payable</t>
        </is>
      </c>
      <c r="B57" s="9" t="n"/>
      <c r="C57" s="9" t="n">
        <v>15</v>
      </c>
      <c r="D57" s="9" t="n">
        <v>17749</v>
      </c>
      <c r="E57" s="9" t="n">
        <v>30663</v>
      </c>
      <c r="F57" s="9" t="n">
        <v>-40927</v>
      </c>
    </row>
    <row r="58">
      <c r="A58" s="10" t="inlineStr">
        <is>
          <t xml:space="preserve">    Operating cash flow proxy</t>
        </is>
      </c>
      <c r="B58" s="11" t="n"/>
      <c r="C58" s="11" t="n">
        <v>-72316</v>
      </c>
      <c r="D58" s="11" t="n">
        <v>-209228</v>
      </c>
      <c r="E58" s="11" t="n">
        <v>890857</v>
      </c>
      <c r="F58" s="11" t="n">
        <v>786258</v>
      </c>
    </row>
    <row r="60">
      <c r="A60" s="6" t="inlineStr">
        <is>
          <t>Investing</t>
        </is>
      </c>
      <c r="B60" s="7" t="n"/>
      <c r="C60" s="7" t="n"/>
      <c r="D60" s="7" t="n"/>
      <c r="E60" s="7" t="n"/>
      <c r="F60" s="7" t="n"/>
    </row>
    <row r="61">
      <c r="A61" s="8" t="inlineStr">
        <is>
          <t xml:space="preserve">    − Δ PP&amp;E gross (capex proxy)</t>
        </is>
      </c>
      <c r="B61" s="9" t="n"/>
      <c r="C61" s="9" t="n">
        <v>-14400</v>
      </c>
      <c r="D61" s="9" t="n">
        <v>-9523</v>
      </c>
      <c r="E61" s="9" t="n">
        <v>-603815</v>
      </c>
      <c r="F61" s="9" t="n">
        <v>-450179</v>
      </c>
    </row>
    <row r="63">
      <c r="A63" s="6" t="inlineStr">
        <is>
          <t>Financing</t>
        </is>
      </c>
      <c r="B63" s="7" t="n"/>
      <c r="C63" s="7" t="n"/>
      <c r="D63" s="7" t="n"/>
      <c r="E63" s="7" t="n"/>
      <c r="F63" s="7" t="n"/>
    </row>
    <row r="64">
      <c r="A64" s="8" t="inlineStr">
        <is>
          <t xml:space="preserve">    Δ Mortgages &amp; notes payable</t>
        </is>
      </c>
      <c r="B64" s="9" t="n"/>
      <c r="C64" s="9" t="n">
        <v>54062</v>
      </c>
      <c r="D64" s="9" t="n">
        <v>-21365</v>
      </c>
      <c r="E64" s="9" t="n">
        <v>-33707</v>
      </c>
      <c r="F64" s="9" t="n">
        <v>-36722</v>
      </c>
    </row>
    <row r="66">
      <c r="A66" s="6" t="inlineStr">
        <is>
          <t>Reconciliation</t>
        </is>
      </c>
      <c r="B66" s="7" t="n"/>
      <c r="C66" s="7" t="n"/>
      <c r="D66" s="7" t="n"/>
      <c r="E66" s="7" t="n"/>
      <c r="F66" s="7" t="n"/>
    </row>
    <row r="67">
      <c r="A67" s="10" t="inlineStr">
        <is>
          <t xml:space="preserve">    Δ Cash + temp. investments (actual)</t>
        </is>
      </c>
      <c r="B67" s="11" t="n"/>
      <c r="C67" s="11" t="n">
        <v>-92789</v>
      </c>
      <c r="D67" s="11" t="n">
        <v>17565</v>
      </c>
      <c r="E67" s="11" t="n">
        <v>114014</v>
      </c>
      <c r="F67" s="11" t="n">
        <v>899378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9" t="n">
        <v>890357</v>
      </c>
      <c r="F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9" t="n">
        <v>394180</v>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Balance Sheet - as reported (USD, end of year)</t>
        </is>
      </c>
    </row>
    <row r="3">
      <c r="A3" s="2" t="inlineStr">
        <is>
          <t>Entity ID: cawc_0007   |   Fiscal year ends March 31.</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161193</v>
      </c>
      <c r="C7" s="9" t="n">
        <v>68404</v>
      </c>
      <c r="D7" s="9" t="n">
        <v>85969</v>
      </c>
      <c r="E7" s="9" t="n">
        <v>199983</v>
      </c>
      <c r="F7" s="9" t="n">
        <v>1099361</v>
      </c>
    </row>
    <row r="8">
      <c r="A8" s="8" t="inlineStr">
        <is>
          <t xml:space="preserve">    Savings &amp; temporary investments</t>
        </is>
      </c>
      <c r="B8" s="9" t="n">
        <v>0</v>
      </c>
      <c r="C8" s="9" t="n">
        <v>0</v>
      </c>
      <c r="D8" s="9" t="n">
        <v>0</v>
      </c>
      <c r="E8" s="9" t="n">
        <v>0</v>
      </c>
      <c r="F8" s="9" t="n">
        <v>0</v>
      </c>
    </row>
    <row r="9">
      <c r="A9" s="8" t="inlineStr">
        <is>
          <t xml:space="preserve">    Accounts receivable</t>
        </is>
      </c>
      <c r="B9" s="9" t="n">
        <v>5875</v>
      </c>
      <c r="C9" s="9" t="n">
        <v>0</v>
      </c>
      <c r="D9" s="9" t="n">
        <v>416170</v>
      </c>
      <c r="E9" s="9" t="n">
        <v>67466</v>
      </c>
      <c r="F9" s="9" t="n">
        <v>15440</v>
      </c>
    </row>
    <row r="10">
      <c r="A10" s="8" t="inlineStr">
        <is>
          <t xml:space="preserve">    Inventories</t>
        </is>
      </c>
      <c r="B10" s="9" t="n">
        <v>0</v>
      </c>
      <c r="C10" s="9" t="n">
        <v>0</v>
      </c>
      <c r="D10" s="9" t="n">
        <v>0</v>
      </c>
      <c r="E10" s="9" t="n">
        <v>0</v>
      </c>
      <c r="F10" s="9" t="n">
        <v>0</v>
      </c>
    </row>
    <row r="11">
      <c r="A11" s="8" t="inlineStr">
        <is>
          <t xml:space="preserve">    Prepaid expenses</t>
        </is>
      </c>
      <c r="B11" s="9" t="n">
        <v>110</v>
      </c>
      <c r="C11" s="9" t="n">
        <v>21338</v>
      </c>
      <c r="D11" s="9" t="n">
        <v>2227</v>
      </c>
      <c r="E11" s="9" t="n">
        <v>11777</v>
      </c>
      <c r="F11" s="9" t="n">
        <v>23499</v>
      </c>
    </row>
    <row r="12">
      <c r="A12" s="8" t="inlineStr">
        <is>
          <t xml:space="preserve">    Property, plant &amp; equipment (gross)</t>
        </is>
      </c>
      <c r="B12" s="9" t="n">
        <v>2728801</v>
      </c>
      <c r="C12" s="9" t="n">
        <v>2743201</v>
      </c>
      <c r="D12" s="9" t="n">
        <v>2752724</v>
      </c>
      <c r="E12" s="9" t="n">
        <v>3356539</v>
      </c>
      <c r="F12" s="9" t="n">
        <v>3806718</v>
      </c>
    </row>
    <row r="13">
      <c r="A13" s="8" t="inlineStr">
        <is>
          <t xml:space="preserve">    Less: accumulated depreciation</t>
        </is>
      </c>
      <c r="B13" s="9" t="n">
        <v>-1297136</v>
      </c>
      <c r="C13" s="9" t="n">
        <v>-1407587</v>
      </c>
      <c r="D13" s="9" t="n">
        <v>-1505993</v>
      </c>
      <c r="E13" s="9" t="n">
        <v>-1617037</v>
      </c>
      <c r="F13" s="9" t="n">
        <v>-1758152</v>
      </c>
    </row>
    <row r="14">
      <c r="A14" s="10" t="inlineStr">
        <is>
          <t xml:space="preserve">    Net property, plant &amp; equipment</t>
        </is>
      </c>
      <c r="B14" s="11" t="n">
        <v>1431665</v>
      </c>
      <c r="C14" s="11" t="n">
        <v>1335614</v>
      </c>
      <c r="D14" s="11" t="n">
        <v>1246731</v>
      </c>
      <c r="E14" s="11" t="n">
        <v>1739502</v>
      </c>
      <c r="F14" s="11" t="n">
        <v>2048566</v>
      </c>
    </row>
    <row r="15">
      <c r="A15" s="10" t="inlineStr">
        <is>
          <t>Total assets</t>
        </is>
      </c>
      <c r="B15" s="11" t="n">
        <v>1699000</v>
      </c>
      <c r="C15" s="11" t="n">
        <v>1525513</v>
      </c>
      <c r="D15" s="11" t="n">
        <v>1853989</v>
      </c>
      <c r="E15" s="11" t="n">
        <v>2285625</v>
      </c>
      <c r="F15" s="11" t="n">
        <v>3286985</v>
      </c>
    </row>
    <row r="17">
      <c r="A17" s="6" t="inlineStr">
        <is>
          <t>Liabilities</t>
        </is>
      </c>
      <c r="B17" s="7" t="n"/>
      <c r="C17" s="7" t="n"/>
      <c r="D17" s="7" t="n"/>
      <c r="E17" s="7" t="n"/>
      <c r="F17" s="7" t="n"/>
    </row>
    <row r="18">
      <c r="A18" s="8" t="inlineStr">
        <is>
          <t xml:space="preserve">    Accounts payable</t>
        </is>
      </c>
      <c r="B18" s="9" t="n">
        <v>386</v>
      </c>
      <c r="C18" s="9" t="n">
        <v>401</v>
      </c>
      <c r="D18" s="9" t="n">
        <v>18150</v>
      </c>
      <c r="E18" s="9" t="n">
        <v>48813</v>
      </c>
      <c r="F18" s="9" t="n">
        <v>7886</v>
      </c>
    </row>
    <row r="19">
      <c r="A19" s="8" t="inlineStr">
        <is>
          <t xml:space="preserve">    Mortgages &amp; notes payable</t>
        </is>
      </c>
      <c r="B19" s="9" t="n">
        <v>484543</v>
      </c>
      <c r="C19" s="9" t="n">
        <v>538605</v>
      </c>
      <c r="D19" s="9" t="n">
        <v>517240</v>
      </c>
      <c r="E19" s="9" t="n">
        <v>483533</v>
      </c>
      <c r="F19" s="9" t="n">
        <v>446811</v>
      </c>
    </row>
    <row r="20">
      <c r="A20" s="10" t="inlineStr">
        <is>
          <t>Total liabilities</t>
        </is>
      </c>
      <c r="B20" s="11" t="n">
        <v>553954</v>
      </c>
      <c r="C20" s="11" t="n">
        <v>547896</v>
      </c>
      <c r="D20" s="11" t="n">
        <v>804807</v>
      </c>
      <c r="E20" s="11" t="n">
        <v>803103</v>
      </c>
      <c r="F20" s="11" t="n">
        <v>1158864</v>
      </c>
    </row>
    <row r="22">
      <c r="A22" s="6" t="inlineStr">
        <is>
          <t>Net Assets / Equity</t>
        </is>
      </c>
      <c r="B22" s="7" t="n"/>
      <c r="C22" s="7" t="n"/>
      <c r="D22" s="7" t="n"/>
      <c r="E22" s="7" t="n"/>
      <c r="F22" s="7" t="n"/>
    </row>
    <row r="23">
      <c r="A23" s="8" t="inlineStr">
        <is>
          <t xml:space="preserve">    Capital stock</t>
        </is>
      </c>
      <c r="B23" s="9" t="n">
        <v>276619</v>
      </c>
      <c r="C23" s="9" t="n">
        <v>276619</v>
      </c>
      <c r="D23" s="9" t="n">
        <v>276619</v>
      </c>
      <c r="E23" s="9" t="n">
        <v>276619</v>
      </c>
      <c r="F23" s="9" t="n">
        <v>276619</v>
      </c>
    </row>
    <row r="24">
      <c r="A24" s="8" t="inlineStr">
        <is>
          <t xml:space="preserve">    Paid-in capital</t>
        </is>
      </c>
      <c r="B24" s="9" t="n"/>
      <c r="C24" s="9" t="n"/>
      <c r="D24" s="9" t="n"/>
      <c r="E24" s="9" t="n"/>
      <c r="F24" s="9" t="n"/>
    </row>
    <row r="25">
      <c r="A25" s="8" t="inlineStr">
        <is>
          <t xml:space="preserve">    Retained earnings</t>
        </is>
      </c>
      <c r="B25" s="9" t="n">
        <v>868427</v>
      </c>
      <c r="C25" s="9" t="n">
        <v>700998</v>
      </c>
      <c r="D25" s="9" t="n">
        <v>772563</v>
      </c>
      <c r="E25" s="9" t="n">
        <v>1205903</v>
      </c>
      <c r="F25" s="9" t="n">
        <v>1851502</v>
      </c>
    </row>
    <row r="26">
      <c r="A26" s="10" t="inlineStr">
        <is>
          <t>Net assets</t>
        </is>
      </c>
      <c r="B26" s="11" t="n">
        <v>1145046</v>
      </c>
      <c r="C26" s="11" t="n">
        <v>977617</v>
      </c>
      <c r="D26" s="11" t="n">
        <v>1049182</v>
      </c>
      <c r="E26" s="11" t="n">
        <v>1482522</v>
      </c>
      <c r="F26" s="11" t="n">
        <v>2128121</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Senior Canyon Mutual Water Company</t>
        </is>
      </c>
    </row>
    <row r="2">
      <c r="A2" s="2" t="inlineStr">
        <is>
          <t>Officers, Directors &amp; Contractors - Form 990 Part VII (FY2025; USD)</t>
        </is>
      </c>
    </row>
    <row r="3">
      <c r="A3" s="2" t="inlineStr">
        <is>
          <t>Entity ID: cawc_0007   |   Fiscal year ends March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Jim Jackson</t>
        </is>
      </c>
      <c r="B7" s="18" t="inlineStr">
        <is>
          <t>President</t>
        </is>
      </c>
      <c r="C7" s="19" t="n">
        <v>17500</v>
      </c>
      <c r="D7" s="19" t="n">
        <v>0</v>
      </c>
      <c r="E7" s="19" t="n">
        <v>0</v>
      </c>
      <c r="F7" s="19" t="n">
        <v>17500</v>
      </c>
    </row>
    <row r="8">
      <c r="A8" s="18" t="inlineStr">
        <is>
          <t>Mike Weaver</t>
        </is>
      </c>
      <c r="B8" s="18" t="inlineStr">
        <is>
          <t>Treasurer</t>
        </is>
      </c>
      <c r="C8" s="19" t="n">
        <v>16000</v>
      </c>
      <c r="D8" s="19" t="n">
        <v>0</v>
      </c>
      <c r="E8" s="19" t="n">
        <v>0</v>
      </c>
      <c r="F8" s="19" t="n">
        <v>16000</v>
      </c>
    </row>
    <row r="9">
      <c r="A9" s="8" t="inlineStr">
        <is>
          <t>Peter Thielke</t>
        </is>
      </c>
      <c r="B9" s="8" t="inlineStr">
        <is>
          <t>Vice President</t>
        </is>
      </c>
      <c r="C9" s="9" t="n">
        <v>15000</v>
      </c>
      <c r="D9" s="9" t="n">
        <v>0</v>
      </c>
      <c r="E9" s="9" t="n">
        <v>0</v>
      </c>
      <c r="F9" s="9" t="n">
        <v>15000</v>
      </c>
    </row>
    <row r="10">
      <c r="A10" s="8" t="inlineStr">
        <is>
          <t>Peter Passell</t>
        </is>
      </c>
      <c r="B10" s="8" t="inlineStr">
        <is>
          <t>Director</t>
        </is>
      </c>
      <c r="C10" s="9" t="n">
        <v>0</v>
      </c>
      <c r="D10" s="9" t="n">
        <v>0</v>
      </c>
      <c r="E10" s="9" t="n">
        <v>0</v>
      </c>
      <c r="F10" s="9" t="n">
        <v>0</v>
      </c>
    </row>
    <row r="11">
      <c r="A11" s="8" t="inlineStr">
        <is>
          <t>Jim Poulsen</t>
        </is>
      </c>
      <c r="B11" s="8" t="inlineStr">
        <is>
          <t>Director</t>
        </is>
      </c>
      <c r="C11" s="9" t="n">
        <v>0</v>
      </c>
      <c r="D11" s="9" t="n">
        <v>0</v>
      </c>
      <c r="E11" s="9" t="n">
        <v>0</v>
      </c>
      <c r="F11" s="9" t="n">
        <v>0</v>
      </c>
    </row>
    <row r="12">
      <c r="A12" s="8" t="inlineStr">
        <is>
          <t>Michael Ozatalar</t>
        </is>
      </c>
      <c r="B12" s="8" t="inlineStr">
        <is>
          <t>Director</t>
        </is>
      </c>
      <c r="C12" s="9" t="n">
        <v>0</v>
      </c>
      <c r="D12" s="9" t="n">
        <v>0</v>
      </c>
      <c r="E12" s="9" t="n">
        <v>0</v>
      </c>
      <c r="F12" s="9" t="n">
        <v>0</v>
      </c>
    </row>
    <row r="13">
      <c r="A13" s="8" t="inlineStr">
        <is>
          <t>Mark Gravebliss</t>
        </is>
      </c>
      <c r="B13" s="8" t="inlineStr">
        <is>
          <t>Secretary</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Revenue - Form 990 Part VIII (USD)</t>
        </is>
      </c>
    </row>
    <row r="3">
      <c r="A3" s="2" t="inlineStr">
        <is>
          <t>Entity ID: cawc_0007   |   Fiscal year ends March 31.</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9" t="n">
        <v>1633</v>
      </c>
      <c r="C7" s="9" t="n">
        <v>0</v>
      </c>
      <c r="D7" s="9" t="n">
        <v>0</v>
      </c>
      <c r="E7" s="9" t="n">
        <v>0</v>
      </c>
      <c r="F7" s="9" t="n">
        <v>0</v>
      </c>
    </row>
    <row r="8">
      <c r="A8" s="8" t="inlineStr">
        <is>
          <t xml:space="preserve">    2g. Total program service revenue</t>
        </is>
      </c>
      <c r="B8" s="9" t="n">
        <v>0</v>
      </c>
      <c r="C8" s="9" t="n">
        <v>0</v>
      </c>
      <c r="D8" s="9" t="n">
        <v>0</v>
      </c>
      <c r="E8" s="9" t="n">
        <v>0</v>
      </c>
      <c r="F8" s="9" t="n">
        <v>0</v>
      </c>
    </row>
    <row r="9">
      <c r="A9" s="8" t="inlineStr">
        <is>
          <t xml:space="preserve">    3. Investment income</t>
        </is>
      </c>
      <c r="B9" s="9" t="n">
        <v>0</v>
      </c>
      <c r="C9" s="9" t="n">
        <v>0</v>
      </c>
      <c r="D9" s="9" t="n">
        <v>0</v>
      </c>
      <c r="E9" s="9" t="n">
        <v>0</v>
      </c>
      <c r="F9" s="9" t="n">
        <v>0</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2000</v>
      </c>
      <c r="C11" s="9" t="n">
        <v>0</v>
      </c>
      <c r="D11" s="9" t="n">
        <v>0</v>
      </c>
      <c r="E11" s="9" t="n">
        <v>4200</v>
      </c>
      <c r="F11" s="9" t="n">
        <v>0</v>
      </c>
    </row>
    <row r="12">
      <c r="A12" s="8" t="inlineStr">
        <is>
          <t xml:space="preserve">    11e. Other revenue</t>
        </is>
      </c>
      <c r="B12" s="9" t="n">
        <v>1028288</v>
      </c>
      <c r="C12" s="9" t="n">
        <v>1314234</v>
      </c>
      <c r="D12" s="9" t="n">
        <v>1264590</v>
      </c>
      <c r="E12" s="9" t="n">
        <v>1280337</v>
      </c>
      <c r="F12" s="9" t="n">
        <v>1771990</v>
      </c>
    </row>
    <row r="13">
      <c r="A13" s="10" t="inlineStr">
        <is>
          <t>12. Total revenue</t>
        </is>
      </c>
      <c r="B13" s="11">
        <f>SUM(B7:B12)</f>
        <v/>
      </c>
      <c r="C13" s="11">
        <f>SUM(C7:C12)</f>
        <v/>
      </c>
      <c r="D13" s="11">
        <f>SUM(D7:D12)</f>
        <v/>
      </c>
      <c r="E13" s="11">
        <f>SUM(E7:E12)</f>
        <v/>
      </c>
      <c r="F13" s="11">
        <f>SUM(F7:F12)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Senior Canyon Mutual Water Company</t>
        </is>
      </c>
    </row>
    <row r="2">
      <c r="A2" s="2" t="inlineStr">
        <is>
          <t>Statement of Functional Expenses - Form 990 Part IX (USD)</t>
        </is>
      </c>
    </row>
    <row r="3">
      <c r="A3" s="2" t="inlineStr">
        <is>
          <t>Entity ID: cawc_0007   |   Fiscal year ends March 31.</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24000</v>
      </c>
      <c r="C11" s="9" t="n">
        <v>24000</v>
      </c>
      <c r="D11" s="9" t="n">
        <v>10000</v>
      </c>
      <c r="E11" s="9" t="n">
        <v>4000</v>
      </c>
      <c r="F11" s="9" t="n">
        <v>48500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208404</v>
      </c>
      <c r="C13" s="9" t="n">
        <v>228504</v>
      </c>
      <c r="D13" s="9" t="n">
        <v>251688</v>
      </c>
      <c r="E13" s="9" t="n">
        <v>262239</v>
      </c>
      <c r="F13" s="9" t="n">
        <v>300607</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0</v>
      </c>
      <c r="C15" s="9" t="n">
        <v>0</v>
      </c>
      <c r="D15" s="9" t="n">
        <v>0</v>
      </c>
      <c r="E15" s="9" t="n">
        <v>12958</v>
      </c>
      <c r="F15" s="9" t="n">
        <v>14136</v>
      </c>
    </row>
    <row r="16">
      <c r="A16" s="8" t="inlineStr">
        <is>
          <t xml:space="preserve">    10. Payroll taxes</t>
        </is>
      </c>
      <c r="B16" s="9" t="n">
        <v>14685</v>
      </c>
      <c r="C16" s="9" t="n">
        <v>20086</v>
      </c>
      <c r="D16" s="9" t="n">
        <v>24154</v>
      </c>
      <c r="E16" s="9" t="n">
        <v>22396</v>
      </c>
      <c r="F16" s="9" t="n">
        <v>25431</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4363</v>
      </c>
      <c r="C18" s="9" t="n">
        <v>110343</v>
      </c>
      <c r="D18" s="9" t="n">
        <v>116939</v>
      </c>
      <c r="E18" s="9" t="n">
        <v>23236</v>
      </c>
      <c r="F18" s="9" t="n">
        <v>44694</v>
      </c>
    </row>
    <row r="19">
      <c r="A19" s="8" t="inlineStr">
        <is>
          <t xml:space="preserve">    11c. Fees for services: accounting</t>
        </is>
      </c>
      <c r="B19" s="9" t="n">
        <v>6808</v>
      </c>
      <c r="C19" s="9" t="n">
        <v>6838</v>
      </c>
      <c r="D19" s="9" t="n">
        <v>7374</v>
      </c>
      <c r="E19" s="9" t="n">
        <v>8907</v>
      </c>
      <c r="F19" s="9" t="n">
        <v>9987</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78822</v>
      </c>
      <c r="C23" s="9" t="n">
        <v>68193</v>
      </c>
      <c r="D23" s="9" t="n">
        <v>67704</v>
      </c>
      <c r="E23" s="9" t="n">
        <v>89113</v>
      </c>
      <c r="F23" s="9" t="n">
        <v>101449</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10498</v>
      </c>
      <c r="C25" s="9" t="n">
        <v>15583</v>
      </c>
      <c r="D25" s="9" t="n">
        <v>12165</v>
      </c>
      <c r="E25" s="9" t="n">
        <v>12500</v>
      </c>
      <c r="F25" s="9" t="n">
        <v>10655</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0</v>
      </c>
      <c r="C29" s="9" t="n">
        <v>0</v>
      </c>
      <c r="D29" s="9" t="n">
        <v>100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240</v>
      </c>
      <c r="F31" s="9" t="n">
        <v>0</v>
      </c>
    </row>
    <row r="32">
      <c r="A32" s="8" t="inlineStr">
        <is>
          <t xml:space="preserve">    20. Interest</t>
        </is>
      </c>
      <c r="B32" s="9" t="n">
        <v>9167</v>
      </c>
      <c r="C32" s="9" t="n">
        <v>9294</v>
      </c>
      <c r="D32" s="9" t="n">
        <v>21781</v>
      </c>
      <c r="E32" s="9" t="n">
        <v>32222</v>
      </c>
      <c r="F32" s="9" t="n">
        <v>23816</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109605</v>
      </c>
      <c r="C34" s="9" t="n">
        <v>110451</v>
      </c>
      <c r="D34" s="9" t="n">
        <v>98517</v>
      </c>
      <c r="E34" s="9" t="n">
        <v>123411</v>
      </c>
      <c r="F34" s="9" t="n">
        <v>141282</v>
      </c>
    </row>
    <row r="35">
      <c r="A35" s="8" t="inlineStr">
        <is>
          <t xml:space="preserve">    23. Insurance</t>
        </is>
      </c>
      <c r="B35" s="9" t="n">
        <v>10955</v>
      </c>
      <c r="C35" s="9" t="n">
        <v>46192</v>
      </c>
      <c r="D35" s="9" t="n">
        <v>54633</v>
      </c>
      <c r="E35" s="9" t="n">
        <v>60937</v>
      </c>
      <c r="F35" s="9" t="n">
        <v>69660</v>
      </c>
    </row>
    <row r="36">
      <c r="A36" s="8" t="inlineStr">
        <is>
          <t xml:space="preserve">    24. Water Purchases</t>
        </is>
      </c>
      <c r="B36" s="9" t="n">
        <v>260032</v>
      </c>
      <c r="C36" s="9" t="n">
        <v>458225</v>
      </c>
      <c r="D36" s="9" t="n">
        <v>306344</v>
      </c>
      <c r="E36" s="9" t="n">
        <v>53796</v>
      </c>
      <c r="F36" s="9" t="n">
        <v>120509</v>
      </c>
    </row>
    <row r="37">
      <c r="A37" s="8" t="inlineStr">
        <is>
          <t xml:space="preserve">    24. Repairs and Maintenance</t>
        </is>
      </c>
      <c r="B37" s="9" t="n">
        <v>231339</v>
      </c>
      <c r="C37" s="9" t="n">
        <v>298534</v>
      </c>
      <c r="D37" s="9" t="n">
        <v>168569</v>
      </c>
      <c r="E37" s="9" t="n">
        <v>102255</v>
      </c>
      <c r="F37" s="9" t="n">
        <v>81700</v>
      </c>
    </row>
    <row r="38">
      <c r="A38" s="8" t="inlineStr">
        <is>
          <t xml:space="preserve">    24. Separation award</t>
        </is>
      </c>
      <c r="B38" s="9" t="n">
        <v>29464</v>
      </c>
      <c r="C38" s="9" t="n">
        <v>24107</v>
      </c>
      <c r="D38" s="14" t="inlineStr">
        <is>
          <t>not reported</t>
        </is>
      </c>
      <c r="E38" s="14" t="inlineStr">
        <is>
          <t>not reported</t>
        </is>
      </c>
      <c r="F38" s="14" t="inlineStr">
        <is>
          <t>not reported</t>
        </is>
      </c>
    </row>
    <row r="39">
      <c r="A39" s="8" t="inlineStr">
        <is>
          <t xml:space="preserve">    24. Operating Supplies</t>
        </is>
      </c>
      <c r="B39" s="9" t="n">
        <v>23455</v>
      </c>
      <c r="C39" s="9" t="n">
        <v>22231</v>
      </c>
      <c r="D39" s="9" t="n">
        <v>20227</v>
      </c>
      <c r="E39" s="9" t="n">
        <v>27045</v>
      </c>
      <c r="F39" s="9" t="n">
        <v>59842</v>
      </c>
    </row>
    <row r="40">
      <c r="A40" s="8" t="inlineStr">
        <is>
          <t xml:space="preserve">    24. Meters</t>
        </is>
      </c>
      <c r="B40" s="14" t="inlineStr">
        <is>
          <t>not reported</t>
        </is>
      </c>
      <c r="C40" s="14" t="inlineStr">
        <is>
          <t>not reported</t>
        </is>
      </c>
      <c r="D40" s="9" t="n">
        <v>12786</v>
      </c>
      <c r="E40" s="14" t="inlineStr">
        <is>
          <t>not reported</t>
        </is>
      </c>
      <c r="F40" s="14" t="inlineStr">
        <is>
          <t>not reported</t>
        </is>
      </c>
    </row>
    <row r="41">
      <c r="A41" s="8" t="inlineStr">
        <is>
          <t xml:space="preserve">    24. Electric Power</t>
        </is>
      </c>
      <c r="B41" s="14" t="inlineStr">
        <is>
          <t>not reported</t>
        </is>
      </c>
      <c r="C41" s="14" t="inlineStr">
        <is>
          <t>not reported</t>
        </is>
      </c>
      <c r="D41" s="14" t="inlineStr">
        <is>
          <t>not reported</t>
        </is>
      </c>
      <c r="E41" s="9" t="n">
        <v>20596</v>
      </c>
      <c r="F41" s="9" t="n">
        <v>39426</v>
      </c>
    </row>
    <row r="42">
      <c r="A42" s="8" t="inlineStr">
        <is>
          <t xml:space="preserve">    24e. All other expenses</t>
        </is>
      </c>
      <c r="B42" s="9" t="n">
        <v>25870</v>
      </c>
      <c r="C42" s="9" t="n">
        <v>39082</v>
      </c>
      <c r="D42" s="9" t="n">
        <v>20044</v>
      </c>
      <c r="E42" s="9" t="n">
        <v>31057</v>
      </c>
      <c r="F42" s="9" t="n">
        <v>34697</v>
      </c>
    </row>
    <row r="43">
      <c r="A43" s="10" t="inlineStr">
        <is>
          <t>25. Total functional expenses</t>
        </is>
      </c>
      <c r="B43" s="11">
        <f>SUM(B7:B42)</f>
        <v/>
      </c>
      <c r="C43" s="11">
        <f>SUM(C7:C42)</f>
        <v/>
      </c>
      <c r="D43" s="11">
        <f>SUM(D7:D42)</f>
        <v/>
      </c>
      <c r="E43" s="11">
        <f>SUM(E7:E42)</f>
        <v/>
      </c>
      <c r="F43" s="11">
        <f>SUM(F7:F42)</f>
        <v/>
      </c>
    </row>
    <row r="45">
      <c r="A45" s="6" t="inlineStr">
        <is>
          <t>Functional column split - FY2025 (col A = B + C + D)</t>
        </is>
      </c>
      <c r="B45" s="7" t="n"/>
      <c r="C45" s="7" t="n"/>
      <c r="D45" s="7" t="n"/>
      <c r="E45" s="7" t="n"/>
      <c r="F45" s="7" t="n"/>
    </row>
    <row r="46">
      <c r="A46" s="5" t="inlineStr">
        <is>
          <t>Part IX line</t>
        </is>
      </c>
      <c r="B46" s="5" t="inlineStr">
        <is>
          <t>A. Total</t>
        </is>
      </c>
      <c r="C46" s="5" t="inlineStr">
        <is>
          <t>B. Program services</t>
        </is>
      </c>
      <c r="D46" s="5" t="inlineStr">
        <is>
          <t>C. Management &amp; general</t>
        </is>
      </c>
      <c r="E46" s="5" t="inlineStr">
        <is>
          <t>D. Fundraising</t>
        </is>
      </c>
    </row>
    <row r="47">
      <c r="A47" s="20" t="inlineStr">
        <is>
          <t>1. Grants to domestic organizations and governments</t>
        </is>
      </c>
      <c r="B47" s="9" t="n">
        <v>0</v>
      </c>
      <c r="C47" s="9" t="n"/>
      <c r="D47" s="9" t="n"/>
      <c r="E47" s="9" t="n"/>
    </row>
    <row r="48">
      <c r="A48" s="20" t="inlineStr">
        <is>
          <t>2. Grants to domestic individuals</t>
        </is>
      </c>
      <c r="B48" s="9" t="n">
        <v>0</v>
      </c>
      <c r="C48" s="9" t="n"/>
      <c r="D48" s="9" t="n"/>
      <c r="E48" s="9" t="n"/>
    </row>
    <row r="49">
      <c r="A49" s="20" t="inlineStr">
        <is>
          <t>3. Grants to foreign organizations and individuals</t>
        </is>
      </c>
      <c r="B49" s="9" t="n">
        <v>0</v>
      </c>
      <c r="C49" s="9" t="n"/>
      <c r="D49" s="9" t="n"/>
      <c r="E49" s="9" t="n"/>
    </row>
    <row r="50">
      <c r="A50" s="20" t="inlineStr">
        <is>
          <t>4. Benefits paid to or for members</t>
        </is>
      </c>
      <c r="B50" s="9" t="n">
        <v>0</v>
      </c>
      <c r="C50" s="9" t="n"/>
      <c r="D50" s="9" t="n"/>
      <c r="E50" s="9" t="n"/>
    </row>
    <row r="51">
      <c r="A51" s="20" t="inlineStr">
        <is>
          <t>5. Compensation of current officers, directors, trustees</t>
        </is>
      </c>
      <c r="B51" s="9" t="n">
        <v>48500</v>
      </c>
      <c r="C51" s="9" t="n"/>
      <c r="D51" s="9" t="n">
        <v>48500</v>
      </c>
      <c r="E51" s="9" t="n"/>
    </row>
    <row r="52">
      <c r="A52" s="20" t="inlineStr">
        <is>
          <t>6. Compensation to disqualified persons</t>
        </is>
      </c>
      <c r="B52" s="9" t="n">
        <v>0</v>
      </c>
      <c r="C52" s="9" t="n"/>
      <c r="D52" s="9" t="n"/>
      <c r="E52" s="9" t="n"/>
    </row>
    <row r="53">
      <c r="A53" s="20" t="inlineStr">
        <is>
          <t>7. Other salaries and wages</t>
        </is>
      </c>
      <c r="B53" s="9" t="n">
        <v>300607</v>
      </c>
      <c r="C53" s="9" t="n">
        <v>274720</v>
      </c>
      <c r="D53" s="9" t="n">
        <v>25887</v>
      </c>
      <c r="E53" s="9" t="n"/>
    </row>
    <row r="54">
      <c r="A54" s="20" t="inlineStr">
        <is>
          <t>8. Pension plan accruals and contributions</t>
        </is>
      </c>
      <c r="B54" s="9" t="n">
        <v>0</v>
      </c>
      <c r="C54" s="9" t="n"/>
      <c r="D54" s="9" t="n"/>
      <c r="E54" s="9" t="n"/>
    </row>
    <row r="55">
      <c r="A55" s="20" t="inlineStr">
        <is>
          <t>9. Other employee benefits</t>
        </is>
      </c>
      <c r="B55" s="9" t="n">
        <v>14136</v>
      </c>
      <c r="C55" s="9" t="n">
        <v>14136</v>
      </c>
      <c r="D55" s="9" t="n"/>
      <c r="E55" s="9" t="n"/>
    </row>
    <row r="56">
      <c r="A56" s="20" t="inlineStr">
        <is>
          <t>10. Payroll taxes</t>
        </is>
      </c>
      <c r="B56" s="9" t="n">
        <v>25431</v>
      </c>
      <c r="C56" s="9" t="n">
        <v>23241</v>
      </c>
      <c r="D56" s="9" t="n">
        <v>2190</v>
      </c>
      <c r="E56" s="9" t="n"/>
    </row>
    <row r="57">
      <c r="A57" s="20" t="inlineStr">
        <is>
          <t>11a. Fees for services: management</t>
        </is>
      </c>
      <c r="B57" s="9" t="n">
        <v>0</v>
      </c>
      <c r="C57" s="9" t="n"/>
      <c r="D57" s="9" t="n"/>
      <c r="E57" s="9" t="n"/>
    </row>
    <row r="58">
      <c r="A58" s="20" t="inlineStr">
        <is>
          <t>11b. Fees for services: legal</t>
        </is>
      </c>
      <c r="B58" s="9" t="n">
        <v>44694</v>
      </c>
      <c r="C58" s="9" t="n"/>
      <c r="D58" s="9" t="n">
        <v>44694</v>
      </c>
      <c r="E58" s="9" t="n"/>
    </row>
    <row r="59">
      <c r="A59" s="20" t="inlineStr">
        <is>
          <t>11c. Fees for services: accounting</t>
        </is>
      </c>
      <c r="B59" s="9" t="n">
        <v>9987</v>
      </c>
      <c r="C59" s="9" t="n"/>
      <c r="D59" s="9" t="n">
        <v>9987</v>
      </c>
      <c r="E59" s="9" t="n"/>
    </row>
    <row r="60">
      <c r="A60" s="20" t="inlineStr">
        <is>
          <t>11d. Fees for services: lobbying</t>
        </is>
      </c>
      <c r="B60" s="9" t="n">
        <v>0</v>
      </c>
      <c r="C60" s="9" t="n"/>
      <c r="D60" s="9" t="n"/>
      <c r="E60" s="9" t="n"/>
    </row>
    <row r="61">
      <c r="A61" s="20" t="inlineStr">
        <is>
          <t>11e. Fees for services: professional fundraising</t>
        </is>
      </c>
      <c r="B61" s="9" t="n">
        <v>0</v>
      </c>
      <c r="C61" s="9" t="n"/>
      <c r="D61" s="9" t="n"/>
      <c r="E61" s="9" t="n"/>
    </row>
    <row r="62">
      <c r="A62" s="20" t="inlineStr">
        <is>
          <t>11f. Fees for services: investment management</t>
        </is>
      </c>
      <c r="B62" s="9" t="n">
        <v>0</v>
      </c>
      <c r="C62" s="9" t="n"/>
      <c r="D62" s="9" t="n"/>
      <c r="E62" s="9" t="n"/>
    </row>
    <row r="63">
      <c r="A63" s="20" t="inlineStr">
        <is>
          <t>11g. Fees for services: other</t>
        </is>
      </c>
      <c r="B63" s="9" t="n">
        <v>101449</v>
      </c>
      <c r="C63" s="9" t="n">
        <v>99767</v>
      </c>
      <c r="D63" s="9" t="n">
        <v>1682</v>
      </c>
      <c r="E63" s="9" t="n"/>
    </row>
    <row r="64">
      <c r="A64" s="20" t="inlineStr">
        <is>
          <t>12. Advertising and promotion</t>
        </is>
      </c>
      <c r="B64" s="9" t="n">
        <v>0</v>
      </c>
      <c r="C64" s="9" t="n"/>
      <c r="D64" s="9" t="n"/>
      <c r="E64" s="9" t="n"/>
    </row>
    <row r="65">
      <c r="A65" s="20" t="inlineStr">
        <is>
          <t>13. Office expenses</t>
        </is>
      </c>
      <c r="B65" s="9" t="n">
        <v>10655</v>
      </c>
      <c r="C65" s="9" t="n"/>
      <c r="D65" s="9" t="n">
        <v>10655</v>
      </c>
      <c r="E65" s="9" t="n"/>
    </row>
    <row r="66">
      <c r="A66" s="20" t="inlineStr">
        <is>
          <t>14. Information technology</t>
        </is>
      </c>
      <c r="B66" s="9" t="n">
        <v>0</v>
      </c>
      <c r="C66" s="9" t="n"/>
      <c r="D66" s="9" t="n"/>
      <c r="E66" s="9" t="n"/>
    </row>
    <row r="67">
      <c r="A67" s="20" t="inlineStr">
        <is>
          <t>15. Royalties</t>
        </is>
      </c>
      <c r="B67" s="9" t="n">
        <v>0</v>
      </c>
      <c r="C67" s="9" t="n"/>
      <c r="D67" s="9" t="n"/>
      <c r="E67" s="9" t="n"/>
    </row>
    <row r="68">
      <c r="A68" s="20" t="inlineStr">
        <is>
          <t>16. Occupancy</t>
        </is>
      </c>
      <c r="B68" s="9" t="n">
        <v>0</v>
      </c>
      <c r="C68" s="9" t="n"/>
      <c r="D68" s="9" t="n"/>
      <c r="E68" s="9" t="n"/>
    </row>
    <row r="69">
      <c r="A69" s="20" t="inlineStr">
        <is>
          <t>17. Travel</t>
        </is>
      </c>
      <c r="B69" s="9" t="n">
        <v>0</v>
      </c>
      <c r="C69" s="9" t="n"/>
      <c r="D69" s="9" t="n"/>
      <c r="E69" s="9" t="n"/>
    </row>
    <row r="70">
      <c r="A70" s="20" t="inlineStr">
        <is>
          <t>18. Payments of travel/entertainment for public officials</t>
        </is>
      </c>
      <c r="B70" s="9" t="n">
        <v>0</v>
      </c>
      <c r="C70" s="9" t="n"/>
      <c r="D70" s="9" t="n"/>
      <c r="E70" s="9" t="n"/>
    </row>
    <row r="71">
      <c r="A71" s="20" t="inlineStr">
        <is>
          <t>19. Conferences, conventions, and meetings</t>
        </is>
      </c>
      <c r="B71" s="9" t="n">
        <v>0</v>
      </c>
      <c r="C71" s="9" t="n"/>
      <c r="D71" s="9" t="n"/>
      <c r="E71" s="9" t="n"/>
    </row>
    <row r="72">
      <c r="A72" s="20" t="inlineStr">
        <is>
          <t>20. Interest</t>
        </is>
      </c>
      <c r="B72" s="9" t="n">
        <v>23816</v>
      </c>
      <c r="C72" s="9" t="n"/>
      <c r="D72" s="9" t="n">
        <v>23816</v>
      </c>
      <c r="E72" s="9" t="n"/>
    </row>
    <row r="73">
      <c r="A73" s="20" t="inlineStr">
        <is>
          <t>21. Payments to affiliates</t>
        </is>
      </c>
      <c r="B73" s="9" t="n">
        <v>0</v>
      </c>
      <c r="C73" s="9" t="n"/>
      <c r="D73" s="9" t="n"/>
      <c r="E73" s="9" t="n"/>
    </row>
    <row r="74">
      <c r="A74" s="20" t="inlineStr">
        <is>
          <t>22. Depreciation, depletion, and amortization</t>
        </is>
      </c>
      <c r="B74" s="9" t="n">
        <v>141282</v>
      </c>
      <c r="C74" s="9" t="n">
        <v>141282</v>
      </c>
      <c r="D74" s="9" t="n"/>
      <c r="E74" s="9" t="n"/>
    </row>
    <row r="75">
      <c r="A75" s="20" t="inlineStr">
        <is>
          <t>23. Insurance</t>
        </is>
      </c>
      <c r="B75" s="9" t="n">
        <v>69660</v>
      </c>
      <c r="C75" s="9" t="n">
        <v>69660</v>
      </c>
      <c r="D75" s="9" t="n"/>
      <c r="E75" s="9" t="n"/>
    </row>
    <row r="76">
      <c r="A76" s="10" t="inlineStr">
        <is>
          <t>25. Total (filed col A / B / C / D)</t>
        </is>
      </c>
      <c r="B76" s="11" t="n">
        <v>1126391</v>
      </c>
      <c r="C76" s="11" t="n">
        <v>933838</v>
      </c>
      <c r="D76" s="11" t="n">
        <v>192553</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78:F78"/>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Balance Sheet - Form 990 Part X (end of year, USD)</t>
        </is>
      </c>
    </row>
    <row r="3">
      <c r="A3" s="2" t="inlineStr">
        <is>
          <t>Entity ID: cawc_0007   |   Fiscal year ends March 31.</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161193</v>
      </c>
      <c r="C7" s="9" t="n">
        <v>68404</v>
      </c>
      <c r="D7" s="9" t="n">
        <v>85969</v>
      </c>
      <c r="E7" s="9" t="n">
        <v>199983</v>
      </c>
      <c r="F7" s="9" t="n">
        <v>1099361</v>
      </c>
    </row>
    <row r="8">
      <c r="A8" s="8" t="inlineStr">
        <is>
          <t xml:space="preserve">    2. Savings and temporary cash investments</t>
        </is>
      </c>
      <c r="B8" s="9" t="n">
        <v>0</v>
      </c>
      <c r="C8" s="9" t="n">
        <v>0</v>
      </c>
      <c r="D8" s="9" t="n">
        <v>0</v>
      </c>
      <c r="E8" s="9" t="n">
        <v>0</v>
      </c>
      <c r="F8" s="9" t="n">
        <v>0</v>
      </c>
    </row>
    <row r="9">
      <c r="A9" s="8" t="inlineStr">
        <is>
          <t xml:space="preserve">    3. Pledges and grants receivable, net</t>
        </is>
      </c>
      <c r="B9" s="9" t="n">
        <v>0</v>
      </c>
      <c r="C9" s="9" t="n">
        <v>0</v>
      </c>
      <c r="D9" s="9" t="n">
        <v>0</v>
      </c>
      <c r="E9" s="9" t="n">
        <v>166611</v>
      </c>
      <c r="F9" s="9" t="n">
        <v>0</v>
      </c>
    </row>
    <row r="10">
      <c r="A10" s="8" t="inlineStr">
        <is>
          <t xml:space="preserve">    4. Accounts receivable, net</t>
        </is>
      </c>
      <c r="B10" s="9" t="n">
        <v>5875</v>
      </c>
      <c r="C10" s="9" t="n">
        <v>0</v>
      </c>
      <c r="D10" s="9" t="n">
        <v>416170</v>
      </c>
      <c r="E10" s="9" t="n">
        <v>67466</v>
      </c>
      <c r="F10" s="9" t="n">
        <v>15440</v>
      </c>
    </row>
    <row r="11">
      <c r="A11" s="8" t="inlineStr">
        <is>
          <t xml:space="preserve">    5. Receivables from officers/directors/trustees</t>
        </is>
      </c>
      <c r="B11" s="9" t="n">
        <v>93</v>
      </c>
      <c r="C11" s="9" t="n">
        <v>93</v>
      </c>
      <c r="D11" s="9" t="n">
        <v>93</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2346</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110</v>
      </c>
      <c r="C15" s="9" t="n">
        <v>21338</v>
      </c>
      <c r="D15" s="9" t="n">
        <v>2227</v>
      </c>
      <c r="E15" s="9" t="n">
        <v>11777</v>
      </c>
      <c r="F15" s="9" t="n">
        <v>23499</v>
      </c>
    </row>
    <row r="16">
      <c r="A16" s="8" t="inlineStr">
        <is>
          <t xml:space="preserve">    10c. Land, buildings, and equipment, net</t>
        </is>
      </c>
      <c r="B16" s="9" t="n">
        <v>1431665</v>
      </c>
      <c r="C16" s="9" t="n">
        <v>1335614</v>
      </c>
      <c r="D16" s="9" t="n">
        <v>1246731</v>
      </c>
      <c r="E16" s="9" t="n">
        <v>1739502</v>
      </c>
      <c r="F16" s="9" t="n">
        <v>2048566</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389</v>
      </c>
      <c r="E20" s="9" t="n">
        <v>222</v>
      </c>
      <c r="F20" s="9" t="n">
        <v>55</v>
      </c>
    </row>
    <row r="21">
      <c r="A21" s="8" t="inlineStr">
        <is>
          <t xml:space="preserve">    15. Other assets</t>
        </is>
      </c>
      <c r="B21" s="9" t="n">
        <v>100064</v>
      </c>
      <c r="C21" s="9" t="n">
        <v>100064</v>
      </c>
      <c r="D21" s="9" t="n">
        <v>100064</v>
      </c>
      <c r="E21" s="9" t="n">
        <v>100064</v>
      </c>
      <c r="F21" s="9" t="n">
        <v>100064</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386</v>
      </c>
      <c r="C25" s="9" t="n">
        <v>401</v>
      </c>
      <c r="D25" s="9" t="n">
        <v>18150</v>
      </c>
      <c r="E25" s="9" t="n">
        <v>48813</v>
      </c>
      <c r="F25" s="9" t="n">
        <v>7886</v>
      </c>
    </row>
    <row r="26">
      <c r="A26" s="8" t="inlineStr">
        <is>
          <t xml:space="preserve">    19. Deferred revenue</t>
        </is>
      </c>
      <c r="B26" s="14" t="inlineStr">
        <is>
          <t>not reported</t>
        </is>
      </c>
      <c r="C26" s="9" t="n">
        <v>727</v>
      </c>
      <c r="D26" s="9" t="n">
        <v>268301</v>
      </c>
      <c r="E26" s="9" t="n">
        <v>268301</v>
      </c>
      <c r="F26" s="9" t="n">
        <v>703279</v>
      </c>
    </row>
    <row r="27">
      <c r="A27" s="8" t="inlineStr">
        <is>
          <t xml:space="preserve">    23. Secured mortgages and notes payable</t>
        </is>
      </c>
      <c r="B27" s="9" t="n">
        <v>484543</v>
      </c>
      <c r="C27" s="9" t="n">
        <v>538605</v>
      </c>
      <c r="D27" s="9" t="n">
        <v>517240</v>
      </c>
      <c r="E27" s="9" t="n">
        <v>483533</v>
      </c>
      <c r="F27" s="9" t="n">
        <v>446811</v>
      </c>
    </row>
    <row r="28">
      <c r="A28" s="8" t="inlineStr">
        <is>
          <t xml:space="preserve">    25. Other liabilities</t>
        </is>
      </c>
      <c r="B28" s="9" t="n">
        <v>69025</v>
      </c>
      <c r="C28" s="9" t="n">
        <v>8163</v>
      </c>
      <c r="D28" s="9" t="n">
        <v>1116</v>
      </c>
      <c r="E28" s="9" t="n">
        <v>2456</v>
      </c>
      <c r="F28" s="9" t="n">
        <v>888</v>
      </c>
    </row>
    <row r="29">
      <c r="A29" s="10" t="inlineStr">
        <is>
          <t>26. Total liabilities</t>
        </is>
      </c>
      <c r="B29" s="11">
        <f>SUM(B25:B28)</f>
        <v/>
      </c>
      <c r="C29" s="11">
        <f>SUM(C25:C28)</f>
        <v/>
      </c>
      <c r="D29" s="11">
        <f>SUM(D25:D28)</f>
        <v/>
      </c>
      <c r="E29" s="11">
        <f>SUM(E25:E28)</f>
        <v/>
      </c>
      <c r="F29" s="11">
        <f>SUM(F25:F28)</f>
        <v/>
      </c>
    </row>
    <row r="31">
      <c r="A31" s="6" t="inlineStr">
        <is>
          <t>Net assets / fund balances</t>
        </is>
      </c>
      <c r="B31" s="7" t="n"/>
      <c r="C31" s="7" t="n"/>
      <c r="D31" s="7" t="n"/>
      <c r="E31" s="7" t="n"/>
      <c r="F31" s="7" t="n"/>
    </row>
    <row r="32">
      <c r="A32" s="8" t="inlineStr">
        <is>
          <t xml:space="preserve">    29. Capital stock or trust principal</t>
        </is>
      </c>
      <c r="B32" s="9" t="n">
        <v>276619</v>
      </c>
      <c r="C32" s="9" t="n">
        <v>276619</v>
      </c>
      <c r="D32" s="9" t="n">
        <v>276619</v>
      </c>
      <c r="E32" s="9" t="n">
        <v>276619</v>
      </c>
      <c r="F32" s="9" t="n">
        <v>276619</v>
      </c>
    </row>
    <row r="33">
      <c r="A33" s="8" t="inlineStr">
        <is>
          <t xml:space="preserve">    31. Retained earnings / accumulated funds</t>
        </is>
      </c>
      <c r="B33" s="9" t="n">
        <v>868427</v>
      </c>
      <c r="C33" s="9" t="n">
        <v>700998</v>
      </c>
      <c r="D33" s="9" t="n">
        <v>772563</v>
      </c>
      <c r="E33" s="9" t="n">
        <v>1205903</v>
      </c>
      <c r="F33" s="9" t="n">
        <v>1851502</v>
      </c>
    </row>
    <row r="34">
      <c r="A34" s="10" t="inlineStr">
        <is>
          <t>32. Total net assets / fund balances</t>
        </is>
      </c>
      <c r="B34" s="11">
        <f>SUM(B32:B33)</f>
        <v/>
      </c>
      <c r="C34" s="11">
        <f>SUM(C32:C33)</f>
        <v/>
      </c>
      <c r="D34" s="11">
        <f>SUM(D32:D33)</f>
        <v/>
      </c>
      <c r="E34" s="11">
        <f>SUM(E32:E33)</f>
        <v/>
      </c>
      <c r="F34" s="11">
        <f>SUM(F32:F33)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6:F3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Reconciliation of Net Assets - Form 990 Part XI (USD)</t>
        </is>
      </c>
    </row>
    <row r="3">
      <c r="A3" s="2" t="inlineStr">
        <is>
          <t>Entity ID: cawc_0007   |   Fiscal year ends March 31.</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1141670</v>
      </c>
      <c r="C7" s="9" t="n">
        <v>1145046</v>
      </c>
      <c r="D7" s="9" t="n">
        <v>977617</v>
      </c>
      <c r="E7" s="9" t="n">
        <v>1084893</v>
      </c>
      <c r="F7" s="9" t="n">
        <v>1482522</v>
      </c>
    </row>
    <row r="8">
      <c r="A8" s="8" t="inlineStr">
        <is>
          <t xml:space="preserve">    3. Revenue less expenses</t>
        </is>
      </c>
      <c r="B8" s="9" t="n">
        <v>-15546</v>
      </c>
      <c r="C8" s="9" t="n">
        <v>-167429</v>
      </c>
      <c r="D8" s="9" t="n">
        <v>71565</v>
      </c>
      <c r="E8" s="9" t="n">
        <v>397629</v>
      </c>
      <c r="F8" s="9" t="n">
        <v>645599</v>
      </c>
    </row>
    <row r="9">
      <c r="A9" s="8" t="inlineStr">
        <is>
          <t xml:space="preserve">    8. Prior period adjustments</t>
        </is>
      </c>
      <c r="B9" s="9" t="n">
        <v>18922</v>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Cash Flow Proxies - derived (USD)</t>
        </is>
      </c>
    </row>
    <row r="3">
      <c r="A3" s="2" t="inlineStr">
        <is>
          <t>Entity ID: cawc_0007   |   Fiscal year ends March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-15546</v>
      </c>
      <c r="C9" s="9" t="n">
        <v>-167429</v>
      </c>
      <c r="D9" s="9" t="n">
        <v>71565</v>
      </c>
      <c r="E9" s="9" t="n">
        <v>397629</v>
      </c>
      <c r="F9" s="9" t="n">
        <v>645599</v>
      </c>
    </row>
    <row r="10">
      <c r="A10" s="8" t="inlineStr">
        <is>
          <t xml:space="preserve">    + Depreciation (reported)</t>
        </is>
      </c>
      <c r="B10" s="9" t="n">
        <v>109605</v>
      </c>
      <c r="C10" s="9" t="n">
        <v>110451</v>
      </c>
      <c r="D10" s="9" t="n">
        <v>98517</v>
      </c>
      <c r="E10" s="9" t="n">
        <v>123411</v>
      </c>
      <c r="F10" s="9" t="n">
        <v>141282</v>
      </c>
    </row>
    <row r="11">
      <c r="A11" s="8" t="inlineStr">
        <is>
          <t xml:space="preserve">    − Δ Accounts receivable</t>
        </is>
      </c>
      <c r="B11" s="9" t="n"/>
      <c r="C11" s="9" t="n">
        <v>5875</v>
      </c>
      <c r="D11" s="9" t="n">
        <v>-416170</v>
      </c>
      <c r="E11" s="9" t="n">
        <v>348704</v>
      </c>
      <c r="F11" s="9" t="n">
        <v>52026</v>
      </c>
    </row>
    <row r="12">
      <c r="A12" s="8" t="inlineStr">
        <is>
          <t xml:space="preserve">    − Δ Inventories</t>
        </is>
      </c>
      <c r="B12" s="9" t="n"/>
      <c r="C12" s="9" t="n">
        <v>0</v>
      </c>
      <c r="D12" s="9" t="n">
        <v>0</v>
      </c>
      <c r="E12" s="9" t="n">
        <v>0</v>
      </c>
      <c r="F12" s="9" t="n">
        <v>0</v>
      </c>
    </row>
    <row r="13">
      <c r="A13" s="8" t="inlineStr">
        <is>
          <t xml:space="preserve">    − Δ Prepaid expenses</t>
        </is>
      </c>
      <c r="B13" s="9" t="n"/>
      <c r="C13" s="9" t="n">
        <v>-21228</v>
      </c>
      <c r="D13" s="9" t="n">
        <v>19111</v>
      </c>
      <c r="E13" s="9" t="n">
        <v>-9550</v>
      </c>
      <c r="F13" s="9" t="n">
        <v>-11722</v>
      </c>
    </row>
    <row r="14">
      <c r="A14" s="8" t="inlineStr">
        <is>
          <t xml:space="preserve">    + Δ Accounts payable</t>
        </is>
      </c>
      <c r="B14" s="9" t="n"/>
      <c r="C14" s="9" t="n">
        <v>15</v>
      </c>
      <c r="D14" s="9" t="n">
        <v>17749</v>
      </c>
      <c r="E14" s="9" t="n">
        <v>30663</v>
      </c>
      <c r="F14" s="9" t="n">
        <v>-40927</v>
      </c>
    </row>
    <row r="15">
      <c r="A15" s="10" t="inlineStr">
        <is>
          <t xml:space="preserve">    Operating cash flow proxy</t>
        </is>
      </c>
      <c r="B15" s="11" t="n"/>
      <c r="C15" s="11" t="n">
        <v>-72316</v>
      </c>
      <c r="D15" s="11" t="n">
        <v>-209228</v>
      </c>
      <c r="E15" s="11" t="n">
        <v>890857</v>
      </c>
      <c r="F15" s="11" t="n">
        <v>786258</v>
      </c>
    </row>
    <row r="17">
      <c r="A17" s="6" t="inlineStr">
        <is>
          <t>Investing</t>
        </is>
      </c>
      <c r="B17" s="7" t="n"/>
      <c r="C17" s="7" t="n"/>
      <c r="D17" s="7" t="n"/>
      <c r="E17" s="7" t="n"/>
      <c r="F17" s="7" t="n"/>
    </row>
    <row r="18">
      <c r="A18" s="8" t="inlineStr">
        <is>
          <t xml:space="preserve">    − Δ PP&amp;E gross (capex proxy)</t>
        </is>
      </c>
      <c r="B18" s="9" t="n"/>
      <c r="C18" s="9" t="n">
        <v>-14400</v>
      </c>
      <c r="D18" s="9" t="n">
        <v>-9523</v>
      </c>
      <c r="E18" s="9" t="n">
        <v>-603815</v>
      </c>
      <c r="F18" s="9" t="n">
        <v>-450179</v>
      </c>
    </row>
    <row r="20">
      <c r="A20" s="6" t="inlineStr">
        <is>
          <t>Financing</t>
        </is>
      </c>
      <c r="B20" s="7" t="n"/>
      <c r="C20" s="7" t="n"/>
      <c r="D20" s="7" t="n"/>
      <c r="E20" s="7" t="n"/>
      <c r="F20" s="7" t="n"/>
    </row>
    <row r="21">
      <c r="A21" s="8" t="inlineStr">
        <is>
          <t xml:space="preserve">    Δ Mortgages &amp; notes payable</t>
        </is>
      </c>
      <c r="B21" s="9" t="n"/>
      <c r="C21" s="9" t="n">
        <v>54062</v>
      </c>
      <c r="D21" s="9" t="n">
        <v>-21365</v>
      </c>
      <c r="E21" s="9" t="n">
        <v>-33707</v>
      </c>
      <c r="F21" s="9" t="n">
        <v>-36722</v>
      </c>
    </row>
    <row r="23">
      <c r="A23" s="6" t="inlineStr">
        <is>
          <t>Reconciliation</t>
        </is>
      </c>
      <c r="B23" s="7" t="n"/>
      <c r="C23" s="7" t="n"/>
      <c r="D23" s="7" t="n"/>
      <c r="E23" s="7" t="n"/>
      <c r="F23" s="7" t="n"/>
    </row>
    <row r="24">
      <c r="A24" s="10" t="inlineStr">
        <is>
          <t xml:space="preserve">    Δ Cash + temp. investments (actual)</t>
        </is>
      </c>
      <c r="B24" s="11" t="n"/>
      <c r="C24" s="11" t="n">
        <v>-92789</v>
      </c>
      <c r="D24" s="11" t="n">
        <v>17565</v>
      </c>
      <c r="E24" s="11" t="n">
        <v>114014</v>
      </c>
      <c r="F24" s="11" t="n">
        <v>899378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Senior Canyon Mutual Water Company</t>
        </is>
      </c>
    </row>
    <row r="2">
      <c r="A2" s="2" t="inlineStr">
        <is>
          <t>Financial Ratios</t>
        </is>
      </c>
    </row>
    <row r="3">
      <c r="A3" s="2" t="inlineStr">
        <is>
          <t>Entity ID: cawc_0007   |   Fiscal year ends March 31.</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-0.01506510672813132</v>
      </c>
      <c r="C7" s="12" t="n">
        <v>-0.1273966432157439</v>
      </c>
      <c r="D7" s="12" t="n">
        <v>0.05659146442720565</v>
      </c>
      <c r="E7" s="12" t="n">
        <v>0.3095504450241605</v>
      </c>
      <c r="F7" s="12" t="n">
        <v>0.3643355775145458</v>
      </c>
    </row>
    <row r="8">
      <c r="A8" s="8" t="inlineStr">
        <is>
          <t xml:space="preserve">    Expense ratio (expenses / revenue)</t>
        </is>
      </c>
      <c r="B8" s="12" t="n">
        <v>1.015065106728131</v>
      </c>
      <c r="C8" s="12" t="n">
        <v>1.127396643215744</v>
      </c>
      <c r="D8" s="12" t="n">
        <v>0.9434085355727944</v>
      </c>
      <c r="E8" s="12" t="n">
        <v>0.6904495549758396</v>
      </c>
      <c r="F8" s="12" t="n">
        <v>0.6356644224854542</v>
      </c>
    </row>
    <row r="9">
      <c r="A9" s="8" t="inlineStr">
        <is>
          <t xml:space="preserve">    Return on assets (NI / assets)</t>
        </is>
      </c>
      <c r="B9" s="12" t="n">
        <v>-0.00915008828722778</v>
      </c>
      <c r="C9" s="12" t="n">
        <v>-0.1097525881457582</v>
      </c>
      <c r="D9" s="12" t="n">
        <v>0.03860055264621311</v>
      </c>
      <c r="E9" s="12" t="n">
        <v>0.1739694831829368</v>
      </c>
      <c r="F9" s="12" t="n">
        <v>0.1964106924734977</v>
      </c>
    </row>
    <row r="10">
      <c r="A10" s="8" t="inlineStr">
        <is>
          <t xml:space="preserve">    Revenue growth (YoY)</t>
        </is>
      </c>
      <c r="B10" s="12" t="n">
        <v>0.1800962446737219</v>
      </c>
      <c r="C10" s="12" t="n">
        <v>0.2735800511860889</v>
      </c>
      <c r="D10" s="12" t="n">
        <v>-0.03777409502417377</v>
      </c>
      <c r="E10" s="12" t="n">
        <v>0.01577349180366759</v>
      </c>
      <c r="F10" s="12" t="n">
        <v>0.3794775860874385</v>
      </c>
    </row>
    <row r="12">
      <c r="A12" s="6" t="inlineStr">
        <is>
          <t>Leverage &amp; solvency</t>
        </is>
      </c>
      <c r="B12" s="7" t="n"/>
      <c r="C12" s="7" t="n"/>
      <c r="D12" s="7" t="n"/>
      <c r="E12" s="7" t="n"/>
      <c r="F12" s="7" t="n"/>
    </row>
    <row r="13">
      <c r="A13" s="8" t="inlineStr">
        <is>
          <t xml:space="preserve">    Debt-to-assets (liab. / assets)</t>
        </is>
      </c>
      <c r="B13" s="12" t="n">
        <v>0.3260470865214832</v>
      </c>
      <c r="C13" s="12" t="n">
        <v>0.3591552481034249</v>
      </c>
      <c r="D13" s="12" t="n">
        <v>0.4340948085452503</v>
      </c>
      <c r="E13" s="12" t="n">
        <v>0.3513712879409352</v>
      </c>
      <c r="F13" s="12" t="n">
        <v>0.3525613898451012</v>
      </c>
    </row>
    <row r="14">
      <c r="A14" s="8" t="inlineStr">
        <is>
          <t xml:space="preserve">    Equity ratio (net assets / assets)</t>
        </is>
      </c>
      <c r="B14" s="12" t="n">
        <v>0.6739529134785168</v>
      </c>
      <c r="C14" s="12" t="n">
        <v>0.6408447518965751</v>
      </c>
      <c r="D14" s="12" t="n">
        <v>0.5659051914547497</v>
      </c>
      <c r="E14" s="12" t="n">
        <v>0.6486287120590648</v>
      </c>
      <c r="F14" s="12" t="n">
        <v>0.6474386101548988</v>
      </c>
    </row>
    <row r="16">
      <c r="A16" s="6" t="inlineStr">
        <is>
          <t>Liquidity &amp; asset profile (derived here)</t>
        </is>
      </c>
      <c r="B16" s="7" t="n"/>
      <c r="C16" s="7" t="n"/>
      <c r="D16" s="7" t="n"/>
      <c r="E16" s="7" t="n"/>
      <c r="F16" s="7" t="n"/>
    </row>
    <row r="17">
      <c r="A17" s="8" t="inlineStr">
        <is>
          <t xml:space="preserve">    Current ratio (current assets / AP)</t>
        </is>
      </c>
      <c r="B17" s="21" t="n">
        <v>433.1036269430052</v>
      </c>
      <c r="C17" s="21" t="n">
        <v>223.7955112219451</v>
      </c>
      <c r="D17" s="21" t="n">
        <v>27.78876033057851</v>
      </c>
      <c r="E17" s="21" t="n">
        <v>5.720320406449102</v>
      </c>
      <c r="F17" s="21" t="n">
        <v>144.3444078113112</v>
      </c>
    </row>
    <row r="18">
      <c r="A18" s="8" t="inlineStr">
        <is>
          <t xml:space="preserve">    Cash ratio ((cash+temp inv.) / total liab.)</t>
        </is>
      </c>
      <c r="B18" s="21" t="n">
        <v>0.2909862551764226</v>
      </c>
      <c r="C18" s="21" t="n">
        <v>0.1248485113963234</v>
      </c>
      <c r="D18" s="21" t="n">
        <v>0.1068193989366395</v>
      </c>
      <c r="E18" s="21" t="n">
        <v>0.2490128912480715</v>
      </c>
      <c r="F18" s="21" t="n">
        <v>0.9486540267020116</v>
      </c>
    </row>
    <row r="19">
      <c r="A19" s="8" t="inlineStr">
        <is>
          <t xml:space="preserve">    Asset age proxy (accum. deprec. / gross PP&amp;E)</t>
        </is>
      </c>
      <c r="B19" s="12" t="n">
        <v>0.4753501629470233</v>
      </c>
      <c r="C19" s="12" t="n">
        <v>0.5131184335380455</v>
      </c>
      <c r="D19" s="12" t="n">
        <v>0.5470918987882548</v>
      </c>
      <c r="E19" s="12" t="n">
        <v>0.481757250548854</v>
      </c>
      <c r="F19" s="12" t="n">
        <v>0.4618550678038142</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Senior Canyon Mutual Water Company</t>
        </is>
      </c>
    </row>
    <row r="2">
      <c r="A2" s="2" t="inlineStr">
        <is>
          <t>Unit economics - per-customer revenue by category (USD)</t>
        </is>
      </c>
    </row>
    <row r="3">
      <c r="A3" s="2" t="inlineStr">
        <is>
          <t>Entity ID: cawc_0007   |   Fiscal year ends March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249</v>
      </c>
      <c r="C6" s="24" t="inlineStr">
        <is>
          <t>State Water Board eAR Section 4 (CurTotalConnections), reporting year 2023</t>
        </is>
      </c>
    </row>
    <row r="7">
      <c r="A7" s="22" t="inlineStr">
        <is>
          <t>Total annual revenue (eAR Section 8b B1.8)</t>
        </is>
      </c>
      <c r="B7" s="9" t="n">
        <v>890351</v>
      </c>
      <c r="C7" s="24" t="inlineStr">
        <is>
          <t>State Water Board eAR Section 8b, question B1.8 (total annual revenue), reporting year 2023</t>
        </is>
      </c>
    </row>
    <row r="8">
      <c r="A8" s="22" t="inlineStr">
        <is>
          <t>Primary source</t>
        </is>
      </c>
      <c r="B8" s="25" t="inlineStr"/>
      <c r="C8" s="24"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888351</v>
      </c>
      <c r="D12" s="27" t="n">
        <v>3567.67</v>
      </c>
      <c r="E12" s="28" t="n">
        <v>0.9978</v>
      </c>
    </row>
    <row r="13">
      <c r="A13" s="8" t="inlineStr">
        <is>
          <t>Assessment revenue (990 program-service revenue not matched to eAR water-rate revenue)</t>
        </is>
      </c>
      <c r="B13" s="26" t="inlineStr">
        <is>
          <t>IMPOSSIBLE</t>
        </is>
      </c>
      <c r="C13" s="29" t="inlineStr">
        <is>
          <t>IMPOSSIBLE</t>
        </is>
      </c>
      <c r="D13" s="29" t="inlineStr">
        <is>
          <t>IMPOSSIBLE</t>
        </is>
      </c>
      <c r="E13" s="29" t="inlineStr">
        <is>
          <t>IMPOSSIBLE</t>
        </is>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888351</v>
      </c>
      <c r="C19" s="24" t="inlineStr">
        <is>
          <t>eAR Section 8b field B1.1 (residential water rates) + B1.2 (non-residential water rates). State Water Board eAR Section 8b, question B1.1 + B1.2 (revenue from water rates), reporting year 2023</t>
        </is>
      </c>
    </row>
    <row r="20">
      <c r="A20" s="22" t="inlineStr">
        <is>
          <t>Denominator: Total service connections</t>
        </is>
      </c>
      <c r="B20" s="23" t="n">
        <v>249</v>
      </c>
      <c r="C20" s="24" t="inlineStr">
        <is>
          <t>eAR Section 4 CurTotalConnections, reporting year 2023. State Water Board eAR Section 4 (CurTotalConnections), reporting year 2023</t>
        </is>
      </c>
    </row>
    <row r="21" ht="36" customHeight="1">
      <c r="A21" s="3" t="inlineStr">
        <is>
          <t>Per customer: water rate revenue $888,351 / 249 connections = $3,567.67 per connection</t>
        </is>
      </c>
    </row>
    <row r="22" ht="36" customHeight="1">
      <c r="A22" s="3" t="inlineStr">
        <is>
          <t>Share of revenue: water rate revenue $888,351 / total annual revenue (eAR Section 8b B1.8) $890,351 = 99.78%</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IMPOSSIBLE</t>
        </is>
      </c>
      <c r="B26" s="7" t="n"/>
      <c r="C26" s="7" t="n"/>
      <c r="D26" s="7" t="n"/>
      <c r="E26" s="7" t="n"/>
    </row>
    <row r="27" ht="36" customHeight="1">
      <c r="A27" s="3" t="inlineStr">
        <is>
          <t>Not computed. A period-aligned residual is not possible for this filer.</t>
        </is>
      </c>
    </row>
    <row r="28" ht="111" customHeight="1">
      <c r="A28" s="3" t="inlineStr">
        <is>
          <t>Reason: Not derivable. The eAR Section 8b is the calendar year 2023 while the Form 990 fiscal year ends March 31, 2023; the two period ends are 9 months apart, so a period-aligned residual cannot be computed. And billing is share-based: monthly charges scale with the number of shares an owner holds, so the eAR water-rate line already IS the assessment - there is no separate assessment to residual out.</t>
        </is>
      </c>
    </row>
    <row r="29" ht="60" customHeight="1">
      <c r="A29" s="30" t="inlineStr">
        <is>
          <t>Filer's eAR comment: “We have a share based billing system and monthly charges are related to how many shares are owned.  This value ranges fro 1 share to 246 shares.  It is difficult to plug our company numbers into this one size fits all form, and I am sick of trying to do so.”</t>
        </is>
      </c>
    </row>
    <row r="30">
      <c r="A30" s="22" t="inlineStr">
        <is>
          <t>Comment source</t>
        </is>
      </c>
      <c r="B30" s="25" t="inlineStr"/>
      <c r="C30" s="24" t="inlineStr">
        <is>
          <t>State Water Board eAR Section 8b, question WRRevenueComments (the filer's own comment on Section 8b), reporting year 2023</t>
        </is>
      </c>
    </row>
    <row r="32">
      <c r="A32" s="6" t="inlineStr">
        <is>
          <t>Meter revenue - not reported</t>
        </is>
      </c>
      <c r="B32" s="7" t="n"/>
      <c r="C32" s="7" t="n"/>
      <c r="D32" s="7" t="n"/>
      <c r="E32" s="7" t="n"/>
    </row>
    <row r="33" ht="36" customHeight="1">
      <c r="A33" s="3" t="inlineStr">
        <is>
          <t>Not reported. This category is not built because doing so would double-count.</t>
        </is>
      </c>
    </row>
    <row r="34" ht="81" customHeight="1">
      <c r="A34"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36">
      <c r="A36" s="6" t="inlineStr">
        <is>
          <t>Overage or tiered penalty revenue - not reported</t>
        </is>
      </c>
      <c r="B36" s="7" t="n"/>
      <c r="C36" s="7" t="n"/>
      <c r="D36" s="7" t="n"/>
      <c r="E36" s="7" t="n"/>
    </row>
    <row r="37" ht="36" customHeight="1">
      <c r="A37" s="3" t="inlineStr">
        <is>
          <t>Not reported. This category is not built because doing so would double-count.</t>
        </is>
      </c>
    </row>
    <row r="38" ht="81" customHeight="1">
      <c r="A38"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6">
    <mergeCell ref="A21:E21"/>
    <mergeCell ref="A34:E34"/>
    <mergeCell ref="A29:E29"/>
    <mergeCell ref="A24:E24"/>
    <mergeCell ref="A2:E2"/>
    <mergeCell ref="A38:E38"/>
    <mergeCell ref="A28:E28"/>
    <mergeCell ref="A33:E33"/>
    <mergeCell ref="A1:E1"/>
    <mergeCell ref="A5:E5"/>
    <mergeCell ref="A23:E23"/>
    <mergeCell ref="A37:E37"/>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Senior Canyon Mutual Water Company</t>
        </is>
      </c>
    </row>
    <row r="2">
      <c r="A2" s="2" t="inlineStr">
        <is>
          <t>Rate structure and representative bill - eAR Section 8a (RY2024)</t>
        </is>
      </c>
    </row>
    <row r="3">
      <c r="A3" s="2" t="inlineStr">
        <is>
          <t>Entity ID: cawc_0007   |   Fiscal year ends March 31.</t>
        </is>
      </c>
    </row>
    <row r="5" ht="81" customHeight="1">
      <c r="A5" s="31" t="inlineStr">
        <is>
          <t>This block is a rate-schedule illustration at defined usage levels. It is NOT billed revenue and not a claim about any real customer's usage. The revenue side of unit economics is the separate Unit Economics block.</t>
        </is>
      </c>
    </row>
    <row r="6" ht="51" customHeight="1">
      <c r="A6" s="32" t="inlineStr">
        <is>
          <t>Structure: Tiered increasing-block with a fixed base, billed monthly, priced per HCF. Rate schedule last updated 07/01/2024.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3" t="inlineStr"/>
      <c r="B10" s="5" t="inlineStr">
        <is>
          <t>Low</t>
        </is>
      </c>
      <c r="C10" s="5" t="inlineStr">
        <is>
          <t>Median</t>
        </is>
      </c>
      <c r="D10" s="5" t="inlineStr">
        <is>
          <t>High</t>
        </is>
      </c>
    </row>
    <row r="11">
      <c r="A11" s="8" t="inlineStr">
        <is>
          <t>Monthly usage (HCF)</t>
        </is>
      </c>
      <c r="B11" s="34" t="n">
        <v>5</v>
      </c>
      <c r="C11" s="34" t="n">
        <v>10</v>
      </c>
      <c r="D11" s="34" t="n">
        <v>25</v>
      </c>
    </row>
    <row r="12">
      <c r="A12" s="8" t="inlineStr">
        <is>
          <t>Months per bill (from filed billing frequency)</t>
        </is>
      </c>
      <c r="B12" s="35"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7" t="n">
        <v>100</v>
      </c>
    </row>
    <row r="16">
      <c r="A16" s="4" t="inlineStr">
        <is>
          <t>Tier</t>
        </is>
      </c>
      <c r="B16" s="4" t="inlineStr">
        <is>
          <t>Range (HCF)</t>
        </is>
      </c>
      <c r="C16" s="36" t="inlineStr">
        <is>
          <t>Price ($/HCF)</t>
        </is>
      </c>
      <c r="D16" s="36" t="inlineStr">
        <is>
          <t>Upper limit (HCF)</t>
        </is>
      </c>
    </row>
    <row r="17">
      <c r="A17" s="8" t="inlineStr">
        <is>
          <t>Tier 1</t>
        </is>
      </c>
      <c r="B17" s="8" t="inlineStr">
        <is>
          <t>0 to 5 HCF</t>
        </is>
      </c>
      <c r="C17" s="37" t="n">
        <v>0</v>
      </c>
      <c r="D17" s="38" t="n">
        <v>5</v>
      </c>
    </row>
    <row r="18">
      <c r="A18" s="8" t="inlineStr">
        <is>
          <t>Tier 2</t>
        </is>
      </c>
      <c r="B18" s="8" t="inlineStr">
        <is>
          <t>5 to 10 HCF</t>
        </is>
      </c>
      <c r="C18" s="37" t="n">
        <v>4.143</v>
      </c>
      <c r="D18" s="38" t="n">
        <v>10</v>
      </c>
    </row>
    <row r="19">
      <c r="A19" s="8" t="inlineStr">
        <is>
          <t>Tier 3</t>
        </is>
      </c>
      <c r="B19" s="8" t="inlineStr">
        <is>
          <t>10 to 15 HCF</t>
        </is>
      </c>
      <c r="C19" s="37" t="n">
        <v>5.054</v>
      </c>
      <c r="D19" s="38" t="n">
        <v>15</v>
      </c>
    </row>
    <row r="20">
      <c r="A20" s="8" t="inlineStr">
        <is>
          <t>Tier 4</t>
        </is>
      </c>
      <c r="B20" s="8" t="inlineStr">
        <is>
          <t>15 to 20 HCF</t>
        </is>
      </c>
      <c r="C20" s="37" t="n">
        <v>6.065</v>
      </c>
      <c r="D20" s="38" t="n">
        <v>20</v>
      </c>
    </row>
    <row r="21">
      <c r="A21" s="8" t="inlineStr">
        <is>
          <t>Tier 5</t>
        </is>
      </c>
      <c r="B21" s="8" t="inlineStr">
        <is>
          <t>20 to 25 HCF</t>
        </is>
      </c>
      <c r="C21" s="37" t="n">
        <v>7.278</v>
      </c>
      <c r="D21" s="38" t="n">
        <v>25</v>
      </c>
    </row>
    <row r="22">
      <c r="A22" s="8" t="inlineStr">
        <is>
          <t>Tier 6</t>
        </is>
      </c>
      <c r="B22" s="8" t="inlineStr">
        <is>
          <t>over 25 HCF</t>
        </is>
      </c>
      <c r="C22" s="37" t="n">
        <v>8.734</v>
      </c>
      <c r="D22" s="38" t="inlineStr">
        <is>
          <t>no limit</t>
        </is>
      </c>
    </row>
    <row r="24">
      <c r="A24" s="6" t="inlineStr">
        <is>
          <t>Representative monthly bill - LIVE (edit a yellow usage cell to recompute)</t>
        </is>
      </c>
      <c r="B24" s="7" t="n"/>
      <c r="C24" s="7" t="n"/>
      <c r="D24" s="7" t="n"/>
    </row>
    <row r="25">
      <c r="A25" s="33" t="inlineStr"/>
      <c r="B25" s="5" t="inlineStr">
        <is>
          <t>Low</t>
        </is>
      </c>
      <c r="C25" s="5" t="inlineStr">
        <is>
          <t>Median</t>
        </is>
      </c>
      <c r="D25" s="5" t="inlineStr">
        <is>
          <t>High</t>
        </is>
      </c>
    </row>
    <row r="26">
      <c r="A26" s="8" t="inlineStr">
        <is>
          <t>Usage per bill (HCF)</t>
        </is>
      </c>
      <c r="B26" s="39">
        <f>B11*$B$12</f>
        <v/>
      </c>
      <c r="C26" s="39">
        <f>C11*$B$12</f>
        <v/>
      </c>
      <c r="D26" s="39">
        <f>D11*$B$12</f>
        <v/>
      </c>
    </row>
    <row r="27">
      <c r="A27" s="8" t="inlineStr">
        <is>
          <t xml:space="preserve">    Tier 1 charge per bill ($)</t>
        </is>
      </c>
      <c r="B27" s="40">
        <f>$C$17*MAX(0,MIN(B26,$D$17)-0)</f>
        <v/>
      </c>
      <c r="C27" s="40">
        <f>$C$17*MAX(0,MIN(C26,$D$17)-0)</f>
        <v/>
      </c>
      <c r="D27" s="40">
        <f>$C$17*MAX(0,MIN(D26,$D$17)-0)</f>
        <v/>
      </c>
    </row>
    <row r="28">
      <c r="A28" s="8" t="inlineStr">
        <is>
          <t xml:space="preserve">    Tier 2 charge per bill ($)</t>
        </is>
      </c>
      <c r="B28" s="40">
        <f>$C$18*MAX(0,MIN(B26,$D$18)-$D$17)</f>
        <v/>
      </c>
      <c r="C28" s="40">
        <f>$C$18*MAX(0,MIN(C26,$D$18)-$D$17)</f>
        <v/>
      </c>
      <c r="D28" s="40">
        <f>$C$18*MAX(0,MIN(D26,$D$18)-$D$17)</f>
        <v/>
      </c>
    </row>
    <row r="29">
      <c r="A29" s="8" t="inlineStr">
        <is>
          <t xml:space="preserve">    Tier 3 charge per bill ($)</t>
        </is>
      </c>
      <c r="B29" s="40">
        <f>$C$19*MAX(0,MIN(B26,$D$19)-$D$18)</f>
        <v/>
      </c>
      <c r="C29" s="40">
        <f>$C$19*MAX(0,MIN(C26,$D$19)-$D$18)</f>
        <v/>
      </c>
      <c r="D29" s="40">
        <f>$C$19*MAX(0,MIN(D26,$D$19)-$D$18)</f>
        <v/>
      </c>
    </row>
    <row r="30">
      <c r="A30" s="8" t="inlineStr">
        <is>
          <t xml:space="preserve">    Tier 4 charge per bill ($)</t>
        </is>
      </c>
      <c r="B30" s="40">
        <f>$C$20*MAX(0,MIN(B26,$D$20)-$D$19)</f>
        <v/>
      </c>
      <c r="C30" s="40">
        <f>$C$20*MAX(0,MIN(C26,$D$20)-$D$19)</f>
        <v/>
      </c>
      <c r="D30" s="40">
        <f>$C$20*MAX(0,MIN(D26,$D$20)-$D$19)</f>
        <v/>
      </c>
    </row>
    <row r="31">
      <c r="A31" s="8" t="inlineStr">
        <is>
          <t xml:space="preserve">    Tier 5 charge per bill ($)</t>
        </is>
      </c>
      <c r="B31" s="40">
        <f>$C$21*MAX(0,MIN(B26,$D$21)-$D$20)</f>
        <v/>
      </c>
      <c r="C31" s="40">
        <f>$C$21*MAX(0,MIN(C26,$D$21)-$D$20)</f>
        <v/>
      </c>
      <c r="D31" s="40">
        <f>$C$21*MAX(0,MIN(D26,$D$21)-$D$20)</f>
        <v/>
      </c>
    </row>
    <row r="32">
      <c r="A32" s="8" t="inlineStr">
        <is>
          <t xml:space="preserve">    Tier 6 charge per bill ($)</t>
        </is>
      </c>
      <c r="B32" s="40">
        <f>$C$22*MAX(0,B26-$D$21)</f>
        <v/>
      </c>
      <c r="C32" s="40">
        <f>$C$22*MAX(0,C26-$D$21)</f>
        <v/>
      </c>
      <c r="D32" s="40">
        <f>$C$22*MAX(0,D26-$D$21)</f>
        <v/>
      </c>
    </row>
    <row r="33">
      <c r="A33" s="8" t="inlineStr">
        <is>
          <t>Volumetric charge per bill ($)</t>
        </is>
      </c>
      <c r="B33" s="40">
        <f>SUM(B27,B28,B29,B30,B31,B32)</f>
        <v/>
      </c>
      <c r="C33" s="40">
        <f>SUM(C27,C28,C29,C30,C31,C32)</f>
        <v/>
      </c>
      <c r="D33" s="40">
        <f>SUM(D27,D28,D29,D30,D31,D32)</f>
        <v/>
      </c>
    </row>
    <row r="34">
      <c r="A34" s="8" t="inlineStr">
        <is>
          <t>Base charge per bill ($)</t>
        </is>
      </c>
      <c r="B34" s="40">
        <f>$B$15</f>
        <v/>
      </c>
      <c r="C34" s="40">
        <f>$B$15</f>
        <v/>
      </c>
      <c r="D34" s="40">
        <f>$B$15</f>
        <v/>
      </c>
    </row>
    <row r="35">
      <c r="A35" s="8" t="inlineStr">
        <is>
          <t>Total per bill ($)</t>
        </is>
      </c>
      <c r="B35" s="40">
        <f>B34+B33</f>
        <v/>
      </c>
      <c r="C35" s="40">
        <f>C34+C33</f>
        <v/>
      </c>
      <c r="D35" s="40">
        <f>D34+D33</f>
        <v/>
      </c>
    </row>
    <row r="36">
      <c r="A36" s="10" t="inlineStr">
        <is>
          <t>Total per MONTH ($)</t>
        </is>
      </c>
      <c r="B36" s="41">
        <f>B35/$B$12</f>
        <v/>
      </c>
      <c r="C36" s="41">
        <f>C35/$B$12</f>
        <v/>
      </c>
      <c r="D36" s="41">
        <f>D35/$B$12</f>
        <v/>
      </c>
    </row>
    <row r="37">
      <c r="A37" s="8" t="inlineStr">
        <is>
          <t xml:space="preserve">    Fixed per month ($)</t>
        </is>
      </c>
      <c r="B37" s="40">
        <f>$B$15/$B$12</f>
        <v/>
      </c>
      <c r="C37" s="40">
        <f>$B$15/$B$12</f>
        <v/>
      </c>
      <c r="D37" s="40">
        <f>$B$15/$B$12</f>
        <v/>
      </c>
    </row>
    <row r="38">
      <c r="A38" s="8" t="inlineStr">
        <is>
          <t xml:space="preserve">    Volumetric per month ($)</t>
        </is>
      </c>
      <c r="B38" s="40">
        <f>B33/$B$12</f>
        <v/>
      </c>
      <c r="C38" s="40">
        <f>C33/$B$12</f>
        <v/>
      </c>
      <c r="D38" s="40">
        <f>D33/$B$12</f>
        <v/>
      </c>
    </row>
    <row r="39">
      <c r="A39" s="8" t="inlineStr">
        <is>
          <t>Effective price ($/HCF)</t>
        </is>
      </c>
      <c r="B39" s="40">
        <f>IF(B11=0,"",B36/B11)</f>
        <v/>
      </c>
      <c r="C39" s="40">
        <f>IF(C11=0,"",C36/C11)</f>
        <v/>
      </c>
      <c r="D39" s="40">
        <f>IF(D11=0,"",D36/D11)</f>
        <v/>
      </c>
    </row>
    <row r="41">
      <c r="A41" s="6" t="inlineStr">
        <is>
          <t>Rate-structure comparison metrics</t>
        </is>
      </c>
      <c r="B41" s="7" t="n"/>
      <c r="C41" s="7" t="n"/>
      <c r="D41" s="7" t="n"/>
    </row>
    <row r="42">
      <c r="A42" s="8" t="inlineStr">
        <is>
          <t>Fixed share of the bill at median usage</t>
        </is>
      </c>
      <c r="B42" s="42">
        <f>C37/C36</f>
        <v/>
      </c>
      <c r="C42" s="13" t="inlineStr">
        <is>
          <t>fixed / total at 10 HCF/month</t>
        </is>
      </c>
    </row>
    <row r="43">
      <c r="A43" s="8" t="inlineStr">
        <is>
          <t>Tier price ratio (highest to lowest positive tier)</t>
        </is>
      </c>
      <c r="B43" s="43">
        <f>$C$22/$C$18</f>
        <v/>
      </c>
      <c r="C43" s="13" t="inlineStr">
        <is>
          <t>first tier is a $0.00 allowance included in the base charge; the ratio uses the lowest POSITIVE tier price.</t>
        </is>
      </c>
    </row>
    <row r="44">
      <c r="A44" s="8" t="inlineStr">
        <is>
          <t>Rate structure (as filed)</t>
        </is>
      </c>
      <c r="B44" s="44" t="inlineStr">
        <is>
          <t>tiered (Variable Base)</t>
        </is>
      </c>
    </row>
    <row r="46" ht="66" customHeight="1">
      <c r="A46"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46:D4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Senior Canyon Mutual Water Company</t>
        </is>
      </c>
    </row>
    <row r="2">
      <c r="A2" s="2" t="inlineStr">
        <is>
          <t>eAR annual revenue and expenses - State Water Board eAR Section 8b (USD)</t>
        </is>
      </c>
    </row>
    <row r="3">
      <c r="A3" s="2" t="inlineStr">
        <is>
          <t>Entity ID: cawc_0007   |   Fiscal year ends March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calendar year 2023</t>
        </is>
      </c>
      <c r="C6" s="24"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888351</v>
      </c>
      <c r="C10" s="24" t="inlineStr">
        <is>
          <t>State Water Board eAR Section 8b, question B1.1 + B1.2 (revenue from water rates), reporting year 2023</t>
        </is>
      </c>
    </row>
    <row r="11">
      <c r="A11" s="22" t="inlineStr">
        <is>
          <t>Other fees and charges</t>
        </is>
      </c>
      <c r="B11" s="9" t="n">
        <v>2000</v>
      </c>
      <c r="C11" s="24" t="inlineStr">
        <is>
          <t>State Water Board eAR Section 8b, question B1.3 + B1.4 (revenue from other fees), reporting year 2023</t>
        </is>
      </c>
    </row>
    <row r="12">
      <c r="A12" s="22" t="inlineStr">
        <is>
          <t>Non-customer revenue</t>
        </is>
      </c>
      <c r="B12" s="9" t="n">
        <v>0</v>
      </c>
      <c r="C12" s="24" t="inlineStr">
        <is>
          <t>State Water Board eAR Section 8b, question B1.7 (grants, interest, and other non-customer), reporting year 2023</t>
        </is>
      </c>
    </row>
    <row r="13">
      <c r="A13" s="22" t="inlineStr">
        <is>
          <t>Total annual revenue</t>
        </is>
      </c>
      <c r="B13" s="45" t="n">
        <v>890351</v>
      </c>
      <c r="C13" s="24"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825192</v>
      </c>
      <c r="C17" s="24" t="inlineStr">
        <is>
          <t>State Water Board eAR Section 8b, question B2.1 (annual O and M expense), reporting year 2023</t>
        </is>
      </c>
    </row>
    <row r="18">
      <c r="A18" s="22" t="inlineStr">
        <is>
          <t>Capital</t>
        </is>
      </c>
      <c r="B18" s="9" t="n">
        <v>18000</v>
      </c>
      <c r="C18" s="24" t="inlineStr">
        <is>
          <t>State Water Board eAR Section 8b, question B2.2 (annual expenses from investing or capital), reporting year 2023</t>
        </is>
      </c>
    </row>
    <row r="19">
      <c r="A19" s="22" t="inlineStr">
        <is>
          <t>Financing</t>
        </is>
      </c>
      <c r="B19" s="9" t="n">
        <v>18000</v>
      </c>
      <c r="C19" s="24" t="inlineStr">
        <is>
          <t>State Water Board eAR Section 8b, question B2.3 (annual expenses from financing), reporting year 2023</t>
        </is>
      </c>
    </row>
    <row r="20">
      <c r="A20" s="22" t="inlineStr">
        <is>
          <t>Other</t>
        </is>
      </c>
      <c r="B20" s="9" t="n">
        <v>0</v>
      </c>
      <c r="C20" s="24" t="inlineStr">
        <is>
          <t>State Water Board eAR Section 8b, question B2.4 (total other annual expenses), reporting year 2023</t>
        </is>
      </c>
    </row>
    <row r="21">
      <c r="A21" s="22" t="inlineStr">
        <is>
          <t>Total annual expenses</t>
        </is>
      </c>
      <c r="B21" s="45" t="n">
        <v>861192</v>
      </c>
      <c r="C21" s="24"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890351</v>
      </c>
      <c r="C25" s="9" t="n">
        <v>1264590</v>
      </c>
    </row>
    <row r="26">
      <c r="A26" s="15" t="inlineStr">
        <is>
          <t>Variance (eAR minus Form 990)</t>
        </is>
      </c>
      <c r="B26" s="16">
        <f>B25-C25</f>
        <v/>
      </c>
      <c r="C26" s="46" t="n"/>
    </row>
    <row r="27" ht="156" customHeight="1">
      <c r="A27" s="3" t="inlineStr">
        <is>
          <t>The eAR Section 8b total revenue (State Water Board self-report, calendar year 2023) and the Form 990 total revenue (IRS filing) are a different source and cover a different period (the eAR Section 8b covers the calendar year 2023; the nearest Form 990 fiscal year ends March 31, 2023). Both are carried as filed; the variance is surfaced, never reconciled.</t>
        </is>
      </c>
    </row>
    <row r="28">
      <c r="A28" s="8" t="inlineStr">
        <is>
          <t>total expenses</t>
        </is>
      </c>
      <c r="B28" s="9" t="n">
        <v>861192</v>
      </c>
      <c r="C28" s="9" t="n">
        <v>1193025</v>
      </c>
    </row>
    <row r="29">
      <c r="A29" s="15" t="inlineStr">
        <is>
          <t>Variance (eAR minus Form 990)</t>
        </is>
      </c>
      <c r="B29" s="16">
        <f>B28-C28</f>
        <v/>
      </c>
      <c r="C29" s="46" t="n"/>
    </row>
    <row r="30" ht="156" customHeight="1">
      <c r="A30" s="3" t="inlineStr">
        <is>
          <t>The eAR Section 8b total expenses (State Water Board self-report, calendar year 2023) and the Form 990 total expenses (IRS filing) are a different source and cover a different period (the eAR Section 8b covers the calendar year 2023; the nearest Form 990 fiscal year ends March 31,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Senior Canyon Mutual Water Company</t>
        </is>
      </c>
    </row>
    <row r="2">
      <c r="A2" s="2" t="inlineStr">
        <is>
          <t>Denominators and calendar alignment</t>
        </is>
      </c>
    </row>
    <row r="3">
      <c r="A3" s="2" t="inlineStr">
        <is>
          <t>Entity ID: cawc_0007   |   Fiscal year ends March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249</v>
      </c>
      <c r="C7" s="24" t="inlineStr">
        <is>
          <t>State Water Board eAR Section 4 (CurTotalConnections), reporting year 2024</t>
        </is>
      </c>
    </row>
    <row r="8">
      <c r="A8" s="22" t="inlineStr">
        <is>
          <t>SDWIS service-connection count (different registry)</t>
        </is>
      </c>
      <c r="B8" s="23" t="n">
        <v>249</v>
      </c>
      <c r="C8" s="24" t="inlineStr"/>
    </row>
    <row r="9">
      <c r="A9" s="22" t="inlineStr">
        <is>
          <t>Member (shareholder)</t>
        </is>
      </c>
      <c r="B9" s="23" t="n">
        <v>230</v>
      </c>
      <c r="C9" s="24" t="inlineStr">
        <is>
          <t>Company website (seniorcanyonwater.com/overview), disclosed shareholder count</t>
        </is>
      </c>
    </row>
    <row r="10">
      <c r="A10" s="22" t="inlineStr">
        <is>
          <t>Difference (customers minus members)</t>
        </is>
      </c>
      <c r="B10" s="23" t="n">
        <v>19</v>
      </c>
      <c r="C10" s="24" t="inlineStr">
        <is>
          <t>As found: 249 service connections and 230 members, a difference of 19. Stated as found and not reconciled.</t>
        </is>
      </c>
    </row>
    <row r="11" ht="96" customHeight="1">
      <c r="A11"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3">
      <c r="A13" s="6" t="inlineStr">
        <is>
          <t>Denominator layer by fiscal year</t>
        </is>
      </c>
      <c r="B13" s="7" t="n"/>
      <c r="C13" s="7" t="n"/>
      <c r="D13" s="7" t="n"/>
      <c r="E13" s="7" t="n"/>
      <c r="F13" s="7" t="n"/>
      <c r="G13" s="7" t="n"/>
    </row>
    <row r="14">
      <c r="A14" s="5" t="inlineStr">
        <is>
          <t>Fiscal year (end)</t>
        </is>
      </c>
      <c r="B14" s="5" t="inlineStr">
        <is>
          <t>Connections</t>
        </is>
      </c>
      <c r="C14" s="5" t="inlineStr">
        <is>
          <t>Population</t>
        </is>
      </c>
      <c r="D14" s="5" t="inlineStr">
        <is>
          <t>Service-area acres</t>
        </is>
      </c>
      <c r="E14" s="5" t="inlineStr">
        <is>
          <t>Water produced (AF)</t>
        </is>
      </c>
      <c r="F14" s="5" t="inlineStr">
        <is>
          <t>Water delivered (AF)</t>
        </is>
      </c>
      <c r="G14" s="5" t="inlineStr">
        <is>
          <t>Alignment method</t>
        </is>
      </c>
    </row>
    <row r="15" ht="40" customHeight="1">
      <c r="A15" s="8" t="inlineStr">
        <is>
          <t>FY2021 (2021-03-31)</t>
        </is>
      </c>
      <c r="B15" s="23" t="n">
        <v>218</v>
      </c>
      <c r="C15" s="14" t="inlineStr">
        <is>
          <t>not reported</t>
        </is>
      </c>
      <c r="D15" s="23" t="n">
        <v>3728.3</v>
      </c>
      <c r="E15" s="23" t="n">
        <v>651.5</v>
      </c>
      <c r="F15" s="23" t="n">
        <v>737.7</v>
      </c>
      <c r="G15" s="25" t="inlineStr">
        <is>
          <t>recast from monthly eAR data to fiscal year ending March 31, 2021</t>
        </is>
      </c>
    </row>
    <row r="16" ht="40" customHeight="1">
      <c r="A16" s="8" t="inlineStr">
        <is>
          <t>FY2022 (2022-03-31)</t>
        </is>
      </c>
      <c r="B16" s="23" t="n">
        <v>249</v>
      </c>
      <c r="C16" s="14" t="inlineStr">
        <is>
          <t>not reported</t>
        </is>
      </c>
      <c r="D16" s="23" t="n">
        <v>3728.3</v>
      </c>
      <c r="E16" s="23" t="n">
        <v>716.1</v>
      </c>
      <c r="F16" s="23" t="n">
        <v>736.8</v>
      </c>
      <c r="G16" s="25" t="inlineStr">
        <is>
          <t>recast from monthly eAR data to fiscal year ending March 31, 2022</t>
        </is>
      </c>
    </row>
    <row r="17" ht="40" customHeight="1">
      <c r="A17" s="8" t="inlineStr">
        <is>
          <t>FY2023 (2023-03-31)</t>
        </is>
      </c>
      <c r="B17" s="23" t="n">
        <v>249</v>
      </c>
      <c r="C17" s="14" t="inlineStr">
        <is>
          <t>not reported</t>
        </is>
      </c>
      <c r="D17" s="23" t="n">
        <v>3728.3</v>
      </c>
      <c r="E17" s="14" t="inlineStr">
        <is>
          <t>not reported</t>
        </is>
      </c>
      <c r="F17" s="14" t="inlineStr">
        <is>
          <t>not reported</t>
        </is>
      </c>
      <c r="G17" s="25" t="inlineStr">
        <is>
          <t>recast from monthly eAR data to fiscal year ending March 31, 2023</t>
        </is>
      </c>
    </row>
    <row r="18" ht="40" customHeight="1">
      <c r="A18" s="8" t="inlineStr">
        <is>
          <t>FY2024 (2024-03-31)</t>
        </is>
      </c>
      <c r="B18" s="23" t="n">
        <v>249</v>
      </c>
      <c r="C18" s="23" t="n">
        <v>800</v>
      </c>
      <c r="D18" s="23" t="n">
        <v>3728.3</v>
      </c>
      <c r="E18" s="14" t="inlineStr">
        <is>
          <t>not reported</t>
        </is>
      </c>
      <c r="F18" s="14" t="inlineStr">
        <is>
          <t>not reported</t>
        </is>
      </c>
      <c r="G18" s="25" t="inlineStr">
        <is>
          <t>recast from monthly eAR data to fiscal year ending March 31, 2024</t>
        </is>
      </c>
    </row>
    <row r="19" ht="40" customHeight="1">
      <c r="A19" s="8" t="inlineStr">
        <is>
          <t>FY2025 (2025-03-31)</t>
        </is>
      </c>
      <c r="B19" s="23" t="n">
        <v>249</v>
      </c>
      <c r="C19" s="23" t="n">
        <v>800</v>
      </c>
      <c r="D19" s="23" t="n">
        <v>3728.3</v>
      </c>
      <c r="E19" s="14" t="inlineStr">
        <is>
          <t>not reported</t>
        </is>
      </c>
      <c r="F19" s="14" t="inlineStr">
        <is>
          <t>not reported</t>
        </is>
      </c>
      <c r="G19" s="25" t="inlineStr">
        <is>
          <t>recast from monthly eAR data to fiscal year ending March 31, 2025</t>
        </is>
      </c>
    </row>
    <row r="21">
      <c r="A21" s="6" t="inlineStr">
        <is>
          <t>Connections by class - FY2025 (eAR Section 4)</t>
        </is>
      </c>
      <c r="B21" s="7" t="n"/>
      <c r="C21" s="7" t="n"/>
      <c r="D21" s="7" t="n"/>
      <c r="E21" s="7" t="n"/>
      <c r="F21" s="7" t="n"/>
      <c r="G21" s="7" t="n"/>
    </row>
    <row r="22">
      <c r="A22" s="22" t="inlineStr">
        <is>
          <t>Single-family residential</t>
        </is>
      </c>
      <c r="B22" s="23" t="n">
        <v>224</v>
      </c>
      <c r="C22" s="24" t="inlineStr"/>
    </row>
    <row r="23">
      <c r="A23" s="22" t="inlineStr">
        <is>
          <t>Multi-family residential</t>
        </is>
      </c>
      <c r="B23" s="23" t="n">
        <v>0</v>
      </c>
      <c r="C23" s="24" t="inlineStr"/>
    </row>
    <row r="24">
      <c r="A24" s="22" t="inlineStr">
        <is>
          <t>Commercial and institutional</t>
        </is>
      </c>
      <c r="B24" s="23" t="n">
        <v>5</v>
      </c>
      <c r="C24" s="24" t="inlineStr"/>
    </row>
    <row r="25">
      <c r="A25" s="22" t="inlineStr">
        <is>
          <t>Industrial</t>
        </is>
      </c>
      <c r="B25" s="23" t="n">
        <v>0</v>
      </c>
      <c r="C25" s="24" t="inlineStr"/>
    </row>
    <row r="26">
      <c r="A26" s="22" t="inlineStr">
        <is>
          <t>Landscape irrigation</t>
        </is>
      </c>
      <c r="B26" s="23" t="n">
        <v>0</v>
      </c>
      <c r="C26" s="24" t="inlineStr"/>
    </row>
    <row r="27">
      <c r="A27" s="22" t="inlineStr">
        <is>
          <t>Agricultural</t>
        </is>
      </c>
      <c r="B27" s="23" t="n">
        <v>21</v>
      </c>
      <c r="C27" s="24" t="inlineStr"/>
    </row>
    <row r="28" ht="81" customHeight="1">
      <c r="A28"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G2"/>
    <mergeCell ref="A28:G28"/>
    <mergeCell ref="A11:G11"/>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Senior Canyon Mutual Water Company</t>
        </is>
      </c>
    </row>
    <row r="2">
      <c r="A2" s="2" t="inlineStr">
        <is>
          <t>Governance evidence status - Ostrom's eight design principles</t>
        </is>
      </c>
    </row>
    <row r="3">
      <c r="A3" s="2" t="inlineStr">
        <is>
          <t>Entity ID: cawc_0007   |   Fiscal year ends March 31.</t>
        </is>
      </c>
    </row>
    <row r="5">
      <c r="A5" s="47" t="inlineStr">
        <is>
          <t>Evidence summary: 6 documented, 2 partial, 0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DOCUMENTED</t>
        </is>
      </c>
      <c r="C10" s="25" t="inlineStr">
        <is>
          <t>Members are 230 shareholders, and the service area is the East End of the Ojai Valley with 249 eAR connections.</t>
        </is>
      </c>
      <c r="D10" s="25" t="inlineStr">
        <is>
          <t>eAR total connections 249; 230 shareholders; about 3.5 square miles.</t>
        </is>
      </c>
      <c r="E10" s="48" t="inlineStr">
        <is>
          <t>[E][1]</t>
        </is>
      </c>
    </row>
    <row r="11" ht="96" customHeight="1">
      <c r="A11" s="3" t="inlineStr">
        <is>
          <t>What the record shows: The membership is sharply defined (230 named shareholders) and the service area is the East End of the Ojai Valley with 249 connections over about 3.5 square miles, so the record documents who is in and who is out. The SABL boundary is present but Not Verified by the State, so the outer edge rests on a weaker source than a verified polygon.</t>
        </is>
      </c>
    </row>
    <row r="12" ht="46" customHeight="1">
      <c r="A12" s="8" t="inlineStr">
        <is>
          <t>Rules fit local conditions</t>
        </is>
      </c>
      <c r="B12" s="26" t="inlineStr">
        <is>
          <t>DOCUMENTED</t>
        </is>
      </c>
      <c r="C12" s="25" t="inlineStr">
        <is>
          <t>A published rate schedule and Rules and Regulations tie charges to service and set the terms of use.</t>
        </is>
      </c>
      <c r="D12" s="25" t="inlineStr">
        <is>
          <t>Corporate documents: Water Rates and Charges, Rules and Regulations.</t>
        </is>
      </c>
      <c r="E12" s="48" t="inlineStr">
        <is>
          <t>[4][1]</t>
        </is>
      </c>
    </row>
    <row r="13" ht="81" customHeight="1">
      <c r="A13" s="3" t="inlineStr">
        <is>
          <t>What the record shows: A published rate schedule and Rules and Regulations document the terms of service and charges. Billing is share-based (charges scale with shares held, not metered consumption), so the record documents cost tracking ownership rather than actual use, a weaker form of proportionality.</t>
        </is>
      </c>
    </row>
    <row r="14" ht="46" customHeight="1">
      <c r="A14" s="8" t="inlineStr">
        <is>
          <t>Collective-choice arrangements</t>
        </is>
      </c>
      <c r="B14" s="26" t="inlineStr">
        <is>
          <t>DOCUMENTED</t>
        </is>
      </c>
      <c r="C14" s="25" t="inlineStr">
        <is>
          <t>Shareholders vote on major capital: they approved a 500,000 dollar tank loan in 2020 and refused a sale around 2005.</t>
        </is>
      </c>
      <c r="D14" s="25" t="inlineStr">
        <is>
          <t>Shareholder votes on capital and on a proposed sale (context page).</t>
        </is>
      </c>
      <c r="E14" s="48" t="inlineStr">
        <is>
          <t>[1]</t>
        </is>
      </c>
    </row>
    <row r="15" ht="111" customHeight="1">
      <c r="A15" s="3" t="inlineStr">
        <is>
          <t>What the record shows: The strongest collective-choice evidence in the cohort is concrete: shareholders voted to approve a 500,000 dollar tank loan in 2020 and voted down a proposed sale of the company around 2005, so the record documents members deciding major capital questions. The evidence is two recalled votes rather than a documented record of elections, turnout, and routine decisions.</t>
        </is>
      </c>
    </row>
    <row r="16" ht="46" customHeight="1">
      <c r="A16" s="8" t="inlineStr">
        <is>
          <t>Monitoring</t>
        </is>
      </c>
      <c r="B16" s="26" t="inlineStr">
        <is>
          <t>PARTIAL</t>
        </is>
      </c>
      <c r="C16" s="25" t="inlineStr">
        <is>
          <t>Metering and water-quality monitoring are in place and the State shows the system Not At-Risk, but no independent audited financial statement is published.</t>
        </is>
      </c>
      <c r="D16" s="25" t="inlineStr">
        <is>
          <t>eAR metered connections; SAFER Not At-Risk; audited financials not published.</t>
        </is>
      </c>
      <c r="E16" s="48" t="inlineStr">
        <is>
          <t>[E][S]</t>
        </is>
      </c>
    </row>
    <row r="17" ht="96" customHeight="1">
      <c r="A17" s="3" t="inlineStr">
        <is>
          <t>What the record shows: Connections are metered, water-quality monitoring is in place, and the State rates the system Not At-Risk, so operational monitoring is documented. No independent audited financial statement is published, so the financial side of monitoring rests on the system's own unaudited numbers, leaving the evidence partial.</t>
        </is>
      </c>
    </row>
    <row r="18" ht="46" customHeight="1">
      <c r="A18" s="8" t="inlineStr">
        <is>
          <t>Graduated sanctions</t>
        </is>
      </c>
      <c r="B18" s="26" t="inlineStr">
        <is>
          <t>DOCUMENTED</t>
        </is>
      </c>
      <c r="C18" s="25" t="inlineStr">
        <is>
          <t>Corporate documents include a written Water Shut-Off Policy, a Leak Policy, and Rules and Regulations.</t>
        </is>
      </c>
      <c r="D18" s="25" t="inlineStr">
        <is>
          <t>Corporate documents: Shut-Off Policy, Leak Policy, Rules and Regulations.</t>
        </is>
      </c>
      <c r="E18" s="48" t="inlineStr">
        <is>
          <t>[4]</t>
        </is>
      </c>
    </row>
    <row r="19" ht="96" customHeight="1">
      <c r="A19" s="3" t="inlineStr">
        <is>
          <t>What the record shows: Corporate documents include a written Water Shut-Off Policy, a Leak Policy, and Rules and Regulations, so consequences for non-payment and misuse are documented and published. The record documents that sanctions exist but not that they are graduated into escalating steps scaling with severity or repetition.</t>
        </is>
      </c>
    </row>
    <row r="20" ht="46" customHeight="1">
      <c r="A20" s="8" t="inlineStr">
        <is>
          <t>Conflict-resolution mechanisms</t>
        </is>
      </c>
      <c r="B20" s="26" t="inlineStr">
        <is>
          <t>DOCUMENTED</t>
        </is>
      </c>
      <c r="C20" s="25" t="inlineStr">
        <is>
          <t>Published Rules and Regulations, Administrative Policies, board minutes, and named general counsel provide a local resolution path.</t>
        </is>
      </c>
      <c r="D20" s="25" t="inlineStr">
        <is>
          <t>Corporate documents and a General Counsel page; published board minutes.</t>
        </is>
      </c>
      <c r="E20" s="48" t="inlineStr">
        <is>
          <t>[4][5]</t>
        </is>
      </c>
    </row>
    <row r="21" ht="96" customHeight="1">
      <c r="A21" s="3" t="inlineStr">
        <is>
          <t>What the record shows: This is the best-documented conflict path of the three: published Rules and Regulations and Administrative Policies, board minutes on the public record, and a named General Counsel document a real, traceable route to raise and resolve disputes. A dedicated member-grievance or appeals procedure with defined steps is not documented.</t>
        </is>
      </c>
    </row>
    <row r="22" ht="46" customHeight="1">
      <c r="A22" s="8" t="inlineStr">
        <is>
          <t>Recognized right to organize</t>
        </is>
      </c>
      <c r="B22" s="26" t="inlineStr">
        <is>
          <t>DOCUMENTED</t>
        </is>
      </c>
      <c r="C22" s="25" t="inlineStr">
        <is>
          <t>Incorporated as a mutual water company (Articles of Incorporation on file) and recognized by the State Water Board and the IRS as a 501(c)(12).</t>
        </is>
      </c>
      <c r="D22" s="25" t="inlineStr">
        <is>
          <t>Articles of Incorporation; eAR ownership; IRS 501(c)(12).</t>
        </is>
      </c>
      <c r="E22" s="48" t="inlineStr">
        <is>
          <t>[4][E][SOS]</t>
        </is>
      </c>
    </row>
    <row r="23" ht="150" customHeight="1">
      <c r="A23" s="3" t="inlineStr">
        <is>
          <t>What the record shows: The right is well documented: Articles of Incorporation are on file and both the State Water Board and the IRS recognize the mutual (a 501(c)(12)). As with the other mutuals, the record documents baseline legal standing rather than a documented instance of the right being exercised to change how the system is run. The California Secretary of State holds the company as a registered corporation, entity number 0133485, first registered 04/11/1929, status as filed "Active", with a governing body named in the Statement of Information filed 6/2/2026.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6" t="inlineStr">
        <is>
          <t>PARTIAL</t>
        </is>
      </c>
      <c r="C24" s="25" t="inlineStr">
        <is>
          <t>Draws on the shared Ojai groundwater basin and has run FEMA-funded post-fire recovery projects, though its role in basin governance is not documented in the record.</t>
        </is>
      </c>
      <c r="D24" s="25" t="inlineStr">
        <is>
          <t>Ojai Valley groundwater reliance; FEMA post-Thomas-Fire projects.</t>
        </is>
      </c>
      <c r="E24" s="48" t="inlineStr">
        <is>
          <t>[3][1]</t>
        </is>
      </c>
    </row>
    <row r="25" ht="111" customHeight="1">
      <c r="A25" s="3" t="inlineStr">
        <is>
          <t>What the record shows: The system draws on the shared Ojai groundwater basin and has run FEMA-funded post-Thomas-Fire recovery projects, so embedding in larger physical and disaster-response systems is documented. Its role in basin governance is not documented, so the nesting on record is physical and project-based rather than an ongoing governed layer, leaving the evidence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Senior Canyon Mutual Water Company</t>
        </is>
      </c>
    </row>
    <row r="2">
      <c r="A2" s="2" t="inlineStr">
        <is>
          <t>Operational metrics - plant per acre, density, terrain</t>
        </is>
      </c>
    </row>
    <row r="3">
      <c r="A3" s="2" t="inlineStr">
        <is>
          <t>Entity ID: cawc_0007   |   Fiscal year ends March 31.</t>
        </is>
      </c>
    </row>
    <row r="5">
      <c r="A5" s="6" t="inlineStr">
        <is>
          <t>Plant assets per acre</t>
        </is>
      </c>
      <c r="B5" s="7" t="n"/>
      <c r="C5" s="7" t="n"/>
    </row>
    <row r="6">
      <c r="A6" s="22" t="inlineStr">
        <is>
          <t>Service-area acres</t>
        </is>
      </c>
      <c r="B6" s="49" t="n">
        <v>3728.3</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731.9156</v>
      </c>
      <c r="C8" s="9" t="n">
        <v>383.9994</v>
      </c>
    </row>
    <row r="9">
      <c r="A9" s="20" t="inlineStr">
        <is>
          <t>FY2022</t>
        </is>
      </c>
      <c r="B9" s="9" t="n">
        <v>735.778</v>
      </c>
      <c r="C9" s="9" t="n">
        <v>358.2367</v>
      </c>
    </row>
    <row r="10">
      <c r="A10" s="20" t="inlineStr">
        <is>
          <t>FY2023</t>
        </is>
      </c>
      <c r="B10" s="9" t="n">
        <v>738.3321999999999</v>
      </c>
      <c r="C10" s="9" t="n">
        <v>334.3966</v>
      </c>
    </row>
    <row r="11">
      <c r="A11" s="20" t="inlineStr">
        <is>
          <t>FY2024</t>
        </is>
      </c>
      <c r="B11" s="9" t="n">
        <v>900.2867</v>
      </c>
      <c r="C11" s="9" t="n">
        <v>466.5671</v>
      </c>
    </row>
    <row r="12">
      <c r="A12" s="20" t="inlineStr">
        <is>
          <t>FY2025</t>
        </is>
      </c>
      <c r="B12" s="9" t="n">
        <v>1021.0332</v>
      </c>
      <c r="C12" s="9" t="n">
        <v>549.4638</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0.07000000000000001</v>
      </c>
      <c r="C19" s="24" t="inlineStr">
        <is>
          <t>250 connections / 3,728.3 acres. CA State Water Board SABL SERVICE_CONNECTIONS; Geodesic area (WGS84 spherical excess) of the SABL service-area polygon.</t>
        </is>
      </c>
    </row>
    <row r="21">
      <c r="A21" s="6" t="inlineStr">
        <is>
          <t>Who they are</t>
        </is>
      </c>
      <c r="B21" s="7" t="n"/>
      <c r="C21" s="7" t="n"/>
    </row>
    <row r="22">
      <c r="A22" s="22" t="inlineStr">
        <is>
          <t>Terrain class</t>
        </is>
      </c>
      <c r="B22" s="25" t="inlineStr">
        <is>
          <t>canyon</t>
        </is>
      </c>
      <c r="C22" s="24" t="inlineStr">
        <is>
          <t>Company context page (BLUEPRINT 5B)</t>
        </is>
      </c>
    </row>
    <row r="23" ht="81" customHeight="1">
      <c r="A23" s="3" t="inlineStr">
        <is>
          <t>A small mutual delivering both treated domestic water and untreated agricultural water to homes, citrus, and avocado ranches on steep canyon terrain.</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Senior Canyon Mutual Water Company</t>
        </is>
      </c>
    </row>
    <row r="2">
      <c r="A2" s="2" t="inlineStr">
        <is>
          <t>Supply and weather indicators (DWR water year)</t>
        </is>
      </c>
    </row>
    <row r="3">
      <c r="A3" s="2" t="inlineStr">
        <is>
          <t>Entity ID: cawc_0007   |   Fiscal year ends March 31.</t>
        </is>
      </c>
    </row>
    <row r="5" ht="96" customHeight="1">
      <c r="A5" s="3" t="inlineStr">
        <is>
          <t>Reporting calendar: Different reporting periods. The DWR water year runs October 1 to September 30; this system's fiscal year ends March 31, so the two period ends are six months apart. Read the two side by side with that in mind. Neither series is recast: both are reported as filed. A water year is named for the calendar year it ends in, so WY2024 and FY2024 share a number without covering the same twelve months.</t>
        </is>
      </c>
    </row>
    <row r="6" ht="66" customHeight="1">
      <c r="A6" s="3" t="inlineStr">
        <is>
          <t>Supply profile: Senior Canyon draws on the local Ojai Valley groundwater basin with a Casitas Municipal Water District standby connection, so its supply is LOCAL: Ventura County rain and Lake Casitas storage, not the State Water Project.</t>
        </is>
      </c>
    </row>
    <row r="7" ht="81" customHeight="1">
      <c r="A7" s="3" t="inlineStr">
        <is>
          <t>Weather link: Senior Canyon's weather exposure is local and supply-side: a dry Ojai year lowers basin levels and leans it on the Casitas standby connection, raising cost. Because billing is share-based rather than metered volumetric, dry-year demand swings move its revenue less than its cost.</t>
        </is>
      </c>
    </row>
    <row r="9">
      <c r="A9" s="4" t="inlineStr">
        <is>
          <t>Indicator</t>
        </is>
      </c>
      <c r="B9" s="5" t="inlineStr">
        <is>
          <t>WY2021</t>
        </is>
      </c>
      <c r="C9" s="5" t="inlineStr">
        <is>
          <t>WY2022</t>
        </is>
      </c>
      <c r="D9" s="5" t="inlineStr">
        <is>
          <t>WY2023</t>
        </is>
      </c>
      <c r="E9" s="5" t="inlineStr">
        <is>
          <t>WY2024</t>
        </is>
      </c>
      <c r="F9" s="5" t="inlineStr">
        <is>
          <t>WY2025</t>
        </is>
      </c>
    </row>
    <row r="10">
      <c r="A10" s="8" t="inlineStr">
        <is>
          <t>Water-year type (Sacramento Valley)</t>
        </is>
      </c>
      <c r="B10" s="48" t="inlineStr">
        <is>
          <t>Critical</t>
        </is>
      </c>
      <c r="C10" s="48" t="inlineStr">
        <is>
          <t>Critical</t>
        </is>
      </c>
      <c r="D10" s="48" t="inlineStr">
        <is>
          <t>Wet</t>
        </is>
      </c>
      <c r="E10" s="48" t="inlineStr">
        <is>
          <t>Above Normal</t>
        </is>
      </c>
      <c r="F10" s="50" t="inlineStr">
        <is>
          <t>not reported</t>
        </is>
      </c>
    </row>
    <row r="11">
      <c r="A11" s="8" t="inlineStr">
        <is>
          <t>Peak drought, Ventura County</t>
        </is>
      </c>
      <c r="B11" s="48" t="inlineStr">
        <is>
          <t>D4</t>
        </is>
      </c>
      <c r="C11" s="48" t="inlineStr">
        <is>
          <t>D4</t>
        </is>
      </c>
      <c r="D11" s="48" t="inlineStr">
        <is>
          <t>D3</t>
        </is>
      </c>
      <c r="E11" s="48" t="inlineStr">
        <is>
          <t>None (no D0-D4 during the fiscal year)</t>
        </is>
      </c>
      <c r="F11" s="48" t="inlineStr">
        <is>
          <t>D3</t>
        </is>
      </c>
    </row>
    <row r="12">
      <c r="A12" s="8" t="inlineStr">
        <is>
          <t>Precip, percent of normal (8-Station Index)</t>
        </is>
      </c>
      <c r="B12" s="48" t="inlineStr">
        <is>
          <t>48</t>
        </is>
      </c>
      <c r="C12" s="48" t="inlineStr">
        <is>
          <t>86</t>
        </is>
      </c>
      <c r="D12" s="48" t="inlineStr">
        <is>
          <t>133</t>
        </is>
      </c>
      <c r="E12" s="48" t="inlineStr">
        <is>
          <t>96</t>
        </is>
      </c>
      <c r="F12" s="48" t="inlineStr">
        <is>
          <t>113</t>
        </is>
      </c>
    </row>
    <row r="13">
      <c r="A13" s="8" t="inlineStr">
        <is>
          <t>Snowpack, April 1 percent of average</t>
        </is>
      </c>
      <c r="B13" s="48" t="inlineStr">
        <is>
          <t>59%</t>
        </is>
      </c>
      <c r="C13" s="48" t="inlineStr">
        <is>
          <t>38%</t>
        </is>
      </c>
      <c r="D13" s="48" t="inlineStr">
        <is>
          <t>237%</t>
        </is>
      </c>
      <c r="E13" s="48" t="inlineStr">
        <is>
          <t>110%</t>
        </is>
      </c>
      <c r="F13" s="48" t="inlineStr">
        <is>
          <t>96%</t>
        </is>
      </c>
    </row>
    <row r="14">
      <c r="A14" s="8" t="inlineStr">
        <is>
          <t>State Water Project allocation</t>
        </is>
      </c>
      <c r="B14" s="48" t="inlineStr">
        <is>
          <t>5%</t>
        </is>
      </c>
      <c r="C14" s="48" t="inlineStr">
        <is>
          <t>5%</t>
        </is>
      </c>
      <c r="D14" s="48" t="inlineStr">
        <is>
          <t>100%</t>
        </is>
      </c>
      <c r="E14" s="48" t="inlineStr">
        <is>
          <t>40%</t>
        </is>
      </c>
      <c r="F14" s="48" t="inlineStr">
        <is>
          <t>50%</t>
        </is>
      </c>
    </row>
    <row r="16">
      <c r="A16" s="6" t="inlineStr">
        <is>
          <t>How each dimension reads for this company</t>
        </is>
      </c>
      <c r="B16" s="7" t="n"/>
      <c r="C16" s="7" t="n"/>
      <c r="D16" s="7" t="n"/>
      <c r="E16" s="7" t="n"/>
      <c r="F16" s="7" t="n"/>
    </row>
    <row r="17" ht="66" customHeight="1">
      <c r="A17" s="3" t="inlineStr">
        <is>
          <t>Water-year type: The Sacramento Valley water-year type shown here is a poor proxy for Senior Canyon: it is not on the State Water Project, so its supply follows local Ventura County conditions, which can diverge from the statewide type.</t>
        </is>
      </c>
    </row>
    <row r="18" ht="51" customHeight="1">
      <c r="A18" s="3" t="inlineStr">
        <is>
          <t>Drought stage: Local Ventura County drought stage is the dimension that matters most: a deep local drought lowers Ojai basin recharge and Lake Casitas storage, the two things Senior Canyon actually depends on.</t>
        </is>
      </c>
    </row>
    <row r="19" ht="66" customHeight="1">
      <c r="A19" s="3" t="inlineStr">
        <is>
          <t>Precipitation: Local precipitation, not the statewide 8-Station Index, recharges the Ojai basin Senior Canyon pumps from, so the statewide precipitation figure here understates or overstates its real supply picture in any given year.</t>
        </is>
      </c>
    </row>
    <row r="20" ht="66" customHeight="1">
      <c r="A20" s="3" t="inlineStr">
        <is>
          <t>Snowpack: Sierra snowpack is essentially irrelevant to Senior Canyon: its water comes from a coastal groundwater basin fed by local rain, not from Sierra melt or the State Water Project, so this row is context for the cohort, not a driver for this system.</t>
        </is>
      </c>
    </row>
    <row r="21" ht="51" customHeight="1">
      <c r="A21" s="3" t="inlineStr">
        <is>
          <t>State Water Project allocation: The State Water Project allocation does not reach Senior Canyon; it is shown for cohort comparison only. Its supply risk is local basin level and Casitas storage.</t>
        </is>
      </c>
    </row>
  </sheetData>
  <mergeCells count="11">
    <mergeCell ref="A2:F2"/>
    <mergeCell ref="A19:F19"/>
    <mergeCell ref="A1:F1"/>
    <mergeCell ref="A5:F5"/>
    <mergeCell ref="A6:F6"/>
    <mergeCell ref="A17:F17"/>
    <mergeCell ref="A18:F18"/>
    <mergeCell ref="A3:F3"/>
    <mergeCell ref="A21:F21"/>
    <mergeCell ref="A20:F20"/>
    <mergeCell ref="A7:F7"/>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Senior Canyon Mutual Water Company</t>
        </is>
      </c>
    </row>
    <row r="2">
      <c r="A2" s="2" t="inlineStr">
        <is>
          <t>How this was built - forensic lineage</t>
        </is>
      </c>
    </row>
    <row r="3">
      <c r="A3" s="2" t="inlineStr">
        <is>
          <t>Entity ID: cawc_0007   |   Fiscal year ends March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the calendar year 2023 while the Form 990 fiscal year ends March 31, 2023; the two period ends are 9 months apart, so a period-aligned residual cannot be computed. And billing is share-based: monthly charges scale with the number of shares an owner holds, so the eAR water-rate line already IS the assessment - there is no separate assessment to residual out.</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Senior Canyon Mutual Water Company</t>
        </is>
      </c>
    </row>
    <row r="2">
      <c r="A2" s="2" t="inlineStr">
        <is>
          <t>Water Operations (sourced outside the financial filings)</t>
        </is>
      </c>
    </row>
    <row r="3">
      <c r="A3" s="2" t="inlineStr">
        <is>
          <t>Entity ID: cawc_0007   |   Fiscal year ends March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5" t="inlineStr">
        <is>
          <t>Potable (community drinking water)</t>
        </is>
      </c>
      <c r="C8" s="8" t="inlineStr">
        <is>
          <t>Consumer Confidence Report (State Water Board eAR portal)</t>
        </is>
      </c>
      <c r="D8" s="48" t="n">
        <v>2023</v>
      </c>
      <c r="E8" s="8" t="inlineStr">
        <is>
          <t>high</t>
        </is>
      </c>
      <c r="F8" s="25" t="inlineStr">
        <is>
          <t>2023 Consumer Confidence Report, Senior Canyon Mutual Water Company (SCMWC), PWSID CA5601117</t>
        </is>
      </c>
    </row>
    <row r="9" ht="42" customHeight="1">
      <c r="A9" s="8" t="inlineStr">
        <is>
          <t>Source mix</t>
        </is>
      </c>
      <c r="B9" s="25" t="inlineStr">
        <is>
          <t>Primary supply is a single surface-water source (a watershed surface source, assessed by the Surface Water System Watershed-with-Zones method); standby supply is an intertie with Casitas Municipal Water District. One groundwater well (Grant Well) is inactive.</t>
        </is>
      </c>
      <c r="C9" s="8" t="inlineStr">
        <is>
          <t>Consumer Confidence Report (State Water Board eAR portal)</t>
        </is>
      </c>
      <c r="D9" s="48" t="n">
        <v>2023</v>
      </c>
      <c r="E9" s="8" t="inlineStr">
        <is>
          <t>medium</t>
        </is>
      </c>
      <c r="F9" s="25" t="inlineStr">
        <is>
          <t>Type of water source(s) in use: According to SWRCB records, the source Surface Source is Surface Water. ... The source of standby water is an intertie SCMWC has with Casitas Municipal Water District. Your water comes from 1 source(s): SURFACE SOURCE.  [cross-source: SDWIS Drinking Water Watch lists the active source facility as CASITAS MUNICIPAL - TREATED (a consecutive-connection purchase of treated surface water, seller PWSID CA5610024) and Grant Well as INACTIVE, while the 2023 CCR frames the watershed Surface Source as the in-use source and Casitas as standby. Both are surface water; the two records frame the primary-vs-standby role differently. Preserved, not reconciled.]</t>
        </is>
      </c>
    </row>
    <row r="10" ht="42" customHeight="1">
      <c r="A10" s="8" t="inlineStr">
        <is>
          <t>Customer classes served</t>
        </is>
      </c>
      <c r="B10" s="25" t="inlineStr">
        <is>
          <t>Residential, agricultural, commercial</t>
        </is>
      </c>
      <c r="C10" s="8" t="inlineStr">
        <is>
          <t>SDWIS Drinking Water Watch (State Water Board)</t>
        </is>
      </c>
      <c r="D10" s="48" t="inlineStr">
        <is>
          <t>snapshot</t>
        </is>
      </c>
      <c r="E10" s="8" t="inlineStr">
        <is>
          <t>medium</t>
        </is>
      </c>
      <c r="F10" s="25" t="inlineStr">
        <is>
          <t>Service connection classes present: RS (residential), AG (agricultural), CM (commercial)</t>
        </is>
      </c>
    </row>
    <row r="11" ht="42" customHeight="1">
      <c r="A11" s="8" t="inlineStr">
        <is>
          <t>Service connections (total)</t>
        </is>
      </c>
      <c r="B11" s="25" t="inlineStr">
        <is>
          <t>Residential 223; Agricultural 21; Commercial 5; Industrial 0</t>
        </is>
      </c>
      <c r="C11" s="8" t="inlineStr">
        <is>
          <t>SDWIS Drinking Water Watch (State Water Board)</t>
        </is>
      </c>
      <c r="D11" s="48" t="inlineStr">
        <is>
          <t>snapshot</t>
        </is>
      </c>
      <c r="E11" s="8" t="inlineStr">
        <is>
          <t>medium</t>
        </is>
      </c>
      <c r="F11" s="25" t="inlineStr">
        <is>
          <t>Service Connections by type: RS 223; AG 21; CM 5; IN 0  [cross-source: No Form 990 states a member/shareholder count, so no members-vs-connections comparison is possible for Senior Canyon; the 249 SDWIS connections are recorded on their own basis and feed cost-per-connection only.]</t>
        </is>
      </c>
    </row>
    <row r="12" ht="42" customHeight="1">
      <c r="A12" s="8" t="inlineStr">
        <is>
          <t>Connections by class</t>
        </is>
      </c>
      <c r="B12" s="25" t="inlineStr">
        <is>
          <t>Residential 223; Agricultural 21; Commercial 5; Industrial 0</t>
        </is>
      </c>
      <c r="C12" s="8" t="inlineStr">
        <is>
          <t>SDWIS Drinking Water Watch (State Water Board)</t>
        </is>
      </c>
      <c r="D12" s="48" t="inlineStr">
        <is>
          <t>snapshot</t>
        </is>
      </c>
      <c r="E12" s="8" t="inlineStr">
        <is>
          <t>medium</t>
        </is>
      </c>
      <c r="F12" s="25" t="inlineStr">
        <is>
          <t>RS 223; AG 21; CM 5; IN 0 service connections</t>
        </is>
      </c>
    </row>
    <row r="13" ht="42" customHeight="1">
      <c r="A13" s="8" t="inlineStr">
        <is>
          <t>Population served</t>
        </is>
      </c>
      <c r="B13" s="25" t="inlineStr">
        <is>
          <t>800</t>
        </is>
      </c>
      <c r="C13" s="8" t="inlineStr">
        <is>
          <t>SDWIS Drinking Water Watch (State Water Board)</t>
        </is>
      </c>
      <c r="D13" s="48" t="inlineStr">
        <is>
          <t>snapshot</t>
        </is>
      </c>
      <c r="E13" s="8" t="inlineStr">
        <is>
          <t>medium</t>
        </is>
      </c>
      <c r="F13" s="25" t="inlineStr">
        <is>
          <t>Annual Operating Periods &amp; Population Served: Population Type R, Population Served 800</t>
        </is>
      </c>
    </row>
    <row r="14" ht="42" customHeight="1">
      <c r="A14" s="8" t="inlineStr">
        <is>
          <t>Treatment and water quality</t>
        </is>
      </c>
      <c r="B14" s="25" t="inlineStr">
        <is>
          <t>Surface water treated to potable community-water standards; standby treated surface water purchased through the intertie with Casitas Municipal Water District.</t>
        </is>
      </c>
      <c r="C14" s="8" t="inlineStr">
        <is>
          <t>Consumer Confidence Report (State Water Board eAR portal)</t>
        </is>
      </c>
      <c r="D14" s="48" t="n">
        <v>2023</v>
      </c>
      <c r="E14" s="8" t="inlineStr">
        <is>
          <t>medium</t>
        </is>
      </c>
      <c r="F14" s="25" t="inlineStr">
        <is>
          <t>the source Surface Source is Surface Water ... The source of standby water is an intertie SCMWC has with Casitas Municipal Water District</t>
        </is>
      </c>
    </row>
    <row r="16">
      <c r="A16" s="6" t="inlineStr">
        <is>
          <t>Not reported (source still needed)</t>
        </is>
      </c>
      <c r="B16" s="7" t="n"/>
      <c r="C16" s="7" t="n"/>
      <c r="D16" s="7" t="n"/>
      <c r="E16" s="7" t="n"/>
      <c r="F16" s="7" t="n"/>
    </row>
    <row r="17" ht="30" customHeight="1">
      <c r="A17" s="8" t="inlineStr">
        <is>
          <t>Annual volume delivered (acre-feet)</t>
        </is>
      </c>
      <c r="B17" s="24" t="inlineStr">
        <is>
          <t>not reported - needs annual volume in acre-feet (State Water Board eAR Section 6 or company production records); the CCR states only a percentage mix</t>
        </is>
      </c>
      <c r="C17" s="46" t="n"/>
      <c r="D17" s="46" t="n"/>
      <c r="E17" s="46" t="n"/>
      <c r="F17" s="46"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Senior Canyon Mutual Water Company</t>
        </is>
      </c>
    </row>
    <row r="2">
      <c r="A2" s="2" t="inlineStr">
        <is>
          <t>Anomaly Flags (automated; kept separate from the clean statements)</t>
        </is>
      </c>
    </row>
    <row r="3">
      <c r="A3" s="2" t="inlineStr">
        <is>
          <t>Entity ID: cawc_0007   |   Fiscal year ends March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opening net assets differ from FY2023 closing</t>
        </is>
      </c>
      <c r="B7" s="7" t="n"/>
    </row>
    <row r="8">
      <c r="A8" s="22" t="inlineStr">
        <is>
          <t>Affected figure</t>
        </is>
      </c>
      <c r="B8" s="24" t="inlineStr">
        <is>
          <t>Net assets FY2024</t>
        </is>
      </c>
    </row>
    <row r="9">
      <c r="A9" s="22" t="inlineStr">
        <is>
          <t>Confidence</t>
        </is>
      </c>
      <c r="B9" s="24" t="inlineStr">
        <is>
          <t>high</t>
        </is>
      </c>
    </row>
    <row r="10" ht="72" customHeight="1">
      <c r="A10" s="22" t="inlineStr">
        <is>
          <t>What happened (filed, sourced)</t>
        </is>
      </c>
      <c r="B10" s="24" t="inlineStr">
        <is>
          <t>The company filed $1,084,893 as its beginning net assets for FY2024 and $1,049,182 as its ending net assets for FY2023, a difference of $35,711. Both figures are carried exactly as each year's own filing reports them. Neither is adjusted to match the other.</t>
        </is>
      </c>
    </row>
    <row r="11" ht="54" customHeight="1">
      <c r="A11" s="22" t="inlineStr">
        <is>
          <t>Source lines</t>
        </is>
      </c>
      <c r="B11" s="24" t="inlineStr">
        <is>
          <t>- FY2024 net assets, beginning of year (as filed): $1,084,893
- FY2023 net assets, end of year (as filed): $1,049,182
- Difference: $35,711</t>
        </is>
      </c>
    </row>
    <row r="12" ht="72" customHeight="1">
      <c r="A12" s="22" t="inlineStr">
        <is>
          <t>Confidence reasoning</t>
        </is>
      </c>
      <c r="B12" s="24" t="inlineStr">
        <is>
          <t>Both are direct filed line items read from two different returns, so the difference between them is high confidence as an observation. What caused it is not stated on either form.</t>
        </is>
      </c>
    </row>
    <row r="13">
      <c r="A13" s="22" t="inlineStr">
        <is>
          <t>Why (not stated in the filing)</t>
        </is>
      </c>
      <c r="B13" s="24" t="inlineStr">
        <is>
          <t>The filing does not state a reason.</t>
        </is>
      </c>
    </row>
    <row r="14" ht="60" customHeight="1">
      <c r="A14" s="22" t="inlineStr">
        <is>
          <t>Possible explanation (guess)</t>
        </is>
      </c>
      <c r="B14" s="51"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6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Senior Canyon Mutual Water Company</t>
        </is>
      </c>
    </row>
    <row r="2">
      <c r="A2" s="2" t="inlineStr">
        <is>
          <t>Sources &amp; audit - full provenance and tie-outs (kept off the statements so they read clean)</t>
        </is>
      </c>
    </row>
    <row r="3">
      <c r="A3" s="2" t="inlineStr">
        <is>
          <t>Entity ID: cawc_0007   |   Fiscal year ends March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7"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8" t="inlineStr">
        <is>
          <t>FY2021</t>
        </is>
      </c>
      <c r="B10" s="8" t="inlineStr">
        <is>
          <t>2021-03-31</t>
        </is>
      </c>
      <c r="C10" s="8" t="inlineStr">
        <is>
          <t>990</t>
        </is>
      </c>
      <c r="D10" s="8" t="inlineStr">
        <is>
          <t>high</t>
        </is>
      </c>
      <c r="E10" s="8" t="inlineStr">
        <is>
          <t>8785107e-9ec8-45e5-81f1-a36a9d3c58dd</t>
        </is>
      </c>
      <c r="F10" s="8" t="inlineStr">
        <is>
          <t>202112449349301606</t>
        </is>
      </c>
      <c r="G10" s="8" t="inlineStr">
        <is>
          <t>claude-opus-5</t>
        </is>
      </c>
      <c r="H10" s="8" t="inlineStr">
        <is>
          <t>2026-09-16T21:34:12+00:00</t>
        </is>
      </c>
      <c r="I10" s="8" t="inlineStr">
        <is>
          <t>https://apps.irs.gov/pub/epostcard/990/xml/2021/2021_TEOS_XML_01A.zip#202112449349301606_public.xml</t>
        </is>
      </c>
    </row>
    <row r="11">
      <c r="A11" s="48" t="inlineStr">
        <is>
          <t>FY2022</t>
        </is>
      </c>
      <c r="B11" s="8" t="inlineStr">
        <is>
          <t>2022-03-31</t>
        </is>
      </c>
      <c r="C11" s="8" t="inlineStr">
        <is>
          <t>990</t>
        </is>
      </c>
      <c r="D11" s="8" t="inlineStr">
        <is>
          <t>high</t>
        </is>
      </c>
      <c r="E11" s="8" t="inlineStr">
        <is>
          <t>4d138f7d-d650-4c3a-9cb8-1292d5458351</t>
        </is>
      </c>
      <c r="F11" s="8" t="inlineStr">
        <is>
          <t>202211529349300141</t>
        </is>
      </c>
      <c r="G11" s="8" t="inlineStr">
        <is>
          <t>claude-opus-5</t>
        </is>
      </c>
      <c r="H11" s="8" t="inlineStr">
        <is>
          <t>2026-09-16T21:34:12+00:00</t>
        </is>
      </c>
      <c r="I11" s="8" t="inlineStr">
        <is>
          <t>https://apps.irs.gov/pub/epostcard/990/xml/2022/2022_TEOS_XML_01A.zip#202211529349300141_public.xml</t>
        </is>
      </c>
    </row>
    <row r="12">
      <c r="A12" s="48" t="inlineStr">
        <is>
          <t>FY2023</t>
        </is>
      </c>
      <c r="B12" s="8" t="inlineStr">
        <is>
          <t>2023-03-31</t>
        </is>
      </c>
      <c r="C12" s="8" t="inlineStr">
        <is>
          <t>990</t>
        </is>
      </c>
      <c r="D12" s="8" t="inlineStr">
        <is>
          <t>high</t>
        </is>
      </c>
      <c r="E12" s="8" t="inlineStr">
        <is>
          <t>6faaa17d-8ebb-40dd-b096-7d6dc2bc84d5</t>
        </is>
      </c>
      <c r="F12" s="8" t="inlineStr">
        <is>
          <t>202341729349301614</t>
        </is>
      </c>
      <c r="G12" s="8" t="inlineStr">
        <is>
          <t>claude-opus-5</t>
        </is>
      </c>
      <c r="H12" s="8" t="inlineStr">
        <is>
          <t>2026-09-16T21:34:12+00:00</t>
        </is>
      </c>
      <c r="I12" s="8" t="inlineStr">
        <is>
          <t>https://apps.irs.gov/pub/epostcard/990/xml/2023/2023_TEOS_XML_06A.zip#202341729349301614_public.xml</t>
        </is>
      </c>
    </row>
    <row r="13">
      <c r="A13" s="48" t="inlineStr">
        <is>
          <t>FY2024</t>
        </is>
      </c>
      <c r="B13" s="8" t="inlineStr">
        <is>
          <t>2024-03-31</t>
        </is>
      </c>
      <c r="C13" s="8" t="inlineStr">
        <is>
          <t>990</t>
        </is>
      </c>
      <c r="D13" s="8" t="inlineStr">
        <is>
          <t>high</t>
        </is>
      </c>
      <c r="E13" s="8" t="inlineStr">
        <is>
          <t>dc0fdf11-1f1b-4759-89e6-9ffeaa4c3e85</t>
        </is>
      </c>
      <c r="F13" s="8" t="inlineStr">
        <is>
          <t>202423029349302002</t>
        </is>
      </c>
      <c r="G13" s="8" t="inlineStr">
        <is>
          <t>claude-opus-5</t>
        </is>
      </c>
      <c r="H13" s="8" t="inlineStr">
        <is>
          <t>2026-09-16T21:34:12+00:00</t>
        </is>
      </c>
      <c r="I13" s="8" t="inlineStr">
        <is>
          <t>https://apps.irs.gov/pub/epostcard/990/xml/2024/2024_TEOS_XML_11A.zip#202423029349302002_public.xml</t>
        </is>
      </c>
    </row>
    <row r="14">
      <c r="A14" s="48" t="inlineStr">
        <is>
          <t>FY2025</t>
        </is>
      </c>
      <c r="B14" s="8" t="inlineStr">
        <is>
          <t>2025-03-31</t>
        </is>
      </c>
      <c r="C14" s="8" t="inlineStr">
        <is>
          <t>990</t>
        </is>
      </c>
      <c r="D14" s="8" t="inlineStr">
        <is>
          <t>high</t>
        </is>
      </c>
      <c r="E14" s="8" t="inlineStr">
        <is>
          <t>b1d43a7a-e089-4bbd-9cc0-152b96130b88</t>
        </is>
      </c>
      <c r="F14" s="8" t="inlineStr">
        <is>
          <t>202502589349301150</t>
        </is>
      </c>
      <c r="G14" s="8" t="inlineStr">
        <is>
          <t>claude-opus-5</t>
        </is>
      </c>
      <c r="H14" s="8" t="inlineStr">
        <is>
          <t>2026-09-16T21:34:12+00:00</t>
        </is>
      </c>
      <c r="I14" s="8" t="inlineStr">
        <is>
          <t>https://apps.irs.gov/pub/epostcard/990/xml/2025/2025_TEOS_XML_09A.zip#202502589349301150_public.xml</t>
        </is>
      </c>
    </row>
    <row r="16">
      <c r="A16" s="47"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E73</t>
        </is>
      </c>
      <c r="C18" s="8" t="inlineStr">
        <is>
          <t>11a. Gross income from members or shareholders</t>
        </is>
      </c>
      <c r="D18" s="8" t="inlineStr">
        <is>
          <t>11a</t>
        </is>
      </c>
      <c r="E18" s="8" t="inlineStr">
        <is>
          <t>part_v_other_irs_filings.members_and_shareholders_gross_income</t>
        </is>
      </c>
      <c r="F18" s="8" t="inlineStr">
        <is>
          <t>high</t>
        </is>
      </c>
      <c r="G18" s="9" t="n">
        <v>890357</v>
      </c>
    </row>
    <row r="19">
      <c r="A19" s="8" t="inlineStr">
        <is>
          <t>Financial Statements</t>
        </is>
      </c>
      <c r="B19" s="8" t="inlineStr">
        <is>
          <t>E74</t>
        </is>
      </c>
      <c r="C19" s="8" t="inlineStr">
        <is>
          <t>11b. Gross income from other sources</t>
        </is>
      </c>
      <c r="D19" s="8" t="inlineStr">
        <is>
          <t>11b</t>
        </is>
      </c>
      <c r="E19" s="8" t="inlineStr">
        <is>
          <t>part_v_other_irs_filings.other_sources_gross_income</t>
        </is>
      </c>
      <c r="F19" s="8" t="inlineStr">
        <is>
          <t>high</t>
        </is>
      </c>
      <c r="G19" s="9" t="n">
        <v>394180</v>
      </c>
    </row>
    <row r="20">
      <c r="A20" s="8" t="inlineStr">
        <is>
          <t>Revenue (detail)</t>
        </is>
      </c>
      <c r="B20" s="8" t="inlineStr">
        <is>
          <t>B7</t>
        </is>
      </c>
      <c r="C20" s="8" t="inlineStr">
        <is>
          <t>1h. Total contributions, gifts, grants</t>
        </is>
      </c>
      <c r="D20" s="8" t="inlineStr">
        <is>
          <t>1h</t>
        </is>
      </c>
      <c r="E20" s="8" t="inlineStr">
        <is>
          <t>part_viii_revenue.total_contributions</t>
        </is>
      </c>
      <c r="F20" s="8" t="inlineStr">
        <is>
          <t>high</t>
        </is>
      </c>
      <c r="G20" s="9" t="n">
        <v>1633</v>
      </c>
    </row>
    <row r="21">
      <c r="A21" s="8" t="inlineStr">
        <is>
          <t>Revenue (detail)</t>
        </is>
      </c>
      <c r="B21" s="8" t="inlineStr">
        <is>
          <t>C7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D7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E7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F7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0</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0</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0</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0</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0</v>
      </c>
    </row>
    <row r="30">
      <c r="A30" s="8" t="inlineStr">
        <is>
          <t>Revenue (detail)</t>
        </is>
      </c>
      <c r="B30" s="8" t="inlineStr">
        <is>
          <t>B9</t>
        </is>
      </c>
      <c r="C30" s="8" t="inlineStr">
        <is>
          <t>3. Investment income</t>
        </is>
      </c>
      <c r="D30" s="8" t="inlineStr">
        <is>
          <t>3</t>
        </is>
      </c>
      <c r="E30" s="8" t="inlineStr">
        <is>
          <t>part_viii_revenue.investment_income</t>
        </is>
      </c>
      <c r="F30" s="8" t="inlineStr">
        <is>
          <t>high</t>
        </is>
      </c>
      <c r="G30" s="9" t="n">
        <v>0</v>
      </c>
    </row>
    <row r="31">
      <c r="A31" s="8" t="inlineStr">
        <is>
          <t>Revenue (detail)</t>
        </is>
      </c>
      <c r="B31" s="8" t="inlineStr">
        <is>
          <t>C9</t>
        </is>
      </c>
      <c r="C31" s="8" t="inlineStr">
        <is>
          <t>3. Investment income</t>
        </is>
      </c>
      <c r="D31" s="8" t="inlineStr">
        <is>
          <t>3</t>
        </is>
      </c>
      <c r="E31" s="8" t="inlineStr">
        <is>
          <t>part_viii_revenue.investment_income</t>
        </is>
      </c>
      <c r="F31" s="8" t="inlineStr">
        <is>
          <t>high</t>
        </is>
      </c>
      <c r="G31" s="9" t="n">
        <v>0</v>
      </c>
    </row>
    <row r="32">
      <c r="A32" s="8" t="inlineStr">
        <is>
          <t>Revenue (detail)</t>
        </is>
      </c>
      <c r="B32" s="8" t="inlineStr">
        <is>
          <t>D9</t>
        </is>
      </c>
      <c r="C32" s="8" t="inlineStr">
        <is>
          <t>3. Investment income</t>
        </is>
      </c>
      <c r="D32" s="8" t="inlineStr">
        <is>
          <t>3</t>
        </is>
      </c>
      <c r="E32" s="8" t="inlineStr">
        <is>
          <t>part_viii_revenue.investment_income</t>
        </is>
      </c>
      <c r="F32" s="8" t="inlineStr">
        <is>
          <t>high</t>
        </is>
      </c>
      <c r="G32" s="9" t="n">
        <v>0</v>
      </c>
    </row>
    <row r="33">
      <c r="A33" s="8" t="inlineStr">
        <is>
          <t>Revenue (detail)</t>
        </is>
      </c>
      <c r="B33" s="8" t="inlineStr">
        <is>
          <t>E9</t>
        </is>
      </c>
      <c r="C33" s="8" t="inlineStr">
        <is>
          <t>3. Investment income</t>
        </is>
      </c>
      <c r="D33" s="8" t="inlineStr">
        <is>
          <t>3</t>
        </is>
      </c>
      <c r="E33" s="8" t="inlineStr">
        <is>
          <t>part_viii_revenue.investment_income</t>
        </is>
      </c>
      <c r="F33" s="8" t="inlineStr">
        <is>
          <t>high</t>
        </is>
      </c>
      <c r="G33" s="9" t="n">
        <v>0</v>
      </c>
    </row>
    <row r="34">
      <c r="A34" s="8" t="inlineStr">
        <is>
          <t>Revenue (detail)</t>
        </is>
      </c>
      <c r="B34" s="8" t="inlineStr">
        <is>
          <t>F9</t>
        </is>
      </c>
      <c r="C34" s="8" t="inlineStr">
        <is>
          <t>3. Investment income</t>
        </is>
      </c>
      <c r="D34" s="8" t="inlineStr">
        <is>
          <t>3</t>
        </is>
      </c>
      <c r="E34" s="8" t="inlineStr">
        <is>
          <t>part_viii_revenue.investment_income</t>
        </is>
      </c>
      <c r="F34" s="8" t="inlineStr">
        <is>
          <t>high</t>
        </is>
      </c>
      <c r="G34" s="9" t="n">
        <v>0</v>
      </c>
    </row>
    <row r="35">
      <c r="A35" s="8" t="inlineStr">
        <is>
          <t>Revenue (detail)</t>
        </is>
      </c>
      <c r="B35" s="8" t="inlineStr">
        <is>
          <t>B10</t>
        </is>
      </c>
      <c r="C35" s="8" t="inlineStr">
        <is>
          <t>6d. Net rental income</t>
        </is>
      </c>
      <c r="D35" s="8" t="inlineStr">
        <is>
          <t>6d</t>
        </is>
      </c>
      <c r="E35" s="8" t="inlineStr">
        <is>
          <t>part_viii_revenue.net_rental_income</t>
        </is>
      </c>
      <c r="F35" s="8" t="inlineStr">
        <is>
          <t>high</t>
        </is>
      </c>
      <c r="G35" s="9" t="n">
        <v>0</v>
      </c>
    </row>
    <row r="36">
      <c r="A36" s="8" t="inlineStr">
        <is>
          <t>Revenue (detail)</t>
        </is>
      </c>
      <c r="B36" s="8" t="inlineStr">
        <is>
          <t>C10</t>
        </is>
      </c>
      <c r="C36" s="8" t="inlineStr">
        <is>
          <t>6d. Net rental income</t>
        </is>
      </c>
      <c r="D36" s="8" t="inlineStr">
        <is>
          <t>6d</t>
        </is>
      </c>
      <c r="E36" s="8" t="inlineStr">
        <is>
          <t>part_viii_revenue.net_rental_income</t>
        </is>
      </c>
      <c r="F36" s="8" t="inlineStr">
        <is>
          <t>high</t>
        </is>
      </c>
      <c r="G36" s="9" t="n">
        <v>0</v>
      </c>
    </row>
    <row r="37">
      <c r="A37" s="8" t="inlineStr">
        <is>
          <t>Revenue (detail)</t>
        </is>
      </c>
      <c r="B37" s="8" t="inlineStr">
        <is>
          <t>D10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E10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F10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B11</t>
        </is>
      </c>
      <c r="C40" s="8" t="inlineStr">
        <is>
          <t>7d. Net gain/(loss) from investment sales</t>
        </is>
      </c>
      <c r="D40" s="8" t="inlineStr">
        <is>
          <t>7d</t>
        </is>
      </c>
      <c r="E40" s="8" t="inlineStr">
        <is>
          <t>part_viii_revenue.net_gain_or_loss_investments</t>
        </is>
      </c>
      <c r="F40" s="8" t="inlineStr">
        <is>
          <t>high</t>
        </is>
      </c>
      <c r="G40" s="9" t="n">
        <v>2000</v>
      </c>
    </row>
    <row r="41">
      <c r="A41" s="8" t="inlineStr">
        <is>
          <t>Revenue (detail)</t>
        </is>
      </c>
      <c r="B41" s="8" t="inlineStr">
        <is>
          <t>C11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D11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E11</t>
        </is>
      </c>
      <c r="C43" s="8" t="inlineStr">
        <is>
          <t>7d. Net gain/(loss) from investment sales</t>
        </is>
      </c>
      <c r="D43" s="8" t="inlineStr">
        <is>
          <t>7d</t>
        </is>
      </c>
      <c r="E43" s="8" t="inlineStr">
        <is>
          <t>part_viii_revenue.net_gain_or_loss_investments</t>
        </is>
      </c>
      <c r="F43" s="8" t="inlineStr">
        <is>
          <t>high</t>
        </is>
      </c>
      <c r="G43" s="9" t="n">
        <v>4200</v>
      </c>
    </row>
    <row r="44">
      <c r="A44" s="8" t="inlineStr">
        <is>
          <t>Revenue (detail)</t>
        </is>
      </c>
      <c r="B44" s="8" t="inlineStr">
        <is>
          <t>F11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B12</t>
        </is>
      </c>
      <c r="C45" s="8" t="inlineStr">
        <is>
          <t>11e. Other revenue</t>
        </is>
      </c>
      <c r="D45" s="8" t="inlineStr">
        <is>
          <t>11e</t>
        </is>
      </c>
      <c r="E45" s="8" t="inlineStr">
        <is>
          <t>part_viii_revenue.other_revenue_total</t>
        </is>
      </c>
      <c r="F45" s="8" t="inlineStr">
        <is>
          <t>high</t>
        </is>
      </c>
      <c r="G45" s="9" t="n">
        <v>1028288</v>
      </c>
    </row>
    <row r="46">
      <c r="A46" s="8" t="inlineStr">
        <is>
          <t>Revenue (detail)</t>
        </is>
      </c>
      <c r="B46" s="8" t="inlineStr">
        <is>
          <t>C12</t>
        </is>
      </c>
      <c r="C46" s="8" t="inlineStr">
        <is>
          <t>11e. Other revenue</t>
        </is>
      </c>
      <c r="D46" s="8" t="inlineStr">
        <is>
          <t>11e</t>
        </is>
      </c>
      <c r="E46" s="8" t="inlineStr">
        <is>
          <t>part_viii_revenue.other_revenue_total</t>
        </is>
      </c>
      <c r="F46" s="8" t="inlineStr">
        <is>
          <t>high</t>
        </is>
      </c>
      <c r="G46" s="9" t="n">
        <v>1314234</v>
      </c>
    </row>
    <row r="47">
      <c r="A47" s="8" t="inlineStr">
        <is>
          <t>Revenue (detail)</t>
        </is>
      </c>
      <c r="B47" s="8" t="inlineStr">
        <is>
          <t>D12</t>
        </is>
      </c>
      <c r="C47" s="8" t="inlineStr">
        <is>
          <t>11e. Other revenue</t>
        </is>
      </c>
      <c r="D47" s="8" t="inlineStr">
        <is>
          <t>11e</t>
        </is>
      </c>
      <c r="E47" s="8" t="inlineStr">
        <is>
          <t>part_viii_revenue.other_revenue_total</t>
        </is>
      </c>
      <c r="F47" s="8" t="inlineStr">
        <is>
          <t>high</t>
        </is>
      </c>
      <c r="G47" s="9" t="n">
        <v>1264590</v>
      </c>
    </row>
    <row r="48">
      <c r="A48" s="8" t="inlineStr">
        <is>
          <t>Revenue (detail)</t>
        </is>
      </c>
      <c r="B48" s="8" t="inlineStr">
        <is>
          <t>E12</t>
        </is>
      </c>
      <c r="C48" s="8" t="inlineStr">
        <is>
          <t>11e. Other revenue</t>
        </is>
      </c>
      <c r="D48" s="8" t="inlineStr">
        <is>
          <t>11e</t>
        </is>
      </c>
      <c r="E48" s="8" t="inlineStr">
        <is>
          <t>part_viii_revenue.other_revenue_total</t>
        </is>
      </c>
      <c r="F48" s="8" t="inlineStr">
        <is>
          <t>high</t>
        </is>
      </c>
      <c r="G48" s="9" t="n">
        <v>1280337</v>
      </c>
    </row>
    <row r="49">
      <c r="A49" s="8" t="inlineStr">
        <is>
          <t>Revenue (detail)</t>
        </is>
      </c>
      <c r="B49" s="8" t="inlineStr">
        <is>
          <t>F12</t>
        </is>
      </c>
      <c r="C49" s="8" t="inlineStr">
        <is>
          <t>11e. Other revenue</t>
        </is>
      </c>
      <c r="D49" s="8" t="inlineStr">
        <is>
          <t>11e</t>
        </is>
      </c>
      <c r="E49" s="8" t="inlineStr">
        <is>
          <t>part_viii_revenue.other_revenue_total</t>
        </is>
      </c>
      <c r="F49" s="8" t="inlineStr">
        <is>
          <t>high</t>
        </is>
      </c>
      <c r="G49" s="9" t="n">
        <v>1771990</v>
      </c>
    </row>
    <row r="50">
      <c r="A50" s="8" t="inlineStr">
        <is>
          <t>Operating expenses (detail)</t>
        </is>
      </c>
      <c r="B50" s="8" t="inlineStr">
        <is>
          <t>B7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C7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D7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E7</t>
        </is>
      </c>
      <c r="C53" s="8" t="inlineStr">
        <is>
          <t>1. Grants to domestic organizations and governments</t>
        </is>
      </c>
      <c r="D53" s="8" t="inlineStr">
        <is>
          <t>1</t>
        </is>
      </c>
      <c r="E53" s="8" t="inlineStr">
        <is>
          <t>part_ix_expenses.grants_domestic_orgs</t>
        </is>
      </c>
      <c r="F53" s="8" t="inlineStr">
        <is>
          <t>high</t>
        </is>
      </c>
      <c r="G53" s="9" t="n">
        <v>0</v>
      </c>
    </row>
    <row r="54">
      <c r="A54" s="8" t="inlineStr">
        <is>
          <t>Operating expenses (detail)</t>
        </is>
      </c>
      <c r="B54" s="8" t="inlineStr">
        <is>
          <t>F7</t>
        </is>
      </c>
      <c r="C54" s="8" t="inlineStr">
        <is>
          <t>1. Grants to domestic organizations and governments</t>
        </is>
      </c>
      <c r="D54" s="8" t="inlineStr">
        <is>
          <t>1</t>
        </is>
      </c>
      <c r="E54" s="8" t="inlineStr">
        <is>
          <t>part_ix_expenses.grants_domestic_orgs</t>
        </is>
      </c>
      <c r="F54" s="8" t="inlineStr">
        <is>
          <t>high</t>
        </is>
      </c>
      <c r="G54" s="9" t="n">
        <v>0</v>
      </c>
    </row>
    <row r="55">
      <c r="A55" s="8" t="inlineStr">
        <is>
          <t>Operating expenses (detail)</t>
        </is>
      </c>
      <c r="B55" s="8" t="inlineStr">
        <is>
          <t>B8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C8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D8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E8</t>
        </is>
      </c>
      <c r="C58" s="8" t="inlineStr">
        <is>
          <t>2. Grants to domestic individuals</t>
        </is>
      </c>
      <c r="D58" s="8" t="inlineStr">
        <is>
          <t>2</t>
        </is>
      </c>
      <c r="E58" s="8" t="inlineStr">
        <is>
          <t>part_ix_expenses.grants_domestic_individuals</t>
        </is>
      </c>
      <c r="F58" s="8" t="inlineStr">
        <is>
          <t>high</t>
        </is>
      </c>
      <c r="G58" s="9" t="n">
        <v>0</v>
      </c>
    </row>
    <row r="59">
      <c r="A59" s="8" t="inlineStr">
        <is>
          <t>Operating expenses (detail)</t>
        </is>
      </c>
      <c r="B59" s="8" t="inlineStr">
        <is>
          <t>F8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B9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C9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D9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E9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F9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B10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C10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D10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E10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F10</t>
        </is>
      </c>
      <c r="C69" s="8" t="inlineStr">
        <is>
          <t>4. Benefits paid to or for members</t>
        </is>
      </c>
      <c r="D69" s="8" t="inlineStr">
        <is>
          <t>4</t>
        </is>
      </c>
      <c r="E69" s="8" t="inlineStr">
        <is>
          <t>part_ix_expenses.benefits_to_members</t>
        </is>
      </c>
      <c r="F69" s="8" t="inlineStr">
        <is>
          <t>high</t>
        </is>
      </c>
      <c r="G69" s="9" t="n">
        <v>0</v>
      </c>
    </row>
    <row r="70">
      <c r="A70" s="8" t="inlineStr">
        <is>
          <t>Operating expenses (detail)</t>
        </is>
      </c>
      <c r="B70" s="8" t="inlineStr">
        <is>
          <t>B11</t>
        </is>
      </c>
      <c r="C70" s="8" t="inlineStr">
        <is>
          <t>5. Compensation of current officers, directors, trustees</t>
        </is>
      </c>
      <c r="D70" s="8" t="inlineStr">
        <is>
          <t>5</t>
        </is>
      </c>
      <c r="E70" s="8" t="inlineStr">
        <is>
          <t>part_ix_expenses.comp_current_officers</t>
        </is>
      </c>
      <c r="F70" s="8" t="inlineStr">
        <is>
          <t>high</t>
        </is>
      </c>
      <c r="G70" s="9" t="n">
        <v>24000</v>
      </c>
    </row>
    <row r="71">
      <c r="A71" s="8" t="inlineStr">
        <is>
          <t>Operating expenses (detail)</t>
        </is>
      </c>
      <c r="B71" s="8" t="inlineStr">
        <is>
          <t>C11</t>
        </is>
      </c>
      <c r="C71" s="8" t="inlineStr">
        <is>
          <t>5. Compensation of current officers, directors, trustees</t>
        </is>
      </c>
      <c r="D71" s="8" t="inlineStr">
        <is>
          <t>5</t>
        </is>
      </c>
      <c r="E71" s="8" t="inlineStr">
        <is>
          <t>part_ix_expenses.comp_current_officers</t>
        </is>
      </c>
      <c r="F71" s="8" t="inlineStr">
        <is>
          <t>high</t>
        </is>
      </c>
      <c r="G71" s="9" t="n">
        <v>24000</v>
      </c>
    </row>
    <row r="72">
      <c r="A72" s="8" t="inlineStr">
        <is>
          <t>Operating expenses (detail)</t>
        </is>
      </c>
      <c r="B72" s="8" t="inlineStr">
        <is>
          <t>D11</t>
        </is>
      </c>
      <c r="C72" s="8" t="inlineStr">
        <is>
          <t>5. Compensation of current officers, directors, trustees</t>
        </is>
      </c>
      <c r="D72" s="8" t="inlineStr">
        <is>
          <t>5</t>
        </is>
      </c>
      <c r="E72" s="8" t="inlineStr">
        <is>
          <t>part_ix_expenses.comp_current_officers</t>
        </is>
      </c>
      <c r="F72" s="8" t="inlineStr">
        <is>
          <t>high</t>
        </is>
      </c>
      <c r="G72" s="9" t="n">
        <v>10000</v>
      </c>
    </row>
    <row r="73">
      <c r="A73" s="8" t="inlineStr">
        <is>
          <t>Operating expenses (detail)</t>
        </is>
      </c>
      <c r="B73" s="8" t="inlineStr">
        <is>
          <t>E11</t>
        </is>
      </c>
      <c r="C73" s="8" t="inlineStr">
        <is>
          <t>5. Compensation of current officers, directors, trustees</t>
        </is>
      </c>
      <c r="D73" s="8" t="inlineStr">
        <is>
          <t>5</t>
        </is>
      </c>
      <c r="E73" s="8" t="inlineStr">
        <is>
          <t>part_ix_expenses.comp_current_officers</t>
        </is>
      </c>
      <c r="F73" s="8" t="inlineStr">
        <is>
          <t>high</t>
        </is>
      </c>
      <c r="G73" s="9" t="n">
        <v>4000</v>
      </c>
    </row>
    <row r="74">
      <c r="A74" s="8" t="inlineStr">
        <is>
          <t>Operating expenses (detail)</t>
        </is>
      </c>
      <c r="B74" s="8" t="inlineStr">
        <is>
          <t>F11</t>
        </is>
      </c>
      <c r="C74" s="8" t="inlineStr">
        <is>
          <t>5. Compensation of current officers, directors, trustees</t>
        </is>
      </c>
      <c r="D74" s="8" t="inlineStr">
        <is>
          <t>5</t>
        </is>
      </c>
      <c r="E74" s="8" t="inlineStr">
        <is>
          <t>part_ix_expenses.comp_current_officers</t>
        </is>
      </c>
      <c r="F74" s="8" t="inlineStr">
        <is>
          <t>high</t>
        </is>
      </c>
      <c r="G74" s="9" t="n">
        <v>48500</v>
      </c>
    </row>
    <row r="75">
      <c r="A75" s="8" t="inlineStr">
        <is>
          <t>Operating expenses (detail)</t>
        </is>
      </c>
      <c r="B75" s="8" t="inlineStr">
        <is>
          <t>B12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C12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D12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E12</t>
        </is>
      </c>
      <c r="C78" s="8" t="inlineStr">
        <is>
          <t>6. Compensation to disqualified persons</t>
        </is>
      </c>
      <c r="D78" s="8" t="inlineStr">
        <is>
          <t>6</t>
        </is>
      </c>
      <c r="E78" s="8" t="inlineStr">
        <is>
          <t>part_ix_expenses.comp_disqualified_persons</t>
        </is>
      </c>
      <c r="F78" s="8" t="inlineStr">
        <is>
          <t>high</t>
        </is>
      </c>
      <c r="G78" s="9" t="n">
        <v>0</v>
      </c>
    </row>
    <row r="79">
      <c r="A79" s="8" t="inlineStr">
        <is>
          <t>Operating expenses (detail)</t>
        </is>
      </c>
      <c r="B79" s="8" t="inlineStr">
        <is>
          <t>F12</t>
        </is>
      </c>
      <c r="C79" s="8" t="inlineStr">
        <is>
          <t>6. Compensation to disqualified persons</t>
        </is>
      </c>
      <c r="D79" s="8" t="inlineStr">
        <is>
          <t>6</t>
        </is>
      </c>
      <c r="E79" s="8" t="inlineStr">
        <is>
          <t>part_ix_expenses.comp_disqualified_persons</t>
        </is>
      </c>
      <c r="F79" s="8" t="inlineStr">
        <is>
          <t>high</t>
        </is>
      </c>
      <c r="G79" s="9" t="n">
        <v>0</v>
      </c>
    </row>
    <row r="80">
      <c r="A80" s="8" t="inlineStr">
        <is>
          <t>Operating expenses (detail)</t>
        </is>
      </c>
      <c r="B80" s="8" t="inlineStr">
        <is>
          <t>B13</t>
        </is>
      </c>
      <c r="C80" s="8" t="inlineStr">
        <is>
          <t>7. Other salaries and wages</t>
        </is>
      </c>
      <c r="D80" s="8" t="inlineStr">
        <is>
          <t>7</t>
        </is>
      </c>
      <c r="E80" s="8" t="inlineStr">
        <is>
          <t>part_ix_expenses.other_salaries_and_wages</t>
        </is>
      </c>
      <c r="F80" s="8" t="inlineStr">
        <is>
          <t>high</t>
        </is>
      </c>
      <c r="G80" s="9" t="n">
        <v>208404</v>
      </c>
    </row>
    <row r="81">
      <c r="A81" s="8" t="inlineStr">
        <is>
          <t>Operating expenses (detail)</t>
        </is>
      </c>
      <c r="B81" s="8" t="inlineStr">
        <is>
          <t>C13</t>
        </is>
      </c>
      <c r="C81" s="8" t="inlineStr">
        <is>
          <t>7. Other salaries and wages</t>
        </is>
      </c>
      <c r="D81" s="8" t="inlineStr">
        <is>
          <t>7</t>
        </is>
      </c>
      <c r="E81" s="8" t="inlineStr">
        <is>
          <t>part_ix_expenses.other_salaries_and_wages</t>
        </is>
      </c>
      <c r="F81" s="8" t="inlineStr">
        <is>
          <t>high</t>
        </is>
      </c>
      <c r="G81" s="9" t="n">
        <v>228504</v>
      </c>
    </row>
    <row r="82">
      <c r="A82" s="8" t="inlineStr">
        <is>
          <t>Operating expenses (detail)</t>
        </is>
      </c>
      <c r="B82" s="8" t="inlineStr">
        <is>
          <t>D13</t>
        </is>
      </c>
      <c r="C82" s="8" t="inlineStr">
        <is>
          <t>7. Other salaries and wages</t>
        </is>
      </c>
      <c r="D82" s="8" t="inlineStr">
        <is>
          <t>7</t>
        </is>
      </c>
      <c r="E82" s="8" t="inlineStr">
        <is>
          <t>part_ix_expenses.other_salaries_and_wages</t>
        </is>
      </c>
      <c r="F82" s="8" t="inlineStr">
        <is>
          <t>high</t>
        </is>
      </c>
      <c r="G82" s="9" t="n">
        <v>251688</v>
      </c>
    </row>
    <row r="83">
      <c r="A83" s="8" t="inlineStr">
        <is>
          <t>Operating expenses (detail)</t>
        </is>
      </c>
      <c r="B83" s="8" t="inlineStr">
        <is>
          <t>E13</t>
        </is>
      </c>
      <c r="C83" s="8" t="inlineStr">
        <is>
          <t>7. Other salaries and wages</t>
        </is>
      </c>
      <c r="D83" s="8" t="inlineStr">
        <is>
          <t>7</t>
        </is>
      </c>
      <c r="E83" s="8" t="inlineStr">
        <is>
          <t>part_ix_expenses.other_salaries_and_wages</t>
        </is>
      </c>
      <c r="F83" s="8" t="inlineStr">
        <is>
          <t>high</t>
        </is>
      </c>
      <c r="G83" s="9" t="n">
        <v>262239</v>
      </c>
    </row>
    <row r="84">
      <c r="A84" s="8" t="inlineStr">
        <is>
          <t>Operating expenses (detail)</t>
        </is>
      </c>
      <c r="B84" s="8" t="inlineStr">
        <is>
          <t>F13</t>
        </is>
      </c>
      <c r="C84" s="8" t="inlineStr">
        <is>
          <t>7. Other salaries and wages</t>
        </is>
      </c>
      <c r="D84" s="8" t="inlineStr">
        <is>
          <t>7</t>
        </is>
      </c>
      <c r="E84" s="8" t="inlineStr">
        <is>
          <t>part_ix_expenses.other_salaries_and_wages</t>
        </is>
      </c>
      <c r="F84" s="8" t="inlineStr">
        <is>
          <t>high</t>
        </is>
      </c>
      <c r="G84" s="9" t="n">
        <v>300607</v>
      </c>
    </row>
    <row r="85">
      <c r="A85" s="8" t="inlineStr">
        <is>
          <t>Operating expenses (detail)</t>
        </is>
      </c>
      <c r="B85" s="8" t="inlineStr">
        <is>
          <t>B14</t>
        </is>
      </c>
      <c r="C85" s="8" t="inlineStr">
        <is>
          <t>8. Pension plan accruals and contributions</t>
        </is>
      </c>
      <c r="D85" s="8" t="inlineStr">
        <is>
          <t>8</t>
        </is>
      </c>
      <c r="E85" s="8" t="inlineStr">
        <is>
          <t>part_ix_expenses.pension_plan_contributions</t>
        </is>
      </c>
      <c r="F85" s="8" t="inlineStr">
        <is>
          <t>high</t>
        </is>
      </c>
      <c r="G85" s="9" t="n">
        <v>0</v>
      </c>
    </row>
    <row r="86">
      <c r="A86" s="8" t="inlineStr">
        <is>
          <t>Operating expenses (detail)</t>
        </is>
      </c>
      <c r="B86" s="8" t="inlineStr">
        <is>
          <t>C14</t>
        </is>
      </c>
      <c r="C86" s="8" t="inlineStr">
        <is>
          <t>8. Pension plan accruals and contributions</t>
        </is>
      </c>
      <c r="D86" s="8" t="inlineStr">
        <is>
          <t>8</t>
        </is>
      </c>
      <c r="E86" s="8" t="inlineStr">
        <is>
          <t>part_ix_expenses.pension_plan_contributions</t>
        </is>
      </c>
      <c r="F86" s="8" t="inlineStr">
        <is>
          <t>high</t>
        </is>
      </c>
      <c r="G86" s="9" t="n">
        <v>0</v>
      </c>
    </row>
    <row r="87">
      <c r="A87" s="8" t="inlineStr">
        <is>
          <t>Operating expenses (detail)</t>
        </is>
      </c>
      <c r="B87" s="8" t="inlineStr">
        <is>
          <t>D14</t>
        </is>
      </c>
      <c r="C87" s="8" t="inlineStr">
        <is>
          <t>8. Pension plan accruals and contributions</t>
        </is>
      </c>
      <c r="D87" s="8" t="inlineStr">
        <is>
          <t>8</t>
        </is>
      </c>
      <c r="E87" s="8" t="inlineStr">
        <is>
          <t>part_ix_expenses.pension_plan_contributions</t>
        </is>
      </c>
      <c r="F87" s="8" t="inlineStr">
        <is>
          <t>high</t>
        </is>
      </c>
      <c r="G87" s="9" t="n">
        <v>0</v>
      </c>
    </row>
    <row r="88">
      <c r="A88" s="8" t="inlineStr">
        <is>
          <t>Operating expenses (detail)</t>
        </is>
      </c>
      <c r="B88" s="8" t="inlineStr">
        <is>
          <t>E14</t>
        </is>
      </c>
      <c r="C88" s="8" t="inlineStr">
        <is>
          <t>8. Pension plan accruals and contributions</t>
        </is>
      </c>
      <c r="D88" s="8" t="inlineStr">
        <is>
          <t>8</t>
        </is>
      </c>
      <c r="E88" s="8" t="inlineStr">
        <is>
          <t>part_ix_expenses.pension_plan_contributions</t>
        </is>
      </c>
      <c r="F88" s="8" t="inlineStr">
        <is>
          <t>high</t>
        </is>
      </c>
      <c r="G88" s="9" t="n">
        <v>0</v>
      </c>
    </row>
    <row r="89">
      <c r="A89" s="8" t="inlineStr">
        <is>
          <t>Operating expenses (detail)</t>
        </is>
      </c>
      <c r="B89" s="8" t="inlineStr">
        <is>
          <t>F14</t>
        </is>
      </c>
      <c r="C89" s="8" t="inlineStr">
        <is>
          <t>8. Pension plan accruals and contributions</t>
        </is>
      </c>
      <c r="D89" s="8" t="inlineStr">
        <is>
          <t>8</t>
        </is>
      </c>
      <c r="E89" s="8" t="inlineStr">
        <is>
          <t>part_ix_expenses.pension_plan_contributions</t>
        </is>
      </c>
      <c r="F89" s="8" t="inlineStr">
        <is>
          <t>high</t>
        </is>
      </c>
      <c r="G89" s="9" t="n">
        <v>0</v>
      </c>
    </row>
    <row r="90">
      <c r="A90" s="8" t="inlineStr">
        <is>
          <t>Operating expenses (detail)</t>
        </is>
      </c>
      <c r="B90" s="8" t="inlineStr">
        <is>
          <t>B15</t>
        </is>
      </c>
      <c r="C90" s="8" t="inlineStr">
        <is>
          <t>9. Other employee benefits</t>
        </is>
      </c>
      <c r="D90" s="8" t="inlineStr">
        <is>
          <t>9</t>
        </is>
      </c>
      <c r="E90" s="8" t="inlineStr">
        <is>
          <t>part_ix_expenses.other_employee_benefits</t>
        </is>
      </c>
      <c r="F90" s="8" t="inlineStr">
        <is>
          <t>high</t>
        </is>
      </c>
      <c r="G90" s="9" t="n">
        <v>0</v>
      </c>
    </row>
    <row r="91">
      <c r="A91" s="8" t="inlineStr">
        <is>
          <t>Operating expenses (detail)</t>
        </is>
      </c>
      <c r="B91" s="8" t="inlineStr">
        <is>
          <t>C15</t>
        </is>
      </c>
      <c r="C91" s="8" t="inlineStr">
        <is>
          <t>9. Other employee benefits</t>
        </is>
      </c>
      <c r="D91" s="8" t="inlineStr">
        <is>
          <t>9</t>
        </is>
      </c>
      <c r="E91" s="8" t="inlineStr">
        <is>
          <t>part_ix_expenses.other_employee_benefits</t>
        </is>
      </c>
      <c r="F91" s="8" t="inlineStr">
        <is>
          <t>high</t>
        </is>
      </c>
      <c r="G91" s="9" t="n">
        <v>0</v>
      </c>
    </row>
    <row r="92">
      <c r="A92" s="8" t="inlineStr">
        <is>
          <t>Operating expenses (detail)</t>
        </is>
      </c>
      <c r="B92" s="8" t="inlineStr">
        <is>
          <t>D15</t>
        </is>
      </c>
      <c r="C92" s="8" t="inlineStr">
        <is>
          <t>9. Other employee benefits</t>
        </is>
      </c>
      <c r="D92" s="8" t="inlineStr">
        <is>
          <t>9</t>
        </is>
      </c>
      <c r="E92" s="8" t="inlineStr">
        <is>
          <t>part_ix_expenses.other_employee_benefits</t>
        </is>
      </c>
      <c r="F92" s="8" t="inlineStr">
        <is>
          <t>high</t>
        </is>
      </c>
      <c r="G92" s="9" t="n">
        <v>0</v>
      </c>
    </row>
    <row r="93">
      <c r="A93" s="8" t="inlineStr">
        <is>
          <t>Operating expenses (detail)</t>
        </is>
      </c>
      <c r="B93" s="8" t="inlineStr">
        <is>
          <t>E15</t>
        </is>
      </c>
      <c r="C93" s="8" t="inlineStr">
        <is>
          <t>9. Other employee benefits</t>
        </is>
      </c>
      <c r="D93" s="8" t="inlineStr">
        <is>
          <t>9</t>
        </is>
      </c>
      <c r="E93" s="8" t="inlineStr">
        <is>
          <t>part_ix_expenses.other_employee_benefits</t>
        </is>
      </c>
      <c r="F93" s="8" t="inlineStr">
        <is>
          <t>high</t>
        </is>
      </c>
      <c r="G93" s="9" t="n">
        <v>12958</v>
      </c>
    </row>
    <row r="94">
      <c r="A94" s="8" t="inlineStr">
        <is>
          <t>Operating expenses (detail)</t>
        </is>
      </c>
      <c r="B94" s="8" t="inlineStr">
        <is>
          <t>F15</t>
        </is>
      </c>
      <c r="C94" s="8" t="inlineStr">
        <is>
          <t>9. Other employee benefits</t>
        </is>
      </c>
      <c r="D94" s="8" t="inlineStr">
        <is>
          <t>9</t>
        </is>
      </c>
      <c r="E94" s="8" t="inlineStr">
        <is>
          <t>part_ix_expenses.other_employee_benefits</t>
        </is>
      </c>
      <c r="F94" s="8" t="inlineStr">
        <is>
          <t>high</t>
        </is>
      </c>
      <c r="G94" s="9" t="n">
        <v>14136</v>
      </c>
    </row>
    <row r="95">
      <c r="A95" s="8" t="inlineStr">
        <is>
          <t>Operating expenses (detail)</t>
        </is>
      </c>
      <c r="B95" s="8" t="inlineStr">
        <is>
          <t>B16</t>
        </is>
      </c>
      <c r="C95" s="8" t="inlineStr">
        <is>
          <t>10. Payroll taxes</t>
        </is>
      </c>
      <c r="D95" s="8" t="inlineStr">
        <is>
          <t>10</t>
        </is>
      </c>
      <c r="E95" s="8" t="inlineStr">
        <is>
          <t>part_ix_expenses.payroll_taxes</t>
        </is>
      </c>
      <c r="F95" s="8" t="inlineStr">
        <is>
          <t>high</t>
        </is>
      </c>
      <c r="G95" s="9" t="n">
        <v>14685</v>
      </c>
    </row>
    <row r="96">
      <c r="A96" s="8" t="inlineStr">
        <is>
          <t>Operating expenses (detail)</t>
        </is>
      </c>
      <c r="B96" s="8" t="inlineStr">
        <is>
          <t>C16</t>
        </is>
      </c>
      <c r="C96" s="8" t="inlineStr">
        <is>
          <t>10. Payroll taxes</t>
        </is>
      </c>
      <c r="D96" s="8" t="inlineStr">
        <is>
          <t>10</t>
        </is>
      </c>
      <c r="E96" s="8" t="inlineStr">
        <is>
          <t>part_ix_expenses.payroll_taxes</t>
        </is>
      </c>
      <c r="F96" s="8" t="inlineStr">
        <is>
          <t>high</t>
        </is>
      </c>
      <c r="G96" s="9" t="n">
        <v>20086</v>
      </c>
    </row>
    <row r="97">
      <c r="A97" s="8" t="inlineStr">
        <is>
          <t>Operating expenses (detail)</t>
        </is>
      </c>
      <c r="B97" s="8" t="inlineStr">
        <is>
          <t>D16</t>
        </is>
      </c>
      <c r="C97" s="8" t="inlineStr">
        <is>
          <t>10. Payroll taxes</t>
        </is>
      </c>
      <c r="D97" s="8" t="inlineStr">
        <is>
          <t>10</t>
        </is>
      </c>
      <c r="E97" s="8" t="inlineStr">
        <is>
          <t>part_ix_expenses.payroll_taxes</t>
        </is>
      </c>
      <c r="F97" s="8" t="inlineStr">
        <is>
          <t>high</t>
        </is>
      </c>
      <c r="G97" s="9" t="n">
        <v>24154</v>
      </c>
    </row>
    <row r="98">
      <c r="A98" s="8" t="inlineStr">
        <is>
          <t>Operating expenses (detail)</t>
        </is>
      </c>
      <c r="B98" s="8" t="inlineStr">
        <is>
          <t>E16</t>
        </is>
      </c>
      <c r="C98" s="8" t="inlineStr">
        <is>
          <t>10. Payroll taxes</t>
        </is>
      </c>
      <c r="D98" s="8" t="inlineStr">
        <is>
          <t>10</t>
        </is>
      </c>
      <c r="E98" s="8" t="inlineStr">
        <is>
          <t>part_ix_expenses.payroll_taxes</t>
        </is>
      </c>
      <c r="F98" s="8" t="inlineStr">
        <is>
          <t>high</t>
        </is>
      </c>
      <c r="G98" s="9" t="n">
        <v>22396</v>
      </c>
    </row>
    <row r="99">
      <c r="A99" s="8" t="inlineStr">
        <is>
          <t>Operating expenses (detail)</t>
        </is>
      </c>
      <c r="B99" s="8" t="inlineStr">
        <is>
          <t>F16</t>
        </is>
      </c>
      <c r="C99" s="8" t="inlineStr">
        <is>
          <t>10. Payroll taxes</t>
        </is>
      </c>
      <c r="D99" s="8" t="inlineStr">
        <is>
          <t>10</t>
        </is>
      </c>
      <c r="E99" s="8" t="inlineStr">
        <is>
          <t>part_ix_expenses.payroll_taxes</t>
        </is>
      </c>
      <c r="F99" s="8" t="inlineStr">
        <is>
          <t>high</t>
        </is>
      </c>
      <c r="G99" s="9" t="n">
        <v>25431</v>
      </c>
    </row>
    <row r="100">
      <c r="A100" s="8" t="inlineStr">
        <is>
          <t>Operating expenses (detail)</t>
        </is>
      </c>
      <c r="B100" s="8" t="inlineStr">
        <is>
          <t>B17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C17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D17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E17</t>
        </is>
      </c>
      <c r="C103" s="8" t="inlineStr">
        <is>
          <t>11a. Fees for services: management</t>
        </is>
      </c>
      <c r="D103" s="8" t="inlineStr">
        <is>
          <t>11a</t>
        </is>
      </c>
      <c r="E103" s="8" t="inlineStr">
        <is>
          <t>part_ix_expenses.fees_management</t>
        </is>
      </c>
      <c r="F103" s="8" t="inlineStr">
        <is>
          <t>high</t>
        </is>
      </c>
      <c r="G103" s="9" t="n">
        <v>0</v>
      </c>
    </row>
    <row r="104">
      <c r="A104" s="8" t="inlineStr">
        <is>
          <t>Operating expenses (detail)</t>
        </is>
      </c>
      <c r="B104" s="8" t="inlineStr">
        <is>
          <t>F17</t>
        </is>
      </c>
      <c r="C104" s="8" t="inlineStr">
        <is>
          <t>11a. Fees for services: management</t>
        </is>
      </c>
      <c r="D104" s="8" t="inlineStr">
        <is>
          <t>11a</t>
        </is>
      </c>
      <c r="E104" s="8" t="inlineStr">
        <is>
          <t>part_ix_expenses.fees_management</t>
        </is>
      </c>
      <c r="F104" s="8" t="inlineStr">
        <is>
          <t>high</t>
        </is>
      </c>
      <c r="G104" s="9" t="n">
        <v>0</v>
      </c>
    </row>
    <row r="105">
      <c r="A105" s="8" t="inlineStr">
        <is>
          <t>Operating expenses (detail)</t>
        </is>
      </c>
      <c r="B105" s="8" t="inlineStr">
        <is>
          <t>B18</t>
        </is>
      </c>
      <c r="C105" s="8" t="inlineStr">
        <is>
          <t>11b. Fees for services: legal</t>
        </is>
      </c>
      <c r="D105" s="8" t="inlineStr">
        <is>
          <t>11b</t>
        </is>
      </c>
      <c r="E105" s="8" t="inlineStr">
        <is>
          <t>part_ix_expenses.fees_legal</t>
        </is>
      </c>
      <c r="F105" s="8" t="inlineStr">
        <is>
          <t>high</t>
        </is>
      </c>
      <c r="G105" s="9" t="n">
        <v>4363</v>
      </c>
    </row>
    <row r="106">
      <c r="A106" s="8" t="inlineStr">
        <is>
          <t>Operating expenses (detail)</t>
        </is>
      </c>
      <c r="B106" s="8" t="inlineStr">
        <is>
          <t>C18</t>
        </is>
      </c>
      <c r="C106" s="8" t="inlineStr">
        <is>
          <t>11b. Fees for services: legal</t>
        </is>
      </c>
      <c r="D106" s="8" t="inlineStr">
        <is>
          <t>11b</t>
        </is>
      </c>
      <c r="E106" s="8" t="inlineStr">
        <is>
          <t>part_ix_expenses.fees_legal</t>
        </is>
      </c>
      <c r="F106" s="8" t="inlineStr">
        <is>
          <t>high</t>
        </is>
      </c>
      <c r="G106" s="9" t="n">
        <v>110343</v>
      </c>
    </row>
    <row r="107">
      <c r="A107" s="8" t="inlineStr">
        <is>
          <t>Operating expenses (detail)</t>
        </is>
      </c>
      <c r="B107" s="8" t="inlineStr">
        <is>
          <t>D18</t>
        </is>
      </c>
      <c r="C107" s="8" t="inlineStr">
        <is>
          <t>11b. Fees for services: legal</t>
        </is>
      </c>
      <c r="D107" s="8" t="inlineStr">
        <is>
          <t>11b</t>
        </is>
      </c>
      <c r="E107" s="8" t="inlineStr">
        <is>
          <t>part_ix_expenses.fees_legal</t>
        </is>
      </c>
      <c r="F107" s="8" t="inlineStr">
        <is>
          <t>high</t>
        </is>
      </c>
      <c r="G107" s="9" t="n">
        <v>116939</v>
      </c>
    </row>
    <row r="108">
      <c r="A108" s="8" t="inlineStr">
        <is>
          <t>Operating expenses (detail)</t>
        </is>
      </c>
      <c r="B108" s="8" t="inlineStr">
        <is>
          <t>E18</t>
        </is>
      </c>
      <c r="C108" s="8" t="inlineStr">
        <is>
          <t>11b. Fees for services: legal</t>
        </is>
      </c>
      <c r="D108" s="8" t="inlineStr">
        <is>
          <t>11b</t>
        </is>
      </c>
      <c r="E108" s="8" t="inlineStr">
        <is>
          <t>part_ix_expenses.fees_legal</t>
        </is>
      </c>
      <c r="F108" s="8" t="inlineStr">
        <is>
          <t>high</t>
        </is>
      </c>
      <c r="G108" s="9" t="n">
        <v>23236</v>
      </c>
    </row>
    <row r="109">
      <c r="A109" s="8" t="inlineStr">
        <is>
          <t>Operating expenses (detail)</t>
        </is>
      </c>
      <c r="B109" s="8" t="inlineStr">
        <is>
          <t>F18</t>
        </is>
      </c>
      <c r="C109" s="8" t="inlineStr">
        <is>
          <t>11b. Fees for services: legal</t>
        </is>
      </c>
      <c r="D109" s="8" t="inlineStr">
        <is>
          <t>11b</t>
        </is>
      </c>
      <c r="E109" s="8" t="inlineStr">
        <is>
          <t>part_ix_expenses.fees_legal</t>
        </is>
      </c>
      <c r="F109" s="8" t="inlineStr">
        <is>
          <t>high</t>
        </is>
      </c>
      <c r="G109" s="9" t="n">
        <v>44694</v>
      </c>
    </row>
    <row r="110">
      <c r="A110" s="8" t="inlineStr">
        <is>
          <t>Operating expenses (detail)</t>
        </is>
      </c>
      <c r="B110" s="8" t="inlineStr">
        <is>
          <t>B19</t>
        </is>
      </c>
      <c r="C110" s="8" t="inlineStr">
        <is>
          <t>11c. Fees for services: accounting</t>
        </is>
      </c>
      <c r="D110" s="8" t="inlineStr">
        <is>
          <t>11c</t>
        </is>
      </c>
      <c r="E110" s="8" t="inlineStr">
        <is>
          <t>part_ix_expenses.fees_accounting</t>
        </is>
      </c>
      <c r="F110" s="8" t="inlineStr">
        <is>
          <t>high</t>
        </is>
      </c>
      <c r="G110" s="9" t="n">
        <v>6808</v>
      </c>
    </row>
    <row r="111">
      <c r="A111" s="8" t="inlineStr">
        <is>
          <t>Operating expenses (detail)</t>
        </is>
      </c>
      <c r="B111" s="8" t="inlineStr">
        <is>
          <t>C19</t>
        </is>
      </c>
      <c r="C111" s="8" t="inlineStr">
        <is>
          <t>11c. Fees for services: accounting</t>
        </is>
      </c>
      <c r="D111" s="8" t="inlineStr">
        <is>
          <t>11c</t>
        </is>
      </c>
      <c r="E111" s="8" t="inlineStr">
        <is>
          <t>part_ix_expenses.fees_accounting</t>
        </is>
      </c>
      <c r="F111" s="8" t="inlineStr">
        <is>
          <t>high</t>
        </is>
      </c>
      <c r="G111" s="9" t="n">
        <v>6838</v>
      </c>
    </row>
    <row r="112">
      <c r="A112" s="8" t="inlineStr">
        <is>
          <t>Operating expenses (detail)</t>
        </is>
      </c>
      <c r="B112" s="8" t="inlineStr">
        <is>
          <t>D19</t>
        </is>
      </c>
      <c r="C112" s="8" t="inlineStr">
        <is>
          <t>11c. Fees for services: accounting</t>
        </is>
      </c>
      <c r="D112" s="8" t="inlineStr">
        <is>
          <t>11c</t>
        </is>
      </c>
      <c r="E112" s="8" t="inlineStr">
        <is>
          <t>part_ix_expenses.fees_accounting</t>
        </is>
      </c>
      <c r="F112" s="8" t="inlineStr">
        <is>
          <t>high</t>
        </is>
      </c>
      <c r="G112" s="9" t="n">
        <v>7374</v>
      </c>
    </row>
    <row r="113">
      <c r="A113" s="8" t="inlineStr">
        <is>
          <t>Operating expenses (detail)</t>
        </is>
      </c>
      <c r="B113" s="8" t="inlineStr">
        <is>
          <t>E19</t>
        </is>
      </c>
      <c r="C113" s="8" t="inlineStr">
        <is>
          <t>11c. Fees for services: accounting</t>
        </is>
      </c>
      <c r="D113" s="8" t="inlineStr">
        <is>
          <t>11c</t>
        </is>
      </c>
      <c r="E113" s="8" t="inlineStr">
        <is>
          <t>part_ix_expenses.fees_accounting</t>
        </is>
      </c>
      <c r="F113" s="8" t="inlineStr">
        <is>
          <t>high</t>
        </is>
      </c>
      <c r="G113" s="9" t="n">
        <v>8907</v>
      </c>
    </row>
    <row r="114">
      <c r="A114" s="8" t="inlineStr">
        <is>
          <t>Operating expenses (detail)</t>
        </is>
      </c>
      <c r="B114" s="8" t="inlineStr">
        <is>
          <t>F19</t>
        </is>
      </c>
      <c r="C114" s="8" t="inlineStr">
        <is>
          <t>11c. Fees for services: accounting</t>
        </is>
      </c>
      <c r="D114" s="8" t="inlineStr">
        <is>
          <t>11c</t>
        </is>
      </c>
      <c r="E114" s="8" t="inlineStr">
        <is>
          <t>part_ix_expenses.fees_accounting</t>
        </is>
      </c>
      <c r="F114" s="8" t="inlineStr">
        <is>
          <t>high</t>
        </is>
      </c>
      <c r="G114" s="9" t="n">
        <v>9987</v>
      </c>
    </row>
    <row r="115">
      <c r="A115" s="8" t="inlineStr">
        <is>
          <t>Operating expenses (detail)</t>
        </is>
      </c>
      <c r="B115" s="8" t="inlineStr">
        <is>
          <t>B20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C20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D20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E20</t>
        </is>
      </c>
      <c r="C118" s="8" t="inlineStr">
        <is>
          <t>11d. Fees for services: lobbying</t>
        </is>
      </c>
      <c r="D118" s="8" t="inlineStr">
        <is>
          <t>11d</t>
        </is>
      </c>
      <c r="E118" s="8" t="inlineStr">
        <is>
          <t>part_ix_expenses.fees_lobbying</t>
        </is>
      </c>
      <c r="F118" s="8" t="inlineStr">
        <is>
          <t>high</t>
        </is>
      </c>
      <c r="G118" s="9" t="n">
        <v>0</v>
      </c>
    </row>
    <row r="119">
      <c r="A119" s="8" t="inlineStr">
        <is>
          <t>Operating expenses (detail)</t>
        </is>
      </c>
      <c r="B119" s="8" t="inlineStr">
        <is>
          <t>F20</t>
        </is>
      </c>
      <c r="C119" s="8" t="inlineStr">
        <is>
          <t>11d. Fees for services: lobbying</t>
        </is>
      </c>
      <c r="D119" s="8" t="inlineStr">
        <is>
          <t>11d</t>
        </is>
      </c>
      <c r="E119" s="8" t="inlineStr">
        <is>
          <t>part_ix_expenses.fees_lobbying</t>
        </is>
      </c>
      <c r="F119" s="8" t="inlineStr">
        <is>
          <t>high</t>
        </is>
      </c>
      <c r="G119" s="9" t="n">
        <v>0</v>
      </c>
    </row>
    <row r="120">
      <c r="A120" s="8" t="inlineStr">
        <is>
          <t>Operating expenses (detail)</t>
        </is>
      </c>
      <c r="B120" s="8" t="inlineStr">
        <is>
          <t>B21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C21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D21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E21</t>
        </is>
      </c>
      <c r="C123" s="8" t="inlineStr">
        <is>
          <t>11e. Fees for services: professional fundraising</t>
        </is>
      </c>
      <c r="D123" s="8" t="inlineStr">
        <is>
          <t>11e</t>
        </is>
      </c>
      <c r="E123" s="8" t="inlineStr">
        <is>
          <t>part_ix_expenses.fees_prof_fundraising</t>
        </is>
      </c>
      <c r="F123" s="8" t="inlineStr">
        <is>
          <t>high</t>
        </is>
      </c>
      <c r="G123" s="9" t="n">
        <v>0</v>
      </c>
    </row>
    <row r="124">
      <c r="A124" s="8" t="inlineStr">
        <is>
          <t>Operating expenses (detail)</t>
        </is>
      </c>
      <c r="B124" s="8" t="inlineStr">
        <is>
          <t>F21</t>
        </is>
      </c>
      <c r="C124" s="8" t="inlineStr">
        <is>
          <t>11e. Fees for services: professional fundraising</t>
        </is>
      </c>
      <c r="D124" s="8" t="inlineStr">
        <is>
          <t>11e</t>
        </is>
      </c>
      <c r="E124" s="8" t="inlineStr">
        <is>
          <t>part_ix_expenses.fees_prof_fundraising</t>
        </is>
      </c>
      <c r="F124" s="8" t="inlineStr">
        <is>
          <t>high</t>
        </is>
      </c>
      <c r="G124" s="9" t="n">
        <v>0</v>
      </c>
    </row>
    <row r="125">
      <c r="A125" s="8" t="inlineStr">
        <is>
          <t>Operating expenses (detail)</t>
        </is>
      </c>
      <c r="B125" s="8" t="inlineStr">
        <is>
          <t>B22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C22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D22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E22</t>
        </is>
      </c>
      <c r="C128" s="8" t="inlineStr">
        <is>
          <t>11f. Fees for services: investment management</t>
        </is>
      </c>
      <c r="D128" s="8" t="inlineStr">
        <is>
          <t>11f</t>
        </is>
      </c>
      <c r="E128" s="8" t="inlineStr">
        <is>
          <t>part_ix_expenses.fees_investment_mgmt</t>
        </is>
      </c>
      <c r="F128" s="8" t="inlineStr">
        <is>
          <t>high</t>
        </is>
      </c>
      <c r="G128" s="9" t="n">
        <v>0</v>
      </c>
    </row>
    <row r="129">
      <c r="A129" s="8" t="inlineStr">
        <is>
          <t>Operating expenses (detail)</t>
        </is>
      </c>
      <c r="B129" s="8" t="inlineStr">
        <is>
          <t>F22</t>
        </is>
      </c>
      <c r="C129" s="8" t="inlineStr">
        <is>
          <t>11f. Fees for services: investment management</t>
        </is>
      </c>
      <c r="D129" s="8" t="inlineStr">
        <is>
          <t>11f</t>
        </is>
      </c>
      <c r="E129" s="8" t="inlineStr">
        <is>
          <t>part_ix_expenses.fees_investment_mgmt</t>
        </is>
      </c>
      <c r="F129" s="8" t="inlineStr">
        <is>
          <t>high</t>
        </is>
      </c>
      <c r="G129" s="9" t="n">
        <v>0</v>
      </c>
    </row>
    <row r="130">
      <c r="A130" s="8" t="inlineStr">
        <is>
          <t>Operating expenses (detail)</t>
        </is>
      </c>
      <c r="B130" s="8" t="inlineStr">
        <is>
          <t>B23</t>
        </is>
      </c>
      <c r="C130" s="8" t="inlineStr">
        <is>
          <t>11g. Fees for services: other</t>
        </is>
      </c>
      <c r="D130" s="8" t="inlineStr">
        <is>
          <t>11g</t>
        </is>
      </c>
      <c r="E130" s="8" t="inlineStr">
        <is>
          <t>part_ix_expenses.fees_other</t>
        </is>
      </c>
      <c r="F130" s="8" t="inlineStr">
        <is>
          <t>high</t>
        </is>
      </c>
      <c r="G130" s="9" t="n">
        <v>78822</v>
      </c>
    </row>
    <row r="131">
      <c r="A131" s="8" t="inlineStr">
        <is>
          <t>Operating expenses (detail)</t>
        </is>
      </c>
      <c r="B131" s="8" t="inlineStr">
        <is>
          <t>C23</t>
        </is>
      </c>
      <c r="C131" s="8" t="inlineStr">
        <is>
          <t>11g. Fees for services: other</t>
        </is>
      </c>
      <c r="D131" s="8" t="inlineStr">
        <is>
          <t>11g</t>
        </is>
      </c>
      <c r="E131" s="8" t="inlineStr">
        <is>
          <t>part_ix_expenses.fees_other</t>
        </is>
      </c>
      <c r="F131" s="8" t="inlineStr">
        <is>
          <t>high</t>
        </is>
      </c>
      <c r="G131" s="9" t="n">
        <v>68193</v>
      </c>
    </row>
    <row r="132">
      <c r="A132" s="8" t="inlineStr">
        <is>
          <t>Operating expenses (detail)</t>
        </is>
      </c>
      <c r="B132" s="8" t="inlineStr">
        <is>
          <t>D23</t>
        </is>
      </c>
      <c r="C132" s="8" t="inlineStr">
        <is>
          <t>11g. Fees for services: other</t>
        </is>
      </c>
      <c r="D132" s="8" t="inlineStr">
        <is>
          <t>11g</t>
        </is>
      </c>
      <c r="E132" s="8" t="inlineStr">
        <is>
          <t>part_ix_expenses.fees_other</t>
        </is>
      </c>
      <c r="F132" s="8" t="inlineStr">
        <is>
          <t>high</t>
        </is>
      </c>
      <c r="G132" s="9" t="n">
        <v>67704</v>
      </c>
    </row>
    <row r="133">
      <c r="A133" s="8" t="inlineStr">
        <is>
          <t>Operating expenses (detail)</t>
        </is>
      </c>
      <c r="B133" s="8" t="inlineStr">
        <is>
          <t>E23</t>
        </is>
      </c>
      <c r="C133" s="8" t="inlineStr">
        <is>
          <t>11g. Fees for services: other</t>
        </is>
      </c>
      <c r="D133" s="8" t="inlineStr">
        <is>
          <t>11g</t>
        </is>
      </c>
      <c r="E133" s="8" t="inlineStr">
        <is>
          <t>part_ix_expenses.fees_other</t>
        </is>
      </c>
      <c r="F133" s="8" t="inlineStr">
        <is>
          <t>high</t>
        </is>
      </c>
      <c r="G133" s="9" t="n">
        <v>89113</v>
      </c>
    </row>
    <row r="134">
      <c r="A134" s="8" t="inlineStr">
        <is>
          <t>Operating expenses (detail)</t>
        </is>
      </c>
      <c r="B134" s="8" t="inlineStr">
        <is>
          <t>F23</t>
        </is>
      </c>
      <c r="C134" s="8" t="inlineStr">
        <is>
          <t>11g. Fees for services: other</t>
        </is>
      </c>
      <c r="D134" s="8" t="inlineStr">
        <is>
          <t>11g</t>
        </is>
      </c>
      <c r="E134" s="8" t="inlineStr">
        <is>
          <t>part_ix_expenses.fees_other</t>
        </is>
      </c>
      <c r="F134" s="8" t="inlineStr">
        <is>
          <t>high</t>
        </is>
      </c>
      <c r="G134" s="9" t="n">
        <v>101449</v>
      </c>
    </row>
    <row r="135">
      <c r="A135" s="8" t="inlineStr">
        <is>
          <t>Operating expenses (detail)</t>
        </is>
      </c>
      <c r="B135" s="8" t="inlineStr">
        <is>
          <t>B24</t>
        </is>
      </c>
      <c r="C135" s="8" t="inlineStr">
        <is>
          <t>12. Advertising and promotion</t>
        </is>
      </c>
      <c r="D135" s="8" t="inlineStr">
        <is>
          <t>12</t>
        </is>
      </c>
      <c r="E135" s="8" t="inlineStr">
        <is>
          <t>part_ix_expenses.advertising</t>
        </is>
      </c>
      <c r="F135" s="8" t="inlineStr">
        <is>
          <t>high</t>
        </is>
      </c>
      <c r="G135" s="9" t="n">
        <v>0</v>
      </c>
    </row>
    <row r="136">
      <c r="A136" s="8" t="inlineStr">
        <is>
          <t>Operating expenses (detail)</t>
        </is>
      </c>
      <c r="B136" s="8" t="inlineStr">
        <is>
          <t>C24</t>
        </is>
      </c>
      <c r="C136" s="8" t="inlineStr">
        <is>
          <t>12. Advertising and promotion</t>
        </is>
      </c>
      <c r="D136" s="8" t="inlineStr">
        <is>
          <t>12</t>
        </is>
      </c>
      <c r="E136" s="8" t="inlineStr">
        <is>
          <t>part_ix_expenses.advertising</t>
        </is>
      </c>
      <c r="F136" s="8" t="inlineStr">
        <is>
          <t>high</t>
        </is>
      </c>
      <c r="G136" s="9" t="n">
        <v>0</v>
      </c>
    </row>
    <row r="137">
      <c r="A137" s="8" t="inlineStr">
        <is>
          <t>Operating expenses (detail)</t>
        </is>
      </c>
      <c r="B137" s="8" t="inlineStr">
        <is>
          <t>D24</t>
        </is>
      </c>
      <c r="C137" s="8" t="inlineStr">
        <is>
          <t>12. Advertising and promotion</t>
        </is>
      </c>
      <c r="D137" s="8" t="inlineStr">
        <is>
          <t>12</t>
        </is>
      </c>
      <c r="E137" s="8" t="inlineStr">
        <is>
          <t>part_ix_expenses.advertising</t>
        </is>
      </c>
      <c r="F137" s="8" t="inlineStr">
        <is>
          <t>high</t>
        </is>
      </c>
      <c r="G137" s="9" t="n">
        <v>0</v>
      </c>
    </row>
    <row r="138">
      <c r="A138" s="8" t="inlineStr">
        <is>
          <t>Operating expenses (detail)</t>
        </is>
      </c>
      <c r="B138" s="8" t="inlineStr">
        <is>
          <t>E24</t>
        </is>
      </c>
      <c r="C138" s="8" t="inlineStr">
        <is>
          <t>12. Advertising and promotion</t>
        </is>
      </c>
      <c r="D138" s="8" t="inlineStr">
        <is>
          <t>12</t>
        </is>
      </c>
      <c r="E138" s="8" t="inlineStr">
        <is>
          <t>part_ix_expenses.advertising</t>
        </is>
      </c>
      <c r="F138" s="8" t="inlineStr">
        <is>
          <t>high</t>
        </is>
      </c>
      <c r="G138" s="9" t="n">
        <v>0</v>
      </c>
    </row>
    <row r="139">
      <c r="A139" s="8" t="inlineStr">
        <is>
          <t>Operating expenses (detail)</t>
        </is>
      </c>
      <c r="B139" s="8" t="inlineStr">
        <is>
          <t>F24</t>
        </is>
      </c>
      <c r="C139" s="8" t="inlineStr">
        <is>
          <t>12. Advertising and promotion</t>
        </is>
      </c>
      <c r="D139" s="8" t="inlineStr">
        <is>
          <t>12</t>
        </is>
      </c>
      <c r="E139" s="8" t="inlineStr">
        <is>
          <t>part_ix_expenses.advertising</t>
        </is>
      </c>
      <c r="F139" s="8" t="inlineStr">
        <is>
          <t>high</t>
        </is>
      </c>
      <c r="G139" s="9" t="n">
        <v>0</v>
      </c>
    </row>
    <row r="140">
      <c r="A140" s="8" t="inlineStr">
        <is>
          <t>Operating expenses (detail)</t>
        </is>
      </c>
      <c r="B140" s="8" t="inlineStr">
        <is>
          <t>B25</t>
        </is>
      </c>
      <c r="C140" s="8" t="inlineStr">
        <is>
          <t>13. Office expenses</t>
        </is>
      </c>
      <c r="D140" s="8" t="inlineStr">
        <is>
          <t>13</t>
        </is>
      </c>
      <c r="E140" s="8" t="inlineStr">
        <is>
          <t>part_ix_expenses.office_expenses</t>
        </is>
      </c>
      <c r="F140" s="8" t="inlineStr">
        <is>
          <t>high</t>
        </is>
      </c>
      <c r="G140" s="9" t="n">
        <v>10498</v>
      </c>
    </row>
    <row r="141">
      <c r="A141" s="8" t="inlineStr">
        <is>
          <t>Operating expenses (detail)</t>
        </is>
      </c>
      <c r="B141" s="8" t="inlineStr">
        <is>
          <t>C25</t>
        </is>
      </c>
      <c r="C141" s="8" t="inlineStr">
        <is>
          <t>13. Office expenses</t>
        </is>
      </c>
      <c r="D141" s="8" t="inlineStr">
        <is>
          <t>13</t>
        </is>
      </c>
      <c r="E141" s="8" t="inlineStr">
        <is>
          <t>part_ix_expenses.office_expenses</t>
        </is>
      </c>
      <c r="F141" s="8" t="inlineStr">
        <is>
          <t>high</t>
        </is>
      </c>
      <c r="G141" s="9" t="n">
        <v>15583</v>
      </c>
    </row>
    <row r="142">
      <c r="A142" s="8" t="inlineStr">
        <is>
          <t>Operating expenses (detail)</t>
        </is>
      </c>
      <c r="B142" s="8" t="inlineStr">
        <is>
          <t>D25</t>
        </is>
      </c>
      <c r="C142" s="8" t="inlineStr">
        <is>
          <t>13. Office expenses</t>
        </is>
      </c>
      <c r="D142" s="8" t="inlineStr">
        <is>
          <t>13</t>
        </is>
      </c>
      <c r="E142" s="8" t="inlineStr">
        <is>
          <t>part_ix_expenses.office_expenses</t>
        </is>
      </c>
      <c r="F142" s="8" t="inlineStr">
        <is>
          <t>high</t>
        </is>
      </c>
      <c r="G142" s="9" t="n">
        <v>12165</v>
      </c>
    </row>
    <row r="143">
      <c r="A143" s="8" t="inlineStr">
        <is>
          <t>Operating expenses (detail)</t>
        </is>
      </c>
      <c r="B143" s="8" t="inlineStr">
        <is>
          <t>E25</t>
        </is>
      </c>
      <c r="C143" s="8" t="inlineStr">
        <is>
          <t>13. Office expenses</t>
        </is>
      </c>
      <c r="D143" s="8" t="inlineStr">
        <is>
          <t>13</t>
        </is>
      </c>
      <c r="E143" s="8" t="inlineStr">
        <is>
          <t>part_ix_expenses.office_expenses</t>
        </is>
      </c>
      <c r="F143" s="8" t="inlineStr">
        <is>
          <t>high</t>
        </is>
      </c>
      <c r="G143" s="9" t="n">
        <v>12500</v>
      </c>
    </row>
    <row r="144">
      <c r="A144" s="8" t="inlineStr">
        <is>
          <t>Operating expenses (detail)</t>
        </is>
      </c>
      <c r="B144" s="8" t="inlineStr">
        <is>
          <t>F25</t>
        </is>
      </c>
      <c r="C144" s="8" t="inlineStr">
        <is>
          <t>13. Office expenses</t>
        </is>
      </c>
      <c r="D144" s="8" t="inlineStr">
        <is>
          <t>13</t>
        </is>
      </c>
      <c r="E144" s="8" t="inlineStr">
        <is>
          <t>part_ix_expenses.office_expenses</t>
        </is>
      </c>
      <c r="F144" s="8" t="inlineStr">
        <is>
          <t>high</t>
        </is>
      </c>
      <c r="G144" s="9" t="n">
        <v>10655</v>
      </c>
    </row>
    <row r="145">
      <c r="A145" s="8" t="inlineStr">
        <is>
          <t>Operating expenses (detail)</t>
        </is>
      </c>
      <c r="B145" s="8" t="inlineStr">
        <is>
          <t>B26</t>
        </is>
      </c>
      <c r="C145" s="8" t="inlineStr">
        <is>
          <t>14. Information technology</t>
        </is>
      </c>
      <c r="D145" s="8" t="inlineStr">
        <is>
          <t>14</t>
        </is>
      </c>
      <c r="E145" s="8" t="inlineStr">
        <is>
          <t>part_ix_expenses.information_technology</t>
        </is>
      </c>
      <c r="F145" s="8" t="inlineStr">
        <is>
          <t>high</t>
        </is>
      </c>
      <c r="G145" s="9" t="n">
        <v>0</v>
      </c>
    </row>
    <row r="146">
      <c r="A146" s="8" t="inlineStr">
        <is>
          <t>Operating expenses (detail)</t>
        </is>
      </c>
      <c r="B146" s="8" t="inlineStr">
        <is>
          <t>C26</t>
        </is>
      </c>
      <c r="C146" s="8" t="inlineStr">
        <is>
          <t>14. Information technology</t>
        </is>
      </c>
      <c r="D146" s="8" t="inlineStr">
        <is>
          <t>14</t>
        </is>
      </c>
      <c r="E146" s="8" t="inlineStr">
        <is>
          <t>part_ix_expenses.information_technology</t>
        </is>
      </c>
      <c r="F146" s="8" t="inlineStr">
        <is>
          <t>high</t>
        </is>
      </c>
      <c r="G146" s="9" t="n">
        <v>0</v>
      </c>
    </row>
    <row r="147">
      <c r="A147" s="8" t="inlineStr">
        <is>
          <t>Operating expenses (detail)</t>
        </is>
      </c>
      <c r="B147" s="8" t="inlineStr">
        <is>
          <t>D26</t>
        </is>
      </c>
      <c r="C147" s="8" t="inlineStr">
        <is>
          <t>14. Information technology</t>
        </is>
      </c>
      <c r="D147" s="8" t="inlineStr">
        <is>
          <t>14</t>
        </is>
      </c>
      <c r="E147" s="8" t="inlineStr">
        <is>
          <t>part_ix_expenses.information_technology</t>
        </is>
      </c>
      <c r="F147" s="8" t="inlineStr">
        <is>
          <t>high</t>
        </is>
      </c>
      <c r="G147" s="9" t="n">
        <v>0</v>
      </c>
    </row>
    <row r="148">
      <c r="A148" s="8" t="inlineStr">
        <is>
          <t>Operating expenses (detail)</t>
        </is>
      </c>
      <c r="B148" s="8" t="inlineStr">
        <is>
          <t>E26</t>
        </is>
      </c>
      <c r="C148" s="8" t="inlineStr">
        <is>
          <t>14. Information technology</t>
        </is>
      </c>
      <c r="D148" s="8" t="inlineStr">
        <is>
          <t>14</t>
        </is>
      </c>
      <c r="E148" s="8" t="inlineStr">
        <is>
          <t>part_ix_expenses.information_technology</t>
        </is>
      </c>
      <c r="F148" s="8" t="inlineStr">
        <is>
          <t>high</t>
        </is>
      </c>
      <c r="G148" s="9" t="n">
        <v>0</v>
      </c>
    </row>
    <row r="149">
      <c r="A149" s="8" t="inlineStr">
        <is>
          <t>Operating expenses (detail)</t>
        </is>
      </c>
      <c r="B149" s="8" t="inlineStr">
        <is>
          <t>F26</t>
        </is>
      </c>
      <c r="C149" s="8" t="inlineStr">
        <is>
          <t>14. Information technology</t>
        </is>
      </c>
      <c r="D149" s="8" t="inlineStr">
        <is>
          <t>14</t>
        </is>
      </c>
      <c r="E149" s="8" t="inlineStr">
        <is>
          <t>part_ix_expenses.information_technology</t>
        </is>
      </c>
      <c r="F149" s="8" t="inlineStr">
        <is>
          <t>high</t>
        </is>
      </c>
      <c r="G149" s="9" t="n">
        <v>0</v>
      </c>
    </row>
    <row r="150">
      <c r="A150" s="8" t="inlineStr">
        <is>
          <t>Operating expenses (detail)</t>
        </is>
      </c>
      <c r="B150" s="8" t="inlineStr">
        <is>
          <t>B27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C27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D27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E27</t>
        </is>
      </c>
      <c r="C153" s="8" t="inlineStr">
        <is>
          <t>15. Royalties</t>
        </is>
      </c>
      <c r="D153" s="8" t="inlineStr">
        <is>
          <t>15</t>
        </is>
      </c>
      <c r="E153" s="8" t="inlineStr">
        <is>
          <t>part_ix_expenses.royalties</t>
        </is>
      </c>
      <c r="F153" s="8" t="inlineStr">
        <is>
          <t>high</t>
        </is>
      </c>
      <c r="G153" s="9" t="n">
        <v>0</v>
      </c>
    </row>
    <row r="154">
      <c r="A154" s="8" t="inlineStr">
        <is>
          <t>Operating expenses (detail)</t>
        </is>
      </c>
      <c r="B154" s="8" t="inlineStr">
        <is>
          <t>F27</t>
        </is>
      </c>
      <c r="C154" s="8" t="inlineStr">
        <is>
          <t>15. Royalties</t>
        </is>
      </c>
      <c r="D154" s="8" t="inlineStr">
        <is>
          <t>15</t>
        </is>
      </c>
      <c r="E154" s="8" t="inlineStr">
        <is>
          <t>part_ix_expenses.royalties</t>
        </is>
      </c>
      <c r="F154" s="8" t="inlineStr">
        <is>
          <t>high</t>
        </is>
      </c>
      <c r="G154" s="9" t="n">
        <v>0</v>
      </c>
    </row>
    <row r="155">
      <c r="A155" s="8" t="inlineStr">
        <is>
          <t>Operating expenses (detail)</t>
        </is>
      </c>
      <c r="B155" s="8" t="inlineStr">
        <is>
          <t>B28</t>
        </is>
      </c>
      <c r="C155" s="8" t="inlineStr">
        <is>
          <t>16. Occupancy</t>
        </is>
      </c>
      <c r="D155" s="8" t="inlineStr">
        <is>
          <t>16</t>
        </is>
      </c>
      <c r="E155" s="8" t="inlineStr">
        <is>
          <t>part_ix_expenses.occupancy</t>
        </is>
      </c>
      <c r="F155" s="8" t="inlineStr">
        <is>
          <t>high</t>
        </is>
      </c>
      <c r="G155" s="9" t="n">
        <v>0</v>
      </c>
    </row>
    <row r="156">
      <c r="A156" s="8" t="inlineStr">
        <is>
          <t>Operating expenses (detail)</t>
        </is>
      </c>
      <c r="B156" s="8" t="inlineStr">
        <is>
          <t>C28</t>
        </is>
      </c>
      <c r="C156" s="8" t="inlineStr">
        <is>
          <t>16. Occupancy</t>
        </is>
      </c>
      <c r="D156" s="8" t="inlineStr">
        <is>
          <t>16</t>
        </is>
      </c>
      <c r="E156" s="8" t="inlineStr">
        <is>
          <t>part_ix_expenses.occupancy</t>
        </is>
      </c>
      <c r="F156" s="8" t="inlineStr">
        <is>
          <t>high</t>
        </is>
      </c>
      <c r="G156" s="9" t="n">
        <v>0</v>
      </c>
    </row>
    <row r="157">
      <c r="A157" s="8" t="inlineStr">
        <is>
          <t>Operating expenses (detail)</t>
        </is>
      </c>
      <c r="B157" s="8" t="inlineStr">
        <is>
          <t>D28</t>
        </is>
      </c>
      <c r="C157" s="8" t="inlineStr">
        <is>
          <t>16. Occupancy</t>
        </is>
      </c>
      <c r="D157" s="8" t="inlineStr">
        <is>
          <t>16</t>
        </is>
      </c>
      <c r="E157" s="8" t="inlineStr">
        <is>
          <t>part_ix_expenses.occupancy</t>
        </is>
      </c>
      <c r="F157" s="8" t="inlineStr">
        <is>
          <t>high</t>
        </is>
      </c>
      <c r="G157" s="9" t="n">
        <v>0</v>
      </c>
    </row>
    <row r="158">
      <c r="A158" s="8" t="inlineStr">
        <is>
          <t>Operating expenses (detail)</t>
        </is>
      </c>
      <c r="B158" s="8" t="inlineStr">
        <is>
          <t>E28</t>
        </is>
      </c>
      <c r="C158" s="8" t="inlineStr">
        <is>
          <t>16. Occupancy</t>
        </is>
      </c>
      <c r="D158" s="8" t="inlineStr">
        <is>
          <t>16</t>
        </is>
      </c>
      <c r="E158" s="8" t="inlineStr">
        <is>
          <t>part_ix_expenses.occupancy</t>
        </is>
      </c>
      <c r="F158" s="8" t="inlineStr">
        <is>
          <t>high</t>
        </is>
      </c>
      <c r="G158" s="9" t="n">
        <v>0</v>
      </c>
    </row>
    <row r="159">
      <c r="A159" s="8" t="inlineStr">
        <is>
          <t>Operating expenses (detail)</t>
        </is>
      </c>
      <c r="B159" s="8" t="inlineStr">
        <is>
          <t>F28</t>
        </is>
      </c>
      <c r="C159" s="8" t="inlineStr">
        <is>
          <t>16. Occupancy</t>
        </is>
      </c>
      <c r="D159" s="8" t="inlineStr">
        <is>
          <t>16</t>
        </is>
      </c>
      <c r="E159" s="8" t="inlineStr">
        <is>
          <t>part_ix_expenses.occupancy</t>
        </is>
      </c>
      <c r="F159" s="8" t="inlineStr">
        <is>
          <t>high</t>
        </is>
      </c>
      <c r="G159" s="9" t="n">
        <v>0</v>
      </c>
    </row>
    <row r="160">
      <c r="A160" s="8" t="inlineStr">
        <is>
          <t>Operating expenses (detail)</t>
        </is>
      </c>
      <c r="B160" s="8" t="inlineStr">
        <is>
          <t>B29</t>
        </is>
      </c>
      <c r="C160" s="8" t="inlineStr">
        <is>
          <t>17. Travel</t>
        </is>
      </c>
      <c r="D160" s="8" t="inlineStr">
        <is>
          <t>17</t>
        </is>
      </c>
      <c r="E160" s="8" t="inlineStr">
        <is>
          <t>part_ix_expenses.travel</t>
        </is>
      </c>
      <c r="F160" s="8" t="inlineStr">
        <is>
          <t>high</t>
        </is>
      </c>
      <c r="G160" s="9" t="n">
        <v>0</v>
      </c>
    </row>
    <row r="161">
      <c r="A161" s="8" t="inlineStr">
        <is>
          <t>Operating expenses (detail)</t>
        </is>
      </c>
      <c r="B161" s="8" t="inlineStr">
        <is>
          <t>C29</t>
        </is>
      </c>
      <c r="C161" s="8" t="inlineStr">
        <is>
          <t>17. Travel</t>
        </is>
      </c>
      <c r="D161" s="8" t="inlineStr">
        <is>
          <t>17</t>
        </is>
      </c>
      <c r="E161" s="8" t="inlineStr">
        <is>
          <t>part_ix_expenses.travel</t>
        </is>
      </c>
      <c r="F161" s="8" t="inlineStr">
        <is>
          <t>high</t>
        </is>
      </c>
      <c r="G161" s="9" t="n">
        <v>0</v>
      </c>
    </row>
    <row r="162">
      <c r="A162" s="8" t="inlineStr">
        <is>
          <t>Operating expenses (detail)</t>
        </is>
      </c>
      <c r="B162" s="8" t="inlineStr">
        <is>
          <t>D29</t>
        </is>
      </c>
      <c r="C162" s="8" t="inlineStr">
        <is>
          <t>17. Travel</t>
        </is>
      </c>
      <c r="D162" s="8" t="inlineStr">
        <is>
          <t>17</t>
        </is>
      </c>
      <c r="E162" s="8" t="inlineStr">
        <is>
          <t>part_ix_expenses.travel</t>
        </is>
      </c>
      <c r="F162" s="8" t="inlineStr">
        <is>
          <t>high</t>
        </is>
      </c>
      <c r="G162" s="9" t="n">
        <v>100</v>
      </c>
    </row>
    <row r="163">
      <c r="A163" s="8" t="inlineStr">
        <is>
          <t>Operating expenses (detail)</t>
        </is>
      </c>
      <c r="B163" s="8" t="inlineStr">
        <is>
          <t>E29</t>
        </is>
      </c>
      <c r="C163" s="8" t="inlineStr">
        <is>
          <t>17. Travel</t>
        </is>
      </c>
      <c r="D163" s="8" t="inlineStr">
        <is>
          <t>17</t>
        </is>
      </c>
      <c r="E163" s="8" t="inlineStr">
        <is>
          <t>part_ix_expenses.travel</t>
        </is>
      </c>
      <c r="F163" s="8" t="inlineStr">
        <is>
          <t>high</t>
        </is>
      </c>
      <c r="G163" s="9" t="n">
        <v>0</v>
      </c>
    </row>
    <row r="164">
      <c r="A164" s="8" t="inlineStr">
        <is>
          <t>Operating expenses (detail)</t>
        </is>
      </c>
      <c r="B164" s="8" t="inlineStr">
        <is>
          <t>F29</t>
        </is>
      </c>
      <c r="C164" s="8" t="inlineStr">
        <is>
          <t>17. Travel</t>
        </is>
      </c>
      <c r="D164" s="8" t="inlineStr">
        <is>
          <t>17</t>
        </is>
      </c>
      <c r="E164" s="8" t="inlineStr">
        <is>
          <t>part_ix_expenses.travel</t>
        </is>
      </c>
      <c r="F164" s="8" t="inlineStr">
        <is>
          <t>high</t>
        </is>
      </c>
      <c r="G164" s="9" t="n">
        <v>0</v>
      </c>
    </row>
    <row r="165">
      <c r="A165" s="8" t="inlineStr">
        <is>
          <t>Operating expenses (detail)</t>
        </is>
      </c>
      <c r="B165" s="8" t="inlineStr">
        <is>
          <t>B30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C30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D30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E30</t>
        </is>
      </c>
      <c r="C168" s="8" t="inlineStr">
        <is>
          <t>18. Payments of travel/entertainment for public officials</t>
        </is>
      </c>
      <c r="D168" s="8" t="inlineStr">
        <is>
          <t>18</t>
        </is>
      </c>
      <c r="E168" s="8" t="inlineStr">
        <is>
          <t>part_ix_expenses.travel_entertainment_public_officials</t>
        </is>
      </c>
      <c r="F168" s="8" t="inlineStr">
        <is>
          <t>high</t>
        </is>
      </c>
      <c r="G168" s="9" t="n">
        <v>0</v>
      </c>
    </row>
    <row r="169">
      <c r="A169" s="8" t="inlineStr">
        <is>
          <t>Operating expenses (detail)</t>
        </is>
      </c>
      <c r="B169" s="8" t="inlineStr">
        <is>
          <t>F30</t>
        </is>
      </c>
      <c r="C169" s="8" t="inlineStr">
        <is>
          <t>18. Payments of travel/entertainment for public officials</t>
        </is>
      </c>
      <c r="D169" s="8" t="inlineStr">
        <is>
          <t>18</t>
        </is>
      </c>
      <c r="E169" s="8" t="inlineStr">
        <is>
          <t>part_ix_expenses.travel_entertainment_public_officials</t>
        </is>
      </c>
      <c r="F169" s="8" t="inlineStr">
        <is>
          <t>high</t>
        </is>
      </c>
      <c r="G169" s="9" t="n">
        <v>0</v>
      </c>
    </row>
    <row r="170">
      <c r="A170" s="8" t="inlineStr">
        <is>
          <t>Operating expenses (detail)</t>
        </is>
      </c>
      <c r="B170" s="8" t="inlineStr">
        <is>
          <t>B31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C31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D31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E31</t>
        </is>
      </c>
      <c r="C173" s="8" t="inlineStr">
        <is>
          <t>19. Conferences, conventions, and meetings</t>
        </is>
      </c>
      <c r="D173" s="8" t="inlineStr">
        <is>
          <t>19</t>
        </is>
      </c>
      <c r="E173" s="8" t="inlineStr">
        <is>
          <t>part_ix_expenses.conferences_conventions_meetings</t>
        </is>
      </c>
      <c r="F173" s="8" t="inlineStr">
        <is>
          <t>high</t>
        </is>
      </c>
      <c r="G173" s="9" t="n">
        <v>240</v>
      </c>
    </row>
    <row r="174">
      <c r="A174" s="8" t="inlineStr">
        <is>
          <t>Operating expenses (detail)</t>
        </is>
      </c>
      <c r="B174" s="8" t="inlineStr">
        <is>
          <t>F31</t>
        </is>
      </c>
      <c r="C174" s="8" t="inlineStr">
        <is>
          <t>19. Conferences, conventions, and meetings</t>
        </is>
      </c>
      <c r="D174" s="8" t="inlineStr">
        <is>
          <t>19</t>
        </is>
      </c>
      <c r="E174" s="8" t="inlineStr">
        <is>
          <t>part_ix_expenses.conferences_conventions_meetings</t>
        </is>
      </c>
      <c r="F174" s="8" t="inlineStr">
        <is>
          <t>high</t>
        </is>
      </c>
      <c r="G174" s="9" t="n">
        <v>0</v>
      </c>
    </row>
    <row r="175">
      <c r="A175" s="8" t="inlineStr">
        <is>
          <t>Operating expenses (detail)</t>
        </is>
      </c>
      <c r="B175" s="8" t="inlineStr">
        <is>
          <t>B32</t>
        </is>
      </c>
      <c r="C175" s="8" t="inlineStr">
        <is>
          <t>20. Interest</t>
        </is>
      </c>
      <c r="D175" s="8" t="inlineStr">
        <is>
          <t>20</t>
        </is>
      </c>
      <c r="E175" s="8" t="inlineStr">
        <is>
          <t>part_ix_expenses.interest</t>
        </is>
      </c>
      <c r="F175" s="8" t="inlineStr">
        <is>
          <t>high</t>
        </is>
      </c>
      <c r="G175" s="9" t="n">
        <v>9167</v>
      </c>
    </row>
    <row r="176">
      <c r="A176" s="8" t="inlineStr">
        <is>
          <t>Operating expenses (detail)</t>
        </is>
      </c>
      <c r="B176" s="8" t="inlineStr">
        <is>
          <t>C32</t>
        </is>
      </c>
      <c r="C176" s="8" t="inlineStr">
        <is>
          <t>20. Interest</t>
        </is>
      </c>
      <c r="D176" s="8" t="inlineStr">
        <is>
          <t>20</t>
        </is>
      </c>
      <c r="E176" s="8" t="inlineStr">
        <is>
          <t>part_ix_expenses.interest</t>
        </is>
      </c>
      <c r="F176" s="8" t="inlineStr">
        <is>
          <t>high</t>
        </is>
      </c>
      <c r="G176" s="9" t="n">
        <v>9294</v>
      </c>
    </row>
    <row r="177">
      <c r="A177" s="8" t="inlineStr">
        <is>
          <t>Operating expenses (detail)</t>
        </is>
      </c>
      <c r="B177" s="8" t="inlineStr">
        <is>
          <t>D32</t>
        </is>
      </c>
      <c r="C177" s="8" t="inlineStr">
        <is>
          <t>20. Interest</t>
        </is>
      </c>
      <c r="D177" s="8" t="inlineStr">
        <is>
          <t>20</t>
        </is>
      </c>
      <c r="E177" s="8" t="inlineStr">
        <is>
          <t>part_ix_expenses.interest</t>
        </is>
      </c>
      <c r="F177" s="8" t="inlineStr">
        <is>
          <t>high</t>
        </is>
      </c>
      <c r="G177" s="9" t="n">
        <v>21781</v>
      </c>
    </row>
    <row r="178">
      <c r="A178" s="8" t="inlineStr">
        <is>
          <t>Operating expenses (detail)</t>
        </is>
      </c>
      <c r="B178" s="8" t="inlineStr">
        <is>
          <t>E32</t>
        </is>
      </c>
      <c r="C178" s="8" t="inlineStr">
        <is>
          <t>20. Interest</t>
        </is>
      </c>
      <c r="D178" s="8" t="inlineStr">
        <is>
          <t>20</t>
        </is>
      </c>
      <c r="E178" s="8" t="inlineStr">
        <is>
          <t>part_ix_expenses.interest</t>
        </is>
      </c>
      <c r="F178" s="8" t="inlineStr">
        <is>
          <t>high</t>
        </is>
      </c>
      <c r="G178" s="9" t="n">
        <v>32222</v>
      </c>
    </row>
    <row r="179">
      <c r="A179" s="8" t="inlineStr">
        <is>
          <t>Operating expenses (detail)</t>
        </is>
      </c>
      <c r="B179" s="8" t="inlineStr">
        <is>
          <t>F32</t>
        </is>
      </c>
      <c r="C179" s="8" t="inlineStr">
        <is>
          <t>20. Interest</t>
        </is>
      </c>
      <c r="D179" s="8" t="inlineStr">
        <is>
          <t>20</t>
        </is>
      </c>
      <c r="E179" s="8" t="inlineStr">
        <is>
          <t>part_ix_expenses.interest</t>
        </is>
      </c>
      <c r="F179" s="8" t="inlineStr">
        <is>
          <t>high</t>
        </is>
      </c>
      <c r="G179" s="9" t="n">
        <v>23816</v>
      </c>
    </row>
    <row r="180">
      <c r="A180" s="8" t="inlineStr">
        <is>
          <t>Operating expenses (detail)</t>
        </is>
      </c>
      <c r="B180" s="8" t="inlineStr">
        <is>
          <t>B33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C33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D33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E33</t>
        </is>
      </c>
      <c r="C183" s="8" t="inlineStr">
        <is>
          <t>21. Payments to affiliates</t>
        </is>
      </c>
      <c r="D183" s="8" t="inlineStr">
        <is>
          <t>21</t>
        </is>
      </c>
      <c r="E183" s="8" t="inlineStr">
        <is>
          <t>part_ix_expenses.payments_to_affiliates</t>
        </is>
      </c>
      <c r="F183" s="8" t="inlineStr">
        <is>
          <t>high</t>
        </is>
      </c>
      <c r="G183" s="9" t="n">
        <v>0</v>
      </c>
    </row>
    <row r="184">
      <c r="A184" s="8" t="inlineStr">
        <is>
          <t>Operating expenses (detail)</t>
        </is>
      </c>
      <c r="B184" s="8" t="inlineStr">
        <is>
          <t>F33</t>
        </is>
      </c>
      <c r="C184" s="8" t="inlineStr">
        <is>
          <t>21. Payments to affiliates</t>
        </is>
      </c>
      <c r="D184" s="8" t="inlineStr">
        <is>
          <t>21</t>
        </is>
      </c>
      <c r="E184" s="8" t="inlineStr">
        <is>
          <t>part_ix_expenses.payments_to_affiliates</t>
        </is>
      </c>
      <c r="F184" s="8" t="inlineStr">
        <is>
          <t>high</t>
        </is>
      </c>
      <c r="G184" s="9" t="n">
        <v>0</v>
      </c>
    </row>
    <row r="185">
      <c r="A185" s="8" t="inlineStr">
        <is>
          <t>Operating expenses (detail)</t>
        </is>
      </c>
      <c r="B185" s="8" t="inlineStr">
        <is>
          <t>B34</t>
        </is>
      </c>
      <c r="C185" s="8" t="inlineStr">
        <is>
          <t>22. Depreciation, depletion, and amortization</t>
        </is>
      </c>
      <c r="D185" s="8" t="inlineStr">
        <is>
          <t>22</t>
        </is>
      </c>
      <c r="E185" s="8" t="inlineStr">
        <is>
          <t>part_ix_expenses.depreciation</t>
        </is>
      </c>
      <c r="F185" s="8" t="inlineStr">
        <is>
          <t>high</t>
        </is>
      </c>
      <c r="G185" s="9" t="n">
        <v>109605</v>
      </c>
    </row>
    <row r="186">
      <c r="A186" s="8" t="inlineStr">
        <is>
          <t>Operating expenses (detail)</t>
        </is>
      </c>
      <c r="B186" s="8" t="inlineStr">
        <is>
          <t>C34</t>
        </is>
      </c>
      <c r="C186" s="8" t="inlineStr">
        <is>
          <t>22. Depreciation, depletion, and amortization</t>
        </is>
      </c>
      <c r="D186" s="8" t="inlineStr">
        <is>
          <t>22</t>
        </is>
      </c>
      <c r="E186" s="8" t="inlineStr">
        <is>
          <t>part_ix_expenses.depreciation</t>
        </is>
      </c>
      <c r="F186" s="8" t="inlineStr">
        <is>
          <t>high</t>
        </is>
      </c>
      <c r="G186" s="9" t="n">
        <v>110451</v>
      </c>
    </row>
    <row r="187">
      <c r="A187" s="8" t="inlineStr">
        <is>
          <t>Operating expenses (detail)</t>
        </is>
      </c>
      <c r="B187" s="8" t="inlineStr">
        <is>
          <t>D34</t>
        </is>
      </c>
      <c r="C187" s="8" t="inlineStr">
        <is>
          <t>22. Depreciation, depletion, and amortization</t>
        </is>
      </c>
      <c r="D187" s="8" t="inlineStr">
        <is>
          <t>22</t>
        </is>
      </c>
      <c r="E187" s="8" t="inlineStr">
        <is>
          <t>part_ix_expenses.depreciation</t>
        </is>
      </c>
      <c r="F187" s="8" t="inlineStr">
        <is>
          <t>high</t>
        </is>
      </c>
      <c r="G187" s="9" t="n">
        <v>98517</v>
      </c>
    </row>
    <row r="188">
      <c r="A188" s="8" t="inlineStr">
        <is>
          <t>Operating expenses (detail)</t>
        </is>
      </c>
      <c r="B188" s="8" t="inlineStr">
        <is>
          <t>E34</t>
        </is>
      </c>
      <c r="C188" s="8" t="inlineStr">
        <is>
          <t>22. Depreciation, depletion, and amortization</t>
        </is>
      </c>
      <c r="D188" s="8" t="inlineStr">
        <is>
          <t>22</t>
        </is>
      </c>
      <c r="E188" s="8" t="inlineStr">
        <is>
          <t>part_ix_expenses.depreciation</t>
        </is>
      </c>
      <c r="F188" s="8" t="inlineStr">
        <is>
          <t>high</t>
        </is>
      </c>
      <c r="G188" s="9" t="n">
        <v>123411</v>
      </c>
    </row>
    <row r="189">
      <c r="A189" s="8" t="inlineStr">
        <is>
          <t>Operating expenses (detail)</t>
        </is>
      </c>
      <c r="B189" s="8" t="inlineStr">
        <is>
          <t>F34</t>
        </is>
      </c>
      <c r="C189" s="8" t="inlineStr">
        <is>
          <t>22. Depreciation, depletion, and amortization</t>
        </is>
      </c>
      <c r="D189" s="8" t="inlineStr">
        <is>
          <t>22</t>
        </is>
      </c>
      <c r="E189" s="8" t="inlineStr">
        <is>
          <t>part_ix_expenses.depreciation</t>
        </is>
      </c>
      <c r="F189" s="8" t="inlineStr">
        <is>
          <t>high</t>
        </is>
      </c>
      <c r="G189" s="9" t="n">
        <v>141282</v>
      </c>
    </row>
    <row r="190">
      <c r="A190" s="8" t="inlineStr">
        <is>
          <t>Operating expenses (detail)</t>
        </is>
      </c>
      <c r="B190" s="8" t="inlineStr">
        <is>
          <t>B35</t>
        </is>
      </c>
      <c r="C190" s="8" t="inlineStr">
        <is>
          <t>23. Insurance</t>
        </is>
      </c>
      <c r="D190" s="8" t="inlineStr">
        <is>
          <t>23</t>
        </is>
      </c>
      <c r="E190" s="8" t="inlineStr">
        <is>
          <t>part_ix_expenses.insurance</t>
        </is>
      </c>
      <c r="F190" s="8" t="inlineStr">
        <is>
          <t>high</t>
        </is>
      </c>
      <c r="G190" s="9" t="n">
        <v>10955</v>
      </c>
    </row>
    <row r="191">
      <c r="A191" s="8" t="inlineStr">
        <is>
          <t>Operating expenses (detail)</t>
        </is>
      </c>
      <c r="B191" s="8" t="inlineStr">
        <is>
          <t>C35</t>
        </is>
      </c>
      <c r="C191" s="8" t="inlineStr">
        <is>
          <t>23. Insurance</t>
        </is>
      </c>
      <c r="D191" s="8" t="inlineStr">
        <is>
          <t>23</t>
        </is>
      </c>
      <c r="E191" s="8" t="inlineStr">
        <is>
          <t>part_ix_expenses.insurance</t>
        </is>
      </c>
      <c r="F191" s="8" t="inlineStr">
        <is>
          <t>high</t>
        </is>
      </c>
      <c r="G191" s="9" t="n">
        <v>46192</v>
      </c>
    </row>
    <row r="192">
      <c r="A192" s="8" t="inlineStr">
        <is>
          <t>Operating expenses (detail)</t>
        </is>
      </c>
      <c r="B192" s="8" t="inlineStr">
        <is>
          <t>D35</t>
        </is>
      </c>
      <c r="C192" s="8" t="inlineStr">
        <is>
          <t>23. Insurance</t>
        </is>
      </c>
      <c r="D192" s="8" t="inlineStr">
        <is>
          <t>23</t>
        </is>
      </c>
      <c r="E192" s="8" t="inlineStr">
        <is>
          <t>part_ix_expenses.insurance</t>
        </is>
      </c>
      <c r="F192" s="8" t="inlineStr">
        <is>
          <t>high</t>
        </is>
      </c>
      <c r="G192" s="9" t="n">
        <v>54633</v>
      </c>
    </row>
    <row r="193">
      <c r="A193" s="8" t="inlineStr">
        <is>
          <t>Operating expenses (detail)</t>
        </is>
      </c>
      <c r="B193" s="8" t="inlineStr">
        <is>
          <t>E35</t>
        </is>
      </c>
      <c r="C193" s="8" t="inlineStr">
        <is>
          <t>23. Insurance</t>
        </is>
      </c>
      <c r="D193" s="8" t="inlineStr">
        <is>
          <t>23</t>
        </is>
      </c>
      <c r="E193" s="8" t="inlineStr">
        <is>
          <t>part_ix_expenses.insurance</t>
        </is>
      </c>
      <c r="F193" s="8" t="inlineStr">
        <is>
          <t>high</t>
        </is>
      </c>
      <c r="G193" s="9" t="n">
        <v>60937</v>
      </c>
    </row>
    <row r="194">
      <c r="A194" s="8" t="inlineStr">
        <is>
          <t>Operating expenses (detail)</t>
        </is>
      </c>
      <c r="B194" s="8" t="inlineStr">
        <is>
          <t>F35</t>
        </is>
      </c>
      <c r="C194" s="8" t="inlineStr">
        <is>
          <t>23. Insurance</t>
        </is>
      </c>
      <c r="D194" s="8" t="inlineStr">
        <is>
          <t>23</t>
        </is>
      </c>
      <c r="E194" s="8" t="inlineStr">
        <is>
          <t>part_ix_expenses.insurance</t>
        </is>
      </c>
      <c r="F194" s="8" t="inlineStr">
        <is>
          <t>high</t>
        </is>
      </c>
      <c r="G194" s="9" t="n">
        <v>69660</v>
      </c>
    </row>
    <row r="195">
      <c r="A195" s="8" t="inlineStr">
        <is>
          <t>Operating expenses (detail)</t>
        </is>
      </c>
      <c r="B195" s="8" t="inlineStr">
        <is>
          <t>B42</t>
        </is>
      </c>
      <c r="C195" s="8" t="inlineStr">
        <is>
          <t>24e. All other expenses</t>
        </is>
      </c>
      <c r="D195" s="8" t="inlineStr">
        <is>
          <t>24e</t>
        </is>
      </c>
      <c r="E195" s="8" t="inlineStr">
        <is>
          <t>part_ix_expenses.all_other_expenses</t>
        </is>
      </c>
      <c r="F195" s="8" t="inlineStr">
        <is>
          <t>high</t>
        </is>
      </c>
      <c r="G195" s="9" t="n">
        <v>25870</v>
      </c>
    </row>
    <row r="196">
      <c r="A196" s="8" t="inlineStr">
        <is>
          <t>Operating expenses (detail)</t>
        </is>
      </c>
      <c r="B196" s="8" t="inlineStr">
        <is>
          <t>C42</t>
        </is>
      </c>
      <c r="C196" s="8" t="inlineStr">
        <is>
          <t>24e. All other expenses</t>
        </is>
      </c>
      <c r="D196" s="8" t="inlineStr">
        <is>
          <t>24e</t>
        </is>
      </c>
      <c r="E196" s="8" t="inlineStr">
        <is>
          <t>part_ix_expenses.all_other_expenses</t>
        </is>
      </c>
      <c r="F196" s="8" t="inlineStr">
        <is>
          <t>high</t>
        </is>
      </c>
      <c r="G196" s="9" t="n">
        <v>39082</v>
      </c>
    </row>
    <row r="197">
      <c r="A197" s="8" t="inlineStr">
        <is>
          <t>Operating expenses (detail)</t>
        </is>
      </c>
      <c r="B197" s="8" t="inlineStr">
        <is>
          <t>D42</t>
        </is>
      </c>
      <c r="C197" s="8" t="inlineStr">
        <is>
          <t>24e. All other expenses</t>
        </is>
      </c>
      <c r="D197" s="8" t="inlineStr">
        <is>
          <t>24e</t>
        </is>
      </c>
      <c r="E197" s="8" t="inlineStr">
        <is>
          <t>part_ix_expenses.all_other_expenses</t>
        </is>
      </c>
      <c r="F197" s="8" t="inlineStr">
        <is>
          <t>high</t>
        </is>
      </c>
      <c r="G197" s="9" t="n">
        <v>20044</v>
      </c>
    </row>
    <row r="198">
      <c r="A198" s="8" t="inlineStr">
        <is>
          <t>Operating expenses (detail)</t>
        </is>
      </c>
      <c r="B198" s="8" t="inlineStr">
        <is>
          <t>E42</t>
        </is>
      </c>
      <c r="C198" s="8" t="inlineStr">
        <is>
          <t>24e. All other expenses</t>
        </is>
      </c>
      <c r="D198" s="8" t="inlineStr">
        <is>
          <t>24e</t>
        </is>
      </c>
      <c r="E198" s="8" t="inlineStr">
        <is>
          <t>part_ix_expenses.all_other_expenses</t>
        </is>
      </c>
      <c r="F198" s="8" t="inlineStr">
        <is>
          <t>high</t>
        </is>
      </c>
      <c r="G198" s="9" t="n">
        <v>31057</v>
      </c>
    </row>
    <row r="199">
      <c r="A199" s="8" t="inlineStr">
        <is>
          <t>Operating expenses (detail)</t>
        </is>
      </c>
      <c r="B199" s="8" t="inlineStr">
        <is>
          <t>F42</t>
        </is>
      </c>
      <c r="C199" s="8" t="inlineStr">
        <is>
          <t>24e. All other expenses</t>
        </is>
      </c>
      <c r="D199" s="8" t="inlineStr">
        <is>
          <t>24e</t>
        </is>
      </c>
      <c r="E199" s="8" t="inlineStr">
        <is>
          <t>part_ix_expenses.all_other_expenses</t>
        </is>
      </c>
      <c r="F199" s="8" t="inlineStr">
        <is>
          <t>high</t>
        </is>
      </c>
      <c r="G199" s="9" t="n">
        <v>34697</v>
      </c>
    </row>
    <row r="200">
      <c r="A200" s="8" t="inlineStr">
        <is>
          <t>Balance sheet (detail)</t>
        </is>
      </c>
      <c r="B200" s="8" t="inlineStr">
        <is>
          <t>B7</t>
        </is>
      </c>
      <c r="C200" s="8" t="inlineStr">
        <is>
          <t>1. Cash - non-interest-bearing</t>
        </is>
      </c>
      <c r="D200" s="8" t="inlineStr">
        <is>
          <t>1E</t>
        </is>
      </c>
      <c r="E200" s="8" t="inlineStr">
        <is>
          <t>part_x_balance_sheet.cash_noninterest_eoy</t>
        </is>
      </c>
      <c r="F200" s="8" t="inlineStr">
        <is>
          <t>high</t>
        </is>
      </c>
      <c r="G200" s="9" t="n">
        <v>161193</v>
      </c>
    </row>
    <row r="201">
      <c r="A201" s="8" t="inlineStr">
        <is>
          <t>Balance sheet (detail)</t>
        </is>
      </c>
      <c r="B201" s="8" t="inlineStr">
        <is>
          <t>C7</t>
        </is>
      </c>
      <c r="C201" s="8" t="inlineStr">
        <is>
          <t>1. Cash - non-interest-bearing</t>
        </is>
      </c>
      <c r="D201" s="8" t="inlineStr">
        <is>
          <t>1E</t>
        </is>
      </c>
      <c r="E201" s="8" t="inlineStr">
        <is>
          <t>part_x_balance_sheet.cash_noninterest_eoy</t>
        </is>
      </c>
      <c r="F201" s="8" t="inlineStr">
        <is>
          <t>high</t>
        </is>
      </c>
      <c r="G201" s="9" t="n">
        <v>68404</v>
      </c>
    </row>
    <row r="202">
      <c r="A202" s="8" t="inlineStr">
        <is>
          <t>Balance sheet (detail)</t>
        </is>
      </c>
      <c r="B202" s="8" t="inlineStr">
        <is>
          <t>D7</t>
        </is>
      </c>
      <c r="C202" s="8" t="inlineStr">
        <is>
          <t>1. Cash - non-interest-bearing</t>
        </is>
      </c>
      <c r="D202" s="8" t="inlineStr">
        <is>
          <t>1E</t>
        </is>
      </c>
      <c r="E202" s="8" t="inlineStr">
        <is>
          <t>part_x_balance_sheet.cash_noninterest_eoy</t>
        </is>
      </c>
      <c r="F202" s="8" t="inlineStr">
        <is>
          <t>high</t>
        </is>
      </c>
      <c r="G202" s="9" t="n">
        <v>85969</v>
      </c>
    </row>
    <row r="203">
      <c r="A203" s="8" t="inlineStr">
        <is>
          <t>Balance sheet (detail)</t>
        </is>
      </c>
      <c r="B203" s="8" t="inlineStr">
        <is>
          <t>E7</t>
        </is>
      </c>
      <c r="C203" s="8" t="inlineStr">
        <is>
          <t>1. Cash - non-interest-bearing</t>
        </is>
      </c>
      <c r="D203" s="8" t="inlineStr">
        <is>
          <t>1E</t>
        </is>
      </c>
      <c r="E203" s="8" t="inlineStr">
        <is>
          <t>part_x_balance_sheet.cash_noninterest_eoy</t>
        </is>
      </c>
      <c r="F203" s="8" t="inlineStr">
        <is>
          <t>high</t>
        </is>
      </c>
      <c r="G203" s="9" t="n">
        <v>199983</v>
      </c>
    </row>
    <row r="204">
      <c r="A204" s="8" t="inlineStr">
        <is>
          <t>Balance sheet (detail)</t>
        </is>
      </c>
      <c r="B204" s="8" t="inlineStr">
        <is>
          <t>F7</t>
        </is>
      </c>
      <c r="C204" s="8" t="inlineStr">
        <is>
          <t>1. Cash - non-interest-bearing</t>
        </is>
      </c>
      <c r="D204" s="8" t="inlineStr">
        <is>
          <t>1E</t>
        </is>
      </c>
      <c r="E204" s="8" t="inlineStr">
        <is>
          <t>part_x_balance_sheet.cash_noninterest_eoy</t>
        </is>
      </c>
      <c r="F204" s="8" t="inlineStr">
        <is>
          <t>high</t>
        </is>
      </c>
      <c r="G204" s="9" t="n">
        <v>1099361</v>
      </c>
    </row>
    <row r="205">
      <c r="A205" s="8" t="inlineStr">
        <is>
          <t>Balance sheet (detail)</t>
        </is>
      </c>
      <c r="B205" s="8" t="inlineStr">
        <is>
          <t>B8</t>
        </is>
      </c>
      <c r="C205" s="8" t="inlineStr">
        <is>
          <t>2. Savings and temporary cash investments</t>
        </is>
      </c>
      <c r="D205" s="8" t="inlineStr">
        <is>
          <t>2E</t>
        </is>
      </c>
      <c r="E205" s="8" t="inlineStr">
        <is>
          <t>part_x_balance_sheet.savings_temp_invest_eoy</t>
        </is>
      </c>
      <c r="F205" s="8" t="inlineStr">
        <is>
          <t>high</t>
        </is>
      </c>
      <c r="G205" s="9" t="n">
        <v>0</v>
      </c>
    </row>
    <row r="206">
      <c r="A206" s="8" t="inlineStr">
        <is>
          <t>Balance sheet (detail)</t>
        </is>
      </c>
      <c r="B206" s="8" t="inlineStr">
        <is>
          <t>C8</t>
        </is>
      </c>
      <c r="C206" s="8" t="inlineStr">
        <is>
          <t>2. Savings and temporary cash investments</t>
        </is>
      </c>
      <c r="D206" s="8" t="inlineStr">
        <is>
          <t>2E</t>
        </is>
      </c>
      <c r="E206" s="8" t="inlineStr">
        <is>
          <t>part_x_balance_sheet.savings_temp_invest_eoy</t>
        </is>
      </c>
      <c r="F206" s="8" t="inlineStr">
        <is>
          <t>high</t>
        </is>
      </c>
      <c r="G206" s="9" t="n">
        <v>0</v>
      </c>
    </row>
    <row r="207">
      <c r="A207" s="8" t="inlineStr">
        <is>
          <t>Balance sheet (detail)</t>
        </is>
      </c>
      <c r="B207" s="8" t="inlineStr">
        <is>
          <t>D8</t>
        </is>
      </c>
      <c r="C207" s="8" t="inlineStr">
        <is>
          <t>2. Savings and temporary cash investments</t>
        </is>
      </c>
      <c r="D207" s="8" t="inlineStr">
        <is>
          <t>2E</t>
        </is>
      </c>
      <c r="E207" s="8" t="inlineStr">
        <is>
          <t>part_x_balance_sheet.savings_temp_invest_eoy</t>
        </is>
      </c>
      <c r="F207" s="8" t="inlineStr">
        <is>
          <t>high</t>
        </is>
      </c>
      <c r="G207" s="9" t="n">
        <v>0</v>
      </c>
    </row>
    <row r="208">
      <c r="A208" s="8" t="inlineStr">
        <is>
          <t>Balance sheet (detail)</t>
        </is>
      </c>
      <c r="B208" s="8" t="inlineStr">
        <is>
          <t>E8</t>
        </is>
      </c>
      <c r="C208" s="8" t="inlineStr">
        <is>
          <t>2. Savings and temporary cash investments</t>
        </is>
      </c>
      <c r="D208" s="8" t="inlineStr">
        <is>
          <t>2E</t>
        </is>
      </c>
      <c r="E208" s="8" t="inlineStr">
        <is>
          <t>part_x_balance_sheet.savings_temp_invest_eoy</t>
        </is>
      </c>
      <c r="F208" s="8" t="inlineStr">
        <is>
          <t>high</t>
        </is>
      </c>
      <c r="G208" s="9" t="n">
        <v>0</v>
      </c>
    </row>
    <row r="209">
      <c r="A209" s="8" t="inlineStr">
        <is>
          <t>Balance sheet (detail)</t>
        </is>
      </c>
      <c r="B209" s="8" t="inlineStr">
        <is>
          <t>F8</t>
        </is>
      </c>
      <c r="C209" s="8" t="inlineStr">
        <is>
          <t>2. Savings and temporary cash investments</t>
        </is>
      </c>
      <c r="D209" s="8" t="inlineStr">
        <is>
          <t>2E</t>
        </is>
      </c>
      <c r="E209" s="8" t="inlineStr">
        <is>
          <t>part_x_balance_sheet.savings_temp_invest_eoy</t>
        </is>
      </c>
      <c r="F209" s="8" t="inlineStr">
        <is>
          <t>high</t>
        </is>
      </c>
      <c r="G209" s="9" t="n">
        <v>0</v>
      </c>
    </row>
    <row r="210">
      <c r="A210" s="8" t="inlineStr">
        <is>
          <t>Balance sheet (detail)</t>
        </is>
      </c>
      <c r="B210" s="8" t="inlineStr">
        <is>
          <t>B9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C9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D9</t>
        </is>
      </c>
      <c r="C212" s="8" t="inlineStr">
        <is>
          <t>3. Pledges and grants receivable, net</t>
        </is>
      </c>
      <c r="D212" s="8" t="inlineStr">
        <is>
          <t>3E</t>
        </is>
      </c>
      <c r="E212" s="8" t="inlineStr">
        <is>
          <t>part_x_balance_sheet.pledges_grants_receivable_eoy</t>
        </is>
      </c>
      <c r="F212" s="8" t="inlineStr">
        <is>
          <t>high</t>
        </is>
      </c>
      <c r="G212" s="9" t="n">
        <v>0</v>
      </c>
    </row>
    <row r="213">
      <c r="A213" s="8" t="inlineStr">
        <is>
          <t>Balance sheet (detail)</t>
        </is>
      </c>
      <c r="B213" s="8" t="inlineStr">
        <is>
          <t>E9</t>
        </is>
      </c>
      <c r="C213" s="8" t="inlineStr">
        <is>
          <t>3. Pledges and grants receivable, net</t>
        </is>
      </c>
      <c r="D213" s="8" t="inlineStr">
        <is>
          <t>3E</t>
        </is>
      </c>
      <c r="E213" s="8" t="inlineStr">
        <is>
          <t>part_x_balance_sheet.pledges_grants_receivable_eoy</t>
        </is>
      </c>
      <c r="F213" s="8" t="inlineStr">
        <is>
          <t>high</t>
        </is>
      </c>
      <c r="G213" s="9" t="n">
        <v>166611</v>
      </c>
    </row>
    <row r="214">
      <c r="A214" s="8" t="inlineStr">
        <is>
          <t>Balance sheet (detail)</t>
        </is>
      </c>
      <c r="B214" s="8" t="inlineStr">
        <is>
          <t>F9</t>
        </is>
      </c>
      <c r="C214" s="8" t="inlineStr">
        <is>
          <t>3. Pledges and grants receivable, net</t>
        </is>
      </c>
      <c r="D214" s="8" t="inlineStr">
        <is>
          <t>3E</t>
        </is>
      </c>
      <c r="E214" s="8" t="inlineStr">
        <is>
          <t>part_x_balance_sheet.pledges_grants_receivable_eoy</t>
        </is>
      </c>
      <c r="F214" s="8" t="inlineStr">
        <is>
          <t>high</t>
        </is>
      </c>
      <c r="G214" s="9" t="n">
        <v>0</v>
      </c>
    </row>
    <row r="215">
      <c r="A215" s="8" t="inlineStr">
        <is>
          <t>Balance sheet (detail)</t>
        </is>
      </c>
      <c r="B215" s="8" t="inlineStr">
        <is>
          <t>B10</t>
        </is>
      </c>
      <c r="C215" s="8" t="inlineStr">
        <is>
          <t>4. Accounts receivable, net</t>
        </is>
      </c>
      <c r="D215" s="8" t="inlineStr">
        <is>
          <t>4E</t>
        </is>
      </c>
      <c r="E215" s="8" t="inlineStr">
        <is>
          <t>part_x_balance_sheet.accounts_receivable_eoy</t>
        </is>
      </c>
      <c r="F215" s="8" t="inlineStr">
        <is>
          <t>high</t>
        </is>
      </c>
      <c r="G215" s="9" t="n">
        <v>5875</v>
      </c>
    </row>
    <row r="216">
      <c r="A216" s="8" t="inlineStr">
        <is>
          <t>Balance sheet (detail)</t>
        </is>
      </c>
      <c r="B216" s="8" t="inlineStr">
        <is>
          <t>C10</t>
        </is>
      </c>
      <c r="C216" s="8" t="inlineStr">
        <is>
          <t>4. Accounts receivable, net</t>
        </is>
      </c>
      <c r="D216" s="8" t="inlineStr">
        <is>
          <t>4E</t>
        </is>
      </c>
      <c r="E216" s="8" t="inlineStr">
        <is>
          <t>part_x_balance_sheet.accounts_receivable_eoy</t>
        </is>
      </c>
      <c r="F216" s="8" t="inlineStr">
        <is>
          <t>high</t>
        </is>
      </c>
      <c r="G216" s="9" t="n">
        <v>0</v>
      </c>
    </row>
    <row r="217">
      <c r="A217" s="8" t="inlineStr">
        <is>
          <t>Balance sheet (detail)</t>
        </is>
      </c>
      <c r="B217" s="8" t="inlineStr">
        <is>
          <t>D10</t>
        </is>
      </c>
      <c r="C217" s="8" t="inlineStr">
        <is>
          <t>4. Accounts receivable, net</t>
        </is>
      </c>
      <c r="D217" s="8" t="inlineStr">
        <is>
          <t>4E</t>
        </is>
      </c>
      <c r="E217" s="8" t="inlineStr">
        <is>
          <t>part_x_balance_sheet.accounts_receivable_eoy</t>
        </is>
      </c>
      <c r="F217" s="8" t="inlineStr">
        <is>
          <t>high</t>
        </is>
      </c>
      <c r="G217" s="9" t="n">
        <v>416170</v>
      </c>
    </row>
    <row r="218">
      <c r="A218" s="8" t="inlineStr">
        <is>
          <t>Balance sheet (detail)</t>
        </is>
      </c>
      <c r="B218" s="8" t="inlineStr">
        <is>
          <t>E10</t>
        </is>
      </c>
      <c r="C218" s="8" t="inlineStr">
        <is>
          <t>4. Accounts receivable, net</t>
        </is>
      </c>
      <c r="D218" s="8" t="inlineStr">
        <is>
          <t>4E</t>
        </is>
      </c>
      <c r="E218" s="8" t="inlineStr">
        <is>
          <t>part_x_balance_sheet.accounts_receivable_eoy</t>
        </is>
      </c>
      <c r="F218" s="8" t="inlineStr">
        <is>
          <t>high</t>
        </is>
      </c>
      <c r="G218" s="9" t="n">
        <v>67466</v>
      </c>
    </row>
    <row r="219">
      <c r="A219" s="8" t="inlineStr">
        <is>
          <t>Balance sheet (detail)</t>
        </is>
      </c>
      <c r="B219" s="8" t="inlineStr">
        <is>
          <t>F10</t>
        </is>
      </c>
      <c r="C219" s="8" t="inlineStr">
        <is>
          <t>4. Accounts receivable, net</t>
        </is>
      </c>
      <c r="D219" s="8" t="inlineStr">
        <is>
          <t>4E</t>
        </is>
      </c>
      <c r="E219" s="8" t="inlineStr">
        <is>
          <t>part_x_balance_sheet.accounts_receivable_eoy</t>
        </is>
      </c>
      <c r="F219" s="8" t="inlineStr">
        <is>
          <t>high</t>
        </is>
      </c>
      <c r="G219" s="9" t="n">
        <v>15440</v>
      </c>
    </row>
    <row r="220">
      <c r="A220" s="8" t="inlineStr">
        <is>
          <t>Balance sheet (detail)</t>
        </is>
      </c>
      <c r="B220" s="8" t="inlineStr">
        <is>
          <t>B11</t>
        </is>
      </c>
      <c r="C220" s="8" t="inlineStr">
        <is>
          <t>5. Receivables from officers/directors/trustees</t>
        </is>
      </c>
      <c r="D220" s="8" t="inlineStr">
        <is>
          <t>5E</t>
        </is>
      </c>
      <c r="E220" s="8" t="inlineStr">
        <is>
          <t>part_x_balance_sheet.receivables_officers_eoy</t>
        </is>
      </c>
      <c r="F220" s="8" t="inlineStr">
        <is>
          <t>high</t>
        </is>
      </c>
      <c r="G220" s="9" t="n">
        <v>93</v>
      </c>
    </row>
    <row r="221">
      <c r="A221" s="8" t="inlineStr">
        <is>
          <t>Balance sheet (detail)</t>
        </is>
      </c>
      <c r="B221" s="8" t="inlineStr">
        <is>
          <t>C11</t>
        </is>
      </c>
      <c r="C221" s="8" t="inlineStr">
        <is>
          <t>5. Receivables from officers/directors/trustees</t>
        </is>
      </c>
      <c r="D221" s="8" t="inlineStr">
        <is>
          <t>5E</t>
        </is>
      </c>
      <c r="E221" s="8" t="inlineStr">
        <is>
          <t>part_x_balance_sheet.receivables_officers_eoy</t>
        </is>
      </c>
      <c r="F221" s="8" t="inlineStr">
        <is>
          <t>high</t>
        </is>
      </c>
      <c r="G221" s="9" t="n">
        <v>93</v>
      </c>
    </row>
    <row r="222">
      <c r="A222" s="8" t="inlineStr">
        <is>
          <t>Balance sheet (detail)</t>
        </is>
      </c>
      <c r="B222" s="8" t="inlineStr">
        <is>
          <t>D11</t>
        </is>
      </c>
      <c r="C222" s="8" t="inlineStr">
        <is>
          <t>5. Receivables from officers/directors/trustees</t>
        </is>
      </c>
      <c r="D222" s="8" t="inlineStr">
        <is>
          <t>5E</t>
        </is>
      </c>
      <c r="E222" s="8" t="inlineStr">
        <is>
          <t>part_x_balance_sheet.receivables_officers_eoy</t>
        </is>
      </c>
      <c r="F222" s="8" t="inlineStr">
        <is>
          <t>high</t>
        </is>
      </c>
      <c r="G222" s="9" t="n">
        <v>93</v>
      </c>
    </row>
    <row r="223">
      <c r="A223" s="8" t="inlineStr">
        <is>
          <t>Balance sheet (detail)</t>
        </is>
      </c>
      <c r="B223" s="8" t="inlineStr">
        <is>
          <t>E11</t>
        </is>
      </c>
      <c r="C223" s="8" t="inlineStr">
        <is>
          <t>5. Receivables from officers/directors/trustees</t>
        </is>
      </c>
      <c r="D223" s="8" t="inlineStr">
        <is>
          <t>5E</t>
        </is>
      </c>
      <c r="E223" s="8" t="inlineStr">
        <is>
          <t>part_x_balance_sheet.receivables_officers_eoy</t>
        </is>
      </c>
      <c r="F223" s="8" t="inlineStr">
        <is>
          <t>high</t>
        </is>
      </c>
      <c r="G223" s="9" t="n">
        <v>0</v>
      </c>
    </row>
    <row r="224">
      <c r="A224" s="8" t="inlineStr">
        <is>
          <t>Balance sheet (detail)</t>
        </is>
      </c>
      <c r="B224" s="8" t="inlineStr">
        <is>
          <t>F11</t>
        </is>
      </c>
      <c r="C224" s="8" t="inlineStr">
        <is>
          <t>5. Receivables from officers/directors/trustees</t>
        </is>
      </c>
      <c r="D224" s="8" t="inlineStr">
        <is>
          <t>5E</t>
        </is>
      </c>
      <c r="E224" s="8" t="inlineStr">
        <is>
          <t>part_x_balance_sheet.receivables_officers_eoy</t>
        </is>
      </c>
      <c r="F224" s="8" t="inlineStr">
        <is>
          <t>high</t>
        </is>
      </c>
      <c r="G224" s="9" t="n">
        <v>0</v>
      </c>
    </row>
    <row r="225">
      <c r="A225" s="8" t="inlineStr">
        <is>
          <t>Balance sheet (detail)</t>
        </is>
      </c>
      <c r="B225" s="8" t="inlineStr">
        <is>
          <t>B12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C12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D12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E12</t>
        </is>
      </c>
      <c r="C228" s="8" t="inlineStr">
        <is>
          <t>6. Receivables from disqualified persons</t>
        </is>
      </c>
      <c r="D228" s="8" t="inlineStr">
        <is>
          <t>6E</t>
        </is>
      </c>
      <c r="E228" s="8" t="inlineStr">
        <is>
          <t>part_x_balance_sheet.receivables_disqualified_eoy</t>
        </is>
      </c>
      <c r="F228" s="8" t="inlineStr">
        <is>
          <t>high</t>
        </is>
      </c>
      <c r="G228" s="9" t="n">
        <v>0</v>
      </c>
    </row>
    <row r="229">
      <c r="A229" s="8" t="inlineStr">
        <is>
          <t>Balance sheet (detail)</t>
        </is>
      </c>
      <c r="B229" s="8" t="inlineStr">
        <is>
          <t>F12</t>
        </is>
      </c>
      <c r="C229" s="8" t="inlineStr">
        <is>
          <t>6. Receivables from disqualified persons</t>
        </is>
      </c>
      <c r="D229" s="8" t="inlineStr">
        <is>
          <t>6E</t>
        </is>
      </c>
      <c r="E229" s="8" t="inlineStr">
        <is>
          <t>part_x_balance_sheet.receivables_disqualified_eoy</t>
        </is>
      </c>
      <c r="F229" s="8" t="inlineStr">
        <is>
          <t>high</t>
        </is>
      </c>
      <c r="G229" s="9" t="n">
        <v>0</v>
      </c>
    </row>
    <row r="230">
      <c r="A230" s="8" t="inlineStr">
        <is>
          <t>Balance sheet (detail)</t>
        </is>
      </c>
      <c r="B230" s="8" t="inlineStr">
        <is>
          <t>B13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C13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D13</t>
        </is>
      </c>
      <c r="C232" s="8" t="inlineStr">
        <is>
          <t>7. Notes and loans receivable, net</t>
        </is>
      </c>
      <c r="D232" s="8" t="inlineStr">
        <is>
          <t>7E</t>
        </is>
      </c>
      <c r="E232" s="8" t="inlineStr">
        <is>
          <t>part_x_balance_sheet.notes_loans_receivable_eoy</t>
        </is>
      </c>
      <c r="F232" s="8" t="inlineStr">
        <is>
          <t>high</t>
        </is>
      </c>
      <c r="G232" s="9" t="n">
        <v>2346</v>
      </c>
    </row>
    <row r="233">
      <c r="A233" s="8" t="inlineStr">
        <is>
          <t>Balance sheet (detail)</t>
        </is>
      </c>
      <c r="B233" s="8" t="inlineStr">
        <is>
          <t>E13</t>
        </is>
      </c>
      <c r="C233" s="8" t="inlineStr">
        <is>
          <t>7. Notes and loans receivable, net</t>
        </is>
      </c>
      <c r="D233" s="8" t="inlineStr">
        <is>
          <t>7E</t>
        </is>
      </c>
      <c r="E233" s="8" t="inlineStr">
        <is>
          <t>part_x_balance_sheet.notes_loans_receivable_eoy</t>
        </is>
      </c>
      <c r="F233" s="8" t="inlineStr">
        <is>
          <t>high</t>
        </is>
      </c>
      <c r="G233" s="9" t="n">
        <v>0</v>
      </c>
    </row>
    <row r="234">
      <c r="A234" s="8" t="inlineStr">
        <is>
          <t>Balance sheet (detail)</t>
        </is>
      </c>
      <c r="B234" s="8" t="inlineStr">
        <is>
          <t>F13</t>
        </is>
      </c>
      <c r="C234" s="8" t="inlineStr">
        <is>
          <t>7. Notes and loans receivable, net</t>
        </is>
      </c>
      <c r="D234" s="8" t="inlineStr">
        <is>
          <t>7E</t>
        </is>
      </c>
      <c r="E234" s="8" t="inlineStr">
        <is>
          <t>part_x_balance_sheet.notes_loans_receivable_eoy</t>
        </is>
      </c>
      <c r="F234" s="8" t="inlineStr">
        <is>
          <t>high</t>
        </is>
      </c>
      <c r="G234" s="9" t="n">
        <v>0</v>
      </c>
    </row>
    <row r="235">
      <c r="A235" s="8" t="inlineStr">
        <is>
          <t>Balance sheet (detail)</t>
        </is>
      </c>
      <c r="B235" s="8" t="inlineStr">
        <is>
          <t>B14</t>
        </is>
      </c>
      <c r="C235" s="8" t="inlineStr">
        <is>
          <t>8. Inventories for sale or use</t>
        </is>
      </c>
      <c r="D235" s="8" t="inlineStr">
        <is>
          <t>8E</t>
        </is>
      </c>
      <c r="E235" s="8" t="inlineStr">
        <is>
          <t>part_x_balance_sheet.inventories_eoy</t>
        </is>
      </c>
      <c r="F235" s="8" t="inlineStr">
        <is>
          <t>high</t>
        </is>
      </c>
      <c r="G235" s="9" t="n">
        <v>0</v>
      </c>
    </row>
    <row r="236">
      <c r="A236" s="8" t="inlineStr">
        <is>
          <t>Balance sheet (detail)</t>
        </is>
      </c>
      <c r="B236" s="8" t="inlineStr">
        <is>
          <t>C14</t>
        </is>
      </c>
      <c r="C236" s="8" t="inlineStr">
        <is>
          <t>8. Inventories for sale or use</t>
        </is>
      </c>
      <c r="D236" s="8" t="inlineStr">
        <is>
          <t>8E</t>
        </is>
      </c>
      <c r="E236" s="8" t="inlineStr">
        <is>
          <t>part_x_balance_sheet.inventories_eoy</t>
        </is>
      </c>
      <c r="F236" s="8" t="inlineStr">
        <is>
          <t>high</t>
        </is>
      </c>
      <c r="G236" s="9" t="n">
        <v>0</v>
      </c>
    </row>
    <row r="237">
      <c r="A237" s="8" t="inlineStr">
        <is>
          <t>Balance sheet (detail)</t>
        </is>
      </c>
      <c r="B237" s="8" t="inlineStr">
        <is>
          <t>D14</t>
        </is>
      </c>
      <c r="C237" s="8" t="inlineStr">
        <is>
          <t>8. Inventories for sale or use</t>
        </is>
      </c>
      <c r="D237" s="8" t="inlineStr">
        <is>
          <t>8E</t>
        </is>
      </c>
      <c r="E237" s="8" t="inlineStr">
        <is>
          <t>part_x_balance_sheet.inventories_eoy</t>
        </is>
      </c>
      <c r="F237" s="8" t="inlineStr">
        <is>
          <t>high</t>
        </is>
      </c>
      <c r="G237" s="9" t="n">
        <v>0</v>
      </c>
    </row>
    <row r="238">
      <c r="A238" s="8" t="inlineStr">
        <is>
          <t>Balance sheet (detail)</t>
        </is>
      </c>
      <c r="B238" s="8" t="inlineStr">
        <is>
          <t>E14</t>
        </is>
      </c>
      <c r="C238" s="8" t="inlineStr">
        <is>
          <t>8. Inventories for sale or use</t>
        </is>
      </c>
      <c r="D238" s="8" t="inlineStr">
        <is>
          <t>8E</t>
        </is>
      </c>
      <c r="E238" s="8" t="inlineStr">
        <is>
          <t>part_x_balance_sheet.inventories_eoy</t>
        </is>
      </c>
      <c r="F238" s="8" t="inlineStr">
        <is>
          <t>high</t>
        </is>
      </c>
      <c r="G238" s="9" t="n">
        <v>0</v>
      </c>
    </row>
    <row r="239">
      <c r="A239" s="8" t="inlineStr">
        <is>
          <t>Balance sheet (detail)</t>
        </is>
      </c>
      <c r="B239" s="8" t="inlineStr">
        <is>
          <t>F14</t>
        </is>
      </c>
      <c r="C239" s="8" t="inlineStr">
        <is>
          <t>8. Inventories for sale or use</t>
        </is>
      </c>
      <c r="D239" s="8" t="inlineStr">
        <is>
          <t>8E</t>
        </is>
      </c>
      <c r="E239" s="8" t="inlineStr">
        <is>
          <t>part_x_balance_sheet.inventories_eoy</t>
        </is>
      </c>
      <c r="F239" s="8" t="inlineStr">
        <is>
          <t>high</t>
        </is>
      </c>
      <c r="G239" s="9" t="n">
        <v>0</v>
      </c>
    </row>
    <row r="240">
      <c r="A240" s="8" t="inlineStr">
        <is>
          <t>Balance sheet (detail)</t>
        </is>
      </c>
      <c r="B240" s="8" t="inlineStr">
        <is>
          <t>B15</t>
        </is>
      </c>
      <c r="C240" s="8" t="inlineStr">
        <is>
          <t>9. Prepaid expenses and deferred charges</t>
        </is>
      </c>
      <c r="D240" s="8" t="inlineStr">
        <is>
          <t>9E</t>
        </is>
      </c>
      <c r="E240" s="8" t="inlineStr">
        <is>
          <t>part_x_balance_sheet.prepaid_expenses_eoy</t>
        </is>
      </c>
      <c r="F240" s="8" t="inlineStr">
        <is>
          <t>high</t>
        </is>
      </c>
      <c r="G240" s="9" t="n">
        <v>110</v>
      </c>
    </row>
    <row r="241">
      <c r="A241" s="8" t="inlineStr">
        <is>
          <t>Balance sheet (detail)</t>
        </is>
      </c>
      <c r="B241" s="8" t="inlineStr">
        <is>
          <t>C15</t>
        </is>
      </c>
      <c r="C241" s="8" t="inlineStr">
        <is>
          <t>9. Prepaid expenses and deferred charges</t>
        </is>
      </c>
      <c r="D241" s="8" t="inlineStr">
        <is>
          <t>9E</t>
        </is>
      </c>
      <c r="E241" s="8" t="inlineStr">
        <is>
          <t>part_x_balance_sheet.prepaid_expenses_eoy</t>
        </is>
      </c>
      <c r="F241" s="8" t="inlineStr">
        <is>
          <t>high</t>
        </is>
      </c>
      <c r="G241" s="9" t="n">
        <v>21338</v>
      </c>
    </row>
    <row r="242">
      <c r="A242" s="8" t="inlineStr">
        <is>
          <t>Balance sheet (detail)</t>
        </is>
      </c>
      <c r="B242" s="8" t="inlineStr">
        <is>
          <t>D15</t>
        </is>
      </c>
      <c r="C242" s="8" t="inlineStr">
        <is>
          <t>9. Prepaid expenses and deferred charges</t>
        </is>
      </c>
      <c r="D242" s="8" t="inlineStr">
        <is>
          <t>9E</t>
        </is>
      </c>
      <c r="E242" s="8" t="inlineStr">
        <is>
          <t>part_x_balance_sheet.prepaid_expenses_eoy</t>
        </is>
      </c>
      <c r="F242" s="8" t="inlineStr">
        <is>
          <t>high</t>
        </is>
      </c>
      <c r="G242" s="9" t="n">
        <v>2227</v>
      </c>
    </row>
    <row r="243">
      <c r="A243" s="8" t="inlineStr">
        <is>
          <t>Balance sheet (detail)</t>
        </is>
      </c>
      <c r="B243" s="8" t="inlineStr">
        <is>
          <t>E15</t>
        </is>
      </c>
      <c r="C243" s="8" t="inlineStr">
        <is>
          <t>9. Prepaid expenses and deferred charges</t>
        </is>
      </c>
      <c r="D243" s="8" t="inlineStr">
        <is>
          <t>9E</t>
        </is>
      </c>
      <c r="E243" s="8" t="inlineStr">
        <is>
          <t>part_x_balance_sheet.prepaid_expenses_eoy</t>
        </is>
      </c>
      <c r="F243" s="8" t="inlineStr">
        <is>
          <t>high</t>
        </is>
      </c>
      <c r="G243" s="9" t="n">
        <v>11777</v>
      </c>
    </row>
    <row r="244">
      <c r="A244" s="8" t="inlineStr">
        <is>
          <t>Balance sheet (detail)</t>
        </is>
      </c>
      <c r="B244" s="8" t="inlineStr">
        <is>
          <t>F15</t>
        </is>
      </c>
      <c r="C244" s="8" t="inlineStr">
        <is>
          <t>9. Prepaid expenses and deferred charges</t>
        </is>
      </c>
      <c r="D244" s="8" t="inlineStr">
        <is>
          <t>9E</t>
        </is>
      </c>
      <c r="E244" s="8" t="inlineStr">
        <is>
          <t>part_x_balance_sheet.prepaid_expenses_eoy</t>
        </is>
      </c>
      <c r="F244" s="8" t="inlineStr">
        <is>
          <t>high</t>
        </is>
      </c>
      <c r="G244" s="9" t="n">
        <v>23499</v>
      </c>
    </row>
    <row r="245">
      <c r="A245" s="8" t="inlineStr">
        <is>
          <t>Balance sheet (detail)</t>
        </is>
      </c>
      <c r="B245" s="8" t="inlineStr">
        <is>
          <t>B16</t>
        </is>
      </c>
      <c r="C245" s="8" t="inlineStr">
        <is>
          <t>10c. Land, buildings, and equipment, net</t>
        </is>
      </c>
      <c r="D245" s="8" t="inlineStr">
        <is>
          <t>10cE</t>
        </is>
      </c>
      <c r="E245" s="8" t="inlineStr">
        <is>
          <t>part_x_balance_sheet.land_bldg_equip_net_eoy</t>
        </is>
      </c>
      <c r="F245" s="8" t="inlineStr">
        <is>
          <t>high</t>
        </is>
      </c>
      <c r="G245" s="9" t="n">
        <v>1431665</v>
      </c>
    </row>
    <row r="246">
      <c r="A246" s="8" t="inlineStr">
        <is>
          <t>Balance sheet (detail)</t>
        </is>
      </c>
      <c r="B246" s="8" t="inlineStr">
        <is>
          <t>C16</t>
        </is>
      </c>
      <c r="C246" s="8" t="inlineStr">
        <is>
          <t>10c. Land, buildings, and equipment, net</t>
        </is>
      </c>
      <c r="D246" s="8" t="inlineStr">
        <is>
          <t>10cE</t>
        </is>
      </c>
      <c r="E246" s="8" t="inlineStr">
        <is>
          <t>part_x_balance_sheet.land_bldg_equip_net_eoy</t>
        </is>
      </c>
      <c r="F246" s="8" t="inlineStr">
        <is>
          <t>high</t>
        </is>
      </c>
      <c r="G246" s="9" t="n">
        <v>1335614</v>
      </c>
    </row>
    <row r="247">
      <c r="A247" s="8" t="inlineStr">
        <is>
          <t>Balance sheet (detail)</t>
        </is>
      </c>
      <c r="B247" s="8" t="inlineStr">
        <is>
          <t>D16</t>
        </is>
      </c>
      <c r="C247" s="8" t="inlineStr">
        <is>
          <t>10c. Land, buildings, and equipment, net</t>
        </is>
      </c>
      <c r="D247" s="8" t="inlineStr">
        <is>
          <t>10cE</t>
        </is>
      </c>
      <c r="E247" s="8" t="inlineStr">
        <is>
          <t>part_x_balance_sheet.land_bldg_equip_net_eoy</t>
        </is>
      </c>
      <c r="F247" s="8" t="inlineStr">
        <is>
          <t>high</t>
        </is>
      </c>
      <c r="G247" s="9" t="n">
        <v>1246731</v>
      </c>
    </row>
    <row r="248">
      <c r="A248" s="8" t="inlineStr">
        <is>
          <t>Balance sheet (detail)</t>
        </is>
      </c>
      <c r="B248" s="8" t="inlineStr">
        <is>
          <t>E16</t>
        </is>
      </c>
      <c r="C248" s="8" t="inlineStr">
        <is>
          <t>10c. Land, buildings, and equipment, net</t>
        </is>
      </c>
      <c r="D248" s="8" t="inlineStr">
        <is>
          <t>10cE</t>
        </is>
      </c>
      <c r="E248" s="8" t="inlineStr">
        <is>
          <t>part_x_balance_sheet.land_bldg_equip_net_eoy</t>
        </is>
      </c>
      <c r="F248" s="8" t="inlineStr">
        <is>
          <t>high</t>
        </is>
      </c>
      <c r="G248" s="9" t="n">
        <v>1739502</v>
      </c>
    </row>
    <row r="249">
      <c r="A249" s="8" t="inlineStr">
        <is>
          <t>Balance sheet (detail)</t>
        </is>
      </c>
      <c r="B249" s="8" t="inlineStr">
        <is>
          <t>F16</t>
        </is>
      </c>
      <c r="C249" s="8" t="inlineStr">
        <is>
          <t>10c. Land, buildings, and equipment, net</t>
        </is>
      </c>
      <c r="D249" s="8" t="inlineStr">
        <is>
          <t>10cE</t>
        </is>
      </c>
      <c r="E249" s="8" t="inlineStr">
        <is>
          <t>part_x_balance_sheet.land_bldg_equip_net_eoy</t>
        </is>
      </c>
      <c r="F249" s="8" t="inlineStr">
        <is>
          <t>high</t>
        </is>
      </c>
      <c r="G249" s="9" t="n">
        <v>2048566</v>
      </c>
    </row>
    <row r="250">
      <c r="A250" s="8" t="inlineStr">
        <is>
          <t>Balance sheet (detail)</t>
        </is>
      </c>
      <c r="B250" s="8" t="inlineStr">
        <is>
          <t>B17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C17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D17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E17</t>
        </is>
      </c>
      <c r="C253" s="8" t="inlineStr">
        <is>
          <t>11. Investments - publicly traded securities</t>
        </is>
      </c>
      <c r="D253" s="8" t="inlineStr">
        <is>
          <t>11E</t>
        </is>
      </c>
      <c r="E253" s="8" t="inlineStr">
        <is>
          <t>part_x_balance_sheet.investments_public_securities_eoy</t>
        </is>
      </c>
      <c r="F253" s="8" t="inlineStr">
        <is>
          <t>high</t>
        </is>
      </c>
      <c r="G253" s="9" t="n">
        <v>0</v>
      </c>
    </row>
    <row r="254">
      <c r="A254" s="8" t="inlineStr">
        <is>
          <t>Balance sheet (detail)</t>
        </is>
      </c>
      <c r="B254" s="8" t="inlineStr">
        <is>
          <t>F17</t>
        </is>
      </c>
      <c r="C254" s="8" t="inlineStr">
        <is>
          <t>11. Investments - publicly traded securities</t>
        </is>
      </c>
      <c r="D254" s="8" t="inlineStr">
        <is>
          <t>11E</t>
        </is>
      </c>
      <c r="E254" s="8" t="inlineStr">
        <is>
          <t>part_x_balance_sheet.investments_public_securities_eoy</t>
        </is>
      </c>
      <c r="F254" s="8" t="inlineStr">
        <is>
          <t>high</t>
        </is>
      </c>
      <c r="G254" s="9" t="n">
        <v>0</v>
      </c>
    </row>
    <row r="255">
      <c r="A255" s="8" t="inlineStr">
        <is>
          <t>Balance sheet (detail)</t>
        </is>
      </c>
      <c r="B255" s="8" t="inlineStr">
        <is>
          <t>B18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C18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D18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E18</t>
        </is>
      </c>
      <c r="C258" s="8" t="inlineStr">
        <is>
          <t>12. Investments - other securities</t>
        </is>
      </c>
      <c r="D258" s="8" t="inlineStr">
        <is>
          <t>12E</t>
        </is>
      </c>
      <c r="E258" s="8" t="inlineStr">
        <is>
          <t>part_x_balance_sheet.investments_other_securities_eoy</t>
        </is>
      </c>
      <c r="F258" s="8" t="inlineStr">
        <is>
          <t>high</t>
        </is>
      </c>
      <c r="G258" s="9" t="n">
        <v>0</v>
      </c>
    </row>
    <row r="259">
      <c r="A259" s="8" t="inlineStr">
        <is>
          <t>Balance sheet (detail)</t>
        </is>
      </c>
      <c r="B259" s="8" t="inlineStr">
        <is>
          <t>F18</t>
        </is>
      </c>
      <c r="C259" s="8" t="inlineStr">
        <is>
          <t>12. Investments - other securities</t>
        </is>
      </c>
      <c r="D259" s="8" t="inlineStr">
        <is>
          <t>12E</t>
        </is>
      </c>
      <c r="E259" s="8" t="inlineStr">
        <is>
          <t>part_x_balance_sheet.investments_other_securities_eoy</t>
        </is>
      </c>
      <c r="F259" s="8" t="inlineStr">
        <is>
          <t>high</t>
        </is>
      </c>
      <c r="G259" s="9" t="n">
        <v>0</v>
      </c>
    </row>
    <row r="260">
      <c r="A260" s="8" t="inlineStr">
        <is>
          <t>Balance sheet (detail)</t>
        </is>
      </c>
      <c r="B260" s="8" t="inlineStr">
        <is>
          <t>B19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C19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D19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E19</t>
        </is>
      </c>
      <c r="C263" s="8" t="inlineStr">
        <is>
          <t>13. Investments - program-related</t>
        </is>
      </c>
      <c r="D263" s="8" t="inlineStr">
        <is>
          <t>13E</t>
        </is>
      </c>
      <c r="E263" s="8" t="inlineStr">
        <is>
          <t>part_x_balance_sheet.investments_program_related_eoy</t>
        </is>
      </c>
      <c r="F263" s="8" t="inlineStr">
        <is>
          <t>high</t>
        </is>
      </c>
      <c r="G263" s="9" t="n">
        <v>0</v>
      </c>
    </row>
    <row r="264">
      <c r="A264" s="8" t="inlineStr">
        <is>
          <t>Balance sheet (detail)</t>
        </is>
      </c>
      <c r="B264" s="8" t="inlineStr">
        <is>
          <t>F19</t>
        </is>
      </c>
      <c r="C264" s="8" t="inlineStr">
        <is>
          <t>13. Investments - program-related</t>
        </is>
      </c>
      <c r="D264" s="8" t="inlineStr">
        <is>
          <t>13E</t>
        </is>
      </c>
      <c r="E264" s="8" t="inlineStr">
        <is>
          <t>part_x_balance_sheet.investments_program_related_eoy</t>
        </is>
      </c>
      <c r="F264" s="8" t="inlineStr">
        <is>
          <t>high</t>
        </is>
      </c>
      <c r="G264" s="9" t="n">
        <v>0</v>
      </c>
    </row>
    <row r="265">
      <c r="A265" s="8" t="inlineStr">
        <is>
          <t>Balance sheet (detail)</t>
        </is>
      </c>
      <c r="B265" s="8" t="inlineStr">
        <is>
          <t>B20</t>
        </is>
      </c>
      <c r="C265" s="8" t="inlineStr">
        <is>
          <t>14. Intangible assets</t>
        </is>
      </c>
      <c r="D265" s="8" t="inlineStr">
        <is>
          <t>14E</t>
        </is>
      </c>
      <c r="E265" s="8" t="inlineStr">
        <is>
          <t>part_x_balance_sheet.intangible_assets_eoy</t>
        </is>
      </c>
      <c r="F265" s="8" t="inlineStr">
        <is>
          <t>high</t>
        </is>
      </c>
      <c r="G265" s="9" t="n">
        <v>0</v>
      </c>
    </row>
    <row r="266">
      <c r="A266" s="8" t="inlineStr">
        <is>
          <t>Balance sheet (detail)</t>
        </is>
      </c>
      <c r="B266" s="8" t="inlineStr">
        <is>
          <t>C20</t>
        </is>
      </c>
      <c r="C266" s="8" t="inlineStr">
        <is>
          <t>14. Intangible assets</t>
        </is>
      </c>
      <c r="D266" s="8" t="inlineStr">
        <is>
          <t>14E</t>
        </is>
      </c>
      <c r="E266" s="8" t="inlineStr">
        <is>
          <t>part_x_balance_sheet.intangible_assets_eoy</t>
        </is>
      </c>
      <c r="F266" s="8" t="inlineStr">
        <is>
          <t>high</t>
        </is>
      </c>
      <c r="G266" s="9" t="n">
        <v>0</v>
      </c>
    </row>
    <row r="267">
      <c r="A267" s="8" t="inlineStr">
        <is>
          <t>Balance sheet (detail)</t>
        </is>
      </c>
      <c r="B267" s="8" t="inlineStr">
        <is>
          <t>D20</t>
        </is>
      </c>
      <c r="C267" s="8" t="inlineStr">
        <is>
          <t>14. Intangible assets</t>
        </is>
      </c>
      <c r="D267" s="8" t="inlineStr">
        <is>
          <t>14E</t>
        </is>
      </c>
      <c r="E267" s="8" t="inlineStr">
        <is>
          <t>part_x_balance_sheet.intangible_assets_eoy</t>
        </is>
      </c>
      <c r="F267" s="8" t="inlineStr">
        <is>
          <t>high</t>
        </is>
      </c>
      <c r="G267" s="9" t="n">
        <v>389</v>
      </c>
    </row>
    <row r="268">
      <c r="A268" s="8" t="inlineStr">
        <is>
          <t>Balance sheet (detail)</t>
        </is>
      </c>
      <c r="B268" s="8" t="inlineStr">
        <is>
          <t>E20</t>
        </is>
      </c>
      <c r="C268" s="8" t="inlineStr">
        <is>
          <t>14. Intangible assets</t>
        </is>
      </c>
      <c r="D268" s="8" t="inlineStr">
        <is>
          <t>14E</t>
        </is>
      </c>
      <c r="E268" s="8" t="inlineStr">
        <is>
          <t>part_x_balance_sheet.intangible_assets_eoy</t>
        </is>
      </c>
      <c r="F268" s="8" t="inlineStr">
        <is>
          <t>high</t>
        </is>
      </c>
      <c r="G268" s="9" t="n">
        <v>222</v>
      </c>
    </row>
    <row r="269">
      <c r="A269" s="8" t="inlineStr">
        <is>
          <t>Balance sheet (detail)</t>
        </is>
      </c>
      <c r="B269" s="8" t="inlineStr">
        <is>
          <t>F20</t>
        </is>
      </c>
      <c r="C269" s="8" t="inlineStr">
        <is>
          <t>14. Intangible assets</t>
        </is>
      </c>
      <c r="D269" s="8" t="inlineStr">
        <is>
          <t>14E</t>
        </is>
      </c>
      <c r="E269" s="8" t="inlineStr">
        <is>
          <t>part_x_balance_sheet.intangible_assets_eoy</t>
        </is>
      </c>
      <c r="F269" s="8" t="inlineStr">
        <is>
          <t>high</t>
        </is>
      </c>
      <c r="G269" s="9" t="n">
        <v>55</v>
      </c>
    </row>
    <row r="270">
      <c r="A270" s="8" t="inlineStr">
        <is>
          <t>Balance sheet (detail)</t>
        </is>
      </c>
      <c r="B270" s="8" t="inlineStr">
        <is>
          <t>B21</t>
        </is>
      </c>
      <c r="C270" s="8" t="inlineStr">
        <is>
          <t>15. Other assets</t>
        </is>
      </c>
      <c r="D270" s="8" t="inlineStr">
        <is>
          <t>15E</t>
        </is>
      </c>
      <c r="E270" s="8" t="inlineStr">
        <is>
          <t>part_x_balance_sheet.other_assets_eoy</t>
        </is>
      </c>
      <c r="F270" s="8" t="inlineStr">
        <is>
          <t>high</t>
        </is>
      </c>
      <c r="G270" s="9" t="n">
        <v>100064</v>
      </c>
    </row>
    <row r="271">
      <c r="A271" s="8" t="inlineStr">
        <is>
          <t>Balance sheet (detail)</t>
        </is>
      </c>
      <c r="B271" s="8" t="inlineStr">
        <is>
          <t>C21</t>
        </is>
      </c>
      <c r="C271" s="8" t="inlineStr">
        <is>
          <t>15. Other assets</t>
        </is>
      </c>
      <c r="D271" s="8" t="inlineStr">
        <is>
          <t>15E</t>
        </is>
      </c>
      <c r="E271" s="8" t="inlineStr">
        <is>
          <t>part_x_balance_sheet.other_assets_eoy</t>
        </is>
      </c>
      <c r="F271" s="8" t="inlineStr">
        <is>
          <t>high</t>
        </is>
      </c>
      <c r="G271" s="9" t="n">
        <v>100064</v>
      </c>
    </row>
    <row r="272">
      <c r="A272" s="8" t="inlineStr">
        <is>
          <t>Balance sheet (detail)</t>
        </is>
      </c>
      <c r="B272" s="8" t="inlineStr">
        <is>
          <t>D21</t>
        </is>
      </c>
      <c r="C272" s="8" t="inlineStr">
        <is>
          <t>15. Other assets</t>
        </is>
      </c>
      <c r="D272" s="8" t="inlineStr">
        <is>
          <t>15E</t>
        </is>
      </c>
      <c r="E272" s="8" t="inlineStr">
        <is>
          <t>part_x_balance_sheet.other_assets_eoy</t>
        </is>
      </c>
      <c r="F272" s="8" t="inlineStr">
        <is>
          <t>high</t>
        </is>
      </c>
      <c r="G272" s="9" t="n">
        <v>100064</v>
      </c>
    </row>
    <row r="273">
      <c r="A273" s="8" t="inlineStr">
        <is>
          <t>Balance sheet (detail)</t>
        </is>
      </c>
      <c r="B273" s="8" t="inlineStr">
        <is>
          <t>E21</t>
        </is>
      </c>
      <c r="C273" s="8" t="inlineStr">
        <is>
          <t>15. Other assets</t>
        </is>
      </c>
      <c r="D273" s="8" t="inlineStr">
        <is>
          <t>15E</t>
        </is>
      </c>
      <c r="E273" s="8" t="inlineStr">
        <is>
          <t>part_x_balance_sheet.other_assets_eoy</t>
        </is>
      </c>
      <c r="F273" s="8" t="inlineStr">
        <is>
          <t>high</t>
        </is>
      </c>
      <c r="G273" s="9" t="n">
        <v>100064</v>
      </c>
    </row>
    <row r="274">
      <c r="A274" s="8" t="inlineStr">
        <is>
          <t>Balance sheet (detail)</t>
        </is>
      </c>
      <c r="B274" s="8" t="inlineStr">
        <is>
          <t>F21</t>
        </is>
      </c>
      <c r="C274" s="8" t="inlineStr">
        <is>
          <t>15. Other assets</t>
        </is>
      </c>
      <c r="D274" s="8" t="inlineStr">
        <is>
          <t>15E</t>
        </is>
      </c>
      <c r="E274" s="8" t="inlineStr">
        <is>
          <t>part_x_balance_sheet.other_assets_eoy</t>
        </is>
      </c>
      <c r="F274" s="8" t="inlineStr">
        <is>
          <t>high</t>
        </is>
      </c>
      <c r="G274" s="9" t="n">
        <v>100064</v>
      </c>
    </row>
    <row r="275">
      <c r="A275" s="8" t="inlineStr">
        <is>
          <t>Balance sheet (detail)</t>
        </is>
      </c>
      <c r="B275" s="8" t="inlineStr">
        <is>
          <t>B25</t>
        </is>
      </c>
      <c r="C275" s="8" t="inlineStr">
        <is>
          <t>17. Accounts payable and accrued expenses</t>
        </is>
      </c>
      <c r="D275" s="8" t="inlineStr">
        <is>
          <t>17E</t>
        </is>
      </c>
      <c r="E275" s="8" t="inlineStr">
        <is>
          <t>part_x_balance_sheet.accounts_payable_eoy</t>
        </is>
      </c>
      <c r="F275" s="8" t="inlineStr">
        <is>
          <t>high</t>
        </is>
      </c>
      <c r="G275" s="9" t="n">
        <v>386</v>
      </c>
    </row>
    <row r="276">
      <c r="A276" s="8" t="inlineStr">
        <is>
          <t>Balance sheet (detail)</t>
        </is>
      </c>
      <c r="B276" s="8" t="inlineStr">
        <is>
          <t>C25</t>
        </is>
      </c>
      <c r="C276" s="8" t="inlineStr">
        <is>
          <t>17. Accounts payable and accrued expenses</t>
        </is>
      </c>
      <c r="D276" s="8" t="inlineStr">
        <is>
          <t>17E</t>
        </is>
      </c>
      <c r="E276" s="8" t="inlineStr">
        <is>
          <t>part_x_balance_sheet.accounts_payable_eoy</t>
        </is>
      </c>
      <c r="F276" s="8" t="inlineStr">
        <is>
          <t>high</t>
        </is>
      </c>
      <c r="G276" s="9" t="n">
        <v>401</v>
      </c>
    </row>
    <row r="277">
      <c r="A277" s="8" t="inlineStr">
        <is>
          <t>Balance sheet (detail)</t>
        </is>
      </c>
      <c r="B277" s="8" t="inlineStr">
        <is>
          <t>D25</t>
        </is>
      </c>
      <c r="C277" s="8" t="inlineStr">
        <is>
          <t>17. Accounts payable and accrued expenses</t>
        </is>
      </c>
      <c r="D277" s="8" t="inlineStr">
        <is>
          <t>17E</t>
        </is>
      </c>
      <c r="E277" s="8" t="inlineStr">
        <is>
          <t>part_x_balance_sheet.accounts_payable_eoy</t>
        </is>
      </c>
      <c r="F277" s="8" t="inlineStr">
        <is>
          <t>high</t>
        </is>
      </c>
      <c r="G277" s="9" t="n">
        <v>18150</v>
      </c>
    </row>
    <row r="278">
      <c r="A278" s="8" t="inlineStr">
        <is>
          <t>Balance sheet (detail)</t>
        </is>
      </c>
      <c r="B278" s="8" t="inlineStr">
        <is>
          <t>E25</t>
        </is>
      </c>
      <c r="C278" s="8" t="inlineStr">
        <is>
          <t>17. Accounts payable and accrued expenses</t>
        </is>
      </c>
      <c r="D278" s="8" t="inlineStr">
        <is>
          <t>17E</t>
        </is>
      </c>
      <c r="E278" s="8" t="inlineStr">
        <is>
          <t>part_x_balance_sheet.accounts_payable_eoy</t>
        </is>
      </c>
      <c r="F278" s="8" t="inlineStr">
        <is>
          <t>high</t>
        </is>
      </c>
      <c r="G278" s="9" t="n">
        <v>48813</v>
      </c>
    </row>
    <row r="279">
      <c r="A279" s="8" t="inlineStr">
        <is>
          <t>Balance sheet (detail)</t>
        </is>
      </c>
      <c r="B279" s="8" t="inlineStr">
        <is>
          <t>F25</t>
        </is>
      </c>
      <c r="C279" s="8" t="inlineStr">
        <is>
          <t>17. Accounts payable and accrued expenses</t>
        </is>
      </c>
      <c r="D279" s="8" t="inlineStr">
        <is>
          <t>17E</t>
        </is>
      </c>
      <c r="E279" s="8" t="inlineStr">
        <is>
          <t>part_x_balance_sheet.accounts_payable_eoy</t>
        </is>
      </c>
      <c r="F279" s="8" t="inlineStr">
        <is>
          <t>high</t>
        </is>
      </c>
      <c r="G279" s="9" t="n">
        <v>7886</v>
      </c>
    </row>
    <row r="280">
      <c r="A280" s="8" t="inlineStr">
        <is>
          <t>Balance sheet (detail)</t>
        </is>
      </c>
      <c r="B280" s="8" t="inlineStr">
        <is>
          <t>C26</t>
        </is>
      </c>
      <c r="C280" s="8" t="inlineStr">
        <is>
          <t>19. Deferred revenue</t>
        </is>
      </c>
      <c r="D280" s="8" t="inlineStr">
        <is>
          <t>19E</t>
        </is>
      </c>
      <c r="E280" s="8" t="inlineStr">
        <is>
          <t>part_x_balance_sheet.deferred_revenue_eoy</t>
        </is>
      </c>
      <c r="F280" s="8" t="inlineStr">
        <is>
          <t>high</t>
        </is>
      </c>
      <c r="G280" s="9" t="n">
        <v>727</v>
      </c>
    </row>
    <row r="281">
      <c r="A281" s="8" t="inlineStr">
        <is>
          <t>Balance sheet (detail)</t>
        </is>
      </c>
      <c r="B281" s="8" t="inlineStr">
        <is>
          <t>D26</t>
        </is>
      </c>
      <c r="C281" s="8" t="inlineStr">
        <is>
          <t>19. Deferred revenue</t>
        </is>
      </c>
      <c r="D281" s="8" t="inlineStr">
        <is>
          <t>19E</t>
        </is>
      </c>
      <c r="E281" s="8" t="inlineStr">
        <is>
          <t>part_x_balance_sheet.deferred_revenue_eoy</t>
        </is>
      </c>
      <c r="F281" s="8" t="inlineStr">
        <is>
          <t>high</t>
        </is>
      </c>
      <c r="G281" s="9" t="n">
        <v>268301</v>
      </c>
    </row>
    <row r="282">
      <c r="A282" s="8" t="inlineStr">
        <is>
          <t>Balance sheet (detail)</t>
        </is>
      </c>
      <c r="B282" s="8" t="inlineStr">
        <is>
          <t>E26</t>
        </is>
      </c>
      <c r="C282" s="8" t="inlineStr">
        <is>
          <t>19. Deferred revenue</t>
        </is>
      </c>
      <c r="D282" s="8" t="inlineStr">
        <is>
          <t>19E</t>
        </is>
      </c>
      <c r="E282" s="8" t="inlineStr">
        <is>
          <t>part_x_balance_sheet.deferred_revenue_eoy</t>
        </is>
      </c>
      <c r="F282" s="8" t="inlineStr">
        <is>
          <t>high</t>
        </is>
      </c>
      <c r="G282" s="9" t="n">
        <v>268301</v>
      </c>
    </row>
    <row r="283">
      <c r="A283" s="8" t="inlineStr">
        <is>
          <t>Balance sheet (detail)</t>
        </is>
      </c>
      <c r="B283" s="8" t="inlineStr">
        <is>
          <t>F26</t>
        </is>
      </c>
      <c r="C283" s="8" t="inlineStr">
        <is>
          <t>19. Deferred revenue</t>
        </is>
      </c>
      <c r="D283" s="8" t="inlineStr">
        <is>
          <t>19E</t>
        </is>
      </c>
      <c r="E283" s="8" t="inlineStr">
        <is>
          <t>part_x_balance_sheet.deferred_revenue_eoy</t>
        </is>
      </c>
      <c r="F283" s="8" t="inlineStr">
        <is>
          <t>high</t>
        </is>
      </c>
      <c r="G283" s="9" t="n">
        <v>703279</v>
      </c>
    </row>
    <row r="284">
      <c r="A284" s="8" t="inlineStr">
        <is>
          <t>Balance sheet (detail)</t>
        </is>
      </c>
      <c r="B284" s="8" t="inlineStr">
        <is>
          <t>B27</t>
        </is>
      </c>
      <c r="C284" s="8" t="inlineStr">
        <is>
          <t>23. Secured mortgages and notes payable</t>
        </is>
      </c>
      <c r="D284" s="8" t="inlineStr">
        <is>
          <t>23E</t>
        </is>
      </c>
      <c r="E284" s="8" t="inlineStr">
        <is>
          <t>part_x_balance_sheet.mortgages_secured_notes_eoy</t>
        </is>
      </c>
      <c r="F284" s="8" t="inlineStr">
        <is>
          <t>high</t>
        </is>
      </c>
      <c r="G284" s="9" t="n">
        <v>484543</v>
      </c>
    </row>
    <row r="285">
      <c r="A285" s="8" t="inlineStr">
        <is>
          <t>Balance sheet (detail)</t>
        </is>
      </c>
      <c r="B285" s="8" t="inlineStr">
        <is>
          <t>C27</t>
        </is>
      </c>
      <c r="C285" s="8" t="inlineStr">
        <is>
          <t>23. Secured mortgages and notes payable</t>
        </is>
      </c>
      <c r="D285" s="8" t="inlineStr">
        <is>
          <t>23E</t>
        </is>
      </c>
      <c r="E285" s="8" t="inlineStr">
        <is>
          <t>part_x_balance_sheet.mortgages_secured_notes_eoy</t>
        </is>
      </c>
      <c r="F285" s="8" t="inlineStr">
        <is>
          <t>high</t>
        </is>
      </c>
      <c r="G285" s="9" t="n">
        <v>538605</v>
      </c>
    </row>
    <row r="286">
      <c r="A286" s="8" t="inlineStr">
        <is>
          <t>Balance sheet (detail)</t>
        </is>
      </c>
      <c r="B286" s="8" t="inlineStr">
        <is>
          <t>D27</t>
        </is>
      </c>
      <c r="C286" s="8" t="inlineStr">
        <is>
          <t>23. Secured mortgages and notes payable</t>
        </is>
      </c>
      <c r="D286" s="8" t="inlineStr">
        <is>
          <t>23E</t>
        </is>
      </c>
      <c r="E286" s="8" t="inlineStr">
        <is>
          <t>part_x_balance_sheet.mortgages_secured_notes_eoy</t>
        </is>
      </c>
      <c r="F286" s="8" t="inlineStr">
        <is>
          <t>high</t>
        </is>
      </c>
      <c r="G286" s="9" t="n">
        <v>517240</v>
      </c>
    </row>
    <row r="287">
      <c r="A287" s="8" t="inlineStr">
        <is>
          <t>Balance sheet (detail)</t>
        </is>
      </c>
      <c r="B287" s="8" t="inlineStr">
        <is>
          <t>E27</t>
        </is>
      </c>
      <c r="C287" s="8" t="inlineStr">
        <is>
          <t>23. Secured mortgages and notes payable</t>
        </is>
      </c>
      <c r="D287" s="8" t="inlineStr">
        <is>
          <t>23E</t>
        </is>
      </c>
      <c r="E287" s="8" t="inlineStr">
        <is>
          <t>part_x_balance_sheet.mortgages_secured_notes_eoy</t>
        </is>
      </c>
      <c r="F287" s="8" t="inlineStr">
        <is>
          <t>high</t>
        </is>
      </c>
      <c r="G287" s="9" t="n">
        <v>483533</v>
      </c>
    </row>
    <row r="288">
      <c r="A288" s="8" t="inlineStr">
        <is>
          <t>Balance sheet (detail)</t>
        </is>
      </c>
      <c r="B288" s="8" t="inlineStr">
        <is>
          <t>F27</t>
        </is>
      </c>
      <c r="C288" s="8" t="inlineStr">
        <is>
          <t>23. Secured mortgages and notes payable</t>
        </is>
      </c>
      <c r="D288" s="8" t="inlineStr">
        <is>
          <t>23E</t>
        </is>
      </c>
      <c r="E288" s="8" t="inlineStr">
        <is>
          <t>part_x_balance_sheet.mortgages_secured_notes_eoy</t>
        </is>
      </c>
      <c r="F288" s="8" t="inlineStr">
        <is>
          <t>high</t>
        </is>
      </c>
      <c r="G288" s="9" t="n">
        <v>446811</v>
      </c>
    </row>
    <row r="289">
      <c r="A289" s="8" t="inlineStr">
        <is>
          <t>Balance sheet (detail)</t>
        </is>
      </c>
      <c r="B289" s="8" t="inlineStr">
        <is>
          <t>B28</t>
        </is>
      </c>
      <c r="C289" s="8" t="inlineStr">
        <is>
          <t>25. Other liabilities</t>
        </is>
      </c>
      <c r="D289" s="8" t="inlineStr">
        <is>
          <t>25E</t>
        </is>
      </c>
      <c r="E289" s="8" t="inlineStr">
        <is>
          <t>part_x_balance_sheet.other_liabilities_eoy</t>
        </is>
      </c>
      <c r="F289" s="8" t="inlineStr">
        <is>
          <t>high</t>
        </is>
      </c>
      <c r="G289" s="9" t="n">
        <v>69025</v>
      </c>
    </row>
    <row r="290">
      <c r="A290" s="8" t="inlineStr">
        <is>
          <t>Balance sheet (detail)</t>
        </is>
      </c>
      <c r="B290" s="8" t="inlineStr">
        <is>
          <t>C28</t>
        </is>
      </c>
      <c r="C290" s="8" t="inlineStr">
        <is>
          <t>25. Other liabilities</t>
        </is>
      </c>
      <c r="D290" s="8" t="inlineStr">
        <is>
          <t>25E</t>
        </is>
      </c>
      <c r="E290" s="8" t="inlineStr">
        <is>
          <t>part_x_balance_sheet.other_liabilities_eoy</t>
        </is>
      </c>
      <c r="F290" s="8" t="inlineStr">
        <is>
          <t>high</t>
        </is>
      </c>
      <c r="G290" s="9" t="n">
        <v>8163</v>
      </c>
    </row>
    <row r="291">
      <c r="A291" s="8" t="inlineStr">
        <is>
          <t>Balance sheet (detail)</t>
        </is>
      </c>
      <c r="B291" s="8" t="inlineStr">
        <is>
          <t>D28</t>
        </is>
      </c>
      <c r="C291" s="8" t="inlineStr">
        <is>
          <t>25. Other liabilities</t>
        </is>
      </c>
      <c r="D291" s="8" t="inlineStr">
        <is>
          <t>25E</t>
        </is>
      </c>
      <c r="E291" s="8" t="inlineStr">
        <is>
          <t>part_x_balance_sheet.other_liabilities_eoy</t>
        </is>
      </c>
      <c r="F291" s="8" t="inlineStr">
        <is>
          <t>high</t>
        </is>
      </c>
      <c r="G291" s="9" t="n">
        <v>1116</v>
      </c>
    </row>
    <row r="292">
      <c r="A292" s="8" t="inlineStr">
        <is>
          <t>Balance sheet (detail)</t>
        </is>
      </c>
      <c r="B292" s="8" t="inlineStr">
        <is>
          <t>E28</t>
        </is>
      </c>
      <c r="C292" s="8" t="inlineStr">
        <is>
          <t>25. Other liabilities</t>
        </is>
      </c>
      <c r="D292" s="8" t="inlineStr">
        <is>
          <t>25E</t>
        </is>
      </c>
      <c r="E292" s="8" t="inlineStr">
        <is>
          <t>part_x_balance_sheet.other_liabilities_eoy</t>
        </is>
      </c>
      <c r="F292" s="8" t="inlineStr">
        <is>
          <t>high</t>
        </is>
      </c>
      <c r="G292" s="9" t="n">
        <v>2456</v>
      </c>
    </row>
    <row r="293">
      <c r="A293" s="8" t="inlineStr">
        <is>
          <t>Balance sheet (detail)</t>
        </is>
      </c>
      <c r="B293" s="8" t="inlineStr">
        <is>
          <t>F28</t>
        </is>
      </c>
      <c r="C293" s="8" t="inlineStr">
        <is>
          <t>25. Other liabilities</t>
        </is>
      </c>
      <c r="D293" s="8" t="inlineStr">
        <is>
          <t>25E</t>
        </is>
      </c>
      <c r="E293" s="8" t="inlineStr">
        <is>
          <t>part_x_balance_sheet.other_liabilities_eoy</t>
        </is>
      </c>
      <c r="F293" s="8" t="inlineStr">
        <is>
          <t>high</t>
        </is>
      </c>
      <c r="G293" s="9" t="n">
        <v>888</v>
      </c>
    </row>
    <row r="294">
      <c r="A294" s="8" t="inlineStr">
        <is>
          <t>Balance sheet (detail)</t>
        </is>
      </c>
      <c r="B294" s="8" t="inlineStr">
        <is>
          <t>B32</t>
        </is>
      </c>
      <c r="C294" s="8" t="inlineStr">
        <is>
          <t>29. Capital stock or trust principal</t>
        </is>
      </c>
      <c r="D294" s="8" t="inlineStr">
        <is>
          <t>29E</t>
        </is>
      </c>
      <c r="E294" s="8" t="inlineStr">
        <is>
          <t>part_x_balance_sheet.cap_stock_eoy</t>
        </is>
      </c>
      <c r="F294" s="8" t="inlineStr">
        <is>
          <t>high</t>
        </is>
      </c>
      <c r="G294" s="9" t="n">
        <v>276619</v>
      </c>
    </row>
    <row r="295">
      <c r="A295" s="8" t="inlineStr">
        <is>
          <t>Balance sheet (detail)</t>
        </is>
      </c>
      <c r="B295" s="8" t="inlineStr">
        <is>
          <t>C32</t>
        </is>
      </c>
      <c r="C295" s="8" t="inlineStr">
        <is>
          <t>29. Capital stock or trust principal</t>
        </is>
      </c>
      <c r="D295" s="8" t="inlineStr">
        <is>
          <t>29E</t>
        </is>
      </c>
      <c r="E295" s="8" t="inlineStr">
        <is>
          <t>part_x_balance_sheet.cap_stock_eoy</t>
        </is>
      </c>
      <c r="F295" s="8" t="inlineStr">
        <is>
          <t>high</t>
        </is>
      </c>
      <c r="G295" s="9" t="n">
        <v>276619</v>
      </c>
    </row>
    <row r="296">
      <c r="A296" s="8" t="inlineStr">
        <is>
          <t>Balance sheet (detail)</t>
        </is>
      </c>
      <c r="B296" s="8" t="inlineStr">
        <is>
          <t>D32</t>
        </is>
      </c>
      <c r="C296" s="8" t="inlineStr">
        <is>
          <t>29. Capital stock or trust principal</t>
        </is>
      </c>
      <c r="D296" s="8" t="inlineStr">
        <is>
          <t>29E</t>
        </is>
      </c>
      <c r="E296" s="8" t="inlineStr">
        <is>
          <t>part_x_balance_sheet.cap_stock_eoy</t>
        </is>
      </c>
      <c r="F296" s="8" t="inlineStr">
        <is>
          <t>high</t>
        </is>
      </c>
      <c r="G296" s="9" t="n">
        <v>276619</v>
      </c>
    </row>
    <row r="297">
      <c r="A297" s="8" t="inlineStr">
        <is>
          <t>Balance sheet (detail)</t>
        </is>
      </c>
      <c r="B297" s="8" t="inlineStr">
        <is>
          <t>E32</t>
        </is>
      </c>
      <c r="C297" s="8" t="inlineStr">
        <is>
          <t>29. Capital stock or trust principal</t>
        </is>
      </c>
      <c r="D297" s="8" t="inlineStr">
        <is>
          <t>29E</t>
        </is>
      </c>
      <c r="E297" s="8" t="inlineStr">
        <is>
          <t>part_x_balance_sheet.cap_stock_eoy</t>
        </is>
      </c>
      <c r="F297" s="8" t="inlineStr">
        <is>
          <t>high</t>
        </is>
      </c>
      <c r="G297" s="9" t="n">
        <v>276619</v>
      </c>
    </row>
    <row r="298">
      <c r="A298" s="8" t="inlineStr">
        <is>
          <t>Balance sheet (detail)</t>
        </is>
      </c>
      <c r="B298" s="8" t="inlineStr">
        <is>
          <t>F32</t>
        </is>
      </c>
      <c r="C298" s="8" t="inlineStr">
        <is>
          <t>29. Capital stock or trust principal</t>
        </is>
      </c>
      <c r="D298" s="8" t="inlineStr">
        <is>
          <t>29E</t>
        </is>
      </c>
      <c r="E298" s="8" t="inlineStr">
        <is>
          <t>part_x_balance_sheet.cap_stock_eoy</t>
        </is>
      </c>
      <c r="F298" s="8" t="inlineStr">
        <is>
          <t>high</t>
        </is>
      </c>
      <c r="G298" s="9" t="n">
        <v>276619</v>
      </c>
    </row>
    <row r="299">
      <c r="A299" s="8" t="inlineStr">
        <is>
          <t>Balance sheet (detail)</t>
        </is>
      </c>
      <c r="B299" s="8" t="inlineStr">
        <is>
          <t>B33</t>
        </is>
      </c>
      <c r="C299" s="8" t="inlineStr">
        <is>
          <t>31. Retained earnings / accumulated funds</t>
        </is>
      </c>
      <c r="D299" s="8" t="inlineStr">
        <is>
          <t>31E</t>
        </is>
      </c>
      <c r="E299" s="8" t="inlineStr">
        <is>
          <t>part_x_balance_sheet.retained_earnings_eoy</t>
        </is>
      </c>
      <c r="F299" s="8" t="inlineStr">
        <is>
          <t>high</t>
        </is>
      </c>
      <c r="G299" s="9" t="n">
        <v>868427</v>
      </c>
    </row>
    <row r="300">
      <c r="A300" s="8" t="inlineStr">
        <is>
          <t>Balance sheet (detail)</t>
        </is>
      </c>
      <c r="B300" s="8" t="inlineStr">
        <is>
          <t>C33</t>
        </is>
      </c>
      <c r="C300" s="8" t="inlineStr">
        <is>
          <t>31. Retained earnings / accumulated funds</t>
        </is>
      </c>
      <c r="D300" s="8" t="inlineStr">
        <is>
          <t>31E</t>
        </is>
      </c>
      <c r="E300" s="8" t="inlineStr">
        <is>
          <t>part_x_balance_sheet.retained_earnings_eoy</t>
        </is>
      </c>
      <c r="F300" s="8" t="inlineStr">
        <is>
          <t>high</t>
        </is>
      </c>
      <c r="G300" s="9" t="n">
        <v>700998</v>
      </c>
    </row>
    <row r="301">
      <c r="A301" s="8" t="inlineStr">
        <is>
          <t>Balance sheet (detail)</t>
        </is>
      </c>
      <c r="B301" s="8" t="inlineStr">
        <is>
          <t>D33</t>
        </is>
      </c>
      <c r="C301" s="8" t="inlineStr">
        <is>
          <t>31. Retained earnings / accumulated funds</t>
        </is>
      </c>
      <c r="D301" s="8" t="inlineStr">
        <is>
          <t>31E</t>
        </is>
      </c>
      <c r="E301" s="8" t="inlineStr">
        <is>
          <t>part_x_balance_sheet.retained_earnings_eoy</t>
        </is>
      </c>
      <c r="F301" s="8" t="inlineStr">
        <is>
          <t>high</t>
        </is>
      </c>
      <c r="G301" s="9" t="n">
        <v>772563</v>
      </c>
    </row>
    <row r="302">
      <c r="A302" s="8" t="inlineStr">
        <is>
          <t>Balance sheet (detail)</t>
        </is>
      </c>
      <c r="B302" s="8" t="inlineStr">
        <is>
          <t>E33</t>
        </is>
      </c>
      <c r="C302" s="8" t="inlineStr">
        <is>
          <t>31. Retained earnings / accumulated funds</t>
        </is>
      </c>
      <c r="D302" s="8" t="inlineStr">
        <is>
          <t>31E</t>
        </is>
      </c>
      <c r="E302" s="8" t="inlineStr">
        <is>
          <t>part_x_balance_sheet.retained_earnings_eoy</t>
        </is>
      </c>
      <c r="F302" s="8" t="inlineStr">
        <is>
          <t>high</t>
        </is>
      </c>
      <c r="G302" s="9" t="n">
        <v>1205903</v>
      </c>
    </row>
    <row r="303">
      <c r="A303" s="8" t="inlineStr">
        <is>
          <t>Balance sheet (detail)</t>
        </is>
      </c>
      <c r="B303" s="8" t="inlineStr">
        <is>
          <t>F33</t>
        </is>
      </c>
      <c r="C303" s="8" t="inlineStr">
        <is>
          <t>31. Retained earnings / accumulated funds</t>
        </is>
      </c>
      <c r="D303" s="8" t="inlineStr">
        <is>
          <t>31E</t>
        </is>
      </c>
      <c r="E303" s="8" t="inlineStr">
        <is>
          <t>part_x_balance_sheet.retained_earnings_eoy</t>
        </is>
      </c>
      <c r="F303" s="8" t="inlineStr">
        <is>
          <t>high</t>
        </is>
      </c>
      <c r="G303" s="9" t="n">
        <v>1851502</v>
      </c>
    </row>
    <row r="304">
      <c r="A304" s="8" t="inlineStr">
        <is>
          <t>Net-assets reconciliation</t>
        </is>
      </c>
      <c r="B304" s="8" t="inlineStr">
        <is>
          <t>B7</t>
        </is>
      </c>
      <c r="C304" s="8" t="inlineStr">
        <is>
          <t>4. Net assets, beginning of year</t>
        </is>
      </c>
      <c r="D304" s="8" t="inlineStr">
        <is>
          <t>Part XI line 4</t>
        </is>
      </c>
      <c r="E304" s="8" t="inlineStr">
        <is>
          <t>part_xi_reconciliation.net_assets_boy</t>
        </is>
      </c>
      <c r="F304" s="8" t="inlineStr">
        <is>
          <t>high</t>
        </is>
      </c>
      <c r="G304" s="9" t="n">
        <v>1141670</v>
      </c>
    </row>
    <row r="305">
      <c r="A305" s="8" t="inlineStr">
        <is>
          <t>Net-assets reconciliation</t>
        </is>
      </c>
      <c r="B305" s="8" t="inlineStr">
        <is>
          <t>C7</t>
        </is>
      </c>
      <c r="C305" s="8" t="inlineStr">
        <is>
          <t>4. Net assets, beginning of year</t>
        </is>
      </c>
      <c r="D305" s="8" t="inlineStr">
        <is>
          <t>Part XI line 4</t>
        </is>
      </c>
      <c r="E305" s="8" t="inlineStr">
        <is>
          <t>part_xi_reconciliation.net_assets_boy</t>
        </is>
      </c>
      <c r="F305" s="8" t="inlineStr">
        <is>
          <t>high</t>
        </is>
      </c>
      <c r="G305" s="9" t="n">
        <v>1145046</v>
      </c>
    </row>
    <row r="306">
      <c r="A306" s="8" t="inlineStr">
        <is>
          <t>Net-assets reconciliation</t>
        </is>
      </c>
      <c r="B306" s="8" t="inlineStr">
        <is>
          <t>D7</t>
        </is>
      </c>
      <c r="C306" s="8" t="inlineStr">
        <is>
          <t>4. Net assets, beginning of year</t>
        </is>
      </c>
      <c r="D306" s="8" t="inlineStr">
        <is>
          <t>Part XI line 4</t>
        </is>
      </c>
      <c r="E306" s="8" t="inlineStr">
        <is>
          <t>part_xi_reconciliation.net_assets_boy</t>
        </is>
      </c>
      <c r="F306" s="8" t="inlineStr">
        <is>
          <t>high</t>
        </is>
      </c>
      <c r="G306" s="9" t="n">
        <v>977617</v>
      </c>
    </row>
    <row r="307">
      <c r="A307" s="8" t="inlineStr">
        <is>
          <t>Net-assets reconciliation</t>
        </is>
      </c>
      <c r="B307" s="8" t="inlineStr">
        <is>
          <t>E7</t>
        </is>
      </c>
      <c r="C307" s="8" t="inlineStr">
        <is>
          <t>4. Net assets, beginning of year</t>
        </is>
      </c>
      <c r="D307" s="8" t="inlineStr">
        <is>
          <t>Part XI line 4</t>
        </is>
      </c>
      <c r="E307" s="8" t="inlineStr">
        <is>
          <t>part_xi_reconciliation.net_assets_boy</t>
        </is>
      </c>
      <c r="F307" s="8" t="inlineStr">
        <is>
          <t>high</t>
        </is>
      </c>
      <c r="G307" s="9" t="n">
        <v>1084893</v>
      </c>
    </row>
    <row r="308">
      <c r="A308" s="8" t="inlineStr">
        <is>
          <t>Net-assets reconciliation</t>
        </is>
      </c>
      <c r="B308" s="8" t="inlineStr">
        <is>
          <t>F7</t>
        </is>
      </c>
      <c r="C308" s="8" t="inlineStr">
        <is>
          <t>4. Net assets, beginning of year</t>
        </is>
      </c>
      <c r="D308" s="8" t="inlineStr">
        <is>
          <t>Part XI line 4</t>
        </is>
      </c>
      <c r="E308" s="8" t="inlineStr">
        <is>
          <t>part_xi_reconciliation.net_assets_boy</t>
        </is>
      </c>
      <c r="F308" s="8" t="inlineStr">
        <is>
          <t>high</t>
        </is>
      </c>
      <c r="G308" s="9" t="n">
        <v>1482522</v>
      </c>
    </row>
    <row r="309">
      <c r="A309" s="8" t="inlineStr">
        <is>
          <t>Net-assets reconciliation</t>
        </is>
      </c>
      <c r="B309" s="8" t="inlineStr">
        <is>
          <t>B8</t>
        </is>
      </c>
      <c r="C309" s="8" t="inlineStr">
        <is>
          <t>3. Revenue less expenses</t>
        </is>
      </c>
      <c r="D309" s="8" t="inlineStr">
        <is>
          <t>Part XI line 3</t>
        </is>
      </c>
      <c r="E309" s="8" t="inlineStr">
        <is>
          <t>part_xi_reconciliation.reconciliation_revenue_expenses</t>
        </is>
      </c>
      <c r="F309" s="8" t="inlineStr">
        <is>
          <t>high</t>
        </is>
      </c>
      <c r="G309" s="9" t="n">
        <v>-15546</v>
      </c>
    </row>
    <row r="310">
      <c r="A310" s="8" t="inlineStr">
        <is>
          <t>Net-assets reconciliation</t>
        </is>
      </c>
      <c r="B310" s="8" t="inlineStr">
        <is>
          <t>C8</t>
        </is>
      </c>
      <c r="C310" s="8" t="inlineStr">
        <is>
          <t>3. Revenue less expenses</t>
        </is>
      </c>
      <c r="D310" s="8" t="inlineStr">
        <is>
          <t>Part XI line 3</t>
        </is>
      </c>
      <c r="E310" s="8" t="inlineStr">
        <is>
          <t>part_xi_reconciliation.reconciliation_revenue_expenses</t>
        </is>
      </c>
      <c r="F310" s="8" t="inlineStr">
        <is>
          <t>high</t>
        </is>
      </c>
      <c r="G310" s="9" t="n">
        <v>-167429</v>
      </c>
    </row>
    <row r="311">
      <c r="A311" s="8" t="inlineStr">
        <is>
          <t>Net-assets reconciliation</t>
        </is>
      </c>
      <c r="B311" s="8" t="inlineStr">
        <is>
          <t>D8</t>
        </is>
      </c>
      <c r="C311" s="8" t="inlineStr">
        <is>
          <t>3. Revenue less expenses</t>
        </is>
      </c>
      <c r="D311" s="8" t="inlineStr">
        <is>
          <t>Part XI line 3</t>
        </is>
      </c>
      <c r="E311" s="8" t="inlineStr">
        <is>
          <t>part_xi_reconciliation.reconciliation_revenue_expenses</t>
        </is>
      </c>
      <c r="F311" s="8" t="inlineStr">
        <is>
          <t>high</t>
        </is>
      </c>
      <c r="G311" s="9" t="n">
        <v>71565</v>
      </c>
    </row>
    <row r="312">
      <c r="A312" s="8" t="inlineStr">
        <is>
          <t>Net-assets reconciliation</t>
        </is>
      </c>
      <c r="B312" s="8" t="inlineStr">
        <is>
          <t>E8</t>
        </is>
      </c>
      <c r="C312" s="8" t="inlineStr">
        <is>
          <t>3. Revenue less expenses</t>
        </is>
      </c>
      <c r="D312" s="8" t="inlineStr">
        <is>
          <t>Part XI line 3</t>
        </is>
      </c>
      <c r="E312" s="8" t="inlineStr">
        <is>
          <t>part_xi_reconciliation.reconciliation_revenue_expenses</t>
        </is>
      </c>
      <c r="F312" s="8" t="inlineStr">
        <is>
          <t>high</t>
        </is>
      </c>
      <c r="G312" s="9" t="n">
        <v>397629</v>
      </c>
    </row>
    <row r="313">
      <c r="A313" s="8" t="inlineStr">
        <is>
          <t>Net-assets reconciliation</t>
        </is>
      </c>
      <c r="B313" s="8" t="inlineStr">
        <is>
          <t>F8</t>
        </is>
      </c>
      <c r="C313" s="8" t="inlineStr">
        <is>
          <t>3. Revenue less expenses</t>
        </is>
      </c>
      <c r="D313" s="8" t="inlineStr">
        <is>
          <t>Part XI line 3</t>
        </is>
      </c>
      <c r="E313" s="8" t="inlineStr">
        <is>
          <t>part_xi_reconciliation.reconciliation_revenue_expenses</t>
        </is>
      </c>
      <c r="F313" s="8" t="inlineStr">
        <is>
          <t>high</t>
        </is>
      </c>
      <c r="G313" s="9" t="n">
        <v>645599</v>
      </c>
    </row>
    <row r="314">
      <c r="A314" s="8" t="inlineStr">
        <is>
          <t>Net-assets reconciliation</t>
        </is>
      </c>
      <c r="B314" s="8" t="inlineStr">
        <is>
          <t>B9</t>
        </is>
      </c>
      <c r="C314" s="8" t="inlineStr">
        <is>
          <t>8. Prior period adjustments</t>
        </is>
      </c>
      <c r="D314" s="8" t="inlineStr">
        <is>
          <t>Part XI line 8</t>
        </is>
      </c>
      <c r="E314" s="8" t="inlineStr">
        <is>
          <t>part_xi_reconciliation.prior_period_adjustments</t>
        </is>
      </c>
      <c r="F314" s="8" t="inlineStr">
        <is>
          <t>high</t>
        </is>
      </c>
      <c r="G314" s="9" t="n">
        <v>18922</v>
      </c>
    </row>
    <row r="316">
      <c r="A316" s="47" t="inlineStr">
        <is>
          <t>C. Tie-out checks (filed vs computed; any nonzero variance is flagged red)</t>
        </is>
      </c>
      <c r="B316" s="7" t="n"/>
      <c r="C316" s="7" t="n"/>
      <c r="D316" s="7" t="n"/>
      <c r="E316" s="7" t="n"/>
      <c r="F316" s="7" t="n"/>
      <c r="G316" s="7" t="n"/>
      <c r="H316" s="7" t="n"/>
      <c r="I316" s="7" t="n"/>
      <c r="J316" s="7" t="n"/>
      <c r="K316" s="7" t="n"/>
    </row>
    <row r="317">
      <c r="A317" s="5" t="inlineStr">
        <is>
          <t>Tab</t>
        </is>
      </c>
      <c r="B317" s="5" t="inlineStr">
        <is>
          <t>Check</t>
        </is>
      </c>
      <c r="C317" s="5" t="inlineStr">
        <is>
          <t>Fiscal year</t>
        </is>
      </c>
      <c r="D317" s="5" t="inlineStr">
        <is>
          <t>Filed</t>
        </is>
      </c>
      <c r="E317" s="5" t="inlineStr">
        <is>
          <t>Computed</t>
        </is>
      </c>
      <c r="F317" s="5" t="inlineStr">
        <is>
          <t>Variance (computed - filed)</t>
        </is>
      </c>
    </row>
    <row r="318">
      <c r="A318" s="20" t="inlineStr">
        <is>
          <t>Revenue (detail)</t>
        </is>
      </c>
      <c r="B318" s="20" t="inlineStr">
        <is>
          <t>12. Total revenue</t>
        </is>
      </c>
      <c r="C318" s="20" t="inlineStr">
        <is>
          <t>FY2021</t>
        </is>
      </c>
      <c r="D318" s="9" t="n">
        <v>1031921</v>
      </c>
      <c r="E318" s="9">
        <f>'Revenue (detail)'!B13</f>
        <v/>
      </c>
      <c r="F318" s="9">
        <f>E318-D318</f>
        <v/>
      </c>
    </row>
    <row r="319">
      <c r="A319" s="20" t="inlineStr">
        <is>
          <t>Revenue (detail)</t>
        </is>
      </c>
      <c r="B319" s="20" t="inlineStr">
        <is>
          <t>12. Total revenue</t>
        </is>
      </c>
      <c r="C319" s="20" t="inlineStr">
        <is>
          <t>FY2022</t>
        </is>
      </c>
      <c r="D319" s="9" t="n">
        <v>1314234</v>
      </c>
      <c r="E319" s="9">
        <f>'Revenue (detail)'!C13</f>
        <v/>
      </c>
      <c r="F319" s="9">
        <f>E319-D319</f>
        <v/>
      </c>
    </row>
    <row r="320">
      <c r="A320" s="20" t="inlineStr">
        <is>
          <t>Revenue (detail)</t>
        </is>
      </c>
      <c r="B320" s="20" t="inlineStr">
        <is>
          <t>12. Total revenue</t>
        </is>
      </c>
      <c r="C320" s="20" t="inlineStr">
        <is>
          <t>FY2023</t>
        </is>
      </c>
      <c r="D320" s="9" t="n">
        <v>1264590</v>
      </c>
      <c r="E320" s="9">
        <f>'Revenue (detail)'!D13</f>
        <v/>
      </c>
      <c r="F320" s="9">
        <f>E320-D320</f>
        <v/>
      </c>
    </row>
    <row r="321">
      <c r="A321" s="20" t="inlineStr">
        <is>
          <t>Revenue (detail)</t>
        </is>
      </c>
      <c r="B321" s="20" t="inlineStr">
        <is>
          <t>12. Total revenue</t>
        </is>
      </c>
      <c r="C321" s="20" t="inlineStr">
        <is>
          <t>FY2024</t>
        </is>
      </c>
      <c r="D321" s="9" t="n">
        <v>1284537</v>
      </c>
      <c r="E321" s="9">
        <f>'Revenue (detail)'!E13</f>
        <v/>
      </c>
      <c r="F321" s="9">
        <f>E321-D321</f>
        <v/>
      </c>
    </row>
    <row r="322">
      <c r="A322" s="20" t="inlineStr">
        <is>
          <t>Revenue (detail)</t>
        </is>
      </c>
      <c r="B322" s="20" t="inlineStr">
        <is>
          <t>12. Total revenue</t>
        </is>
      </c>
      <c r="C322" s="20" t="inlineStr">
        <is>
          <t>FY2025</t>
        </is>
      </c>
      <c r="D322" s="9" t="n">
        <v>1771990</v>
      </c>
      <c r="E322" s="9">
        <f>'Revenue (detail)'!F13</f>
        <v/>
      </c>
      <c r="F322" s="9">
        <f>E322-D322</f>
        <v/>
      </c>
    </row>
    <row r="323">
      <c r="A323" s="20" t="inlineStr">
        <is>
          <t>Operating expenses (detail)</t>
        </is>
      </c>
      <c r="B323" s="20" t="inlineStr">
        <is>
          <t>25. Total functional expenses</t>
        </is>
      </c>
      <c r="C323" s="20" t="inlineStr">
        <is>
          <t>FY2021</t>
        </is>
      </c>
      <c r="D323" s="9" t="n">
        <v>1047467</v>
      </c>
      <c r="E323" s="9">
        <f>'Operating expenses (detail)'!B43</f>
        <v/>
      </c>
      <c r="F323" s="9">
        <f>E323-D323</f>
        <v/>
      </c>
    </row>
    <row r="324">
      <c r="A324" s="20" t="inlineStr">
        <is>
          <t>Operating expenses (detail)</t>
        </is>
      </c>
      <c r="B324" s="20" t="inlineStr">
        <is>
          <t>25. Total functional expenses</t>
        </is>
      </c>
      <c r="C324" s="20" t="inlineStr">
        <is>
          <t>FY2022</t>
        </is>
      </c>
      <c r="D324" s="9" t="n">
        <v>1481663</v>
      </c>
      <c r="E324" s="9">
        <f>'Operating expenses (detail)'!C43</f>
        <v/>
      </c>
      <c r="F324" s="9">
        <f>E324-D324</f>
        <v/>
      </c>
    </row>
    <row r="325">
      <c r="A325" s="20" t="inlineStr">
        <is>
          <t>Operating expenses (detail)</t>
        </is>
      </c>
      <c r="B325" s="20" t="inlineStr">
        <is>
          <t>25. Total functional expenses</t>
        </is>
      </c>
      <c r="C325" s="20" t="inlineStr">
        <is>
          <t>FY2023</t>
        </is>
      </c>
      <c r="D325" s="9" t="n">
        <v>1193025</v>
      </c>
      <c r="E325" s="9">
        <f>'Operating expenses (detail)'!D43</f>
        <v/>
      </c>
      <c r="F325" s="9">
        <f>E325-D325</f>
        <v/>
      </c>
    </row>
    <row r="326">
      <c r="A326" s="20" t="inlineStr">
        <is>
          <t>Operating expenses (detail)</t>
        </is>
      </c>
      <c r="B326" s="20" t="inlineStr">
        <is>
          <t>25. Total functional expenses</t>
        </is>
      </c>
      <c r="C326" s="20" t="inlineStr">
        <is>
          <t>FY2024</t>
        </is>
      </c>
      <c r="D326" s="9" t="n">
        <v>886908</v>
      </c>
      <c r="E326" s="9">
        <f>'Operating expenses (detail)'!E43</f>
        <v/>
      </c>
      <c r="F326" s="9">
        <f>E326-D326</f>
        <v/>
      </c>
    </row>
    <row r="327">
      <c r="A327" s="20" t="inlineStr">
        <is>
          <t>Operating expenses (detail)</t>
        </is>
      </c>
      <c r="B327" s="20" t="inlineStr">
        <is>
          <t>25. Total functional expenses</t>
        </is>
      </c>
      <c r="C327" s="20" t="inlineStr">
        <is>
          <t>FY2025</t>
        </is>
      </c>
      <c r="D327" s="9" t="n">
        <v>1126391</v>
      </c>
      <c r="E327" s="9">
        <f>'Operating expenses (detail)'!F43</f>
        <v/>
      </c>
      <c r="F327" s="9">
        <f>E327-D327</f>
        <v/>
      </c>
    </row>
    <row r="328">
      <c r="A328" s="20" t="inlineStr">
        <is>
          <t>Operating expenses (detail)</t>
        </is>
      </c>
      <c r="B328" s="20" t="inlineStr">
        <is>
          <t>Part IX column split: col A = B + C + D (FY2025)</t>
        </is>
      </c>
      <c r="C328" s="20" t="inlineStr">
        <is>
          <t>FY2025</t>
        </is>
      </c>
      <c r="D328" s="9">
        <f>'Operating expenses (detail)'!B76</f>
        <v/>
      </c>
      <c r="E328" s="9">
        <f>'Operating expenses (detail)'!C76+'Operating expenses (detail)'!D76+'Operating expenses (detail)'!E76</f>
        <v/>
      </c>
      <c r="F328" s="9">
        <f>E328-D328</f>
        <v/>
      </c>
    </row>
    <row r="329">
      <c r="A329" s="20" t="inlineStr">
        <is>
          <t>Balance sheet (detail)</t>
        </is>
      </c>
      <c r="B329" s="20" t="inlineStr">
        <is>
          <t>16. Total assets</t>
        </is>
      </c>
      <c r="C329" s="20" t="inlineStr">
        <is>
          <t>FY2021</t>
        </is>
      </c>
      <c r="D329" s="9" t="n">
        <v>1699000</v>
      </c>
      <c r="E329" s="9">
        <f>'Balance sheet (detail)'!B22</f>
        <v/>
      </c>
      <c r="F329" s="9">
        <f>E329-D329</f>
        <v/>
      </c>
    </row>
    <row r="330">
      <c r="A330" s="20" t="inlineStr">
        <is>
          <t>Balance sheet (detail)</t>
        </is>
      </c>
      <c r="B330" s="20" t="inlineStr">
        <is>
          <t>16. Total assets</t>
        </is>
      </c>
      <c r="C330" s="20" t="inlineStr">
        <is>
          <t>FY2022</t>
        </is>
      </c>
      <c r="D330" s="9" t="n">
        <v>1525513</v>
      </c>
      <c r="E330" s="9">
        <f>'Balance sheet (detail)'!C22</f>
        <v/>
      </c>
      <c r="F330" s="9">
        <f>E330-D330</f>
        <v/>
      </c>
    </row>
    <row r="331">
      <c r="A331" s="20" t="inlineStr">
        <is>
          <t>Balance sheet (detail)</t>
        </is>
      </c>
      <c r="B331" s="20" t="inlineStr">
        <is>
          <t>16. Total assets</t>
        </is>
      </c>
      <c r="C331" s="20" t="inlineStr">
        <is>
          <t>FY2023</t>
        </is>
      </c>
      <c r="D331" s="9" t="n">
        <v>1853989</v>
      </c>
      <c r="E331" s="9">
        <f>'Balance sheet (detail)'!D22</f>
        <v/>
      </c>
      <c r="F331" s="9">
        <f>E331-D331</f>
        <v/>
      </c>
    </row>
    <row r="332">
      <c r="A332" s="20" t="inlineStr">
        <is>
          <t>Balance sheet (detail)</t>
        </is>
      </c>
      <c r="B332" s="20" t="inlineStr">
        <is>
          <t>16. Total assets</t>
        </is>
      </c>
      <c r="C332" s="20" t="inlineStr">
        <is>
          <t>FY2024</t>
        </is>
      </c>
      <c r="D332" s="9" t="n">
        <v>2285625</v>
      </c>
      <c r="E332" s="9">
        <f>'Balance sheet (detail)'!E22</f>
        <v/>
      </c>
      <c r="F332" s="9">
        <f>E332-D332</f>
        <v/>
      </c>
    </row>
    <row r="333">
      <c r="A333" s="20" t="inlineStr">
        <is>
          <t>Balance sheet (detail)</t>
        </is>
      </c>
      <c r="B333" s="20" t="inlineStr">
        <is>
          <t>16. Total assets</t>
        </is>
      </c>
      <c r="C333" s="20" t="inlineStr">
        <is>
          <t>FY2025</t>
        </is>
      </c>
      <c r="D333" s="9" t="n">
        <v>3286985</v>
      </c>
      <c r="E333" s="9">
        <f>'Balance sheet (detail)'!F22</f>
        <v/>
      </c>
      <c r="F333" s="9">
        <f>E333-D333</f>
        <v/>
      </c>
    </row>
    <row r="334">
      <c r="A334" s="20" t="inlineStr">
        <is>
          <t>Balance sheet (detail)</t>
        </is>
      </c>
      <c r="B334" s="20" t="inlineStr">
        <is>
          <t>26. Total liabilities</t>
        </is>
      </c>
      <c r="C334" s="20" t="inlineStr">
        <is>
          <t>FY2021</t>
        </is>
      </c>
      <c r="D334" s="9" t="n">
        <v>553954</v>
      </c>
      <c r="E334" s="9">
        <f>'Balance sheet (detail)'!B29</f>
        <v/>
      </c>
      <c r="F334" s="9">
        <f>E334-D334</f>
        <v/>
      </c>
    </row>
    <row r="335">
      <c r="A335" s="20" t="inlineStr">
        <is>
          <t>Balance sheet (detail)</t>
        </is>
      </c>
      <c r="B335" s="20" t="inlineStr">
        <is>
          <t>26. Total liabilities</t>
        </is>
      </c>
      <c r="C335" s="20" t="inlineStr">
        <is>
          <t>FY2022</t>
        </is>
      </c>
      <c r="D335" s="9" t="n">
        <v>547896</v>
      </c>
      <c r="E335" s="9">
        <f>'Balance sheet (detail)'!C29</f>
        <v/>
      </c>
      <c r="F335" s="9">
        <f>E335-D335</f>
        <v/>
      </c>
    </row>
    <row r="336">
      <c r="A336" s="20" t="inlineStr">
        <is>
          <t>Balance sheet (detail)</t>
        </is>
      </c>
      <c r="B336" s="20" t="inlineStr">
        <is>
          <t>26. Total liabilities</t>
        </is>
      </c>
      <c r="C336" s="20" t="inlineStr">
        <is>
          <t>FY2023</t>
        </is>
      </c>
      <c r="D336" s="9" t="n">
        <v>804807</v>
      </c>
      <c r="E336" s="9">
        <f>'Balance sheet (detail)'!D29</f>
        <v/>
      </c>
      <c r="F336" s="9">
        <f>E336-D336</f>
        <v/>
      </c>
    </row>
    <row r="337">
      <c r="A337" s="20" t="inlineStr">
        <is>
          <t>Balance sheet (detail)</t>
        </is>
      </c>
      <c r="B337" s="20" t="inlineStr">
        <is>
          <t>26. Total liabilities</t>
        </is>
      </c>
      <c r="C337" s="20" t="inlineStr">
        <is>
          <t>FY2024</t>
        </is>
      </c>
      <c r="D337" s="9" t="n">
        <v>803103</v>
      </c>
      <c r="E337" s="9">
        <f>'Balance sheet (detail)'!E29</f>
        <v/>
      </c>
      <c r="F337" s="9">
        <f>E337-D337</f>
        <v/>
      </c>
    </row>
    <row r="338">
      <c r="A338" s="20" t="inlineStr">
        <is>
          <t>Balance sheet (detail)</t>
        </is>
      </c>
      <c r="B338" s="20" t="inlineStr">
        <is>
          <t>26. Total liabilities</t>
        </is>
      </c>
      <c r="C338" s="20" t="inlineStr">
        <is>
          <t>FY2025</t>
        </is>
      </c>
      <c r="D338" s="9" t="n">
        <v>1158864</v>
      </c>
      <c r="E338" s="9">
        <f>'Balance sheet (detail)'!F29</f>
        <v/>
      </c>
      <c r="F338" s="9">
        <f>E338-D338</f>
        <v/>
      </c>
    </row>
    <row r="339">
      <c r="A339" s="20" t="inlineStr">
        <is>
          <t>Balance sheet (detail)</t>
        </is>
      </c>
      <c r="B339" s="20" t="inlineStr">
        <is>
          <t>32. Total net assets / fund balances</t>
        </is>
      </c>
      <c r="C339" s="20" t="inlineStr">
        <is>
          <t>FY2021</t>
        </is>
      </c>
      <c r="D339" s="9" t="n">
        <v>1145046</v>
      </c>
      <c r="E339" s="9">
        <f>'Balance sheet (detail)'!B34</f>
        <v/>
      </c>
      <c r="F339" s="9">
        <f>E339-D339</f>
        <v/>
      </c>
    </row>
    <row r="340">
      <c r="A340" s="20" t="inlineStr">
        <is>
          <t>Balance sheet (detail)</t>
        </is>
      </c>
      <c r="B340" s="20" t="inlineStr">
        <is>
          <t>32. Total net assets / fund balances</t>
        </is>
      </c>
      <c r="C340" s="20" t="inlineStr">
        <is>
          <t>FY2022</t>
        </is>
      </c>
      <c r="D340" s="9" t="n">
        <v>977617</v>
      </c>
      <c r="E340" s="9">
        <f>'Balance sheet (detail)'!C34</f>
        <v/>
      </c>
      <c r="F340" s="9">
        <f>E340-D340</f>
        <v/>
      </c>
    </row>
    <row r="341">
      <c r="A341" s="20" t="inlineStr">
        <is>
          <t>Balance sheet (detail)</t>
        </is>
      </c>
      <c r="B341" s="20" t="inlineStr">
        <is>
          <t>32. Total net assets / fund balances</t>
        </is>
      </c>
      <c r="C341" s="20" t="inlineStr">
        <is>
          <t>FY2023</t>
        </is>
      </c>
      <c r="D341" s="9" t="n">
        <v>1049182</v>
      </c>
      <c r="E341" s="9">
        <f>'Balance sheet (detail)'!D34</f>
        <v/>
      </c>
      <c r="F341" s="9">
        <f>E341-D341</f>
        <v/>
      </c>
    </row>
    <row r="342">
      <c r="A342" s="20" t="inlineStr">
        <is>
          <t>Balance sheet (detail)</t>
        </is>
      </c>
      <c r="B342" s="20" t="inlineStr">
        <is>
          <t>32. Total net assets / fund balances</t>
        </is>
      </c>
      <c r="C342" s="20" t="inlineStr">
        <is>
          <t>FY2024</t>
        </is>
      </c>
      <c r="D342" s="9" t="n">
        <v>1482522</v>
      </c>
      <c r="E342" s="9">
        <f>'Balance sheet (detail)'!E34</f>
        <v/>
      </c>
      <c r="F342" s="9">
        <f>E342-D342</f>
        <v/>
      </c>
    </row>
    <row r="343">
      <c r="A343" s="20" t="inlineStr">
        <is>
          <t>Balance sheet (detail)</t>
        </is>
      </c>
      <c r="B343" s="20" t="inlineStr">
        <is>
          <t>32. Total net assets / fund balances</t>
        </is>
      </c>
      <c r="C343" s="20" t="inlineStr">
        <is>
          <t>FY2025</t>
        </is>
      </c>
      <c r="D343" s="9" t="n">
        <v>2128121</v>
      </c>
      <c r="E343" s="9">
        <f>'Balance sheet (detail)'!F34</f>
        <v/>
      </c>
      <c r="F343" s="9">
        <f>E343-D343</f>
        <v/>
      </c>
    </row>
    <row r="344">
      <c r="A344" s="20" t="inlineStr">
        <is>
          <t>Balance sheet (detail)</t>
        </is>
      </c>
      <c r="B344" s="20" t="inlineStr">
        <is>
          <t>Balance sheet identity: line 16 = line 26 + line 32 (EOY)</t>
        </is>
      </c>
      <c r="C344" s="20" t="inlineStr">
        <is>
          <t>FY2021</t>
        </is>
      </c>
      <c r="D344" s="9">
        <f>'Balance sheet (detail)'!B22</f>
        <v/>
      </c>
      <c r="E344" s="9">
        <f>SUM('Balance sheet (detail)'!B29,'Balance sheet (detail)'!B34)</f>
        <v/>
      </c>
      <c r="F344" s="9">
        <f>E344-D344</f>
        <v/>
      </c>
    </row>
    <row r="345">
      <c r="A345" s="20" t="inlineStr">
        <is>
          <t>Balance sheet (detail)</t>
        </is>
      </c>
      <c r="B345" s="20" t="inlineStr">
        <is>
          <t>Balance sheet identity: line 16 = line 26 + line 32 (EOY)</t>
        </is>
      </c>
      <c r="C345" s="20" t="inlineStr">
        <is>
          <t>FY2022</t>
        </is>
      </c>
      <c r="D345" s="9">
        <f>'Balance sheet (detail)'!C22</f>
        <v/>
      </c>
      <c r="E345" s="9">
        <f>SUM('Balance sheet (detail)'!C29,'Balance sheet (detail)'!C34)</f>
        <v/>
      </c>
      <c r="F345" s="9">
        <f>E345-D345</f>
        <v/>
      </c>
    </row>
    <row r="346">
      <c r="A346" s="20" t="inlineStr">
        <is>
          <t>Balance sheet (detail)</t>
        </is>
      </c>
      <c r="B346" s="20" t="inlineStr">
        <is>
          <t>Balance sheet identity: line 16 = line 26 + line 32 (EOY)</t>
        </is>
      </c>
      <c r="C346" s="20" t="inlineStr">
        <is>
          <t>FY2023</t>
        </is>
      </c>
      <c r="D346" s="9">
        <f>'Balance sheet (detail)'!D22</f>
        <v/>
      </c>
      <c r="E346" s="9">
        <f>SUM('Balance sheet (detail)'!D29,'Balance sheet (detail)'!D34)</f>
        <v/>
      </c>
      <c r="F346" s="9">
        <f>E346-D346</f>
        <v/>
      </c>
    </row>
    <row r="347">
      <c r="A347" s="20" t="inlineStr">
        <is>
          <t>Balance sheet (detail)</t>
        </is>
      </c>
      <c r="B347" s="20" t="inlineStr">
        <is>
          <t>Balance sheet identity: line 16 = line 26 + line 32 (EOY)</t>
        </is>
      </c>
      <c r="C347" s="20" t="inlineStr">
        <is>
          <t>FY2024</t>
        </is>
      </c>
      <c r="D347" s="9">
        <f>'Balance sheet (detail)'!E22</f>
        <v/>
      </c>
      <c r="E347" s="9">
        <f>SUM('Balance sheet (detail)'!E29,'Balance sheet (detail)'!E34)</f>
        <v/>
      </c>
      <c r="F347" s="9">
        <f>E347-D347</f>
        <v/>
      </c>
    </row>
    <row r="348">
      <c r="A348" s="20" t="inlineStr">
        <is>
          <t>Balance sheet (detail)</t>
        </is>
      </c>
      <c r="B348" s="20" t="inlineStr">
        <is>
          <t>Balance sheet identity: line 16 = line 26 + line 32 (EOY)</t>
        </is>
      </c>
      <c r="C348" s="20" t="inlineStr">
        <is>
          <t>FY2025</t>
        </is>
      </c>
      <c r="D348" s="9">
        <f>'Balance sheet (detail)'!F22</f>
        <v/>
      </c>
      <c r="E348" s="9">
        <f>SUM('Balance sheet (detail)'!F29,'Balance sheet (detail)'!F34)</f>
        <v/>
      </c>
      <c r="F348" s="9">
        <f>E348-D348</f>
        <v/>
      </c>
    </row>
    <row r="349">
      <c r="A349" s="20" t="inlineStr">
        <is>
          <t>Net-assets reconciliation</t>
        </is>
      </c>
      <c r="B349" s="20" t="inlineStr">
        <is>
          <t>10. Net assets, end of year</t>
        </is>
      </c>
      <c r="C349" s="20" t="inlineStr">
        <is>
          <t>FY2021</t>
        </is>
      </c>
      <c r="D349" s="9" t="n">
        <v>1145046</v>
      </c>
      <c r="E349" s="9">
        <f>'Net-assets reconciliation'!B11</f>
        <v/>
      </c>
      <c r="F349" s="9">
        <f>E349-D349</f>
        <v/>
      </c>
    </row>
    <row r="350">
      <c r="A350" s="20" t="inlineStr">
        <is>
          <t>Net-assets reconciliation</t>
        </is>
      </c>
      <c r="B350" s="20" t="inlineStr">
        <is>
          <t>10. Net assets, end of year</t>
        </is>
      </c>
      <c r="C350" s="20" t="inlineStr">
        <is>
          <t>FY2022</t>
        </is>
      </c>
      <c r="D350" s="9" t="n">
        <v>977617</v>
      </c>
      <c r="E350" s="9">
        <f>'Net-assets reconciliation'!C11</f>
        <v/>
      </c>
      <c r="F350" s="9">
        <f>E350-D350</f>
        <v/>
      </c>
    </row>
    <row r="351">
      <c r="A351" s="20" t="inlineStr">
        <is>
          <t>Net-assets reconciliation</t>
        </is>
      </c>
      <c r="B351" s="20" t="inlineStr">
        <is>
          <t>10. Net assets, end of year</t>
        </is>
      </c>
      <c r="C351" s="20" t="inlineStr">
        <is>
          <t>FY2023</t>
        </is>
      </c>
      <c r="D351" s="9" t="n">
        <v>1049182</v>
      </c>
      <c r="E351" s="9">
        <f>'Net-assets reconciliation'!D11</f>
        <v/>
      </c>
      <c r="F351" s="9">
        <f>E351-D351</f>
        <v/>
      </c>
    </row>
    <row r="352">
      <c r="A352" s="20" t="inlineStr">
        <is>
          <t>Net-assets reconciliation</t>
        </is>
      </c>
      <c r="B352" s="20" t="inlineStr">
        <is>
          <t>10. Net assets, end of year</t>
        </is>
      </c>
      <c r="C352" s="20" t="inlineStr">
        <is>
          <t>FY2024</t>
        </is>
      </c>
      <c r="D352" s="9" t="n">
        <v>1482522</v>
      </c>
      <c r="E352" s="9">
        <f>'Net-assets reconciliation'!E11</f>
        <v/>
      </c>
      <c r="F352" s="9">
        <f>E352-D352</f>
        <v/>
      </c>
    </row>
    <row r="353">
      <c r="A353" s="20" t="inlineStr">
        <is>
          <t>Net-assets reconciliation</t>
        </is>
      </c>
      <c r="B353" s="20" t="inlineStr">
        <is>
          <t>10. Net assets, end of year</t>
        </is>
      </c>
      <c r="C353" s="20" t="inlineStr">
        <is>
          <t>FY2025</t>
        </is>
      </c>
      <c r="D353" s="9" t="n">
        <v>2128121</v>
      </c>
      <c r="E353" s="9">
        <f>'Net-assets reconciliation'!F11</f>
        <v/>
      </c>
      <c r="F353" s="9">
        <f>E353-D353</f>
        <v/>
      </c>
    </row>
    <row r="355">
      <c r="A355" s="47" t="inlineStr">
        <is>
          <t>D. Preparer / auditor trail (one row per fiscal year, as filed)</t>
        </is>
      </c>
      <c r="B355" s="7" t="n"/>
      <c r="C355" s="7" t="n"/>
      <c r="D355" s="7" t="n"/>
      <c r="E355" s="7" t="n"/>
      <c r="F355" s="7" t="n"/>
      <c r="G355" s="7" t="n"/>
      <c r="H355" s="7" t="n"/>
      <c r="I355" s="7" t="n"/>
      <c r="J355" s="7" t="n"/>
      <c r="K355" s="7" t="n"/>
    </row>
    <row r="356">
      <c r="A356" s="5" t="inlineStr">
        <is>
          <t>Fiscal year</t>
        </is>
      </c>
      <c r="B356" s="5" t="inlineStr">
        <is>
          <t>Paid preparer</t>
        </is>
      </c>
      <c r="C356" s="5" t="inlineStr">
        <is>
          <t>Preparer firm</t>
        </is>
      </c>
      <c r="D356" s="5" t="inlineStr">
        <is>
          <t>Independent auditor</t>
        </is>
      </c>
      <c r="E356" s="5" t="inlineStr">
        <is>
          <t>Citation</t>
        </is>
      </c>
    </row>
    <row r="357" ht="42" customHeight="1">
      <c r="A357" s="48" t="inlineStr">
        <is>
          <t>FY2021</t>
        </is>
      </c>
      <c r="B357" s="8" t="inlineStr">
        <is>
          <t>R Michelle Pope</t>
        </is>
      </c>
      <c r="C357" s="8" t="inlineStr">
        <is>
          <t>Pope Accountancy Group</t>
        </is>
      </c>
      <c r="D357" s="52" t="inlineStr">
        <is>
          <t>not reported</t>
        </is>
      </c>
      <c r="E357" s="25" t="inlineStr">
        <is>
          <t>Form 990 Return Header, Paid Preparer block (return_header.preparer_person_name / preparer_firm_name); auditor: Part XII line 2 reports audited financial statements but does not name the firm.</t>
        </is>
      </c>
    </row>
    <row r="358" ht="42" customHeight="1">
      <c r="A358" s="48" t="inlineStr">
        <is>
          <t>FY2022</t>
        </is>
      </c>
      <c r="B358" s="8" t="inlineStr">
        <is>
          <t>R Michelle Pope</t>
        </is>
      </c>
      <c r="C358" s="8" t="inlineStr">
        <is>
          <t>Pope Accountancy Group</t>
        </is>
      </c>
      <c r="D358" s="52" t="inlineStr">
        <is>
          <t>not reported</t>
        </is>
      </c>
      <c r="E358" s="25" t="inlineStr">
        <is>
          <t>Form 990 Return Header, Paid Preparer block (return_header.preparer_person_name / preparer_firm_name); auditor: Part XII line 2 reports audited financial statements but does not name the firm.</t>
        </is>
      </c>
    </row>
    <row r="359" ht="42" customHeight="1">
      <c r="A359" s="48" t="inlineStr">
        <is>
          <t>FY2023</t>
        </is>
      </c>
      <c r="B359" s="8" t="inlineStr">
        <is>
          <t>R Michelle Pope</t>
        </is>
      </c>
      <c r="C359" s="8" t="inlineStr">
        <is>
          <t>Pope Accountancy Group</t>
        </is>
      </c>
      <c r="D359" s="52" t="inlineStr">
        <is>
          <t>not reported</t>
        </is>
      </c>
      <c r="E359" s="25" t="inlineStr">
        <is>
          <t>Form 990 Return Header, Paid Preparer block (return_header.preparer_person_name / preparer_firm_name); auditor: Part XII line 2 reports audited financial statements but does not name the firm.</t>
        </is>
      </c>
    </row>
    <row r="360" ht="42" customHeight="1">
      <c r="A360" s="48" t="inlineStr">
        <is>
          <t>FY2024</t>
        </is>
      </c>
      <c r="B360" s="8" t="inlineStr">
        <is>
          <t>R Michelle Pope</t>
        </is>
      </c>
      <c r="C360" s="8" t="inlineStr">
        <is>
          <t>Pope Accountancy Group</t>
        </is>
      </c>
      <c r="D360" s="52" t="inlineStr">
        <is>
          <t>not reported</t>
        </is>
      </c>
      <c r="E360" s="25" t="inlineStr">
        <is>
          <t>Form 990 Return Header, Paid Preparer block (return_header.preparer_person_name / preparer_firm_name); auditor: Part XII line 2 reports audited financial statements but does not name the firm.</t>
        </is>
      </c>
    </row>
    <row r="361" ht="42" customHeight="1">
      <c r="A361" s="48" t="inlineStr">
        <is>
          <t>FY2025</t>
        </is>
      </c>
      <c r="B361" s="8" t="inlineStr">
        <is>
          <t>R Michelle Pope</t>
        </is>
      </c>
      <c r="C361" s="8" t="inlineStr">
        <is>
          <t>Pope Accountancy Group</t>
        </is>
      </c>
      <c r="D361" s="52" t="inlineStr">
        <is>
          <t>not reported</t>
        </is>
      </c>
      <c r="E361" s="25" t="inlineStr">
        <is>
          <t>Form 990 Return Header, Paid Preparer block (return_header.preparer_person_name / preparer_firm_name); auditor: Part XII line 2 reports audited financial statements but does not name the firm.</t>
        </is>
      </c>
    </row>
    <row r="363" ht="42" customHeight="1">
      <c r="A36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363:K363"/>
    <mergeCell ref="A5:K5"/>
    <mergeCell ref="A1:K1"/>
  </mergeCells>
  <conditionalFormatting sqref="F318:F353">
    <cfRule type="cellIs" priority="1" operator="not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