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6" fillId="0" borderId="1" pivotButton="0" quotePrefix="0" xfId="0"/>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Financial Summary - multi-year overview (USD)</t>
        </is>
      </c>
    </row>
    <row r="3">
      <c r="A3" s="2" t="inlineStr">
        <is>
          <t>Entity ID: cawc_0034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3669145</v>
      </c>
      <c r="C10" s="9" t="n">
        <v>3362028</v>
      </c>
      <c r="D10" s="9" t="n">
        <v>3276450</v>
      </c>
      <c r="E10" s="9" t="n">
        <v>3341150</v>
      </c>
      <c r="F10" s="9" t="n">
        <v>4262194</v>
      </c>
    </row>
    <row r="11">
      <c r="A11" s="8" t="inlineStr">
        <is>
          <t xml:space="preserve">    Total expenses</t>
        </is>
      </c>
      <c r="B11" s="9" t="n">
        <v>2617619</v>
      </c>
      <c r="C11" s="9" t="n">
        <v>3322796</v>
      </c>
      <c r="D11" s="9" t="n">
        <v>3422216</v>
      </c>
      <c r="E11" s="9" t="n">
        <v>3291331</v>
      </c>
      <c r="F11" s="9" t="n">
        <v>3776504</v>
      </c>
    </row>
    <row r="12">
      <c r="A12" s="10" t="inlineStr">
        <is>
          <t xml:space="preserve">    Net income</t>
        </is>
      </c>
      <c r="B12" s="11" t="n">
        <v>1051526</v>
      </c>
      <c r="C12" s="11" t="n">
        <v>39232</v>
      </c>
      <c r="D12" s="11" t="n">
        <v>-145766</v>
      </c>
      <c r="E12" s="11" t="n">
        <v>49819</v>
      </c>
      <c r="F12" s="11" t="n">
        <v>485690</v>
      </c>
    </row>
    <row r="14">
      <c r="A14" s="6" t="inlineStr">
        <is>
          <t>Financial position (USD, end of year)</t>
        </is>
      </c>
      <c r="B14" s="7" t="n"/>
      <c r="C14" s="7" t="n"/>
      <c r="D14" s="7" t="n"/>
      <c r="E14" s="7" t="n"/>
      <c r="F14" s="7" t="n"/>
    </row>
    <row r="15">
      <c r="A15" s="8" t="inlineStr">
        <is>
          <t xml:space="preserve">    Total assets</t>
        </is>
      </c>
      <c r="B15" s="9" t="n">
        <v>15582633</v>
      </c>
      <c r="C15" s="9" t="n">
        <v>15788304</v>
      </c>
      <c r="D15" s="9" t="n">
        <v>15094983</v>
      </c>
      <c r="E15" s="9" t="n">
        <v>14857229</v>
      </c>
      <c r="F15" s="9" t="n">
        <v>15974451</v>
      </c>
    </row>
    <row r="16">
      <c r="A16" s="8" t="inlineStr">
        <is>
          <t xml:space="preserve">    Total liabilities</t>
        </is>
      </c>
      <c r="B16" s="9" t="n">
        <v>2112419</v>
      </c>
      <c r="C16" s="9" t="n">
        <v>2131167</v>
      </c>
      <c r="D16" s="9" t="n">
        <v>2280153</v>
      </c>
      <c r="E16" s="9" t="n">
        <v>2019782</v>
      </c>
      <c r="F16" s="9" t="n">
        <v>2410011</v>
      </c>
    </row>
    <row r="17">
      <c r="A17" s="10" t="inlineStr">
        <is>
          <t xml:space="preserve">    Net assets</t>
        </is>
      </c>
      <c r="B17" s="11" t="n">
        <v>13470214</v>
      </c>
      <c r="C17" s="11" t="n">
        <v>13657137</v>
      </c>
      <c r="D17" s="11" t="n">
        <v>12814830</v>
      </c>
      <c r="E17" s="11" t="n">
        <v>12837447</v>
      </c>
      <c r="F17" s="11" t="n">
        <v>13564440</v>
      </c>
    </row>
    <row r="19">
      <c r="A19" s="6" t="inlineStr">
        <is>
          <t>Headline ratios</t>
        </is>
      </c>
      <c r="B19" s="7" t="n"/>
      <c r="C19" s="7" t="n"/>
      <c r="D19" s="7" t="n"/>
      <c r="E19" s="7" t="n"/>
      <c r="F19" s="7" t="n"/>
    </row>
    <row r="20">
      <c r="A20" s="8" t="inlineStr">
        <is>
          <t xml:space="preserve">    Operating margin</t>
        </is>
      </c>
      <c r="B20" s="12" t="n">
        <v>0.2865861120233733</v>
      </c>
      <c r="C20" s="12" t="n">
        <v>0.011669147312277</v>
      </c>
      <c r="D20" s="12" t="n">
        <v>-0.04448900486807367</v>
      </c>
      <c r="E20" s="12" t="n">
        <v>0.01491073432800084</v>
      </c>
      <c r="F20" s="12" t="n">
        <v>0.1139530485942217</v>
      </c>
    </row>
    <row r="21">
      <c r="A21" s="8" t="inlineStr">
        <is>
          <t xml:space="preserve">    Revenue growth (YoY)</t>
        </is>
      </c>
      <c r="B21" s="12" t="n">
        <v>0.3292631014551033</v>
      </c>
      <c r="C21" s="12" t="n">
        <v>-0.08370260646553898</v>
      </c>
      <c r="D21" s="12" t="n">
        <v>-0.02545427938137338</v>
      </c>
      <c r="E21" s="12" t="n">
        <v>0.01974698225213264</v>
      </c>
      <c r="F21" s="12" t="n">
        <v>0.2756667614444129</v>
      </c>
    </row>
    <row r="22">
      <c r="A22" s="8" t="inlineStr">
        <is>
          <t xml:space="preserve">    Return on assets</t>
        </is>
      </c>
      <c r="B22" s="12" t="n">
        <v>0.06748063693728781</v>
      </c>
      <c r="C22" s="12" t="n">
        <v>0.002484877413052092</v>
      </c>
      <c r="D22" s="12" t="n">
        <v>-0.009656585900096741</v>
      </c>
      <c r="E22" s="12" t="n">
        <v>0.003353182481066961</v>
      </c>
      <c r="F22" s="12" t="n">
        <v>0.03040417476631904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Financial Statements - income statement, balance sheet, cash flow, member income test (USD)</t>
        </is>
      </c>
    </row>
    <row r="3">
      <c r="A3" s="2" t="inlineStr">
        <is>
          <t>Entity ID: cawc_0034   |   Fiscal year ends October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3443972</v>
      </c>
      <c r="C8" s="9" t="n">
        <v>3185521</v>
      </c>
      <c r="D8" s="9" t="n">
        <v>3074598</v>
      </c>
      <c r="E8" s="9" t="n">
        <v>3181241</v>
      </c>
      <c r="F8" s="9" t="n">
        <v>3576987</v>
      </c>
    </row>
    <row r="9">
      <c r="A9" s="8" t="inlineStr">
        <is>
          <t xml:space="preserve">    Investment income</t>
        </is>
      </c>
      <c r="B9" s="9" t="n">
        <v>106971</v>
      </c>
      <c r="C9" s="9" t="n">
        <v>101643</v>
      </c>
      <c r="D9" s="9" t="n">
        <v>80267</v>
      </c>
      <c r="E9" s="9" t="n">
        <v>93110</v>
      </c>
      <c r="F9" s="9" t="n">
        <v>104315</v>
      </c>
    </row>
    <row r="10">
      <c r="A10" s="8" t="inlineStr">
        <is>
          <t xml:space="preserve">    Net rental income</t>
        </is>
      </c>
      <c r="B10" s="9" t="n"/>
      <c r="C10" s="9" t="n"/>
      <c r="D10" s="9" t="n">
        <v>59647</v>
      </c>
      <c r="E10" s="9" t="n">
        <v>77935</v>
      </c>
      <c r="F10" s="9" t="n">
        <v>71239</v>
      </c>
    </row>
    <row r="11">
      <c r="A11" s="8" t="inlineStr">
        <is>
          <t xml:space="preserve">    Net gain/(loss) on investment sales</t>
        </is>
      </c>
      <c r="B11" s="9" t="n">
        <v>90796</v>
      </c>
      <c r="C11" s="9" t="n">
        <v>45460</v>
      </c>
      <c r="D11" s="9" t="n">
        <v>54795</v>
      </c>
      <c r="E11" s="9" t="n">
        <v>-11861</v>
      </c>
      <c r="F11" s="9" t="n">
        <v>504946</v>
      </c>
    </row>
    <row r="12">
      <c r="A12" s="8" t="inlineStr">
        <is>
          <t xml:space="preserve">    Other revenue</t>
        </is>
      </c>
      <c r="B12" s="9" t="n">
        <v>27406</v>
      </c>
      <c r="C12" s="9" t="n">
        <v>29404</v>
      </c>
      <c r="D12" s="9" t="n">
        <v>7143</v>
      </c>
      <c r="E12" s="9" t="n">
        <v>725</v>
      </c>
      <c r="F12" s="9" t="n">
        <v>4707</v>
      </c>
    </row>
    <row r="13">
      <c r="A13" s="8" t="inlineStr">
        <is>
          <t xml:space="preserve">    Contributions &amp; grants</t>
        </is>
      </c>
      <c r="B13" s="9" t="n"/>
      <c r="C13" s="9" t="n"/>
      <c r="D13" s="9" t="n"/>
      <c r="E13" s="9" t="n"/>
      <c r="F13" s="9" t="n"/>
    </row>
    <row r="14">
      <c r="A14" s="10" t="inlineStr">
        <is>
          <t>Total revenue</t>
        </is>
      </c>
      <c r="B14" s="11" t="n">
        <v>3669145</v>
      </c>
      <c r="C14" s="11" t="n">
        <v>3362028</v>
      </c>
      <c r="D14" s="11" t="n">
        <v>3276450</v>
      </c>
      <c r="E14" s="11" t="n">
        <v>3341150</v>
      </c>
      <c r="F14" s="11" t="n">
        <v>4262194</v>
      </c>
    </row>
    <row r="16">
      <c r="A16" s="6" t="inlineStr">
        <is>
          <t>Expenses</t>
        </is>
      </c>
      <c r="B16" s="7" t="n"/>
      <c r="C16" s="7" t="n"/>
      <c r="D16" s="7" t="n"/>
      <c r="E16" s="7" t="n"/>
      <c r="F16" s="7" t="n"/>
    </row>
    <row r="17">
      <c r="A17" s="8" t="inlineStr">
        <is>
          <t xml:space="preserve">    Depreciation</t>
        </is>
      </c>
      <c r="B17" s="9" t="n">
        <v>445652</v>
      </c>
      <c r="C17" s="9" t="n">
        <v>465140</v>
      </c>
      <c r="D17" s="9" t="n">
        <v>501437</v>
      </c>
      <c r="E17" s="9" t="n">
        <v>541714</v>
      </c>
      <c r="F17" s="9" t="n">
        <v>551660</v>
      </c>
    </row>
    <row r="18">
      <c r="A18" s="8" t="inlineStr">
        <is>
          <t xml:space="preserve">    Interest expense</t>
        </is>
      </c>
      <c r="B18" s="9" t="n">
        <v>30682</v>
      </c>
      <c r="C18" s="9" t="n">
        <v>29276</v>
      </c>
      <c r="D18" s="9" t="n">
        <v>27818</v>
      </c>
      <c r="E18" s="9" t="n">
        <v>45634</v>
      </c>
      <c r="F18" s="9" t="n">
        <v>25497</v>
      </c>
    </row>
    <row r="19">
      <c r="A19" s="10" t="inlineStr">
        <is>
          <t>Total expenses</t>
        </is>
      </c>
      <c r="B19" s="11" t="n">
        <v>2617619</v>
      </c>
      <c r="C19" s="11" t="n">
        <v>3322796</v>
      </c>
      <c r="D19" s="11" t="n">
        <v>3422216</v>
      </c>
      <c r="E19" s="11" t="n">
        <v>3291331</v>
      </c>
      <c r="F19" s="11" t="n">
        <v>3776504</v>
      </c>
    </row>
    <row r="21">
      <c r="A21" s="10" t="inlineStr">
        <is>
          <t>Net income</t>
        </is>
      </c>
      <c r="B21" s="11" t="n">
        <v>1051526</v>
      </c>
      <c r="C21" s="11" t="n">
        <v>39232</v>
      </c>
      <c r="D21" s="11" t="n">
        <v>-145766</v>
      </c>
      <c r="E21" s="11" t="n">
        <v>49819</v>
      </c>
      <c r="F21" s="11" t="n">
        <v>485690</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136791</v>
      </c>
      <c r="C27" s="9" t="n">
        <v>519256</v>
      </c>
      <c r="D27" s="9" t="n">
        <v>376188</v>
      </c>
      <c r="E27" s="9" t="n">
        <v>80109</v>
      </c>
      <c r="F27" s="9" t="n">
        <v>299671</v>
      </c>
    </row>
    <row r="28">
      <c r="A28" s="8" t="inlineStr">
        <is>
          <t xml:space="preserve">    Savings &amp; temporary investments</t>
        </is>
      </c>
      <c r="B28" s="9" t="n">
        <v>714054</v>
      </c>
      <c r="C28" s="9" t="n">
        <v>493498</v>
      </c>
      <c r="D28" s="9" t="n">
        <v>56643</v>
      </c>
      <c r="E28" s="9" t="n">
        <v>281435</v>
      </c>
      <c r="F28" s="9" t="n">
        <v>313905</v>
      </c>
    </row>
    <row r="29">
      <c r="A29" s="8" t="inlineStr">
        <is>
          <t xml:space="preserve">    Accounts receivable</t>
        </is>
      </c>
      <c r="B29" s="9" t="n">
        <v>350116</v>
      </c>
      <c r="C29" s="9" t="n">
        <v>370092</v>
      </c>
      <c r="D29" s="9" t="n">
        <v>358006</v>
      </c>
      <c r="E29" s="9" t="n">
        <v>402886</v>
      </c>
      <c r="F29" s="9" t="n">
        <v>390237</v>
      </c>
    </row>
    <row r="30">
      <c r="A30" s="8" t="inlineStr">
        <is>
          <t xml:space="preserve">    Inventories</t>
        </is>
      </c>
      <c r="B30" s="9" t="n">
        <v>782024</v>
      </c>
      <c r="C30" s="9" t="n">
        <v>393515</v>
      </c>
      <c r="D30" s="9" t="n">
        <v>385664</v>
      </c>
      <c r="E30" s="9" t="n">
        <v>388577</v>
      </c>
      <c r="F30" s="9" t="n">
        <v>388631</v>
      </c>
    </row>
    <row r="31">
      <c r="A31" s="8" t="inlineStr">
        <is>
          <t xml:space="preserve">    Prepaid expenses</t>
        </is>
      </c>
      <c r="B31" s="9" t="n"/>
      <c r="C31" s="9" t="n"/>
      <c r="D31" s="9" t="n"/>
      <c r="E31" s="9" t="n"/>
      <c r="F31" s="9" t="n"/>
    </row>
    <row r="32">
      <c r="A32" s="8" t="inlineStr">
        <is>
          <t xml:space="preserve">    Property, plant &amp; equipment (gross)</t>
        </is>
      </c>
      <c r="B32" s="9" t="n">
        <v>15857621</v>
      </c>
      <c r="C32" s="9" t="n">
        <v>16411508</v>
      </c>
      <c r="D32" s="9" t="n">
        <v>17534512</v>
      </c>
      <c r="E32" s="9" t="n">
        <v>17868524</v>
      </c>
      <c r="F32" s="9" t="n">
        <v>19104670</v>
      </c>
    </row>
    <row r="33">
      <c r="A33" s="8" t="inlineStr">
        <is>
          <t xml:space="preserve">    Less: accumulated depreciation</t>
        </is>
      </c>
      <c r="B33" s="9" t="n">
        <v>-7038973</v>
      </c>
      <c r="C33" s="9" t="n">
        <v>-7594634</v>
      </c>
      <c r="D33" s="9" t="n">
        <v>-8186386</v>
      </c>
      <c r="E33" s="9" t="n">
        <v>-8817903</v>
      </c>
      <c r="F33" s="9" t="n">
        <v>-9459444</v>
      </c>
    </row>
    <row r="34">
      <c r="A34" s="10" t="inlineStr">
        <is>
          <t xml:space="preserve">    Net property, plant &amp; equipment</t>
        </is>
      </c>
      <c r="B34" s="11" t="n">
        <v>8818648</v>
      </c>
      <c r="C34" s="11" t="n">
        <v>8816874</v>
      </c>
      <c r="D34" s="11" t="n">
        <v>9348126</v>
      </c>
      <c r="E34" s="11" t="n">
        <v>9050621</v>
      </c>
      <c r="F34" s="11" t="n">
        <v>9645226</v>
      </c>
    </row>
    <row r="35">
      <c r="A35" s="10" t="inlineStr">
        <is>
          <t>Total assets</t>
        </is>
      </c>
      <c r="B35" s="11" t="n">
        <v>15582633</v>
      </c>
      <c r="C35" s="11" t="n">
        <v>15788304</v>
      </c>
      <c r="D35" s="11" t="n">
        <v>15094983</v>
      </c>
      <c r="E35" s="11" t="n">
        <v>14857229</v>
      </c>
      <c r="F35" s="11" t="n">
        <v>15974451</v>
      </c>
    </row>
    <row r="37">
      <c r="A37" s="6" t="inlineStr">
        <is>
          <t>Liabilities</t>
        </is>
      </c>
      <c r="B37" s="7" t="n"/>
      <c r="C37" s="7" t="n"/>
      <c r="D37" s="7" t="n"/>
      <c r="E37" s="7" t="n"/>
      <c r="F37" s="7" t="n"/>
    </row>
    <row r="38">
      <c r="A38" s="8" t="inlineStr">
        <is>
          <t xml:space="preserve">    Accounts payable</t>
        </is>
      </c>
      <c r="B38" s="9" t="n">
        <v>99067</v>
      </c>
      <c r="C38" s="9" t="n">
        <v>151175</v>
      </c>
      <c r="D38" s="9" t="n">
        <v>387725</v>
      </c>
      <c r="E38" s="9" t="n">
        <v>211376</v>
      </c>
      <c r="F38" s="9" t="n">
        <v>646989</v>
      </c>
    </row>
    <row r="39">
      <c r="A39" s="8" t="inlineStr">
        <is>
          <t xml:space="preserve">    Mortgages &amp; notes payable</t>
        </is>
      </c>
      <c r="B39" s="9" t="n">
        <v>1781608</v>
      </c>
      <c r="C39" s="9" t="n">
        <v>1696225</v>
      </c>
      <c r="D39" s="9" t="n">
        <v>1644665</v>
      </c>
      <c r="E39" s="9" t="n">
        <v>1539670</v>
      </c>
      <c r="F39" s="9" t="n">
        <v>1433177</v>
      </c>
    </row>
    <row r="40">
      <c r="A40" s="10" t="inlineStr">
        <is>
          <t>Total liabilities</t>
        </is>
      </c>
      <c r="B40" s="11" t="n">
        <v>2112419</v>
      </c>
      <c r="C40" s="11" t="n">
        <v>2131167</v>
      </c>
      <c r="D40" s="11" t="n">
        <v>2280153</v>
      </c>
      <c r="E40" s="11" t="n">
        <v>2019782</v>
      </c>
      <c r="F40" s="11" t="n">
        <v>2410011</v>
      </c>
    </row>
    <row r="42">
      <c r="A42" s="6" t="inlineStr">
        <is>
          <t>Net Assets / Equity</t>
        </is>
      </c>
      <c r="B42" s="7" t="n"/>
      <c r="C42" s="7" t="n"/>
      <c r="D42" s="7" t="n"/>
      <c r="E42" s="7" t="n"/>
      <c r="F42" s="7" t="n"/>
    </row>
    <row r="43">
      <c r="A43" s="8" t="inlineStr">
        <is>
          <t xml:space="preserve">    Capital stock</t>
        </is>
      </c>
      <c r="B43" s="9" t="n">
        <v>245400</v>
      </c>
      <c r="C43" s="9" t="n">
        <v>245600</v>
      </c>
      <c r="D43" s="9" t="n">
        <v>245800</v>
      </c>
      <c r="E43" s="9" t="n">
        <v>243400</v>
      </c>
      <c r="F43" s="9" t="n">
        <v>243600</v>
      </c>
    </row>
    <row r="44">
      <c r="A44" s="8" t="inlineStr">
        <is>
          <t xml:space="preserve">    Paid-in capital</t>
        </is>
      </c>
      <c r="B44" s="9" t="n">
        <v>3231015</v>
      </c>
      <c r="C44" s="9" t="n">
        <v>3168960</v>
      </c>
      <c r="D44" s="9" t="n">
        <v>3127945</v>
      </c>
      <c r="E44" s="9" t="n">
        <v>3101582</v>
      </c>
      <c r="F44" s="9" t="n">
        <v>3084440</v>
      </c>
    </row>
    <row r="45">
      <c r="A45" s="8" t="inlineStr">
        <is>
          <t xml:space="preserve">    Retained earnings</t>
        </is>
      </c>
      <c r="B45" s="9" t="n">
        <v>9993799</v>
      </c>
      <c r="C45" s="9" t="n">
        <v>10242577</v>
      </c>
      <c r="D45" s="9" t="n">
        <v>9441085</v>
      </c>
      <c r="E45" s="9" t="n">
        <v>9492465</v>
      </c>
      <c r="F45" s="9" t="n">
        <v>10236400</v>
      </c>
    </row>
    <row r="46">
      <c r="A46" s="10" t="inlineStr">
        <is>
          <t>Net assets</t>
        </is>
      </c>
      <c r="B46" s="11" t="n">
        <v>13470214</v>
      </c>
      <c r="C46" s="11" t="n">
        <v>13657137</v>
      </c>
      <c r="D46" s="11" t="n">
        <v>12814830</v>
      </c>
      <c r="E46" s="11" t="n">
        <v>12837447</v>
      </c>
      <c r="F46" s="11" t="n">
        <v>13564440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1051526</v>
      </c>
      <c r="C52" s="9" t="n">
        <v>39232</v>
      </c>
      <c r="D52" s="9" t="n">
        <v>-145766</v>
      </c>
      <c r="E52" s="9" t="n">
        <v>49819</v>
      </c>
      <c r="F52" s="9" t="n">
        <v>485690</v>
      </c>
    </row>
    <row r="53">
      <c r="A53" s="8" t="inlineStr">
        <is>
          <t xml:space="preserve">    + Depreciation (reported)</t>
        </is>
      </c>
      <c r="B53" s="9" t="n">
        <v>445652</v>
      </c>
      <c r="C53" s="9" t="n">
        <v>465140</v>
      </c>
      <c r="D53" s="9" t="n">
        <v>501437</v>
      </c>
      <c r="E53" s="9" t="n">
        <v>541714</v>
      </c>
      <c r="F53" s="9" t="n">
        <v>551660</v>
      </c>
    </row>
    <row r="54">
      <c r="A54" s="8" t="inlineStr">
        <is>
          <t xml:space="preserve">    − Δ Accounts receivable</t>
        </is>
      </c>
      <c r="B54" s="9" t="n"/>
      <c r="C54" s="9" t="n">
        <v>-19976</v>
      </c>
      <c r="D54" s="9" t="n">
        <v>12086</v>
      </c>
      <c r="E54" s="9" t="n">
        <v>-44880</v>
      </c>
      <c r="F54" s="9" t="n">
        <v>12649</v>
      </c>
    </row>
    <row r="55">
      <c r="A55" s="8" t="inlineStr">
        <is>
          <t xml:space="preserve">    − Δ Inventories</t>
        </is>
      </c>
      <c r="B55" s="9" t="n"/>
      <c r="C55" s="9" t="n">
        <v>388509</v>
      </c>
      <c r="D55" s="9" t="n">
        <v>7851</v>
      </c>
      <c r="E55" s="9" t="n">
        <v>-2913</v>
      </c>
      <c r="F55" s="9" t="n">
        <v>-54</v>
      </c>
    </row>
    <row r="56">
      <c r="A56" s="8" t="inlineStr">
        <is>
          <t xml:space="preserve">    − Δ Prepaid expenses</t>
        </is>
      </c>
      <c r="B56" s="9" t="n"/>
      <c r="C56" s="9" t="n"/>
      <c r="D56" s="9" t="n"/>
      <c r="E56" s="9" t="n"/>
      <c r="F56" s="9" t="n"/>
    </row>
    <row r="57">
      <c r="A57" s="8" t="inlineStr">
        <is>
          <t xml:space="preserve">    + Δ Accounts payable</t>
        </is>
      </c>
      <c r="B57" s="9" t="n"/>
      <c r="C57" s="9" t="n">
        <v>52108</v>
      </c>
      <c r="D57" s="9" t="n">
        <v>236550</v>
      </c>
      <c r="E57" s="9" t="n">
        <v>-176349</v>
      </c>
      <c r="F57" s="9" t="n">
        <v>435613</v>
      </c>
    </row>
    <row r="58">
      <c r="A58" s="10" t="inlineStr">
        <is>
          <t xml:space="preserve">    Operating cash flow proxy</t>
        </is>
      </c>
      <c r="B58" s="11" t="n"/>
      <c r="C58" s="11" t="n">
        <v>925013</v>
      </c>
      <c r="D58" s="11" t="n">
        <v>612158</v>
      </c>
      <c r="E58" s="11" t="n">
        <v>367391</v>
      </c>
      <c r="F58" s="11" t="n">
        <v>1485558</v>
      </c>
    </row>
    <row r="60">
      <c r="A60" s="6" t="inlineStr">
        <is>
          <t>Investing</t>
        </is>
      </c>
      <c r="B60" s="7" t="n"/>
      <c r="C60" s="7" t="n"/>
      <c r="D60" s="7" t="n"/>
      <c r="E60" s="7" t="n"/>
      <c r="F60" s="7" t="n"/>
    </row>
    <row r="61">
      <c r="A61" s="8" t="inlineStr">
        <is>
          <t xml:space="preserve">    − Δ PP&amp;E gross (capex proxy)</t>
        </is>
      </c>
      <c r="B61" s="9" t="n"/>
      <c r="C61" s="9" t="n">
        <v>-553887</v>
      </c>
      <c r="D61" s="9" t="n">
        <v>-1123004</v>
      </c>
      <c r="E61" s="9" t="n">
        <v>-334012</v>
      </c>
      <c r="F61" s="9" t="n">
        <v>-1236146</v>
      </c>
    </row>
    <row r="63">
      <c r="A63" s="6" t="inlineStr">
        <is>
          <t>Financing</t>
        </is>
      </c>
      <c r="B63" s="7" t="n"/>
      <c r="C63" s="7" t="n"/>
      <c r="D63" s="7" t="n"/>
      <c r="E63" s="7" t="n"/>
      <c r="F63" s="7" t="n"/>
    </row>
    <row r="64">
      <c r="A64" s="8" t="inlineStr">
        <is>
          <t xml:space="preserve">    Δ Mortgages &amp; notes payable</t>
        </is>
      </c>
      <c r="B64" s="9" t="n"/>
      <c r="C64" s="9" t="n">
        <v>-85383</v>
      </c>
      <c r="D64" s="9" t="n">
        <v>-51560</v>
      </c>
      <c r="E64" s="9" t="n">
        <v>-104995</v>
      </c>
      <c r="F64" s="9" t="n">
        <v>-106493</v>
      </c>
    </row>
    <row r="66">
      <c r="A66" s="6" t="inlineStr">
        <is>
          <t>Reconciliation</t>
        </is>
      </c>
      <c r="B66" s="7" t="n"/>
      <c r="C66" s="7" t="n"/>
      <c r="D66" s="7" t="n"/>
      <c r="E66" s="7" t="n"/>
      <c r="F66" s="7" t="n"/>
    </row>
    <row r="67">
      <c r="A67" s="10" t="inlineStr">
        <is>
          <t xml:space="preserve">    Δ Cash + temp. investments (actual)</t>
        </is>
      </c>
      <c r="B67" s="11" t="n"/>
      <c r="C67" s="11" t="n">
        <v>161909</v>
      </c>
      <c r="D67" s="11" t="n">
        <v>-579923</v>
      </c>
      <c r="E67" s="11" t="n">
        <v>-71287</v>
      </c>
      <c r="F67" s="11" t="n">
        <v>252032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3443972</v>
      </c>
      <c r="C73" s="9" t="n">
        <v>3185521</v>
      </c>
      <c r="D73" s="9" t="n">
        <v>3074598</v>
      </c>
      <c r="E73" s="9" t="n">
        <v>3181241</v>
      </c>
      <c r="F73" s="9" t="n">
        <v>3576987</v>
      </c>
    </row>
    <row r="74">
      <c r="A74" s="8" t="inlineStr">
        <is>
          <t xml:space="preserve">    11b. Gross income from other sources</t>
        </is>
      </c>
      <c r="B74" s="9" t="n">
        <v>134377</v>
      </c>
      <c r="C74" s="9" t="n">
        <v>131047</v>
      </c>
      <c r="D74" s="9" t="n">
        <v>201852</v>
      </c>
      <c r="E74" s="9" t="n">
        <v>159909</v>
      </c>
      <c r="F74" s="9" t="n">
        <v>685207</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Balance Sheet - as reported (USD, end of year)</t>
        </is>
      </c>
    </row>
    <row r="3">
      <c r="A3" s="2" t="inlineStr">
        <is>
          <t>Entity ID: cawc_0034   |   Fiscal year ends October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136791</v>
      </c>
      <c r="C7" s="9" t="n">
        <v>519256</v>
      </c>
      <c r="D7" s="9" t="n">
        <v>376188</v>
      </c>
      <c r="E7" s="9" t="n">
        <v>80109</v>
      </c>
      <c r="F7" s="9" t="n">
        <v>299671</v>
      </c>
    </row>
    <row r="8">
      <c r="A8" s="8" t="inlineStr">
        <is>
          <t xml:space="preserve">    Savings &amp; temporary investments</t>
        </is>
      </c>
      <c r="B8" s="9" t="n">
        <v>714054</v>
      </c>
      <c r="C8" s="9" t="n">
        <v>493498</v>
      </c>
      <c r="D8" s="9" t="n">
        <v>56643</v>
      </c>
      <c r="E8" s="9" t="n">
        <v>281435</v>
      </c>
      <c r="F8" s="9" t="n">
        <v>313905</v>
      </c>
    </row>
    <row r="9">
      <c r="A9" s="8" t="inlineStr">
        <is>
          <t xml:space="preserve">    Accounts receivable</t>
        </is>
      </c>
      <c r="B9" s="9" t="n">
        <v>350116</v>
      </c>
      <c r="C9" s="9" t="n">
        <v>370092</v>
      </c>
      <c r="D9" s="9" t="n">
        <v>358006</v>
      </c>
      <c r="E9" s="9" t="n">
        <v>402886</v>
      </c>
      <c r="F9" s="9" t="n">
        <v>390237</v>
      </c>
    </row>
    <row r="10">
      <c r="A10" s="8" t="inlineStr">
        <is>
          <t xml:space="preserve">    Inventories</t>
        </is>
      </c>
      <c r="B10" s="9" t="n">
        <v>782024</v>
      </c>
      <c r="C10" s="9" t="n">
        <v>393515</v>
      </c>
      <c r="D10" s="9" t="n">
        <v>385664</v>
      </c>
      <c r="E10" s="9" t="n">
        <v>388577</v>
      </c>
      <c r="F10" s="9" t="n">
        <v>388631</v>
      </c>
    </row>
    <row r="11">
      <c r="A11" s="8" t="inlineStr">
        <is>
          <t xml:space="preserve">    Prepaid expenses</t>
        </is>
      </c>
      <c r="B11" s="9" t="n"/>
      <c r="C11" s="9" t="n"/>
      <c r="D11" s="9" t="n"/>
      <c r="E11" s="9" t="n"/>
      <c r="F11" s="9" t="n"/>
    </row>
    <row r="12">
      <c r="A12" s="8" t="inlineStr">
        <is>
          <t xml:space="preserve">    Property, plant &amp; equipment (gross)</t>
        </is>
      </c>
      <c r="B12" s="9" t="n">
        <v>15857621</v>
      </c>
      <c r="C12" s="9" t="n">
        <v>16411508</v>
      </c>
      <c r="D12" s="9" t="n">
        <v>17534512</v>
      </c>
      <c r="E12" s="9" t="n">
        <v>17868524</v>
      </c>
      <c r="F12" s="9" t="n">
        <v>19104670</v>
      </c>
    </row>
    <row r="13">
      <c r="A13" s="8" t="inlineStr">
        <is>
          <t xml:space="preserve">    Less: accumulated depreciation</t>
        </is>
      </c>
      <c r="B13" s="9" t="n">
        <v>-7038973</v>
      </c>
      <c r="C13" s="9" t="n">
        <v>-7594634</v>
      </c>
      <c r="D13" s="9" t="n">
        <v>-8186386</v>
      </c>
      <c r="E13" s="9" t="n">
        <v>-8817903</v>
      </c>
      <c r="F13" s="9" t="n">
        <v>-9459444</v>
      </c>
    </row>
    <row r="14">
      <c r="A14" s="10" t="inlineStr">
        <is>
          <t xml:space="preserve">    Net property, plant &amp; equipment</t>
        </is>
      </c>
      <c r="B14" s="11" t="n">
        <v>8818648</v>
      </c>
      <c r="C14" s="11" t="n">
        <v>8816874</v>
      </c>
      <c r="D14" s="11" t="n">
        <v>9348126</v>
      </c>
      <c r="E14" s="11" t="n">
        <v>9050621</v>
      </c>
      <c r="F14" s="11" t="n">
        <v>9645226</v>
      </c>
    </row>
    <row r="15">
      <c r="A15" s="10" t="inlineStr">
        <is>
          <t>Total assets</t>
        </is>
      </c>
      <c r="B15" s="11" t="n">
        <v>15582633</v>
      </c>
      <c r="C15" s="11" t="n">
        <v>15788304</v>
      </c>
      <c r="D15" s="11" t="n">
        <v>15094983</v>
      </c>
      <c r="E15" s="11" t="n">
        <v>14857229</v>
      </c>
      <c r="F15" s="11" t="n">
        <v>15974451</v>
      </c>
    </row>
    <row r="17">
      <c r="A17" s="6" t="inlineStr">
        <is>
          <t>Liabilities</t>
        </is>
      </c>
      <c r="B17" s="7" t="n"/>
      <c r="C17" s="7" t="n"/>
      <c r="D17" s="7" t="n"/>
      <c r="E17" s="7" t="n"/>
      <c r="F17" s="7" t="n"/>
    </row>
    <row r="18">
      <c r="A18" s="8" t="inlineStr">
        <is>
          <t xml:space="preserve">    Accounts payable</t>
        </is>
      </c>
      <c r="B18" s="9" t="n">
        <v>99067</v>
      </c>
      <c r="C18" s="9" t="n">
        <v>151175</v>
      </c>
      <c r="D18" s="9" t="n">
        <v>387725</v>
      </c>
      <c r="E18" s="9" t="n">
        <v>211376</v>
      </c>
      <c r="F18" s="9" t="n">
        <v>646989</v>
      </c>
    </row>
    <row r="19">
      <c r="A19" s="8" t="inlineStr">
        <is>
          <t xml:space="preserve">    Mortgages &amp; notes payable</t>
        </is>
      </c>
      <c r="B19" s="9" t="n">
        <v>1781608</v>
      </c>
      <c r="C19" s="9" t="n">
        <v>1696225</v>
      </c>
      <c r="D19" s="9" t="n">
        <v>1644665</v>
      </c>
      <c r="E19" s="9" t="n">
        <v>1539670</v>
      </c>
      <c r="F19" s="9" t="n">
        <v>1433177</v>
      </c>
    </row>
    <row r="20">
      <c r="A20" s="10" t="inlineStr">
        <is>
          <t>Total liabilities</t>
        </is>
      </c>
      <c r="B20" s="11" t="n">
        <v>2112419</v>
      </c>
      <c r="C20" s="11" t="n">
        <v>2131167</v>
      </c>
      <c r="D20" s="11" t="n">
        <v>2280153</v>
      </c>
      <c r="E20" s="11" t="n">
        <v>2019782</v>
      </c>
      <c r="F20" s="11" t="n">
        <v>2410011</v>
      </c>
    </row>
    <row r="22">
      <c r="A22" s="6" t="inlineStr">
        <is>
          <t>Net Assets / Equity</t>
        </is>
      </c>
      <c r="B22" s="7" t="n"/>
      <c r="C22" s="7" t="n"/>
      <c r="D22" s="7" t="n"/>
      <c r="E22" s="7" t="n"/>
      <c r="F22" s="7" t="n"/>
    </row>
    <row r="23">
      <c r="A23" s="8" t="inlineStr">
        <is>
          <t xml:space="preserve">    Capital stock</t>
        </is>
      </c>
      <c r="B23" s="9" t="n">
        <v>245400</v>
      </c>
      <c r="C23" s="9" t="n">
        <v>245600</v>
      </c>
      <c r="D23" s="9" t="n">
        <v>245800</v>
      </c>
      <c r="E23" s="9" t="n">
        <v>243400</v>
      </c>
      <c r="F23" s="9" t="n">
        <v>243600</v>
      </c>
    </row>
    <row r="24">
      <c r="A24" s="8" t="inlineStr">
        <is>
          <t xml:space="preserve">    Paid-in capital</t>
        </is>
      </c>
      <c r="B24" s="9" t="n">
        <v>3231015</v>
      </c>
      <c r="C24" s="9" t="n">
        <v>3168960</v>
      </c>
      <c r="D24" s="9" t="n">
        <v>3127945</v>
      </c>
      <c r="E24" s="9" t="n">
        <v>3101582</v>
      </c>
      <c r="F24" s="9" t="n">
        <v>3084440</v>
      </c>
    </row>
    <row r="25">
      <c r="A25" s="8" t="inlineStr">
        <is>
          <t xml:space="preserve">    Retained earnings</t>
        </is>
      </c>
      <c r="B25" s="9" t="n">
        <v>9993799</v>
      </c>
      <c r="C25" s="9" t="n">
        <v>10242577</v>
      </c>
      <c r="D25" s="9" t="n">
        <v>9441085</v>
      </c>
      <c r="E25" s="9" t="n">
        <v>9492465</v>
      </c>
      <c r="F25" s="9" t="n">
        <v>10236400</v>
      </c>
    </row>
    <row r="26">
      <c r="A26" s="10" t="inlineStr">
        <is>
          <t>Net assets</t>
        </is>
      </c>
      <c r="B26" s="11" t="n">
        <v>13470214</v>
      </c>
      <c r="C26" s="11" t="n">
        <v>13657137</v>
      </c>
      <c r="D26" s="11" t="n">
        <v>12814830</v>
      </c>
      <c r="E26" s="11" t="n">
        <v>12837447</v>
      </c>
      <c r="F26" s="11" t="n">
        <v>13564440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Valencia Heights Water Company</t>
        </is>
      </c>
    </row>
    <row r="2">
      <c r="A2" s="2" t="inlineStr">
        <is>
          <t>Officers, Directors &amp; Contractors - Form 990 Part VII (FY2024; USD)</t>
        </is>
      </c>
    </row>
    <row r="3">
      <c r="A3" s="2" t="inlineStr">
        <is>
          <t>Entity ID: cawc_0034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P DAVID MICHALKO</t>
        </is>
      </c>
      <c r="B7" s="17" t="inlineStr">
        <is>
          <t>GENERAL MANAGER</t>
        </is>
      </c>
      <c r="C7" s="18" t="n">
        <v>243762</v>
      </c>
      <c r="D7" s="18" t="n">
        <v>0</v>
      </c>
      <c r="E7" s="18" t="n">
        <v>49825</v>
      </c>
      <c r="F7" s="18" t="n">
        <v>293587</v>
      </c>
    </row>
    <row r="8">
      <c r="A8" s="17" t="inlineStr">
        <is>
          <t>TIMOTHY PACHECO</t>
        </is>
      </c>
      <c r="B8" s="17" t="inlineStr">
        <is>
          <t>WATER SYSTEM SUPERVISOR</t>
        </is>
      </c>
      <c r="C8" s="18" t="n">
        <v>139905</v>
      </c>
      <c r="D8" s="18" t="n">
        <v>0</v>
      </c>
      <c r="E8" s="18" t="n">
        <v>35566</v>
      </c>
      <c r="F8" s="18" t="n">
        <v>175471</v>
      </c>
    </row>
    <row r="9">
      <c r="A9" s="8" t="inlineStr">
        <is>
          <t>GLORIA GALINDO</t>
        </is>
      </c>
      <c r="B9" s="8" t="inlineStr">
        <is>
          <t>OFFICE MANAGER</t>
        </is>
      </c>
      <c r="C9" s="9" t="n">
        <v>129592</v>
      </c>
      <c r="D9" s="9" t="n">
        <v>0</v>
      </c>
      <c r="E9" s="9" t="n">
        <v>12723</v>
      </c>
      <c r="F9" s="9" t="n">
        <v>142315</v>
      </c>
    </row>
    <row r="10">
      <c r="A10" s="8" t="inlineStr">
        <is>
          <t>DANIEL LIESE</t>
        </is>
      </c>
      <c r="B10" s="8" t="inlineStr">
        <is>
          <t>CHAIRMAN</t>
        </is>
      </c>
      <c r="C10" s="9" t="n">
        <v>4380</v>
      </c>
      <c r="D10" s="9" t="n">
        <v>0</v>
      </c>
      <c r="E10" s="9" t="n">
        <v>0</v>
      </c>
      <c r="F10" s="9" t="n">
        <v>4380</v>
      </c>
    </row>
    <row r="11">
      <c r="A11" s="8" t="inlineStr">
        <is>
          <t>SERGIO ISLAS</t>
        </is>
      </c>
      <c r="B11" s="8" t="inlineStr">
        <is>
          <t>VICE CHAIRMAN</t>
        </is>
      </c>
      <c r="C11" s="9" t="n">
        <v>2880</v>
      </c>
      <c r="D11" s="9" t="n">
        <v>0</v>
      </c>
      <c r="E11" s="9" t="n">
        <v>0</v>
      </c>
      <c r="F11" s="9" t="n">
        <v>2880</v>
      </c>
    </row>
    <row r="12">
      <c r="A12" s="8" t="inlineStr">
        <is>
          <t>JOHN ACKERBOOM</t>
        </is>
      </c>
      <c r="B12" s="8" t="inlineStr">
        <is>
          <t>TREASURER</t>
        </is>
      </c>
      <c r="C12" s="9" t="n">
        <v>4460</v>
      </c>
      <c r="D12" s="9" t="n">
        <v>0</v>
      </c>
      <c r="E12" s="9" t="n">
        <v>0</v>
      </c>
      <c r="F12" s="9" t="n">
        <v>4460</v>
      </c>
    </row>
    <row r="13">
      <c r="A13" s="8" t="inlineStr">
        <is>
          <t>ROBERT GHIRELLI</t>
        </is>
      </c>
      <c r="B13" s="8" t="inlineStr">
        <is>
          <t>SECRETARY</t>
        </is>
      </c>
      <c r="C13" s="9" t="n">
        <v>3600</v>
      </c>
      <c r="D13" s="9" t="n">
        <v>0</v>
      </c>
      <c r="E13" s="9" t="n">
        <v>0</v>
      </c>
      <c r="F13" s="9" t="n">
        <v>3600</v>
      </c>
    </row>
    <row r="14">
      <c r="A14" s="8" t="inlineStr">
        <is>
          <t>DR SERGIO HERNANDEZ</t>
        </is>
      </c>
      <c r="B14" s="8" t="inlineStr">
        <is>
          <t>DIRECTOR</t>
        </is>
      </c>
      <c r="C14" s="9" t="n">
        <v>2640</v>
      </c>
      <c r="D14" s="9" t="n">
        <v>0</v>
      </c>
      <c r="E14" s="9" t="n">
        <v>0</v>
      </c>
      <c r="F14" s="9" t="n">
        <v>2640</v>
      </c>
    </row>
    <row r="15">
      <c r="A15" s="8" t="inlineStr">
        <is>
          <t>SYLVIA BELTRAN</t>
        </is>
      </c>
      <c r="B15" s="8" t="inlineStr">
        <is>
          <t>DIRECTOR</t>
        </is>
      </c>
      <c r="C15" s="9" t="n">
        <v>1920</v>
      </c>
      <c r="D15" s="9" t="n">
        <v>0</v>
      </c>
      <c r="E15" s="9" t="n">
        <v>0</v>
      </c>
      <c r="F15" s="9" t="n">
        <v>1920</v>
      </c>
    </row>
    <row r="17">
      <c r="A17" s="6" t="inlineStr">
        <is>
          <t>Section B - Independent contractors (over $100,000)</t>
        </is>
      </c>
      <c r="B17" s="7" t="n"/>
      <c r="C17" s="7" t="n"/>
      <c r="D17" s="7" t="n"/>
      <c r="E17" s="7" t="n"/>
      <c r="F17" s="7" t="n"/>
    </row>
    <row r="18">
      <c r="A18" s="5" t="inlineStr">
        <is>
          <t>Contractor</t>
        </is>
      </c>
      <c r="B18" s="5" t="inlineStr">
        <is>
          <t>Services</t>
        </is>
      </c>
      <c r="C18" s="5" t="inlineStr">
        <is>
          <t>Compensation</t>
        </is>
      </c>
    </row>
    <row r="20" ht="42" customHeight="1">
      <c r="A20"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20:F20"/>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Revenue - Form 990 Part VIII (USD)</t>
        </is>
      </c>
    </row>
    <row r="3">
      <c r="A3" s="2" t="inlineStr">
        <is>
          <t>Entity ID: cawc_0034   |   Fiscal year ends October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3443972</v>
      </c>
      <c r="C8" s="9" t="n">
        <v>3185521</v>
      </c>
      <c r="D8" s="9" t="n">
        <v>3074598</v>
      </c>
      <c r="E8" s="9" t="n">
        <v>3181241</v>
      </c>
      <c r="F8" s="9" t="n">
        <v>3576987</v>
      </c>
    </row>
    <row r="9">
      <c r="A9" s="8" t="inlineStr">
        <is>
          <t xml:space="preserve">    3. Investment income</t>
        </is>
      </c>
      <c r="B9" s="9" t="n">
        <v>106971</v>
      </c>
      <c r="C9" s="9" t="n">
        <v>101643</v>
      </c>
      <c r="D9" s="9" t="n">
        <v>80267</v>
      </c>
      <c r="E9" s="9" t="n">
        <v>93110</v>
      </c>
      <c r="F9" s="9" t="n">
        <v>104315</v>
      </c>
    </row>
    <row r="10">
      <c r="A10" s="8" t="inlineStr">
        <is>
          <t xml:space="preserve">    6d. Net rental income</t>
        </is>
      </c>
      <c r="B10" s="19" t="inlineStr">
        <is>
          <t>not reported</t>
        </is>
      </c>
      <c r="C10" s="19" t="inlineStr">
        <is>
          <t>not reported</t>
        </is>
      </c>
      <c r="D10" s="9" t="n">
        <v>59647</v>
      </c>
      <c r="E10" s="9" t="n">
        <v>77935</v>
      </c>
      <c r="F10" s="9" t="n">
        <v>71239</v>
      </c>
    </row>
    <row r="11">
      <c r="A11" s="8" t="inlineStr">
        <is>
          <t xml:space="preserve">    7d. Net gain/(loss) from investment sales</t>
        </is>
      </c>
      <c r="B11" s="9" t="n">
        <v>90796</v>
      </c>
      <c r="C11" s="9" t="n">
        <v>45460</v>
      </c>
      <c r="D11" s="9" t="n">
        <v>54795</v>
      </c>
      <c r="E11" s="9" t="n">
        <v>-11861</v>
      </c>
      <c r="F11" s="9" t="n">
        <v>504946</v>
      </c>
    </row>
    <row r="12">
      <c r="A12" s="8" t="inlineStr">
        <is>
          <t xml:space="preserve">    11e. Other revenue</t>
        </is>
      </c>
      <c r="B12" s="9" t="n">
        <v>27406</v>
      </c>
      <c r="C12" s="9" t="n">
        <v>29404</v>
      </c>
      <c r="D12" s="9" t="n">
        <v>7143</v>
      </c>
      <c r="E12" s="9" t="n">
        <v>725</v>
      </c>
      <c r="F12" s="9" t="n">
        <v>4707</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SALES AND SERVIC</t>
        </is>
      </c>
      <c r="B17" s="8" t="inlineStr">
        <is>
          <t>900099</t>
        </is>
      </c>
      <c r="C17" s="9" t="n">
        <v>3284987</v>
      </c>
    </row>
    <row r="18">
      <c r="A18" s="8" t="inlineStr">
        <is>
          <t>MANAGEMENT FEES</t>
        </is>
      </c>
      <c r="B18" s="8" t="inlineStr">
        <is>
          <t>900099</t>
        </is>
      </c>
      <c r="C18" s="9" t="n">
        <v>264000</v>
      </c>
    </row>
    <row r="19">
      <c r="A19" s="8" t="inlineStr">
        <is>
          <t>CONNECTION CHARGES</t>
        </is>
      </c>
      <c r="B19" s="8" t="inlineStr">
        <is>
          <t>900099</t>
        </is>
      </c>
      <c r="C19" s="9" t="n">
        <v>28000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Valencia Heights Water Company</t>
        </is>
      </c>
    </row>
    <row r="2">
      <c r="A2" s="2" t="inlineStr">
        <is>
          <t>Statement of Functional Expenses - Form 990 Part IX (USD)</t>
        </is>
      </c>
    </row>
    <row r="3">
      <c r="A3" s="2" t="inlineStr">
        <is>
          <t>Entity ID: cawc_0034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9" t="n">
        <v>273481</v>
      </c>
      <c r="C7" s="9" t="n">
        <v>281802</v>
      </c>
      <c r="D7" s="9" t="n">
        <v>295244</v>
      </c>
      <c r="E7" s="9" t="n">
        <v>310168</v>
      </c>
      <c r="F7" s="9" t="n">
        <v>386918</v>
      </c>
    </row>
    <row r="8">
      <c r="A8" s="8" t="inlineStr">
        <is>
          <t xml:space="preserve">    7. Other salaries and wages</t>
        </is>
      </c>
      <c r="B8" s="9" t="n">
        <v>411249</v>
      </c>
      <c r="C8" s="9" t="n">
        <v>435159</v>
      </c>
      <c r="D8" s="9" t="n">
        <v>468202</v>
      </c>
      <c r="E8" s="9" t="n">
        <v>484746</v>
      </c>
      <c r="F8" s="9" t="n">
        <v>608313</v>
      </c>
    </row>
    <row r="9">
      <c r="A9" s="8" t="inlineStr">
        <is>
          <t xml:space="preserve">    8. Pension plan accruals and contributions</t>
        </is>
      </c>
      <c r="B9" s="9" t="n">
        <v>27588</v>
      </c>
      <c r="C9" s="9" t="n">
        <v>33812</v>
      </c>
      <c r="D9" s="9" t="n">
        <v>34316</v>
      </c>
      <c r="E9" s="9" t="n">
        <v>30610</v>
      </c>
      <c r="F9" s="9" t="n">
        <v>37796</v>
      </c>
    </row>
    <row r="10">
      <c r="A10" s="8" t="inlineStr">
        <is>
          <t xml:space="preserve">    9. Other employee benefits</t>
        </is>
      </c>
      <c r="B10" s="9" t="n">
        <v>81801</v>
      </c>
      <c r="C10" s="9" t="n">
        <v>85021</v>
      </c>
      <c r="D10" s="9" t="n">
        <v>88752</v>
      </c>
      <c r="E10" s="9" t="n">
        <v>83459</v>
      </c>
      <c r="F10" s="9" t="n">
        <v>104272</v>
      </c>
    </row>
    <row r="11">
      <c r="A11" s="8" t="inlineStr">
        <is>
          <t xml:space="preserve">    10. Payroll taxes</t>
        </is>
      </c>
      <c r="B11" s="9" t="n">
        <v>40972</v>
      </c>
      <c r="C11" s="9" t="n">
        <v>46099</v>
      </c>
      <c r="D11" s="9" t="n">
        <v>50440</v>
      </c>
      <c r="E11" s="9" t="n">
        <v>53543</v>
      </c>
      <c r="F11" s="9" t="n">
        <v>64105</v>
      </c>
    </row>
    <row r="12">
      <c r="A12" s="8" t="inlineStr">
        <is>
          <t xml:space="preserve">    11b. Fees for services: legal</t>
        </is>
      </c>
      <c r="B12" s="19" t="inlineStr">
        <is>
          <t>not reported</t>
        </is>
      </c>
      <c r="C12" s="19" t="inlineStr">
        <is>
          <t>not reported</t>
        </is>
      </c>
      <c r="D12" s="19" t="inlineStr">
        <is>
          <t>not reported</t>
        </is>
      </c>
      <c r="E12" s="9" t="n">
        <v>17005</v>
      </c>
      <c r="F12" s="9" t="n">
        <v>4914</v>
      </c>
    </row>
    <row r="13">
      <c r="A13" s="8" t="inlineStr">
        <is>
          <t xml:space="preserve">    11c. Fees for services: accounting</t>
        </is>
      </c>
      <c r="B13" s="9" t="n">
        <v>33997</v>
      </c>
      <c r="C13" s="9" t="n">
        <v>33964</v>
      </c>
      <c r="D13" s="9" t="n">
        <v>31747</v>
      </c>
      <c r="E13" s="9" t="n">
        <v>33145</v>
      </c>
      <c r="F13" s="9" t="n">
        <v>34045</v>
      </c>
    </row>
    <row r="14">
      <c r="A14" s="8" t="inlineStr">
        <is>
          <t xml:space="preserve">    11g. Fees for services: other</t>
        </is>
      </c>
      <c r="B14" s="9" t="n">
        <v>48866</v>
      </c>
      <c r="C14" s="9" t="n">
        <v>134902</v>
      </c>
      <c r="D14" s="9" t="n">
        <v>71067</v>
      </c>
      <c r="E14" s="9" t="n">
        <v>51715</v>
      </c>
      <c r="F14" s="9" t="n">
        <v>55760</v>
      </c>
    </row>
    <row r="15">
      <c r="A15" s="8" t="inlineStr">
        <is>
          <t xml:space="preserve">    13. Office expenses</t>
        </is>
      </c>
      <c r="B15" s="9" t="n">
        <v>50013</v>
      </c>
      <c r="C15" s="9" t="n">
        <v>56954</v>
      </c>
      <c r="D15" s="9" t="n">
        <v>68356</v>
      </c>
      <c r="E15" s="9" t="n">
        <v>70035</v>
      </c>
      <c r="F15" s="9" t="n">
        <v>76981</v>
      </c>
    </row>
    <row r="16">
      <c r="A16" s="8" t="inlineStr">
        <is>
          <t xml:space="preserve">    20. Interest</t>
        </is>
      </c>
      <c r="B16" s="9" t="n">
        <v>30682</v>
      </c>
      <c r="C16" s="9" t="n">
        <v>29276</v>
      </c>
      <c r="D16" s="9" t="n">
        <v>27818</v>
      </c>
      <c r="E16" s="9" t="n">
        <v>45634</v>
      </c>
      <c r="F16" s="9" t="n">
        <v>25497</v>
      </c>
    </row>
    <row r="17">
      <c r="A17" s="8" t="inlineStr">
        <is>
          <t xml:space="preserve">    22. Depreciation, depletion, and amortization</t>
        </is>
      </c>
      <c r="B17" s="9" t="n">
        <v>445652</v>
      </c>
      <c r="C17" s="9" t="n">
        <v>465140</v>
      </c>
      <c r="D17" s="9" t="n">
        <v>501437</v>
      </c>
      <c r="E17" s="9" t="n">
        <v>541714</v>
      </c>
      <c r="F17" s="9" t="n">
        <v>551660</v>
      </c>
    </row>
    <row r="18">
      <c r="A18" s="8" t="inlineStr">
        <is>
          <t xml:space="preserve">    23. Insurance</t>
        </is>
      </c>
      <c r="B18" s="9" t="n">
        <v>74167</v>
      </c>
      <c r="C18" s="9" t="n">
        <v>59367</v>
      </c>
      <c r="D18" s="9" t="n">
        <v>64211</v>
      </c>
      <c r="E18" s="9" t="n">
        <v>71083</v>
      </c>
      <c r="F18" s="9" t="n">
        <v>80473</v>
      </c>
    </row>
    <row r="19">
      <c r="A19" s="8" t="inlineStr">
        <is>
          <t xml:space="preserve">    24. PURCHASED WATER</t>
        </is>
      </c>
      <c r="B19" s="9" t="n">
        <v>477906</v>
      </c>
      <c r="C19" s="9" t="n">
        <v>832406</v>
      </c>
      <c r="D19" s="9" t="n">
        <v>1000950</v>
      </c>
      <c r="E19" s="9" t="n">
        <v>725806</v>
      </c>
      <c r="F19" s="9" t="n">
        <v>766032</v>
      </c>
    </row>
    <row r="20">
      <c r="A20" s="8" t="inlineStr">
        <is>
          <t xml:space="preserve">    24. PURCHASED POWER</t>
        </is>
      </c>
      <c r="B20" s="9" t="n">
        <v>210621</v>
      </c>
      <c r="C20" s="9" t="n">
        <v>286546</v>
      </c>
      <c r="D20" s="9" t="n">
        <v>266440</v>
      </c>
      <c r="E20" s="9" t="n">
        <v>284712</v>
      </c>
      <c r="F20" s="9" t="n">
        <v>357621</v>
      </c>
    </row>
    <row r="21">
      <c r="A21" s="8" t="inlineStr">
        <is>
          <t xml:space="preserve">    24. ASSESMENTS</t>
        </is>
      </c>
      <c r="B21" s="9" t="n">
        <v>175188</v>
      </c>
      <c r="C21" s="9" t="n">
        <v>292904</v>
      </c>
      <c r="D21" s="9" t="n">
        <v>209322</v>
      </c>
      <c r="E21" s="9" t="n">
        <v>207262</v>
      </c>
      <c r="F21" s="9" t="n">
        <v>288154</v>
      </c>
    </row>
    <row r="22">
      <c r="A22" s="8" t="inlineStr">
        <is>
          <t xml:space="preserve">    24. OPERATIONS</t>
        </is>
      </c>
      <c r="B22" s="9" t="n">
        <v>104213</v>
      </c>
      <c r="C22" s="9" t="n">
        <v>118167</v>
      </c>
      <c r="D22" s="9" t="n">
        <v>84255</v>
      </c>
      <c r="E22" s="9" t="n">
        <v>122847</v>
      </c>
      <c r="F22" s="9" t="n">
        <v>152679</v>
      </c>
    </row>
    <row r="23">
      <c r="A23" s="8" t="inlineStr">
        <is>
          <t xml:space="preserve">    24e. All other expenses</t>
        </is>
      </c>
      <c r="B23" s="9" t="n">
        <v>131223</v>
      </c>
      <c r="C23" s="9" t="n">
        <v>131277</v>
      </c>
      <c r="D23" s="9" t="n">
        <v>159659</v>
      </c>
      <c r="E23" s="9" t="n">
        <v>157847</v>
      </c>
      <c r="F23" s="9" t="n">
        <v>181284</v>
      </c>
    </row>
    <row r="24">
      <c r="A24" s="10" t="inlineStr">
        <is>
          <t>25. Total functional expenses</t>
        </is>
      </c>
      <c r="B24" s="11">
        <f>SUM(B7:B23)</f>
        <v/>
      </c>
      <c r="C24" s="11">
        <f>SUM(C7:C23)</f>
        <v/>
      </c>
      <c r="D24" s="11">
        <f>SUM(D7:D23)</f>
        <v/>
      </c>
      <c r="E24" s="11">
        <f>SUM(E7:E23)</f>
        <v/>
      </c>
      <c r="F24" s="11">
        <f>SUM(F7:F23)</f>
        <v/>
      </c>
    </row>
    <row r="26">
      <c r="A26" s="6" t="inlineStr">
        <is>
          <t>Functional column split - FY2024</t>
        </is>
      </c>
      <c r="B26" s="7" t="n"/>
      <c r="C26" s="7" t="n"/>
      <c r="D26" s="7" t="n"/>
      <c r="E26" s="7" t="n"/>
      <c r="F26" s="7" t="n"/>
    </row>
    <row r="27" ht="42" customHeight="1">
      <c r="A27" s="3" t="inlineStr">
        <is>
          <t>Not reported. This filer reports only column A (Total) of Part IX; the program / management / fundraising split (columns B-D) is not filed, so it is left as not reported rather than shown empty or inferred.</t>
        </is>
      </c>
    </row>
    <row r="28" ht="42" customHeight="1">
      <c r="A2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28:F28"/>
    <mergeCell ref="A1:F1"/>
    <mergeCell ref="A27:F27"/>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Balance Sheet - Form 990 Part X (end of year, USD)</t>
        </is>
      </c>
    </row>
    <row r="3">
      <c r="A3" s="2" t="inlineStr">
        <is>
          <t>Entity ID: cawc_0034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136791</v>
      </c>
      <c r="C7" s="9" t="n">
        <v>519256</v>
      </c>
      <c r="D7" s="9" t="n">
        <v>376188</v>
      </c>
      <c r="E7" s="9" t="n">
        <v>80109</v>
      </c>
      <c r="F7" s="9" t="n">
        <v>299671</v>
      </c>
    </row>
    <row r="8">
      <c r="A8" s="8" t="inlineStr">
        <is>
          <t xml:space="preserve">    2. Savings and temporary cash investments</t>
        </is>
      </c>
      <c r="B8" s="9" t="n">
        <v>714054</v>
      </c>
      <c r="C8" s="9" t="n">
        <v>493498</v>
      </c>
      <c r="D8" s="9" t="n">
        <v>56643</v>
      </c>
      <c r="E8" s="9" t="n">
        <v>281435</v>
      </c>
      <c r="F8" s="9" t="n">
        <v>313905</v>
      </c>
    </row>
    <row r="9">
      <c r="A9" s="8" t="inlineStr">
        <is>
          <t xml:space="preserve">    4. Accounts receivable, net</t>
        </is>
      </c>
      <c r="B9" s="9" t="n">
        <v>350116</v>
      </c>
      <c r="C9" s="9" t="n">
        <v>370092</v>
      </c>
      <c r="D9" s="9" t="n">
        <v>358006</v>
      </c>
      <c r="E9" s="9" t="n">
        <v>402886</v>
      </c>
      <c r="F9" s="9" t="n">
        <v>390237</v>
      </c>
    </row>
    <row r="10">
      <c r="A10" s="8" t="inlineStr">
        <is>
          <t xml:space="preserve">    8. Inventories for sale or use</t>
        </is>
      </c>
      <c r="B10" s="9" t="n">
        <v>782024</v>
      </c>
      <c r="C10" s="9" t="n">
        <v>393515</v>
      </c>
      <c r="D10" s="9" t="n">
        <v>385664</v>
      </c>
      <c r="E10" s="9" t="n">
        <v>388577</v>
      </c>
      <c r="F10" s="9" t="n">
        <v>388631</v>
      </c>
    </row>
    <row r="11">
      <c r="A11" s="8" t="inlineStr">
        <is>
          <t xml:space="preserve">    10c. Land, buildings, and equipment, net</t>
        </is>
      </c>
      <c r="B11" s="9" t="n">
        <v>8818648</v>
      </c>
      <c r="C11" s="9" t="n">
        <v>8816874</v>
      </c>
      <c r="D11" s="9" t="n">
        <v>9348126</v>
      </c>
      <c r="E11" s="9" t="n">
        <v>9050621</v>
      </c>
      <c r="F11" s="9" t="n">
        <v>9645226</v>
      </c>
    </row>
    <row r="12">
      <c r="A12" s="8" t="inlineStr">
        <is>
          <t xml:space="preserve">    11. Investments - publicly traded securities</t>
        </is>
      </c>
      <c r="B12" s="9" t="n">
        <v>2962550</v>
      </c>
      <c r="C12" s="9" t="n">
        <v>3332913</v>
      </c>
      <c r="D12" s="9" t="n">
        <v>2760654</v>
      </c>
      <c r="E12" s="9" t="n">
        <v>780284</v>
      </c>
      <c r="F12" s="9" t="n">
        <v>1065521</v>
      </c>
    </row>
    <row r="13">
      <c r="A13" s="8" t="inlineStr">
        <is>
          <t xml:space="preserve">    12. Investments - other securities</t>
        </is>
      </c>
      <c r="B13" s="19" t="inlineStr">
        <is>
          <t>not reported</t>
        </is>
      </c>
      <c r="C13" s="19" t="inlineStr">
        <is>
          <t>not reported</t>
        </is>
      </c>
      <c r="D13" s="19" t="inlineStr">
        <is>
          <t>not reported</t>
        </is>
      </c>
      <c r="E13" s="9" t="n">
        <v>2038787</v>
      </c>
      <c r="F13" s="9" t="n">
        <v>2197634</v>
      </c>
    </row>
    <row r="14">
      <c r="A14" s="8" t="inlineStr">
        <is>
          <t xml:space="preserve">    15. Other assets</t>
        </is>
      </c>
      <c r="B14" s="9" t="n">
        <v>1818450</v>
      </c>
      <c r="C14" s="9" t="n">
        <v>1862156</v>
      </c>
      <c r="D14" s="9" t="n">
        <v>1809702</v>
      </c>
      <c r="E14" s="9" t="n">
        <v>1834530</v>
      </c>
      <c r="F14" s="9" t="n">
        <v>1673626</v>
      </c>
    </row>
    <row r="15">
      <c r="A15" s="10" t="inlineStr">
        <is>
          <t>16. Total assets</t>
        </is>
      </c>
      <c r="B15" s="11">
        <f>SUM(B7:B14)</f>
        <v/>
      </c>
      <c r="C15" s="11">
        <f>SUM(C7:C14)</f>
        <v/>
      </c>
      <c r="D15" s="11">
        <f>SUM(D7:D14)</f>
        <v/>
      </c>
      <c r="E15" s="11">
        <f>SUM(E7:E14)</f>
        <v/>
      </c>
      <c r="F15" s="11">
        <f>SUM(F7:F14)</f>
        <v/>
      </c>
    </row>
    <row r="17">
      <c r="A17" s="6" t="inlineStr">
        <is>
          <t>Liabilities</t>
        </is>
      </c>
      <c r="B17" s="7" t="n"/>
      <c r="C17" s="7" t="n"/>
      <c r="D17" s="7" t="n"/>
      <c r="E17" s="7" t="n"/>
      <c r="F17" s="7" t="n"/>
    </row>
    <row r="18">
      <c r="A18" s="8" t="inlineStr">
        <is>
          <t xml:space="preserve">    17. Accounts payable and accrued expenses</t>
        </is>
      </c>
      <c r="B18" s="9" t="n">
        <v>99067</v>
      </c>
      <c r="C18" s="9" t="n">
        <v>151175</v>
      </c>
      <c r="D18" s="9" t="n">
        <v>387725</v>
      </c>
      <c r="E18" s="9" t="n">
        <v>211376</v>
      </c>
      <c r="F18" s="9" t="n">
        <v>646989</v>
      </c>
    </row>
    <row r="19">
      <c r="A19" s="8" t="inlineStr">
        <is>
          <t xml:space="preserve">    23. Secured mortgages and notes payable</t>
        </is>
      </c>
      <c r="B19" s="9" t="n">
        <v>1781608</v>
      </c>
      <c r="C19" s="9" t="n">
        <v>1696225</v>
      </c>
      <c r="D19" s="9" t="n">
        <v>1644665</v>
      </c>
      <c r="E19" s="9" t="n">
        <v>1539670</v>
      </c>
      <c r="F19" s="9" t="n">
        <v>1433177</v>
      </c>
    </row>
    <row r="20">
      <c r="A20" s="8" t="inlineStr">
        <is>
          <t xml:space="preserve">    25. Other liabilities</t>
        </is>
      </c>
      <c r="B20" s="9" t="n">
        <v>231744</v>
      </c>
      <c r="C20" s="9" t="n">
        <v>283767</v>
      </c>
      <c r="D20" s="9" t="n">
        <v>247763</v>
      </c>
      <c r="E20" s="9" t="n">
        <v>268736</v>
      </c>
      <c r="F20" s="9" t="n">
        <v>329845</v>
      </c>
    </row>
    <row r="21">
      <c r="A21" s="10" t="inlineStr">
        <is>
          <t>26. Total liabilities</t>
        </is>
      </c>
      <c r="B21" s="11">
        <f>SUM(B18:B20)</f>
        <v/>
      </c>
      <c r="C21" s="11">
        <f>SUM(C18:C20)</f>
        <v/>
      </c>
      <c r="D21" s="11">
        <f>SUM(D18:D20)</f>
        <v/>
      </c>
      <c r="E21" s="11">
        <f>SUM(E18:E20)</f>
        <v/>
      </c>
      <c r="F21" s="11">
        <f>SUM(F18:F20)</f>
        <v/>
      </c>
    </row>
    <row r="23">
      <c r="A23" s="6" t="inlineStr">
        <is>
          <t>Net assets / fund balances</t>
        </is>
      </c>
      <c r="B23" s="7" t="n"/>
      <c r="C23" s="7" t="n"/>
      <c r="D23" s="7" t="n"/>
      <c r="E23" s="7" t="n"/>
      <c r="F23" s="7" t="n"/>
    </row>
    <row r="24">
      <c r="A24" s="8" t="inlineStr">
        <is>
          <t xml:space="preserve">    29. Capital stock or trust principal</t>
        </is>
      </c>
      <c r="B24" s="9" t="n">
        <v>245400</v>
      </c>
      <c r="C24" s="9" t="n">
        <v>245600</v>
      </c>
      <c r="D24" s="9" t="n">
        <v>245800</v>
      </c>
      <c r="E24" s="9" t="n">
        <v>243400</v>
      </c>
      <c r="F24" s="9" t="n">
        <v>243600</v>
      </c>
    </row>
    <row r="25">
      <c r="A25" s="8" t="inlineStr">
        <is>
          <t xml:space="preserve">    30. Paid-in or capital surplus</t>
        </is>
      </c>
      <c r="B25" s="9" t="n">
        <v>3231015</v>
      </c>
      <c r="C25" s="9" t="n">
        <v>3168960</v>
      </c>
      <c r="D25" s="9" t="n">
        <v>3127945</v>
      </c>
      <c r="E25" s="9" t="n">
        <v>3101582</v>
      </c>
      <c r="F25" s="9" t="n">
        <v>3084440</v>
      </c>
    </row>
    <row r="26">
      <c r="A26" s="8" t="inlineStr">
        <is>
          <t xml:space="preserve">    31. Retained earnings / accumulated funds</t>
        </is>
      </c>
      <c r="B26" s="9" t="n">
        <v>9993799</v>
      </c>
      <c r="C26" s="9" t="n">
        <v>10242577</v>
      </c>
      <c r="D26" s="9" t="n">
        <v>9441085</v>
      </c>
      <c r="E26" s="9" t="n">
        <v>9492465</v>
      </c>
      <c r="F26" s="9" t="n">
        <v>10236400</v>
      </c>
    </row>
    <row r="27">
      <c r="A27" s="10" t="inlineStr">
        <is>
          <t>32. Total net assets / fund balances</t>
        </is>
      </c>
      <c r="B27" s="11">
        <f>SUM(B24:B26)</f>
        <v/>
      </c>
      <c r="C27" s="11">
        <f>SUM(C24:C26)</f>
        <v/>
      </c>
      <c r="D27" s="11">
        <f>SUM(D24:D26)</f>
        <v/>
      </c>
      <c r="E27" s="11">
        <f>SUM(E24:E26)</f>
        <v/>
      </c>
      <c r="F27" s="11">
        <f>SUM(F24:F26)</f>
        <v/>
      </c>
    </row>
    <row r="29" ht="42" customHeight="1">
      <c r="A2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Reconciliation of Net Assets - Form 990 Part XI (USD)</t>
        </is>
      </c>
    </row>
    <row r="3">
      <c r="A3" s="2" t="inlineStr">
        <is>
          <t>Entity ID: cawc_0034   |   Fiscal year ends October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12315110</v>
      </c>
      <c r="C7" s="9" t="n">
        <v>13470214</v>
      </c>
      <c r="D7" s="9" t="n">
        <v>13657137</v>
      </c>
      <c r="E7" s="9" t="n">
        <v>12814830</v>
      </c>
      <c r="F7" s="9" t="n">
        <v>12837447</v>
      </c>
    </row>
    <row r="8">
      <c r="A8" s="8" t="inlineStr">
        <is>
          <t xml:space="preserve">    3. Revenue less expenses</t>
        </is>
      </c>
      <c r="B8" s="9" t="n">
        <v>1051526</v>
      </c>
      <c r="C8" s="9" t="n">
        <v>39232</v>
      </c>
      <c r="D8" s="9" t="n">
        <v>-145766</v>
      </c>
      <c r="E8" s="9" t="n">
        <v>49819</v>
      </c>
      <c r="F8" s="9" t="n">
        <v>485690</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137608</v>
      </c>
      <c r="C10" s="9" t="n">
        <v>-61855</v>
      </c>
      <c r="D10" s="9" t="n">
        <v>-40816</v>
      </c>
      <c r="E10" s="9" t="n">
        <v>-28763</v>
      </c>
      <c r="F10" s="9" t="n">
        <v>-16942</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Cash Flow Proxies - derived (USD)</t>
        </is>
      </c>
    </row>
    <row r="3">
      <c r="A3" s="2" t="inlineStr">
        <is>
          <t>Entity ID: cawc_0034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1051526</v>
      </c>
      <c r="C9" s="9" t="n">
        <v>39232</v>
      </c>
      <c r="D9" s="9" t="n">
        <v>-145766</v>
      </c>
      <c r="E9" s="9" t="n">
        <v>49819</v>
      </c>
      <c r="F9" s="9" t="n">
        <v>485690</v>
      </c>
    </row>
    <row r="10">
      <c r="A10" s="8" t="inlineStr">
        <is>
          <t xml:space="preserve">    + Depreciation (reported)</t>
        </is>
      </c>
      <c r="B10" s="9" t="n">
        <v>445652</v>
      </c>
      <c r="C10" s="9" t="n">
        <v>465140</v>
      </c>
      <c r="D10" s="9" t="n">
        <v>501437</v>
      </c>
      <c r="E10" s="9" t="n">
        <v>541714</v>
      </c>
      <c r="F10" s="9" t="n">
        <v>551660</v>
      </c>
    </row>
    <row r="11">
      <c r="A11" s="8" t="inlineStr">
        <is>
          <t xml:space="preserve">    − Δ Accounts receivable</t>
        </is>
      </c>
      <c r="B11" s="9" t="n"/>
      <c r="C11" s="9" t="n">
        <v>-19976</v>
      </c>
      <c r="D11" s="9" t="n">
        <v>12086</v>
      </c>
      <c r="E11" s="9" t="n">
        <v>-44880</v>
      </c>
      <c r="F11" s="9" t="n">
        <v>12649</v>
      </c>
    </row>
    <row r="12">
      <c r="A12" s="8" t="inlineStr">
        <is>
          <t xml:space="preserve">    − Δ Inventories</t>
        </is>
      </c>
      <c r="B12" s="9" t="n"/>
      <c r="C12" s="9" t="n">
        <v>388509</v>
      </c>
      <c r="D12" s="9" t="n">
        <v>7851</v>
      </c>
      <c r="E12" s="9" t="n">
        <v>-2913</v>
      </c>
      <c r="F12" s="9" t="n">
        <v>-54</v>
      </c>
    </row>
    <row r="13">
      <c r="A13" s="8" t="inlineStr">
        <is>
          <t xml:space="preserve">    − Δ Prepaid expenses</t>
        </is>
      </c>
      <c r="B13" s="9" t="n"/>
      <c r="C13" s="9" t="n"/>
      <c r="D13" s="9" t="n"/>
      <c r="E13" s="9" t="n"/>
      <c r="F13" s="9" t="n"/>
    </row>
    <row r="14">
      <c r="A14" s="8" t="inlineStr">
        <is>
          <t xml:space="preserve">    + Δ Accounts payable</t>
        </is>
      </c>
      <c r="B14" s="9" t="n"/>
      <c r="C14" s="9" t="n">
        <v>52108</v>
      </c>
      <c r="D14" s="9" t="n">
        <v>236550</v>
      </c>
      <c r="E14" s="9" t="n">
        <v>-176349</v>
      </c>
      <c r="F14" s="9" t="n">
        <v>435613</v>
      </c>
    </row>
    <row r="15">
      <c r="A15" s="10" t="inlineStr">
        <is>
          <t xml:space="preserve">    Operating cash flow proxy</t>
        </is>
      </c>
      <c r="B15" s="11" t="n"/>
      <c r="C15" s="11" t="n">
        <v>925013</v>
      </c>
      <c r="D15" s="11" t="n">
        <v>612158</v>
      </c>
      <c r="E15" s="11" t="n">
        <v>367391</v>
      </c>
      <c r="F15" s="11" t="n">
        <v>1485558</v>
      </c>
    </row>
    <row r="17">
      <c r="A17" s="6" t="inlineStr">
        <is>
          <t>Investing</t>
        </is>
      </c>
      <c r="B17" s="7" t="n"/>
      <c r="C17" s="7" t="n"/>
      <c r="D17" s="7" t="n"/>
      <c r="E17" s="7" t="n"/>
      <c r="F17" s="7" t="n"/>
    </row>
    <row r="18">
      <c r="A18" s="8" t="inlineStr">
        <is>
          <t xml:space="preserve">    − Δ PP&amp;E gross (capex proxy)</t>
        </is>
      </c>
      <c r="B18" s="9" t="n"/>
      <c r="C18" s="9" t="n">
        <v>-553887</v>
      </c>
      <c r="D18" s="9" t="n">
        <v>-1123004</v>
      </c>
      <c r="E18" s="9" t="n">
        <v>-334012</v>
      </c>
      <c r="F18" s="9" t="n">
        <v>-1236146</v>
      </c>
    </row>
    <row r="20">
      <c r="A20" s="6" t="inlineStr">
        <is>
          <t>Financing</t>
        </is>
      </c>
      <c r="B20" s="7" t="n"/>
      <c r="C20" s="7" t="n"/>
      <c r="D20" s="7" t="n"/>
      <c r="E20" s="7" t="n"/>
      <c r="F20" s="7" t="n"/>
    </row>
    <row r="21">
      <c r="A21" s="8" t="inlineStr">
        <is>
          <t xml:space="preserve">    Δ Mortgages &amp; notes payable</t>
        </is>
      </c>
      <c r="B21" s="9" t="n"/>
      <c r="C21" s="9" t="n">
        <v>-85383</v>
      </c>
      <c r="D21" s="9" t="n">
        <v>-51560</v>
      </c>
      <c r="E21" s="9" t="n">
        <v>-104995</v>
      </c>
      <c r="F21" s="9" t="n">
        <v>-106493</v>
      </c>
    </row>
    <row r="23">
      <c r="A23" s="6" t="inlineStr">
        <is>
          <t>Reconciliation</t>
        </is>
      </c>
      <c r="B23" s="7" t="n"/>
      <c r="C23" s="7" t="n"/>
      <c r="D23" s="7" t="n"/>
      <c r="E23" s="7" t="n"/>
      <c r="F23" s="7" t="n"/>
    </row>
    <row r="24">
      <c r="A24" s="10" t="inlineStr">
        <is>
          <t xml:space="preserve">    Δ Cash + temp. investments (actual)</t>
        </is>
      </c>
      <c r="B24" s="11" t="n"/>
      <c r="C24" s="11" t="n">
        <v>161909</v>
      </c>
      <c r="D24" s="11" t="n">
        <v>-579923</v>
      </c>
      <c r="E24" s="11" t="n">
        <v>-71287</v>
      </c>
      <c r="F24" s="11" t="n">
        <v>252032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Valencia Heights Water Company</t>
        </is>
      </c>
    </row>
    <row r="2">
      <c r="A2" s="2" t="inlineStr">
        <is>
          <t>Financial Ratios</t>
        </is>
      </c>
    </row>
    <row r="3">
      <c r="A3" s="2" t="inlineStr">
        <is>
          <t>Entity ID: cawc_0034   |   Fiscal year ends October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0.2865861120233733</v>
      </c>
      <c r="C7" s="12" t="n">
        <v>0.011669147312277</v>
      </c>
      <c r="D7" s="12" t="n">
        <v>-0.04448900486807367</v>
      </c>
      <c r="E7" s="12" t="n">
        <v>0.01491073432800084</v>
      </c>
      <c r="F7" s="12" t="n">
        <v>0.1139530485942217</v>
      </c>
    </row>
    <row r="8">
      <c r="A8" s="8" t="inlineStr">
        <is>
          <t xml:space="preserve">    Expense ratio (expenses / revenue)</t>
        </is>
      </c>
      <c r="B8" s="12" t="n">
        <v>0.7134138879766267</v>
      </c>
      <c r="C8" s="12" t="n">
        <v>0.988330852687723</v>
      </c>
      <c r="D8" s="12" t="n">
        <v>1.044489004868074</v>
      </c>
      <c r="E8" s="12" t="n">
        <v>0.9850892656719992</v>
      </c>
      <c r="F8" s="12" t="n">
        <v>0.8860469514057784</v>
      </c>
    </row>
    <row r="9">
      <c r="A9" s="8" t="inlineStr">
        <is>
          <t xml:space="preserve">    Return on assets (NI / assets)</t>
        </is>
      </c>
      <c r="B9" s="12" t="n">
        <v>0.06748063693728781</v>
      </c>
      <c r="C9" s="12" t="n">
        <v>0.002484877413052092</v>
      </c>
      <c r="D9" s="12" t="n">
        <v>-0.009656585900096741</v>
      </c>
      <c r="E9" s="12" t="n">
        <v>0.003353182481066961</v>
      </c>
      <c r="F9" s="12" t="n">
        <v>0.03040417476631904</v>
      </c>
    </row>
    <row r="10">
      <c r="A10" s="8" t="inlineStr">
        <is>
          <t xml:space="preserve">    Revenue growth (YoY)</t>
        </is>
      </c>
      <c r="B10" s="12" t="n">
        <v>0.3292631014551033</v>
      </c>
      <c r="C10" s="12" t="n">
        <v>-0.08370260646553898</v>
      </c>
      <c r="D10" s="12" t="n">
        <v>-0.02545427938137338</v>
      </c>
      <c r="E10" s="12" t="n">
        <v>0.01974698225213264</v>
      </c>
      <c r="F10" s="12" t="n">
        <v>0.2756667614444129</v>
      </c>
    </row>
    <row r="12">
      <c r="A12" s="6" t="inlineStr">
        <is>
          <t>Leverage &amp; solvency</t>
        </is>
      </c>
      <c r="B12" s="7" t="n"/>
      <c r="C12" s="7" t="n"/>
      <c r="D12" s="7" t="n"/>
      <c r="E12" s="7" t="n"/>
      <c r="F12" s="7" t="n"/>
    </row>
    <row r="13">
      <c r="A13" s="8" t="inlineStr">
        <is>
          <t xml:space="preserve">    Debt-to-assets (liab. / assets)</t>
        </is>
      </c>
      <c r="B13" s="12" t="n">
        <v>0.1355623917986132</v>
      </c>
      <c r="C13" s="12" t="n">
        <v>0.1349839096080238</v>
      </c>
      <c r="D13" s="12" t="n">
        <v>0.1510536977749495</v>
      </c>
      <c r="E13" s="12" t="n">
        <v>0.1359460771588026</v>
      </c>
      <c r="F13" s="12" t="n">
        <v>0.1508665931617932</v>
      </c>
    </row>
    <row r="14">
      <c r="A14" s="8" t="inlineStr">
        <is>
          <t xml:space="preserve">    Equity ratio (net assets / assets)</t>
        </is>
      </c>
      <c r="B14" s="12" t="n">
        <v>0.8644376082013867</v>
      </c>
      <c r="C14" s="12" t="n">
        <v>0.8650160903919762</v>
      </c>
      <c r="D14" s="12" t="n">
        <v>0.8489463022250505</v>
      </c>
      <c r="E14" s="12" t="n">
        <v>0.8640539228411974</v>
      </c>
      <c r="F14" s="12" t="n">
        <v>0.8491334068382068</v>
      </c>
    </row>
    <row r="16">
      <c r="A16" s="6" t="inlineStr">
        <is>
          <t>Liquidity &amp; asset profile (derived here)</t>
        </is>
      </c>
      <c r="B16" s="7" t="n"/>
      <c r="C16" s="7" t="n"/>
      <c r="D16" s="7" t="n"/>
      <c r="E16" s="7" t="n"/>
      <c r="F16" s="7" t="n"/>
    </row>
    <row r="17">
      <c r="A17" s="8" t="inlineStr">
        <is>
          <t xml:space="preserve">    Current ratio (current assets / AP)</t>
        </is>
      </c>
      <c r="B17" s="20" t="n">
        <v>20.01660492394036</v>
      </c>
      <c r="C17" s="20" t="n">
        <v>11.75036216305606</v>
      </c>
      <c r="D17" s="20" t="n">
        <v>3.034369720807273</v>
      </c>
      <c r="E17" s="20" t="n">
        <v>5.454767807130422</v>
      </c>
      <c r="F17" s="20" t="n">
        <v>2.152191150081377</v>
      </c>
    </row>
    <row r="18">
      <c r="A18" s="8" t="inlineStr">
        <is>
          <t xml:space="preserve">    Cash ratio ((cash+temp inv.) / total liab.)</t>
        </is>
      </c>
      <c r="B18" s="20" t="n">
        <v>0.4027823078660058</v>
      </c>
      <c r="C18" s="20" t="n">
        <v>0.4752109994195668</v>
      </c>
      <c r="D18" s="20" t="n">
        <v>0.1898254196099999</v>
      </c>
      <c r="E18" s="20" t="n">
        <v>0.1790014962010752</v>
      </c>
      <c r="F18" s="20" t="n">
        <v>0.2545946885719609</v>
      </c>
    </row>
    <row r="19">
      <c r="A19" s="8" t="inlineStr">
        <is>
          <t xml:space="preserve">    Asset age proxy (accum. deprec. / gross PP&amp;E)</t>
        </is>
      </c>
      <c r="B19" s="12" t="n">
        <v>0.4438858136412769</v>
      </c>
      <c r="C19" s="12" t="n">
        <v>0.4627627150411772</v>
      </c>
      <c r="D19" s="12" t="n">
        <v>0.4668727592761064</v>
      </c>
      <c r="E19" s="12" t="n">
        <v>0.4934880463545842</v>
      </c>
      <c r="F19" s="12" t="n">
        <v>0.4951377856827676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Valencia Heights Water Company</t>
        </is>
      </c>
    </row>
    <row r="2">
      <c r="A2" s="2" t="inlineStr">
        <is>
          <t>Unit economics - per-customer revenue by category (USD)</t>
        </is>
      </c>
    </row>
    <row r="3">
      <c r="A3" s="2" t="inlineStr">
        <is>
          <t>Entity ID: cawc_0034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v>1682</v>
      </c>
      <c r="C6" s="23" t="inlineStr">
        <is>
          <t>State Water Board eAR Section 4 (CurTotalConnections), reporting year 2024</t>
        </is>
      </c>
    </row>
    <row r="7">
      <c r="A7" s="21" t="inlineStr">
        <is>
          <t>Total annual revenue (eAR Section 8b B1.8)</t>
        </is>
      </c>
      <c r="B7" s="9" t="n">
        <v>4513945</v>
      </c>
      <c r="C7" s="23" t="inlineStr">
        <is>
          <t>State Water Board eAR Section 8b, question B1.8 (total annual revenue), reporting year 2024</t>
        </is>
      </c>
    </row>
    <row r="8">
      <c r="A8" s="21" t="inlineStr">
        <is>
          <t>Primary source</t>
        </is>
      </c>
      <c r="B8" s="24" t="inlineStr"/>
      <c r="C8" s="23"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DIRECT</t>
        </is>
      </c>
      <c r="C12" s="9" t="n">
        <v>3244113</v>
      </c>
      <c r="D12" s="26" t="n">
        <v>1928.72</v>
      </c>
      <c r="E12" s="27" t="n">
        <v>0.7187</v>
      </c>
    </row>
    <row r="13">
      <c r="A13" s="8" t="inlineStr">
        <is>
          <t>Assessment revenue (990 program-service revenue not matched to eAR water-rate revenue)</t>
        </is>
      </c>
      <c r="B13" s="25" t="inlineStr">
        <is>
          <t>DERIVED</t>
        </is>
      </c>
      <c r="C13" s="9" t="n">
        <v>332874</v>
      </c>
      <c r="D13" s="26" t="n">
        <v>197.9</v>
      </c>
      <c r="E13" s="27" t="n">
        <v>0.0931</v>
      </c>
    </row>
    <row r="14">
      <c r="A14" s="8" t="inlineStr">
        <is>
          <t>Meter revenue</t>
        </is>
      </c>
      <c r="B14" s="25" t="inlineStr">
        <is>
          <t>not reported</t>
        </is>
      </c>
      <c r="C14" s="28" t="inlineStr">
        <is>
          <t>not reported</t>
        </is>
      </c>
      <c r="D14" s="28" t="inlineStr">
        <is>
          <t>not reported</t>
        </is>
      </c>
      <c r="E14" s="28" t="inlineStr">
        <is>
          <t>not reported</t>
        </is>
      </c>
    </row>
    <row r="15">
      <c r="A15" s="8" t="inlineStr">
        <is>
          <t>Overage or tiered penalty revenue</t>
        </is>
      </c>
      <c r="B15" s="25" t="inlineStr">
        <is>
          <t>not reported</t>
        </is>
      </c>
      <c r="C15" s="28" t="inlineStr">
        <is>
          <t>not reported</t>
        </is>
      </c>
      <c r="D15" s="28" t="inlineStr">
        <is>
          <t>not reported</t>
        </is>
      </c>
      <c r="E15" s="28"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1" t="inlineStr">
        <is>
          <t>Numerator: Water rate revenue</t>
        </is>
      </c>
      <c r="B19" s="9" t="n">
        <v>3244113</v>
      </c>
      <c r="C19" s="23" t="inlineStr">
        <is>
          <t>eAR Section 8b field B1.1 (residential water rates) + B1.2 (non-residential water rates). State Water Board eAR Section 8b, question B1.1 + B1.2 (revenue from water rates), reporting year 2024</t>
        </is>
      </c>
    </row>
    <row r="20">
      <c r="A20" s="21" t="inlineStr">
        <is>
          <t>Denominator: Total service connections</t>
        </is>
      </c>
      <c r="B20" s="22" t="n">
        <v>1682</v>
      </c>
      <c r="C20" s="23" t="inlineStr">
        <is>
          <t>eAR Section 4 CurTotalConnections, reporting year 2024. State Water Board eAR Section 4 (CurTotalConnections), reporting year 2024</t>
        </is>
      </c>
    </row>
    <row r="21" ht="36" customHeight="1">
      <c r="A21" s="3" t="inlineStr">
        <is>
          <t>Per customer: water rate revenue $3,244,113 / 1,682 connections = $1,928.72 per connection</t>
        </is>
      </c>
    </row>
    <row r="22" ht="36" customHeight="1">
      <c r="A22" s="3" t="inlineStr">
        <is>
          <t>Share of revenue: water rate revenue $3,244,113 / total annual revenue (eAR Section 8b B1.8) $4,513,945 = 71.87%</t>
        </is>
      </c>
    </row>
    <row r="23" ht="81" customHeight="1">
      <c r="A23" s="3" t="inlineStr">
        <is>
          <t>Period treatment: Numerator (eAR Section 8b, the fiscal year ending October 31,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1" t="inlineStr">
        <is>
          <t>Input A: Form 990 program-service revenue</t>
        </is>
      </c>
      <c r="B28" s="9" t="n">
        <v>3576987</v>
      </c>
      <c r="C28" s="23" t="inlineStr">
        <is>
          <t>Form 990 Part VIII line 2 (total program-service revenue), fiscal year 2024 ending October 31, 2024</t>
        </is>
      </c>
    </row>
    <row r="29">
      <c r="A29" s="21" t="inlineStr">
        <is>
          <t>Input B: eAR water-rate revenue</t>
        </is>
      </c>
      <c r="B29" s="9" t="n">
        <v>3244113</v>
      </c>
      <c r="C29" s="23" t="inlineStr">
        <is>
          <t>State Water Board eAR Section 8b, question B1.1 + B1.2 (revenue from water rates), reporting year 2024</t>
        </is>
      </c>
    </row>
    <row r="30">
      <c r="A30" s="14" t="inlineStr">
        <is>
          <t>Residual (A minus B) = assessment revenue</t>
        </is>
      </c>
      <c r="B30" s="15">
        <f>B28-B29</f>
        <v/>
      </c>
      <c r="C30" s="23" t="inlineStr">
        <is>
          <t>$3,576,987 (990 program-service revenue) minus $3,244,113 (eAR water-rate revenue) = $332,874</t>
        </is>
      </c>
    </row>
    <row r="31" ht="66" customHeight="1">
      <c r="A31" s="3" t="inlineStr">
        <is>
          <t>Period alignment: Both inputs cover the same period: the eAR Section 8b is the fiscal year ending October 31, 2024 and the Form 990 fiscal year 2024 ends October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1" t="inlineStr">
        <is>
          <t>Denominator: Total service connections</t>
        </is>
      </c>
      <c r="B34" s="22" t="n">
        <v>1682</v>
      </c>
      <c r="C34" s="23" t="inlineStr">
        <is>
          <t>eAR Section 4 CurTotalConnections, reporting year 2024. State Water Board eAR Section 4 (CurTotalConnections), reporting year 2024</t>
        </is>
      </c>
    </row>
    <row r="35" ht="36" customHeight="1">
      <c r="A35" s="3" t="inlineStr">
        <is>
          <t>Per customer: residual $332,874 / 1,682 connections = $197.90 per connection</t>
        </is>
      </c>
    </row>
    <row r="36" ht="36" customHeight="1">
      <c r="A36" s="3" t="inlineStr">
        <is>
          <t>Share of revenue: residual $332,874 / 990 program-service revenue $3,576,987 = 9.31%</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Valencia Heights Water Company</t>
        </is>
      </c>
    </row>
    <row r="2">
      <c r="A2" s="2" t="inlineStr">
        <is>
          <t>Rate structure and representative bill - eAR Section 8a (RY2024)</t>
        </is>
      </c>
    </row>
    <row r="3">
      <c r="A3" s="2" t="inlineStr">
        <is>
          <t>Entity ID: cawc_0034   |   Fiscal year ends October 31.</t>
        </is>
      </c>
    </row>
    <row r="5" ht="81" customHeight="1">
      <c r="A5" s="29" t="inlineStr">
        <is>
          <t>This block is a rate-schedule illustration at defined usage levels. It is NOT billed revenue and not a claim about any real customer's usage. The revenue side of unit economics is the separate Unit Economics block.</t>
        </is>
      </c>
    </row>
    <row r="6" ht="51" customHeight="1">
      <c r="A6" s="30" t="inlineStr">
        <is>
          <t>Structure: Tiered increasing-block with a fixed base, billed monthly, priced per HCF. Rate schedule last updated 03/29/2024.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1" t="inlineStr"/>
      <c r="B10" s="5" t="inlineStr">
        <is>
          <t>Low</t>
        </is>
      </c>
      <c r="C10" s="5" t="inlineStr">
        <is>
          <t>Median</t>
        </is>
      </c>
      <c r="D10" s="5" t="inlineStr">
        <is>
          <t>High</t>
        </is>
      </c>
    </row>
    <row r="11">
      <c r="A11" s="8" t="inlineStr">
        <is>
          <t>Monthly usage (HCF)</t>
        </is>
      </c>
      <c r="B11" s="32" t="n">
        <v>5</v>
      </c>
      <c r="C11" s="32" t="n">
        <v>10</v>
      </c>
      <c r="D11" s="32" t="n">
        <v>25</v>
      </c>
    </row>
    <row r="12">
      <c r="A12" s="8" t="inlineStr">
        <is>
          <t>Months per bill (from filed billing frequency)</t>
        </is>
      </c>
      <c r="B12" s="33"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6" t="n">
        <v>50.29</v>
      </c>
    </row>
    <row r="16">
      <c r="A16" s="4" t="inlineStr">
        <is>
          <t>Tier</t>
        </is>
      </c>
      <c r="B16" s="4" t="inlineStr">
        <is>
          <t>Range (HCF)</t>
        </is>
      </c>
      <c r="C16" s="34" t="inlineStr">
        <is>
          <t>Price ($/HCF)</t>
        </is>
      </c>
      <c r="D16" s="34" t="inlineStr">
        <is>
          <t>Upper limit (HCF)</t>
        </is>
      </c>
    </row>
    <row r="17">
      <c r="A17" s="8" t="inlineStr">
        <is>
          <t>Tier 1</t>
        </is>
      </c>
      <c r="B17" s="8" t="inlineStr">
        <is>
          <t>0 to 10 HCF</t>
        </is>
      </c>
      <c r="C17" s="35" t="n">
        <v>2.897</v>
      </c>
      <c r="D17" s="36" t="n">
        <v>10</v>
      </c>
    </row>
    <row r="18">
      <c r="A18" s="8" t="inlineStr">
        <is>
          <t>Tier 2</t>
        </is>
      </c>
      <c r="B18" s="8" t="inlineStr">
        <is>
          <t>10 to 90 HCF</t>
        </is>
      </c>
      <c r="C18" s="35" t="n">
        <v>4.191</v>
      </c>
      <c r="D18" s="36" t="n">
        <v>90</v>
      </c>
    </row>
    <row r="19">
      <c r="A19" s="8" t="inlineStr">
        <is>
          <t>Tier 3</t>
        </is>
      </c>
      <c r="B19" s="8" t="inlineStr">
        <is>
          <t>over 90 HCF</t>
        </is>
      </c>
      <c r="C19" s="35" t="n">
        <v>5.484</v>
      </c>
      <c r="D19" s="36" t="inlineStr">
        <is>
          <t>no limit</t>
        </is>
      </c>
    </row>
    <row r="21">
      <c r="A21" s="6" t="inlineStr">
        <is>
          <t>Representative monthly bill - LIVE (edit a yellow usage cell to recompute)</t>
        </is>
      </c>
      <c r="B21" s="7" t="n"/>
      <c r="C21" s="7" t="n"/>
      <c r="D21" s="7" t="n"/>
    </row>
    <row r="22">
      <c r="A22" s="31" t="inlineStr"/>
      <c r="B22" s="5" t="inlineStr">
        <is>
          <t>Low</t>
        </is>
      </c>
      <c r="C22" s="5" t="inlineStr">
        <is>
          <t>Median</t>
        </is>
      </c>
      <c r="D22" s="5" t="inlineStr">
        <is>
          <t>High</t>
        </is>
      </c>
    </row>
    <row r="23">
      <c r="A23" s="8" t="inlineStr">
        <is>
          <t>Usage per bill (HCF)</t>
        </is>
      </c>
      <c r="B23" s="37">
        <f>B11*$B$12</f>
        <v/>
      </c>
      <c r="C23" s="37">
        <f>C11*$B$12</f>
        <v/>
      </c>
      <c r="D23" s="37">
        <f>D11*$B$12</f>
        <v/>
      </c>
    </row>
    <row r="24">
      <c r="A24" s="8" t="inlineStr">
        <is>
          <t xml:space="preserve">    Tier 1 charge per bill ($)</t>
        </is>
      </c>
      <c r="B24" s="38">
        <f>$C$17*MAX(0,MIN(B23,$D$17)-0)</f>
        <v/>
      </c>
      <c r="C24" s="38">
        <f>$C$17*MAX(0,MIN(C23,$D$17)-0)</f>
        <v/>
      </c>
      <c r="D24" s="38">
        <f>$C$17*MAX(0,MIN(D23,$D$17)-0)</f>
        <v/>
      </c>
    </row>
    <row r="25">
      <c r="A25" s="8" t="inlineStr">
        <is>
          <t xml:space="preserve">    Tier 2 charge per bill ($)</t>
        </is>
      </c>
      <c r="B25" s="38">
        <f>$C$18*MAX(0,MIN(B23,$D$18)-$D$17)</f>
        <v/>
      </c>
      <c r="C25" s="38">
        <f>$C$18*MAX(0,MIN(C23,$D$18)-$D$17)</f>
        <v/>
      </c>
      <c r="D25" s="38">
        <f>$C$18*MAX(0,MIN(D23,$D$18)-$D$17)</f>
        <v/>
      </c>
    </row>
    <row r="26">
      <c r="A26" s="8" t="inlineStr">
        <is>
          <t xml:space="preserve">    Tier 3 charge per bill ($)</t>
        </is>
      </c>
      <c r="B26" s="38">
        <f>$C$19*MAX(0,B23-$D$18)</f>
        <v/>
      </c>
      <c r="C26" s="38">
        <f>$C$19*MAX(0,C23-$D$18)</f>
        <v/>
      </c>
      <c r="D26" s="38">
        <f>$C$19*MAX(0,D23-$D$18)</f>
        <v/>
      </c>
    </row>
    <row r="27">
      <c r="A27" s="8" t="inlineStr">
        <is>
          <t>Volumetric charge per bill ($)</t>
        </is>
      </c>
      <c r="B27" s="38">
        <f>SUM(B24,B25,B26)</f>
        <v/>
      </c>
      <c r="C27" s="38">
        <f>SUM(C24,C25,C26)</f>
        <v/>
      </c>
      <c r="D27" s="38">
        <f>SUM(D24,D25,D26)</f>
        <v/>
      </c>
    </row>
    <row r="28">
      <c r="A28" s="8" t="inlineStr">
        <is>
          <t>Base charge per bill ($)</t>
        </is>
      </c>
      <c r="B28" s="38">
        <f>$B$15</f>
        <v/>
      </c>
      <c r="C28" s="38">
        <f>$B$15</f>
        <v/>
      </c>
      <c r="D28" s="38">
        <f>$B$15</f>
        <v/>
      </c>
    </row>
    <row r="29">
      <c r="A29" s="8" t="inlineStr">
        <is>
          <t>Total per bill ($)</t>
        </is>
      </c>
      <c r="B29" s="38">
        <f>B28+B27</f>
        <v/>
      </c>
      <c r="C29" s="38">
        <f>C28+C27</f>
        <v/>
      </c>
      <c r="D29" s="38">
        <f>D28+D27</f>
        <v/>
      </c>
    </row>
    <row r="30">
      <c r="A30" s="10" t="inlineStr">
        <is>
          <t>Total per MONTH ($)</t>
        </is>
      </c>
      <c r="B30" s="39">
        <f>B29/$B$12</f>
        <v/>
      </c>
      <c r="C30" s="39">
        <f>C29/$B$12</f>
        <v/>
      </c>
      <c r="D30" s="39">
        <f>D29/$B$12</f>
        <v/>
      </c>
    </row>
    <row r="31">
      <c r="A31" s="8" t="inlineStr">
        <is>
          <t xml:space="preserve">    Fixed per month ($)</t>
        </is>
      </c>
      <c r="B31" s="38">
        <f>$B$15/$B$12</f>
        <v/>
      </c>
      <c r="C31" s="38">
        <f>$B$15/$B$12</f>
        <v/>
      </c>
      <c r="D31" s="38">
        <f>$B$15/$B$12</f>
        <v/>
      </c>
    </row>
    <row r="32">
      <c r="A32" s="8" t="inlineStr">
        <is>
          <t xml:space="preserve">    Volumetric per month ($)</t>
        </is>
      </c>
      <c r="B32" s="38">
        <f>B27/$B$12</f>
        <v/>
      </c>
      <c r="C32" s="38">
        <f>C27/$B$12</f>
        <v/>
      </c>
      <c r="D32" s="38">
        <f>D27/$B$12</f>
        <v/>
      </c>
    </row>
    <row r="33">
      <c r="A33" s="8" t="inlineStr">
        <is>
          <t>Effective price ($/HCF)</t>
        </is>
      </c>
      <c r="B33" s="38">
        <f>IF(B11=0,"",B30/B11)</f>
        <v/>
      </c>
      <c r="C33" s="38">
        <f>IF(C11=0,"",C30/C11)</f>
        <v/>
      </c>
      <c r="D33" s="38">
        <f>IF(D11=0,"",D30/D11)</f>
        <v/>
      </c>
    </row>
    <row r="35">
      <c r="A35" s="6" t="inlineStr">
        <is>
          <t>Rate-structure comparison metrics</t>
        </is>
      </c>
      <c r="B35" s="7" t="n"/>
      <c r="C35" s="7" t="n"/>
      <c r="D35" s="7" t="n"/>
    </row>
    <row r="36">
      <c r="A36" s="8" t="inlineStr">
        <is>
          <t>Fixed share of the bill at median usage</t>
        </is>
      </c>
      <c r="B36" s="40">
        <f>C31/C30</f>
        <v/>
      </c>
      <c r="C36" s="13" t="inlineStr">
        <is>
          <t>fixed / total at 10 HCF/month</t>
        </is>
      </c>
    </row>
    <row r="37">
      <c r="A37" s="8" t="inlineStr">
        <is>
          <t>Tier price ratio (highest to lowest positive tier)</t>
        </is>
      </c>
      <c r="B37" s="41">
        <f>$C$19/$C$17</f>
        <v/>
      </c>
      <c r="C37" s="13" t="inlineStr">
        <is>
          <t>highest filed tier price divided by lowest filed tier price.</t>
        </is>
      </c>
    </row>
    <row r="38">
      <c r="A38" s="8" t="inlineStr">
        <is>
          <t>Rate structure (as filed)</t>
        </is>
      </c>
      <c r="B38" s="42"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Valencia Heights Water Company</t>
        </is>
      </c>
    </row>
    <row r="2">
      <c r="A2" s="2" t="inlineStr">
        <is>
          <t>eAR annual revenue and expenses - State Water Board eAR Section 8b (USD)</t>
        </is>
      </c>
    </row>
    <row r="3">
      <c r="A3" s="2" t="inlineStr">
        <is>
          <t>Entity ID: cawc_0034   |   Fiscal year ends October 31.</t>
        </is>
      </c>
    </row>
    <row r="5" ht="156" customHeight="1">
      <c r="A5" s="3" t="inlineStr">
        <is>
          <t>The water system's own annual figures from the public eAR Section 8b, on the fiscal year ending October 31, 2024 the filer self-reported (B0.1/B0.2). Shown beside the period-aligned Form 990 with the variance flagged: a different source (a State Water Board self-report vs an IRS filing). Preserved as filed, never reconciled.</t>
        </is>
      </c>
    </row>
    <row r="6">
      <c r="A6" s="21" t="inlineStr">
        <is>
          <t>Reporting period basis (self-reported)</t>
        </is>
      </c>
      <c r="B6" s="24" t="inlineStr">
        <is>
          <t>fiscal year ending October 31, 2024</t>
        </is>
      </c>
      <c r="C6" s="23" t="inlineStr">
        <is>
          <t>eAR Section 8b B0.1 (WRFinancialReportingPeriod) / B0.2 start 11/01/2023</t>
        </is>
      </c>
    </row>
    <row r="8">
      <c r="A8" s="6" t="inlineStr">
        <is>
          <t>Revenue (eAR Section 8b, questions B1.x)</t>
        </is>
      </c>
      <c r="B8" s="7" t="n"/>
      <c r="C8" s="7" t="n"/>
    </row>
    <row r="9">
      <c r="A9" s="5" t="inlineStr">
        <is>
          <t>Line</t>
        </is>
      </c>
      <c r="B9" s="5" t="inlineStr">
        <is>
          <t>Amount (USD)</t>
        </is>
      </c>
      <c r="C9" s="5" t="inlineStr">
        <is>
          <t>Citation</t>
        </is>
      </c>
    </row>
    <row r="10">
      <c r="A10" s="21" t="inlineStr">
        <is>
          <t>Water rate revenue</t>
        </is>
      </c>
      <c r="B10" s="9" t="n">
        <v>3244113</v>
      </c>
      <c r="C10" s="23" t="inlineStr">
        <is>
          <t>State Water Board eAR Section 8b, question B1.1 + B1.2 (revenue from water rates), reporting year 2024</t>
        </is>
      </c>
    </row>
    <row r="11">
      <c r="A11" s="21" t="inlineStr">
        <is>
          <t>Other fees and charges</t>
        </is>
      </c>
      <c r="B11" s="9" t="n">
        <v>68874</v>
      </c>
      <c r="C11" s="23" t="inlineStr">
        <is>
          <t>State Water Board eAR Section 8b, question B1.3 + B1.4 (revenue from other fees), reporting year 2024</t>
        </is>
      </c>
    </row>
    <row r="12">
      <c r="A12" s="21" t="inlineStr">
        <is>
          <t>Non-customer revenue</t>
        </is>
      </c>
      <c r="B12" s="9" t="n">
        <v>1200958</v>
      </c>
      <c r="C12" s="23" t="inlineStr">
        <is>
          <t>State Water Board eAR Section 8b, question B1.7 (grants, interest, and other non-customer), reporting year 2024</t>
        </is>
      </c>
    </row>
    <row r="13">
      <c r="A13" s="21" t="inlineStr">
        <is>
          <t>Total annual revenue</t>
        </is>
      </c>
      <c r="B13" s="43" t="n">
        <v>4513945</v>
      </c>
      <c r="C13" s="23"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1" t="inlineStr">
        <is>
          <t>Operations and maintenance</t>
        </is>
      </c>
      <c r="B17" s="9" t="n">
        <v>3744513</v>
      </c>
      <c r="C17" s="23" t="inlineStr">
        <is>
          <t>State Water Board eAR Section 8b, question B2.1 (annual O and M expense), reporting year 2024</t>
        </is>
      </c>
    </row>
    <row r="18">
      <c r="A18" s="21" t="inlineStr">
        <is>
          <t>Capital</t>
        </is>
      </c>
      <c r="B18" s="9" t="n">
        <v>727892</v>
      </c>
      <c r="C18" s="23" t="inlineStr">
        <is>
          <t>State Water Board eAR Section 8b, question B2.2 (annual expenses from investing or capital), reporting year 2024</t>
        </is>
      </c>
    </row>
    <row r="19">
      <c r="A19" s="21" t="inlineStr">
        <is>
          <t>Financing</t>
        </is>
      </c>
      <c r="B19" s="9" t="n">
        <v>131820</v>
      </c>
      <c r="C19" s="23" t="inlineStr">
        <is>
          <t>State Water Board eAR Section 8b, question B2.3 (annual expenses from financing), reporting year 2024</t>
        </is>
      </c>
    </row>
    <row r="20">
      <c r="A20" s="21" t="inlineStr">
        <is>
          <t>Other</t>
        </is>
      </c>
      <c r="B20" s="9" t="n">
        <v>0</v>
      </c>
      <c r="C20" s="23" t="inlineStr">
        <is>
          <t>State Water Board eAR Section 8b, question B2.4 (total other annual expenses), reporting year 2024</t>
        </is>
      </c>
    </row>
    <row r="21">
      <c r="A21" s="21" t="inlineStr">
        <is>
          <t>Total annual expenses</t>
        </is>
      </c>
      <c r="B21" s="43" t="n">
        <v>4604225</v>
      </c>
      <c r="C21" s="23"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4513945</v>
      </c>
      <c r="C25" s="9" t="n">
        <v>4262194</v>
      </c>
    </row>
    <row r="26">
      <c r="A26" s="14" t="inlineStr">
        <is>
          <t>Variance (eAR minus Form 990)</t>
        </is>
      </c>
      <c r="B26" s="15">
        <f>B25-C25</f>
        <v/>
      </c>
      <c r="C26" s="44" t="n"/>
    </row>
    <row r="27" ht="201" customHeight="1">
      <c r="A27" s="3" t="inlineStr">
        <is>
          <t>The eAR Section 8b total revenue (State Water Board self-report, fiscal year ending October 31, 2024) and the Form 990 total revenue (IRS filing) are a different source and cover the same fiscal year (November 1, 2023 to October 31, 2024): the water system self-reported the eAR Section 8b on a fiscal year (B0.1 Fiscal, B0.2 start 11/01/2023), which matches the Form 990 fiscal year. Both are carried as filed; the variance is surfaced, never reconciled.</t>
        </is>
      </c>
    </row>
    <row r="28">
      <c r="A28" s="8" t="inlineStr">
        <is>
          <t>total expenses</t>
        </is>
      </c>
      <c r="B28" s="9" t="n">
        <v>4604225</v>
      </c>
      <c r="C28" s="9" t="n">
        <v>3776504</v>
      </c>
    </row>
    <row r="29">
      <c r="A29" s="14" t="inlineStr">
        <is>
          <t>Variance (eAR minus Form 990)</t>
        </is>
      </c>
      <c r="B29" s="15">
        <f>B28-C28</f>
        <v/>
      </c>
      <c r="C29" s="44" t="n"/>
    </row>
    <row r="30" ht="201" customHeight="1">
      <c r="A30" s="3" t="inlineStr">
        <is>
          <t>The eAR Section 8b total expenses (State Water Board self-report, fiscal year ending October 31, 2024) and the Form 990 total expenses (IRS filing) are a different source and cover the same fiscal year (November 1, 2023 to October 31, 2024): the water system self-reported the eAR Section 8b on a fiscal year (B0.1 Fiscal, B0.2 start 11/01/2023),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Valencia Heights Water Company</t>
        </is>
      </c>
    </row>
    <row r="2">
      <c r="A2" s="2" t="inlineStr">
        <is>
          <t>Denominators and calendar alignment</t>
        </is>
      </c>
    </row>
    <row r="3">
      <c r="A3" s="2" t="inlineStr">
        <is>
          <t>Entity ID: cawc_0034   |   Fiscal year ends October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1" t="inlineStr">
        <is>
          <t>Customer (service connection)</t>
        </is>
      </c>
      <c r="B7" s="22" t="n">
        <v>1682</v>
      </c>
      <c r="C7" s="23" t="inlineStr">
        <is>
          <t>State Water Board eAR Section 4 (CurTotalConnections), reporting year 2024</t>
        </is>
      </c>
    </row>
    <row r="8">
      <c r="A8" s="21" t="inlineStr">
        <is>
          <t>Member (shareholder)</t>
        </is>
      </c>
      <c r="B8" s="24" t="n"/>
      <c r="C8" s="23"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(2020-10-31)</t>
        </is>
      </c>
      <c r="B13" s="22" t="n">
        <v>1680</v>
      </c>
      <c r="C13" s="19" t="inlineStr">
        <is>
          <t>not reported</t>
        </is>
      </c>
      <c r="D13" s="22" t="n">
        <v>1792.6</v>
      </c>
      <c r="E13" s="19" t="inlineStr">
        <is>
          <t>not reported</t>
        </is>
      </c>
      <c r="F13" s="19" t="inlineStr">
        <is>
          <t>not reported</t>
        </is>
      </c>
      <c r="G13" s="24" t="inlineStr">
        <is>
          <t>recast from monthly eAR data to fiscal year ending October 31, 2020</t>
        </is>
      </c>
    </row>
    <row r="14" ht="40" customHeight="1">
      <c r="A14" s="8" t="inlineStr">
        <is>
          <t>FY2021 (2021-10-31)</t>
        </is>
      </c>
      <c r="B14" s="22" t="n">
        <v>1684</v>
      </c>
      <c r="C14" s="19" t="inlineStr">
        <is>
          <t>not reported</t>
        </is>
      </c>
      <c r="D14" s="22" t="n">
        <v>1792.6</v>
      </c>
      <c r="E14" s="19" t="inlineStr">
        <is>
          <t>not reported</t>
        </is>
      </c>
      <c r="F14" s="19" t="inlineStr">
        <is>
          <t>not reported</t>
        </is>
      </c>
      <c r="G14" s="24" t="inlineStr">
        <is>
          <t>recast from monthly eAR data to fiscal year ending October 31, 2021</t>
        </is>
      </c>
    </row>
    <row r="15" ht="40" customHeight="1">
      <c r="A15" s="8" t="inlineStr">
        <is>
          <t>FY2022 (2022-10-31)</t>
        </is>
      </c>
      <c r="B15" s="22" t="n">
        <v>1681</v>
      </c>
      <c r="C15" s="19" t="inlineStr">
        <is>
          <t>not reported</t>
        </is>
      </c>
      <c r="D15" s="22" t="n">
        <v>1792.6</v>
      </c>
      <c r="E15" s="19" t="inlineStr">
        <is>
          <t>not reported</t>
        </is>
      </c>
      <c r="F15" s="19" t="inlineStr">
        <is>
          <t>not reported</t>
        </is>
      </c>
      <c r="G15" s="24" t="inlineStr">
        <is>
          <t>recast from monthly eAR data to fiscal year ending October 31, 2022</t>
        </is>
      </c>
    </row>
    <row r="16" ht="40" customHeight="1">
      <c r="A16" s="8" t="inlineStr">
        <is>
          <t>FY2023 (2023-10-31)</t>
        </is>
      </c>
      <c r="B16" s="22" t="n">
        <v>1681</v>
      </c>
      <c r="C16" s="22" t="n">
        <v>7775</v>
      </c>
      <c r="D16" s="22" t="n">
        <v>1792.6</v>
      </c>
      <c r="E16" s="19" t="inlineStr">
        <is>
          <t>not reported</t>
        </is>
      </c>
      <c r="F16" s="19" t="inlineStr">
        <is>
          <t>not reported</t>
        </is>
      </c>
      <c r="G16" s="24" t="inlineStr">
        <is>
          <t>recast from monthly eAR data to fiscal year ending October 31, 2023</t>
        </is>
      </c>
    </row>
    <row r="17" ht="40" customHeight="1">
      <c r="A17" s="8" t="inlineStr">
        <is>
          <t>FY2024 (2024-10-31)</t>
        </is>
      </c>
      <c r="B17" s="22" t="n">
        <v>1682</v>
      </c>
      <c r="C17" s="22" t="n">
        <v>7775</v>
      </c>
      <c r="D17" s="22" t="n">
        <v>1792.6</v>
      </c>
      <c r="E17" s="19" t="inlineStr">
        <is>
          <t>not reported</t>
        </is>
      </c>
      <c r="F17" s="19" t="inlineStr">
        <is>
          <t>not reported</t>
        </is>
      </c>
      <c r="G17" s="24" t="inlineStr">
        <is>
          <t>recast from monthly eAR data to fiscal year ending October 31, 2024</t>
        </is>
      </c>
    </row>
    <row r="19">
      <c r="A19" s="6" t="inlineStr">
        <is>
          <t>Connections by class - FY2024 (eAR Section 4)</t>
        </is>
      </c>
      <c r="B19" s="7" t="n"/>
      <c r="C19" s="7" t="n"/>
      <c r="D19" s="7" t="n"/>
      <c r="E19" s="7" t="n"/>
      <c r="F19" s="7" t="n"/>
      <c r="G19" s="7" t="n"/>
    </row>
    <row r="20">
      <c r="A20" s="21" t="inlineStr">
        <is>
          <t>Single-family residential</t>
        </is>
      </c>
      <c r="B20" s="22" t="n">
        <v>1576</v>
      </c>
      <c r="C20" s="23" t="inlineStr"/>
    </row>
    <row r="21">
      <c r="A21" s="21" t="inlineStr">
        <is>
          <t>Multi-family residential</t>
        </is>
      </c>
      <c r="B21" s="22" t="n">
        <v>64</v>
      </c>
      <c r="C21" s="23" t="inlineStr"/>
    </row>
    <row r="22">
      <c r="A22" s="21" t="inlineStr">
        <is>
          <t>Commercial and institutional</t>
        </is>
      </c>
      <c r="B22" s="22" t="n">
        <v>15</v>
      </c>
      <c r="C22" s="23" t="inlineStr"/>
    </row>
    <row r="23">
      <c r="A23" s="21" t="inlineStr">
        <is>
          <t>Landscape irrigation</t>
        </is>
      </c>
      <c r="B23" s="22" t="n">
        <v>29</v>
      </c>
      <c r="C23" s="23" t="inlineStr"/>
    </row>
    <row r="24">
      <c r="A24" s="21" t="inlineStr">
        <is>
          <t>Agricultural</t>
        </is>
      </c>
      <c r="B24" s="22" t="n">
        <v>0</v>
      </c>
      <c r="C24" s="23" t="inlineStr"/>
    </row>
    <row r="25" ht="81" customHeight="1">
      <c r="A25"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G2"/>
    <mergeCell ref="A25:G25"/>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Valencia Heights Water Company</t>
        </is>
      </c>
    </row>
    <row r="2">
      <c r="A2" s="2" t="inlineStr">
        <is>
          <t>Governance evidence status - Ostrom's eight design principles</t>
        </is>
      </c>
    </row>
    <row r="3">
      <c r="A3" s="2" t="inlineStr">
        <is>
          <t>Entity ID: cawc_0034   |   Fiscal year ends October 31.</t>
        </is>
      </c>
    </row>
    <row r="5">
      <c r="A5" s="45"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5" t="inlineStr">
        <is>
          <t>DOCUMENTED</t>
        </is>
      </c>
      <c r="C10" s="24" t="inlineStr">
        <is>
          <t>The system is a defined public water system: 1,681 service connections over a State-published and field-verified service-area boundary of roughly 1,788.6 acres.</t>
        </is>
      </c>
      <c r="D10" s="24" t="inlineStr">
        <is>
          <t>SDWIS Community water system; SABL service-area boundary (Verified); connections defined.</t>
        </is>
      </c>
      <c r="E10" s="46"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5" t="inlineStr">
        <is>
          <t>DOCUMENTED</t>
        </is>
      </c>
      <c r="C12" s="24" t="inlineStr">
        <is>
          <t>Charges are tied to metered use under a filed rate schedule: a variable base residential structure billed m and priced per hundred cubic feet.</t>
        </is>
      </c>
      <c r="D12" s="24" t="inlineStr">
        <is>
          <t>eAR Section 8a customer charges; metered service; Variable Base residential rate structure.</t>
        </is>
      </c>
      <c r="E12" s="46" t="inlineStr">
        <is>
          <t>[E]</t>
        </is>
      </c>
    </row>
    <row r="13" ht="81" customHeight="1">
      <c r="A13" s="3" t="inlineStr">
        <is>
          <t>What the record shows: The record documents how charges are set: the filer reports metered service, a billing frequency, a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5" t="inlineStr">
        <is>
          <t>PARTIAL</t>
        </is>
      </c>
      <c r="C14" s="24" t="inlineStr">
        <is>
          <t>The company is owned by its customer-shareholders and states that a seven member Board of Directors governs it, and that every property owner in the service area is a stockholder including the directors, a requirement it says is written into its By-laws.</t>
        </is>
      </c>
      <c r="D14" s="24" t="inlineStr">
        <is>
          <t>Mutual ownership; seven member Board of Directors stated by the company; By-laws requirement that directors be shareholders; Form 990 governance section.</t>
        </is>
      </c>
      <c r="E14" s="46" t="inlineStr">
        <is>
          <t>[990][1]</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5" t="inlineStr">
        <is>
          <t>DOCUMENTED</t>
        </is>
      </c>
      <c r="C16" s="24" t="inlineStr">
        <is>
          <t>The system is monitored and reports on itself: it files an annual eAR, and it reports metered service, and a Consumer Confidence Report for 2023 was located at the State's own CCR portal, and it holds an emergency response plan dated 12/27/2023.</t>
        </is>
      </c>
      <c r="D16" s="24" t="inlineStr">
        <is>
          <t>Annual eAR reporting; metered connections; located Consumer Confidence Report</t>
        </is>
      </c>
      <c r="E16" s="46"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5" t="inlineStr">
        <is>
          <t>NOT DOCUMENTED</t>
        </is>
      </c>
      <c r="C18" s="24" t="inlineStr">
        <is>
          <t>No published shut-off, penalty, or delinquency policy was found for this system.</t>
        </is>
      </c>
      <c r="D18" s="24" t="inlineStr">
        <is>
          <t>No sourced graduated sanctions record.</t>
        </is>
      </c>
      <c r="E18" s="46"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5" t="inlineStr">
        <is>
          <t>NOT DOCUMENTED</t>
        </is>
      </c>
      <c r="C20" s="24" t="inlineStr">
        <is>
          <t>No published bylaws, dispute procedure, or grievance mechanism was found for this system.</t>
        </is>
      </c>
      <c r="D20" s="24" t="inlineStr">
        <is>
          <t>No sourced conflict-resolution mechanisms record.</t>
        </is>
      </c>
      <c r="E20" s="46"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5" t="inlineStr">
        <is>
          <t>DOCUMENTED</t>
        </is>
      </c>
      <c r="C22" s="24" t="inlineStr">
        <is>
          <t>An incorporated California mutual water company recognized by the IRS as a 501(c)(12) exempt filer and by the State Water Board as a Community public water system.</t>
        </is>
      </c>
      <c r="D22" s="24" t="inlineStr">
        <is>
          <t>IRS 501(c)(12) exempt filer (Form 990); SDWIS Community public water system; eAR ownership type 'Privately owned Mutual Water Company or Association'.</t>
        </is>
      </c>
      <c r="E22" s="46"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5" t="inlineStr">
        <is>
          <t>PARTIAL</t>
        </is>
      </c>
      <c r="C24" s="24" t="inlineStr">
        <is>
          <t>The system sits inside larger water systems: it holds 2 approved purchased surface water connection(s) to a wholesaler, and it pumps from 1 groundwater basin(s) shared with neighbors. Its role in governing any of them is not documented.</t>
        </is>
      </c>
      <c r="D24" s="24" t="inlineStr">
        <is>
          <t>it holds 2 approved purchased surface water connection(s) to a wholesaler; it pumps from 1 groundwater basin(s) shared with neighbors</t>
        </is>
      </c>
      <c r="E24" s="46" t="inlineStr">
        <is>
          <t>[E][SG]</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Valencia Heights Water Company</t>
        </is>
      </c>
    </row>
    <row r="2">
      <c r="A2" s="2" t="inlineStr">
        <is>
          <t>Operational metrics - plant per acre, density, terrain</t>
        </is>
      </c>
    </row>
    <row r="3">
      <c r="A3" s="2" t="inlineStr">
        <is>
          <t>Entity ID: cawc_0034   |   Fiscal year ends October 31.</t>
        </is>
      </c>
    </row>
    <row r="5">
      <c r="A5" s="6" t="inlineStr">
        <is>
          <t>Plant assets per acre</t>
        </is>
      </c>
      <c r="B5" s="7" t="n"/>
      <c r="C5" s="7" t="n"/>
    </row>
    <row r="6">
      <c r="A6" s="21" t="inlineStr">
        <is>
          <t>Service-area acres</t>
        </is>
      </c>
      <c r="B6" s="47" t="n">
        <v>1792.6</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48" t="inlineStr">
        <is>
          <t>FY2020</t>
        </is>
      </c>
      <c r="B8" s="9" t="n">
        <v>8846.156999999999</v>
      </c>
      <c r="C8" s="9" t="n">
        <v>4919.4734</v>
      </c>
    </row>
    <row r="9">
      <c r="A9" s="48" t="inlineStr">
        <is>
          <t>FY2021</t>
        </is>
      </c>
      <c r="B9" s="9" t="n">
        <v>9155.1423</v>
      </c>
      <c r="C9" s="9" t="n">
        <v>4918.4838</v>
      </c>
    </row>
    <row r="10">
      <c r="A10" s="48" t="inlineStr">
        <is>
          <t>FY2022</t>
        </is>
      </c>
      <c r="B10" s="9" t="n">
        <v>9781.6088</v>
      </c>
      <c r="C10" s="9" t="n">
        <v>5214.8421</v>
      </c>
    </row>
    <row r="11">
      <c r="A11" s="48" t="inlineStr">
        <is>
          <t>FY2023</t>
        </is>
      </c>
      <c r="B11" s="9" t="n">
        <v>9967.937099999999</v>
      </c>
      <c r="C11" s="9" t="n">
        <v>5048.8793</v>
      </c>
    </row>
    <row r="12">
      <c r="A12" s="48" t="inlineStr">
        <is>
          <t>FY2024</t>
        </is>
      </c>
      <c r="B12" s="9" t="n">
        <v>10657.5198</v>
      </c>
      <c r="C12" s="9" t="n">
        <v>5380.579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0.9399999999999999</v>
      </c>
      <c r="C19" s="23" t="inlineStr">
        <is>
          <t>1,684 connections / 1,792.6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Valencia Heights Water Company</t>
        </is>
      </c>
    </row>
    <row r="2">
      <c r="A2" s="2" t="inlineStr">
        <is>
          <t>Supply and weather indicators (DWR water year)</t>
        </is>
      </c>
    </row>
    <row r="3">
      <c r="A3" s="2" t="inlineStr">
        <is>
          <t>Entity ID: cawc_0034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6" t="inlineStr">
        <is>
          <t>Dry</t>
        </is>
      </c>
      <c r="C8" s="46" t="inlineStr">
        <is>
          <t>Critical</t>
        </is>
      </c>
      <c r="D8" s="46" t="inlineStr">
        <is>
          <t>Critical</t>
        </is>
      </c>
      <c r="E8" s="46" t="inlineStr">
        <is>
          <t>Wet</t>
        </is>
      </c>
      <c r="F8" s="46" t="inlineStr">
        <is>
          <t>Above Normal</t>
        </is>
      </c>
    </row>
    <row r="9">
      <c r="A9" s="8" t="inlineStr">
        <is>
          <t>Peak drought, Los Angeles County</t>
        </is>
      </c>
      <c r="B9" s="46" t="inlineStr">
        <is>
          <t>D1</t>
        </is>
      </c>
      <c r="C9" s="46" t="inlineStr">
        <is>
          <t>D4</t>
        </is>
      </c>
      <c r="D9" s="46" t="inlineStr">
        <is>
          <t>D4</t>
        </is>
      </c>
      <c r="E9" s="46" t="inlineStr">
        <is>
          <t>D4</t>
        </is>
      </c>
      <c r="F9" s="46" t="inlineStr">
        <is>
          <t>None (no D0-D4 during the fiscal year)</t>
        </is>
      </c>
    </row>
    <row r="10">
      <c r="A10" s="8" t="inlineStr">
        <is>
          <t>Precip, percent of normal (8-Station Index)</t>
        </is>
      </c>
      <c r="B10" s="46" t="inlineStr">
        <is>
          <t>63</t>
        </is>
      </c>
      <c r="C10" s="46" t="inlineStr">
        <is>
          <t>48</t>
        </is>
      </c>
      <c r="D10" s="46" t="inlineStr">
        <is>
          <t>86</t>
        </is>
      </c>
      <c r="E10" s="46" t="inlineStr">
        <is>
          <t>133</t>
        </is>
      </c>
      <c r="F10" s="46" t="inlineStr">
        <is>
          <t>96</t>
        </is>
      </c>
    </row>
    <row r="11">
      <c r="A11" s="8" t="inlineStr">
        <is>
          <t>Snowpack, April 1 percent of average</t>
        </is>
      </c>
      <c r="B11" s="46" t="inlineStr">
        <is>
          <t>53%</t>
        </is>
      </c>
      <c r="C11" s="46" t="inlineStr">
        <is>
          <t>59%</t>
        </is>
      </c>
      <c r="D11" s="46" t="inlineStr">
        <is>
          <t>38%</t>
        </is>
      </c>
      <c r="E11" s="46" t="inlineStr">
        <is>
          <t>237%</t>
        </is>
      </c>
      <c r="F11" s="46" t="inlineStr">
        <is>
          <t>110%</t>
        </is>
      </c>
    </row>
    <row r="12">
      <c r="A12" s="8" t="inlineStr">
        <is>
          <t>State Water Project allocation</t>
        </is>
      </c>
      <c r="B12" s="46" t="inlineStr">
        <is>
          <t>20%</t>
        </is>
      </c>
      <c r="C12" s="46" t="inlineStr">
        <is>
          <t>5%</t>
        </is>
      </c>
      <c r="D12" s="46" t="inlineStr">
        <is>
          <t>5%</t>
        </is>
      </c>
      <c r="E12" s="46" t="inlineStr">
        <is>
          <t>100%</t>
        </is>
      </c>
      <c r="F12" s="4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Valencia Heights Water Company</t>
        </is>
      </c>
    </row>
    <row r="2">
      <c r="A2" s="2" t="inlineStr">
        <is>
          <t>How this was built - forensic lineage</t>
        </is>
      </c>
    </row>
    <row r="3">
      <c r="A3" s="2" t="inlineStr">
        <is>
          <t>Entity ID: cawc_0034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1" t="inlineStr">
        <is>
          <t>Sources checked</t>
        </is>
      </c>
      <c r="B12" s="23" t="inlineStr">
        <is>
          <t>Form 990 Part VIII line 2 (program-service revenue); State Water Board eAR Section 8b (water-rate revenue B1.1/B1.2)</t>
        </is>
      </c>
    </row>
    <row r="13" ht="72" customHeight="1">
      <c r="A13" s="21" t="inlineStr">
        <is>
          <t>What was found</t>
        </is>
      </c>
      <c r="B13" s="23" t="inlineStr">
        <is>
          <t>No source separately reports a member assessment, so it is DERIVED as a residual: $3,576,987 (990 program-service revenue) minus $3,244,113 (eAR water-rate revenue) = $332,874. Period-aligned; medium confidence.</t>
        </is>
      </c>
    </row>
    <row r="14" ht="72" customHeight="1">
      <c r="A14" s="21" t="inlineStr">
        <is>
          <t>Caveat</t>
        </is>
      </c>
      <c r="B14" s="23"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4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Valencia Heights Water Company</t>
        </is>
      </c>
    </row>
    <row r="2">
      <c r="A2" s="2" t="inlineStr">
        <is>
          <t>Sources &amp; audit - full provenance and tie-outs (kept off the statements so they read clean)</t>
        </is>
      </c>
    </row>
    <row r="3">
      <c r="A3" s="2" t="inlineStr">
        <is>
          <t>Entity ID: cawc_0034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FY2020</t>
        </is>
      </c>
      <c r="B10" s="8" t="inlineStr">
        <is>
          <t>2020-10-31</t>
        </is>
      </c>
      <c r="C10" s="8" t="inlineStr">
        <is>
          <t>990</t>
        </is>
      </c>
      <c r="D10" s="8" t="inlineStr">
        <is>
          <t>high</t>
        </is>
      </c>
      <c r="E10" s="8" t="inlineStr">
        <is>
          <t>50fd08cb-c726-405f-98cb-d166d4a680b1</t>
        </is>
      </c>
      <c r="F10" s="8" t="inlineStr">
        <is>
          <t>202122429349301712</t>
        </is>
      </c>
      <c r="G10" s="8" t="inlineStr">
        <is>
          <t>claude-opus-5</t>
        </is>
      </c>
      <c r="H10" s="8" t="inlineStr">
        <is>
          <t>2026-09-14T20:40:25+00:00</t>
        </is>
      </c>
      <c r="I10" s="8" t="inlineStr">
        <is>
          <t>https://apps.irs.gov/pub/epostcard/990/xml/2021/2021_TEOS_XML_01A.zip#202122429349301712_public.xml</t>
        </is>
      </c>
    </row>
    <row r="11">
      <c r="A11" s="46" t="inlineStr">
        <is>
          <t>FY2021</t>
        </is>
      </c>
      <c r="B11" s="8" t="inlineStr">
        <is>
          <t>2021-10-31</t>
        </is>
      </c>
      <c r="C11" s="8" t="inlineStr">
        <is>
          <t>990</t>
        </is>
      </c>
      <c r="D11" s="8" t="inlineStr">
        <is>
          <t>high</t>
        </is>
      </c>
      <c r="E11" s="8" t="inlineStr">
        <is>
          <t>a035f1f0-c99b-4ba3-aafe-1f52626c61d2</t>
        </is>
      </c>
      <c r="F11" s="8" t="inlineStr">
        <is>
          <t>202241819349302159</t>
        </is>
      </c>
      <c r="G11" s="8" t="inlineStr">
        <is>
          <t>claude-opus-5</t>
        </is>
      </c>
      <c r="H11" s="8" t="inlineStr">
        <is>
          <t>2026-09-14T20:40:25+00:00</t>
        </is>
      </c>
      <c r="I11" s="8" t="inlineStr">
        <is>
          <t>https://apps.irs.gov/pub/epostcard/990/xml/2022/2022_TEOS_XML_01A.zip#202241819349302159_public.xml</t>
        </is>
      </c>
    </row>
    <row r="12">
      <c r="A12" s="46" t="inlineStr">
        <is>
          <t>FY2022</t>
        </is>
      </c>
      <c r="B12" s="8" t="inlineStr">
        <is>
          <t>2022-10-31</t>
        </is>
      </c>
      <c r="C12" s="8" t="inlineStr">
        <is>
          <t>990</t>
        </is>
      </c>
      <c r="D12" s="8" t="inlineStr">
        <is>
          <t>high</t>
        </is>
      </c>
      <c r="E12" s="8" t="inlineStr">
        <is>
          <t>6a6a0941-2657-4c66-8bf6-0b9330be2968</t>
        </is>
      </c>
      <c r="F12" s="8" t="inlineStr">
        <is>
          <t>202302559349302255</t>
        </is>
      </c>
      <c r="G12" s="8" t="inlineStr">
        <is>
          <t>claude-opus-5</t>
        </is>
      </c>
      <c r="H12" s="8" t="inlineStr">
        <is>
          <t>2026-09-14T20:40:25+00:00</t>
        </is>
      </c>
      <c r="I12" s="8" t="inlineStr">
        <is>
          <t>https://apps.irs.gov/pub/epostcard/990/xml/2023/2023_TEOS_XML_09A.zip#202302559349302255_public.xml</t>
        </is>
      </c>
    </row>
    <row r="13">
      <c r="A13" s="46" t="inlineStr">
        <is>
          <t>FY2023</t>
        </is>
      </c>
      <c r="B13" s="8" t="inlineStr">
        <is>
          <t>2023-10-31</t>
        </is>
      </c>
      <c r="C13" s="8" t="inlineStr">
        <is>
          <t>990</t>
        </is>
      </c>
      <c r="D13" s="8" t="inlineStr">
        <is>
          <t>high</t>
        </is>
      </c>
      <c r="E13" s="8" t="inlineStr">
        <is>
          <t>f72f3184-8944-4732-8dce-ff129868be0e</t>
        </is>
      </c>
      <c r="F13" s="8" t="inlineStr">
        <is>
          <t>202412419349301911</t>
        </is>
      </c>
      <c r="G13" s="8" t="inlineStr">
        <is>
          <t>claude-opus-5</t>
        </is>
      </c>
      <c r="H13" s="8" t="inlineStr">
        <is>
          <t>2026-09-14T20:40:25+00:00</t>
        </is>
      </c>
      <c r="I13" s="8" t="inlineStr">
        <is>
          <t>https://apps.irs.gov/pub/epostcard/990/xml/2024/2024_TEOS_XML_09A.zip#202412419349301911_public.xml</t>
        </is>
      </c>
    </row>
    <row r="14">
      <c r="A14" s="46" t="inlineStr">
        <is>
          <t>FY2024</t>
        </is>
      </c>
      <c r="B14" s="8" t="inlineStr">
        <is>
          <t>2024-10-31</t>
        </is>
      </c>
      <c r="C14" s="8" t="inlineStr">
        <is>
          <t>990</t>
        </is>
      </c>
      <c r="D14" s="8" t="inlineStr">
        <is>
          <t>high</t>
        </is>
      </c>
      <c r="E14" s="8" t="inlineStr">
        <is>
          <t>9191a7c8-9bac-4e61-a417-91526eb62215</t>
        </is>
      </c>
      <c r="F14" s="8" t="inlineStr">
        <is>
          <t>202542469349300539</t>
        </is>
      </c>
      <c r="G14" s="8" t="inlineStr">
        <is>
          <t>claude-opus-5</t>
        </is>
      </c>
      <c r="H14" s="8" t="inlineStr">
        <is>
          <t>2026-09-14T20:40:25+00:00</t>
        </is>
      </c>
      <c r="I14" s="8" t="inlineStr">
        <is>
          <t>https://apps.irs.gov/pub/epostcard/990/xml/2025/2025_TEOS_XML_09A.zip#202542469349300539_public.xml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3443972</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3185521</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3074598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3181241</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3576987</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134377</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131047</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201852</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159909</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685207</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3443972</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3185521</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3074598</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3181241</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3576987</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106971</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101643</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80267</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93110</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104315</v>
      </c>
    </row>
    <row r="38">
      <c r="A38" s="8" t="inlineStr">
        <is>
          <t>Revenue (detail)</t>
        </is>
      </c>
      <c r="B38" s="8" t="inlineStr">
        <is>
          <t>D10</t>
        </is>
      </c>
      <c r="C38" s="8" t="inlineStr">
        <is>
          <t>6d. Net rental income</t>
        </is>
      </c>
      <c r="D38" s="8" t="inlineStr">
        <is>
          <t>6d</t>
        </is>
      </c>
      <c r="E38" s="8" t="inlineStr">
        <is>
          <t>part_viii_revenue.net_rental_income</t>
        </is>
      </c>
      <c r="F38" s="8" t="inlineStr">
        <is>
          <t>high</t>
        </is>
      </c>
      <c r="G38" s="9" t="n">
        <v>59647</v>
      </c>
    </row>
    <row r="39">
      <c r="A39" s="8" t="inlineStr">
        <is>
          <t>Revenue (detail)</t>
        </is>
      </c>
      <c r="B39" s="8" t="inlineStr">
        <is>
          <t>E10</t>
        </is>
      </c>
      <c r="C39" s="8" t="inlineStr">
        <is>
          <t>6d. Net rental income</t>
        </is>
      </c>
      <c r="D39" s="8" t="inlineStr">
        <is>
          <t>6d</t>
        </is>
      </c>
      <c r="E39" s="8" t="inlineStr">
        <is>
          <t>part_viii_revenue.net_rental_income</t>
        </is>
      </c>
      <c r="F39" s="8" t="inlineStr">
        <is>
          <t>high</t>
        </is>
      </c>
      <c r="G39" s="9" t="n">
        <v>77935</v>
      </c>
    </row>
    <row r="40">
      <c r="A40" s="8" t="inlineStr">
        <is>
          <t>Revenue (detail)</t>
        </is>
      </c>
      <c r="B40" s="8" t="inlineStr">
        <is>
          <t>F10</t>
        </is>
      </c>
      <c r="C40" s="8" t="inlineStr">
        <is>
          <t>6d. Net rental income</t>
        </is>
      </c>
      <c r="D40" s="8" t="inlineStr">
        <is>
          <t>6d</t>
        </is>
      </c>
      <c r="E40" s="8" t="inlineStr">
        <is>
          <t>part_viii_revenue.net_rental_income</t>
        </is>
      </c>
      <c r="F40" s="8" t="inlineStr">
        <is>
          <t>high</t>
        </is>
      </c>
      <c r="G40" s="9" t="n">
        <v>71239</v>
      </c>
    </row>
    <row r="41">
      <c r="A41" s="8" t="inlineStr">
        <is>
          <t>Revenue (detail)</t>
        </is>
      </c>
      <c r="B41" s="8" t="inlineStr">
        <is>
          <t>B11</t>
        </is>
      </c>
      <c r="C41" s="8" t="inlineStr">
        <is>
          <t>7d. Net gain/(loss) from investment sales</t>
        </is>
      </c>
      <c r="D41" s="8" t="inlineStr">
        <is>
          <t>7d</t>
        </is>
      </c>
      <c r="E41" s="8" t="inlineStr">
        <is>
          <t>part_viii_revenue.net_gain_or_loss_investments</t>
        </is>
      </c>
      <c r="F41" s="8" t="inlineStr">
        <is>
          <t>high</t>
        </is>
      </c>
      <c r="G41" s="9" t="n">
        <v>90796</v>
      </c>
    </row>
    <row r="42">
      <c r="A42" s="8" t="inlineStr">
        <is>
          <t>Revenue (detail)</t>
        </is>
      </c>
      <c r="B42" s="8" t="inlineStr">
        <is>
          <t>C11</t>
        </is>
      </c>
      <c r="C42" s="8" t="inlineStr">
        <is>
          <t>7d. Net gain/(loss) from investment sales</t>
        </is>
      </c>
      <c r="D42" s="8" t="inlineStr">
        <is>
          <t>7d</t>
        </is>
      </c>
      <c r="E42" s="8" t="inlineStr">
        <is>
          <t>part_viii_revenue.net_gain_or_loss_investments</t>
        </is>
      </c>
      <c r="F42" s="8" t="inlineStr">
        <is>
          <t>high</t>
        </is>
      </c>
      <c r="G42" s="9" t="n">
        <v>45460</v>
      </c>
    </row>
    <row r="43">
      <c r="A43" s="8" t="inlineStr">
        <is>
          <t>Revenue (detail)</t>
        </is>
      </c>
      <c r="B43" s="8" t="inlineStr">
        <is>
          <t>D11</t>
        </is>
      </c>
      <c r="C43" s="8" t="inlineStr">
        <is>
          <t>7d. Net gain/(loss) from investment sales</t>
        </is>
      </c>
      <c r="D43" s="8" t="inlineStr">
        <is>
          <t>7d</t>
        </is>
      </c>
      <c r="E43" s="8" t="inlineStr">
        <is>
          <t>part_viii_revenue.net_gain_or_loss_investments</t>
        </is>
      </c>
      <c r="F43" s="8" t="inlineStr">
        <is>
          <t>high</t>
        </is>
      </c>
      <c r="G43" s="9" t="n">
        <v>54795</v>
      </c>
    </row>
    <row r="44">
      <c r="A44" s="8" t="inlineStr">
        <is>
          <t>Revenue (detail)</t>
        </is>
      </c>
      <c r="B44" s="8" t="inlineStr">
        <is>
          <t>E11</t>
        </is>
      </c>
      <c r="C44" s="8" t="inlineStr">
        <is>
          <t>7d. Net gain/(loss) from investment sales</t>
        </is>
      </c>
      <c r="D44" s="8" t="inlineStr">
        <is>
          <t>7d</t>
        </is>
      </c>
      <c r="E44" s="8" t="inlineStr">
        <is>
          <t>part_viii_revenue.net_gain_or_loss_investments</t>
        </is>
      </c>
      <c r="F44" s="8" t="inlineStr">
        <is>
          <t>high</t>
        </is>
      </c>
      <c r="G44" s="9" t="n">
        <v>-11861</v>
      </c>
    </row>
    <row r="45">
      <c r="A45" s="8" t="inlineStr">
        <is>
          <t>Revenue (detail)</t>
        </is>
      </c>
      <c r="B45" s="8" t="inlineStr">
        <is>
          <t>F11</t>
        </is>
      </c>
      <c r="C45" s="8" t="inlineStr">
        <is>
          <t>7d. Net gain/(loss) from investment sales</t>
        </is>
      </c>
      <c r="D45" s="8" t="inlineStr">
        <is>
          <t>7d</t>
        </is>
      </c>
      <c r="E45" s="8" t="inlineStr">
        <is>
          <t>part_viii_revenue.net_gain_or_loss_investments</t>
        </is>
      </c>
      <c r="F45" s="8" t="inlineStr">
        <is>
          <t>high</t>
        </is>
      </c>
      <c r="G45" s="9" t="n">
        <v>504946</v>
      </c>
    </row>
    <row r="46">
      <c r="A46" s="8" t="inlineStr">
        <is>
          <t>Revenue (detail)</t>
        </is>
      </c>
      <c r="B46" s="8" t="inlineStr">
        <is>
          <t>B12</t>
        </is>
      </c>
      <c r="C46" s="8" t="inlineStr">
        <is>
          <t>11e. Other revenue</t>
        </is>
      </c>
      <c r="D46" s="8" t="inlineStr">
        <is>
          <t>11e</t>
        </is>
      </c>
      <c r="E46" s="8" t="inlineStr">
        <is>
          <t>part_viii_revenue.other_revenue_total</t>
        </is>
      </c>
      <c r="F46" s="8" t="inlineStr">
        <is>
          <t>high</t>
        </is>
      </c>
      <c r="G46" s="9" t="n">
        <v>27406</v>
      </c>
    </row>
    <row r="47">
      <c r="A47" s="8" t="inlineStr">
        <is>
          <t>Revenue (detail)</t>
        </is>
      </c>
      <c r="B47" s="8" t="inlineStr">
        <is>
          <t>C12</t>
        </is>
      </c>
      <c r="C47" s="8" t="inlineStr">
        <is>
          <t>11e. Other revenue</t>
        </is>
      </c>
      <c r="D47" s="8" t="inlineStr">
        <is>
          <t>11e</t>
        </is>
      </c>
      <c r="E47" s="8" t="inlineStr">
        <is>
          <t>part_viii_revenue.other_revenue_total</t>
        </is>
      </c>
      <c r="F47" s="8" t="inlineStr">
        <is>
          <t>high</t>
        </is>
      </c>
      <c r="G47" s="9" t="n">
        <v>29404</v>
      </c>
    </row>
    <row r="48">
      <c r="A48" s="8" t="inlineStr">
        <is>
          <t>Revenue (detail)</t>
        </is>
      </c>
      <c r="B48" s="8" t="inlineStr">
        <is>
          <t>D12</t>
        </is>
      </c>
      <c r="C48" s="8" t="inlineStr">
        <is>
          <t>11e. Other revenue</t>
        </is>
      </c>
      <c r="D48" s="8" t="inlineStr">
        <is>
          <t>11e</t>
        </is>
      </c>
      <c r="E48" s="8" t="inlineStr">
        <is>
          <t>part_viii_revenue.other_revenue_total</t>
        </is>
      </c>
      <c r="F48" s="8" t="inlineStr">
        <is>
          <t>high</t>
        </is>
      </c>
      <c r="G48" s="9" t="n">
        <v>7143</v>
      </c>
    </row>
    <row r="49">
      <c r="A49" s="8" t="inlineStr">
        <is>
          <t>Revenue (detail)</t>
        </is>
      </c>
      <c r="B49" s="8" t="inlineStr">
        <is>
          <t>E12</t>
        </is>
      </c>
      <c r="C49" s="8" t="inlineStr">
        <is>
          <t>11e. Other revenue</t>
        </is>
      </c>
      <c r="D49" s="8" t="inlineStr">
        <is>
          <t>11e</t>
        </is>
      </c>
      <c r="E49" s="8" t="inlineStr">
        <is>
          <t>part_viii_revenue.other_revenue_total</t>
        </is>
      </c>
      <c r="F49" s="8" t="inlineStr">
        <is>
          <t>high</t>
        </is>
      </c>
      <c r="G49" s="9" t="n">
        <v>725</v>
      </c>
    </row>
    <row r="50">
      <c r="A50" s="8" t="inlineStr">
        <is>
          <t>Revenue (detail)</t>
        </is>
      </c>
      <c r="B50" s="8" t="inlineStr">
        <is>
          <t>F12</t>
        </is>
      </c>
      <c r="C50" s="8" t="inlineStr">
        <is>
          <t>11e. Other revenue</t>
        </is>
      </c>
      <c r="D50" s="8" t="inlineStr">
        <is>
          <t>11e</t>
        </is>
      </c>
      <c r="E50" s="8" t="inlineStr">
        <is>
          <t>part_viii_revenue.other_revenue_total</t>
        </is>
      </c>
      <c r="F50" s="8" t="inlineStr">
        <is>
          <t>high</t>
        </is>
      </c>
      <c r="G50" s="9" t="n">
        <v>4707</v>
      </c>
    </row>
    <row r="51">
      <c r="A51" s="8" t="inlineStr">
        <is>
          <t>Operating expenses (detail)</t>
        </is>
      </c>
      <c r="B51" s="8" t="inlineStr">
        <is>
          <t>B7</t>
        </is>
      </c>
      <c r="C51" s="8" t="inlineStr">
        <is>
          <t>5. Compensation of current officers, directors, trustees</t>
        </is>
      </c>
      <c r="D51" s="8" t="inlineStr">
        <is>
          <t>5</t>
        </is>
      </c>
      <c r="E51" s="8" t="inlineStr">
        <is>
          <t>part_ix_expenses.comp_current_officers</t>
        </is>
      </c>
      <c r="F51" s="8" t="inlineStr">
        <is>
          <t>high</t>
        </is>
      </c>
      <c r="G51" s="9" t="n">
        <v>273481</v>
      </c>
    </row>
    <row r="52">
      <c r="A52" s="8" t="inlineStr">
        <is>
          <t>Operating expenses (detail)</t>
        </is>
      </c>
      <c r="B52" s="8" t="inlineStr">
        <is>
          <t>C7</t>
        </is>
      </c>
      <c r="C52" s="8" t="inlineStr">
        <is>
          <t>5. Compensation of current officers, directors, trustees</t>
        </is>
      </c>
      <c r="D52" s="8" t="inlineStr">
        <is>
          <t>5</t>
        </is>
      </c>
      <c r="E52" s="8" t="inlineStr">
        <is>
          <t>part_ix_expenses.comp_current_officers</t>
        </is>
      </c>
      <c r="F52" s="8" t="inlineStr">
        <is>
          <t>high</t>
        </is>
      </c>
      <c r="G52" s="9" t="n">
        <v>281802</v>
      </c>
    </row>
    <row r="53">
      <c r="A53" s="8" t="inlineStr">
        <is>
          <t>Operating expenses (detail)</t>
        </is>
      </c>
      <c r="B53" s="8" t="inlineStr">
        <is>
          <t>D7</t>
        </is>
      </c>
      <c r="C53" s="8" t="inlineStr">
        <is>
          <t>5. Compensation of current officers, directors, trustees</t>
        </is>
      </c>
      <c r="D53" s="8" t="inlineStr">
        <is>
          <t>5</t>
        </is>
      </c>
      <c r="E53" s="8" t="inlineStr">
        <is>
          <t>part_ix_expenses.comp_current_officers</t>
        </is>
      </c>
      <c r="F53" s="8" t="inlineStr">
        <is>
          <t>high</t>
        </is>
      </c>
      <c r="G53" s="9" t="n">
        <v>295244</v>
      </c>
    </row>
    <row r="54">
      <c r="A54" s="8" t="inlineStr">
        <is>
          <t>Operating expenses (detail)</t>
        </is>
      </c>
      <c r="B54" s="8" t="inlineStr">
        <is>
          <t>E7</t>
        </is>
      </c>
      <c r="C54" s="8" t="inlineStr">
        <is>
          <t>5. Compensation of current officers, directors, trustees</t>
        </is>
      </c>
      <c r="D54" s="8" t="inlineStr">
        <is>
          <t>5</t>
        </is>
      </c>
      <c r="E54" s="8" t="inlineStr">
        <is>
          <t>part_ix_expenses.comp_current_officers</t>
        </is>
      </c>
      <c r="F54" s="8" t="inlineStr">
        <is>
          <t>high</t>
        </is>
      </c>
      <c r="G54" s="9" t="n">
        <v>310168</v>
      </c>
    </row>
    <row r="55">
      <c r="A55" s="8" t="inlineStr">
        <is>
          <t>Operating expenses (detail)</t>
        </is>
      </c>
      <c r="B55" s="8" t="inlineStr">
        <is>
          <t>F7</t>
        </is>
      </c>
      <c r="C55" s="8" t="inlineStr">
        <is>
          <t>5. Compensation of current officers, directors, trustees</t>
        </is>
      </c>
      <c r="D55" s="8" t="inlineStr">
        <is>
          <t>5</t>
        </is>
      </c>
      <c r="E55" s="8" t="inlineStr">
        <is>
          <t>part_ix_expenses.comp_current_officers</t>
        </is>
      </c>
      <c r="F55" s="8" t="inlineStr">
        <is>
          <t>high</t>
        </is>
      </c>
      <c r="G55" s="9" t="n">
        <v>386918</v>
      </c>
    </row>
    <row r="56">
      <c r="A56" s="8" t="inlineStr">
        <is>
          <t>Operating expenses (detail)</t>
        </is>
      </c>
      <c r="B56" s="8" t="inlineStr">
        <is>
          <t>B8</t>
        </is>
      </c>
      <c r="C56" s="8" t="inlineStr">
        <is>
          <t>7. Other salaries and wages</t>
        </is>
      </c>
      <c r="D56" s="8" t="inlineStr">
        <is>
          <t>7</t>
        </is>
      </c>
      <c r="E56" s="8" t="inlineStr">
        <is>
          <t>part_ix_expenses.other_salaries_and_wages</t>
        </is>
      </c>
      <c r="F56" s="8" t="inlineStr">
        <is>
          <t>high</t>
        </is>
      </c>
      <c r="G56" s="9" t="n">
        <v>411249</v>
      </c>
    </row>
    <row r="57">
      <c r="A57" s="8" t="inlineStr">
        <is>
          <t>Operating expenses (detail)</t>
        </is>
      </c>
      <c r="B57" s="8" t="inlineStr">
        <is>
          <t>C8</t>
        </is>
      </c>
      <c r="C57" s="8" t="inlineStr">
        <is>
          <t>7. Other salaries and wages</t>
        </is>
      </c>
      <c r="D57" s="8" t="inlineStr">
        <is>
          <t>7</t>
        </is>
      </c>
      <c r="E57" s="8" t="inlineStr">
        <is>
          <t>part_ix_expenses.other_salaries_and_wages</t>
        </is>
      </c>
      <c r="F57" s="8" t="inlineStr">
        <is>
          <t>high</t>
        </is>
      </c>
      <c r="G57" s="9" t="n">
        <v>435159</v>
      </c>
    </row>
    <row r="58">
      <c r="A58" s="8" t="inlineStr">
        <is>
          <t>Operating expenses (detail)</t>
        </is>
      </c>
      <c r="B58" s="8" t="inlineStr">
        <is>
          <t>D8</t>
        </is>
      </c>
      <c r="C58" s="8" t="inlineStr">
        <is>
          <t>7. Other salaries and wages</t>
        </is>
      </c>
      <c r="D58" s="8" t="inlineStr">
        <is>
          <t>7</t>
        </is>
      </c>
      <c r="E58" s="8" t="inlineStr">
        <is>
          <t>part_ix_expenses.other_salaries_and_wages</t>
        </is>
      </c>
      <c r="F58" s="8" t="inlineStr">
        <is>
          <t>high</t>
        </is>
      </c>
      <c r="G58" s="9" t="n">
        <v>468202</v>
      </c>
    </row>
    <row r="59">
      <c r="A59" s="8" t="inlineStr">
        <is>
          <t>Operating expenses (detail)</t>
        </is>
      </c>
      <c r="B59" s="8" t="inlineStr">
        <is>
          <t>E8</t>
        </is>
      </c>
      <c r="C59" s="8" t="inlineStr">
        <is>
          <t>7. Other salaries and wages</t>
        </is>
      </c>
      <c r="D59" s="8" t="inlineStr">
        <is>
          <t>7</t>
        </is>
      </c>
      <c r="E59" s="8" t="inlineStr">
        <is>
          <t>part_ix_expenses.other_salaries_and_wages</t>
        </is>
      </c>
      <c r="F59" s="8" t="inlineStr">
        <is>
          <t>high</t>
        </is>
      </c>
      <c r="G59" s="9" t="n">
        <v>484746</v>
      </c>
    </row>
    <row r="60">
      <c r="A60" s="8" t="inlineStr">
        <is>
          <t>Operating expenses (detail)</t>
        </is>
      </c>
      <c r="B60" s="8" t="inlineStr">
        <is>
          <t>F8</t>
        </is>
      </c>
      <c r="C60" s="8" t="inlineStr">
        <is>
          <t>7. Other salaries and wages</t>
        </is>
      </c>
      <c r="D60" s="8" t="inlineStr">
        <is>
          <t>7</t>
        </is>
      </c>
      <c r="E60" s="8" t="inlineStr">
        <is>
          <t>part_ix_expenses.other_salaries_and_wages</t>
        </is>
      </c>
      <c r="F60" s="8" t="inlineStr">
        <is>
          <t>high</t>
        </is>
      </c>
      <c r="G60" s="9" t="n">
        <v>608313</v>
      </c>
    </row>
    <row r="61">
      <c r="A61" s="8" t="inlineStr">
        <is>
          <t>Operating expenses (detail)</t>
        </is>
      </c>
      <c r="B61" s="8" t="inlineStr">
        <is>
          <t>B9</t>
        </is>
      </c>
      <c r="C61" s="8" t="inlineStr">
        <is>
          <t>8. Pension plan accruals and contributions</t>
        </is>
      </c>
      <c r="D61" s="8" t="inlineStr">
        <is>
          <t>8</t>
        </is>
      </c>
      <c r="E61" s="8" t="inlineStr">
        <is>
          <t>part_ix_expenses.pension_plan_contributions</t>
        </is>
      </c>
      <c r="F61" s="8" t="inlineStr">
        <is>
          <t>high</t>
        </is>
      </c>
      <c r="G61" s="9" t="n">
        <v>27588</v>
      </c>
    </row>
    <row r="62">
      <c r="A62" s="8" t="inlineStr">
        <is>
          <t>Operating expenses (detail)</t>
        </is>
      </c>
      <c r="B62" s="8" t="inlineStr">
        <is>
          <t>C9</t>
        </is>
      </c>
      <c r="C62" s="8" t="inlineStr">
        <is>
          <t>8. Pension plan accruals and contributions</t>
        </is>
      </c>
      <c r="D62" s="8" t="inlineStr">
        <is>
          <t>8</t>
        </is>
      </c>
      <c r="E62" s="8" t="inlineStr">
        <is>
          <t>part_ix_expenses.pension_plan_contributions</t>
        </is>
      </c>
      <c r="F62" s="8" t="inlineStr">
        <is>
          <t>high</t>
        </is>
      </c>
      <c r="G62" s="9" t="n">
        <v>33812</v>
      </c>
    </row>
    <row r="63">
      <c r="A63" s="8" t="inlineStr">
        <is>
          <t>Operating expenses (detail)</t>
        </is>
      </c>
      <c r="B63" s="8" t="inlineStr">
        <is>
          <t>D9</t>
        </is>
      </c>
      <c r="C63" s="8" t="inlineStr">
        <is>
          <t>8. Pension plan accruals and contributions</t>
        </is>
      </c>
      <c r="D63" s="8" t="inlineStr">
        <is>
          <t>8</t>
        </is>
      </c>
      <c r="E63" s="8" t="inlineStr">
        <is>
          <t>part_ix_expenses.pension_plan_contributions</t>
        </is>
      </c>
      <c r="F63" s="8" t="inlineStr">
        <is>
          <t>high</t>
        </is>
      </c>
      <c r="G63" s="9" t="n">
        <v>34316</v>
      </c>
    </row>
    <row r="64">
      <c r="A64" s="8" t="inlineStr">
        <is>
          <t>Operating expenses (detail)</t>
        </is>
      </c>
      <c r="B64" s="8" t="inlineStr">
        <is>
          <t>E9</t>
        </is>
      </c>
      <c r="C64" s="8" t="inlineStr">
        <is>
          <t>8. Pension plan accruals and contributions</t>
        </is>
      </c>
      <c r="D64" s="8" t="inlineStr">
        <is>
          <t>8</t>
        </is>
      </c>
      <c r="E64" s="8" t="inlineStr">
        <is>
          <t>part_ix_expenses.pension_plan_contributions</t>
        </is>
      </c>
      <c r="F64" s="8" t="inlineStr">
        <is>
          <t>high</t>
        </is>
      </c>
      <c r="G64" s="9" t="n">
        <v>30610</v>
      </c>
    </row>
    <row r="65">
      <c r="A65" s="8" t="inlineStr">
        <is>
          <t>Operating expenses (detail)</t>
        </is>
      </c>
      <c r="B65" s="8" t="inlineStr">
        <is>
          <t>F9</t>
        </is>
      </c>
      <c r="C65" s="8" t="inlineStr">
        <is>
          <t>8. Pension plan accruals and contributions</t>
        </is>
      </c>
      <c r="D65" s="8" t="inlineStr">
        <is>
          <t>8</t>
        </is>
      </c>
      <c r="E65" s="8" t="inlineStr">
        <is>
          <t>part_ix_expenses.pension_plan_contributions</t>
        </is>
      </c>
      <c r="F65" s="8" t="inlineStr">
        <is>
          <t>high</t>
        </is>
      </c>
      <c r="G65" s="9" t="n">
        <v>37796</v>
      </c>
    </row>
    <row r="66">
      <c r="A66" s="8" t="inlineStr">
        <is>
          <t>Operating expenses (detail)</t>
        </is>
      </c>
      <c r="B66" s="8" t="inlineStr">
        <is>
          <t>B10</t>
        </is>
      </c>
      <c r="C66" s="8" t="inlineStr">
        <is>
          <t>9. Other employee benefits</t>
        </is>
      </c>
      <c r="D66" s="8" t="inlineStr">
        <is>
          <t>9</t>
        </is>
      </c>
      <c r="E66" s="8" t="inlineStr">
        <is>
          <t>part_ix_expenses.other_employee_benefits</t>
        </is>
      </c>
      <c r="F66" s="8" t="inlineStr">
        <is>
          <t>high</t>
        </is>
      </c>
      <c r="G66" s="9" t="n">
        <v>81801</v>
      </c>
    </row>
    <row r="67">
      <c r="A67" s="8" t="inlineStr">
        <is>
          <t>Operating expenses (detail)</t>
        </is>
      </c>
      <c r="B67" s="8" t="inlineStr">
        <is>
          <t>C10</t>
        </is>
      </c>
      <c r="C67" s="8" t="inlineStr">
        <is>
          <t>9. Other employee benefits</t>
        </is>
      </c>
      <c r="D67" s="8" t="inlineStr">
        <is>
          <t>9</t>
        </is>
      </c>
      <c r="E67" s="8" t="inlineStr">
        <is>
          <t>part_ix_expenses.other_employee_benefits</t>
        </is>
      </c>
      <c r="F67" s="8" t="inlineStr">
        <is>
          <t>high</t>
        </is>
      </c>
      <c r="G67" s="9" t="n">
        <v>85021</v>
      </c>
    </row>
    <row r="68">
      <c r="A68" s="8" t="inlineStr">
        <is>
          <t>Operating expenses (detail)</t>
        </is>
      </c>
      <c r="B68" s="8" t="inlineStr">
        <is>
          <t>D10</t>
        </is>
      </c>
      <c r="C68" s="8" t="inlineStr">
        <is>
          <t>9. Other employee benefits</t>
        </is>
      </c>
      <c r="D68" s="8" t="inlineStr">
        <is>
          <t>9</t>
        </is>
      </c>
      <c r="E68" s="8" t="inlineStr">
        <is>
          <t>part_ix_expenses.other_employee_benefits</t>
        </is>
      </c>
      <c r="F68" s="8" t="inlineStr">
        <is>
          <t>high</t>
        </is>
      </c>
      <c r="G68" s="9" t="n">
        <v>88752</v>
      </c>
    </row>
    <row r="69">
      <c r="A69" s="8" t="inlineStr">
        <is>
          <t>Operating expenses (detail)</t>
        </is>
      </c>
      <c r="B69" s="8" t="inlineStr">
        <is>
          <t>E10</t>
        </is>
      </c>
      <c r="C69" s="8" t="inlineStr">
        <is>
          <t>9. Other employee benefits</t>
        </is>
      </c>
      <c r="D69" s="8" t="inlineStr">
        <is>
          <t>9</t>
        </is>
      </c>
      <c r="E69" s="8" t="inlineStr">
        <is>
          <t>part_ix_expenses.other_employee_benefits</t>
        </is>
      </c>
      <c r="F69" s="8" t="inlineStr">
        <is>
          <t>high</t>
        </is>
      </c>
      <c r="G69" s="9" t="n">
        <v>83459</v>
      </c>
    </row>
    <row r="70">
      <c r="A70" s="8" t="inlineStr">
        <is>
          <t>Operating expenses (detail)</t>
        </is>
      </c>
      <c r="B70" s="8" t="inlineStr">
        <is>
          <t>F10</t>
        </is>
      </c>
      <c r="C70" s="8" t="inlineStr">
        <is>
          <t>9. Other employee benefits</t>
        </is>
      </c>
      <c r="D70" s="8" t="inlineStr">
        <is>
          <t>9</t>
        </is>
      </c>
      <c r="E70" s="8" t="inlineStr">
        <is>
          <t>part_ix_expenses.other_employee_benefits</t>
        </is>
      </c>
      <c r="F70" s="8" t="inlineStr">
        <is>
          <t>high</t>
        </is>
      </c>
      <c r="G70" s="9" t="n">
        <v>104272</v>
      </c>
    </row>
    <row r="71">
      <c r="A71" s="8" t="inlineStr">
        <is>
          <t>Operating expenses (detail)</t>
        </is>
      </c>
      <c r="B71" s="8" t="inlineStr">
        <is>
          <t>B11</t>
        </is>
      </c>
      <c r="C71" s="8" t="inlineStr">
        <is>
          <t>10. Payroll taxes</t>
        </is>
      </c>
      <c r="D71" s="8" t="inlineStr">
        <is>
          <t>10</t>
        </is>
      </c>
      <c r="E71" s="8" t="inlineStr">
        <is>
          <t>part_ix_expenses.payroll_taxes</t>
        </is>
      </c>
      <c r="F71" s="8" t="inlineStr">
        <is>
          <t>high</t>
        </is>
      </c>
      <c r="G71" s="9" t="n">
        <v>40972</v>
      </c>
    </row>
    <row r="72">
      <c r="A72" s="8" t="inlineStr">
        <is>
          <t>Operating expenses (detail)</t>
        </is>
      </c>
      <c r="B72" s="8" t="inlineStr">
        <is>
          <t>C11</t>
        </is>
      </c>
      <c r="C72" s="8" t="inlineStr">
        <is>
          <t>10. Payroll taxes</t>
        </is>
      </c>
      <c r="D72" s="8" t="inlineStr">
        <is>
          <t>10</t>
        </is>
      </c>
      <c r="E72" s="8" t="inlineStr">
        <is>
          <t>part_ix_expenses.payroll_taxes</t>
        </is>
      </c>
      <c r="F72" s="8" t="inlineStr">
        <is>
          <t>high</t>
        </is>
      </c>
      <c r="G72" s="9" t="n">
        <v>46099</v>
      </c>
    </row>
    <row r="73">
      <c r="A73" s="8" t="inlineStr">
        <is>
          <t>Operating expenses (detail)</t>
        </is>
      </c>
      <c r="B73" s="8" t="inlineStr">
        <is>
          <t>D11</t>
        </is>
      </c>
      <c r="C73" s="8" t="inlineStr">
        <is>
          <t>10. Payroll taxes</t>
        </is>
      </c>
      <c r="D73" s="8" t="inlineStr">
        <is>
          <t>10</t>
        </is>
      </c>
      <c r="E73" s="8" t="inlineStr">
        <is>
          <t>part_ix_expenses.payroll_taxes</t>
        </is>
      </c>
      <c r="F73" s="8" t="inlineStr">
        <is>
          <t>high</t>
        </is>
      </c>
      <c r="G73" s="9" t="n">
        <v>50440</v>
      </c>
    </row>
    <row r="74">
      <c r="A74" s="8" t="inlineStr">
        <is>
          <t>Operating expenses (detail)</t>
        </is>
      </c>
      <c r="B74" s="8" t="inlineStr">
        <is>
          <t>E11</t>
        </is>
      </c>
      <c r="C74" s="8" t="inlineStr">
        <is>
          <t>10. Payroll taxes</t>
        </is>
      </c>
      <c r="D74" s="8" t="inlineStr">
        <is>
          <t>10</t>
        </is>
      </c>
      <c r="E74" s="8" t="inlineStr">
        <is>
          <t>part_ix_expenses.payroll_taxes</t>
        </is>
      </c>
      <c r="F74" s="8" t="inlineStr">
        <is>
          <t>high</t>
        </is>
      </c>
      <c r="G74" s="9" t="n">
        <v>53543</v>
      </c>
    </row>
    <row r="75">
      <c r="A75" s="8" t="inlineStr">
        <is>
          <t>Operating expenses (detail)</t>
        </is>
      </c>
      <c r="B75" s="8" t="inlineStr">
        <is>
          <t>F11</t>
        </is>
      </c>
      <c r="C75" s="8" t="inlineStr">
        <is>
          <t>10. Payroll taxes</t>
        </is>
      </c>
      <c r="D75" s="8" t="inlineStr">
        <is>
          <t>10</t>
        </is>
      </c>
      <c r="E75" s="8" t="inlineStr">
        <is>
          <t>part_ix_expenses.payroll_taxes</t>
        </is>
      </c>
      <c r="F75" s="8" t="inlineStr">
        <is>
          <t>high</t>
        </is>
      </c>
      <c r="G75" s="9" t="n">
        <v>64105</v>
      </c>
    </row>
    <row r="76">
      <c r="A76" s="8" t="inlineStr">
        <is>
          <t>Operating expenses (detail)</t>
        </is>
      </c>
      <c r="B76" s="8" t="inlineStr">
        <is>
          <t>E12</t>
        </is>
      </c>
      <c r="C76" s="8" t="inlineStr">
        <is>
          <t>11b. Fees for services: legal</t>
        </is>
      </c>
      <c r="D76" s="8" t="inlineStr">
        <is>
          <t>11b</t>
        </is>
      </c>
      <c r="E76" s="8" t="inlineStr">
        <is>
          <t>part_ix_expenses.fees_legal</t>
        </is>
      </c>
      <c r="F76" s="8" t="inlineStr">
        <is>
          <t>high</t>
        </is>
      </c>
      <c r="G76" s="9" t="n">
        <v>17005</v>
      </c>
    </row>
    <row r="77">
      <c r="A77" s="8" t="inlineStr">
        <is>
          <t>Operating expenses (detail)</t>
        </is>
      </c>
      <c r="B77" s="8" t="inlineStr">
        <is>
          <t>F12</t>
        </is>
      </c>
      <c r="C77" s="8" t="inlineStr">
        <is>
          <t>11b. Fees for services: legal</t>
        </is>
      </c>
      <c r="D77" s="8" t="inlineStr">
        <is>
          <t>11b</t>
        </is>
      </c>
      <c r="E77" s="8" t="inlineStr">
        <is>
          <t>part_ix_expenses.fees_legal</t>
        </is>
      </c>
      <c r="F77" s="8" t="inlineStr">
        <is>
          <t>high</t>
        </is>
      </c>
      <c r="G77" s="9" t="n">
        <v>4914</v>
      </c>
    </row>
    <row r="78">
      <c r="A78" s="8" t="inlineStr">
        <is>
          <t>Operating expenses (detail)</t>
        </is>
      </c>
      <c r="B78" s="8" t="inlineStr">
        <is>
          <t>B13</t>
        </is>
      </c>
      <c r="C78" s="8" t="inlineStr">
        <is>
          <t>11c. Fees for services: accounting</t>
        </is>
      </c>
      <c r="D78" s="8" t="inlineStr">
        <is>
          <t>11c</t>
        </is>
      </c>
      <c r="E78" s="8" t="inlineStr">
        <is>
          <t>part_ix_expenses.fees_accounting</t>
        </is>
      </c>
      <c r="F78" s="8" t="inlineStr">
        <is>
          <t>high</t>
        </is>
      </c>
      <c r="G78" s="9" t="n">
        <v>33997</v>
      </c>
    </row>
    <row r="79">
      <c r="A79" s="8" t="inlineStr">
        <is>
          <t>Operating expenses (detail)</t>
        </is>
      </c>
      <c r="B79" s="8" t="inlineStr">
        <is>
          <t>C13</t>
        </is>
      </c>
      <c r="C79" s="8" t="inlineStr">
        <is>
          <t>11c. Fees for services: accounting</t>
        </is>
      </c>
      <c r="D79" s="8" t="inlineStr">
        <is>
          <t>11c</t>
        </is>
      </c>
      <c r="E79" s="8" t="inlineStr">
        <is>
          <t>part_ix_expenses.fees_accounting</t>
        </is>
      </c>
      <c r="F79" s="8" t="inlineStr">
        <is>
          <t>high</t>
        </is>
      </c>
      <c r="G79" s="9" t="n">
        <v>33964</v>
      </c>
    </row>
    <row r="80">
      <c r="A80" s="8" t="inlineStr">
        <is>
          <t>Operating expenses (detail)</t>
        </is>
      </c>
      <c r="B80" s="8" t="inlineStr">
        <is>
          <t>D13</t>
        </is>
      </c>
      <c r="C80" s="8" t="inlineStr">
        <is>
          <t>11c. Fees for services: accounting</t>
        </is>
      </c>
      <c r="D80" s="8" t="inlineStr">
        <is>
          <t>11c</t>
        </is>
      </c>
      <c r="E80" s="8" t="inlineStr">
        <is>
          <t>part_ix_expenses.fees_accounting</t>
        </is>
      </c>
      <c r="F80" s="8" t="inlineStr">
        <is>
          <t>high</t>
        </is>
      </c>
      <c r="G80" s="9" t="n">
        <v>31747</v>
      </c>
    </row>
    <row r="81">
      <c r="A81" s="8" t="inlineStr">
        <is>
          <t>Operating expenses (detail)</t>
        </is>
      </c>
      <c r="B81" s="8" t="inlineStr">
        <is>
          <t>E13</t>
        </is>
      </c>
      <c r="C81" s="8" t="inlineStr">
        <is>
          <t>11c. Fees for services: accounting</t>
        </is>
      </c>
      <c r="D81" s="8" t="inlineStr">
        <is>
          <t>11c</t>
        </is>
      </c>
      <c r="E81" s="8" t="inlineStr">
        <is>
          <t>part_ix_expenses.fees_accounting</t>
        </is>
      </c>
      <c r="F81" s="8" t="inlineStr">
        <is>
          <t>high</t>
        </is>
      </c>
      <c r="G81" s="9" t="n">
        <v>33145</v>
      </c>
    </row>
    <row r="82">
      <c r="A82" s="8" t="inlineStr">
        <is>
          <t>Operating expenses (detail)</t>
        </is>
      </c>
      <c r="B82" s="8" t="inlineStr">
        <is>
          <t>F13</t>
        </is>
      </c>
      <c r="C82" s="8" t="inlineStr">
        <is>
          <t>11c. Fees for services: accounting</t>
        </is>
      </c>
      <c r="D82" s="8" t="inlineStr">
        <is>
          <t>11c</t>
        </is>
      </c>
      <c r="E82" s="8" t="inlineStr">
        <is>
          <t>part_ix_expenses.fees_accounting</t>
        </is>
      </c>
      <c r="F82" s="8" t="inlineStr">
        <is>
          <t>high</t>
        </is>
      </c>
      <c r="G82" s="9" t="n">
        <v>34045</v>
      </c>
    </row>
    <row r="83">
      <c r="A83" s="8" t="inlineStr">
        <is>
          <t>Operating expenses (detail)</t>
        </is>
      </c>
      <c r="B83" s="8" t="inlineStr">
        <is>
          <t>B14</t>
        </is>
      </c>
      <c r="C83" s="8" t="inlineStr">
        <is>
          <t>11g. Fees for services: other</t>
        </is>
      </c>
      <c r="D83" s="8" t="inlineStr">
        <is>
          <t>11g</t>
        </is>
      </c>
      <c r="E83" s="8" t="inlineStr">
        <is>
          <t>part_ix_expenses.fees_other</t>
        </is>
      </c>
      <c r="F83" s="8" t="inlineStr">
        <is>
          <t>high</t>
        </is>
      </c>
      <c r="G83" s="9" t="n">
        <v>48866</v>
      </c>
    </row>
    <row r="84">
      <c r="A84" s="8" t="inlineStr">
        <is>
          <t>Operating expenses (detail)</t>
        </is>
      </c>
      <c r="B84" s="8" t="inlineStr">
        <is>
          <t>C14</t>
        </is>
      </c>
      <c r="C84" s="8" t="inlineStr">
        <is>
          <t>11g. Fees for services: other</t>
        </is>
      </c>
      <c r="D84" s="8" t="inlineStr">
        <is>
          <t>11g</t>
        </is>
      </c>
      <c r="E84" s="8" t="inlineStr">
        <is>
          <t>part_ix_expenses.fees_other</t>
        </is>
      </c>
      <c r="F84" s="8" t="inlineStr">
        <is>
          <t>high</t>
        </is>
      </c>
      <c r="G84" s="9" t="n">
        <v>134902</v>
      </c>
    </row>
    <row r="85">
      <c r="A85" s="8" t="inlineStr">
        <is>
          <t>Operating expenses (detail)</t>
        </is>
      </c>
      <c r="B85" s="8" t="inlineStr">
        <is>
          <t>D14</t>
        </is>
      </c>
      <c r="C85" s="8" t="inlineStr">
        <is>
          <t>11g. Fees for services: other</t>
        </is>
      </c>
      <c r="D85" s="8" t="inlineStr">
        <is>
          <t>11g</t>
        </is>
      </c>
      <c r="E85" s="8" t="inlineStr">
        <is>
          <t>part_ix_expenses.fees_other</t>
        </is>
      </c>
      <c r="F85" s="8" t="inlineStr">
        <is>
          <t>high</t>
        </is>
      </c>
      <c r="G85" s="9" t="n">
        <v>71067</v>
      </c>
    </row>
    <row r="86">
      <c r="A86" s="8" t="inlineStr">
        <is>
          <t>Operating expenses (detail)</t>
        </is>
      </c>
      <c r="B86" s="8" t="inlineStr">
        <is>
          <t>E14</t>
        </is>
      </c>
      <c r="C86" s="8" t="inlineStr">
        <is>
          <t>11g. Fees for services: other</t>
        </is>
      </c>
      <c r="D86" s="8" t="inlineStr">
        <is>
          <t>11g</t>
        </is>
      </c>
      <c r="E86" s="8" t="inlineStr">
        <is>
          <t>part_ix_expenses.fees_other</t>
        </is>
      </c>
      <c r="F86" s="8" t="inlineStr">
        <is>
          <t>high</t>
        </is>
      </c>
      <c r="G86" s="9" t="n">
        <v>51715</v>
      </c>
    </row>
    <row r="87">
      <c r="A87" s="8" t="inlineStr">
        <is>
          <t>Operating expenses (detail)</t>
        </is>
      </c>
      <c r="B87" s="8" t="inlineStr">
        <is>
          <t>F14</t>
        </is>
      </c>
      <c r="C87" s="8" t="inlineStr">
        <is>
          <t>11g. Fees for services: other</t>
        </is>
      </c>
      <c r="D87" s="8" t="inlineStr">
        <is>
          <t>11g</t>
        </is>
      </c>
      <c r="E87" s="8" t="inlineStr">
        <is>
          <t>part_ix_expenses.fees_other</t>
        </is>
      </c>
      <c r="F87" s="8" t="inlineStr">
        <is>
          <t>high</t>
        </is>
      </c>
      <c r="G87" s="9" t="n">
        <v>55760</v>
      </c>
    </row>
    <row r="88">
      <c r="A88" s="8" t="inlineStr">
        <is>
          <t>Operating expenses (detail)</t>
        </is>
      </c>
      <c r="B88" s="8" t="inlineStr">
        <is>
          <t>B15</t>
        </is>
      </c>
      <c r="C88" s="8" t="inlineStr">
        <is>
          <t>13. Office expenses</t>
        </is>
      </c>
      <c r="D88" s="8" t="inlineStr">
        <is>
          <t>13</t>
        </is>
      </c>
      <c r="E88" s="8" t="inlineStr">
        <is>
          <t>part_ix_expenses.office_expenses</t>
        </is>
      </c>
      <c r="F88" s="8" t="inlineStr">
        <is>
          <t>high</t>
        </is>
      </c>
      <c r="G88" s="9" t="n">
        <v>50013</v>
      </c>
    </row>
    <row r="89">
      <c r="A89" s="8" t="inlineStr">
        <is>
          <t>Operating expenses (detail)</t>
        </is>
      </c>
      <c r="B89" s="8" t="inlineStr">
        <is>
          <t>C15</t>
        </is>
      </c>
      <c r="C89" s="8" t="inlineStr">
        <is>
          <t>13. Office expenses</t>
        </is>
      </c>
      <c r="D89" s="8" t="inlineStr">
        <is>
          <t>13</t>
        </is>
      </c>
      <c r="E89" s="8" t="inlineStr">
        <is>
          <t>part_ix_expenses.office_expenses</t>
        </is>
      </c>
      <c r="F89" s="8" t="inlineStr">
        <is>
          <t>high</t>
        </is>
      </c>
      <c r="G89" s="9" t="n">
        <v>56954</v>
      </c>
    </row>
    <row r="90">
      <c r="A90" s="8" t="inlineStr">
        <is>
          <t>Operating expenses (detail)</t>
        </is>
      </c>
      <c r="B90" s="8" t="inlineStr">
        <is>
          <t>D15</t>
        </is>
      </c>
      <c r="C90" s="8" t="inlineStr">
        <is>
          <t>13. Office expenses</t>
        </is>
      </c>
      <c r="D90" s="8" t="inlineStr">
        <is>
          <t>13</t>
        </is>
      </c>
      <c r="E90" s="8" t="inlineStr">
        <is>
          <t>part_ix_expenses.office_expenses</t>
        </is>
      </c>
      <c r="F90" s="8" t="inlineStr">
        <is>
          <t>high</t>
        </is>
      </c>
      <c r="G90" s="9" t="n">
        <v>68356</v>
      </c>
    </row>
    <row r="91">
      <c r="A91" s="8" t="inlineStr">
        <is>
          <t>Operating expenses (detail)</t>
        </is>
      </c>
      <c r="B91" s="8" t="inlineStr">
        <is>
          <t>E15</t>
        </is>
      </c>
      <c r="C91" s="8" t="inlineStr">
        <is>
          <t>13. Office expenses</t>
        </is>
      </c>
      <c r="D91" s="8" t="inlineStr">
        <is>
          <t>13</t>
        </is>
      </c>
      <c r="E91" s="8" t="inlineStr">
        <is>
          <t>part_ix_expenses.office_expenses</t>
        </is>
      </c>
      <c r="F91" s="8" t="inlineStr">
        <is>
          <t>high</t>
        </is>
      </c>
      <c r="G91" s="9" t="n">
        <v>70035</v>
      </c>
    </row>
    <row r="92">
      <c r="A92" s="8" t="inlineStr">
        <is>
          <t>Operating expenses (detail)</t>
        </is>
      </c>
      <c r="B92" s="8" t="inlineStr">
        <is>
          <t>F15</t>
        </is>
      </c>
      <c r="C92" s="8" t="inlineStr">
        <is>
          <t>13. Office expenses</t>
        </is>
      </c>
      <c r="D92" s="8" t="inlineStr">
        <is>
          <t>13</t>
        </is>
      </c>
      <c r="E92" s="8" t="inlineStr">
        <is>
          <t>part_ix_expenses.office_expenses</t>
        </is>
      </c>
      <c r="F92" s="8" t="inlineStr">
        <is>
          <t>high</t>
        </is>
      </c>
      <c r="G92" s="9" t="n">
        <v>76981</v>
      </c>
    </row>
    <row r="93">
      <c r="A93" s="8" t="inlineStr">
        <is>
          <t>Operating expenses (detail)</t>
        </is>
      </c>
      <c r="B93" s="8" t="inlineStr">
        <is>
          <t>B16</t>
        </is>
      </c>
      <c r="C93" s="8" t="inlineStr">
        <is>
          <t>20. Interest</t>
        </is>
      </c>
      <c r="D93" s="8" t="inlineStr">
        <is>
          <t>20</t>
        </is>
      </c>
      <c r="E93" s="8" t="inlineStr">
        <is>
          <t>part_ix_expenses.interest</t>
        </is>
      </c>
      <c r="F93" s="8" t="inlineStr">
        <is>
          <t>high</t>
        </is>
      </c>
      <c r="G93" s="9" t="n">
        <v>30682</v>
      </c>
    </row>
    <row r="94">
      <c r="A94" s="8" t="inlineStr">
        <is>
          <t>Operating expenses (detail)</t>
        </is>
      </c>
      <c r="B94" s="8" t="inlineStr">
        <is>
          <t>C16</t>
        </is>
      </c>
      <c r="C94" s="8" t="inlineStr">
        <is>
          <t>20. Interest</t>
        </is>
      </c>
      <c r="D94" s="8" t="inlineStr">
        <is>
          <t>20</t>
        </is>
      </c>
      <c r="E94" s="8" t="inlineStr">
        <is>
          <t>part_ix_expenses.interest</t>
        </is>
      </c>
      <c r="F94" s="8" t="inlineStr">
        <is>
          <t>high</t>
        </is>
      </c>
      <c r="G94" s="9" t="n">
        <v>29276</v>
      </c>
    </row>
    <row r="95">
      <c r="A95" s="8" t="inlineStr">
        <is>
          <t>Operating expenses (detail)</t>
        </is>
      </c>
      <c r="B95" s="8" t="inlineStr">
        <is>
          <t>D16</t>
        </is>
      </c>
      <c r="C95" s="8" t="inlineStr">
        <is>
          <t>20. Interest</t>
        </is>
      </c>
      <c r="D95" s="8" t="inlineStr">
        <is>
          <t>20</t>
        </is>
      </c>
      <c r="E95" s="8" t="inlineStr">
        <is>
          <t>part_ix_expenses.interest</t>
        </is>
      </c>
      <c r="F95" s="8" t="inlineStr">
        <is>
          <t>high</t>
        </is>
      </c>
      <c r="G95" s="9" t="n">
        <v>27818</v>
      </c>
    </row>
    <row r="96">
      <c r="A96" s="8" t="inlineStr">
        <is>
          <t>Operating expenses (detail)</t>
        </is>
      </c>
      <c r="B96" s="8" t="inlineStr">
        <is>
          <t>E16</t>
        </is>
      </c>
      <c r="C96" s="8" t="inlineStr">
        <is>
          <t>20. Interest</t>
        </is>
      </c>
      <c r="D96" s="8" t="inlineStr">
        <is>
          <t>20</t>
        </is>
      </c>
      <c r="E96" s="8" t="inlineStr">
        <is>
          <t>part_ix_expenses.interest</t>
        </is>
      </c>
      <c r="F96" s="8" t="inlineStr">
        <is>
          <t>high</t>
        </is>
      </c>
      <c r="G96" s="9" t="n">
        <v>45634</v>
      </c>
    </row>
    <row r="97">
      <c r="A97" s="8" t="inlineStr">
        <is>
          <t>Operating expenses (detail)</t>
        </is>
      </c>
      <c r="B97" s="8" t="inlineStr">
        <is>
          <t>F16</t>
        </is>
      </c>
      <c r="C97" s="8" t="inlineStr">
        <is>
          <t>20. Interest</t>
        </is>
      </c>
      <c r="D97" s="8" t="inlineStr">
        <is>
          <t>20</t>
        </is>
      </c>
      <c r="E97" s="8" t="inlineStr">
        <is>
          <t>part_ix_expenses.interest</t>
        </is>
      </c>
      <c r="F97" s="8" t="inlineStr">
        <is>
          <t>high</t>
        </is>
      </c>
      <c r="G97" s="9" t="n">
        <v>25497</v>
      </c>
    </row>
    <row r="98">
      <c r="A98" s="8" t="inlineStr">
        <is>
          <t>Operating expenses (detail)</t>
        </is>
      </c>
      <c r="B98" s="8" t="inlineStr">
        <is>
          <t>B17</t>
        </is>
      </c>
      <c r="C98" s="8" t="inlineStr">
        <is>
          <t>22. Depreciation, depletion, and amortization</t>
        </is>
      </c>
      <c r="D98" s="8" t="inlineStr">
        <is>
          <t>22</t>
        </is>
      </c>
      <c r="E98" s="8" t="inlineStr">
        <is>
          <t>part_ix_expenses.depreciation</t>
        </is>
      </c>
      <c r="F98" s="8" t="inlineStr">
        <is>
          <t>high</t>
        </is>
      </c>
      <c r="G98" s="9" t="n">
        <v>445652</v>
      </c>
    </row>
    <row r="99">
      <c r="A99" s="8" t="inlineStr">
        <is>
          <t>Operating expenses (detail)</t>
        </is>
      </c>
      <c r="B99" s="8" t="inlineStr">
        <is>
          <t>C17</t>
        </is>
      </c>
      <c r="C99" s="8" t="inlineStr">
        <is>
          <t>22. Depreciation, depletion, and amortization</t>
        </is>
      </c>
      <c r="D99" s="8" t="inlineStr">
        <is>
          <t>22</t>
        </is>
      </c>
      <c r="E99" s="8" t="inlineStr">
        <is>
          <t>part_ix_expenses.depreciation</t>
        </is>
      </c>
      <c r="F99" s="8" t="inlineStr">
        <is>
          <t>high</t>
        </is>
      </c>
      <c r="G99" s="9" t="n">
        <v>465140</v>
      </c>
    </row>
    <row r="100">
      <c r="A100" s="8" t="inlineStr">
        <is>
          <t>Operating expenses (detail)</t>
        </is>
      </c>
      <c r="B100" s="8" t="inlineStr">
        <is>
          <t>D17</t>
        </is>
      </c>
      <c r="C100" s="8" t="inlineStr">
        <is>
          <t>22. Depreciation, depletion, and amortization</t>
        </is>
      </c>
      <c r="D100" s="8" t="inlineStr">
        <is>
          <t>22</t>
        </is>
      </c>
      <c r="E100" s="8" t="inlineStr">
        <is>
          <t>part_ix_expenses.depreciation</t>
        </is>
      </c>
      <c r="F100" s="8" t="inlineStr">
        <is>
          <t>high</t>
        </is>
      </c>
      <c r="G100" s="9" t="n">
        <v>501437</v>
      </c>
    </row>
    <row r="101">
      <c r="A101" s="8" t="inlineStr">
        <is>
          <t>Operating expenses (detail)</t>
        </is>
      </c>
      <c r="B101" s="8" t="inlineStr">
        <is>
          <t>E17</t>
        </is>
      </c>
      <c r="C101" s="8" t="inlineStr">
        <is>
          <t>22. Depreciation, depletion, and amortization</t>
        </is>
      </c>
      <c r="D101" s="8" t="inlineStr">
        <is>
          <t>22</t>
        </is>
      </c>
      <c r="E101" s="8" t="inlineStr">
        <is>
          <t>part_ix_expenses.depreciation</t>
        </is>
      </c>
      <c r="F101" s="8" t="inlineStr">
        <is>
          <t>high</t>
        </is>
      </c>
      <c r="G101" s="9" t="n">
        <v>541714</v>
      </c>
    </row>
    <row r="102">
      <c r="A102" s="8" t="inlineStr">
        <is>
          <t>Operating expenses (detail)</t>
        </is>
      </c>
      <c r="B102" s="8" t="inlineStr">
        <is>
          <t>F17</t>
        </is>
      </c>
      <c r="C102" s="8" t="inlineStr">
        <is>
          <t>22. Depreciation, depletion, and amortization</t>
        </is>
      </c>
      <c r="D102" s="8" t="inlineStr">
        <is>
          <t>22</t>
        </is>
      </c>
      <c r="E102" s="8" t="inlineStr">
        <is>
          <t>part_ix_expenses.depreciation</t>
        </is>
      </c>
      <c r="F102" s="8" t="inlineStr">
        <is>
          <t>high</t>
        </is>
      </c>
      <c r="G102" s="9" t="n">
        <v>551660</v>
      </c>
    </row>
    <row r="103">
      <c r="A103" s="8" t="inlineStr">
        <is>
          <t>Operating expenses (detail)</t>
        </is>
      </c>
      <c r="B103" s="8" t="inlineStr">
        <is>
          <t>B18</t>
        </is>
      </c>
      <c r="C103" s="8" t="inlineStr">
        <is>
          <t>23. Insurance</t>
        </is>
      </c>
      <c r="D103" s="8" t="inlineStr">
        <is>
          <t>23</t>
        </is>
      </c>
      <c r="E103" s="8" t="inlineStr">
        <is>
          <t>part_ix_expenses.insurance</t>
        </is>
      </c>
      <c r="F103" s="8" t="inlineStr">
        <is>
          <t>high</t>
        </is>
      </c>
      <c r="G103" s="9" t="n">
        <v>74167</v>
      </c>
    </row>
    <row r="104">
      <c r="A104" s="8" t="inlineStr">
        <is>
          <t>Operating expenses (detail)</t>
        </is>
      </c>
      <c r="B104" s="8" t="inlineStr">
        <is>
          <t>C18</t>
        </is>
      </c>
      <c r="C104" s="8" t="inlineStr">
        <is>
          <t>23. Insurance</t>
        </is>
      </c>
      <c r="D104" s="8" t="inlineStr">
        <is>
          <t>23</t>
        </is>
      </c>
      <c r="E104" s="8" t="inlineStr">
        <is>
          <t>part_ix_expenses.insurance</t>
        </is>
      </c>
      <c r="F104" s="8" t="inlineStr">
        <is>
          <t>high</t>
        </is>
      </c>
      <c r="G104" s="9" t="n">
        <v>59367</v>
      </c>
    </row>
    <row r="105">
      <c r="A105" s="8" t="inlineStr">
        <is>
          <t>Operating expenses (detail)</t>
        </is>
      </c>
      <c r="B105" s="8" t="inlineStr">
        <is>
          <t>D18</t>
        </is>
      </c>
      <c r="C105" s="8" t="inlineStr">
        <is>
          <t>23. Insurance</t>
        </is>
      </c>
      <c r="D105" s="8" t="inlineStr">
        <is>
          <t>23</t>
        </is>
      </c>
      <c r="E105" s="8" t="inlineStr">
        <is>
          <t>part_ix_expenses.insurance</t>
        </is>
      </c>
      <c r="F105" s="8" t="inlineStr">
        <is>
          <t>high</t>
        </is>
      </c>
      <c r="G105" s="9" t="n">
        <v>64211</v>
      </c>
    </row>
    <row r="106">
      <c r="A106" s="8" t="inlineStr">
        <is>
          <t>Operating expenses (detail)</t>
        </is>
      </c>
      <c r="B106" s="8" t="inlineStr">
        <is>
          <t>E18</t>
        </is>
      </c>
      <c r="C106" s="8" t="inlineStr">
        <is>
          <t>23. Insurance</t>
        </is>
      </c>
      <c r="D106" s="8" t="inlineStr">
        <is>
          <t>23</t>
        </is>
      </c>
      <c r="E106" s="8" t="inlineStr">
        <is>
          <t>part_ix_expenses.insurance</t>
        </is>
      </c>
      <c r="F106" s="8" t="inlineStr">
        <is>
          <t>high</t>
        </is>
      </c>
      <c r="G106" s="9" t="n">
        <v>71083</v>
      </c>
    </row>
    <row r="107">
      <c r="A107" s="8" t="inlineStr">
        <is>
          <t>Operating expenses (detail)</t>
        </is>
      </c>
      <c r="B107" s="8" t="inlineStr">
        <is>
          <t>F18</t>
        </is>
      </c>
      <c r="C107" s="8" t="inlineStr">
        <is>
          <t>23. Insurance</t>
        </is>
      </c>
      <c r="D107" s="8" t="inlineStr">
        <is>
          <t>23</t>
        </is>
      </c>
      <c r="E107" s="8" t="inlineStr">
        <is>
          <t>part_ix_expenses.insurance</t>
        </is>
      </c>
      <c r="F107" s="8" t="inlineStr">
        <is>
          <t>high</t>
        </is>
      </c>
      <c r="G107" s="9" t="n">
        <v>80473</v>
      </c>
    </row>
    <row r="108">
      <c r="A108" s="8" t="inlineStr">
        <is>
          <t>Operating expenses (detail)</t>
        </is>
      </c>
      <c r="B108" s="8" t="inlineStr">
        <is>
          <t>B23</t>
        </is>
      </c>
      <c r="C108" s="8" t="inlineStr">
        <is>
          <t>24e. All other expenses</t>
        </is>
      </c>
      <c r="D108" s="8" t="inlineStr">
        <is>
          <t>24e</t>
        </is>
      </c>
      <c r="E108" s="8" t="inlineStr">
        <is>
          <t>part_ix_expenses.all_other_expenses</t>
        </is>
      </c>
      <c r="F108" s="8" t="inlineStr">
        <is>
          <t>high</t>
        </is>
      </c>
      <c r="G108" s="9" t="n">
        <v>131223</v>
      </c>
    </row>
    <row r="109">
      <c r="A109" s="8" t="inlineStr">
        <is>
          <t>Operating expenses (detail)</t>
        </is>
      </c>
      <c r="B109" s="8" t="inlineStr">
        <is>
          <t>C23</t>
        </is>
      </c>
      <c r="C109" s="8" t="inlineStr">
        <is>
          <t>24e. All other expenses</t>
        </is>
      </c>
      <c r="D109" s="8" t="inlineStr">
        <is>
          <t>24e</t>
        </is>
      </c>
      <c r="E109" s="8" t="inlineStr">
        <is>
          <t>part_ix_expenses.all_other_expenses</t>
        </is>
      </c>
      <c r="F109" s="8" t="inlineStr">
        <is>
          <t>high</t>
        </is>
      </c>
      <c r="G109" s="9" t="n">
        <v>131277</v>
      </c>
    </row>
    <row r="110">
      <c r="A110" s="8" t="inlineStr">
        <is>
          <t>Operating expenses (detail)</t>
        </is>
      </c>
      <c r="B110" s="8" t="inlineStr">
        <is>
          <t>D23</t>
        </is>
      </c>
      <c r="C110" s="8" t="inlineStr">
        <is>
          <t>24e. All other expenses</t>
        </is>
      </c>
      <c r="D110" s="8" t="inlineStr">
        <is>
          <t>24e</t>
        </is>
      </c>
      <c r="E110" s="8" t="inlineStr">
        <is>
          <t>part_ix_expenses.all_other_expenses</t>
        </is>
      </c>
      <c r="F110" s="8" t="inlineStr">
        <is>
          <t>high</t>
        </is>
      </c>
      <c r="G110" s="9" t="n">
        <v>159659</v>
      </c>
    </row>
    <row r="111">
      <c r="A111" s="8" t="inlineStr">
        <is>
          <t>Operating expenses (detail)</t>
        </is>
      </c>
      <c r="B111" s="8" t="inlineStr">
        <is>
          <t>E23</t>
        </is>
      </c>
      <c r="C111" s="8" t="inlineStr">
        <is>
          <t>24e. All other expenses</t>
        </is>
      </c>
      <c r="D111" s="8" t="inlineStr">
        <is>
          <t>24e</t>
        </is>
      </c>
      <c r="E111" s="8" t="inlineStr">
        <is>
          <t>part_ix_expenses.all_other_expenses</t>
        </is>
      </c>
      <c r="F111" s="8" t="inlineStr">
        <is>
          <t>high</t>
        </is>
      </c>
      <c r="G111" s="9" t="n">
        <v>157847</v>
      </c>
    </row>
    <row r="112">
      <c r="A112" s="8" t="inlineStr">
        <is>
          <t>Operating expenses (detail)</t>
        </is>
      </c>
      <c r="B112" s="8" t="inlineStr">
        <is>
          <t>F23</t>
        </is>
      </c>
      <c r="C112" s="8" t="inlineStr">
        <is>
          <t>24e. All other expenses</t>
        </is>
      </c>
      <c r="D112" s="8" t="inlineStr">
        <is>
          <t>24e</t>
        </is>
      </c>
      <c r="E112" s="8" t="inlineStr">
        <is>
          <t>part_ix_expenses.all_other_expenses</t>
        </is>
      </c>
      <c r="F112" s="8" t="inlineStr">
        <is>
          <t>high</t>
        </is>
      </c>
      <c r="G112" s="9" t="n">
        <v>181284</v>
      </c>
    </row>
    <row r="113">
      <c r="A113" s="8" t="inlineStr">
        <is>
          <t>Balance sheet (detail)</t>
        </is>
      </c>
      <c r="B113" s="8" t="inlineStr">
        <is>
          <t>B7</t>
        </is>
      </c>
      <c r="C113" s="8" t="inlineStr">
        <is>
          <t>1. Cash - non-interest-bearing</t>
        </is>
      </c>
      <c r="D113" s="8" t="inlineStr">
        <is>
          <t>1E</t>
        </is>
      </c>
      <c r="E113" s="8" t="inlineStr">
        <is>
          <t>part_x_balance_sheet.cash_noninterest_eoy</t>
        </is>
      </c>
      <c r="F113" s="8" t="inlineStr">
        <is>
          <t>high</t>
        </is>
      </c>
      <c r="G113" s="9" t="n">
        <v>136791</v>
      </c>
    </row>
    <row r="114">
      <c r="A114" s="8" t="inlineStr">
        <is>
          <t>Balance sheet (detail)</t>
        </is>
      </c>
      <c r="B114" s="8" t="inlineStr">
        <is>
          <t>C7</t>
        </is>
      </c>
      <c r="C114" s="8" t="inlineStr">
        <is>
          <t>1. Cash - non-interest-bearing</t>
        </is>
      </c>
      <c r="D114" s="8" t="inlineStr">
        <is>
          <t>1E</t>
        </is>
      </c>
      <c r="E114" s="8" t="inlineStr">
        <is>
          <t>part_x_balance_sheet.cash_noninterest_eoy</t>
        </is>
      </c>
      <c r="F114" s="8" t="inlineStr">
        <is>
          <t>high</t>
        </is>
      </c>
      <c r="G114" s="9" t="n">
        <v>519256</v>
      </c>
    </row>
    <row r="115">
      <c r="A115" s="8" t="inlineStr">
        <is>
          <t>Balance sheet (detail)</t>
        </is>
      </c>
      <c r="B115" s="8" t="inlineStr">
        <is>
          <t>D7</t>
        </is>
      </c>
      <c r="C115" s="8" t="inlineStr">
        <is>
          <t>1. Cash - non-interest-bearing</t>
        </is>
      </c>
      <c r="D115" s="8" t="inlineStr">
        <is>
          <t>1E</t>
        </is>
      </c>
      <c r="E115" s="8" t="inlineStr">
        <is>
          <t>part_x_balance_sheet.cash_noninterest_eoy</t>
        </is>
      </c>
      <c r="F115" s="8" t="inlineStr">
        <is>
          <t>high</t>
        </is>
      </c>
      <c r="G115" s="9" t="n">
        <v>376188</v>
      </c>
    </row>
    <row r="116">
      <c r="A116" s="8" t="inlineStr">
        <is>
          <t>Balance sheet (detail)</t>
        </is>
      </c>
      <c r="B116" s="8" t="inlineStr">
        <is>
          <t>E7</t>
        </is>
      </c>
      <c r="C116" s="8" t="inlineStr">
        <is>
          <t>1. Cash - non-interest-bearing</t>
        </is>
      </c>
      <c r="D116" s="8" t="inlineStr">
        <is>
          <t>1E</t>
        </is>
      </c>
      <c r="E116" s="8" t="inlineStr">
        <is>
          <t>part_x_balance_sheet.cash_noninterest_eoy</t>
        </is>
      </c>
      <c r="F116" s="8" t="inlineStr">
        <is>
          <t>high</t>
        </is>
      </c>
      <c r="G116" s="9" t="n">
        <v>80109</v>
      </c>
    </row>
    <row r="117">
      <c r="A117" s="8" t="inlineStr">
        <is>
          <t>Balance sheet (detail)</t>
        </is>
      </c>
      <c r="B117" s="8" t="inlineStr">
        <is>
          <t>F7</t>
        </is>
      </c>
      <c r="C117" s="8" t="inlineStr">
        <is>
          <t>1. Cash - non-interest-bearing</t>
        </is>
      </c>
      <c r="D117" s="8" t="inlineStr">
        <is>
          <t>1E</t>
        </is>
      </c>
      <c r="E117" s="8" t="inlineStr">
        <is>
          <t>part_x_balance_sheet.cash_noninterest_eoy</t>
        </is>
      </c>
      <c r="F117" s="8" t="inlineStr">
        <is>
          <t>high</t>
        </is>
      </c>
      <c r="G117" s="9" t="n">
        <v>299671</v>
      </c>
    </row>
    <row r="118">
      <c r="A118" s="8" t="inlineStr">
        <is>
          <t>Balance sheet (detail)</t>
        </is>
      </c>
      <c r="B118" s="8" t="inlineStr">
        <is>
          <t>B8</t>
        </is>
      </c>
      <c r="C118" s="8" t="inlineStr">
        <is>
          <t>2. Savings and temporary cash investments</t>
        </is>
      </c>
      <c r="D118" s="8" t="inlineStr">
        <is>
          <t>2E</t>
        </is>
      </c>
      <c r="E118" s="8" t="inlineStr">
        <is>
          <t>part_x_balance_sheet.savings_temp_invest_eoy</t>
        </is>
      </c>
      <c r="F118" s="8" t="inlineStr">
        <is>
          <t>high</t>
        </is>
      </c>
      <c r="G118" s="9" t="n">
        <v>714054</v>
      </c>
    </row>
    <row r="119">
      <c r="A119" s="8" t="inlineStr">
        <is>
          <t>Balance sheet (detail)</t>
        </is>
      </c>
      <c r="B119" s="8" t="inlineStr">
        <is>
          <t>C8</t>
        </is>
      </c>
      <c r="C119" s="8" t="inlineStr">
        <is>
          <t>2. Savings and temporary cash investments</t>
        </is>
      </c>
      <c r="D119" s="8" t="inlineStr">
        <is>
          <t>2E</t>
        </is>
      </c>
      <c r="E119" s="8" t="inlineStr">
        <is>
          <t>part_x_balance_sheet.savings_temp_invest_eoy</t>
        </is>
      </c>
      <c r="F119" s="8" t="inlineStr">
        <is>
          <t>high</t>
        </is>
      </c>
      <c r="G119" s="9" t="n">
        <v>493498</v>
      </c>
    </row>
    <row r="120">
      <c r="A120" s="8" t="inlineStr">
        <is>
          <t>Balance sheet (detail)</t>
        </is>
      </c>
      <c r="B120" s="8" t="inlineStr">
        <is>
          <t>D8</t>
        </is>
      </c>
      <c r="C120" s="8" t="inlineStr">
        <is>
          <t>2. Savings and temporary cash investments</t>
        </is>
      </c>
      <c r="D120" s="8" t="inlineStr">
        <is>
          <t>2E</t>
        </is>
      </c>
      <c r="E120" s="8" t="inlineStr">
        <is>
          <t>part_x_balance_sheet.savings_temp_invest_eoy</t>
        </is>
      </c>
      <c r="F120" s="8" t="inlineStr">
        <is>
          <t>high</t>
        </is>
      </c>
      <c r="G120" s="9" t="n">
        <v>56643</v>
      </c>
    </row>
    <row r="121">
      <c r="A121" s="8" t="inlineStr">
        <is>
          <t>Balance sheet (detail)</t>
        </is>
      </c>
      <c r="B121" s="8" t="inlineStr">
        <is>
          <t>E8</t>
        </is>
      </c>
      <c r="C121" s="8" t="inlineStr">
        <is>
          <t>2. Savings and temporary cash investments</t>
        </is>
      </c>
      <c r="D121" s="8" t="inlineStr">
        <is>
          <t>2E</t>
        </is>
      </c>
      <c r="E121" s="8" t="inlineStr">
        <is>
          <t>part_x_balance_sheet.savings_temp_invest_eoy</t>
        </is>
      </c>
      <c r="F121" s="8" t="inlineStr">
        <is>
          <t>high</t>
        </is>
      </c>
      <c r="G121" s="9" t="n">
        <v>281435</v>
      </c>
    </row>
    <row r="122">
      <c r="A122" s="8" t="inlineStr">
        <is>
          <t>Balance sheet (detail)</t>
        </is>
      </c>
      <c r="B122" s="8" t="inlineStr">
        <is>
          <t>F8</t>
        </is>
      </c>
      <c r="C122" s="8" t="inlineStr">
        <is>
          <t>2. Savings and temporary cash investments</t>
        </is>
      </c>
      <c r="D122" s="8" t="inlineStr">
        <is>
          <t>2E</t>
        </is>
      </c>
      <c r="E122" s="8" t="inlineStr">
        <is>
          <t>part_x_balance_sheet.savings_temp_invest_eoy</t>
        </is>
      </c>
      <c r="F122" s="8" t="inlineStr">
        <is>
          <t>high</t>
        </is>
      </c>
      <c r="G122" s="9" t="n">
        <v>313905</v>
      </c>
    </row>
    <row r="123">
      <c r="A123" s="8" t="inlineStr">
        <is>
          <t>Balance sheet (detail)</t>
        </is>
      </c>
      <c r="B123" s="8" t="inlineStr">
        <is>
          <t>B9</t>
        </is>
      </c>
      <c r="C123" s="8" t="inlineStr">
        <is>
          <t>4. Accounts receivable, net</t>
        </is>
      </c>
      <c r="D123" s="8" t="inlineStr">
        <is>
          <t>4E</t>
        </is>
      </c>
      <c r="E123" s="8" t="inlineStr">
        <is>
          <t>part_x_balance_sheet.accounts_receivable_eoy</t>
        </is>
      </c>
      <c r="F123" s="8" t="inlineStr">
        <is>
          <t>high</t>
        </is>
      </c>
      <c r="G123" s="9" t="n">
        <v>350116</v>
      </c>
    </row>
    <row r="124">
      <c r="A124" s="8" t="inlineStr">
        <is>
          <t>Balance sheet (detail)</t>
        </is>
      </c>
      <c r="B124" s="8" t="inlineStr">
        <is>
          <t>C9</t>
        </is>
      </c>
      <c r="C124" s="8" t="inlineStr">
        <is>
          <t>4. Accounts receivable, net</t>
        </is>
      </c>
      <c r="D124" s="8" t="inlineStr">
        <is>
          <t>4E</t>
        </is>
      </c>
      <c r="E124" s="8" t="inlineStr">
        <is>
          <t>part_x_balance_sheet.accounts_receivable_eoy</t>
        </is>
      </c>
      <c r="F124" s="8" t="inlineStr">
        <is>
          <t>high</t>
        </is>
      </c>
      <c r="G124" s="9" t="n">
        <v>370092</v>
      </c>
    </row>
    <row r="125">
      <c r="A125" s="8" t="inlineStr">
        <is>
          <t>Balance sheet (detail)</t>
        </is>
      </c>
      <c r="B125" s="8" t="inlineStr">
        <is>
          <t>D9</t>
        </is>
      </c>
      <c r="C125" s="8" t="inlineStr">
        <is>
          <t>4. Accounts receivable, net</t>
        </is>
      </c>
      <c r="D125" s="8" t="inlineStr">
        <is>
          <t>4E</t>
        </is>
      </c>
      <c r="E125" s="8" t="inlineStr">
        <is>
          <t>part_x_balance_sheet.accounts_receivable_eoy</t>
        </is>
      </c>
      <c r="F125" s="8" t="inlineStr">
        <is>
          <t>high</t>
        </is>
      </c>
      <c r="G125" s="9" t="n">
        <v>358006</v>
      </c>
    </row>
    <row r="126">
      <c r="A126" s="8" t="inlineStr">
        <is>
          <t>Balance sheet (detail)</t>
        </is>
      </c>
      <c r="B126" s="8" t="inlineStr">
        <is>
          <t>E9</t>
        </is>
      </c>
      <c r="C126" s="8" t="inlineStr">
        <is>
          <t>4. Accounts receivable, net</t>
        </is>
      </c>
      <c r="D126" s="8" t="inlineStr">
        <is>
          <t>4E</t>
        </is>
      </c>
      <c r="E126" s="8" t="inlineStr">
        <is>
          <t>part_x_balance_sheet.accounts_receivable_eoy</t>
        </is>
      </c>
      <c r="F126" s="8" t="inlineStr">
        <is>
          <t>high</t>
        </is>
      </c>
      <c r="G126" s="9" t="n">
        <v>402886</v>
      </c>
    </row>
    <row r="127">
      <c r="A127" s="8" t="inlineStr">
        <is>
          <t>Balance sheet (detail)</t>
        </is>
      </c>
      <c r="B127" s="8" t="inlineStr">
        <is>
          <t>F9</t>
        </is>
      </c>
      <c r="C127" s="8" t="inlineStr">
        <is>
          <t>4. Accounts receivable, net</t>
        </is>
      </c>
      <c r="D127" s="8" t="inlineStr">
        <is>
          <t>4E</t>
        </is>
      </c>
      <c r="E127" s="8" t="inlineStr">
        <is>
          <t>part_x_balance_sheet.accounts_receivable_eoy</t>
        </is>
      </c>
      <c r="F127" s="8" t="inlineStr">
        <is>
          <t>high</t>
        </is>
      </c>
      <c r="G127" s="9" t="n">
        <v>390237</v>
      </c>
    </row>
    <row r="128">
      <c r="A128" s="8" t="inlineStr">
        <is>
          <t>Balance sheet (detail)</t>
        </is>
      </c>
      <c r="B128" s="8" t="inlineStr">
        <is>
          <t>B10</t>
        </is>
      </c>
      <c r="C128" s="8" t="inlineStr">
        <is>
          <t>8. Inventories for sale or use</t>
        </is>
      </c>
      <c r="D128" s="8" t="inlineStr">
        <is>
          <t>8E</t>
        </is>
      </c>
      <c r="E128" s="8" t="inlineStr">
        <is>
          <t>part_x_balance_sheet.inventories_eoy</t>
        </is>
      </c>
      <c r="F128" s="8" t="inlineStr">
        <is>
          <t>high</t>
        </is>
      </c>
      <c r="G128" s="9" t="n">
        <v>782024</v>
      </c>
    </row>
    <row r="129">
      <c r="A129" s="8" t="inlineStr">
        <is>
          <t>Balance sheet (detail)</t>
        </is>
      </c>
      <c r="B129" s="8" t="inlineStr">
        <is>
          <t>C10</t>
        </is>
      </c>
      <c r="C129" s="8" t="inlineStr">
        <is>
          <t>8. Inventories for sale or use</t>
        </is>
      </c>
      <c r="D129" s="8" t="inlineStr">
        <is>
          <t>8E</t>
        </is>
      </c>
      <c r="E129" s="8" t="inlineStr">
        <is>
          <t>part_x_balance_sheet.inventories_eoy</t>
        </is>
      </c>
      <c r="F129" s="8" t="inlineStr">
        <is>
          <t>high</t>
        </is>
      </c>
      <c r="G129" s="9" t="n">
        <v>393515</v>
      </c>
    </row>
    <row r="130">
      <c r="A130" s="8" t="inlineStr">
        <is>
          <t>Balance sheet (detail)</t>
        </is>
      </c>
      <c r="B130" s="8" t="inlineStr">
        <is>
          <t>D10</t>
        </is>
      </c>
      <c r="C130" s="8" t="inlineStr">
        <is>
          <t>8. Inventories for sale or use</t>
        </is>
      </c>
      <c r="D130" s="8" t="inlineStr">
        <is>
          <t>8E</t>
        </is>
      </c>
      <c r="E130" s="8" t="inlineStr">
        <is>
          <t>part_x_balance_sheet.inventories_eoy</t>
        </is>
      </c>
      <c r="F130" s="8" t="inlineStr">
        <is>
          <t>high</t>
        </is>
      </c>
      <c r="G130" s="9" t="n">
        <v>385664</v>
      </c>
    </row>
    <row r="131">
      <c r="A131" s="8" t="inlineStr">
        <is>
          <t>Balance sheet (detail)</t>
        </is>
      </c>
      <c r="B131" s="8" t="inlineStr">
        <is>
          <t>E10</t>
        </is>
      </c>
      <c r="C131" s="8" t="inlineStr">
        <is>
          <t>8. Inventories for sale or use</t>
        </is>
      </c>
      <c r="D131" s="8" t="inlineStr">
        <is>
          <t>8E</t>
        </is>
      </c>
      <c r="E131" s="8" t="inlineStr">
        <is>
          <t>part_x_balance_sheet.inventories_eoy</t>
        </is>
      </c>
      <c r="F131" s="8" t="inlineStr">
        <is>
          <t>high</t>
        </is>
      </c>
      <c r="G131" s="9" t="n">
        <v>388577</v>
      </c>
    </row>
    <row r="132">
      <c r="A132" s="8" t="inlineStr">
        <is>
          <t>Balance sheet (detail)</t>
        </is>
      </c>
      <c r="B132" s="8" t="inlineStr">
        <is>
          <t>F10</t>
        </is>
      </c>
      <c r="C132" s="8" t="inlineStr">
        <is>
          <t>8. Inventories for sale or use</t>
        </is>
      </c>
      <c r="D132" s="8" t="inlineStr">
        <is>
          <t>8E</t>
        </is>
      </c>
      <c r="E132" s="8" t="inlineStr">
        <is>
          <t>part_x_balance_sheet.inventories_eoy</t>
        </is>
      </c>
      <c r="F132" s="8" t="inlineStr">
        <is>
          <t>high</t>
        </is>
      </c>
      <c r="G132" s="9" t="n">
        <v>388631</v>
      </c>
    </row>
    <row r="133">
      <c r="A133" s="8" t="inlineStr">
        <is>
          <t>Balance sheet (detail)</t>
        </is>
      </c>
      <c r="B133" s="8" t="inlineStr">
        <is>
          <t>B11</t>
        </is>
      </c>
      <c r="C133" s="8" t="inlineStr">
        <is>
          <t>10c. Land, buildings, and equipment, net</t>
        </is>
      </c>
      <c r="D133" s="8" t="inlineStr">
        <is>
          <t>10cE</t>
        </is>
      </c>
      <c r="E133" s="8" t="inlineStr">
        <is>
          <t>part_x_balance_sheet.land_bldg_equip_net_eoy</t>
        </is>
      </c>
      <c r="F133" s="8" t="inlineStr">
        <is>
          <t>high</t>
        </is>
      </c>
      <c r="G133" s="9" t="n">
        <v>8818648</v>
      </c>
    </row>
    <row r="134">
      <c r="A134" s="8" t="inlineStr">
        <is>
          <t>Balance sheet (detail)</t>
        </is>
      </c>
      <c r="B134" s="8" t="inlineStr">
        <is>
          <t>C11</t>
        </is>
      </c>
      <c r="C134" s="8" t="inlineStr">
        <is>
          <t>10c. Land, buildings, and equipment, net</t>
        </is>
      </c>
      <c r="D134" s="8" t="inlineStr">
        <is>
          <t>10cE</t>
        </is>
      </c>
      <c r="E134" s="8" t="inlineStr">
        <is>
          <t>part_x_balance_sheet.land_bldg_equip_net_eoy</t>
        </is>
      </c>
      <c r="F134" s="8" t="inlineStr">
        <is>
          <t>high</t>
        </is>
      </c>
      <c r="G134" s="9" t="n">
        <v>8816874</v>
      </c>
    </row>
    <row r="135">
      <c r="A135" s="8" t="inlineStr">
        <is>
          <t>Balance sheet (detail)</t>
        </is>
      </c>
      <c r="B135" s="8" t="inlineStr">
        <is>
          <t>D11</t>
        </is>
      </c>
      <c r="C135" s="8" t="inlineStr">
        <is>
          <t>10c. Land, buildings, and equipment, net</t>
        </is>
      </c>
      <c r="D135" s="8" t="inlineStr">
        <is>
          <t>10cE</t>
        </is>
      </c>
      <c r="E135" s="8" t="inlineStr">
        <is>
          <t>part_x_balance_sheet.land_bldg_equip_net_eoy</t>
        </is>
      </c>
      <c r="F135" s="8" t="inlineStr">
        <is>
          <t>high</t>
        </is>
      </c>
      <c r="G135" s="9" t="n">
        <v>9348126</v>
      </c>
    </row>
    <row r="136">
      <c r="A136" s="8" t="inlineStr">
        <is>
          <t>Balance sheet (detail)</t>
        </is>
      </c>
      <c r="B136" s="8" t="inlineStr">
        <is>
          <t>E11</t>
        </is>
      </c>
      <c r="C136" s="8" t="inlineStr">
        <is>
          <t>10c. Land, buildings, and equipment, net</t>
        </is>
      </c>
      <c r="D136" s="8" t="inlineStr">
        <is>
          <t>10cE</t>
        </is>
      </c>
      <c r="E136" s="8" t="inlineStr">
        <is>
          <t>part_x_balance_sheet.land_bldg_equip_net_eoy</t>
        </is>
      </c>
      <c r="F136" s="8" t="inlineStr">
        <is>
          <t>high</t>
        </is>
      </c>
      <c r="G136" s="9" t="n">
        <v>9050621</v>
      </c>
    </row>
    <row r="137">
      <c r="A137" s="8" t="inlineStr">
        <is>
          <t>Balance sheet (detail)</t>
        </is>
      </c>
      <c r="B137" s="8" t="inlineStr">
        <is>
          <t>F11</t>
        </is>
      </c>
      <c r="C137" s="8" t="inlineStr">
        <is>
          <t>10c. Land, buildings, and equipment, net</t>
        </is>
      </c>
      <c r="D137" s="8" t="inlineStr">
        <is>
          <t>10cE</t>
        </is>
      </c>
      <c r="E137" s="8" t="inlineStr">
        <is>
          <t>part_x_balance_sheet.land_bldg_equip_net_eoy</t>
        </is>
      </c>
      <c r="F137" s="8" t="inlineStr">
        <is>
          <t>high</t>
        </is>
      </c>
      <c r="G137" s="9" t="n">
        <v>9645226</v>
      </c>
    </row>
    <row r="138">
      <c r="A138" s="8" t="inlineStr">
        <is>
          <t>Balance sheet (detail)</t>
        </is>
      </c>
      <c r="B138" s="8" t="inlineStr">
        <is>
          <t>B12</t>
        </is>
      </c>
      <c r="C138" s="8" t="inlineStr">
        <is>
          <t>11. Investments - publicly traded securities</t>
        </is>
      </c>
      <c r="D138" s="8" t="inlineStr">
        <is>
          <t>11E</t>
        </is>
      </c>
      <c r="E138" s="8" t="inlineStr">
        <is>
          <t>part_x_balance_sheet.investments_public_securities_eoy</t>
        </is>
      </c>
      <c r="F138" s="8" t="inlineStr">
        <is>
          <t>high</t>
        </is>
      </c>
      <c r="G138" s="9" t="n">
        <v>2962550</v>
      </c>
    </row>
    <row r="139">
      <c r="A139" s="8" t="inlineStr">
        <is>
          <t>Balance sheet (detail)</t>
        </is>
      </c>
      <c r="B139" s="8" t="inlineStr">
        <is>
          <t>C12</t>
        </is>
      </c>
      <c r="C139" s="8" t="inlineStr">
        <is>
          <t>11. Investments - publicly traded securities</t>
        </is>
      </c>
      <c r="D139" s="8" t="inlineStr">
        <is>
          <t>11E</t>
        </is>
      </c>
      <c r="E139" s="8" t="inlineStr">
        <is>
          <t>part_x_balance_sheet.investments_public_securities_eoy</t>
        </is>
      </c>
      <c r="F139" s="8" t="inlineStr">
        <is>
          <t>high</t>
        </is>
      </c>
      <c r="G139" s="9" t="n">
        <v>3332913</v>
      </c>
    </row>
    <row r="140">
      <c r="A140" s="8" t="inlineStr">
        <is>
          <t>Balance sheet (detail)</t>
        </is>
      </c>
      <c r="B140" s="8" t="inlineStr">
        <is>
          <t>D12</t>
        </is>
      </c>
      <c r="C140" s="8" t="inlineStr">
        <is>
          <t>11. Investments - publicly traded securities</t>
        </is>
      </c>
      <c r="D140" s="8" t="inlineStr">
        <is>
          <t>11E</t>
        </is>
      </c>
      <c r="E140" s="8" t="inlineStr">
        <is>
          <t>part_x_balance_sheet.investments_public_securities_eoy</t>
        </is>
      </c>
      <c r="F140" s="8" t="inlineStr">
        <is>
          <t>high</t>
        </is>
      </c>
      <c r="G140" s="9" t="n">
        <v>2760654</v>
      </c>
    </row>
    <row r="141">
      <c r="A141" s="8" t="inlineStr">
        <is>
          <t>Balance sheet (detail)</t>
        </is>
      </c>
      <c r="B141" s="8" t="inlineStr">
        <is>
          <t>E12</t>
        </is>
      </c>
      <c r="C141" s="8" t="inlineStr">
        <is>
          <t>11. Investments - publicly traded securities</t>
        </is>
      </c>
      <c r="D141" s="8" t="inlineStr">
        <is>
          <t>11E</t>
        </is>
      </c>
      <c r="E141" s="8" t="inlineStr">
        <is>
          <t>part_x_balance_sheet.investments_public_securities_eoy</t>
        </is>
      </c>
      <c r="F141" s="8" t="inlineStr">
        <is>
          <t>high</t>
        </is>
      </c>
      <c r="G141" s="9" t="n">
        <v>780284</v>
      </c>
    </row>
    <row r="142">
      <c r="A142" s="8" t="inlineStr">
        <is>
          <t>Balance sheet (detail)</t>
        </is>
      </c>
      <c r="B142" s="8" t="inlineStr">
        <is>
          <t>F12</t>
        </is>
      </c>
      <c r="C142" s="8" t="inlineStr">
        <is>
          <t>11. Investments - publicly traded securities</t>
        </is>
      </c>
      <c r="D142" s="8" t="inlineStr">
        <is>
          <t>11E</t>
        </is>
      </c>
      <c r="E142" s="8" t="inlineStr">
        <is>
          <t>part_x_balance_sheet.investments_public_securities_eoy</t>
        </is>
      </c>
      <c r="F142" s="8" t="inlineStr">
        <is>
          <t>high</t>
        </is>
      </c>
      <c r="G142" s="9" t="n">
        <v>1065521</v>
      </c>
    </row>
    <row r="143">
      <c r="A143" s="8" t="inlineStr">
        <is>
          <t>Balance sheet (detail)</t>
        </is>
      </c>
      <c r="B143" s="8" t="inlineStr">
        <is>
          <t>E13</t>
        </is>
      </c>
      <c r="C143" s="8" t="inlineStr">
        <is>
          <t>12. Investments - other securities</t>
        </is>
      </c>
      <c r="D143" s="8" t="inlineStr">
        <is>
          <t>12E</t>
        </is>
      </c>
      <c r="E143" s="8" t="inlineStr">
        <is>
          <t>part_x_balance_sheet.investments_other_securities_eoy</t>
        </is>
      </c>
      <c r="F143" s="8" t="inlineStr">
        <is>
          <t>high</t>
        </is>
      </c>
      <c r="G143" s="9" t="n">
        <v>2038787</v>
      </c>
    </row>
    <row r="144">
      <c r="A144" s="8" t="inlineStr">
        <is>
          <t>Balance sheet (detail)</t>
        </is>
      </c>
      <c r="B144" s="8" t="inlineStr">
        <is>
          <t>F13</t>
        </is>
      </c>
      <c r="C144" s="8" t="inlineStr">
        <is>
          <t>12. Investments - other securities</t>
        </is>
      </c>
      <c r="D144" s="8" t="inlineStr">
        <is>
          <t>12E</t>
        </is>
      </c>
      <c r="E144" s="8" t="inlineStr">
        <is>
          <t>part_x_balance_sheet.investments_other_securities_eoy</t>
        </is>
      </c>
      <c r="F144" s="8" t="inlineStr">
        <is>
          <t>high</t>
        </is>
      </c>
      <c r="G144" s="9" t="n">
        <v>2197634</v>
      </c>
    </row>
    <row r="145">
      <c r="A145" s="8" t="inlineStr">
        <is>
          <t>Balance sheet (detail)</t>
        </is>
      </c>
      <c r="B145" s="8" t="inlineStr">
        <is>
          <t>B14</t>
        </is>
      </c>
      <c r="C145" s="8" t="inlineStr">
        <is>
          <t>15. Other assets</t>
        </is>
      </c>
      <c r="D145" s="8" t="inlineStr">
        <is>
          <t>15E</t>
        </is>
      </c>
      <c r="E145" s="8" t="inlineStr">
        <is>
          <t>part_x_balance_sheet.other_assets_eoy</t>
        </is>
      </c>
      <c r="F145" s="8" t="inlineStr">
        <is>
          <t>high</t>
        </is>
      </c>
      <c r="G145" s="9" t="n">
        <v>1818450</v>
      </c>
    </row>
    <row r="146">
      <c r="A146" s="8" t="inlineStr">
        <is>
          <t>Balance sheet (detail)</t>
        </is>
      </c>
      <c r="B146" s="8" t="inlineStr">
        <is>
          <t>C14</t>
        </is>
      </c>
      <c r="C146" s="8" t="inlineStr">
        <is>
          <t>15. Other assets</t>
        </is>
      </c>
      <c r="D146" s="8" t="inlineStr">
        <is>
          <t>15E</t>
        </is>
      </c>
      <c r="E146" s="8" t="inlineStr">
        <is>
          <t>part_x_balance_sheet.other_assets_eoy</t>
        </is>
      </c>
      <c r="F146" s="8" t="inlineStr">
        <is>
          <t>high</t>
        </is>
      </c>
      <c r="G146" s="9" t="n">
        <v>1862156</v>
      </c>
    </row>
    <row r="147">
      <c r="A147" s="8" t="inlineStr">
        <is>
          <t>Balance sheet (detail)</t>
        </is>
      </c>
      <c r="B147" s="8" t="inlineStr">
        <is>
          <t>D14</t>
        </is>
      </c>
      <c r="C147" s="8" t="inlineStr">
        <is>
          <t>15. Other assets</t>
        </is>
      </c>
      <c r="D147" s="8" t="inlineStr">
        <is>
          <t>15E</t>
        </is>
      </c>
      <c r="E147" s="8" t="inlineStr">
        <is>
          <t>part_x_balance_sheet.other_assets_eoy</t>
        </is>
      </c>
      <c r="F147" s="8" t="inlineStr">
        <is>
          <t>high</t>
        </is>
      </c>
      <c r="G147" s="9" t="n">
        <v>1809702</v>
      </c>
    </row>
    <row r="148">
      <c r="A148" s="8" t="inlineStr">
        <is>
          <t>Balance sheet (detail)</t>
        </is>
      </c>
      <c r="B148" s="8" t="inlineStr">
        <is>
          <t>E14</t>
        </is>
      </c>
      <c r="C148" s="8" t="inlineStr">
        <is>
          <t>15. Other assets</t>
        </is>
      </c>
      <c r="D148" s="8" t="inlineStr">
        <is>
          <t>15E</t>
        </is>
      </c>
      <c r="E148" s="8" t="inlineStr">
        <is>
          <t>part_x_balance_sheet.other_assets_eoy</t>
        </is>
      </c>
      <c r="F148" s="8" t="inlineStr">
        <is>
          <t>high</t>
        </is>
      </c>
      <c r="G148" s="9" t="n">
        <v>1834530</v>
      </c>
    </row>
    <row r="149">
      <c r="A149" s="8" t="inlineStr">
        <is>
          <t>Balance sheet (detail)</t>
        </is>
      </c>
      <c r="B149" s="8" t="inlineStr">
        <is>
          <t>F14</t>
        </is>
      </c>
      <c r="C149" s="8" t="inlineStr">
        <is>
          <t>15. Other assets</t>
        </is>
      </c>
      <c r="D149" s="8" t="inlineStr">
        <is>
          <t>15E</t>
        </is>
      </c>
      <c r="E149" s="8" t="inlineStr">
        <is>
          <t>part_x_balance_sheet.other_assets_eoy</t>
        </is>
      </c>
      <c r="F149" s="8" t="inlineStr">
        <is>
          <t>high</t>
        </is>
      </c>
      <c r="G149" s="9" t="n">
        <v>1673626</v>
      </c>
    </row>
    <row r="150">
      <c r="A150" s="8" t="inlineStr">
        <is>
          <t>Balance sheet (detail)</t>
        </is>
      </c>
      <c r="B150" s="8" t="inlineStr">
        <is>
          <t>B18</t>
        </is>
      </c>
      <c r="C150" s="8" t="inlineStr">
        <is>
          <t>17. Accounts payable and accrued expenses</t>
        </is>
      </c>
      <c r="D150" s="8" t="inlineStr">
        <is>
          <t>17E</t>
        </is>
      </c>
      <c r="E150" s="8" t="inlineStr">
        <is>
          <t>part_x_balance_sheet.accounts_payable_eoy</t>
        </is>
      </c>
      <c r="F150" s="8" t="inlineStr">
        <is>
          <t>high</t>
        </is>
      </c>
      <c r="G150" s="9" t="n">
        <v>99067</v>
      </c>
    </row>
    <row r="151">
      <c r="A151" s="8" t="inlineStr">
        <is>
          <t>Balance sheet (detail)</t>
        </is>
      </c>
      <c r="B151" s="8" t="inlineStr">
        <is>
          <t>C18</t>
        </is>
      </c>
      <c r="C151" s="8" t="inlineStr">
        <is>
          <t>17. Accounts payable and accrued expenses</t>
        </is>
      </c>
      <c r="D151" s="8" t="inlineStr">
        <is>
          <t>17E</t>
        </is>
      </c>
      <c r="E151" s="8" t="inlineStr">
        <is>
          <t>part_x_balance_sheet.accounts_payable_eoy</t>
        </is>
      </c>
      <c r="F151" s="8" t="inlineStr">
        <is>
          <t>high</t>
        </is>
      </c>
      <c r="G151" s="9" t="n">
        <v>151175</v>
      </c>
    </row>
    <row r="152">
      <c r="A152" s="8" t="inlineStr">
        <is>
          <t>Balance sheet (detail)</t>
        </is>
      </c>
      <c r="B152" s="8" t="inlineStr">
        <is>
          <t>D18</t>
        </is>
      </c>
      <c r="C152" s="8" t="inlineStr">
        <is>
          <t>17. Accounts payable and accrued expenses</t>
        </is>
      </c>
      <c r="D152" s="8" t="inlineStr">
        <is>
          <t>17E</t>
        </is>
      </c>
      <c r="E152" s="8" t="inlineStr">
        <is>
          <t>part_x_balance_sheet.accounts_payable_eoy</t>
        </is>
      </c>
      <c r="F152" s="8" t="inlineStr">
        <is>
          <t>high</t>
        </is>
      </c>
      <c r="G152" s="9" t="n">
        <v>387725</v>
      </c>
    </row>
    <row r="153">
      <c r="A153" s="8" t="inlineStr">
        <is>
          <t>Balance sheet (detail)</t>
        </is>
      </c>
      <c r="B153" s="8" t="inlineStr">
        <is>
          <t>E18</t>
        </is>
      </c>
      <c r="C153" s="8" t="inlineStr">
        <is>
          <t>17. Accounts payable and accrued expenses</t>
        </is>
      </c>
      <c r="D153" s="8" t="inlineStr">
        <is>
          <t>17E</t>
        </is>
      </c>
      <c r="E153" s="8" t="inlineStr">
        <is>
          <t>part_x_balance_sheet.accounts_payable_eoy</t>
        </is>
      </c>
      <c r="F153" s="8" t="inlineStr">
        <is>
          <t>high</t>
        </is>
      </c>
      <c r="G153" s="9" t="n">
        <v>211376</v>
      </c>
    </row>
    <row r="154">
      <c r="A154" s="8" t="inlineStr">
        <is>
          <t>Balance sheet (detail)</t>
        </is>
      </c>
      <c r="B154" s="8" t="inlineStr">
        <is>
          <t>F18</t>
        </is>
      </c>
      <c r="C154" s="8" t="inlineStr">
        <is>
          <t>17. Accounts payable and accrued expenses</t>
        </is>
      </c>
      <c r="D154" s="8" t="inlineStr">
        <is>
          <t>17E</t>
        </is>
      </c>
      <c r="E154" s="8" t="inlineStr">
        <is>
          <t>part_x_balance_sheet.accounts_payable_eoy</t>
        </is>
      </c>
      <c r="F154" s="8" t="inlineStr">
        <is>
          <t>high</t>
        </is>
      </c>
      <c r="G154" s="9" t="n">
        <v>646989</v>
      </c>
    </row>
    <row r="155">
      <c r="A155" s="8" t="inlineStr">
        <is>
          <t>Balance sheet (detail)</t>
        </is>
      </c>
      <c r="B155" s="8" t="inlineStr">
        <is>
          <t>B19</t>
        </is>
      </c>
      <c r="C155" s="8" t="inlineStr">
        <is>
          <t>23. Secured mortgages and notes payable</t>
        </is>
      </c>
      <c r="D155" s="8" t="inlineStr">
        <is>
          <t>23E</t>
        </is>
      </c>
      <c r="E155" s="8" t="inlineStr">
        <is>
          <t>part_x_balance_sheet.mortgages_secured_notes_eoy</t>
        </is>
      </c>
      <c r="F155" s="8" t="inlineStr">
        <is>
          <t>high</t>
        </is>
      </c>
      <c r="G155" s="9" t="n">
        <v>1781608</v>
      </c>
    </row>
    <row r="156">
      <c r="A156" s="8" t="inlineStr">
        <is>
          <t>Balance sheet (detail)</t>
        </is>
      </c>
      <c r="B156" s="8" t="inlineStr">
        <is>
          <t>C19</t>
        </is>
      </c>
      <c r="C156" s="8" t="inlineStr">
        <is>
          <t>23. Secured mortgages and notes payable</t>
        </is>
      </c>
      <c r="D156" s="8" t="inlineStr">
        <is>
          <t>23E</t>
        </is>
      </c>
      <c r="E156" s="8" t="inlineStr">
        <is>
          <t>part_x_balance_sheet.mortgages_secured_notes_eoy</t>
        </is>
      </c>
      <c r="F156" s="8" t="inlineStr">
        <is>
          <t>high</t>
        </is>
      </c>
      <c r="G156" s="9" t="n">
        <v>1696225</v>
      </c>
    </row>
    <row r="157">
      <c r="A157" s="8" t="inlineStr">
        <is>
          <t>Balance sheet (detail)</t>
        </is>
      </c>
      <c r="B157" s="8" t="inlineStr">
        <is>
          <t>D19</t>
        </is>
      </c>
      <c r="C157" s="8" t="inlineStr">
        <is>
          <t>23. Secured mortgages and notes payable</t>
        </is>
      </c>
      <c r="D157" s="8" t="inlineStr">
        <is>
          <t>23E</t>
        </is>
      </c>
      <c r="E157" s="8" t="inlineStr">
        <is>
          <t>part_x_balance_sheet.mortgages_secured_notes_eoy</t>
        </is>
      </c>
      <c r="F157" s="8" t="inlineStr">
        <is>
          <t>high</t>
        </is>
      </c>
      <c r="G157" s="9" t="n">
        <v>1644665</v>
      </c>
    </row>
    <row r="158">
      <c r="A158" s="8" t="inlineStr">
        <is>
          <t>Balance sheet (detail)</t>
        </is>
      </c>
      <c r="B158" s="8" t="inlineStr">
        <is>
          <t>E19</t>
        </is>
      </c>
      <c r="C158" s="8" t="inlineStr">
        <is>
          <t>23. Secured mortgages and notes payable</t>
        </is>
      </c>
      <c r="D158" s="8" t="inlineStr">
        <is>
          <t>23E</t>
        </is>
      </c>
      <c r="E158" s="8" t="inlineStr">
        <is>
          <t>part_x_balance_sheet.mortgages_secured_notes_eoy</t>
        </is>
      </c>
      <c r="F158" s="8" t="inlineStr">
        <is>
          <t>high</t>
        </is>
      </c>
      <c r="G158" s="9" t="n">
        <v>1539670</v>
      </c>
    </row>
    <row r="159">
      <c r="A159" s="8" t="inlineStr">
        <is>
          <t>Balance sheet (detail)</t>
        </is>
      </c>
      <c r="B159" s="8" t="inlineStr">
        <is>
          <t>F19</t>
        </is>
      </c>
      <c r="C159" s="8" t="inlineStr">
        <is>
          <t>23. Secured mortgages and notes payable</t>
        </is>
      </c>
      <c r="D159" s="8" t="inlineStr">
        <is>
          <t>23E</t>
        </is>
      </c>
      <c r="E159" s="8" t="inlineStr">
        <is>
          <t>part_x_balance_sheet.mortgages_secured_notes_eoy</t>
        </is>
      </c>
      <c r="F159" s="8" t="inlineStr">
        <is>
          <t>high</t>
        </is>
      </c>
      <c r="G159" s="9" t="n">
        <v>1433177</v>
      </c>
    </row>
    <row r="160">
      <c r="A160" s="8" t="inlineStr">
        <is>
          <t>Balance sheet (detail)</t>
        </is>
      </c>
      <c r="B160" s="8" t="inlineStr">
        <is>
          <t>B20</t>
        </is>
      </c>
      <c r="C160" s="8" t="inlineStr">
        <is>
          <t>25. Other liabilities</t>
        </is>
      </c>
      <c r="D160" s="8" t="inlineStr">
        <is>
          <t>25E</t>
        </is>
      </c>
      <c r="E160" s="8" t="inlineStr">
        <is>
          <t>part_x_balance_sheet.other_liabilities_eoy</t>
        </is>
      </c>
      <c r="F160" s="8" t="inlineStr">
        <is>
          <t>high</t>
        </is>
      </c>
      <c r="G160" s="9" t="n">
        <v>231744</v>
      </c>
    </row>
    <row r="161">
      <c r="A161" s="8" t="inlineStr">
        <is>
          <t>Balance sheet (detail)</t>
        </is>
      </c>
      <c r="B161" s="8" t="inlineStr">
        <is>
          <t>C20</t>
        </is>
      </c>
      <c r="C161" s="8" t="inlineStr">
        <is>
          <t>25. Other liabilities</t>
        </is>
      </c>
      <c r="D161" s="8" t="inlineStr">
        <is>
          <t>25E</t>
        </is>
      </c>
      <c r="E161" s="8" t="inlineStr">
        <is>
          <t>part_x_balance_sheet.other_liabilities_eoy</t>
        </is>
      </c>
      <c r="F161" s="8" t="inlineStr">
        <is>
          <t>high</t>
        </is>
      </c>
      <c r="G161" s="9" t="n">
        <v>283767</v>
      </c>
    </row>
    <row r="162">
      <c r="A162" s="8" t="inlineStr">
        <is>
          <t>Balance sheet (detail)</t>
        </is>
      </c>
      <c r="B162" s="8" t="inlineStr">
        <is>
          <t>D20</t>
        </is>
      </c>
      <c r="C162" s="8" t="inlineStr">
        <is>
          <t>25. Other liabilities</t>
        </is>
      </c>
      <c r="D162" s="8" t="inlineStr">
        <is>
          <t>25E</t>
        </is>
      </c>
      <c r="E162" s="8" t="inlineStr">
        <is>
          <t>part_x_balance_sheet.other_liabilities_eoy</t>
        </is>
      </c>
      <c r="F162" s="8" t="inlineStr">
        <is>
          <t>high</t>
        </is>
      </c>
      <c r="G162" s="9" t="n">
        <v>247763</v>
      </c>
    </row>
    <row r="163">
      <c r="A163" s="8" t="inlineStr">
        <is>
          <t>Balance sheet (detail)</t>
        </is>
      </c>
      <c r="B163" s="8" t="inlineStr">
        <is>
          <t>E20</t>
        </is>
      </c>
      <c r="C163" s="8" t="inlineStr">
        <is>
          <t>25. Other liabilities</t>
        </is>
      </c>
      <c r="D163" s="8" t="inlineStr">
        <is>
          <t>25E</t>
        </is>
      </c>
      <c r="E163" s="8" t="inlineStr">
        <is>
          <t>part_x_balance_sheet.other_liabilities_eoy</t>
        </is>
      </c>
      <c r="F163" s="8" t="inlineStr">
        <is>
          <t>high</t>
        </is>
      </c>
      <c r="G163" s="9" t="n">
        <v>268736</v>
      </c>
    </row>
    <row r="164">
      <c r="A164" s="8" t="inlineStr">
        <is>
          <t>Balance sheet (detail)</t>
        </is>
      </c>
      <c r="B164" s="8" t="inlineStr">
        <is>
          <t>F20</t>
        </is>
      </c>
      <c r="C164" s="8" t="inlineStr">
        <is>
          <t>25. Other liabilities</t>
        </is>
      </c>
      <c r="D164" s="8" t="inlineStr">
        <is>
          <t>25E</t>
        </is>
      </c>
      <c r="E164" s="8" t="inlineStr">
        <is>
          <t>part_x_balance_sheet.other_liabilities_eoy</t>
        </is>
      </c>
      <c r="F164" s="8" t="inlineStr">
        <is>
          <t>high</t>
        </is>
      </c>
      <c r="G164" s="9" t="n">
        <v>329845</v>
      </c>
    </row>
    <row r="165">
      <c r="A165" s="8" t="inlineStr">
        <is>
          <t>Balance sheet (detail)</t>
        </is>
      </c>
      <c r="B165" s="8" t="inlineStr">
        <is>
          <t>B24</t>
        </is>
      </c>
      <c r="C165" s="8" t="inlineStr">
        <is>
          <t>29. Capital stock or trust principal</t>
        </is>
      </c>
      <c r="D165" s="8" t="inlineStr">
        <is>
          <t>29E</t>
        </is>
      </c>
      <c r="E165" s="8" t="inlineStr">
        <is>
          <t>part_x_balance_sheet.cap_stock_eoy</t>
        </is>
      </c>
      <c r="F165" s="8" t="inlineStr">
        <is>
          <t>high</t>
        </is>
      </c>
      <c r="G165" s="9" t="n">
        <v>245400</v>
      </c>
    </row>
    <row r="166">
      <c r="A166" s="8" t="inlineStr">
        <is>
          <t>Balance sheet (detail)</t>
        </is>
      </c>
      <c r="B166" s="8" t="inlineStr">
        <is>
          <t>C24</t>
        </is>
      </c>
      <c r="C166" s="8" t="inlineStr">
        <is>
          <t>29. Capital stock or trust principal</t>
        </is>
      </c>
      <c r="D166" s="8" t="inlineStr">
        <is>
          <t>29E</t>
        </is>
      </c>
      <c r="E166" s="8" t="inlineStr">
        <is>
          <t>part_x_balance_sheet.cap_stock_eoy</t>
        </is>
      </c>
      <c r="F166" s="8" t="inlineStr">
        <is>
          <t>high</t>
        </is>
      </c>
      <c r="G166" s="9" t="n">
        <v>245600</v>
      </c>
    </row>
    <row r="167">
      <c r="A167" s="8" t="inlineStr">
        <is>
          <t>Balance sheet (detail)</t>
        </is>
      </c>
      <c r="B167" s="8" t="inlineStr">
        <is>
          <t>D24</t>
        </is>
      </c>
      <c r="C167" s="8" t="inlineStr">
        <is>
          <t>29. Capital stock or trust principal</t>
        </is>
      </c>
      <c r="D167" s="8" t="inlineStr">
        <is>
          <t>29E</t>
        </is>
      </c>
      <c r="E167" s="8" t="inlineStr">
        <is>
          <t>part_x_balance_sheet.cap_stock_eoy</t>
        </is>
      </c>
      <c r="F167" s="8" t="inlineStr">
        <is>
          <t>high</t>
        </is>
      </c>
      <c r="G167" s="9" t="n">
        <v>245800</v>
      </c>
    </row>
    <row r="168">
      <c r="A168" s="8" t="inlineStr">
        <is>
          <t>Balance sheet (detail)</t>
        </is>
      </c>
      <c r="B168" s="8" t="inlineStr">
        <is>
          <t>E24</t>
        </is>
      </c>
      <c r="C168" s="8" t="inlineStr">
        <is>
          <t>29. Capital stock or trust principal</t>
        </is>
      </c>
      <c r="D168" s="8" t="inlineStr">
        <is>
          <t>29E</t>
        </is>
      </c>
      <c r="E168" s="8" t="inlineStr">
        <is>
          <t>part_x_balance_sheet.cap_stock_eoy</t>
        </is>
      </c>
      <c r="F168" s="8" t="inlineStr">
        <is>
          <t>high</t>
        </is>
      </c>
      <c r="G168" s="9" t="n">
        <v>243400</v>
      </c>
    </row>
    <row r="169">
      <c r="A169" s="8" t="inlineStr">
        <is>
          <t>Balance sheet (detail)</t>
        </is>
      </c>
      <c r="B169" s="8" t="inlineStr">
        <is>
          <t>F24</t>
        </is>
      </c>
      <c r="C169" s="8" t="inlineStr">
        <is>
          <t>29. Capital stock or trust principal</t>
        </is>
      </c>
      <c r="D169" s="8" t="inlineStr">
        <is>
          <t>29E</t>
        </is>
      </c>
      <c r="E169" s="8" t="inlineStr">
        <is>
          <t>part_x_balance_sheet.cap_stock_eoy</t>
        </is>
      </c>
      <c r="F169" s="8" t="inlineStr">
        <is>
          <t>high</t>
        </is>
      </c>
      <c r="G169" s="9" t="n">
        <v>243600</v>
      </c>
    </row>
    <row r="170">
      <c r="A170" s="8" t="inlineStr">
        <is>
          <t>Balance sheet (detail)</t>
        </is>
      </c>
      <c r="B170" s="8" t="inlineStr">
        <is>
          <t>B25</t>
        </is>
      </c>
      <c r="C170" s="8" t="inlineStr">
        <is>
          <t>30. Paid-in or capital surplus</t>
        </is>
      </c>
      <c r="D170" s="8" t="inlineStr">
        <is>
          <t>30E</t>
        </is>
      </c>
      <c r="E170" s="8" t="inlineStr">
        <is>
          <t>part_x_balance_sheet.paid_in_capital_eoy</t>
        </is>
      </c>
      <c r="F170" s="8" t="inlineStr">
        <is>
          <t>high</t>
        </is>
      </c>
      <c r="G170" s="9" t="n">
        <v>3231015</v>
      </c>
    </row>
    <row r="171">
      <c r="A171" s="8" t="inlineStr">
        <is>
          <t>Balance sheet (detail)</t>
        </is>
      </c>
      <c r="B171" s="8" t="inlineStr">
        <is>
          <t>C25</t>
        </is>
      </c>
      <c r="C171" s="8" t="inlineStr">
        <is>
          <t>30. Paid-in or capital surplus</t>
        </is>
      </c>
      <c r="D171" s="8" t="inlineStr">
        <is>
          <t>30E</t>
        </is>
      </c>
      <c r="E171" s="8" t="inlineStr">
        <is>
          <t>part_x_balance_sheet.paid_in_capital_eoy</t>
        </is>
      </c>
      <c r="F171" s="8" t="inlineStr">
        <is>
          <t>high</t>
        </is>
      </c>
      <c r="G171" s="9" t="n">
        <v>3168960</v>
      </c>
    </row>
    <row r="172">
      <c r="A172" s="8" t="inlineStr">
        <is>
          <t>Balance sheet (detail)</t>
        </is>
      </c>
      <c r="B172" s="8" t="inlineStr">
        <is>
          <t>D25</t>
        </is>
      </c>
      <c r="C172" s="8" t="inlineStr">
        <is>
          <t>30. Paid-in or capital surplus</t>
        </is>
      </c>
      <c r="D172" s="8" t="inlineStr">
        <is>
          <t>30E</t>
        </is>
      </c>
      <c r="E172" s="8" t="inlineStr">
        <is>
          <t>part_x_balance_sheet.paid_in_capital_eoy</t>
        </is>
      </c>
      <c r="F172" s="8" t="inlineStr">
        <is>
          <t>high</t>
        </is>
      </c>
      <c r="G172" s="9" t="n">
        <v>3127945</v>
      </c>
    </row>
    <row r="173">
      <c r="A173" s="8" t="inlineStr">
        <is>
          <t>Balance sheet (detail)</t>
        </is>
      </c>
      <c r="B173" s="8" t="inlineStr">
        <is>
          <t>E25</t>
        </is>
      </c>
      <c r="C173" s="8" t="inlineStr">
        <is>
          <t>30. Paid-in or capital surplus</t>
        </is>
      </c>
      <c r="D173" s="8" t="inlineStr">
        <is>
          <t>30E</t>
        </is>
      </c>
      <c r="E173" s="8" t="inlineStr">
        <is>
          <t>part_x_balance_sheet.paid_in_capital_eoy</t>
        </is>
      </c>
      <c r="F173" s="8" t="inlineStr">
        <is>
          <t>high</t>
        </is>
      </c>
      <c r="G173" s="9" t="n">
        <v>3101582</v>
      </c>
    </row>
    <row r="174">
      <c r="A174" s="8" t="inlineStr">
        <is>
          <t>Balance sheet (detail)</t>
        </is>
      </c>
      <c r="B174" s="8" t="inlineStr">
        <is>
          <t>F25</t>
        </is>
      </c>
      <c r="C174" s="8" t="inlineStr">
        <is>
          <t>30. Paid-in or capital surplus</t>
        </is>
      </c>
      <c r="D174" s="8" t="inlineStr">
        <is>
          <t>30E</t>
        </is>
      </c>
      <c r="E174" s="8" t="inlineStr">
        <is>
          <t>part_x_balance_sheet.paid_in_capital_eoy</t>
        </is>
      </c>
      <c r="F174" s="8" t="inlineStr">
        <is>
          <t>high</t>
        </is>
      </c>
      <c r="G174" s="9" t="n">
        <v>3084440</v>
      </c>
    </row>
    <row r="175">
      <c r="A175" s="8" t="inlineStr">
        <is>
          <t>Balance sheet (detail)</t>
        </is>
      </c>
      <c r="B175" s="8" t="inlineStr">
        <is>
          <t>B26</t>
        </is>
      </c>
      <c r="C175" s="8" t="inlineStr">
        <is>
          <t>31. Retained earnings / accumulated funds</t>
        </is>
      </c>
      <c r="D175" s="8" t="inlineStr">
        <is>
          <t>31E</t>
        </is>
      </c>
      <c r="E175" s="8" t="inlineStr">
        <is>
          <t>part_x_balance_sheet.retained_earnings_eoy</t>
        </is>
      </c>
      <c r="F175" s="8" t="inlineStr">
        <is>
          <t>high</t>
        </is>
      </c>
      <c r="G175" s="9" t="n">
        <v>9993799</v>
      </c>
    </row>
    <row r="176">
      <c r="A176" s="8" t="inlineStr">
        <is>
          <t>Balance sheet (detail)</t>
        </is>
      </c>
      <c r="B176" s="8" t="inlineStr">
        <is>
          <t>C26</t>
        </is>
      </c>
      <c r="C176" s="8" t="inlineStr">
        <is>
          <t>31. Retained earnings / accumulated funds</t>
        </is>
      </c>
      <c r="D176" s="8" t="inlineStr">
        <is>
          <t>31E</t>
        </is>
      </c>
      <c r="E176" s="8" t="inlineStr">
        <is>
          <t>part_x_balance_sheet.retained_earnings_eoy</t>
        </is>
      </c>
      <c r="F176" s="8" t="inlineStr">
        <is>
          <t>high</t>
        </is>
      </c>
      <c r="G176" s="9" t="n">
        <v>10242577</v>
      </c>
    </row>
    <row r="177">
      <c r="A177" s="8" t="inlineStr">
        <is>
          <t>Balance sheet (detail)</t>
        </is>
      </c>
      <c r="B177" s="8" t="inlineStr">
        <is>
          <t>D26</t>
        </is>
      </c>
      <c r="C177" s="8" t="inlineStr">
        <is>
          <t>31. Retained earnings / accumulated funds</t>
        </is>
      </c>
      <c r="D177" s="8" t="inlineStr">
        <is>
          <t>31E</t>
        </is>
      </c>
      <c r="E177" s="8" t="inlineStr">
        <is>
          <t>part_x_balance_sheet.retained_earnings_eoy</t>
        </is>
      </c>
      <c r="F177" s="8" t="inlineStr">
        <is>
          <t>high</t>
        </is>
      </c>
      <c r="G177" s="9" t="n">
        <v>9441085</v>
      </c>
    </row>
    <row r="178">
      <c r="A178" s="8" t="inlineStr">
        <is>
          <t>Balance sheet (detail)</t>
        </is>
      </c>
      <c r="B178" s="8" t="inlineStr">
        <is>
          <t>E26</t>
        </is>
      </c>
      <c r="C178" s="8" t="inlineStr">
        <is>
          <t>31. Retained earnings / accumulated funds</t>
        </is>
      </c>
      <c r="D178" s="8" t="inlineStr">
        <is>
          <t>31E</t>
        </is>
      </c>
      <c r="E178" s="8" t="inlineStr">
        <is>
          <t>part_x_balance_sheet.retained_earnings_eoy</t>
        </is>
      </c>
      <c r="F178" s="8" t="inlineStr">
        <is>
          <t>high</t>
        </is>
      </c>
      <c r="G178" s="9" t="n">
        <v>9492465</v>
      </c>
    </row>
    <row r="179">
      <c r="A179" s="8" t="inlineStr">
        <is>
          <t>Balance sheet (detail)</t>
        </is>
      </c>
      <c r="B179" s="8" t="inlineStr">
        <is>
          <t>F26</t>
        </is>
      </c>
      <c r="C179" s="8" t="inlineStr">
        <is>
          <t>31. Retained earnings / accumulated funds</t>
        </is>
      </c>
      <c r="D179" s="8" t="inlineStr">
        <is>
          <t>31E</t>
        </is>
      </c>
      <c r="E179" s="8" t="inlineStr">
        <is>
          <t>part_x_balance_sheet.retained_earnings_eoy</t>
        </is>
      </c>
      <c r="F179" s="8" t="inlineStr">
        <is>
          <t>high</t>
        </is>
      </c>
      <c r="G179" s="9" t="n">
        <v>10236400</v>
      </c>
    </row>
    <row r="180">
      <c r="A180" s="8" t="inlineStr">
        <is>
          <t>Net-assets reconciliation</t>
        </is>
      </c>
      <c r="B180" s="8" t="inlineStr">
        <is>
          <t>B7</t>
        </is>
      </c>
      <c r="C180" s="8" t="inlineStr">
        <is>
          <t>4. Net assets, beginning of year</t>
        </is>
      </c>
      <c r="D180" s="8" t="inlineStr">
        <is>
          <t>Part XI line 4</t>
        </is>
      </c>
      <c r="E180" s="8" t="inlineStr">
        <is>
          <t>part_xi_reconciliation.net_assets_boy</t>
        </is>
      </c>
      <c r="F180" s="8" t="inlineStr">
        <is>
          <t>high</t>
        </is>
      </c>
      <c r="G180" s="9" t="n">
        <v>12315110</v>
      </c>
    </row>
    <row r="181">
      <c r="A181" s="8" t="inlineStr">
        <is>
          <t>Net-assets reconciliation</t>
        </is>
      </c>
      <c r="B181" s="8" t="inlineStr">
        <is>
          <t>C7</t>
        </is>
      </c>
      <c r="C181" s="8" t="inlineStr">
        <is>
          <t>4. Net assets, beginning of year</t>
        </is>
      </c>
      <c r="D181" s="8" t="inlineStr">
        <is>
          <t>Part XI line 4</t>
        </is>
      </c>
      <c r="E181" s="8" t="inlineStr">
        <is>
          <t>part_xi_reconciliation.net_assets_boy</t>
        </is>
      </c>
      <c r="F181" s="8" t="inlineStr">
        <is>
          <t>high</t>
        </is>
      </c>
      <c r="G181" s="9" t="n">
        <v>13470214</v>
      </c>
    </row>
    <row r="182">
      <c r="A182" s="8" t="inlineStr">
        <is>
          <t>Net-assets reconciliation</t>
        </is>
      </c>
      <c r="B182" s="8" t="inlineStr">
        <is>
          <t>D7</t>
        </is>
      </c>
      <c r="C182" s="8" t="inlineStr">
        <is>
          <t>4. Net assets, beginning of year</t>
        </is>
      </c>
      <c r="D182" s="8" t="inlineStr">
        <is>
          <t>Part XI line 4</t>
        </is>
      </c>
      <c r="E182" s="8" t="inlineStr">
        <is>
          <t>part_xi_reconciliation.net_assets_boy</t>
        </is>
      </c>
      <c r="F182" s="8" t="inlineStr">
        <is>
          <t>high</t>
        </is>
      </c>
      <c r="G182" s="9" t="n">
        <v>13657137</v>
      </c>
    </row>
    <row r="183">
      <c r="A183" s="8" t="inlineStr">
        <is>
          <t>Net-assets reconciliation</t>
        </is>
      </c>
      <c r="B183" s="8" t="inlineStr">
        <is>
          <t>E7</t>
        </is>
      </c>
      <c r="C183" s="8" t="inlineStr">
        <is>
          <t>4. Net assets, beginning of year</t>
        </is>
      </c>
      <c r="D183" s="8" t="inlineStr">
        <is>
          <t>Part XI line 4</t>
        </is>
      </c>
      <c r="E183" s="8" t="inlineStr">
        <is>
          <t>part_xi_reconciliation.net_assets_boy</t>
        </is>
      </c>
      <c r="F183" s="8" t="inlineStr">
        <is>
          <t>high</t>
        </is>
      </c>
      <c r="G183" s="9" t="n">
        <v>12814830</v>
      </c>
    </row>
    <row r="184">
      <c r="A184" s="8" t="inlineStr">
        <is>
          <t>Net-assets reconciliation</t>
        </is>
      </c>
      <c r="B184" s="8" t="inlineStr">
        <is>
          <t>F7</t>
        </is>
      </c>
      <c r="C184" s="8" t="inlineStr">
        <is>
          <t>4. Net assets, beginning of year</t>
        </is>
      </c>
      <c r="D184" s="8" t="inlineStr">
        <is>
          <t>Part XI line 4</t>
        </is>
      </c>
      <c r="E184" s="8" t="inlineStr">
        <is>
          <t>part_xi_reconciliation.net_assets_boy</t>
        </is>
      </c>
      <c r="F184" s="8" t="inlineStr">
        <is>
          <t>high</t>
        </is>
      </c>
      <c r="G184" s="9" t="n">
        <v>12837447</v>
      </c>
    </row>
    <row r="185">
      <c r="A185" s="8" t="inlineStr">
        <is>
          <t>Net-assets reconciliation</t>
        </is>
      </c>
      <c r="B185" s="8" t="inlineStr">
        <is>
          <t>B8</t>
        </is>
      </c>
      <c r="C185" s="8" t="inlineStr">
        <is>
          <t>3. Revenue less expenses</t>
        </is>
      </c>
      <c r="D185" s="8" t="inlineStr">
        <is>
          <t>Part XI line 3</t>
        </is>
      </c>
      <c r="E185" s="8" t="inlineStr">
        <is>
          <t>part_xi_reconciliation.reconciliation_revenue_expenses</t>
        </is>
      </c>
      <c r="F185" s="8" t="inlineStr">
        <is>
          <t>high</t>
        </is>
      </c>
      <c r="G185" s="9" t="n">
        <v>1051526</v>
      </c>
    </row>
    <row r="186">
      <c r="A186" s="8" t="inlineStr">
        <is>
          <t>Net-assets reconciliation</t>
        </is>
      </c>
      <c r="B186" s="8" t="inlineStr">
        <is>
          <t>C8</t>
        </is>
      </c>
      <c r="C186" s="8" t="inlineStr">
        <is>
          <t>3. Revenue less expenses</t>
        </is>
      </c>
      <c r="D186" s="8" t="inlineStr">
        <is>
          <t>Part XI line 3</t>
        </is>
      </c>
      <c r="E186" s="8" t="inlineStr">
        <is>
          <t>part_xi_reconciliation.reconciliation_revenue_expenses</t>
        </is>
      </c>
      <c r="F186" s="8" t="inlineStr">
        <is>
          <t>high</t>
        </is>
      </c>
      <c r="G186" s="9" t="n">
        <v>39232</v>
      </c>
    </row>
    <row r="187">
      <c r="A187" s="8" t="inlineStr">
        <is>
          <t>Net-assets reconciliation</t>
        </is>
      </c>
      <c r="B187" s="8" t="inlineStr">
        <is>
          <t>D8</t>
        </is>
      </c>
      <c r="C187" s="8" t="inlineStr">
        <is>
          <t>3. Revenue less expenses</t>
        </is>
      </c>
      <c r="D187" s="8" t="inlineStr">
        <is>
          <t>Part XI line 3</t>
        </is>
      </c>
      <c r="E187" s="8" t="inlineStr">
        <is>
          <t>part_xi_reconciliation.reconciliation_revenue_expenses</t>
        </is>
      </c>
      <c r="F187" s="8" t="inlineStr">
        <is>
          <t>high</t>
        </is>
      </c>
      <c r="G187" s="9" t="n">
        <v>-145766</v>
      </c>
    </row>
    <row r="188">
      <c r="A188" s="8" t="inlineStr">
        <is>
          <t>Net-assets reconciliation</t>
        </is>
      </c>
      <c r="B188" s="8" t="inlineStr">
        <is>
          <t>E8</t>
        </is>
      </c>
      <c r="C188" s="8" t="inlineStr">
        <is>
          <t>3. Revenue less expenses</t>
        </is>
      </c>
      <c r="D188" s="8" t="inlineStr">
        <is>
          <t>Part XI line 3</t>
        </is>
      </c>
      <c r="E188" s="8" t="inlineStr">
        <is>
          <t>part_xi_reconciliation.reconciliation_revenue_expenses</t>
        </is>
      </c>
      <c r="F188" s="8" t="inlineStr">
        <is>
          <t>high</t>
        </is>
      </c>
      <c r="G188" s="9" t="n">
        <v>49819</v>
      </c>
    </row>
    <row r="189">
      <c r="A189" s="8" t="inlineStr">
        <is>
          <t>Net-assets reconciliation</t>
        </is>
      </c>
      <c r="B189" s="8" t="inlineStr">
        <is>
          <t>F8</t>
        </is>
      </c>
      <c r="C189" s="8" t="inlineStr">
        <is>
          <t>3. Revenue less expenses</t>
        </is>
      </c>
      <c r="D189" s="8" t="inlineStr">
        <is>
          <t>Part XI line 3</t>
        </is>
      </c>
      <c r="E189" s="8" t="inlineStr">
        <is>
          <t>part_xi_reconciliation.reconciliation_revenue_expenses</t>
        </is>
      </c>
      <c r="F189" s="8" t="inlineStr">
        <is>
          <t>high</t>
        </is>
      </c>
      <c r="G189" s="9" t="n">
        <v>485690</v>
      </c>
    </row>
    <row r="190">
      <c r="A190" s="8" t="inlineStr">
        <is>
          <t>Net-assets reconciliation</t>
        </is>
      </c>
      <c r="B190" s="8" t="inlineStr">
        <is>
          <t>B10</t>
        </is>
      </c>
      <c r="C190" s="8" t="inlineStr">
        <is>
          <t>9. Other changes in net assets</t>
        </is>
      </c>
      <c r="D190" s="8" t="inlineStr">
        <is>
          <t>Part XI line 9</t>
        </is>
      </c>
      <c r="E190" s="8" t="inlineStr">
        <is>
          <t>part_xi_reconciliation.other_changes_net_assets</t>
        </is>
      </c>
      <c r="F190" s="8" t="inlineStr">
        <is>
          <t>high</t>
        </is>
      </c>
      <c r="G190" s="9" t="n">
        <v>137608</v>
      </c>
    </row>
    <row r="191">
      <c r="A191" s="8" t="inlineStr">
        <is>
          <t>Net-assets reconciliation</t>
        </is>
      </c>
      <c r="B191" s="8" t="inlineStr">
        <is>
          <t>C10</t>
        </is>
      </c>
      <c r="C191" s="8" t="inlineStr">
        <is>
          <t>9. Other changes in net assets</t>
        </is>
      </c>
      <c r="D191" s="8" t="inlineStr">
        <is>
          <t>Part XI line 9</t>
        </is>
      </c>
      <c r="E191" s="8" t="inlineStr">
        <is>
          <t>part_xi_reconciliation.other_changes_net_assets</t>
        </is>
      </c>
      <c r="F191" s="8" t="inlineStr">
        <is>
          <t>high</t>
        </is>
      </c>
      <c r="G191" s="9" t="n">
        <v>-61855</v>
      </c>
    </row>
    <row r="192">
      <c r="A192" s="8" t="inlineStr">
        <is>
          <t>Net-assets reconciliation</t>
        </is>
      </c>
      <c r="B192" s="8" t="inlineStr">
        <is>
          <t>D10</t>
        </is>
      </c>
      <c r="C192" s="8" t="inlineStr">
        <is>
          <t>9. Other changes in net assets</t>
        </is>
      </c>
      <c r="D192" s="8" t="inlineStr">
        <is>
          <t>Part XI line 9</t>
        </is>
      </c>
      <c r="E192" s="8" t="inlineStr">
        <is>
          <t>part_xi_reconciliation.other_changes_net_assets</t>
        </is>
      </c>
      <c r="F192" s="8" t="inlineStr">
        <is>
          <t>high</t>
        </is>
      </c>
      <c r="G192" s="9" t="n">
        <v>-40816</v>
      </c>
    </row>
    <row r="193">
      <c r="A193" s="8" t="inlineStr">
        <is>
          <t>Net-assets reconciliation</t>
        </is>
      </c>
      <c r="B193" s="8" t="inlineStr">
        <is>
          <t>E10</t>
        </is>
      </c>
      <c r="C193" s="8" t="inlineStr">
        <is>
          <t>9. Other changes in net assets</t>
        </is>
      </c>
      <c r="D193" s="8" t="inlineStr">
        <is>
          <t>Part XI line 9</t>
        </is>
      </c>
      <c r="E193" s="8" t="inlineStr">
        <is>
          <t>part_xi_reconciliation.other_changes_net_assets</t>
        </is>
      </c>
      <c r="F193" s="8" t="inlineStr">
        <is>
          <t>high</t>
        </is>
      </c>
      <c r="G193" s="9" t="n">
        <v>-28763</v>
      </c>
    </row>
    <row r="194">
      <c r="A194" s="8" t="inlineStr">
        <is>
          <t>Net-assets reconciliation</t>
        </is>
      </c>
      <c r="B194" s="8" t="inlineStr">
        <is>
          <t>F10</t>
        </is>
      </c>
      <c r="C194" s="8" t="inlineStr">
        <is>
          <t>9. Other changes in net assets</t>
        </is>
      </c>
      <c r="D194" s="8" t="inlineStr">
        <is>
          <t>Part XI line 9</t>
        </is>
      </c>
      <c r="E194" s="8" t="inlineStr">
        <is>
          <t>part_xi_reconciliation.other_changes_net_assets</t>
        </is>
      </c>
      <c r="F194" s="8" t="inlineStr">
        <is>
          <t>high</t>
        </is>
      </c>
      <c r="G194" s="9" t="n">
        <v>-16942</v>
      </c>
    </row>
    <row r="196">
      <c r="A196" s="45" t="inlineStr">
        <is>
          <t>C. Tie-out checks (filed vs computed; any nonzero variance is flagged red)</t>
        </is>
      </c>
      <c r="B196" s="7" t="n"/>
      <c r="C196" s="7" t="n"/>
      <c r="D196" s="7" t="n"/>
      <c r="E196" s="7" t="n"/>
      <c r="F196" s="7" t="n"/>
      <c r="G196" s="7" t="n"/>
      <c r="H196" s="7" t="n"/>
      <c r="I196" s="7" t="n"/>
      <c r="J196" s="7" t="n"/>
      <c r="K196" s="7" t="n"/>
    </row>
    <row r="197">
      <c r="A197" s="5" t="inlineStr">
        <is>
          <t>Tab</t>
        </is>
      </c>
      <c r="B197" s="5" t="inlineStr">
        <is>
          <t>Check</t>
        </is>
      </c>
      <c r="C197" s="5" t="inlineStr">
        <is>
          <t>Fiscal year</t>
        </is>
      </c>
      <c r="D197" s="5" t="inlineStr">
        <is>
          <t>Filed</t>
        </is>
      </c>
      <c r="E197" s="5" t="inlineStr">
        <is>
          <t>Computed</t>
        </is>
      </c>
      <c r="F197" s="5" t="inlineStr">
        <is>
          <t>Variance (computed - filed)</t>
        </is>
      </c>
    </row>
    <row r="198">
      <c r="A198" s="48" t="inlineStr">
        <is>
          <t>Revenue (detail)</t>
        </is>
      </c>
      <c r="B198" s="48" t="inlineStr">
        <is>
          <t>12. Total revenue</t>
        </is>
      </c>
      <c r="C198" s="48" t="inlineStr">
        <is>
          <t>FY2020</t>
        </is>
      </c>
      <c r="D198" s="9" t="n">
        <v>3669145</v>
      </c>
      <c r="E198" s="9">
        <f>'Revenue (detail)'!B13</f>
        <v/>
      </c>
      <c r="F198" s="9">
        <f>E198-D198</f>
        <v/>
      </c>
    </row>
    <row r="199">
      <c r="A199" s="48" t="inlineStr">
        <is>
          <t>Revenue (detail)</t>
        </is>
      </c>
      <c r="B199" s="48" t="inlineStr">
        <is>
          <t>12. Total revenue</t>
        </is>
      </c>
      <c r="C199" s="48" t="inlineStr">
        <is>
          <t>FY2021</t>
        </is>
      </c>
      <c r="D199" s="9" t="n">
        <v>3362028</v>
      </c>
      <c r="E199" s="9">
        <f>'Revenue (detail)'!C13</f>
        <v/>
      </c>
      <c r="F199" s="9">
        <f>E199-D199</f>
        <v/>
      </c>
    </row>
    <row r="200">
      <c r="A200" s="48" t="inlineStr">
        <is>
          <t>Revenue (detail)</t>
        </is>
      </c>
      <c r="B200" s="48" t="inlineStr">
        <is>
          <t>12. Total revenue</t>
        </is>
      </c>
      <c r="C200" s="48" t="inlineStr">
        <is>
          <t>FY2022</t>
        </is>
      </c>
      <c r="D200" s="9" t="n">
        <v>3276450</v>
      </c>
      <c r="E200" s="9">
        <f>'Revenue (detail)'!D13</f>
        <v/>
      </c>
      <c r="F200" s="9">
        <f>E200-D200</f>
        <v/>
      </c>
    </row>
    <row r="201">
      <c r="A201" s="48" t="inlineStr">
        <is>
          <t>Revenue (detail)</t>
        </is>
      </c>
      <c r="B201" s="48" t="inlineStr">
        <is>
          <t>12. Total revenue</t>
        </is>
      </c>
      <c r="C201" s="48" t="inlineStr">
        <is>
          <t>FY2023</t>
        </is>
      </c>
      <c r="D201" s="9" t="n">
        <v>3341150</v>
      </c>
      <c r="E201" s="9">
        <f>'Revenue (detail)'!E13</f>
        <v/>
      </c>
      <c r="F201" s="9">
        <f>E201-D201</f>
        <v/>
      </c>
    </row>
    <row r="202">
      <c r="A202" s="48" t="inlineStr">
        <is>
          <t>Revenue (detail)</t>
        </is>
      </c>
      <c r="B202" s="48" t="inlineStr">
        <is>
          <t>12. Total revenue</t>
        </is>
      </c>
      <c r="C202" s="48" t="inlineStr">
        <is>
          <t>FY2024</t>
        </is>
      </c>
      <c r="D202" s="9" t="n">
        <v>4262194</v>
      </c>
      <c r="E202" s="9">
        <f>'Revenue (detail)'!F13</f>
        <v/>
      </c>
      <c r="F202" s="9">
        <f>E202-D202</f>
        <v/>
      </c>
    </row>
    <row r="203">
      <c r="A203" s="48" t="inlineStr">
        <is>
          <t>Revenue (detail)</t>
        </is>
      </c>
      <c r="B203" s="48" t="inlineStr">
        <is>
          <t>2g program service revenue = sum of lines 2a-2f (FY2024)</t>
        </is>
      </c>
      <c r="C203" s="48" t="inlineStr">
        <is>
          <t>FY2024</t>
        </is>
      </c>
      <c r="D203" s="9" t="n">
        <v>3576987</v>
      </c>
      <c r="E203" s="9">
        <f>SUM('Revenue (detail)'!C17:C19)</f>
        <v/>
      </c>
      <c r="F203" s="9">
        <f>E203-D203</f>
        <v/>
      </c>
    </row>
    <row r="204">
      <c r="A204" s="48" t="inlineStr">
        <is>
          <t>Operating expenses (detail)</t>
        </is>
      </c>
      <c r="B204" s="48" t="inlineStr">
        <is>
          <t>25. Total functional expenses</t>
        </is>
      </c>
      <c r="C204" s="48" t="inlineStr">
        <is>
          <t>FY2020</t>
        </is>
      </c>
      <c r="D204" s="9" t="n">
        <v>2617619</v>
      </c>
      <c r="E204" s="9">
        <f>'Operating expenses (detail)'!B24</f>
        <v/>
      </c>
      <c r="F204" s="9">
        <f>E204-D204</f>
        <v/>
      </c>
    </row>
    <row r="205">
      <c r="A205" s="48" t="inlineStr">
        <is>
          <t>Operating expenses (detail)</t>
        </is>
      </c>
      <c r="B205" s="48" t="inlineStr">
        <is>
          <t>25. Total functional expenses</t>
        </is>
      </c>
      <c r="C205" s="48" t="inlineStr">
        <is>
          <t>FY2021</t>
        </is>
      </c>
      <c r="D205" s="9" t="n">
        <v>3322796</v>
      </c>
      <c r="E205" s="9">
        <f>'Operating expenses (detail)'!C24</f>
        <v/>
      </c>
      <c r="F205" s="9">
        <f>E205-D205</f>
        <v/>
      </c>
    </row>
    <row r="206">
      <c r="A206" s="48" t="inlineStr">
        <is>
          <t>Operating expenses (detail)</t>
        </is>
      </c>
      <c r="B206" s="48" t="inlineStr">
        <is>
          <t>25. Total functional expenses</t>
        </is>
      </c>
      <c r="C206" s="48" t="inlineStr">
        <is>
          <t>FY2022</t>
        </is>
      </c>
      <c r="D206" s="9" t="n">
        <v>3422216</v>
      </c>
      <c r="E206" s="9">
        <f>'Operating expenses (detail)'!D24</f>
        <v/>
      </c>
      <c r="F206" s="9">
        <f>E206-D206</f>
        <v/>
      </c>
    </row>
    <row r="207">
      <c r="A207" s="48" t="inlineStr">
        <is>
          <t>Operating expenses (detail)</t>
        </is>
      </c>
      <c r="B207" s="48" t="inlineStr">
        <is>
          <t>25. Total functional expenses</t>
        </is>
      </c>
      <c r="C207" s="48" t="inlineStr">
        <is>
          <t>FY2023</t>
        </is>
      </c>
      <c r="D207" s="9" t="n">
        <v>3291331</v>
      </c>
      <c r="E207" s="9">
        <f>'Operating expenses (detail)'!E24</f>
        <v/>
      </c>
      <c r="F207" s="9">
        <f>E207-D207</f>
        <v/>
      </c>
    </row>
    <row r="208">
      <c r="A208" s="48" t="inlineStr">
        <is>
          <t>Operating expenses (detail)</t>
        </is>
      </c>
      <c r="B208" s="48" t="inlineStr">
        <is>
          <t>25. Total functional expenses</t>
        </is>
      </c>
      <c r="C208" s="48" t="inlineStr">
        <is>
          <t>FY2024</t>
        </is>
      </c>
      <c r="D208" s="9" t="n">
        <v>3776504</v>
      </c>
      <c r="E208" s="9">
        <f>'Operating expenses (detail)'!F24</f>
        <v/>
      </c>
      <c r="F208" s="9">
        <f>E208-D208</f>
        <v/>
      </c>
    </row>
    <row r="209">
      <c r="A209" s="48" t="inlineStr">
        <is>
          <t>Balance sheet (detail)</t>
        </is>
      </c>
      <c r="B209" s="48" t="inlineStr">
        <is>
          <t>16. Total assets</t>
        </is>
      </c>
      <c r="C209" s="48" t="inlineStr">
        <is>
          <t>FY2020</t>
        </is>
      </c>
      <c r="D209" s="9" t="n">
        <v>15582633</v>
      </c>
      <c r="E209" s="9">
        <f>'Balance sheet (detail)'!B15</f>
        <v/>
      </c>
      <c r="F209" s="9">
        <f>E209-D209</f>
        <v/>
      </c>
    </row>
    <row r="210">
      <c r="A210" s="48" t="inlineStr">
        <is>
          <t>Balance sheet (detail)</t>
        </is>
      </c>
      <c r="B210" s="48" t="inlineStr">
        <is>
          <t>16. Total assets</t>
        </is>
      </c>
      <c r="C210" s="48" t="inlineStr">
        <is>
          <t>FY2021</t>
        </is>
      </c>
      <c r="D210" s="9" t="n">
        <v>15788304</v>
      </c>
      <c r="E210" s="9">
        <f>'Balance sheet (detail)'!C15</f>
        <v/>
      </c>
      <c r="F210" s="9">
        <f>E210-D210</f>
        <v/>
      </c>
    </row>
    <row r="211">
      <c r="A211" s="48" t="inlineStr">
        <is>
          <t>Balance sheet (detail)</t>
        </is>
      </c>
      <c r="B211" s="48" t="inlineStr">
        <is>
          <t>16. Total assets</t>
        </is>
      </c>
      <c r="C211" s="48" t="inlineStr">
        <is>
          <t>FY2022</t>
        </is>
      </c>
      <c r="D211" s="9" t="n">
        <v>15094983</v>
      </c>
      <c r="E211" s="9">
        <f>'Balance sheet (detail)'!D15</f>
        <v/>
      </c>
      <c r="F211" s="9">
        <f>E211-D211</f>
        <v/>
      </c>
    </row>
    <row r="212">
      <c r="A212" s="48" t="inlineStr">
        <is>
          <t>Balance sheet (detail)</t>
        </is>
      </c>
      <c r="B212" s="48" t="inlineStr">
        <is>
          <t>16. Total assets</t>
        </is>
      </c>
      <c r="C212" s="48" t="inlineStr">
        <is>
          <t>FY2023</t>
        </is>
      </c>
      <c r="D212" s="9" t="n">
        <v>14857229</v>
      </c>
      <c r="E212" s="9">
        <f>'Balance sheet (detail)'!E15</f>
        <v/>
      </c>
      <c r="F212" s="9">
        <f>E212-D212</f>
        <v/>
      </c>
    </row>
    <row r="213">
      <c r="A213" s="48" t="inlineStr">
        <is>
          <t>Balance sheet (detail)</t>
        </is>
      </c>
      <c r="B213" s="48" t="inlineStr">
        <is>
          <t>16. Total assets</t>
        </is>
      </c>
      <c r="C213" s="48" t="inlineStr">
        <is>
          <t>FY2024</t>
        </is>
      </c>
      <c r="D213" s="9" t="n">
        <v>15974451</v>
      </c>
      <c r="E213" s="9">
        <f>'Balance sheet (detail)'!F15</f>
        <v/>
      </c>
      <c r="F213" s="9">
        <f>E213-D213</f>
        <v/>
      </c>
    </row>
    <row r="214">
      <c r="A214" s="48" t="inlineStr">
        <is>
          <t>Balance sheet (detail)</t>
        </is>
      </c>
      <c r="B214" s="48" t="inlineStr">
        <is>
          <t>26. Total liabilities</t>
        </is>
      </c>
      <c r="C214" s="48" t="inlineStr">
        <is>
          <t>FY2020</t>
        </is>
      </c>
      <c r="D214" s="9" t="n">
        <v>2112419</v>
      </c>
      <c r="E214" s="9">
        <f>'Balance sheet (detail)'!B21</f>
        <v/>
      </c>
      <c r="F214" s="9">
        <f>E214-D214</f>
        <v/>
      </c>
    </row>
    <row r="215">
      <c r="A215" s="48" t="inlineStr">
        <is>
          <t>Balance sheet (detail)</t>
        </is>
      </c>
      <c r="B215" s="48" t="inlineStr">
        <is>
          <t>26. Total liabilities</t>
        </is>
      </c>
      <c r="C215" s="48" t="inlineStr">
        <is>
          <t>FY2021</t>
        </is>
      </c>
      <c r="D215" s="9" t="n">
        <v>2131167</v>
      </c>
      <c r="E215" s="9">
        <f>'Balance sheet (detail)'!C21</f>
        <v/>
      </c>
      <c r="F215" s="9">
        <f>E215-D215</f>
        <v/>
      </c>
    </row>
    <row r="216">
      <c r="A216" s="48" t="inlineStr">
        <is>
          <t>Balance sheet (detail)</t>
        </is>
      </c>
      <c r="B216" s="48" t="inlineStr">
        <is>
          <t>26. Total liabilities</t>
        </is>
      </c>
      <c r="C216" s="48" t="inlineStr">
        <is>
          <t>FY2022</t>
        </is>
      </c>
      <c r="D216" s="9" t="n">
        <v>2280153</v>
      </c>
      <c r="E216" s="9">
        <f>'Balance sheet (detail)'!D21</f>
        <v/>
      </c>
      <c r="F216" s="9">
        <f>E216-D216</f>
        <v/>
      </c>
    </row>
    <row r="217">
      <c r="A217" s="48" t="inlineStr">
        <is>
          <t>Balance sheet (detail)</t>
        </is>
      </c>
      <c r="B217" s="48" t="inlineStr">
        <is>
          <t>26. Total liabilities</t>
        </is>
      </c>
      <c r="C217" s="48" t="inlineStr">
        <is>
          <t>FY2023</t>
        </is>
      </c>
      <c r="D217" s="9" t="n">
        <v>2019782</v>
      </c>
      <c r="E217" s="9">
        <f>'Balance sheet (detail)'!E21</f>
        <v/>
      </c>
      <c r="F217" s="9">
        <f>E217-D217</f>
        <v/>
      </c>
    </row>
    <row r="218">
      <c r="A218" s="48" t="inlineStr">
        <is>
          <t>Balance sheet (detail)</t>
        </is>
      </c>
      <c r="B218" s="48" t="inlineStr">
        <is>
          <t>26. Total liabilities</t>
        </is>
      </c>
      <c r="C218" s="48" t="inlineStr">
        <is>
          <t>FY2024</t>
        </is>
      </c>
      <c r="D218" s="9" t="n">
        <v>2410011</v>
      </c>
      <c r="E218" s="9">
        <f>'Balance sheet (detail)'!F21</f>
        <v/>
      </c>
      <c r="F218" s="9">
        <f>E218-D218</f>
        <v/>
      </c>
    </row>
    <row r="219">
      <c r="A219" s="48" t="inlineStr">
        <is>
          <t>Balance sheet (detail)</t>
        </is>
      </c>
      <c r="B219" s="48" t="inlineStr">
        <is>
          <t>32. Total net assets / fund balances</t>
        </is>
      </c>
      <c r="C219" s="48" t="inlineStr">
        <is>
          <t>FY2020</t>
        </is>
      </c>
      <c r="D219" s="9" t="n">
        <v>13470214</v>
      </c>
      <c r="E219" s="9">
        <f>'Balance sheet (detail)'!B27</f>
        <v/>
      </c>
      <c r="F219" s="9">
        <f>E219-D219</f>
        <v/>
      </c>
    </row>
    <row r="220">
      <c r="A220" s="48" t="inlineStr">
        <is>
          <t>Balance sheet (detail)</t>
        </is>
      </c>
      <c r="B220" s="48" t="inlineStr">
        <is>
          <t>32. Total net assets / fund balances</t>
        </is>
      </c>
      <c r="C220" s="48" t="inlineStr">
        <is>
          <t>FY2021</t>
        </is>
      </c>
      <c r="D220" s="9" t="n">
        <v>13657137</v>
      </c>
      <c r="E220" s="9">
        <f>'Balance sheet (detail)'!C27</f>
        <v/>
      </c>
      <c r="F220" s="9">
        <f>E220-D220</f>
        <v/>
      </c>
    </row>
    <row r="221">
      <c r="A221" s="48" t="inlineStr">
        <is>
          <t>Balance sheet (detail)</t>
        </is>
      </c>
      <c r="B221" s="48" t="inlineStr">
        <is>
          <t>32. Total net assets / fund balances</t>
        </is>
      </c>
      <c r="C221" s="48" t="inlineStr">
        <is>
          <t>FY2022</t>
        </is>
      </c>
      <c r="D221" s="9" t="n">
        <v>12814830</v>
      </c>
      <c r="E221" s="9">
        <f>'Balance sheet (detail)'!D27</f>
        <v/>
      </c>
      <c r="F221" s="9">
        <f>E221-D221</f>
        <v/>
      </c>
    </row>
    <row r="222">
      <c r="A222" s="48" t="inlineStr">
        <is>
          <t>Balance sheet (detail)</t>
        </is>
      </c>
      <c r="B222" s="48" t="inlineStr">
        <is>
          <t>32. Total net assets / fund balances</t>
        </is>
      </c>
      <c r="C222" s="48" t="inlineStr">
        <is>
          <t>FY2023</t>
        </is>
      </c>
      <c r="D222" s="9" t="n">
        <v>12837447</v>
      </c>
      <c r="E222" s="9">
        <f>'Balance sheet (detail)'!E27</f>
        <v/>
      </c>
      <c r="F222" s="9">
        <f>E222-D222</f>
        <v/>
      </c>
    </row>
    <row r="223">
      <c r="A223" s="48" t="inlineStr">
        <is>
          <t>Balance sheet (detail)</t>
        </is>
      </c>
      <c r="B223" s="48" t="inlineStr">
        <is>
          <t>32. Total net assets / fund balances</t>
        </is>
      </c>
      <c r="C223" s="48" t="inlineStr">
        <is>
          <t>FY2024</t>
        </is>
      </c>
      <c r="D223" s="9" t="n">
        <v>13564440</v>
      </c>
      <c r="E223" s="9">
        <f>'Balance sheet (detail)'!F27</f>
        <v/>
      </c>
      <c r="F223" s="9">
        <f>E223-D223</f>
        <v/>
      </c>
    </row>
    <row r="224">
      <c r="A224" s="48" t="inlineStr">
        <is>
          <t>Balance sheet (detail)</t>
        </is>
      </c>
      <c r="B224" s="48" t="inlineStr">
        <is>
          <t>Balance sheet identity: line 16 = line 26 + line 32 (EOY)</t>
        </is>
      </c>
      <c r="C224" s="48" t="inlineStr">
        <is>
          <t>FY2020</t>
        </is>
      </c>
      <c r="D224" s="9">
        <f>'Balance sheet (detail)'!B15</f>
        <v/>
      </c>
      <c r="E224" s="9">
        <f>SUM('Balance sheet (detail)'!B21,'Balance sheet (detail)'!B27)</f>
        <v/>
      </c>
      <c r="F224" s="9">
        <f>E224-D224</f>
        <v/>
      </c>
    </row>
    <row r="225">
      <c r="A225" s="48" t="inlineStr">
        <is>
          <t>Balance sheet (detail)</t>
        </is>
      </c>
      <c r="B225" s="48" t="inlineStr">
        <is>
          <t>Balance sheet identity: line 16 = line 26 + line 32 (EOY)</t>
        </is>
      </c>
      <c r="C225" s="48" t="inlineStr">
        <is>
          <t>FY2021</t>
        </is>
      </c>
      <c r="D225" s="9">
        <f>'Balance sheet (detail)'!C15</f>
        <v/>
      </c>
      <c r="E225" s="9">
        <f>SUM('Balance sheet (detail)'!C21,'Balance sheet (detail)'!C27)</f>
        <v/>
      </c>
      <c r="F225" s="9">
        <f>E225-D225</f>
        <v/>
      </c>
    </row>
    <row r="226">
      <c r="A226" s="48" t="inlineStr">
        <is>
          <t>Balance sheet (detail)</t>
        </is>
      </c>
      <c r="B226" s="48" t="inlineStr">
        <is>
          <t>Balance sheet identity: line 16 = line 26 + line 32 (EOY)</t>
        </is>
      </c>
      <c r="C226" s="48" t="inlineStr">
        <is>
          <t>FY2022</t>
        </is>
      </c>
      <c r="D226" s="9">
        <f>'Balance sheet (detail)'!D15</f>
        <v/>
      </c>
      <c r="E226" s="9">
        <f>SUM('Balance sheet (detail)'!D21,'Balance sheet (detail)'!D27)</f>
        <v/>
      </c>
      <c r="F226" s="9">
        <f>E226-D226</f>
        <v/>
      </c>
    </row>
    <row r="227">
      <c r="A227" s="48" t="inlineStr">
        <is>
          <t>Balance sheet (detail)</t>
        </is>
      </c>
      <c r="B227" s="48" t="inlineStr">
        <is>
          <t>Balance sheet identity: line 16 = line 26 + line 32 (EOY)</t>
        </is>
      </c>
      <c r="C227" s="48" t="inlineStr">
        <is>
          <t>FY2023</t>
        </is>
      </c>
      <c r="D227" s="9">
        <f>'Balance sheet (detail)'!E15</f>
        <v/>
      </c>
      <c r="E227" s="9">
        <f>SUM('Balance sheet (detail)'!E21,'Balance sheet (detail)'!E27)</f>
        <v/>
      </c>
      <c r="F227" s="9">
        <f>E227-D227</f>
        <v/>
      </c>
    </row>
    <row r="228">
      <c r="A228" s="48" t="inlineStr">
        <is>
          <t>Balance sheet (detail)</t>
        </is>
      </c>
      <c r="B228" s="48" t="inlineStr">
        <is>
          <t>Balance sheet identity: line 16 = line 26 + line 32 (EOY)</t>
        </is>
      </c>
      <c r="C228" s="48" t="inlineStr">
        <is>
          <t>FY2024</t>
        </is>
      </c>
      <c r="D228" s="9">
        <f>'Balance sheet (detail)'!F15</f>
        <v/>
      </c>
      <c r="E228" s="9">
        <f>SUM('Balance sheet (detail)'!F21,'Balance sheet (detail)'!F27)</f>
        <v/>
      </c>
      <c r="F228" s="9">
        <f>E228-D228</f>
        <v/>
      </c>
    </row>
    <row r="229">
      <c r="A229" s="48" t="inlineStr">
        <is>
          <t>Net-assets reconciliation</t>
        </is>
      </c>
      <c r="B229" s="48" t="inlineStr">
        <is>
          <t>10. Net assets, end of year</t>
        </is>
      </c>
      <c r="C229" s="48" t="inlineStr">
        <is>
          <t>FY2020</t>
        </is>
      </c>
      <c r="D229" s="9" t="n">
        <v>13470214</v>
      </c>
      <c r="E229" s="9">
        <f>'Net-assets reconciliation'!B11</f>
        <v/>
      </c>
      <c r="F229" s="9">
        <f>E229-D229</f>
        <v/>
      </c>
    </row>
    <row r="230">
      <c r="A230" s="48" t="inlineStr">
        <is>
          <t>Net-assets reconciliation</t>
        </is>
      </c>
      <c r="B230" s="48" t="inlineStr">
        <is>
          <t>10. Net assets, end of year</t>
        </is>
      </c>
      <c r="C230" s="48" t="inlineStr">
        <is>
          <t>FY2021</t>
        </is>
      </c>
      <c r="D230" s="9" t="n">
        <v>13657137</v>
      </c>
      <c r="E230" s="9">
        <f>'Net-assets reconciliation'!C11</f>
        <v/>
      </c>
      <c r="F230" s="9">
        <f>E230-D230</f>
        <v/>
      </c>
    </row>
    <row r="231">
      <c r="A231" s="48" t="inlineStr">
        <is>
          <t>Net-assets reconciliation</t>
        </is>
      </c>
      <c r="B231" s="48" t="inlineStr">
        <is>
          <t>10. Net assets, end of year</t>
        </is>
      </c>
      <c r="C231" s="48" t="inlineStr">
        <is>
          <t>FY2022</t>
        </is>
      </c>
      <c r="D231" s="9" t="n">
        <v>12814830</v>
      </c>
      <c r="E231" s="9">
        <f>'Net-assets reconciliation'!D11</f>
        <v/>
      </c>
      <c r="F231" s="9">
        <f>E231-D231</f>
        <v/>
      </c>
    </row>
    <row r="232">
      <c r="A232" s="48" t="inlineStr">
        <is>
          <t>Net-assets reconciliation</t>
        </is>
      </c>
      <c r="B232" s="48" t="inlineStr">
        <is>
          <t>10. Net assets, end of year</t>
        </is>
      </c>
      <c r="C232" s="48" t="inlineStr">
        <is>
          <t>FY2023</t>
        </is>
      </c>
      <c r="D232" s="9" t="n">
        <v>12837447</v>
      </c>
      <c r="E232" s="9">
        <f>'Net-assets reconciliation'!E11</f>
        <v/>
      </c>
      <c r="F232" s="9">
        <f>E232-D232</f>
        <v/>
      </c>
    </row>
    <row r="233">
      <c r="A233" s="48" t="inlineStr">
        <is>
          <t>Net-assets reconciliation</t>
        </is>
      </c>
      <c r="B233" s="48" t="inlineStr">
        <is>
          <t>10. Net assets, end of year</t>
        </is>
      </c>
      <c r="C233" s="48" t="inlineStr">
        <is>
          <t>FY2024</t>
        </is>
      </c>
      <c r="D233" s="9" t="n">
        <v>13564440</v>
      </c>
      <c r="E233" s="9">
        <f>'Net-assets reconciliation'!F11</f>
        <v/>
      </c>
      <c r="F233" s="9">
        <f>E233-D233</f>
        <v/>
      </c>
    </row>
    <row r="235">
      <c r="A235" s="45" t="inlineStr">
        <is>
          <t>D. Preparer / auditor trail (one row per fiscal year, as filed)</t>
        </is>
      </c>
      <c r="B235" s="7" t="n"/>
      <c r="C235" s="7" t="n"/>
      <c r="D235" s="7" t="n"/>
      <c r="E235" s="7" t="n"/>
      <c r="F235" s="7" t="n"/>
      <c r="G235" s="7" t="n"/>
      <c r="H235" s="7" t="n"/>
      <c r="I235" s="7" t="n"/>
      <c r="J235" s="7" t="n"/>
      <c r="K235" s="7" t="n"/>
    </row>
    <row r="236">
      <c r="A236" s="5" t="inlineStr">
        <is>
          <t>Fiscal year</t>
        </is>
      </c>
      <c r="B236" s="5" t="inlineStr">
        <is>
          <t>Paid preparer</t>
        </is>
      </c>
      <c r="C236" s="5" t="inlineStr">
        <is>
          <t>Preparer firm</t>
        </is>
      </c>
      <c r="D236" s="5" t="inlineStr">
        <is>
          <t>Independent auditor</t>
        </is>
      </c>
      <c r="E236" s="5" t="inlineStr">
        <is>
          <t>Citation</t>
        </is>
      </c>
    </row>
    <row r="237" ht="42" customHeight="1">
      <c r="A237" s="46" t="inlineStr">
        <is>
          <t>FY2020</t>
        </is>
      </c>
      <c r="B237" s="8" t="inlineStr">
        <is>
          <t>TINA HENTON</t>
        </is>
      </c>
      <c r="C237" s="8" t="inlineStr">
        <is>
          <t>CLIFTONLARSONALLEN LLP</t>
        </is>
      </c>
      <c r="D237" s="49" t="inlineStr">
        <is>
          <t>not reported</t>
        </is>
      </c>
      <c r="E237" s="24" t="inlineStr">
        <is>
          <t>Form 990 Return Header, Paid Preparer block (return_header.preparer_person_name / preparer_firm_name); auditor: Part XII line 2 reports audited financial statements but does not name the firm.</t>
        </is>
      </c>
    </row>
    <row r="238" ht="42" customHeight="1">
      <c r="A238" s="46" t="inlineStr">
        <is>
          <t>FY2021</t>
        </is>
      </c>
      <c r="B238" s="8" t="inlineStr">
        <is>
          <t>TINA HENTON</t>
        </is>
      </c>
      <c r="C238" s="8" t="inlineStr">
        <is>
          <t>CLIFTONLARSONALLEN LLP</t>
        </is>
      </c>
      <c r="D238" s="49" t="inlineStr">
        <is>
          <t>not reported</t>
        </is>
      </c>
      <c r="E238" s="24" t="inlineStr">
        <is>
          <t>Form 990 Return Header, Paid Preparer block (return_header.preparer_person_name / preparer_firm_name); auditor: Part XII line 2 reports audited financial statements but does not name the firm.</t>
        </is>
      </c>
    </row>
    <row r="239" ht="42" customHeight="1">
      <c r="A239" s="46" t="inlineStr">
        <is>
          <t>FY2022</t>
        </is>
      </c>
      <c r="B239" s="8" t="inlineStr">
        <is>
          <t>TINA HENTON</t>
        </is>
      </c>
      <c r="C239" s="8" t="inlineStr">
        <is>
          <t>CLIFTONLARSONALLEN LLP</t>
        </is>
      </c>
      <c r="D239" s="49" t="inlineStr">
        <is>
          <t>not reported</t>
        </is>
      </c>
      <c r="E239" s="24" t="inlineStr">
        <is>
          <t>Form 990 Return Header, Paid Preparer block (return_header.preparer_person_name / preparer_firm_name); auditor: Part XII line 2 reports audited financial statements but does not name the firm.</t>
        </is>
      </c>
    </row>
    <row r="240" ht="42" customHeight="1">
      <c r="A240" s="46" t="inlineStr">
        <is>
          <t>FY2023</t>
        </is>
      </c>
      <c r="B240" s="8" t="inlineStr">
        <is>
          <t>CASIE ZWAHLEN CPA</t>
        </is>
      </c>
      <c r="C240" s="8" t="inlineStr">
        <is>
          <t>CLIFTONLARSONALLEN LLP</t>
        </is>
      </c>
      <c r="D240" s="49" t="inlineStr">
        <is>
          <t>not reported</t>
        </is>
      </c>
      <c r="E240" s="24" t="inlineStr">
        <is>
          <t>Form 990 Return Header, Paid Preparer block (return_header.preparer_person_name / preparer_firm_name); auditor: Part XII line 2 reports audited financial statements but does not name the firm.</t>
        </is>
      </c>
    </row>
    <row r="241" ht="42" customHeight="1">
      <c r="A241" s="46" t="inlineStr">
        <is>
          <t>FY2024</t>
        </is>
      </c>
      <c r="B241" s="8" t="inlineStr">
        <is>
          <t>CASIE ZWAHLEN CPA</t>
        </is>
      </c>
      <c r="C241" s="8" t="inlineStr">
        <is>
          <t>CLIFTONLARSONALLEN LLP</t>
        </is>
      </c>
      <c r="D241" s="49" t="inlineStr">
        <is>
          <t>not reported</t>
        </is>
      </c>
      <c r="E241" s="24" t="inlineStr">
        <is>
          <t>Form 990 Return Header, Paid Preparer block (return_header.preparer_person_name / preparer_firm_name); auditor: Part XII line 2 reports audited financial statements but does not name the firm.</t>
        </is>
      </c>
    </row>
    <row r="243" ht="42" customHeight="1">
      <c r="A24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43:K243"/>
    <mergeCell ref="A5:K5"/>
    <mergeCell ref="A1:K1"/>
  </mergeCells>
  <conditionalFormatting sqref="F198:F233">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