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Anomaly Flags" sheetId="20" state="visible" r:id="rId20"/>
    <sheet name="Sources &amp; audit" sheetId="21" state="visible" r:id="rId21"/>
    <sheet name="Provenance" sheetId="22" state="visible" r:id="rId22"/>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3">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b val="1"/>
      <color rgb="007F6000"/>
      <sz val="10"/>
    </font>
    <font>
      <name val="Calibri"/>
      <i val="1"/>
      <color rgb="007F4F00"/>
      <sz val="10"/>
    </font>
  </fonts>
  <fills count="9">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8" fillId="5" borderId="1" applyAlignment="1" pivotButton="0" quotePrefix="0" xfId="0">
      <alignment horizontal="right"/>
    </xf>
    <xf numFmtId="166" fontId="8" fillId="5" borderId="1" applyAlignment="1" pivotButton="0" quotePrefix="0" xfId="0">
      <alignment horizontal="right"/>
    </xf>
    <xf numFmtId="166" fontId="8" fillId="4" borderId="1" applyAlignment="1" pivotButton="0" quotePrefix="0" xfId="0">
      <alignment horizontal="right"/>
    </xf>
    <xf numFmtId="10" fontId="8" fillId="5" borderId="1" applyAlignment="1" pivotButton="0" quotePrefix="0" xfId="0">
      <alignment horizontal="right"/>
    </xf>
    <xf numFmtId="2" fontId="8" fillId="5" borderId="1" applyAlignment="1" pivotButton="0" quotePrefix="0" xfId="0">
      <alignment horizontal="right"/>
    </xf>
    <xf numFmtId="0" fontId="8"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6" fillId="0" borderId="1" pivotButton="0" quotePrefix="0" xfId="0"/>
    <xf numFmtId="0" fontId="12" fillId="8" borderId="1" applyAlignment="1" pivotButton="0" quotePrefix="0" xfId="0">
      <alignment horizontal="left" vertical="top" wrapText="1"/>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peak weekly category over Jul 2019-Jun 2020 (severe)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s>
  <sheetData>
    <row r="1">
      <c r="A1" s="1" t="inlineStr">
        <is>
          <t>Riverside Highland Water Company</t>
        </is>
      </c>
    </row>
    <row r="2">
      <c r="A2" s="2" t="inlineStr">
        <is>
          <t>Financial Summary - multi-year overview (USD)</t>
        </is>
      </c>
    </row>
    <row r="3">
      <c r="A3" s="2" t="inlineStr">
        <is>
          <t>Entity ID: cawc_0038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FY2022</t>
        </is>
      </c>
      <c r="D8" s="5" t="inlineStr">
        <is>
          <t>FY2023</t>
        </is>
      </c>
    </row>
    <row r="9">
      <c r="A9" s="6" t="inlineStr">
        <is>
          <t>Operating results (USD)</t>
        </is>
      </c>
      <c r="B9" s="7" t="n"/>
      <c r="C9" s="7" t="n"/>
      <c r="D9" s="7" t="n"/>
    </row>
    <row r="10">
      <c r="A10" s="8" t="inlineStr">
        <is>
          <t xml:space="preserve">    Total revenue</t>
        </is>
      </c>
      <c r="B10" s="9" t="n">
        <v>4990618</v>
      </c>
      <c r="C10" s="9" t="n">
        <v>26598252</v>
      </c>
      <c r="D10" s="9" t="n">
        <v>5953474</v>
      </c>
    </row>
    <row r="11">
      <c r="A11" s="8" t="inlineStr">
        <is>
          <t xml:space="preserve">    Total expenses</t>
        </is>
      </c>
      <c r="B11" s="9" t="n">
        <v>4042053</v>
      </c>
      <c r="C11" s="9" t="n">
        <v>5120196</v>
      </c>
      <c r="D11" s="9" t="n">
        <v>5535377</v>
      </c>
    </row>
    <row r="12">
      <c r="A12" s="10" t="inlineStr">
        <is>
          <t xml:space="preserve">    Net income</t>
        </is>
      </c>
      <c r="B12" s="11" t="n">
        <v>948565</v>
      </c>
      <c r="C12" s="11" t="n">
        <v>21478056</v>
      </c>
      <c r="D12" s="11" t="n">
        <v>418097</v>
      </c>
    </row>
    <row r="14">
      <c r="A14" s="6" t="inlineStr">
        <is>
          <t>Financial position (USD, end of year)</t>
        </is>
      </c>
      <c r="B14" s="7" t="n"/>
      <c r="C14" s="7" t="n"/>
      <c r="D14" s="7" t="n"/>
    </row>
    <row r="15">
      <c r="A15" s="8" t="inlineStr">
        <is>
          <t xml:space="preserve">    Total assets</t>
        </is>
      </c>
      <c r="B15" s="9" t="n">
        <v>27142522</v>
      </c>
      <c r="C15" s="9" t="n">
        <v>52588959</v>
      </c>
      <c r="D15" s="9" t="n">
        <v>54491240</v>
      </c>
    </row>
    <row r="16">
      <c r="A16" s="8" t="inlineStr">
        <is>
          <t xml:space="preserve">    Total liabilities</t>
        </is>
      </c>
      <c r="B16" s="9" t="n">
        <v>597827</v>
      </c>
      <c r="C16" s="9" t="n">
        <v>1885129</v>
      </c>
      <c r="D16" s="9" t="n">
        <v>3306931</v>
      </c>
    </row>
    <row r="17">
      <c r="A17" s="10" t="inlineStr">
        <is>
          <t xml:space="preserve">    Net assets</t>
        </is>
      </c>
      <c r="B17" s="11" t="n">
        <v>26544695</v>
      </c>
      <c r="C17" s="11" t="n">
        <v>50703830</v>
      </c>
      <c r="D17" s="11" t="n">
        <v>51184309</v>
      </c>
    </row>
    <row r="19">
      <c r="A19" s="6" t="inlineStr">
        <is>
          <t>Headline ratios</t>
        </is>
      </c>
      <c r="B19" s="7" t="n"/>
      <c r="C19" s="7" t="n"/>
      <c r="D19" s="7" t="n"/>
    </row>
    <row r="20">
      <c r="A20" s="8" t="inlineStr">
        <is>
          <t xml:space="preserve">    Operating margin</t>
        </is>
      </c>
      <c r="B20" s="12" t="n">
        <v>0.1900696466850398</v>
      </c>
      <c r="C20" s="12" t="n">
        <v>0.807498778491158</v>
      </c>
      <c r="D20" s="12" t="n">
        <v>0.07022740000208282</v>
      </c>
    </row>
    <row r="21">
      <c r="A21" s="8" t="inlineStr">
        <is>
          <t xml:space="preserve">    Revenue growth (YoY)</t>
        </is>
      </c>
      <c r="B21" s="12" t="n">
        <v>0.2541491111722053</v>
      </c>
      <c r="C21" s="12" t="n">
        <v>1.857304362230313</v>
      </c>
      <c r="D21" s="12" t="n">
        <v>-0.7761704791728419</v>
      </c>
    </row>
    <row r="22">
      <c r="A22" s="8" t="inlineStr">
        <is>
          <t xml:space="preserve">    Return on assets</t>
        </is>
      </c>
      <c r="B22" s="12" t="n">
        <v>0.03494756308938425</v>
      </c>
      <c r="C22" s="12" t="n">
        <v>0.4084137889095694</v>
      </c>
      <c r="D22" s="12" t="n">
        <v>0.00767273785658025</v>
      </c>
    </row>
    <row r="24" ht="42" customHeight="1">
      <c r="A24" s="3" t="inlineStr">
        <is>
          <t>Figures as reported in source filings (full provenance on the Sources &amp; audit tab). Parentheses denote negatives; ratios are computed upstream in financials_annual.</t>
        </is>
      </c>
    </row>
  </sheetData>
  <mergeCells count="6">
    <mergeCell ref="A1:D1"/>
    <mergeCell ref="A5:D5"/>
    <mergeCell ref="A6:D6"/>
    <mergeCell ref="A3:D3"/>
    <mergeCell ref="A24:D2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Riverside Highland Water Company</t>
        </is>
      </c>
    </row>
    <row r="2">
      <c r="A2" s="2" t="inlineStr">
        <is>
          <t>Financial Statements - income statement, balance sheet, cash flow, member income test (USD)</t>
        </is>
      </c>
    </row>
    <row r="3">
      <c r="A3" s="2" t="inlineStr">
        <is>
          <t>Entity ID: cawc_0038   |   Fiscal year ends December 31.</t>
        </is>
      </c>
    </row>
    <row r="5">
      <c r="A5" s="6" t="inlineStr">
        <is>
          <t>INCOME STATEMENT - as reported (USD)</t>
        </is>
      </c>
      <c r="B5" s="7" t="n"/>
      <c r="C5" s="7" t="n"/>
      <c r="D5" s="7" t="n"/>
    </row>
    <row r="6">
      <c r="A6" s="4" t="inlineStr">
        <is>
          <t>Line item</t>
        </is>
      </c>
      <c r="B6" s="5" t="inlineStr">
        <is>
          <t>FY2020</t>
        </is>
      </c>
      <c r="C6" s="5" t="inlineStr">
        <is>
          <t>FY2022</t>
        </is>
      </c>
      <c r="D6" s="5" t="inlineStr">
        <is>
          <t>FY2023</t>
        </is>
      </c>
    </row>
    <row r="7">
      <c r="A7" s="6" t="inlineStr">
        <is>
          <t>Revenue</t>
        </is>
      </c>
      <c r="B7" s="7" t="n"/>
      <c r="C7" s="7" t="n"/>
      <c r="D7" s="7" t="n"/>
    </row>
    <row r="8">
      <c r="A8" s="8" t="inlineStr">
        <is>
          <t xml:space="preserve">    Program service revenue</t>
        </is>
      </c>
      <c r="B8" s="9" t="n">
        <v>4444005</v>
      </c>
      <c r="C8" s="9" t="n">
        <v>5514562</v>
      </c>
      <c r="D8" s="9" t="n">
        <v>5292585</v>
      </c>
    </row>
    <row r="9">
      <c r="A9" s="8" t="inlineStr">
        <is>
          <t xml:space="preserve">    Investment income</t>
        </is>
      </c>
      <c r="B9" s="9" t="n">
        <v>85370</v>
      </c>
      <c r="C9" s="9" t="n">
        <v>248778</v>
      </c>
      <c r="D9" s="9" t="n">
        <v>320814</v>
      </c>
    </row>
    <row r="10">
      <c r="A10" s="8" t="inlineStr">
        <is>
          <t xml:space="preserve">    Net rental income</t>
        </is>
      </c>
      <c r="B10" s="9" t="n"/>
      <c r="C10" s="9" t="n"/>
      <c r="D10" s="9" t="n"/>
    </row>
    <row r="11">
      <c r="A11" s="8" t="inlineStr">
        <is>
          <t xml:space="preserve">    Net gain/(loss) on investment sales</t>
        </is>
      </c>
      <c r="B11" s="9" t="n">
        <v>-7046</v>
      </c>
      <c r="C11" s="9" t="n">
        <v>28800</v>
      </c>
      <c r="D11" s="9" t="n">
        <v>225</v>
      </c>
    </row>
    <row r="12">
      <c r="A12" s="8" t="inlineStr">
        <is>
          <t xml:space="preserve">    Other revenue</t>
        </is>
      </c>
      <c r="B12" s="9" t="n">
        <v>464364</v>
      </c>
      <c r="C12" s="9" t="n">
        <v>20802412</v>
      </c>
      <c r="D12" s="9" t="n">
        <v>336150</v>
      </c>
    </row>
    <row r="13">
      <c r="A13" s="8" t="inlineStr">
        <is>
          <t xml:space="preserve">    Contributions &amp; grants</t>
        </is>
      </c>
      <c r="B13" s="9" t="n"/>
      <c r="C13" s="9" t="n"/>
      <c r="D13" s="9" t="n"/>
    </row>
    <row r="14">
      <c r="A14" s="10" t="inlineStr">
        <is>
          <t>Total revenue</t>
        </is>
      </c>
      <c r="B14" s="11" t="n">
        <v>4990618</v>
      </c>
      <c r="C14" s="11" t="n">
        <v>26598252</v>
      </c>
      <c r="D14" s="11" t="n">
        <v>5953474</v>
      </c>
    </row>
    <row r="16">
      <c r="A16" s="6" t="inlineStr">
        <is>
          <t>Expenses</t>
        </is>
      </c>
      <c r="B16" s="7" t="n"/>
      <c r="C16" s="7" t="n"/>
      <c r="D16" s="7" t="n"/>
    </row>
    <row r="17">
      <c r="A17" s="8" t="inlineStr">
        <is>
          <t xml:space="preserve">    Depreciation</t>
        </is>
      </c>
      <c r="B17" s="9" t="n">
        <v>1104199</v>
      </c>
      <c r="C17" s="9" t="n">
        <v>1167182</v>
      </c>
      <c r="D17" s="9" t="n">
        <v>1556793</v>
      </c>
    </row>
    <row r="18">
      <c r="A18" s="8" t="inlineStr">
        <is>
          <t xml:space="preserve">    Interest expense</t>
        </is>
      </c>
      <c r="B18" s="9" t="n"/>
      <c r="C18" s="9" t="n"/>
      <c r="D18" s="9" t="n"/>
    </row>
    <row r="19">
      <c r="A19" s="10" t="inlineStr">
        <is>
          <t>Total expenses</t>
        </is>
      </c>
      <c r="B19" s="11" t="n">
        <v>4042053</v>
      </c>
      <c r="C19" s="11" t="n">
        <v>5120196</v>
      </c>
      <c r="D19" s="11" t="n">
        <v>5535377</v>
      </c>
    </row>
    <row r="21">
      <c r="A21" s="10" t="inlineStr">
        <is>
          <t>Net income</t>
        </is>
      </c>
      <c r="B21" s="11" t="n">
        <v>948565</v>
      </c>
      <c r="C21" s="11" t="n">
        <v>21478056</v>
      </c>
      <c r="D21" s="11" t="n">
        <v>418097</v>
      </c>
    </row>
    <row r="24">
      <c r="A24" s="6" t="inlineStr">
        <is>
          <t>BALANCE SHEET - as reported (USD, end of year)</t>
        </is>
      </c>
      <c r="B24" s="7" t="n"/>
      <c r="C24" s="7" t="n"/>
      <c r="D24" s="7" t="n"/>
    </row>
    <row r="25">
      <c r="A25" s="4" t="inlineStr">
        <is>
          <t>Line item</t>
        </is>
      </c>
      <c r="B25" s="5" t="inlineStr">
        <is>
          <t>FY2020</t>
        </is>
      </c>
      <c r="C25" s="5" t="inlineStr">
        <is>
          <t>FY2022</t>
        </is>
      </c>
      <c r="D25" s="5" t="inlineStr">
        <is>
          <t>FY2023</t>
        </is>
      </c>
    </row>
    <row r="26">
      <c r="A26" s="6" t="inlineStr">
        <is>
          <t>Assets</t>
        </is>
      </c>
      <c r="B26" s="7" t="n"/>
      <c r="C26" s="7" t="n"/>
      <c r="D26" s="7" t="n"/>
    </row>
    <row r="27">
      <c r="A27" s="8" t="inlineStr">
        <is>
          <t xml:space="preserve">    Cash</t>
        </is>
      </c>
      <c r="B27" s="9" t="n">
        <v>500</v>
      </c>
      <c r="C27" s="9" t="n">
        <v>36034</v>
      </c>
      <c r="D27" s="9" t="n">
        <v>133221</v>
      </c>
    </row>
    <row r="28">
      <c r="A28" s="8" t="inlineStr">
        <is>
          <t xml:space="preserve">    Savings &amp; temporary investments</t>
        </is>
      </c>
      <c r="B28" s="9" t="n">
        <v>2468882</v>
      </c>
      <c r="C28" s="9" t="n">
        <v>813127</v>
      </c>
      <c r="D28" s="9" t="n">
        <v>198493</v>
      </c>
    </row>
    <row r="29">
      <c r="A29" s="8" t="inlineStr">
        <is>
          <t xml:space="preserve">    Accounts receivable</t>
        </is>
      </c>
      <c r="B29" s="9" t="n">
        <v>773398</v>
      </c>
      <c r="C29" s="9" t="n">
        <v>846557</v>
      </c>
      <c r="D29" s="9" t="n">
        <v>806102</v>
      </c>
    </row>
    <row r="30">
      <c r="A30" s="8" t="inlineStr">
        <is>
          <t xml:space="preserve">    Inventories</t>
        </is>
      </c>
      <c r="B30" s="9" t="n"/>
      <c r="C30" s="9" t="n"/>
      <c r="D30" s="9" t="n"/>
    </row>
    <row r="31">
      <c r="A31" s="8" t="inlineStr">
        <is>
          <t xml:space="preserve">    Prepaid expenses</t>
        </is>
      </c>
      <c r="B31" s="9" t="n">
        <v>17579</v>
      </c>
      <c r="C31" s="9" t="n">
        <v>29662</v>
      </c>
      <c r="D31" s="9" t="n">
        <v>35774</v>
      </c>
    </row>
    <row r="32">
      <c r="A32" s="8" t="inlineStr">
        <is>
          <t xml:space="preserve">    Property, plant &amp; equipment (gross)</t>
        </is>
      </c>
      <c r="B32" s="9" t="n">
        <v>37559754</v>
      </c>
      <c r="C32" s="9" t="n">
        <v>59969280</v>
      </c>
      <c r="D32" s="9" t="n">
        <v>61699476</v>
      </c>
    </row>
    <row r="33">
      <c r="A33" s="8" t="inlineStr">
        <is>
          <t xml:space="preserve">    Less: accumulated depreciation</t>
        </is>
      </c>
      <c r="B33" s="9" t="n">
        <v>-16950978</v>
      </c>
      <c r="C33" s="9" t="n">
        <v>-19273028</v>
      </c>
      <c r="D33" s="9" t="n">
        <v>-20910038</v>
      </c>
    </row>
    <row r="34">
      <c r="A34" s="10" t="inlineStr">
        <is>
          <t xml:space="preserve">    Net property, plant &amp; equipment</t>
        </is>
      </c>
      <c r="B34" s="11" t="n">
        <v>20608776</v>
      </c>
      <c r="C34" s="11" t="n">
        <v>40696252</v>
      </c>
      <c r="D34" s="11" t="n">
        <v>40789438</v>
      </c>
    </row>
    <row r="35">
      <c r="A35" s="10" t="inlineStr">
        <is>
          <t>Total assets</t>
        </is>
      </c>
      <c r="B35" s="11" t="n">
        <v>27142522</v>
      </c>
      <c r="C35" s="11" t="n">
        <v>52588959</v>
      </c>
      <c r="D35" s="11" t="n">
        <v>54491240</v>
      </c>
    </row>
    <row r="37">
      <c r="A37" s="6" t="inlineStr">
        <is>
          <t>Liabilities</t>
        </is>
      </c>
      <c r="B37" s="7" t="n"/>
      <c r="C37" s="7" t="n"/>
      <c r="D37" s="7" t="n"/>
    </row>
    <row r="38">
      <c r="A38" s="8" t="inlineStr">
        <is>
          <t xml:space="preserve">    Accounts payable</t>
        </is>
      </c>
      <c r="B38" s="9" t="n">
        <v>495540</v>
      </c>
      <c r="C38" s="9" t="n">
        <v>578529</v>
      </c>
      <c r="D38" s="9" t="n">
        <v>707786</v>
      </c>
    </row>
    <row r="39">
      <c r="A39" s="8" t="inlineStr">
        <is>
          <t xml:space="preserve">    Mortgages &amp; notes payable</t>
        </is>
      </c>
      <c r="B39" s="9" t="n"/>
      <c r="C39" s="9" t="n"/>
      <c r="D39" s="9" t="n"/>
    </row>
    <row r="40">
      <c r="A40" s="10" t="inlineStr">
        <is>
          <t>Total liabilities</t>
        </is>
      </c>
      <c r="B40" s="11" t="n">
        <v>597827</v>
      </c>
      <c r="C40" s="11" t="n">
        <v>1885129</v>
      </c>
      <c r="D40" s="11" t="n">
        <v>3306931</v>
      </c>
    </row>
    <row r="42">
      <c r="A42" s="6" t="inlineStr">
        <is>
          <t>Net Assets / Equity</t>
        </is>
      </c>
      <c r="B42" s="7" t="n"/>
      <c r="C42" s="7" t="n"/>
      <c r="D42" s="7" t="n"/>
    </row>
    <row r="43">
      <c r="A43" s="8" t="inlineStr">
        <is>
          <t xml:space="preserve">    Capital stock</t>
        </is>
      </c>
      <c r="B43" s="9" t="n">
        <v>190880</v>
      </c>
      <c r="C43" s="9" t="n">
        <v>190260</v>
      </c>
      <c r="D43" s="9" t="n">
        <v>190260</v>
      </c>
    </row>
    <row r="44">
      <c r="A44" s="8" t="inlineStr">
        <is>
          <t xml:space="preserve">    Paid-in capital</t>
        </is>
      </c>
      <c r="B44" s="9" t="n">
        <v>291553</v>
      </c>
      <c r="C44" s="9" t="n">
        <v>292173</v>
      </c>
      <c r="D44" s="9" t="n">
        <v>292173</v>
      </c>
    </row>
    <row r="45">
      <c r="A45" s="8" t="inlineStr">
        <is>
          <t xml:space="preserve">    Retained earnings</t>
        </is>
      </c>
      <c r="B45" s="9" t="n">
        <v>26062262</v>
      </c>
      <c r="C45" s="9" t="n">
        <v>50221397</v>
      </c>
      <c r="D45" s="9" t="n">
        <v>50701876</v>
      </c>
    </row>
    <row r="46">
      <c r="A46" s="10" t="inlineStr">
        <is>
          <t>Net assets</t>
        </is>
      </c>
      <c r="B46" s="11" t="n">
        <v>26544695</v>
      </c>
      <c r="C46" s="11" t="n">
        <v>50703830</v>
      </c>
      <c r="D46" s="11" t="n">
        <v>51184309</v>
      </c>
    </row>
    <row r="49">
      <c r="A49" s="6" t="inlineStr">
        <is>
          <t>CASH FLOW - derived proxy (USD)</t>
        </is>
      </c>
      <c r="B49" s="7" t="n"/>
      <c r="C49" s="7" t="n"/>
      <c r="D49" s="7" t="n"/>
    </row>
    <row r="50">
      <c r="A50" s="4" t="inlineStr">
        <is>
          <t>Proxy line</t>
        </is>
      </c>
      <c r="B50" s="5" t="inlineStr">
        <is>
          <t>FY2020</t>
        </is>
      </c>
      <c r="C50" s="5" t="inlineStr">
        <is>
          <t>FY2022</t>
        </is>
      </c>
      <c r="D50" s="5" t="inlineStr">
        <is>
          <t>FY2023</t>
        </is>
      </c>
    </row>
    <row r="51">
      <c r="A51" s="6" t="inlineStr">
        <is>
          <t>Operating</t>
        </is>
      </c>
      <c r="B51" s="7" t="n"/>
      <c r="C51" s="7" t="n"/>
      <c r="D51" s="7" t="n"/>
    </row>
    <row r="52">
      <c r="A52" s="8" t="inlineStr">
        <is>
          <t xml:space="preserve">    Net income</t>
        </is>
      </c>
      <c r="B52" s="9" t="n">
        <v>948565</v>
      </c>
      <c r="C52" s="9" t="n">
        <v>21478056</v>
      </c>
      <c r="D52" s="9" t="n">
        <v>418097</v>
      </c>
    </row>
    <row r="53">
      <c r="A53" s="8" t="inlineStr">
        <is>
          <t xml:space="preserve">    + Depreciation (reported)</t>
        </is>
      </c>
      <c r="B53" s="9" t="n">
        <v>1104199</v>
      </c>
      <c r="C53" s="9" t="n">
        <v>1167182</v>
      </c>
      <c r="D53" s="9" t="n">
        <v>1556793</v>
      </c>
    </row>
    <row r="54">
      <c r="A54" s="8" t="inlineStr">
        <is>
          <t xml:space="preserve">    − Δ Accounts receivable</t>
        </is>
      </c>
      <c r="B54" s="9" t="n"/>
      <c r="C54" s="9" t="n">
        <v>-73159</v>
      </c>
      <c r="D54" s="9" t="n">
        <v>40455</v>
      </c>
    </row>
    <row r="55">
      <c r="A55" s="8" t="inlineStr">
        <is>
          <t xml:space="preserve">    − Δ Inventories</t>
        </is>
      </c>
      <c r="B55" s="9" t="n"/>
      <c r="C55" s="9" t="n"/>
      <c r="D55" s="9" t="n"/>
    </row>
    <row r="56">
      <c r="A56" s="8" t="inlineStr">
        <is>
          <t xml:space="preserve">    − Δ Prepaid expenses</t>
        </is>
      </c>
      <c r="B56" s="9" t="n"/>
      <c r="C56" s="9" t="n">
        <v>-12083</v>
      </c>
      <c r="D56" s="9" t="n">
        <v>-6112</v>
      </c>
    </row>
    <row r="57">
      <c r="A57" s="8" t="inlineStr">
        <is>
          <t xml:space="preserve">    + Δ Accounts payable</t>
        </is>
      </c>
      <c r="B57" s="9" t="n"/>
      <c r="C57" s="9" t="n">
        <v>82989</v>
      </c>
      <c r="D57" s="9" t="n">
        <v>129257</v>
      </c>
    </row>
    <row r="58">
      <c r="A58" s="10" t="inlineStr">
        <is>
          <t xml:space="preserve">    Operating cash flow proxy</t>
        </is>
      </c>
      <c r="B58" s="11" t="n"/>
      <c r="C58" s="11" t="n">
        <v>22642985</v>
      </c>
      <c r="D58" s="11" t="n">
        <v>2138490</v>
      </c>
    </row>
    <row r="60">
      <c r="A60" s="6" t="inlineStr">
        <is>
          <t>Investing</t>
        </is>
      </c>
      <c r="B60" s="7" t="n"/>
      <c r="C60" s="7" t="n"/>
      <c r="D60" s="7" t="n"/>
    </row>
    <row r="61">
      <c r="A61" s="8" t="inlineStr">
        <is>
          <t xml:space="preserve">    − Δ PP&amp;E gross (capex proxy)</t>
        </is>
      </c>
      <c r="B61" s="9" t="n"/>
      <c r="C61" s="9" t="n">
        <v>-22409526</v>
      </c>
      <c r="D61" s="9" t="n">
        <v>-1730196</v>
      </c>
    </row>
    <row r="63">
      <c r="A63" s="6" t="inlineStr">
        <is>
          <t>Financing</t>
        </is>
      </c>
      <c r="B63" s="7" t="n"/>
      <c r="C63" s="7" t="n"/>
      <c r="D63" s="7" t="n"/>
    </row>
    <row r="64">
      <c r="A64" s="8" t="inlineStr">
        <is>
          <t xml:space="preserve">    Δ Mortgages &amp; notes payable</t>
        </is>
      </c>
      <c r="B64" s="9" t="n"/>
      <c r="C64" s="9" t="n"/>
      <c r="D64" s="9" t="n"/>
    </row>
    <row r="66">
      <c r="A66" s="6" t="inlineStr">
        <is>
          <t>Reconciliation</t>
        </is>
      </c>
      <c r="B66" s="7" t="n"/>
      <c r="C66" s="7" t="n"/>
      <c r="D66" s="7" t="n"/>
    </row>
    <row r="67">
      <c r="A67" s="10" t="inlineStr">
        <is>
          <t xml:space="preserve">    Δ Cash + temp. investments (actual)</t>
        </is>
      </c>
      <c r="B67" s="11" t="n"/>
      <c r="C67" s="11" t="n">
        <v>-1620221</v>
      </c>
      <c r="D67" s="11" t="n">
        <v>-517447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row>
    <row r="72">
      <c r="A72" s="4" t="inlineStr">
        <is>
          <t>Part V line 11</t>
        </is>
      </c>
      <c r="B72" s="5" t="inlineStr">
        <is>
          <t>FY2020</t>
        </is>
      </c>
      <c r="C72" s="5" t="inlineStr">
        <is>
          <t>FY2022</t>
        </is>
      </c>
      <c r="D72" s="5" t="inlineStr">
        <is>
          <t>FY2023</t>
        </is>
      </c>
    </row>
    <row r="73">
      <c r="A73" s="8" t="inlineStr">
        <is>
          <t xml:space="preserve">    11a. Gross income from members or shareholders</t>
        </is>
      </c>
      <c r="B73" s="9" t="n">
        <v>4574318</v>
      </c>
      <c r="C73" s="9" t="n">
        <v>26118170</v>
      </c>
      <c r="D73" s="9" t="n">
        <v>5628735</v>
      </c>
    </row>
    <row r="74">
      <c r="A74" s="8" t="inlineStr">
        <is>
          <t xml:space="preserve">    11b. Gross income from other sources</t>
        </is>
      </c>
      <c r="B74" s="9" t="n">
        <v>416300</v>
      </c>
      <c r="C74" s="9" t="n">
        <v>282445</v>
      </c>
      <c r="D74" s="9" t="n">
        <v>324739</v>
      </c>
    </row>
    <row r="75">
      <c r="A75" s="14" t="inlineStr">
        <is>
          <t>Total gross income (11a + 11b)</t>
        </is>
      </c>
      <c r="B75" s="15">
        <f>SUM(B73,B74)</f>
        <v/>
      </c>
      <c r="C75" s="15">
        <f>SUM(C73,C74)</f>
        <v/>
      </c>
      <c r="D75" s="15">
        <f>SUM(D73,D74)</f>
        <v/>
      </c>
    </row>
    <row r="76">
      <c r="A76" s="14" t="inlineStr">
        <is>
          <t>Member income share (11a / total)</t>
        </is>
      </c>
      <c r="B76" s="16">
        <f>IF(B75=0,"",B73/B75)</f>
        <v/>
      </c>
      <c r="C76" s="16">
        <f>IF(C75=0,"",C73/C75)</f>
        <v/>
      </c>
      <c r="D76" s="16">
        <f>IF(D75=0,"",D73/D75)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D1"/>
    <mergeCell ref="A69:D69"/>
    <mergeCell ref="A78:D78"/>
    <mergeCell ref="A3:D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s>
  <sheetData>
    <row r="1">
      <c r="A1" s="1" t="inlineStr">
        <is>
          <t>Riverside Highland Water Company</t>
        </is>
      </c>
    </row>
    <row r="2">
      <c r="A2" s="2" t="inlineStr">
        <is>
          <t>Balance Sheet - as reported (USD, end of year)</t>
        </is>
      </c>
    </row>
    <row r="3">
      <c r="A3" s="2" t="inlineStr">
        <is>
          <t>Entity ID: cawc_0038   |   Fiscal year ends December 31.</t>
        </is>
      </c>
    </row>
    <row r="5">
      <c r="A5" s="4" t="inlineStr">
        <is>
          <t>Line item</t>
        </is>
      </c>
      <c r="B5" s="5" t="inlineStr">
        <is>
          <t>FY2020</t>
        </is>
      </c>
      <c r="C5" s="5" t="inlineStr">
        <is>
          <t>FY2022</t>
        </is>
      </c>
      <c r="D5" s="5" t="inlineStr">
        <is>
          <t>FY2023</t>
        </is>
      </c>
    </row>
    <row r="6">
      <c r="A6" s="6" t="inlineStr">
        <is>
          <t>Assets</t>
        </is>
      </c>
      <c r="B6" s="7" t="n"/>
      <c r="C6" s="7" t="n"/>
      <c r="D6" s="7" t="n"/>
    </row>
    <row r="7">
      <c r="A7" s="8" t="inlineStr">
        <is>
          <t xml:space="preserve">    Cash</t>
        </is>
      </c>
      <c r="B7" s="9" t="n">
        <v>500</v>
      </c>
      <c r="C7" s="9" t="n">
        <v>36034</v>
      </c>
      <c r="D7" s="9" t="n">
        <v>133221</v>
      </c>
    </row>
    <row r="8">
      <c r="A8" s="8" t="inlineStr">
        <is>
          <t xml:space="preserve">    Savings &amp; temporary investments</t>
        </is>
      </c>
      <c r="B8" s="9" t="n">
        <v>2468882</v>
      </c>
      <c r="C8" s="9" t="n">
        <v>813127</v>
      </c>
      <c r="D8" s="9" t="n">
        <v>198493</v>
      </c>
    </row>
    <row r="9">
      <c r="A9" s="8" t="inlineStr">
        <is>
          <t xml:space="preserve">    Accounts receivable</t>
        </is>
      </c>
      <c r="B9" s="9" t="n">
        <v>773398</v>
      </c>
      <c r="C9" s="9" t="n">
        <v>846557</v>
      </c>
      <c r="D9" s="9" t="n">
        <v>806102</v>
      </c>
    </row>
    <row r="10">
      <c r="A10" s="8" t="inlineStr">
        <is>
          <t xml:space="preserve">    Inventories</t>
        </is>
      </c>
      <c r="B10" s="9" t="n"/>
      <c r="C10" s="9" t="n"/>
      <c r="D10" s="9" t="n"/>
    </row>
    <row r="11">
      <c r="A11" s="8" t="inlineStr">
        <is>
          <t xml:space="preserve">    Prepaid expenses</t>
        </is>
      </c>
      <c r="B11" s="9" t="n">
        <v>17579</v>
      </c>
      <c r="C11" s="9" t="n">
        <v>29662</v>
      </c>
      <c r="D11" s="9" t="n">
        <v>35774</v>
      </c>
    </row>
    <row r="12">
      <c r="A12" s="8" t="inlineStr">
        <is>
          <t xml:space="preserve">    Property, plant &amp; equipment (gross)</t>
        </is>
      </c>
      <c r="B12" s="9" t="n">
        <v>37559754</v>
      </c>
      <c r="C12" s="9" t="n">
        <v>59969280</v>
      </c>
      <c r="D12" s="9" t="n">
        <v>61699476</v>
      </c>
    </row>
    <row r="13">
      <c r="A13" s="8" t="inlineStr">
        <is>
          <t xml:space="preserve">    Less: accumulated depreciation</t>
        </is>
      </c>
      <c r="B13" s="9" t="n">
        <v>-16950978</v>
      </c>
      <c r="C13" s="9" t="n">
        <v>-19273028</v>
      </c>
      <c r="D13" s="9" t="n">
        <v>-20910038</v>
      </c>
    </row>
    <row r="14">
      <c r="A14" s="10" t="inlineStr">
        <is>
          <t xml:space="preserve">    Net property, plant &amp; equipment</t>
        </is>
      </c>
      <c r="B14" s="11" t="n">
        <v>20608776</v>
      </c>
      <c r="C14" s="11" t="n">
        <v>40696252</v>
      </c>
      <c r="D14" s="11" t="n">
        <v>40789438</v>
      </c>
    </row>
    <row r="15">
      <c r="A15" s="10" t="inlineStr">
        <is>
          <t>Total assets</t>
        </is>
      </c>
      <c r="B15" s="11" t="n">
        <v>27142522</v>
      </c>
      <c r="C15" s="11" t="n">
        <v>52588959</v>
      </c>
      <c r="D15" s="11" t="n">
        <v>54491240</v>
      </c>
    </row>
    <row r="17">
      <c r="A17" s="6" t="inlineStr">
        <is>
          <t>Liabilities</t>
        </is>
      </c>
      <c r="B17" s="7" t="n"/>
      <c r="C17" s="7" t="n"/>
      <c r="D17" s="7" t="n"/>
    </row>
    <row r="18">
      <c r="A18" s="8" t="inlineStr">
        <is>
          <t xml:space="preserve">    Accounts payable</t>
        </is>
      </c>
      <c r="B18" s="9" t="n">
        <v>495540</v>
      </c>
      <c r="C18" s="9" t="n">
        <v>578529</v>
      </c>
      <c r="D18" s="9" t="n">
        <v>707786</v>
      </c>
    </row>
    <row r="19">
      <c r="A19" s="8" t="inlineStr">
        <is>
          <t xml:space="preserve">    Mortgages &amp; notes payable</t>
        </is>
      </c>
      <c r="B19" s="9" t="n"/>
      <c r="C19" s="9" t="n"/>
      <c r="D19" s="9" t="n"/>
    </row>
    <row r="20">
      <c r="A20" s="10" t="inlineStr">
        <is>
          <t>Total liabilities</t>
        </is>
      </c>
      <c r="B20" s="11" t="n">
        <v>597827</v>
      </c>
      <c r="C20" s="11" t="n">
        <v>1885129</v>
      </c>
      <c r="D20" s="11" t="n">
        <v>3306931</v>
      </c>
    </row>
    <row r="22">
      <c r="A22" s="6" t="inlineStr">
        <is>
          <t>Net Assets / Equity</t>
        </is>
      </c>
      <c r="B22" s="7" t="n"/>
      <c r="C22" s="7" t="n"/>
      <c r="D22" s="7" t="n"/>
    </row>
    <row r="23">
      <c r="A23" s="8" t="inlineStr">
        <is>
          <t xml:space="preserve">    Capital stock</t>
        </is>
      </c>
      <c r="B23" s="9" t="n">
        <v>190880</v>
      </c>
      <c r="C23" s="9" t="n">
        <v>190260</v>
      </c>
      <c r="D23" s="9" t="n">
        <v>190260</v>
      </c>
    </row>
    <row r="24">
      <c r="A24" s="8" t="inlineStr">
        <is>
          <t xml:space="preserve">    Paid-in capital</t>
        </is>
      </c>
      <c r="B24" s="9" t="n">
        <v>291553</v>
      </c>
      <c r="C24" s="9" t="n">
        <v>292173</v>
      </c>
      <c r="D24" s="9" t="n">
        <v>292173</v>
      </c>
    </row>
    <row r="25">
      <c r="A25" s="8" t="inlineStr">
        <is>
          <t xml:space="preserve">    Retained earnings</t>
        </is>
      </c>
      <c r="B25" s="9" t="n">
        <v>26062262</v>
      </c>
      <c r="C25" s="9" t="n">
        <v>50221397</v>
      </c>
      <c r="D25" s="9" t="n">
        <v>50701876</v>
      </c>
    </row>
    <row r="26">
      <c r="A26" s="10" t="inlineStr">
        <is>
          <t>Net assets</t>
        </is>
      </c>
      <c r="B26" s="11" t="n">
        <v>26544695</v>
      </c>
      <c r="C26" s="11" t="n">
        <v>50703830</v>
      </c>
      <c r="D26" s="11" t="n">
        <v>51184309</v>
      </c>
    </row>
    <row r="28">
      <c r="A28" s="8" t="inlineStr">
        <is>
          <t>Balance check (assets − liab. − net assets)</t>
        </is>
      </c>
      <c r="B28" s="9" t="n">
        <v>0</v>
      </c>
      <c r="C28" s="9" t="n">
        <v>0</v>
      </c>
      <c r="D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1:D1"/>
    <mergeCell ref="A30:D30"/>
    <mergeCell ref="A3:D3"/>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Riverside Highland Water Company</t>
        </is>
      </c>
    </row>
    <row r="2">
      <c r="A2" s="2" t="inlineStr">
        <is>
          <t>Officers, Directors &amp; Contractors - Form 990 Part VII (FY2023; USD)</t>
        </is>
      </c>
    </row>
    <row r="3">
      <c r="A3" s="2" t="inlineStr">
        <is>
          <t>Entity ID: cawc_0038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JAMES MCNABOE</t>
        </is>
      </c>
      <c r="B7" s="8" t="inlineStr">
        <is>
          <t>PRESIDENT</t>
        </is>
      </c>
      <c r="C7" s="9" t="n">
        <v>3800</v>
      </c>
      <c r="D7" s="9" t="n">
        <v>0</v>
      </c>
      <c r="E7" s="9" t="n">
        <v>0</v>
      </c>
      <c r="F7" s="9" t="n">
        <v>3800</v>
      </c>
    </row>
    <row r="8">
      <c r="A8" s="8" t="inlineStr">
        <is>
          <t>BRYAN HEGARDT</t>
        </is>
      </c>
      <c r="B8" s="8" t="inlineStr">
        <is>
          <t>DIRECTOR</t>
        </is>
      </c>
      <c r="C8" s="9" t="n">
        <v>0</v>
      </c>
      <c r="D8" s="9" t="n">
        <v>0</v>
      </c>
      <c r="E8" s="9" t="n">
        <v>0</v>
      </c>
      <c r="F8" s="9" t="n">
        <v>0</v>
      </c>
    </row>
    <row r="9">
      <c r="A9" s="8" t="inlineStr">
        <is>
          <t>DONALD J LARKIN JR</t>
        </is>
      </c>
      <c r="B9" s="8" t="inlineStr">
        <is>
          <t>SECRETARY/CFO</t>
        </is>
      </c>
      <c r="C9" s="9" t="n">
        <v>4400</v>
      </c>
      <c r="D9" s="9" t="n">
        <v>0</v>
      </c>
      <c r="E9" s="9" t="n">
        <v>0</v>
      </c>
      <c r="F9" s="9" t="n">
        <v>4400</v>
      </c>
    </row>
    <row r="10">
      <c r="A10" s="8" t="inlineStr">
        <is>
          <t>GILBERT RANGEL</t>
        </is>
      </c>
      <c r="B10" s="8" t="inlineStr">
        <is>
          <t>DIRECTOR</t>
        </is>
      </c>
      <c r="C10" s="9" t="n">
        <v>2750</v>
      </c>
      <c r="D10" s="9" t="n">
        <v>0</v>
      </c>
      <c r="E10" s="9" t="n">
        <v>0</v>
      </c>
      <c r="F10" s="9" t="n">
        <v>2750</v>
      </c>
    </row>
    <row r="11">
      <c r="A11" s="8" t="inlineStr">
        <is>
          <t>JENNIFER THOMPSON</t>
        </is>
      </c>
      <c r="B11" s="8" t="inlineStr">
        <is>
          <t>VICE PRESIDENT</t>
        </is>
      </c>
      <c r="C11" s="9" t="n">
        <v>3350</v>
      </c>
      <c r="D11" s="9" t="n">
        <v>0</v>
      </c>
      <c r="E11" s="9" t="n">
        <v>0</v>
      </c>
      <c r="F11" s="9" t="n">
        <v>3350</v>
      </c>
    </row>
    <row r="12">
      <c r="A12" s="8" t="inlineStr">
        <is>
          <t>DENIS KIDD</t>
        </is>
      </c>
      <c r="B12" s="8" t="inlineStr">
        <is>
          <t>DIRECTOR</t>
        </is>
      </c>
      <c r="C12" s="9" t="n">
        <v>2750</v>
      </c>
      <c r="D12" s="9" t="n">
        <v>0</v>
      </c>
      <c r="E12" s="9" t="n">
        <v>0</v>
      </c>
      <c r="F12" s="9" t="n">
        <v>2750</v>
      </c>
    </row>
    <row r="13">
      <c r="A13" s="8" t="inlineStr">
        <is>
          <t>GEORGE SAUNDERS</t>
        </is>
      </c>
      <c r="B13" s="8" t="inlineStr">
        <is>
          <t>DIRECTOR</t>
        </is>
      </c>
      <c r="C13" s="9" t="n">
        <v>2950</v>
      </c>
      <c r="D13" s="9" t="n">
        <v>0</v>
      </c>
      <c r="E13" s="9" t="n">
        <v>0</v>
      </c>
      <c r="F13" s="9" t="n">
        <v>2950</v>
      </c>
    </row>
    <row r="14">
      <c r="A14" s="8" t="inlineStr">
        <is>
          <t>WENDELL BAKER</t>
        </is>
      </c>
      <c r="B14" s="8" t="inlineStr">
        <is>
          <t>DIRECTOR</t>
        </is>
      </c>
      <c r="C14" s="9" t="n">
        <v>3200</v>
      </c>
      <c r="D14" s="9" t="n">
        <v>0</v>
      </c>
      <c r="E14" s="9" t="n">
        <v>0</v>
      </c>
      <c r="F14" s="9" t="n">
        <v>3200</v>
      </c>
    </row>
    <row r="15">
      <c r="A15" s="8" t="inlineStr">
        <is>
          <t>BURT SEUYLEMEZIAN</t>
        </is>
      </c>
      <c r="B15" s="8" t="inlineStr">
        <is>
          <t>DIRECTOR</t>
        </is>
      </c>
      <c r="C15" s="9" t="n">
        <v>3950</v>
      </c>
      <c r="D15" s="9" t="n">
        <v>0</v>
      </c>
      <c r="E15" s="9" t="n">
        <v>0</v>
      </c>
      <c r="F15" s="9" t="n">
        <v>3950</v>
      </c>
    </row>
    <row r="16">
      <c r="A16" s="17" t="inlineStr">
        <is>
          <t>DONALD HOUGH</t>
        </is>
      </c>
      <c r="B16" s="17" t="inlineStr">
        <is>
          <t>GENERAL MANAGER</t>
        </is>
      </c>
      <c r="C16" s="18" t="n">
        <v>230878</v>
      </c>
      <c r="D16" s="18" t="n">
        <v>0</v>
      </c>
      <c r="E16" s="18" t="n">
        <v>26624</v>
      </c>
      <c r="F16" s="18" t="n">
        <v>257502</v>
      </c>
    </row>
    <row r="17">
      <c r="A17" s="8" t="inlineStr">
        <is>
          <t>JENNIFER GIMPEL</t>
        </is>
      </c>
      <c r="B17" s="8" t="inlineStr">
        <is>
          <t>ADMINISTRATIVE MANAGER</t>
        </is>
      </c>
      <c r="C17" s="9" t="n">
        <v>134450</v>
      </c>
      <c r="D17" s="9" t="n">
        <v>0</v>
      </c>
      <c r="E17" s="9" t="n">
        <v>20886</v>
      </c>
      <c r="F17" s="9" t="n">
        <v>155336</v>
      </c>
    </row>
    <row r="18">
      <c r="A18" s="17" t="inlineStr">
        <is>
          <t>CRAIG GUDGEON</t>
        </is>
      </c>
      <c r="B18" s="17" t="inlineStr">
        <is>
          <t>DISTRIBUTION SUPERINTENDEN</t>
        </is>
      </c>
      <c r="C18" s="18" t="n">
        <v>161056</v>
      </c>
      <c r="D18" s="18" t="n">
        <v>0</v>
      </c>
      <c r="E18" s="18" t="n">
        <v>14022</v>
      </c>
      <c r="F18" s="18" t="n">
        <v>175078</v>
      </c>
    </row>
    <row r="19">
      <c r="A19" s="8" t="inlineStr">
        <is>
          <t>JEFFREY JEFFERS</t>
        </is>
      </c>
      <c r="B19" s="8" t="inlineStr">
        <is>
          <t>ROUNDS PERSONNEL</t>
        </is>
      </c>
      <c r="C19" s="9" t="n">
        <v>136303</v>
      </c>
      <c r="D19" s="9" t="n">
        <v>0</v>
      </c>
      <c r="E19" s="9" t="n">
        <v>31399</v>
      </c>
      <c r="F19" s="9" t="n">
        <v>167702</v>
      </c>
    </row>
    <row r="20">
      <c r="A20" s="8" t="inlineStr">
        <is>
          <t>FRANK SANCHEZ</t>
        </is>
      </c>
      <c r="B20" s="8" t="inlineStr">
        <is>
          <t>ROUNDS PERSONNEL</t>
        </is>
      </c>
      <c r="C20" s="9" t="n">
        <v>125266</v>
      </c>
      <c r="D20" s="9" t="n">
        <v>0</v>
      </c>
      <c r="E20" s="9" t="n">
        <v>33958</v>
      </c>
      <c r="F20" s="9" t="n">
        <v>159224</v>
      </c>
    </row>
    <row r="21">
      <c r="A21" s="8" t="inlineStr">
        <is>
          <t>FERNANDO MONREAL</t>
        </is>
      </c>
      <c r="B21" s="8" t="inlineStr">
        <is>
          <t>ROUNDS PERSONNEL</t>
        </is>
      </c>
      <c r="C21" s="9" t="n">
        <v>141863</v>
      </c>
      <c r="D21" s="9" t="n">
        <v>0</v>
      </c>
      <c r="E21" s="9" t="n">
        <v>16746</v>
      </c>
      <c r="F21" s="9" t="n">
        <v>158609</v>
      </c>
    </row>
    <row r="23">
      <c r="A23" s="6" t="inlineStr">
        <is>
          <t>Section B - Independent contractors (over $100,000)</t>
        </is>
      </c>
      <c r="B23" s="7" t="n"/>
      <c r="C23" s="7" t="n"/>
      <c r="D23" s="7" t="n"/>
      <c r="E23" s="7" t="n"/>
      <c r="F23" s="7" t="n"/>
    </row>
    <row r="24">
      <c r="A24" s="5" t="inlineStr">
        <is>
          <t>Contractor</t>
        </is>
      </c>
      <c r="B24" s="5" t="inlineStr">
        <is>
          <t>Services</t>
        </is>
      </c>
      <c r="C24" s="5" t="inlineStr">
        <is>
          <t>Compensation</t>
        </is>
      </c>
    </row>
    <row r="25">
      <c r="A25" s="8" t="inlineStr">
        <is>
          <t>TRI-COUNTY PUMP COMPANY</t>
        </is>
      </c>
      <c r="B25" s="8" t="inlineStr">
        <is>
          <t>PUMP AND WELL SERVICE</t>
        </is>
      </c>
      <c r="C25" s="9" t="n">
        <v>145971</v>
      </c>
    </row>
    <row r="27" ht="42" customHeight="1">
      <c r="A2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1 such contractor(s). Source and confidence for every figure are on the Sources &amp; audit tab.</t>
        </is>
      </c>
    </row>
  </sheetData>
  <mergeCells count="4">
    <mergeCell ref="A3:F3"/>
    <mergeCell ref="A2:F2"/>
    <mergeCell ref="A1:F1"/>
    <mergeCell ref="A27:F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Riverside Highland Water Company</t>
        </is>
      </c>
    </row>
    <row r="2">
      <c r="A2" s="2" t="inlineStr">
        <is>
          <t>Revenue - Form 990 Part VIII (USD)</t>
        </is>
      </c>
    </row>
    <row r="3">
      <c r="A3" s="2" t="inlineStr">
        <is>
          <t>Entity ID: cawc_0038   |   Fiscal year ends December 31.</t>
        </is>
      </c>
    </row>
    <row r="5">
      <c r="A5" s="4" t="inlineStr">
        <is>
          <t>Part VIII line</t>
        </is>
      </c>
      <c r="B5" s="5" t="inlineStr">
        <is>
          <t>FY2020</t>
        </is>
      </c>
      <c r="C5" s="5" t="inlineStr">
        <is>
          <t>FY2022</t>
        </is>
      </c>
      <c r="D5" s="5" t="inlineStr">
        <is>
          <t>FY2023</t>
        </is>
      </c>
    </row>
    <row r="6">
      <c r="A6" s="6" t="inlineStr">
        <is>
          <t>Revenue by category</t>
        </is>
      </c>
      <c r="B6" s="7" t="n"/>
      <c r="C6" s="7" t="n"/>
      <c r="D6" s="7" t="n"/>
    </row>
    <row r="7">
      <c r="A7" s="8" t="inlineStr">
        <is>
          <t xml:space="preserve">    1h. Total contributions, gifts, grants</t>
        </is>
      </c>
      <c r="B7" s="19" t="inlineStr">
        <is>
          <t>not reported</t>
        </is>
      </c>
      <c r="C7" s="19" t="inlineStr">
        <is>
          <t>not reported</t>
        </is>
      </c>
      <c r="D7" s="19" t="inlineStr">
        <is>
          <t>not reported</t>
        </is>
      </c>
    </row>
    <row r="8">
      <c r="A8" s="8" t="inlineStr">
        <is>
          <t xml:space="preserve">    2g. Total program service revenue</t>
        </is>
      </c>
      <c r="B8" s="9" t="n">
        <v>4444005</v>
      </c>
      <c r="C8" s="9" t="n">
        <v>5514562</v>
      </c>
      <c r="D8" s="9" t="n">
        <v>5292585</v>
      </c>
    </row>
    <row r="9">
      <c r="A9" s="8" t="inlineStr">
        <is>
          <t xml:space="preserve">    3. Investment income</t>
        </is>
      </c>
      <c r="B9" s="9" t="n">
        <v>85370</v>
      </c>
      <c r="C9" s="9" t="n">
        <v>248778</v>
      </c>
      <c r="D9" s="9" t="n">
        <v>320814</v>
      </c>
    </row>
    <row r="10">
      <c r="A10" s="8" t="inlineStr">
        <is>
          <t xml:space="preserve">    6d. Net rental income</t>
        </is>
      </c>
      <c r="B10" s="19" t="inlineStr">
        <is>
          <t>not reported</t>
        </is>
      </c>
      <c r="C10" s="19" t="inlineStr">
        <is>
          <t>not reported</t>
        </is>
      </c>
      <c r="D10" s="19" t="inlineStr">
        <is>
          <t>not reported</t>
        </is>
      </c>
    </row>
    <row r="11">
      <c r="A11" s="8" t="inlineStr">
        <is>
          <t xml:space="preserve">    7d. Net gain/(loss) from investment sales</t>
        </is>
      </c>
      <c r="B11" s="9" t="n">
        <v>-7046</v>
      </c>
      <c r="C11" s="9" t="n">
        <v>28800</v>
      </c>
      <c r="D11" s="9" t="n">
        <v>225</v>
      </c>
    </row>
    <row r="12">
      <c r="A12" s="8" t="inlineStr">
        <is>
          <t xml:space="preserve">    11e. Other revenue</t>
        </is>
      </c>
      <c r="B12" s="9" t="n">
        <v>464364</v>
      </c>
      <c r="C12" s="9" t="n">
        <v>20802412</v>
      </c>
      <c r="D12" s="9" t="n">
        <v>336150</v>
      </c>
    </row>
    <row r="13">
      <c r="A13" s="10" t="inlineStr">
        <is>
          <t>12. Total revenue</t>
        </is>
      </c>
      <c r="B13" s="11">
        <f>SUM(B7:B12)</f>
        <v/>
      </c>
      <c r="C13" s="11">
        <f>SUM(C7:C12)</f>
        <v/>
      </c>
      <c r="D13" s="11">
        <f>SUM(D7:D12)</f>
        <v/>
      </c>
    </row>
    <row r="15">
      <c r="A15" s="6" t="inlineStr">
        <is>
          <t>Program service revenue detail - FY2023 (lines 2a-2f)</t>
        </is>
      </c>
      <c r="B15" s="7" t="n"/>
      <c r="C15" s="7" t="n"/>
      <c r="D15" s="7" t="n"/>
    </row>
    <row r="16">
      <c r="A16" s="5" t="inlineStr">
        <is>
          <t>Description</t>
        </is>
      </c>
      <c r="B16" s="5" t="inlineStr">
        <is>
          <t>Business code</t>
        </is>
      </c>
      <c r="C16" s="5" t="inlineStr">
        <is>
          <t>Total revenue</t>
        </is>
      </c>
    </row>
    <row r="17">
      <c r="A17" s="8" t="inlineStr">
        <is>
          <t>WATER SALES</t>
        </is>
      </c>
      <c r="B17" s="8" t="inlineStr">
        <is>
          <t>221000</t>
        </is>
      </c>
      <c r="C17" s="9" t="n">
        <v>4056047</v>
      </c>
    </row>
    <row r="18">
      <c r="A18" s="8" t="inlineStr">
        <is>
          <t>STOCK ASSESSMENT</t>
        </is>
      </c>
      <c r="B18" s="8" t="inlineStr">
        <is>
          <t>221000</t>
        </is>
      </c>
      <c r="C18" s="9" t="n">
        <v>987299</v>
      </c>
    </row>
    <row r="19">
      <c r="A19" s="8" t="inlineStr">
        <is>
          <t>FEES AND PENALTIES</t>
        </is>
      </c>
      <c r="B19" s="8" t="inlineStr">
        <is>
          <t>221000</t>
        </is>
      </c>
      <c r="C19" s="9" t="n">
        <v>249239</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D1"/>
    <mergeCell ref="A20:D20"/>
    <mergeCell ref="A3:D3"/>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s>
  <sheetData>
    <row r="1">
      <c r="A1" s="1" t="inlineStr">
        <is>
          <t>Riverside Highland Water Company</t>
        </is>
      </c>
    </row>
    <row r="2">
      <c r="A2" s="2" t="inlineStr">
        <is>
          <t>Statement of Functional Expenses - Form 990 Part IX (USD)</t>
        </is>
      </c>
    </row>
    <row r="3">
      <c r="A3" s="2" t="inlineStr">
        <is>
          <t>Entity ID: cawc_0038   |   Fiscal year ends December 31.</t>
        </is>
      </c>
    </row>
    <row r="5">
      <c r="A5" s="4" t="inlineStr">
        <is>
          <t>Part IX line (column A Total)</t>
        </is>
      </c>
      <c r="B5" s="5" t="inlineStr">
        <is>
          <t>FY2020</t>
        </is>
      </c>
      <c r="C5" s="5" t="inlineStr">
        <is>
          <t>FY2022</t>
        </is>
      </c>
      <c r="D5" s="5" t="inlineStr">
        <is>
          <t>FY2023</t>
        </is>
      </c>
    </row>
    <row r="6">
      <c r="A6" s="6" t="inlineStr">
        <is>
          <t>Functional expenses, column A Total - by year</t>
        </is>
      </c>
      <c r="B6" s="7" t="n"/>
      <c r="C6" s="7" t="n"/>
      <c r="D6" s="7" t="n"/>
    </row>
    <row r="7">
      <c r="A7" s="8" t="inlineStr">
        <is>
          <t xml:space="preserve">    5. Compensation of current officers, directors, trustees</t>
        </is>
      </c>
      <c r="B7" s="9" t="n">
        <v>392448</v>
      </c>
      <c r="C7" s="9" t="n">
        <v>1083696</v>
      </c>
      <c r="D7" s="9" t="n">
        <v>1101951</v>
      </c>
    </row>
    <row r="8">
      <c r="A8" s="8" t="inlineStr">
        <is>
          <t xml:space="preserve">    7. Other salaries and wages</t>
        </is>
      </c>
      <c r="B8" s="9" t="n">
        <v>269529</v>
      </c>
      <c r="C8" s="9" t="n">
        <v>330065</v>
      </c>
      <c r="D8" s="9" t="n">
        <v>343759</v>
      </c>
    </row>
    <row r="9">
      <c r="A9" s="8" t="inlineStr">
        <is>
          <t xml:space="preserve">    8. Pension plan accruals and contributions</t>
        </is>
      </c>
      <c r="B9" s="9" t="n">
        <v>44204</v>
      </c>
      <c r="C9" s="9" t="n">
        <v>15719</v>
      </c>
      <c r="D9" s="9" t="n">
        <v>90732</v>
      </c>
    </row>
    <row r="10">
      <c r="A10" s="8" t="inlineStr">
        <is>
          <t xml:space="preserve">    9. Other employee benefits</t>
        </is>
      </c>
      <c r="B10" s="9" t="n">
        <v>206732</v>
      </c>
      <c r="C10" s="9" t="n">
        <v>118465</v>
      </c>
      <c r="D10" s="9" t="n">
        <v>117588</v>
      </c>
    </row>
    <row r="11">
      <c r="A11" s="8" t="inlineStr">
        <is>
          <t xml:space="preserve">    10. Payroll taxes</t>
        </is>
      </c>
      <c r="B11" s="9" t="n">
        <v>81092</v>
      </c>
      <c r="C11" s="9" t="n">
        <v>56512</v>
      </c>
      <c r="D11" s="9" t="n">
        <v>116837</v>
      </c>
    </row>
    <row r="12">
      <c r="A12" s="8" t="inlineStr">
        <is>
          <t xml:space="preserve">    11b. Fees for services: legal</t>
        </is>
      </c>
      <c r="B12" s="9" t="n">
        <v>35277</v>
      </c>
      <c r="C12" s="9" t="n">
        <v>55396</v>
      </c>
      <c r="D12" s="9" t="n">
        <v>43820</v>
      </c>
    </row>
    <row r="13">
      <c r="A13" s="8" t="inlineStr">
        <is>
          <t xml:space="preserve">    11c. Fees for services: accounting</t>
        </is>
      </c>
      <c r="B13" s="9" t="n">
        <v>38300</v>
      </c>
      <c r="C13" s="9" t="n">
        <v>115169</v>
      </c>
      <c r="D13" s="9" t="n">
        <v>130353</v>
      </c>
    </row>
    <row r="14">
      <c r="A14" s="8" t="inlineStr">
        <is>
          <t xml:space="preserve">    11g. Fees for services: other</t>
        </is>
      </c>
      <c r="B14" s="9" t="n">
        <v>55749</v>
      </c>
      <c r="C14" s="9" t="n">
        <v>6000</v>
      </c>
      <c r="D14" s="9" t="n">
        <v>6500</v>
      </c>
    </row>
    <row r="15">
      <c r="A15" s="8" t="inlineStr">
        <is>
          <t xml:space="preserve">    13. Office expenses</t>
        </is>
      </c>
      <c r="B15" s="9" t="n">
        <v>46036</v>
      </c>
      <c r="C15" s="9" t="n">
        <v>89897</v>
      </c>
      <c r="D15" s="9" t="n">
        <v>65488</v>
      </c>
    </row>
    <row r="16">
      <c r="A16" s="8" t="inlineStr">
        <is>
          <t xml:space="preserve">    22. Depreciation, depletion, and amortization</t>
        </is>
      </c>
      <c r="B16" s="9" t="n">
        <v>1104199</v>
      </c>
      <c r="C16" s="9" t="n">
        <v>1167182</v>
      </c>
      <c r="D16" s="9" t="n">
        <v>1556793</v>
      </c>
    </row>
    <row r="17">
      <c r="A17" s="8" t="inlineStr">
        <is>
          <t xml:space="preserve">    24. OPERATIONS AND MAINTENA</t>
        </is>
      </c>
      <c r="B17" s="9" t="n">
        <v>1446621</v>
      </c>
      <c r="C17" s="9" t="n">
        <v>1642519</v>
      </c>
      <c r="D17" s="9" t="n">
        <v>1505021</v>
      </c>
    </row>
    <row r="18">
      <c r="A18" s="8" t="inlineStr">
        <is>
          <t xml:space="preserve">    24. PROPERTY TAXES</t>
        </is>
      </c>
      <c r="B18" s="9" t="n">
        <v>106176</v>
      </c>
      <c r="C18" s="9" t="n">
        <v>173534</v>
      </c>
      <c r="D18" s="9" t="n">
        <v>123783</v>
      </c>
    </row>
    <row r="19">
      <c r="A19" s="8" t="inlineStr">
        <is>
          <t xml:space="preserve">    24. INSURANCE</t>
        </is>
      </c>
      <c r="B19" s="9" t="n">
        <v>72047</v>
      </c>
      <c r="C19" s="9" t="n">
        <v>86040</v>
      </c>
      <c r="D19" s="9" t="n">
        <v>123842</v>
      </c>
    </row>
    <row r="20">
      <c r="A20" s="8" t="inlineStr">
        <is>
          <t xml:space="preserve">    24. STATE REGULATORY FEES</t>
        </is>
      </c>
      <c r="B20" s="9" t="n">
        <v>55895</v>
      </c>
      <c r="C20" s="19" t="inlineStr">
        <is>
          <t>not reported</t>
        </is>
      </c>
      <c r="D20" s="19" t="inlineStr">
        <is>
          <t>not reported</t>
        </is>
      </c>
    </row>
    <row r="21">
      <c r="A21" s="8" t="inlineStr">
        <is>
          <t xml:space="preserve">    24. BUILDING MAINTENANCE AN</t>
        </is>
      </c>
      <c r="B21" s="19" t="inlineStr">
        <is>
          <t>not reported</t>
        </is>
      </c>
      <c r="C21" s="9" t="n">
        <v>58611</v>
      </c>
      <c r="D21" s="9" t="n">
        <v>80136</v>
      </c>
    </row>
    <row r="22">
      <c r="A22" s="8" t="inlineStr">
        <is>
          <t xml:space="preserve">    24e. All other expenses</t>
        </is>
      </c>
      <c r="B22" s="9" t="n">
        <v>87748</v>
      </c>
      <c r="C22" s="9" t="n">
        <v>121391</v>
      </c>
      <c r="D22" s="9" t="n">
        <v>128774</v>
      </c>
    </row>
    <row r="23">
      <c r="A23" s="10" t="inlineStr">
        <is>
          <t>25. Total functional expenses</t>
        </is>
      </c>
      <c r="B23" s="11">
        <f>SUM(B7:B22)</f>
        <v/>
      </c>
      <c r="C23" s="11">
        <f>SUM(C7:C22)</f>
        <v/>
      </c>
      <c r="D23" s="11">
        <f>SUM(D7:D22)</f>
        <v/>
      </c>
    </row>
    <row r="25">
      <c r="A25" s="6" t="inlineStr">
        <is>
          <t>Functional column split - FY2023</t>
        </is>
      </c>
      <c r="B25" s="7" t="n"/>
      <c r="C25" s="7" t="n"/>
      <c r="D25" s="7" t="n"/>
    </row>
    <row r="26" ht="42" customHeight="1">
      <c r="A26" s="3" t="inlineStr">
        <is>
          <t>Not reported. This filer reports only column A (Total) of Part IX; the program / management / fundraising split (columns B-D) is not filed, so it is left as not reported rather than shown empty or inferred.</t>
        </is>
      </c>
    </row>
    <row r="27" ht="42" customHeight="1">
      <c r="A2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1:D1"/>
    <mergeCell ref="A27:D27"/>
    <mergeCell ref="A26:D26"/>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Riverside Highland Water Company</t>
        </is>
      </c>
    </row>
    <row r="2">
      <c r="A2" s="2" t="inlineStr">
        <is>
          <t>Balance Sheet - Form 990 Part X (end of year, USD)</t>
        </is>
      </c>
    </row>
    <row r="3">
      <c r="A3" s="2" t="inlineStr">
        <is>
          <t>Entity ID: cawc_0038   |   Fiscal year ends December 31.</t>
        </is>
      </c>
    </row>
    <row r="5">
      <c r="A5" s="4" t="inlineStr">
        <is>
          <t>Part X line (column B, EOY)</t>
        </is>
      </c>
      <c r="B5" s="5" t="inlineStr">
        <is>
          <t>FY2020</t>
        </is>
      </c>
      <c r="C5" s="5" t="inlineStr">
        <is>
          <t>FY2022</t>
        </is>
      </c>
      <c r="D5" s="5" t="inlineStr">
        <is>
          <t>FY2023</t>
        </is>
      </c>
    </row>
    <row r="6">
      <c r="A6" s="6" t="inlineStr">
        <is>
          <t>Assets</t>
        </is>
      </c>
      <c r="B6" s="7" t="n"/>
      <c r="C6" s="7" t="n"/>
      <c r="D6" s="7" t="n"/>
    </row>
    <row r="7">
      <c r="A7" s="8" t="inlineStr">
        <is>
          <t xml:space="preserve">    1. Cash - non-interest-bearing</t>
        </is>
      </c>
      <c r="B7" s="9" t="n">
        <v>500</v>
      </c>
      <c r="C7" s="9" t="n">
        <v>36034</v>
      </c>
      <c r="D7" s="9" t="n">
        <v>133221</v>
      </c>
    </row>
    <row r="8">
      <c r="A8" s="8" t="inlineStr">
        <is>
          <t xml:space="preserve">    2. Savings and temporary cash investments</t>
        </is>
      </c>
      <c r="B8" s="9" t="n">
        <v>2468882</v>
      </c>
      <c r="C8" s="9" t="n">
        <v>813127</v>
      </c>
      <c r="D8" s="9" t="n">
        <v>198493</v>
      </c>
    </row>
    <row r="9">
      <c r="A9" s="8" t="inlineStr">
        <is>
          <t xml:space="preserve">    4. Accounts receivable, net</t>
        </is>
      </c>
      <c r="B9" s="9" t="n">
        <v>773398</v>
      </c>
      <c r="C9" s="9" t="n">
        <v>846557</v>
      </c>
      <c r="D9" s="9" t="n">
        <v>806102</v>
      </c>
    </row>
    <row r="10">
      <c r="A10" s="8" t="inlineStr">
        <is>
          <t xml:space="preserve">    9. Prepaid expenses and deferred charges</t>
        </is>
      </c>
      <c r="B10" s="9" t="n">
        <v>17579</v>
      </c>
      <c r="C10" s="9" t="n">
        <v>29662</v>
      </c>
      <c r="D10" s="9" t="n">
        <v>35774</v>
      </c>
    </row>
    <row r="11">
      <c r="A11" s="8" t="inlineStr">
        <is>
          <t xml:space="preserve">    10c. Land, buildings, and equipment, net</t>
        </is>
      </c>
      <c r="B11" s="9" t="n">
        <v>20608776</v>
      </c>
      <c r="C11" s="9" t="n">
        <v>40696252</v>
      </c>
      <c r="D11" s="9" t="n">
        <v>40789438</v>
      </c>
    </row>
    <row r="12">
      <c r="A12" s="8" t="inlineStr">
        <is>
          <t xml:space="preserve">    12. Investments - other securities</t>
        </is>
      </c>
      <c r="B12" s="9" t="n">
        <v>2135586</v>
      </c>
      <c r="C12" s="9" t="n">
        <v>8974701</v>
      </c>
      <c r="D12" s="9" t="n">
        <v>9838004</v>
      </c>
    </row>
    <row r="13">
      <c r="A13" s="8" t="inlineStr">
        <is>
          <t xml:space="preserve">    14. Intangible assets</t>
        </is>
      </c>
      <c r="B13" s="9" t="n">
        <v>698151</v>
      </c>
      <c r="C13" s="9" t="n">
        <v>735759</v>
      </c>
      <c r="D13" s="9" t="n">
        <v>1270111</v>
      </c>
    </row>
    <row r="14">
      <c r="A14" s="8" t="inlineStr">
        <is>
          <t xml:space="preserve">    15. Other assets</t>
        </is>
      </c>
      <c r="B14" s="9" t="n">
        <v>439650</v>
      </c>
      <c r="C14" s="9" t="n">
        <v>456867</v>
      </c>
      <c r="D14" s="9" t="n">
        <v>1420097</v>
      </c>
    </row>
    <row r="15">
      <c r="A15" s="10" t="inlineStr">
        <is>
          <t>16. Total assets</t>
        </is>
      </c>
      <c r="B15" s="11">
        <f>SUM(B7:B14)</f>
        <v/>
      </c>
      <c r="C15" s="11">
        <f>SUM(C7:C14)</f>
        <v/>
      </c>
      <c r="D15" s="11">
        <f>SUM(D7:D14)</f>
        <v/>
      </c>
    </row>
    <row r="17">
      <c r="A17" s="6" t="inlineStr">
        <is>
          <t>Liabilities</t>
        </is>
      </c>
      <c r="B17" s="7" t="n"/>
      <c r="C17" s="7" t="n"/>
      <c r="D17" s="7" t="n"/>
    </row>
    <row r="18">
      <c r="A18" s="8" t="inlineStr">
        <is>
          <t xml:space="preserve">    17. Accounts payable and accrued expenses</t>
        </is>
      </c>
      <c r="B18" s="9" t="n">
        <v>495540</v>
      </c>
      <c r="C18" s="9" t="n">
        <v>578529</v>
      </c>
      <c r="D18" s="9" t="n">
        <v>707786</v>
      </c>
    </row>
    <row r="19">
      <c r="A19" s="8" t="inlineStr">
        <is>
          <t xml:space="preserve">    25. Other liabilities</t>
        </is>
      </c>
      <c r="B19" s="9" t="n">
        <v>102287</v>
      </c>
      <c r="C19" s="9" t="n">
        <v>1306600</v>
      </c>
      <c r="D19" s="9" t="n">
        <v>2599145</v>
      </c>
    </row>
    <row r="20">
      <c r="A20" s="10" t="inlineStr">
        <is>
          <t>26. Total liabilities</t>
        </is>
      </c>
      <c r="B20" s="11">
        <f>SUM(B18:B19)</f>
        <v/>
      </c>
      <c r="C20" s="11">
        <f>SUM(C18:C19)</f>
        <v/>
      </c>
      <c r="D20" s="11">
        <f>SUM(D18:D19)</f>
        <v/>
      </c>
    </row>
    <row r="22">
      <c r="A22" s="6" t="inlineStr">
        <is>
          <t>Net assets / fund balances</t>
        </is>
      </c>
      <c r="B22" s="7" t="n"/>
      <c r="C22" s="7" t="n"/>
      <c r="D22" s="7" t="n"/>
    </row>
    <row r="23">
      <c r="A23" s="8" t="inlineStr">
        <is>
          <t xml:space="preserve">    29. Capital stock or trust principal</t>
        </is>
      </c>
      <c r="B23" s="9" t="n">
        <v>190880</v>
      </c>
      <c r="C23" s="9" t="n">
        <v>190260</v>
      </c>
      <c r="D23" s="9" t="n">
        <v>190260</v>
      </c>
    </row>
    <row r="24">
      <c r="A24" s="8" t="inlineStr">
        <is>
          <t xml:space="preserve">    30. Paid-in or capital surplus</t>
        </is>
      </c>
      <c r="B24" s="9" t="n">
        <v>291553</v>
      </c>
      <c r="C24" s="9" t="n">
        <v>292173</v>
      </c>
      <c r="D24" s="9" t="n">
        <v>292173</v>
      </c>
    </row>
    <row r="25">
      <c r="A25" s="8" t="inlineStr">
        <is>
          <t xml:space="preserve">    31. Retained earnings / accumulated funds</t>
        </is>
      </c>
      <c r="B25" s="9" t="n">
        <v>26062262</v>
      </c>
      <c r="C25" s="9" t="n">
        <v>50221397</v>
      </c>
      <c r="D25" s="9" t="n">
        <v>50701876</v>
      </c>
    </row>
    <row r="26">
      <c r="A26" s="10" t="inlineStr">
        <is>
          <t>32. Total net assets / fund balances</t>
        </is>
      </c>
      <c r="B26" s="11">
        <f>SUM(B23:B25)</f>
        <v/>
      </c>
      <c r="C26" s="11">
        <f>SUM(C23:C25)</f>
        <v/>
      </c>
      <c r="D26" s="11">
        <f>SUM(D23:D25)</f>
        <v/>
      </c>
    </row>
    <row r="28" ht="42" customHeight="1">
      <c r="A28"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D1"/>
    <mergeCell ref="A28:D28"/>
    <mergeCell ref="A3:D3"/>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Riverside Highland Water Company</t>
        </is>
      </c>
    </row>
    <row r="2">
      <c r="A2" s="2" t="inlineStr">
        <is>
          <t>Reconciliation of Net Assets - Form 990 Part XI (USD)</t>
        </is>
      </c>
    </row>
    <row r="3">
      <c r="A3" s="2" t="inlineStr">
        <is>
          <t>Entity ID: cawc_0038   |   Fiscal year ends December 31.</t>
        </is>
      </c>
    </row>
    <row r="5">
      <c r="A5" s="4" t="inlineStr">
        <is>
          <t>Part XI line</t>
        </is>
      </c>
      <c r="B5" s="5" t="inlineStr">
        <is>
          <t>FY2020</t>
        </is>
      </c>
      <c r="C5" s="5" t="inlineStr">
        <is>
          <t>FY2022</t>
        </is>
      </c>
      <c r="D5" s="5" t="inlineStr">
        <is>
          <t>FY2023</t>
        </is>
      </c>
    </row>
    <row r="6">
      <c r="A6" s="6" t="inlineStr">
        <is>
          <t>Reconciliation</t>
        </is>
      </c>
      <c r="B6" s="7" t="n"/>
      <c r="C6" s="7" t="n"/>
      <c r="D6" s="7" t="n"/>
    </row>
    <row r="7">
      <c r="A7" s="8" t="inlineStr">
        <is>
          <t xml:space="preserve">    4. Net assets, beginning of year</t>
        </is>
      </c>
      <c r="B7" s="9" t="n">
        <v>25544927</v>
      </c>
      <c r="C7" s="9" t="n">
        <v>29853693</v>
      </c>
      <c r="D7" s="9" t="n">
        <v>50703830</v>
      </c>
    </row>
    <row r="8">
      <c r="A8" s="8" t="inlineStr">
        <is>
          <t xml:space="preserve">    3. Revenue less expenses</t>
        </is>
      </c>
      <c r="B8" s="9" t="n">
        <v>948565</v>
      </c>
      <c r="C8" s="9" t="n">
        <v>21478056</v>
      </c>
      <c r="D8" s="9" t="n">
        <v>418097</v>
      </c>
    </row>
    <row r="9">
      <c r="A9" s="8" t="inlineStr">
        <is>
          <t xml:space="preserve">    8. Prior period adjustments</t>
        </is>
      </c>
      <c r="B9" s="19" t="inlineStr">
        <is>
          <t>not reported</t>
        </is>
      </c>
      <c r="C9" s="19" t="inlineStr">
        <is>
          <t>not reported</t>
        </is>
      </c>
      <c r="D9" s="19" t="inlineStr">
        <is>
          <t>not reported</t>
        </is>
      </c>
    </row>
    <row r="10">
      <c r="A10" s="8" t="inlineStr">
        <is>
          <t xml:space="preserve">    9. Other changes in net assets</t>
        </is>
      </c>
      <c r="B10" s="9" t="n">
        <v>0</v>
      </c>
      <c r="C10" s="9" t="n">
        <v>-79621</v>
      </c>
      <c r="D10" s="9" t="n">
        <v>-80217</v>
      </c>
    </row>
    <row r="11">
      <c r="A11" s="10" t="inlineStr">
        <is>
          <t>10. Net assets, end of year</t>
        </is>
      </c>
      <c r="B11" s="11">
        <f>SUM(B7,B8,B9,B10)</f>
        <v/>
      </c>
      <c r="C11" s="11">
        <f>SUM(C7,C8,C9,C10)</f>
        <v/>
      </c>
      <c r="D11" s="11">
        <f>SUM(D7,D8,D9,D10)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D1"/>
    <mergeCell ref="A13:D13"/>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Riverside Highland Water Company</t>
        </is>
      </c>
    </row>
    <row r="2">
      <c r="A2" s="2" t="inlineStr">
        <is>
          <t>Cash Flow Proxies - derived (USD)</t>
        </is>
      </c>
    </row>
    <row r="3">
      <c r="A3" s="2" t="inlineStr">
        <is>
          <t>Entity ID: cawc_0038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FY2022</t>
        </is>
      </c>
      <c r="D7" s="5" t="inlineStr">
        <is>
          <t>FY2023</t>
        </is>
      </c>
    </row>
    <row r="8">
      <c r="A8" s="6" t="inlineStr">
        <is>
          <t>Operating</t>
        </is>
      </c>
      <c r="B8" s="7" t="n"/>
      <c r="C8" s="7" t="n"/>
      <c r="D8" s="7" t="n"/>
    </row>
    <row r="9">
      <c r="A9" s="8" t="inlineStr">
        <is>
          <t xml:space="preserve">    Net income</t>
        </is>
      </c>
      <c r="B9" s="9" t="n">
        <v>948565</v>
      </c>
      <c r="C9" s="9" t="n">
        <v>21478056</v>
      </c>
      <c r="D9" s="9" t="n">
        <v>418097</v>
      </c>
    </row>
    <row r="10">
      <c r="A10" s="8" t="inlineStr">
        <is>
          <t xml:space="preserve">    + Depreciation (reported)</t>
        </is>
      </c>
      <c r="B10" s="9" t="n">
        <v>1104199</v>
      </c>
      <c r="C10" s="9" t="n">
        <v>1167182</v>
      </c>
      <c r="D10" s="9" t="n">
        <v>1556793</v>
      </c>
    </row>
    <row r="11">
      <c r="A11" s="8" t="inlineStr">
        <is>
          <t xml:space="preserve">    − Δ Accounts receivable</t>
        </is>
      </c>
      <c r="B11" s="9" t="n"/>
      <c r="C11" s="9" t="n">
        <v>-73159</v>
      </c>
      <c r="D11" s="9" t="n">
        <v>40455</v>
      </c>
    </row>
    <row r="12">
      <c r="A12" s="8" t="inlineStr">
        <is>
          <t xml:space="preserve">    − Δ Inventories</t>
        </is>
      </c>
      <c r="B12" s="9" t="n"/>
      <c r="C12" s="9" t="n"/>
      <c r="D12" s="9" t="n"/>
    </row>
    <row r="13">
      <c r="A13" s="8" t="inlineStr">
        <is>
          <t xml:space="preserve">    − Δ Prepaid expenses</t>
        </is>
      </c>
      <c r="B13" s="9" t="n"/>
      <c r="C13" s="9" t="n">
        <v>-12083</v>
      </c>
      <c r="D13" s="9" t="n">
        <v>-6112</v>
      </c>
    </row>
    <row r="14">
      <c r="A14" s="8" t="inlineStr">
        <is>
          <t xml:space="preserve">    + Δ Accounts payable</t>
        </is>
      </c>
      <c r="B14" s="9" t="n"/>
      <c r="C14" s="9" t="n">
        <v>82989</v>
      </c>
      <c r="D14" s="9" t="n">
        <v>129257</v>
      </c>
    </row>
    <row r="15">
      <c r="A15" s="10" t="inlineStr">
        <is>
          <t xml:space="preserve">    Operating cash flow proxy</t>
        </is>
      </c>
      <c r="B15" s="11" t="n"/>
      <c r="C15" s="11" t="n">
        <v>22642985</v>
      </c>
      <c r="D15" s="11" t="n">
        <v>2138490</v>
      </c>
    </row>
    <row r="17">
      <c r="A17" s="6" t="inlineStr">
        <is>
          <t>Investing</t>
        </is>
      </c>
      <c r="B17" s="7" t="n"/>
      <c r="C17" s="7" t="n"/>
      <c r="D17" s="7" t="n"/>
    </row>
    <row r="18">
      <c r="A18" s="8" t="inlineStr">
        <is>
          <t xml:space="preserve">    − Δ PP&amp;E gross (capex proxy)</t>
        </is>
      </c>
      <c r="B18" s="9" t="n"/>
      <c r="C18" s="9" t="n">
        <v>-22409526</v>
      </c>
      <c r="D18" s="9" t="n">
        <v>-1730196</v>
      </c>
    </row>
    <row r="20">
      <c r="A20" s="6" t="inlineStr">
        <is>
          <t>Financing</t>
        </is>
      </c>
      <c r="B20" s="7" t="n"/>
      <c r="C20" s="7" t="n"/>
      <c r="D20" s="7" t="n"/>
    </row>
    <row r="21">
      <c r="A21" s="8" t="inlineStr">
        <is>
          <t xml:space="preserve">    Δ Mortgages &amp; notes payable</t>
        </is>
      </c>
      <c r="B21" s="9" t="n"/>
      <c r="C21" s="9" t="n"/>
      <c r="D21" s="9" t="n"/>
    </row>
    <row r="23">
      <c r="A23" s="6" t="inlineStr">
        <is>
          <t>Reconciliation</t>
        </is>
      </c>
      <c r="B23" s="7" t="n"/>
      <c r="C23" s="7" t="n"/>
      <c r="D23" s="7" t="n"/>
    </row>
    <row r="24">
      <c r="A24" s="10" t="inlineStr">
        <is>
          <t xml:space="preserve">    Δ Cash + temp. investments (actual)</t>
        </is>
      </c>
      <c r="B24" s="11" t="n"/>
      <c r="C24" s="11" t="n">
        <v>-1620221</v>
      </c>
      <c r="D24" s="11" t="n">
        <v>-517447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D1"/>
    <mergeCell ref="A5:D5"/>
    <mergeCell ref="A3:D3"/>
    <mergeCell ref="A26:D26"/>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s>
  <sheetData>
    <row r="1">
      <c r="A1" s="1" t="inlineStr">
        <is>
          <t>Riverside Highland Water Company</t>
        </is>
      </c>
    </row>
    <row r="2">
      <c r="A2" s="2" t="inlineStr">
        <is>
          <t>Financial Ratios</t>
        </is>
      </c>
    </row>
    <row r="3">
      <c r="A3" s="2" t="inlineStr">
        <is>
          <t>Entity ID: cawc_0038   |   Fiscal year ends December 31.</t>
        </is>
      </c>
    </row>
    <row r="5">
      <c r="A5" s="4" t="inlineStr">
        <is>
          <t>Ratio</t>
        </is>
      </c>
      <c r="B5" s="5" t="inlineStr">
        <is>
          <t>FY2020</t>
        </is>
      </c>
      <c r="C5" s="5" t="inlineStr">
        <is>
          <t>FY2022</t>
        </is>
      </c>
      <c r="D5" s="5" t="inlineStr">
        <is>
          <t>FY2023</t>
        </is>
      </c>
    </row>
    <row r="6">
      <c r="A6" s="6" t="inlineStr">
        <is>
          <t>Profitability (computed upstream)</t>
        </is>
      </c>
      <c r="B6" s="7" t="n"/>
      <c r="C6" s="7" t="n"/>
      <c r="D6" s="7" t="n"/>
    </row>
    <row r="7">
      <c r="A7" s="8" t="inlineStr">
        <is>
          <t xml:space="preserve">    Operating margin (NI / revenue)</t>
        </is>
      </c>
      <c r="B7" s="12" t="n">
        <v>0.1900696466850398</v>
      </c>
      <c r="C7" s="12" t="n">
        <v>0.807498778491158</v>
      </c>
      <c r="D7" s="12" t="n">
        <v>0.07022740000208282</v>
      </c>
    </row>
    <row r="8">
      <c r="A8" s="8" t="inlineStr">
        <is>
          <t xml:space="preserve">    Expense ratio (expenses / revenue)</t>
        </is>
      </c>
      <c r="B8" s="12" t="n">
        <v>0.8099303533149602</v>
      </c>
      <c r="C8" s="12" t="n">
        <v>0.192501221508842</v>
      </c>
      <c r="D8" s="12" t="n">
        <v>0.9297725999979172</v>
      </c>
    </row>
    <row r="9">
      <c r="A9" s="8" t="inlineStr">
        <is>
          <t xml:space="preserve">    Return on assets (NI / assets)</t>
        </is>
      </c>
      <c r="B9" s="12" t="n">
        <v>0.03494756308938425</v>
      </c>
      <c r="C9" s="12" t="n">
        <v>0.4084137889095694</v>
      </c>
      <c r="D9" s="12" t="n">
        <v>0.00767273785658025</v>
      </c>
    </row>
    <row r="10">
      <c r="A10" s="8" t="inlineStr">
        <is>
          <t xml:space="preserve">    Revenue growth (YoY)</t>
        </is>
      </c>
      <c r="B10" s="12" t="n">
        <v>0.2541491111722053</v>
      </c>
      <c r="C10" s="12" t="n">
        <v>1.857304362230313</v>
      </c>
      <c r="D10" s="12" t="n">
        <v>-0.7761704791728419</v>
      </c>
    </row>
    <row r="12">
      <c r="A12" s="6" t="inlineStr">
        <is>
          <t>Leverage &amp; solvency</t>
        </is>
      </c>
      <c r="B12" s="7" t="n"/>
      <c r="C12" s="7" t="n"/>
      <c r="D12" s="7" t="n"/>
    </row>
    <row r="13">
      <c r="A13" s="8" t="inlineStr">
        <is>
          <t xml:space="preserve">    Debt-to-assets (liab. / assets)</t>
        </is>
      </c>
      <c r="B13" s="12" t="n">
        <v>0.02202547721983978</v>
      </c>
      <c r="C13" s="12" t="n">
        <v>0.03584647872569602</v>
      </c>
      <c r="D13" s="12" t="n">
        <v>0.06068738755073293</v>
      </c>
    </row>
    <row r="14">
      <c r="A14" s="8" t="inlineStr">
        <is>
          <t xml:space="preserve">    Equity ratio (net assets / assets)</t>
        </is>
      </c>
      <c r="B14" s="12" t="n">
        <v>0.9779745227801602</v>
      </c>
      <c r="C14" s="12" t="n">
        <v>0.964153521274304</v>
      </c>
      <c r="D14" s="12" t="n">
        <v>0.9393126124492671</v>
      </c>
    </row>
    <row r="16">
      <c r="A16" s="6" t="inlineStr">
        <is>
          <t>Liquidity &amp; asset profile (derived here)</t>
        </is>
      </c>
      <c r="B16" s="7" t="n"/>
      <c r="C16" s="7" t="n"/>
      <c r="D16" s="7" t="n"/>
    </row>
    <row r="17">
      <c r="A17" s="8" t="inlineStr">
        <is>
          <t xml:space="preserve">    Current ratio (current assets / AP)</t>
        </is>
      </c>
      <c r="B17" s="20" t="n">
        <v>6.579406304233765</v>
      </c>
      <c r="C17" s="20" t="n">
        <v>2.982356977783309</v>
      </c>
      <c r="D17" s="20" t="n">
        <v>1.658114175753688</v>
      </c>
    </row>
    <row r="18">
      <c r="A18" s="8" t="inlineStr">
        <is>
          <t xml:space="preserve">    Cash ratio ((cash+temp inv.) / total liab.)</t>
        </is>
      </c>
      <c r="B18" s="20" t="n">
        <v>4.130596309634727</v>
      </c>
      <c r="C18" s="20" t="n">
        <v>0.4504524624044296</v>
      </c>
      <c r="D18" s="20" t="n">
        <v>0.1003087152408079</v>
      </c>
    </row>
    <row r="19">
      <c r="A19" s="8" t="inlineStr">
        <is>
          <t xml:space="preserve">    Asset age proxy (accum. deprec. / gross PP&amp;E)</t>
        </is>
      </c>
      <c r="B19" s="12" t="n">
        <v>0.4513069494544613</v>
      </c>
      <c r="C19" s="12" t="n">
        <v>0.3213816807538793</v>
      </c>
      <c r="D19" s="12" t="n">
        <v>0.3389013871041628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1:D1"/>
    <mergeCell ref="A21:D21"/>
    <mergeCell ref="A3:D3"/>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6"/>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Riverside Highland Water Company</t>
        </is>
      </c>
    </row>
    <row r="2">
      <c r="A2" s="2" t="inlineStr">
        <is>
          <t>Unit economics - per-customer revenue by category (USD)</t>
        </is>
      </c>
    </row>
    <row r="3">
      <c r="A3" s="2" t="inlineStr">
        <is>
          <t>Entity ID: cawc_0038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v>6217</v>
      </c>
      <c r="C6" s="23" t="inlineStr">
        <is>
          <t>State Water Board eAR Section 4 (CurTotalConnections), reporting year 2024</t>
        </is>
      </c>
    </row>
    <row r="7">
      <c r="A7" s="21" t="inlineStr">
        <is>
          <t>Total annual revenue (eAR Section 8b B1.8)</t>
        </is>
      </c>
      <c r="B7" s="9" t="n">
        <v>5302355</v>
      </c>
      <c r="C7" s="23" t="inlineStr">
        <is>
          <t>State Water Board eAR Section 8b, question B1.8 (total annual revenue), reporting year 2024</t>
        </is>
      </c>
    </row>
    <row r="8">
      <c r="A8" s="21" t="inlineStr">
        <is>
          <t>Primary source</t>
        </is>
      </c>
      <c r="B8" s="24" t="inlineStr"/>
      <c r="C8" s="23" t="inlineStr">
        <is>
          <t>State Water Board eAR Section 8b (revenue by rate/fee), reporting year 2024</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DIRECT</t>
        </is>
      </c>
      <c r="C12" s="9" t="n">
        <v>4192853</v>
      </c>
      <c r="D12" s="26" t="n">
        <v>674.42</v>
      </c>
      <c r="E12" s="27" t="n">
        <v>0.7907999999999999</v>
      </c>
    </row>
    <row r="13">
      <c r="A13" s="8" t="inlineStr">
        <is>
          <t>Assessment revenue (990 program-service revenue not matched to eAR water-rate revenue)</t>
        </is>
      </c>
      <c r="B13" s="25" t="inlineStr">
        <is>
          <t>IMPOSSIBLE</t>
        </is>
      </c>
      <c r="C13" s="28" t="inlineStr">
        <is>
          <t>IMPOSSIBLE</t>
        </is>
      </c>
      <c r="D13" s="28" t="inlineStr">
        <is>
          <t>IMPOSSIBLE</t>
        </is>
      </c>
      <c r="E13" s="28" t="inlineStr">
        <is>
          <t>IMPOSSIBLE</t>
        </is>
      </c>
    </row>
    <row r="14">
      <c r="A14" s="8" t="inlineStr">
        <is>
          <t>Meter revenue</t>
        </is>
      </c>
      <c r="B14" s="25" t="inlineStr">
        <is>
          <t>not reported</t>
        </is>
      </c>
      <c r="C14" s="28" t="inlineStr">
        <is>
          <t>not reported</t>
        </is>
      </c>
      <c r="D14" s="28" t="inlineStr">
        <is>
          <t>not reported</t>
        </is>
      </c>
      <c r="E14" s="28" t="inlineStr">
        <is>
          <t>not reported</t>
        </is>
      </c>
    </row>
    <row r="15">
      <c r="A15" s="8" t="inlineStr">
        <is>
          <t>Overage or tiered penalty revenue</t>
        </is>
      </c>
      <c r="B15" s="25" t="inlineStr">
        <is>
          <t>not reported</t>
        </is>
      </c>
      <c r="C15" s="28" t="inlineStr">
        <is>
          <t>not reported</t>
        </is>
      </c>
      <c r="D15" s="28" t="inlineStr">
        <is>
          <t>not reported</t>
        </is>
      </c>
      <c r="E15" s="28"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1" t="inlineStr">
        <is>
          <t>Numerator: Water rate revenue</t>
        </is>
      </c>
      <c r="B19" s="9" t="n">
        <v>4192853</v>
      </c>
      <c r="C19" s="23" t="inlineStr">
        <is>
          <t>eAR Section 8b field B1.1 (residential water rates) + B1.2 (non-residential water rates). State Water Board eAR Section 8b, question B1.1 + B1.2 (revenue from water rates), reporting year 2024</t>
        </is>
      </c>
    </row>
    <row r="20">
      <c r="A20" s="21" t="inlineStr">
        <is>
          <t>Denominator: Total service connections</t>
        </is>
      </c>
      <c r="B20" s="22" t="n">
        <v>6217</v>
      </c>
      <c r="C20" s="23" t="inlineStr">
        <is>
          <t>eAR Section 4 CurTotalConnections, reporting year 2024. State Water Board eAR Section 4 (CurTotalConnections), reporting year 2024</t>
        </is>
      </c>
    </row>
    <row r="21" ht="36" customHeight="1">
      <c r="A21" s="3" t="inlineStr">
        <is>
          <t>Per customer: water rate revenue $4,192,853 / 6,217 connections = $674.42 per connection</t>
        </is>
      </c>
    </row>
    <row r="22" ht="36" customHeight="1">
      <c r="A22" s="3" t="inlineStr">
        <is>
          <t>Share of revenue: water rate revenue $4,192,853 / total annual revenue (eAR Section 8b B1.8) $5,302,355 = 79.08%</t>
        </is>
      </c>
    </row>
    <row r="23" ht="66" customHeight="1">
      <c r="A23" s="3" t="inlineStr">
        <is>
          <t>Period treatment: Numerator (eAR Section 8b, the calendar year 2024) and denominator (eAR Section 4 connections reported in the same eAR filing) are both the eAR reporting year 2024,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IMPOSSIBLE</t>
        </is>
      </c>
      <c r="B26" s="7" t="n"/>
      <c r="C26" s="7" t="n"/>
      <c r="D26" s="7" t="n"/>
      <c r="E26" s="7" t="n"/>
    </row>
    <row r="27" ht="36" customHeight="1">
      <c r="A27" s="3" t="inlineStr">
        <is>
          <t>Not computed. A period-aligned residual is not possible for this filer.</t>
        </is>
      </c>
    </row>
    <row r="28" ht="66" customHeight="1">
      <c r="A28" s="3" t="inlineStr">
        <is>
          <t>Reason: Not derivable. The eAR Section 8b is the calendar year 2024 while the Form 990 fiscal year ends None; the two period ends are not aligned, so a period-aligned residual cannot be computed.</t>
        </is>
      </c>
    </row>
    <row r="30">
      <c r="A30" s="6" t="inlineStr">
        <is>
          <t>Meter revenue - not reported</t>
        </is>
      </c>
      <c r="B30" s="7" t="n"/>
      <c r="C30" s="7" t="n"/>
      <c r="D30" s="7" t="n"/>
      <c r="E30" s="7" t="n"/>
    </row>
    <row r="31" ht="36" customHeight="1">
      <c r="A31" s="3" t="inlineStr">
        <is>
          <t>Not reported. This category is not built because doing so would double-count.</t>
        </is>
      </c>
    </row>
    <row r="32" ht="81" customHeight="1">
      <c r="A32"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34">
      <c r="A34" s="6" t="inlineStr">
        <is>
          <t>Overage or tiered penalty revenue - not reported</t>
        </is>
      </c>
      <c r="B34" s="7" t="n"/>
      <c r="C34" s="7" t="n"/>
      <c r="D34" s="7" t="n"/>
      <c r="E34" s="7" t="n"/>
    </row>
    <row r="35" ht="36" customHeight="1">
      <c r="A35" s="3" t="inlineStr">
        <is>
          <t>Not reported. This category is not built because doing so would double-count.</t>
        </is>
      </c>
    </row>
    <row r="36" ht="81" customHeight="1">
      <c r="A36"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5">
    <mergeCell ref="A21:E21"/>
    <mergeCell ref="A35:E35"/>
    <mergeCell ref="A24:E24"/>
    <mergeCell ref="A2:E2"/>
    <mergeCell ref="A28:E28"/>
    <mergeCell ref="A1:E1"/>
    <mergeCell ref="A5:E5"/>
    <mergeCell ref="A23:E23"/>
    <mergeCell ref="A32:E32"/>
    <mergeCell ref="A31:E31"/>
    <mergeCell ref="A36:E36"/>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8"/>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Riverside Highland Water Company</t>
        </is>
      </c>
    </row>
    <row r="2">
      <c r="A2" s="2" t="inlineStr">
        <is>
          <t>Rate structure and representative bill - eAR Section 8a (RY2024)</t>
        </is>
      </c>
    </row>
    <row r="3">
      <c r="A3" s="2" t="inlineStr">
        <is>
          <t>Entity ID: cawc_0038   |   Fiscal year ends December 31.</t>
        </is>
      </c>
    </row>
    <row r="5" ht="81" customHeight="1">
      <c r="A5" s="29" t="inlineStr">
        <is>
          <t>This block is a rate-schedule illustration at defined usage levels. It is NOT billed revenue and not a claim about any real customer's usage. The revenue side of unit economics is the separate Unit Economics block.</t>
        </is>
      </c>
    </row>
    <row r="6" ht="36" customHeight="1">
      <c r="A6" s="30" t="inlineStr">
        <is>
          <t>Structure: Tiered increasing-block with a fixed base, billed bimonthly, priced per HCF.</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1" t="inlineStr"/>
      <c r="B10" s="5" t="inlineStr">
        <is>
          <t>Low</t>
        </is>
      </c>
      <c r="C10" s="5" t="inlineStr">
        <is>
          <t>Median</t>
        </is>
      </c>
      <c r="D10" s="5" t="inlineStr">
        <is>
          <t>High</t>
        </is>
      </c>
    </row>
    <row r="11">
      <c r="A11" s="8" t="inlineStr">
        <is>
          <t>Monthly usage (HCF)</t>
        </is>
      </c>
      <c r="B11" s="32" t="n">
        <v>5</v>
      </c>
      <c r="C11" s="32" t="n">
        <v>10</v>
      </c>
      <c r="D11" s="32" t="n">
        <v>25</v>
      </c>
    </row>
    <row r="12">
      <c r="A12" s="8" t="inlineStr">
        <is>
          <t>Months per bill (from filed billing frequency)</t>
        </is>
      </c>
      <c r="B12" s="33" t="n">
        <v>2</v>
      </c>
      <c r="C12" s="13" t="inlineStr">
        <is>
          <t>bimonthly biller</t>
        </is>
      </c>
    </row>
    <row r="14">
      <c r="A14" s="6" t="inlineStr">
        <is>
          <t>Filed rate table - single-family residential (as filed, eAR Section 8a)</t>
        </is>
      </c>
      <c r="B14" s="7" t="n"/>
      <c r="C14" s="7" t="n"/>
      <c r="D14" s="7" t="n"/>
    </row>
    <row r="15">
      <c r="A15" s="8" t="inlineStr">
        <is>
          <t>Base / fixed charge per bimonthly bill ($)</t>
        </is>
      </c>
      <c r="B15" s="26" t="n">
        <v>1.16</v>
      </c>
    </row>
    <row r="16">
      <c r="A16" s="4" t="inlineStr">
        <is>
          <t>Tier</t>
        </is>
      </c>
      <c r="B16" s="4" t="inlineStr">
        <is>
          <t>Range (HCF)</t>
        </is>
      </c>
      <c r="C16" s="34" t="inlineStr">
        <is>
          <t>Price ($/HCF)</t>
        </is>
      </c>
      <c r="D16" s="34" t="inlineStr">
        <is>
          <t>Upper limit (HCF)</t>
        </is>
      </c>
    </row>
    <row r="17">
      <c r="A17" s="8" t="inlineStr">
        <is>
          <t>Tier 1</t>
        </is>
      </c>
      <c r="B17" s="8" t="inlineStr">
        <is>
          <t>0 to 30 HCF</t>
        </is>
      </c>
      <c r="C17" s="35" t="n">
        <v>1.16</v>
      </c>
      <c r="D17" s="36" t="n">
        <v>30</v>
      </c>
    </row>
    <row r="18">
      <c r="A18" s="8" t="inlineStr">
        <is>
          <t>Tier 2</t>
        </is>
      </c>
      <c r="B18" s="8" t="inlineStr">
        <is>
          <t>30 to 70 HCF</t>
        </is>
      </c>
      <c r="C18" s="35" t="n">
        <v>1.51</v>
      </c>
      <c r="D18" s="36" t="n">
        <v>70</v>
      </c>
    </row>
    <row r="19">
      <c r="A19" s="8" t="inlineStr">
        <is>
          <t>Tier 3</t>
        </is>
      </c>
      <c r="B19" s="8" t="inlineStr">
        <is>
          <t>70 to 100 HCF</t>
        </is>
      </c>
      <c r="C19" s="35" t="n">
        <v>1.78</v>
      </c>
      <c r="D19" s="36" t="n">
        <v>100</v>
      </c>
    </row>
    <row r="20">
      <c r="A20" s="8" t="inlineStr">
        <is>
          <t>Tier 4</t>
        </is>
      </c>
      <c r="B20" s="8" t="inlineStr">
        <is>
          <t>100 to 1e+10 HCF</t>
        </is>
      </c>
      <c r="C20" s="35" t="n">
        <v>2.05</v>
      </c>
      <c r="D20" s="36" t="n">
        <v>9999999999</v>
      </c>
    </row>
    <row r="22">
      <c r="A22" s="6" t="inlineStr">
        <is>
          <t>Flags on the filed rate table (nothing below is corrected)</t>
        </is>
      </c>
      <c r="B22" s="7" t="n"/>
      <c r="C22" s="7" t="n"/>
      <c r="D22" s="7" t="n"/>
    </row>
    <row r="23" ht="126" customHeight="1">
      <c r="A23" s="3" t="inlineStr">
        <is>
          <t>Fixed charge: implausible as filed; checked against source. The filed base charge of $1.16 per bill is $0.58 per month, outside the $5.00 to $500.00 per month range a residential fixed charge plausibly takes. A filed $0.00 can simply mean the company charges no fixed charge. Carried exactly as filed and not corrected. Source: State Water Board eAR Section 8 / WRSFCostPerUOM1</t>
        </is>
      </c>
    </row>
    <row r="25">
      <c r="A25" s="6" t="inlineStr">
        <is>
          <t>Representative monthly bill - LIVE (edit a yellow usage cell to recompute)</t>
        </is>
      </c>
      <c r="B25" s="7" t="n"/>
      <c r="C25" s="7" t="n"/>
      <c r="D25" s="7" t="n"/>
    </row>
    <row r="26">
      <c r="A26" s="31" t="inlineStr"/>
      <c r="B26" s="5" t="inlineStr">
        <is>
          <t>Low</t>
        </is>
      </c>
      <c r="C26" s="5" t="inlineStr">
        <is>
          <t>Median</t>
        </is>
      </c>
      <c r="D26" s="5" t="inlineStr">
        <is>
          <t>High</t>
        </is>
      </c>
    </row>
    <row r="27">
      <c r="A27" s="8" t="inlineStr">
        <is>
          <t>Usage per bill (HCF)</t>
        </is>
      </c>
      <c r="B27" s="37">
        <f>B11*$B$12</f>
        <v/>
      </c>
      <c r="C27" s="37">
        <f>C11*$B$12</f>
        <v/>
      </c>
      <c r="D27" s="37">
        <f>D11*$B$12</f>
        <v/>
      </c>
    </row>
    <row r="28">
      <c r="A28" s="8" t="inlineStr">
        <is>
          <t xml:space="preserve">    Tier 1 charge per bill ($)</t>
        </is>
      </c>
      <c r="B28" s="38">
        <f>$C$17*MAX(0,MIN(B27,$D$17)-0)</f>
        <v/>
      </c>
      <c r="C28" s="38">
        <f>$C$17*MAX(0,MIN(C27,$D$17)-0)</f>
        <v/>
      </c>
      <c r="D28" s="38">
        <f>$C$17*MAX(0,MIN(D27,$D$17)-0)</f>
        <v/>
      </c>
    </row>
    <row r="29">
      <c r="A29" s="8" t="inlineStr">
        <is>
          <t xml:space="preserve">    Tier 2 charge per bill ($)</t>
        </is>
      </c>
      <c r="B29" s="38">
        <f>$C$18*MAX(0,MIN(B27,$D$18)-$D$17)</f>
        <v/>
      </c>
      <c r="C29" s="38">
        <f>$C$18*MAX(0,MIN(C27,$D$18)-$D$17)</f>
        <v/>
      </c>
      <c r="D29" s="38">
        <f>$C$18*MAX(0,MIN(D27,$D$18)-$D$17)</f>
        <v/>
      </c>
    </row>
    <row r="30">
      <c r="A30" s="8" t="inlineStr">
        <is>
          <t xml:space="preserve">    Tier 3 charge per bill ($)</t>
        </is>
      </c>
      <c r="B30" s="38">
        <f>$C$19*MAX(0,MIN(B27,$D$19)-$D$18)</f>
        <v/>
      </c>
      <c r="C30" s="38">
        <f>$C$19*MAX(0,MIN(C27,$D$19)-$D$18)</f>
        <v/>
      </c>
      <c r="D30" s="38">
        <f>$C$19*MAX(0,MIN(D27,$D$19)-$D$18)</f>
        <v/>
      </c>
    </row>
    <row r="31">
      <c r="A31" s="8" t="inlineStr">
        <is>
          <t xml:space="preserve">    Tier 4 charge per bill ($)</t>
        </is>
      </c>
      <c r="B31" s="38">
        <f>$C$20*MAX(0,MIN(B27,$D$20)-$D$19)</f>
        <v/>
      </c>
      <c r="C31" s="38">
        <f>$C$20*MAX(0,MIN(C27,$D$20)-$D$19)</f>
        <v/>
      </c>
      <c r="D31" s="38">
        <f>$C$20*MAX(0,MIN(D27,$D$20)-$D$19)</f>
        <v/>
      </c>
    </row>
    <row r="32">
      <c r="A32" s="8" t="inlineStr">
        <is>
          <t>Volumetric charge per bill ($)</t>
        </is>
      </c>
      <c r="B32" s="38">
        <f>SUM(B28,B29,B30,B31)</f>
        <v/>
      </c>
      <c r="C32" s="38">
        <f>SUM(C28,C29,C30,C31)</f>
        <v/>
      </c>
      <c r="D32" s="38">
        <f>SUM(D28,D29,D30,D31)</f>
        <v/>
      </c>
    </row>
    <row r="33">
      <c r="A33" s="8" t="inlineStr">
        <is>
          <t>Base charge per bill ($)</t>
        </is>
      </c>
      <c r="B33" s="38">
        <f>$B$15</f>
        <v/>
      </c>
      <c r="C33" s="38">
        <f>$B$15</f>
        <v/>
      </c>
      <c r="D33" s="38">
        <f>$B$15</f>
        <v/>
      </c>
    </row>
    <row r="34">
      <c r="A34" s="8" t="inlineStr">
        <is>
          <t>Total per bill ($)</t>
        </is>
      </c>
      <c r="B34" s="38">
        <f>B33+B32</f>
        <v/>
      </c>
      <c r="C34" s="38">
        <f>C33+C32</f>
        <v/>
      </c>
      <c r="D34" s="38">
        <f>D33+D32</f>
        <v/>
      </c>
    </row>
    <row r="35">
      <c r="A35" s="10" t="inlineStr">
        <is>
          <t>Total per MONTH ($)</t>
        </is>
      </c>
      <c r="B35" s="39">
        <f>B34/$B$12</f>
        <v/>
      </c>
      <c r="C35" s="39">
        <f>C34/$B$12</f>
        <v/>
      </c>
      <c r="D35" s="39">
        <f>D34/$B$12</f>
        <v/>
      </c>
    </row>
    <row r="36">
      <c r="A36" s="8" t="inlineStr">
        <is>
          <t xml:space="preserve">    Fixed per month ($)</t>
        </is>
      </c>
      <c r="B36" s="38">
        <f>$B$15/$B$12</f>
        <v/>
      </c>
      <c r="C36" s="38">
        <f>$B$15/$B$12</f>
        <v/>
      </c>
      <c r="D36" s="38">
        <f>$B$15/$B$12</f>
        <v/>
      </c>
    </row>
    <row r="37">
      <c r="A37" s="8" t="inlineStr">
        <is>
          <t xml:space="preserve">    Volumetric per month ($)</t>
        </is>
      </c>
      <c r="B37" s="38">
        <f>B32/$B$12</f>
        <v/>
      </c>
      <c r="C37" s="38">
        <f>C32/$B$12</f>
        <v/>
      </c>
      <c r="D37" s="38">
        <f>D32/$B$12</f>
        <v/>
      </c>
    </row>
    <row r="38">
      <c r="A38" s="8" t="inlineStr">
        <is>
          <t>Effective price ($/HCF)</t>
        </is>
      </c>
      <c r="B38" s="38">
        <f>IF(B11=0,"",B35/B11)</f>
        <v/>
      </c>
      <c r="C38" s="38">
        <f>IF(C11=0,"",C35/C11)</f>
        <v/>
      </c>
      <c r="D38" s="38">
        <f>IF(D11=0,"",D35/D11)</f>
        <v/>
      </c>
    </row>
    <row r="40">
      <c r="A40" s="6" t="inlineStr">
        <is>
          <t>Rate-structure comparison metrics</t>
        </is>
      </c>
      <c r="B40" s="7" t="n"/>
      <c r="C40" s="7" t="n"/>
      <c r="D40" s="7" t="n"/>
    </row>
    <row r="41">
      <c r="A41" s="8" t="inlineStr">
        <is>
          <t>Fixed share of the bill at median usage</t>
        </is>
      </c>
      <c r="B41" s="40">
        <f>C36/C35</f>
        <v/>
      </c>
      <c r="C41" s="13" t="inlineStr">
        <is>
          <t>fixed / total at 10 HCF/month</t>
        </is>
      </c>
    </row>
    <row r="42">
      <c r="A42" s="8" t="inlineStr">
        <is>
          <t>Tier price ratio (highest to lowest positive tier)</t>
        </is>
      </c>
      <c r="B42" s="41">
        <f>$C$20/$C$17</f>
        <v/>
      </c>
      <c r="C42" s="13" t="inlineStr">
        <is>
          <t>highest filed tier price divided by lowest filed tier price.</t>
        </is>
      </c>
    </row>
    <row r="43">
      <c r="A43" s="8" t="inlineStr">
        <is>
          <t>Rate structure (as filed)</t>
        </is>
      </c>
      <c r="B43" s="42" t="inlineStr">
        <is>
          <t>tiered (Variable Usage)</t>
        </is>
      </c>
    </row>
    <row r="45">
      <c r="A45" s="6" t="inlineStr">
        <is>
          <t>Flagged (carried as filed, never reconciled)</t>
        </is>
      </c>
      <c r="B45" s="7" t="n"/>
      <c r="C45" s="7" t="n"/>
      <c r="D45" s="7" t="n"/>
    </row>
    <row r="46" ht="81" customHeight="1">
      <c r="A46" s="30" t="inlineStr">
        <is>
          <t>The single-family base charge or tier thresholds filed for RY2024 differ from RY2023, yet the eAR answer to whether rates changed is "No". Carried exactly as filed; both years are preserved and the difference is surfaced, never reconciled.</t>
        </is>
      </c>
    </row>
    <row r="47" ht="66" customHeight="1">
      <c r="A47" s="3" t="inlineStr">
        <is>
          <t>RY2023: base $1.16, tier upper thresholds [4000.0, 7000.0, 11000.0, 110001.0]. RY2024: base $1.16, tier upper thresholds [30.0, 70.0, 100.0, 9999999999.0].</t>
        </is>
      </c>
    </row>
    <row r="48" ht="66" customHeight="1">
      <c r="A48" s="3" t="inlineStr">
        <is>
          <t>State Water Board eAR Section 8a (Customer Charges), single- and multi-family residential charges grid, reporting year 2024. Rate structure only; no revenue.</t>
        </is>
      </c>
    </row>
  </sheetData>
  <mergeCells count="10">
    <mergeCell ref="A1:D1"/>
    <mergeCell ref="A5:D5"/>
    <mergeCell ref="A23:D23"/>
    <mergeCell ref="A6:D6"/>
    <mergeCell ref="A48:D48"/>
    <mergeCell ref="A3:D3"/>
    <mergeCell ref="A7:D7"/>
    <mergeCell ref="A2:D2"/>
    <mergeCell ref="A47:D47"/>
    <mergeCell ref="A46:D4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Riverside Highland Water Company</t>
        </is>
      </c>
    </row>
    <row r="2">
      <c r="A2" s="2" t="inlineStr">
        <is>
          <t>eAR annual revenue and expenses - State Water Board eAR Section 8b (USD)</t>
        </is>
      </c>
    </row>
    <row r="3">
      <c r="A3" s="2" t="inlineStr">
        <is>
          <t>Entity ID: cawc_0038   |   Fiscal year ends December 31.</t>
        </is>
      </c>
    </row>
    <row r="5" ht="141" customHeight="1">
      <c r="A5" s="3" t="inlineStr">
        <is>
          <t>The water system's own annual figures from the public eAR Section 8b, on the calendar year 2024 the filer self-reported (B0.1/B0.2). Shown beside the period-aligned Form 990 with the variance flagged: a different source (a State Water Board self-report vs an IRS filing). Preserved as filed, never reconciled.</t>
        </is>
      </c>
    </row>
    <row r="6">
      <c r="A6" s="21" t="inlineStr">
        <is>
          <t>Reporting period basis (self-reported)</t>
        </is>
      </c>
      <c r="B6" s="24" t="inlineStr">
        <is>
          <t>calendar year 2024</t>
        </is>
      </c>
      <c r="C6" s="23"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1" t="inlineStr">
        <is>
          <t>Water rate revenue</t>
        </is>
      </c>
      <c r="B10" s="9" t="n">
        <v>4192853</v>
      </c>
      <c r="C10" s="23" t="inlineStr">
        <is>
          <t>State Water Board eAR Section 8b, question B1.1 + B1.2 (revenue from water rates), reporting year 2024</t>
        </is>
      </c>
    </row>
    <row r="11">
      <c r="A11" s="21" t="inlineStr">
        <is>
          <t>Other fees and charges</t>
        </is>
      </c>
      <c r="B11" s="9" t="n">
        <v>1109502</v>
      </c>
      <c r="C11" s="23" t="inlineStr">
        <is>
          <t>State Water Board eAR Section 8b, question B1.3 + B1.4 (revenue from other fees), reporting year 2024</t>
        </is>
      </c>
    </row>
    <row r="12">
      <c r="A12" s="21" t="inlineStr">
        <is>
          <t>Non-customer revenue</t>
        </is>
      </c>
      <c r="B12" s="9" t="n">
        <v>0</v>
      </c>
      <c r="C12" s="23" t="inlineStr">
        <is>
          <t>State Water Board eAR Section 8b, question B1.7 (grants, interest, and other non-customer), reporting year 2024</t>
        </is>
      </c>
    </row>
    <row r="13">
      <c r="A13" s="21" t="inlineStr">
        <is>
          <t>Total annual revenue</t>
        </is>
      </c>
      <c r="B13" s="43" t="n">
        <v>5302355</v>
      </c>
      <c r="C13" s="23" t="inlineStr">
        <is>
          <t>State Water Board eAR Section 8b, question B1.8 (total annual revenue for the reporting year), reporting year 2024</t>
        </is>
      </c>
    </row>
    <row r="15">
      <c r="A15" s="6" t="inlineStr">
        <is>
          <t>Expenses (eAR Section 8b, questions B2.x)</t>
        </is>
      </c>
      <c r="B15" s="7" t="n"/>
      <c r="C15" s="7" t="n"/>
    </row>
    <row r="16">
      <c r="A16" s="5" t="inlineStr">
        <is>
          <t>Line</t>
        </is>
      </c>
      <c r="B16" s="5" t="inlineStr">
        <is>
          <t>Amount (USD)</t>
        </is>
      </c>
      <c r="C16" s="5" t="inlineStr">
        <is>
          <t>Citation</t>
        </is>
      </c>
    </row>
    <row r="17">
      <c r="A17" s="21" t="inlineStr">
        <is>
          <t>Operations and maintenance</t>
        </is>
      </c>
      <c r="B17" s="9" t="n">
        <v>3789594</v>
      </c>
      <c r="C17" s="23" t="inlineStr">
        <is>
          <t>State Water Board eAR Section 8b, question B2.1 (annual O and M expense), reporting year 2024</t>
        </is>
      </c>
    </row>
    <row r="18">
      <c r="A18" s="21" t="inlineStr">
        <is>
          <t>Capital</t>
        </is>
      </c>
      <c r="B18" s="9" t="n">
        <v>1906325</v>
      </c>
      <c r="C18" s="23" t="inlineStr">
        <is>
          <t>State Water Board eAR Section 8b, question B2.2 (annual expenses from investing or capital), reporting year 2024</t>
        </is>
      </c>
    </row>
    <row r="19">
      <c r="A19" s="21" t="inlineStr">
        <is>
          <t>Financing</t>
        </is>
      </c>
      <c r="B19" s="9" t="n">
        <v>0</v>
      </c>
      <c r="C19" s="23" t="inlineStr">
        <is>
          <t>State Water Board eAR Section 8b, question B2.3 (annual expenses from financing), reporting year 2024</t>
        </is>
      </c>
    </row>
    <row r="20">
      <c r="A20" s="21" t="inlineStr">
        <is>
          <t>Other</t>
        </is>
      </c>
      <c r="B20" s="9" t="n">
        <v>0</v>
      </c>
      <c r="C20" s="23" t="inlineStr">
        <is>
          <t>State Water Board eAR Section 8b, question B2.4 (total other annual expenses), reporting year 2024</t>
        </is>
      </c>
    </row>
    <row r="21">
      <c r="A21" s="21" t="inlineStr">
        <is>
          <t>Total annual expenses</t>
        </is>
      </c>
      <c r="B21" s="43" t="n">
        <v>5695919</v>
      </c>
      <c r="C21" s="23" t="inlineStr">
        <is>
          <t>State Water Board eAR Section 8b, question B2.5 (total annual expenses), reporting year 2024</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5302355</v>
      </c>
      <c r="C25" s="9" t="n"/>
    </row>
    <row r="26">
      <c r="A26" s="14" t="inlineStr">
        <is>
          <t>Variance (eAR minus Form 990)</t>
        </is>
      </c>
      <c r="B26" s="15">
        <f>B25-C25</f>
        <v/>
      </c>
      <c r="C26" s="44" t="n"/>
    </row>
    <row r="27" ht="156" customHeight="1">
      <c r="A27" s="3" t="inlineStr">
        <is>
          <t>The eAR Section 8b total revenue (State Water Board self-report, calendar year 2024) and the Form 990 total revenue (IRS filing) are a different source and cover a different period (the eAR Section 8b covers the calendar year 2024; the nearest Form 990 fiscal year ends None). Both are carried as filed; the variance is surfaced, never reconciled.</t>
        </is>
      </c>
    </row>
    <row r="28">
      <c r="A28" s="8" t="inlineStr">
        <is>
          <t>total expenses</t>
        </is>
      </c>
      <c r="B28" s="9" t="n">
        <v>5695919</v>
      </c>
      <c r="C28" s="9" t="n"/>
    </row>
    <row r="29">
      <c r="A29" s="14" t="inlineStr">
        <is>
          <t>Variance (eAR minus Form 990)</t>
        </is>
      </c>
      <c r="B29" s="15">
        <f>B28-C28</f>
        <v/>
      </c>
      <c r="C29" s="44" t="n"/>
    </row>
    <row r="30" ht="156" customHeight="1">
      <c r="A30" s="3" t="inlineStr">
        <is>
          <t>The eAR Section 8b total expenses (State Water Board self-report, calendar year 2024) and the Form 990 total expenses (IRS filing) are a different source and cover a different period (the eAR Section 8b covers the calendar year 2024; the nearest Form 990 fiscal year ends None).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Riverside Highland Water Company</t>
        </is>
      </c>
    </row>
    <row r="2">
      <c r="A2" s="2" t="inlineStr">
        <is>
          <t>Denominators and calendar alignment</t>
        </is>
      </c>
    </row>
    <row r="3">
      <c r="A3" s="2" t="inlineStr">
        <is>
          <t>Entity ID: cawc_0038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1" t="inlineStr">
        <is>
          <t>Customer (service connection)</t>
        </is>
      </c>
      <c r="B7" s="22" t="n">
        <v>5943</v>
      </c>
      <c r="C7" s="23" t="inlineStr">
        <is>
          <t>State Water Board eAR Section 4 (CurTotalConnections), reporting year 2023</t>
        </is>
      </c>
    </row>
    <row r="8">
      <c r="A8" s="21" t="inlineStr">
        <is>
          <t>Member (shareholder)</t>
        </is>
      </c>
      <c r="B8" s="24" t="n"/>
      <c r="C8" s="23"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FY2019 (2019-12-31)</t>
        </is>
      </c>
      <c r="B13" s="22" t="n">
        <v>5335</v>
      </c>
      <c r="C13" s="19" t="inlineStr">
        <is>
          <t>not reported</t>
        </is>
      </c>
      <c r="D13" s="22" t="n">
        <v>5430.7</v>
      </c>
      <c r="E13" s="19" t="inlineStr">
        <is>
          <t>not reported</t>
        </is>
      </c>
      <c r="F13" s="19" t="inlineStr">
        <is>
          <t>not reported</t>
        </is>
      </c>
      <c r="G13" s="24" t="inlineStr">
        <is>
          <t>eAR annual total, calendar filer, equals fiscal year (not a monthly recast)</t>
        </is>
      </c>
    </row>
    <row r="14" ht="40" customHeight="1">
      <c r="A14" s="8" t="inlineStr">
        <is>
          <t>FY2020 (2020-12-31)</t>
        </is>
      </c>
      <c r="B14" s="22" t="n">
        <v>5335</v>
      </c>
      <c r="C14" s="19" t="inlineStr">
        <is>
          <t>not reported</t>
        </is>
      </c>
      <c r="D14" s="22" t="n">
        <v>5430.7</v>
      </c>
      <c r="E14" s="19" t="inlineStr">
        <is>
          <t>not reported</t>
        </is>
      </c>
      <c r="F14" s="19" t="inlineStr">
        <is>
          <t>not reported</t>
        </is>
      </c>
      <c r="G14" s="24" t="inlineStr">
        <is>
          <t>eAR annual total, calendar filer, equals fiscal year (not a monthly recast)</t>
        </is>
      </c>
    </row>
    <row r="15" ht="40" customHeight="1">
      <c r="A15" s="8" t="inlineStr">
        <is>
          <t>FY2021 (2021-12-31)</t>
        </is>
      </c>
      <c r="B15" s="22" t="n">
        <v>5656</v>
      </c>
      <c r="C15" s="19" t="inlineStr">
        <is>
          <t>not reported</t>
        </is>
      </c>
      <c r="D15" s="22" t="n">
        <v>5430.7</v>
      </c>
      <c r="E15" s="19" t="inlineStr">
        <is>
          <t>not reported</t>
        </is>
      </c>
      <c r="F15" s="19" t="inlineStr">
        <is>
          <t>not reported</t>
        </is>
      </c>
      <c r="G15" s="24" t="inlineStr">
        <is>
          <t>eAR annual total, calendar filer, equals fiscal year (not a monthly recast)</t>
        </is>
      </c>
    </row>
    <row r="16" ht="40" customHeight="1">
      <c r="A16" s="8" t="inlineStr">
        <is>
          <t>FY2022 (2022-12-31)</t>
        </is>
      </c>
      <c r="B16" s="22" t="n">
        <v>5943</v>
      </c>
      <c r="C16" s="19" t="inlineStr">
        <is>
          <t>not reported</t>
        </is>
      </c>
      <c r="D16" s="22" t="n">
        <v>5430.7</v>
      </c>
      <c r="E16" s="19" t="inlineStr">
        <is>
          <t>not reported</t>
        </is>
      </c>
      <c r="F16" s="19" t="inlineStr">
        <is>
          <t>not reported</t>
        </is>
      </c>
      <c r="G16" s="24" t="inlineStr">
        <is>
          <t>eAR annual total, calendar filer, equals fiscal year (not a monthly recast)</t>
        </is>
      </c>
    </row>
    <row r="17" ht="40" customHeight="1">
      <c r="A17" s="8" t="inlineStr">
        <is>
          <t>FY2023 (2023-12-31)</t>
        </is>
      </c>
      <c r="B17" s="22" t="n">
        <v>5943</v>
      </c>
      <c r="C17" s="22" t="n">
        <v>19503</v>
      </c>
      <c r="D17" s="22" t="n">
        <v>5430.7</v>
      </c>
      <c r="E17" s="19" t="inlineStr">
        <is>
          <t>not reported</t>
        </is>
      </c>
      <c r="F17" s="19" t="inlineStr">
        <is>
          <t>not reported</t>
        </is>
      </c>
      <c r="G17" s="24" t="inlineStr">
        <is>
          <t>eAR annual total, calendar filer, equals fiscal year (not a monthly recast)</t>
        </is>
      </c>
    </row>
    <row r="19">
      <c r="A19" s="6" t="inlineStr">
        <is>
          <t>Connections by class - FY2023 (eAR Section 4)</t>
        </is>
      </c>
      <c r="B19" s="7" t="n"/>
      <c r="C19" s="7" t="n"/>
      <c r="D19" s="7" t="n"/>
      <c r="E19" s="7" t="n"/>
      <c r="F19" s="7" t="n"/>
      <c r="G19" s="7" t="n"/>
    </row>
    <row r="20">
      <c r="A20" s="21" t="inlineStr">
        <is>
          <t>Single-family residential</t>
        </is>
      </c>
      <c r="B20" s="22" t="n">
        <v>5899</v>
      </c>
      <c r="C20" s="23" t="inlineStr"/>
    </row>
    <row r="21">
      <c r="A21" s="21" t="inlineStr">
        <is>
          <t>Multi-family residential</t>
        </is>
      </c>
      <c r="B21" s="22" t="n">
        <v>71</v>
      </c>
      <c r="C21" s="23" t="inlineStr"/>
    </row>
    <row r="22">
      <c r="A22" s="21" t="inlineStr">
        <is>
          <t>Commercial and institutional</t>
        </is>
      </c>
      <c r="B22" s="22" t="n">
        <v>83</v>
      </c>
      <c r="C22" s="23" t="inlineStr"/>
    </row>
    <row r="23">
      <c r="A23" s="21" t="inlineStr">
        <is>
          <t>Industrial</t>
        </is>
      </c>
      <c r="B23" s="22" t="n">
        <v>3</v>
      </c>
      <c r="C23" s="23" t="inlineStr"/>
    </row>
    <row r="24">
      <c r="A24" s="21" t="inlineStr">
        <is>
          <t>Landscape irrigation</t>
        </is>
      </c>
      <c r="B24" s="22" t="n">
        <v>159</v>
      </c>
      <c r="C24" s="23" t="inlineStr"/>
    </row>
    <row r="25">
      <c r="A25" s="21" t="inlineStr">
        <is>
          <t>Agricultural</t>
        </is>
      </c>
      <c r="B25" s="22" t="n">
        <v>2</v>
      </c>
      <c r="C25" s="23" t="inlineStr"/>
    </row>
    <row r="26" ht="81" customHeight="1">
      <c r="A26"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6:G26"/>
    <mergeCell ref="A2:G2"/>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Riverside Highland Water Company</t>
        </is>
      </c>
    </row>
    <row r="2">
      <c r="A2" s="2" t="inlineStr">
        <is>
          <t>Governance evidence status - Ostrom's eight design principles</t>
        </is>
      </c>
    </row>
    <row r="3">
      <c r="A3" s="2" t="inlineStr">
        <is>
          <t>Entity ID: cawc_0038   |   Fiscal year ends December 31.</t>
        </is>
      </c>
    </row>
    <row r="5">
      <c r="A5" s="45" t="inlineStr">
        <is>
          <t>Evidence summary: 4 documented, 2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5" t="inlineStr">
        <is>
          <t>DOCUMENTED</t>
        </is>
      </c>
      <c r="C10" s="24" t="inlineStr">
        <is>
          <t>The system is a defined public water system: 6,217 service connections over a State-published and field-verified service-area boundary of roughly 5,418.6 acres.</t>
        </is>
      </c>
      <c r="D10" s="24" t="inlineStr">
        <is>
          <t>SDWIS Community water system; SABL service-area boundary (Verified); connections defined.</t>
        </is>
      </c>
      <c r="E10" s="46" t="inlineStr">
        <is>
          <t>[C][G]</t>
        </is>
      </c>
    </row>
    <row r="11" ht="81" customHeight="1">
      <c r="A11" s="3" t="inlineStr">
        <is>
          <t>What the record shows: SDWIS defines the membership as a fixed set of service connections and the State Water Board publishes a SABL service-area polygon for it, so who is inside and outside the system is documented. The boundary is FIELD-VERIFIED by the Water Board rather than merely carried.</t>
        </is>
      </c>
    </row>
    <row r="12" ht="46" customHeight="1">
      <c r="A12" s="8" t="inlineStr">
        <is>
          <t>Rules fit local conditions</t>
        </is>
      </c>
      <c r="B12" s="25" t="inlineStr">
        <is>
          <t>DOCUMENTED</t>
        </is>
      </c>
      <c r="C12" s="24" t="inlineStr">
        <is>
          <t>Charges are tied to metered use under a filed rate schedule: a variable usage residential structure billed bm and priced per hundred cubic feet.</t>
        </is>
      </c>
      <c r="D12" s="24" t="inlineStr">
        <is>
          <t>eAR Section 8a customer charges; metered service; Variable Usage residential rate structure.</t>
        </is>
      </c>
      <c r="E12" s="46" t="inlineStr">
        <is>
          <t>[E]</t>
        </is>
      </c>
    </row>
    <row r="13" ht="81" customHeight="1">
      <c r="A13" s="3" t="inlineStr">
        <is>
          <t>What the record shows: The record documents how charges are set: the filer reports metered service, a billing frequency, a residential rate structure and a filed rate schedule, so cost tracks service. Whether every tier scales precisely with use is not visible in the filing and is not claimed here.</t>
        </is>
      </c>
    </row>
    <row r="14" ht="46" customHeight="1">
      <c r="A14" s="8" t="inlineStr">
        <is>
          <t>Collective-choice arrangements</t>
        </is>
      </c>
      <c r="B14" s="25" t="inlineStr">
        <is>
          <t>PARTIAL</t>
        </is>
      </c>
      <c r="C14" s="24" t="inlineStr">
        <is>
          <t>The company is owned by its customer-shareholders, but the specific board, the election procedure and any record of member votes are not in a source this project holds.</t>
        </is>
      </c>
      <c r="D14" s="24" t="inlineStr">
        <is>
          <t>Mutual ownership; Form 990 governance section.</t>
        </is>
      </c>
      <c r="E14" s="46" t="inlineStr">
        <is>
          <t>[990]</t>
        </is>
      </c>
    </row>
    <row r="15" ht="111" customHeight="1">
      <c r="A15" s="3" t="inlineStr">
        <is>
          <t>What the record shows: A collective-choice mechanism is documented in outline: the customers are the shareholders. It stays PARTIAL rather than met because the filed corporate record that would carry the director roster and the election procedure is NOT YET CHECKED for this company, the California Secretary of State being reachable only through a browser session that now answers a CAPTCHA. A stated board is not a filed roster.</t>
        </is>
      </c>
    </row>
    <row r="16" ht="46" customHeight="1">
      <c r="A16" s="8" t="inlineStr">
        <is>
          <t>Monitoring</t>
        </is>
      </c>
      <c r="B16" s="25" t="inlineStr">
        <is>
          <t>DOCUMENTED</t>
        </is>
      </c>
      <c r="C16" s="24" t="inlineStr">
        <is>
          <t>The system is monitored and reports on itself: it files an annual eAR, and it reports metered service, and a Consumer Confidence Report for 2024 was located at the State's own CCR portal.</t>
        </is>
      </c>
      <c r="D16" s="24" t="inlineStr">
        <is>
          <t>Annual eAR reporting; metered connections; located Consumer Confidence Report</t>
        </is>
      </c>
      <c r="E16" s="46" t="inlineStr">
        <is>
          <t>[E][CCR]</t>
        </is>
      </c>
    </row>
    <row r="17" ht="66" customHeight="1">
      <c r="A17" s="3" t="inlineStr">
        <is>
          <t>What the record shows: Operational monitoring is documented from more than one filing. What the federal violation check found is reported separately in the On the record block and is not folded into this tier.</t>
        </is>
      </c>
    </row>
    <row r="18" ht="46" customHeight="1">
      <c r="A18" s="8" t="inlineStr">
        <is>
          <t>Graduated sanctions</t>
        </is>
      </c>
      <c r="B18" s="25" t="inlineStr">
        <is>
          <t>NOT DOCUMENTED</t>
        </is>
      </c>
      <c r="C18" s="24" t="inlineStr">
        <is>
          <t>No published shut-off, penalty, or delinquency policy was found for this system.</t>
        </is>
      </c>
      <c r="D18" s="24" t="inlineStr">
        <is>
          <t>No sourced graduated sanctions record.</t>
        </is>
      </c>
      <c r="E18" s="46" t="inlineStr">
        <is>
          <t>not reported</t>
        </is>
      </c>
    </row>
    <row r="19" ht="81" customHeight="1">
      <c r="A19" s="3" t="inlineStr">
        <is>
          <t>What the record shows: No public record of a shut-off, penalty, or delinquency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5" t="inlineStr">
        <is>
          <t>NOT DOCUMENTED</t>
        </is>
      </c>
      <c r="C20" s="24" t="inlineStr">
        <is>
          <t>No published bylaws, dispute procedure, or grievance mechanism was found for this system.</t>
        </is>
      </c>
      <c r="D20" s="24" t="inlineStr">
        <is>
          <t>No sourced conflict-resolution mechanisms record.</t>
        </is>
      </c>
      <c r="E20" s="46" t="inlineStr">
        <is>
          <t>not reported</t>
        </is>
      </c>
    </row>
    <row r="21" ht="81" customHeight="1">
      <c r="A21" s="3" t="inlineStr">
        <is>
          <t>What the record shows: No public record of a bylaws, dispute procedure, or grievance mechanism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5" t="inlineStr">
        <is>
          <t>DOCUMENTED</t>
        </is>
      </c>
      <c r="C22" s="24" t="inlineStr">
        <is>
          <t>An incorporated California mutual water company recognized by the IRS as a 501(c)(12) exempt filer and by the State Water Board as a Community public water system.</t>
        </is>
      </c>
      <c r="D22" s="24" t="inlineStr">
        <is>
          <t>IRS 501(c)(12) exempt filer (Form 990); SDWIS Community public water system; eAR ownership type 'Privately owned Mutual Water Company or Association'.</t>
        </is>
      </c>
      <c r="E22" s="46" t="inlineStr">
        <is>
          <t>[990][C][E]</t>
        </is>
      </c>
    </row>
    <row r="23" ht="96" customHeight="1">
      <c r="A23" s="3" t="inlineStr">
        <is>
          <t>What the record shows: Baseline legal standing is documented by two independent regulators: the IRS accepts it as a tax-exempt 501(c)(12) filer and the State Water Board holds it as a Community public water system with a mutual ownership type. This status does NOT rest on a filed corporate record, because the Secretary of State check has not been run for this company.</t>
        </is>
      </c>
    </row>
    <row r="24" ht="46" customHeight="1">
      <c r="A24" s="8" t="inlineStr">
        <is>
          <t>Nested enterprises</t>
        </is>
      </c>
      <c r="B24" s="25" t="inlineStr">
        <is>
          <t>PARTIAL</t>
        </is>
      </c>
      <c r="C24" s="24" t="inlineStr">
        <is>
          <t>The system sits inside larger water systems: it pumps from 2 groundwater basin(s) shared with neighbors, and it holds 4 approved emergency intertie(s) with other systems, and it holds 14 State-recorded surface water right(s) on a shared river system. Its role in governing any of them is not documented.</t>
        </is>
      </c>
      <c r="D24" s="24" t="inlineStr">
        <is>
          <t>it pumps from 2 groundwater basin(s) shared with neighbors; it holds 4 approved emergency intertie(s) with other systems; it holds 14 State-recorded surface water right(s) on a shared river system</t>
        </is>
      </c>
      <c r="E24" s="46" t="inlineStr">
        <is>
          <t>[SG][E][WR]</t>
        </is>
      </c>
    </row>
    <row r="25" ht="51" customHeight="1">
      <c r="A25" s="3" t="inlineStr">
        <is>
          <t>What the record shows: Physical nesting is documented. What is not documented is any governance role in a wholesaler or in a groundwater sustainability agency,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Riverside Highland Water Company</t>
        </is>
      </c>
    </row>
    <row r="2">
      <c r="A2" s="2" t="inlineStr">
        <is>
          <t>Operational metrics - plant per acre, density, terrain</t>
        </is>
      </c>
    </row>
    <row r="3">
      <c r="A3" s="2" t="inlineStr">
        <is>
          <t>Entity ID: cawc_0038   |   Fiscal year ends December 31.</t>
        </is>
      </c>
    </row>
    <row r="5">
      <c r="A5" s="6" t="inlineStr">
        <is>
          <t>Plant assets per acre</t>
        </is>
      </c>
      <c r="B5" s="7" t="n"/>
      <c r="C5" s="7" t="n"/>
    </row>
    <row r="6">
      <c r="A6" s="21" t="inlineStr">
        <is>
          <t>Service-area acres</t>
        </is>
      </c>
      <c r="B6" s="47" t="n">
        <v>5430.7</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48" t="inlineStr">
        <is>
          <t>FY2019</t>
        </is>
      </c>
      <c r="B8" s="9" t="n"/>
      <c r="C8" s="9" t="n"/>
    </row>
    <row r="9">
      <c r="A9" s="48" t="inlineStr">
        <is>
          <t>FY2020</t>
        </is>
      </c>
      <c r="B9" s="9" t="n">
        <v>6916.1902</v>
      </c>
      <c r="C9" s="9" t="n">
        <v>3794.8655</v>
      </c>
    </row>
    <row r="10">
      <c r="A10" s="48" t="inlineStr">
        <is>
          <t>FY2021</t>
        </is>
      </c>
      <c r="B10" s="9" t="n"/>
      <c r="C10" s="9" t="n"/>
    </row>
    <row r="11">
      <c r="A11" s="48" t="inlineStr">
        <is>
          <t>FY2022</t>
        </is>
      </c>
      <c r="B11" s="9" t="n">
        <v>11042.6428</v>
      </c>
      <c r="C11" s="9" t="n">
        <v>7493.7397</v>
      </c>
    </row>
    <row r="12">
      <c r="A12" s="48" t="inlineStr">
        <is>
          <t>FY2023</t>
        </is>
      </c>
      <c r="B12" s="9" t="n">
        <v>11361.2381</v>
      </c>
      <c r="C12" s="9" t="n">
        <v>7510.8988</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1.24</v>
      </c>
      <c r="C19" s="23" t="inlineStr">
        <is>
          <t>6,748 connections / 5,430.7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Riverside Highland Water Company</t>
        </is>
      </c>
    </row>
    <row r="2">
      <c r="A2" s="2" t="inlineStr">
        <is>
          <t>Supply and weather indicators (DWR water year)</t>
        </is>
      </c>
    </row>
    <row r="3">
      <c r="A3" s="2" t="inlineStr">
        <is>
          <t>Entity ID: cawc_0038   |   Fiscal year ends December 31.</t>
        </is>
      </c>
    </row>
    <row r="5" ht="12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row>
    <row r="8">
      <c r="A8" s="8" t="inlineStr">
        <is>
          <t>Water-year type (Sacramento Valley)</t>
        </is>
      </c>
      <c r="B8" s="46" t="inlineStr">
        <is>
          <t>Dry</t>
        </is>
      </c>
      <c r="C8" s="46" t="inlineStr">
        <is>
          <t>Critical</t>
        </is>
      </c>
      <c r="D8" s="46" t="inlineStr">
        <is>
          <t>Critical</t>
        </is>
      </c>
      <c r="E8" s="46" t="inlineStr">
        <is>
          <t>Wet</t>
        </is>
      </c>
    </row>
    <row r="9">
      <c r="A9" s="8" t="inlineStr">
        <is>
          <t>Peak drought, San Bernardino County</t>
        </is>
      </c>
      <c r="B9" s="46" t="inlineStr">
        <is>
          <t>D2</t>
        </is>
      </c>
      <c r="C9" s="46" t="inlineStr">
        <is>
          <t>D4</t>
        </is>
      </c>
      <c r="D9" s="46" t="inlineStr">
        <is>
          <t>D4</t>
        </is>
      </c>
      <c r="E9" s="46" t="inlineStr">
        <is>
          <t>D4</t>
        </is>
      </c>
    </row>
    <row r="10">
      <c r="A10" s="8" t="inlineStr">
        <is>
          <t>Precip, percent of normal (8-Station Index)</t>
        </is>
      </c>
      <c r="B10" s="46" t="inlineStr">
        <is>
          <t>63</t>
        </is>
      </c>
      <c r="C10" s="46" t="inlineStr">
        <is>
          <t>48</t>
        </is>
      </c>
      <c r="D10" s="46" t="inlineStr">
        <is>
          <t>86</t>
        </is>
      </c>
      <c r="E10" s="46" t="inlineStr">
        <is>
          <t>133</t>
        </is>
      </c>
    </row>
    <row r="11">
      <c r="A11" s="8" t="inlineStr">
        <is>
          <t>Snowpack, April 1 percent of average</t>
        </is>
      </c>
      <c r="B11" s="46" t="inlineStr">
        <is>
          <t>53%</t>
        </is>
      </c>
      <c r="C11" s="46" t="inlineStr">
        <is>
          <t>59%</t>
        </is>
      </c>
      <c r="D11" s="46" t="inlineStr">
        <is>
          <t>38%</t>
        </is>
      </c>
      <c r="E11" s="46" t="inlineStr">
        <is>
          <t>237%</t>
        </is>
      </c>
    </row>
    <row r="12">
      <c r="A12" s="8" t="inlineStr">
        <is>
          <t>State Water Project allocation</t>
        </is>
      </c>
      <c r="B12" s="46" t="inlineStr">
        <is>
          <t>20%</t>
        </is>
      </c>
      <c r="C12" s="46" t="inlineStr">
        <is>
          <t>5%</t>
        </is>
      </c>
      <c r="D12" s="46" t="inlineStr">
        <is>
          <t>5%</t>
        </is>
      </c>
      <c r="E12" s="46" t="inlineStr">
        <is>
          <t>100%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Riverside Highland Water Company</t>
        </is>
      </c>
    </row>
    <row r="2">
      <c r="A2" s="2" t="inlineStr">
        <is>
          <t>How this was built - forensic lineage</t>
        </is>
      </c>
    </row>
    <row r="3">
      <c r="A3" s="2" t="inlineStr">
        <is>
          <t>Entity ID: cawc_0038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2024,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1" t="inlineStr">
        <is>
          <t>Sources checked</t>
        </is>
      </c>
      <c r="B12" s="23" t="inlineStr">
        <is>
          <t>Form 990 Part VIII line 2 (program-service revenue); State Water Board eAR Section 8b (water-rate revenue B1.1/B1.2); eAR Section 8b filer comment (WRRevenueComments)</t>
        </is>
      </c>
    </row>
    <row r="13" ht="72" customHeight="1">
      <c r="A13" s="21" t="inlineStr">
        <is>
          <t>What was found</t>
        </is>
      </c>
      <c r="B13" s="23" t="inlineStr">
        <is>
          <t>A period-aligned residual cannot be computed for this filer, so the metric is rendered IMPOSSIBLE rather than guessed.</t>
        </is>
      </c>
    </row>
    <row r="14" ht="72" customHeight="1">
      <c r="A14" s="21" t="inlineStr">
        <is>
          <t>Caveat</t>
        </is>
      </c>
      <c r="B14" s="23" t="inlineStr">
        <is>
          <t>Not derivable. The eAR Section 8b is the calendar year 2024 while the Form 990 fiscal year ends None; the two period ends are not aligned, so a period-aligned residual cannot be computed.</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Riverside Highland Water Company</t>
        </is>
      </c>
    </row>
    <row r="2">
      <c r="A2" s="2" t="inlineStr">
        <is>
          <t>Anomaly Flags (automated; kept separate from the clean statements)</t>
        </is>
      </c>
    </row>
    <row r="3">
      <c r="A3" s="2" t="inlineStr">
        <is>
          <t>Entity ID: cawc_0038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FY2023 total revenue swing</t>
        </is>
      </c>
      <c r="B7" s="7" t="n"/>
    </row>
    <row r="8">
      <c r="A8" s="21" t="inlineStr">
        <is>
          <t>Affected figure</t>
        </is>
      </c>
      <c r="B8" s="23" t="inlineStr">
        <is>
          <t>Operating revenue FY2023</t>
        </is>
      </c>
    </row>
    <row r="9">
      <c r="A9" s="21" t="inlineStr">
        <is>
          <t>Confidence</t>
        </is>
      </c>
      <c r="B9" s="23" t="inlineStr">
        <is>
          <t>high</t>
        </is>
      </c>
    </row>
    <row r="10" ht="72" customHeight="1">
      <c r="A10" s="21" t="inlineStr">
        <is>
          <t>What happened (filed, sourced)</t>
        </is>
      </c>
      <c r="B10" s="23" t="inlineStr">
        <is>
          <t>FY2023 total revenue fell to $5,953,474 from $26,598,252 in FY2022, a 78 percent move ($20,644,778 in absolute terms). Carried as filed and flagged as a documented anomaly, not smoothed.</t>
        </is>
      </c>
    </row>
    <row r="11" ht="22" customHeight="1">
      <c r="A11" s="21" t="inlineStr">
        <is>
          <t>Source lines</t>
        </is>
      </c>
      <c r="B11" s="23" t="inlineStr">
        <is>
          <t>- total revenue: $26,598,252 FY2022, $5,953,474 FY2023</t>
        </is>
      </c>
    </row>
    <row r="12" ht="72" customHeight="1">
      <c r="A12" s="21" t="inlineStr">
        <is>
          <t>Confidence reasoning</t>
        </is>
      </c>
      <c r="B12" s="23" t="inlineStr">
        <is>
          <t>A year-over-year move in a filed headline total that exceeds both the percentage and the dollar threshold; carried as filed.</t>
        </is>
      </c>
    </row>
    <row r="13">
      <c r="A13" s="21" t="inlineStr">
        <is>
          <t>Why (not stated in the filing)</t>
        </is>
      </c>
      <c r="B13" s="23" t="inlineStr">
        <is>
          <t>The filing does not state a reason.</t>
        </is>
      </c>
    </row>
    <row r="14" ht="60" customHeight="1">
      <c r="A14" s="21" t="inlineStr">
        <is>
          <t>Possible explanation (guess)</t>
        </is>
      </c>
      <c r="B14" s="49" t="inlineStr">
        <is>
          <t>Possible explanation, not stated in filing: a large one-year move in total revenue may reflect a one-time item or a change in how it was recorded.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4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Riverside Highland Water Company</t>
        </is>
      </c>
    </row>
    <row r="2">
      <c r="A2" s="2" t="inlineStr">
        <is>
          <t>Sources &amp; audit - full provenance and tie-outs (kept off the statements so they read clean)</t>
        </is>
      </c>
    </row>
    <row r="3">
      <c r="A3" s="2" t="inlineStr">
        <is>
          <t>Entity ID: cawc_0038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6" t="inlineStr">
        <is>
          <t>FY2020</t>
        </is>
      </c>
      <c r="B10" s="8" t="inlineStr">
        <is>
          <t>2020-12-31</t>
        </is>
      </c>
      <c r="C10" s="8" t="inlineStr">
        <is>
          <t>990</t>
        </is>
      </c>
      <c r="D10" s="8" t="inlineStr">
        <is>
          <t>high</t>
        </is>
      </c>
      <c r="E10" s="8" t="inlineStr">
        <is>
          <t>fdb4f3b8-44e6-4efb-8e75-f3b9bf287b8c</t>
        </is>
      </c>
      <c r="F10" s="8" t="inlineStr">
        <is>
          <t>202123149349304172</t>
        </is>
      </c>
      <c r="G10" s="8" t="inlineStr">
        <is>
          <t>claude-opus-5</t>
        </is>
      </c>
      <c r="H10" s="8" t="inlineStr">
        <is>
          <t>2026-09-14T20:40:25+00:00</t>
        </is>
      </c>
      <c r="I10" s="8" t="inlineStr">
        <is>
          <t>https://apps.irs.gov/pub/epostcard/990/xml/2021/2021_TEOS_XML_01A.zip#202123149349304172_public.xml</t>
        </is>
      </c>
    </row>
    <row r="11">
      <c r="A11" s="46" t="inlineStr">
        <is>
          <t>FY2022</t>
        </is>
      </c>
      <c r="B11" s="8" t="inlineStr">
        <is>
          <t>2022-12-31</t>
        </is>
      </c>
      <c r="C11" s="8" t="inlineStr">
        <is>
          <t>990</t>
        </is>
      </c>
      <c r="D11" s="8" t="inlineStr">
        <is>
          <t>high</t>
        </is>
      </c>
      <c r="E11" s="8" t="inlineStr">
        <is>
          <t>3aa9634c-cfc5-47fc-ac08-75445bc30fc3</t>
        </is>
      </c>
      <c r="F11" s="8" t="inlineStr">
        <is>
          <t>202312899349301546</t>
        </is>
      </c>
      <c r="G11" s="8" t="inlineStr">
        <is>
          <t>claude-opus-5</t>
        </is>
      </c>
      <c r="H11" s="8" t="inlineStr">
        <is>
          <t>2026-09-14T20:40:25+00:00</t>
        </is>
      </c>
      <c r="I11" s="8" t="inlineStr">
        <is>
          <t>https://apps.irs.gov/pub/epostcard/990/xml/2023/2023_TEOS_XML_10A.zip#202312899349301546_public.xml</t>
        </is>
      </c>
    </row>
    <row r="12">
      <c r="A12" s="46" t="inlineStr">
        <is>
          <t>FY2023</t>
        </is>
      </c>
      <c r="B12" s="8" t="inlineStr">
        <is>
          <t>2023-12-31</t>
        </is>
      </c>
      <c r="C12" s="8" t="inlineStr">
        <is>
          <t>990</t>
        </is>
      </c>
      <c r="D12" s="8" t="inlineStr">
        <is>
          <t>high</t>
        </is>
      </c>
      <c r="E12" s="8" t="inlineStr">
        <is>
          <t>1453a43b-b3a0-458e-8e8f-a5a7af24c210</t>
        </is>
      </c>
      <c r="F12" s="8" t="inlineStr">
        <is>
          <t>202442899349302634</t>
        </is>
      </c>
      <c r="G12" s="8" t="inlineStr">
        <is>
          <t>claude-opus-5</t>
        </is>
      </c>
      <c r="H12" s="8" t="inlineStr">
        <is>
          <t>2026-09-14T20:40:25+00:00</t>
        </is>
      </c>
      <c r="I12" s="8" t="inlineStr">
        <is>
          <t>https://apps.irs.gov/pub/epostcard/990/xml/2024/2024_TEOS_XML_10A.zip#202442899349302634_public.xml</t>
        </is>
      </c>
    </row>
    <row r="14">
      <c r="A14" s="45" t="inlineStr">
        <is>
          <t>B. Figure citations (every figure on the statement tabs, keyed by cell)</t>
        </is>
      </c>
      <c r="B14" s="7" t="n"/>
      <c r="C14" s="7" t="n"/>
      <c r="D14" s="7" t="n"/>
      <c r="E14" s="7" t="n"/>
      <c r="F14" s="7" t="n"/>
      <c r="G14" s="7" t="n"/>
      <c r="H14" s="7" t="n"/>
      <c r="I14" s="7" t="n"/>
      <c r="J14" s="7" t="n"/>
      <c r="K14" s="7" t="n"/>
    </row>
    <row r="15">
      <c r="A15" s="5" t="inlineStr">
        <is>
          <t>Tab</t>
        </is>
      </c>
      <c r="B15" s="5" t="inlineStr">
        <is>
          <t>Cell</t>
        </is>
      </c>
      <c r="C15" s="5" t="inlineStr">
        <is>
          <t>Line item</t>
        </is>
      </c>
      <c r="D15" s="5" t="inlineStr">
        <is>
          <t>Form 990 line</t>
        </is>
      </c>
      <c r="E15" s="5" t="inlineStr">
        <is>
          <t>Key path</t>
        </is>
      </c>
      <c r="F15" s="5" t="inlineStr">
        <is>
          <t>Confidence</t>
        </is>
      </c>
      <c r="G15" s="5" t="inlineStr">
        <is>
          <t>As filed</t>
        </is>
      </c>
    </row>
    <row r="16">
      <c r="A16" s="8" t="inlineStr">
        <is>
          <t>Financial Statements</t>
        </is>
      </c>
      <c r="B16" s="8" t="inlineStr">
        <is>
          <t>B73</t>
        </is>
      </c>
      <c r="C16" s="8" t="inlineStr">
        <is>
          <t>11a. Gross income from members or shareholders</t>
        </is>
      </c>
      <c r="D16" s="8" t="inlineStr">
        <is>
          <t>11a</t>
        </is>
      </c>
      <c r="E16" s="8" t="inlineStr">
        <is>
          <t>part_v_other_irs_filings.members_and_shareholders_gross_income</t>
        </is>
      </c>
      <c r="F16" s="8" t="inlineStr">
        <is>
          <t>high</t>
        </is>
      </c>
      <c r="G16" s="9" t="n">
        <v>4574318</v>
      </c>
    </row>
    <row r="17">
      <c r="A17" s="8" t="inlineStr">
        <is>
          <t>Financial Statements</t>
        </is>
      </c>
      <c r="B17" s="8" t="inlineStr">
        <is>
          <t>C73</t>
        </is>
      </c>
      <c r="C17" s="8" t="inlineStr">
        <is>
          <t>11a. Gross income from members or shareholders</t>
        </is>
      </c>
      <c r="D17" s="8" t="inlineStr">
        <is>
          <t>11a</t>
        </is>
      </c>
      <c r="E17" s="8" t="inlineStr">
        <is>
          <t>part_v_other_irs_filings.members_and_shareholders_gross_income</t>
        </is>
      </c>
      <c r="F17" s="8" t="inlineStr">
        <is>
          <t>high</t>
        </is>
      </c>
      <c r="G17" s="9" t="n">
        <v>26118170</v>
      </c>
    </row>
    <row r="18">
      <c r="A18" s="8" t="inlineStr">
        <is>
          <t>Financial Statements</t>
        </is>
      </c>
      <c r="B18" s="8" t="inlineStr">
        <is>
          <t>D73</t>
        </is>
      </c>
      <c r="C18" s="8" t="inlineStr">
        <is>
          <t>11a. Gross income from members or shareholders</t>
        </is>
      </c>
      <c r="D18" s="8" t="inlineStr">
        <is>
          <t>11a</t>
        </is>
      </c>
      <c r="E18" s="8" t="inlineStr">
        <is>
          <t>part_v_other_irs_filings.members_and_shareholders_gross_income</t>
        </is>
      </c>
      <c r="F18" s="8" t="inlineStr">
        <is>
          <t>high</t>
        </is>
      </c>
      <c r="G18" s="9" t="n">
        <v>5628735</v>
      </c>
    </row>
    <row r="19">
      <c r="A19" s="8" t="inlineStr">
        <is>
          <t>Financial Statements</t>
        </is>
      </c>
      <c r="B19" s="8" t="inlineStr">
        <is>
          <t>B74</t>
        </is>
      </c>
      <c r="C19" s="8" t="inlineStr">
        <is>
          <t>11b. Gross income from other sources</t>
        </is>
      </c>
      <c r="D19" s="8" t="inlineStr">
        <is>
          <t>11b</t>
        </is>
      </c>
      <c r="E19" s="8" t="inlineStr">
        <is>
          <t>part_v_other_irs_filings.other_sources_gross_income</t>
        </is>
      </c>
      <c r="F19" s="8" t="inlineStr">
        <is>
          <t>high</t>
        </is>
      </c>
      <c r="G19" s="9" t="n">
        <v>416300</v>
      </c>
    </row>
    <row r="20">
      <c r="A20" s="8" t="inlineStr">
        <is>
          <t>Financial Statements</t>
        </is>
      </c>
      <c r="B20" s="8" t="inlineStr">
        <is>
          <t>C74</t>
        </is>
      </c>
      <c r="C20" s="8" t="inlineStr">
        <is>
          <t>11b. Gross income from other sources</t>
        </is>
      </c>
      <c r="D20" s="8" t="inlineStr">
        <is>
          <t>11b</t>
        </is>
      </c>
      <c r="E20" s="8" t="inlineStr">
        <is>
          <t>part_v_other_irs_filings.other_sources_gross_income</t>
        </is>
      </c>
      <c r="F20" s="8" t="inlineStr">
        <is>
          <t>high</t>
        </is>
      </c>
      <c r="G20" s="9" t="n">
        <v>282445</v>
      </c>
    </row>
    <row r="21">
      <c r="A21" s="8" t="inlineStr">
        <is>
          <t>Financial Statements</t>
        </is>
      </c>
      <c r="B21" s="8" t="inlineStr">
        <is>
          <t>D74</t>
        </is>
      </c>
      <c r="C21" s="8" t="inlineStr">
        <is>
          <t>11b. Gross income from other sources</t>
        </is>
      </c>
      <c r="D21" s="8" t="inlineStr">
        <is>
          <t>11b</t>
        </is>
      </c>
      <c r="E21" s="8" t="inlineStr">
        <is>
          <t>part_v_other_irs_filings.other_sources_gross_income</t>
        </is>
      </c>
      <c r="F21" s="8" t="inlineStr">
        <is>
          <t>high</t>
        </is>
      </c>
      <c r="G21" s="9" t="n">
        <v>324739</v>
      </c>
    </row>
    <row r="22">
      <c r="A22" s="8" t="inlineStr">
        <is>
          <t>Revenue (detail)</t>
        </is>
      </c>
      <c r="B22" s="8" t="inlineStr">
        <is>
          <t>B8</t>
        </is>
      </c>
      <c r="C22" s="8" t="inlineStr">
        <is>
          <t>2g. Total program service revenue</t>
        </is>
      </c>
      <c r="D22" s="8" t="inlineStr">
        <is>
          <t>2g</t>
        </is>
      </c>
      <c r="E22" s="8" t="inlineStr">
        <is>
          <t>part_viii_revenue.total_program_service_revenue</t>
        </is>
      </c>
      <c r="F22" s="8" t="inlineStr">
        <is>
          <t>high</t>
        </is>
      </c>
      <c r="G22" s="9" t="n">
        <v>4444005</v>
      </c>
    </row>
    <row r="23">
      <c r="A23" s="8" t="inlineStr">
        <is>
          <t>Revenue (detail)</t>
        </is>
      </c>
      <c r="B23" s="8" t="inlineStr">
        <is>
          <t>C8</t>
        </is>
      </c>
      <c r="C23" s="8" t="inlineStr">
        <is>
          <t>2g. Total program service revenue</t>
        </is>
      </c>
      <c r="D23" s="8" t="inlineStr">
        <is>
          <t>2g</t>
        </is>
      </c>
      <c r="E23" s="8" t="inlineStr">
        <is>
          <t>part_viii_revenue.total_program_service_revenue</t>
        </is>
      </c>
      <c r="F23" s="8" t="inlineStr">
        <is>
          <t>high</t>
        </is>
      </c>
      <c r="G23" s="9" t="n">
        <v>5514562</v>
      </c>
    </row>
    <row r="24">
      <c r="A24" s="8" t="inlineStr">
        <is>
          <t>Revenue (detail)</t>
        </is>
      </c>
      <c r="B24" s="8" t="inlineStr">
        <is>
          <t>D8</t>
        </is>
      </c>
      <c r="C24" s="8" t="inlineStr">
        <is>
          <t>2g. Total program service revenue</t>
        </is>
      </c>
      <c r="D24" s="8" t="inlineStr">
        <is>
          <t>2g</t>
        </is>
      </c>
      <c r="E24" s="8" t="inlineStr">
        <is>
          <t>part_viii_revenue.total_program_service_revenue</t>
        </is>
      </c>
      <c r="F24" s="8" t="inlineStr">
        <is>
          <t>high</t>
        </is>
      </c>
      <c r="G24" s="9" t="n">
        <v>5292585</v>
      </c>
    </row>
    <row r="25">
      <c r="A25" s="8" t="inlineStr">
        <is>
          <t>Revenue (detail)</t>
        </is>
      </c>
      <c r="B25" s="8" t="inlineStr">
        <is>
          <t>B9</t>
        </is>
      </c>
      <c r="C25" s="8" t="inlineStr">
        <is>
          <t>3. Investment income</t>
        </is>
      </c>
      <c r="D25" s="8" t="inlineStr">
        <is>
          <t>3</t>
        </is>
      </c>
      <c r="E25" s="8" t="inlineStr">
        <is>
          <t>part_viii_revenue.investment_income</t>
        </is>
      </c>
      <c r="F25" s="8" t="inlineStr">
        <is>
          <t>high</t>
        </is>
      </c>
      <c r="G25" s="9" t="n">
        <v>85370</v>
      </c>
    </row>
    <row r="26">
      <c r="A26" s="8" t="inlineStr">
        <is>
          <t>Revenue (detail)</t>
        </is>
      </c>
      <c r="B26" s="8" t="inlineStr">
        <is>
          <t>C9</t>
        </is>
      </c>
      <c r="C26" s="8" t="inlineStr">
        <is>
          <t>3. Investment income</t>
        </is>
      </c>
      <c r="D26" s="8" t="inlineStr">
        <is>
          <t>3</t>
        </is>
      </c>
      <c r="E26" s="8" t="inlineStr">
        <is>
          <t>part_viii_revenue.investment_income</t>
        </is>
      </c>
      <c r="F26" s="8" t="inlineStr">
        <is>
          <t>high</t>
        </is>
      </c>
      <c r="G26" s="9" t="n">
        <v>248778</v>
      </c>
    </row>
    <row r="27">
      <c r="A27" s="8" t="inlineStr">
        <is>
          <t>Revenue (detail)</t>
        </is>
      </c>
      <c r="B27" s="8" t="inlineStr">
        <is>
          <t>D9</t>
        </is>
      </c>
      <c r="C27" s="8" t="inlineStr">
        <is>
          <t>3. Investment income</t>
        </is>
      </c>
      <c r="D27" s="8" t="inlineStr">
        <is>
          <t>3</t>
        </is>
      </c>
      <c r="E27" s="8" t="inlineStr">
        <is>
          <t>part_viii_revenue.investment_income</t>
        </is>
      </c>
      <c r="F27" s="8" t="inlineStr">
        <is>
          <t>high</t>
        </is>
      </c>
      <c r="G27" s="9" t="n">
        <v>320814</v>
      </c>
    </row>
    <row r="28">
      <c r="A28" s="8" t="inlineStr">
        <is>
          <t>Revenue (detail)</t>
        </is>
      </c>
      <c r="B28" s="8" t="inlineStr">
        <is>
          <t>B11</t>
        </is>
      </c>
      <c r="C28" s="8" t="inlineStr">
        <is>
          <t>7d. Net gain/(loss) from investment sales</t>
        </is>
      </c>
      <c r="D28" s="8" t="inlineStr">
        <is>
          <t>7d</t>
        </is>
      </c>
      <c r="E28" s="8" t="inlineStr">
        <is>
          <t>part_viii_revenue.net_gain_or_loss_investments</t>
        </is>
      </c>
      <c r="F28" s="8" t="inlineStr">
        <is>
          <t>high</t>
        </is>
      </c>
      <c r="G28" s="9" t="n">
        <v>-7046</v>
      </c>
    </row>
    <row r="29">
      <c r="A29" s="8" t="inlineStr">
        <is>
          <t>Revenue (detail)</t>
        </is>
      </c>
      <c r="B29" s="8" t="inlineStr">
        <is>
          <t>C11</t>
        </is>
      </c>
      <c r="C29" s="8" t="inlineStr">
        <is>
          <t>7d. Net gain/(loss) from investment sales</t>
        </is>
      </c>
      <c r="D29" s="8" t="inlineStr">
        <is>
          <t>7d</t>
        </is>
      </c>
      <c r="E29" s="8" t="inlineStr">
        <is>
          <t>part_viii_revenue.net_gain_or_loss_investments</t>
        </is>
      </c>
      <c r="F29" s="8" t="inlineStr">
        <is>
          <t>high</t>
        </is>
      </c>
      <c r="G29" s="9" t="n">
        <v>28800</v>
      </c>
    </row>
    <row r="30">
      <c r="A30" s="8" t="inlineStr">
        <is>
          <t>Revenue (detail)</t>
        </is>
      </c>
      <c r="B30" s="8" t="inlineStr">
        <is>
          <t>D11</t>
        </is>
      </c>
      <c r="C30" s="8" t="inlineStr">
        <is>
          <t>7d. Net gain/(loss) from investment sales</t>
        </is>
      </c>
      <c r="D30" s="8" t="inlineStr">
        <is>
          <t>7d</t>
        </is>
      </c>
      <c r="E30" s="8" t="inlineStr">
        <is>
          <t>part_viii_revenue.net_gain_or_loss_investments</t>
        </is>
      </c>
      <c r="F30" s="8" t="inlineStr">
        <is>
          <t>high</t>
        </is>
      </c>
      <c r="G30" s="9" t="n">
        <v>225</v>
      </c>
    </row>
    <row r="31">
      <c r="A31" s="8" t="inlineStr">
        <is>
          <t>Revenue (detail)</t>
        </is>
      </c>
      <c r="B31" s="8" t="inlineStr">
        <is>
          <t>B12</t>
        </is>
      </c>
      <c r="C31" s="8" t="inlineStr">
        <is>
          <t>11e. Other revenue</t>
        </is>
      </c>
      <c r="D31" s="8" t="inlineStr">
        <is>
          <t>11e</t>
        </is>
      </c>
      <c r="E31" s="8" t="inlineStr">
        <is>
          <t>part_viii_revenue.other_revenue_total</t>
        </is>
      </c>
      <c r="F31" s="8" t="inlineStr">
        <is>
          <t>high</t>
        </is>
      </c>
      <c r="G31" s="9" t="n">
        <v>464364</v>
      </c>
    </row>
    <row r="32">
      <c r="A32" s="8" t="inlineStr">
        <is>
          <t>Revenue (detail)</t>
        </is>
      </c>
      <c r="B32" s="8" t="inlineStr">
        <is>
          <t>C12</t>
        </is>
      </c>
      <c r="C32" s="8" t="inlineStr">
        <is>
          <t>11e. Other revenue</t>
        </is>
      </c>
      <c r="D32" s="8" t="inlineStr">
        <is>
          <t>11e</t>
        </is>
      </c>
      <c r="E32" s="8" t="inlineStr">
        <is>
          <t>part_viii_revenue.other_revenue_total</t>
        </is>
      </c>
      <c r="F32" s="8" t="inlineStr">
        <is>
          <t>high</t>
        </is>
      </c>
      <c r="G32" s="9" t="n">
        <v>20802412</v>
      </c>
    </row>
    <row r="33">
      <c r="A33" s="8" t="inlineStr">
        <is>
          <t>Revenue (detail)</t>
        </is>
      </c>
      <c r="B33" s="8" t="inlineStr">
        <is>
          <t>D12</t>
        </is>
      </c>
      <c r="C33" s="8" t="inlineStr">
        <is>
          <t>11e. Other revenue</t>
        </is>
      </c>
      <c r="D33" s="8" t="inlineStr">
        <is>
          <t>11e</t>
        </is>
      </c>
      <c r="E33" s="8" t="inlineStr">
        <is>
          <t>part_viii_revenue.other_revenue_total</t>
        </is>
      </c>
      <c r="F33" s="8" t="inlineStr">
        <is>
          <t>high</t>
        </is>
      </c>
      <c r="G33" s="9" t="n">
        <v>336150</v>
      </c>
    </row>
    <row r="34">
      <c r="A34" s="8" t="inlineStr">
        <is>
          <t>Operating expenses (detail)</t>
        </is>
      </c>
      <c r="B34" s="8" t="inlineStr">
        <is>
          <t>B7</t>
        </is>
      </c>
      <c r="C34" s="8" t="inlineStr">
        <is>
          <t>5. Compensation of current officers, directors, trustees</t>
        </is>
      </c>
      <c r="D34" s="8" t="inlineStr">
        <is>
          <t>5</t>
        </is>
      </c>
      <c r="E34" s="8" t="inlineStr">
        <is>
          <t>part_ix_expenses.comp_current_officers</t>
        </is>
      </c>
      <c r="F34" s="8" t="inlineStr">
        <is>
          <t>high</t>
        </is>
      </c>
      <c r="G34" s="9" t="n">
        <v>392448</v>
      </c>
    </row>
    <row r="35">
      <c r="A35" s="8" t="inlineStr">
        <is>
          <t>Operating expenses (detail)</t>
        </is>
      </c>
      <c r="B35" s="8" t="inlineStr">
        <is>
          <t>C7</t>
        </is>
      </c>
      <c r="C35" s="8" t="inlineStr">
        <is>
          <t>5. Compensation of current officers, directors, trustees</t>
        </is>
      </c>
      <c r="D35" s="8" t="inlineStr">
        <is>
          <t>5</t>
        </is>
      </c>
      <c r="E35" s="8" t="inlineStr">
        <is>
          <t>part_ix_expenses.comp_current_officers</t>
        </is>
      </c>
      <c r="F35" s="8" t="inlineStr">
        <is>
          <t>high</t>
        </is>
      </c>
      <c r="G35" s="9" t="n">
        <v>1083696</v>
      </c>
    </row>
    <row r="36">
      <c r="A36" s="8" t="inlineStr">
        <is>
          <t>Operating expenses (detail)</t>
        </is>
      </c>
      <c r="B36" s="8" t="inlineStr">
        <is>
          <t>D7</t>
        </is>
      </c>
      <c r="C36" s="8" t="inlineStr">
        <is>
          <t>5. Compensation of current officers, directors, trustees</t>
        </is>
      </c>
      <c r="D36" s="8" t="inlineStr">
        <is>
          <t>5</t>
        </is>
      </c>
      <c r="E36" s="8" t="inlineStr">
        <is>
          <t>part_ix_expenses.comp_current_officers</t>
        </is>
      </c>
      <c r="F36" s="8" t="inlineStr">
        <is>
          <t>high</t>
        </is>
      </c>
      <c r="G36" s="9" t="n">
        <v>1101951</v>
      </c>
    </row>
    <row r="37">
      <c r="A37" s="8" t="inlineStr">
        <is>
          <t>Operating expenses (detail)</t>
        </is>
      </c>
      <c r="B37" s="8" t="inlineStr">
        <is>
          <t>B8</t>
        </is>
      </c>
      <c r="C37" s="8" t="inlineStr">
        <is>
          <t>7. Other salaries and wages</t>
        </is>
      </c>
      <c r="D37" s="8" t="inlineStr">
        <is>
          <t>7</t>
        </is>
      </c>
      <c r="E37" s="8" t="inlineStr">
        <is>
          <t>part_ix_expenses.other_salaries_and_wages</t>
        </is>
      </c>
      <c r="F37" s="8" t="inlineStr">
        <is>
          <t>high</t>
        </is>
      </c>
      <c r="G37" s="9" t="n">
        <v>269529</v>
      </c>
    </row>
    <row r="38">
      <c r="A38" s="8" t="inlineStr">
        <is>
          <t>Operating expenses (detail)</t>
        </is>
      </c>
      <c r="B38" s="8" t="inlineStr">
        <is>
          <t>C8</t>
        </is>
      </c>
      <c r="C38" s="8" t="inlineStr">
        <is>
          <t>7. Other salaries and wages</t>
        </is>
      </c>
      <c r="D38" s="8" t="inlineStr">
        <is>
          <t>7</t>
        </is>
      </c>
      <c r="E38" s="8" t="inlineStr">
        <is>
          <t>part_ix_expenses.other_salaries_and_wages</t>
        </is>
      </c>
      <c r="F38" s="8" t="inlineStr">
        <is>
          <t>high</t>
        </is>
      </c>
      <c r="G38" s="9" t="n">
        <v>330065</v>
      </c>
    </row>
    <row r="39">
      <c r="A39" s="8" t="inlineStr">
        <is>
          <t>Operating expenses (detail)</t>
        </is>
      </c>
      <c r="B39" s="8" t="inlineStr">
        <is>
          <t>D8</t>
        </is>
      </c>
      <c r="C39" s="8" t="inlineStr">
        <is>
          <t>7. Other salaries and wages</t>
        </is>
      </c>
      <c r="D39" s="8" t="inlineStr">
        <is>
          <t>7</t>
        </is>
      </c>
      <c r="E39" s="8" t="inlineStr">
        <is>
          <t>part_ix_expenses.other_salaries_and_wages</t>
        </is>
      </c>
      <c r="F39" s="8" t="inlineStr">
        <is>
          <t>high</t>
        </is>
      </c>
      <c r="G39" s="9" t="n">
        <v>343759</v>
      </c>
    </row>
    <row r="40">
      <c r="A40" s="8" t="inlineStr">
        <is>
          <t>Operating expenses (detail)</t>
        </is>
      </c>
      <c r="B40" s="8" t="inlineStr">
        <is>
          <t>B9</t>
        </is>
      </c>
      <c r="C40" s="8" t="inlineStr">
        <is>
          <t>8. Pension plan accruals and contributions</t>
        </is>
      </c>
      <c r="D40" s="8" t="inlineStr">
        <is>
          <t>8</t>
        </is>
      </c>
      <c r="E40" s="8" t="inlineStr">
        <is>
          <t>part_ix_expenses.pension_plan_contributions</t>
        </is>
      </c>
      <c r="F40" s="8" t="inlineStr">
        <is>
          <t>high</t>
        </is>
      </c>
      <c r="G40" s="9" t="n">
        <v>44204</v>
      </c>
    </row>
    <row r="41">
      <c r="A41" s="8" t="inlineStr">
        <is>
          <t>Operating expenses (detail)</t>
        </is>
      </c>
      <c r="B41" s="8" t="inlineStr">
        <is>
          <t>C9</t>
        </is>
      </c>
      <c r="C41" s="8" t="inlineStr">
        <is>
          <t>8. Pension plan accruals and contributions</t>
        </is>
      </c>
      <c r="D41" s="8" t="inlineStr">
        <is>
          <t>8</t>
        </is>
      </c>
      <c r="E41" s="8" t="inlineStr">
        <is>
          <t>part_ix_expenses.pension_plan_contributions</t>
        </is>
      </c>
      <c r="F41" s="8" t="inlineStr">
        <is>
          <t>high</t>
        </is>
      </c>
      <c r="G41" s="9" t="n">
        <v>15719</v>
      </c>
    </row>
    <row r="42">
      <c r="A42" s="8" t="inlineStr">
        <is>
          <t>Operating expenses (detail)</t>
        </is>
      </c>
      <c r="B42" s="8" t="inlineStr">
        <is>
          <t>D9</t>
        </is>
      </c>
      <c r="C42" s="8" t="inlineStr">
        <is>
          <t>8. Pension plan accruals and contributions</t>
        </is>
      </c>
      <c r="D42" s="8" t="inlineStr">
        <is>
          <t>8</t>
        </is>
      </c>
      <c r="E42" s="8" t="inlineStr">
        <is>
          <t>part_ix_expenses.pension_plan_contributions</t>
        </is>
      </c>
      <c r="F42" s="8" t="inlineStr">
        <is>
          <t>high</t>
        </is>
      </c>
      <c r="G42" s="9" t="n">
        <v>90732</v>
      </c>
    </row>
    <row r="43">
      <c r="A43" s="8" t="inlineStr">
        <is>
          <t>Operating expenses (detail)</t>
        </is>
      </c>
      <c r="B43" s="8" t="inlineStr">
        <is>
          <t>B10</t>
        </is>
      </c>
      <c r="C43" s="8" t="inlineStr">
        <is>
          <t>9. Other employee benefits</t>
        </is>
      </c>
      <c r="D43" s="8" t="inlineStr">
        <is>
          <t>9</t>
        </is>
      </c>
      <c r="E43" s="8" t="inlineStr">
        <is>
          <t>part_ix_expenses.other_employee_benefits</t>
        </is>
      </c>
      <c r="F43" s="8" t="inlineStr">
        <is>
          <t>high</t>
        </is>
      </c>
      <c r="G43" s="9" t="n">
        <v>206732</v>
      </c>
    </row>
    <row r="44">
      <c r="A44" s="8" t="inlineStr">
        <is>
          <t>Operating expenses (detail)</t>
        </is>
      </c>
      <c r="B44" s="8" t="inlineStr">
        <is>
          <t>C10</t>
        </is>
      </c>
      <c r="C44" s="8" t="inlineStr">
        <is>
          <t>9. Other employee benefits</t>
        </is>
      </c>
      <c r="D44" s="8" t="inlineStr">
        <is>
          <t>9</t>
        </is>
      </c>
      <c r="E44" s="8" t="inlineStr">
        <is>
          <t>part_ix_expenses.other_employee_benefits</t>
        </is>
      </c>
      <c r="F44" s="8" t="inlineStr">
        <is>
          <t>high</t>
        </is>
      </c>
      <c r="G44" s="9" t="n">
        <v>118465</v>
      </c>
    </row>
    <row r="45">
      <c r="A45" s="8" t="inlineStr">
        <is>
          <t>Operating expenses (detail)</t>
        </is>
      </c>
      <c r="B45" s="8" t="inlineStr">
        <is>
          <t>D10</t>
        </is>
      </c>
      <c r="C45" s="8" t="inlineStr">
        <is>
          <t>9. Other employee benefits</t>
        </is>
      </c>
      <c r="D45" s="8" t="inlineStr">
        <is>
          <t>9</t>
        </is>
      </c>
      <c r="E45" s="8" t="inlineStr">
        <is>
          <t>part_ix_expenses.other_employee_benefits</t>
        </is>
      </c>
      <c r="F45" s="8" t="inlineStr">
        <is>
          <t>high</t>
        </is>
      </c>
      <c r="G45" s="9" t="n">
        <v>117588</v>
      </c>
    </row>
    <row r="46">
      <c r="A46" s="8" t="inlineStr">
        <is>
          <t>Operating expenses (detail)</t>
        </is>
      </c>
      <c r="B46" s="8" t="inlineStr">
        <is>
          <t>B11</t>
        </is>
      </c>
      <c r="C46" s="8" t="inlineStr">
        <is>
          <t>10. Payroll taxes</t>
        </is>
      </c>
      <c r="D46" s="8" t="inlineStr">
        <is>
          <t>10</t>
        </is>
      </c>
      <c r="E46" s="8" t="inlineStr">
        <is>
          <t>part_ix_expenses.payroll_taxes</t>
        </is>
      </c>
      <c r="F46" s="8" t="inlineStr">
        <is>
          <t>high</t>
        </is>
      </c>
      <c r="G46" s="9" t="n">
        <v>81092</v>
      </c>
    </row>
    <row r="47">
      <c r="A47" s="8" t="inlineStr">
        <is>
          <t>Operating expenses (detail)</t>
        </is>
      </c>
      <c r="B47" s="8" t="inlineStr">
        <is>
          <t>C11</t>
        </is>
      </c>
      <c r="C47" s="8" t="inlineStr">
        <is>
          <t>10. Payroll taxes</t>
        </is>
      </c>
      <c r="D47" s="8" t="inlineStr">
        <is>
          <t>10</t>
        </is>
      </c>
      <c r="E47" s="8" t="inlineStr">
        <is>
          <t>part_ix_expenses.payroll_taxes</t>
        </is>
      </c>
      <c r="F47" s="8" t="inlineStr">
        <is>
          <t>high</t>
        </is>
      </c>
      <c r="G47" s="9" t="n">
        <v>56512</v>
      </c>
    </row>
    <row r="48">
      <c r="A48" s="8" t="inlineStr">
        <is>
          <t>Operating expenses (detail)</t>
        </is>
      </c>
      <c r="B48" s="8" t="inlineStr">
        <is>
          <t>D11</t>
        </is>
      </c>
      <c r="C48" s="8" t="inlineStr">
        <is>
          <t>10. Payroll taxes</t>
        </is>
      </c>
      <c r="D48" s="8" t="inlineStr">
        <is>
          <t>10</t>
        </is>
      </c>
      <c r="E48" s="8" t="inlineStr">
        <is>
          <t>part_ix_expenses.payroll_taxes</t>
        </is>
      </c>
      <c r="F48" s="8" t="inlineStr">
        <is>
          <t>high</t>
        </is>
      </c>
      <c r="G48" s="9" t="n">
        <v>116837</v>
      </c>
    </row>
    <row r="49">
      <c r="A49" s="8" t="inlineStr">
        <is>
          <t>Operating expenses (detail)</t>
        </is>
      </c>
      <c r="B49" s="8" t="inlineStr">
        <is>
          <t>B12</t>
        </is>
      </c>
      <c r="C49" s="8" t="inlineStr">
        <is>
          <t>11b. Fees for services: legal</t>
        </is>
      </c>
      <c r="D49" s="8" t="inlineStr">
        <is>
          <t>11b</t>
        </is>
      </c>
      <c r="E49" s="8" t="inlineStr">
        <is>
          <t>part_ix_expenses.fees_legal</t>
        </is>
      </c>
      <c r="F49" s="8" t="inlineStr">
        <is>
          <t>high</t>
        </is>
      </c>
      <c r="G49" s="9" t="n">
        <v>35277</v>
      </c>
    </row>
    <row r="50">
      <c r="A50" s="8" t="inlineStr">
        <is>
          <t>Operating expenses (detail)</t>
        </is>
      </c>
      <c r="B50" s="8" t="inlineStr">
        <is>
          <t>C12</t>
        </is>
      </c>
      <c r="C50" s="8" t="inlineStr">
        <is>
          <t>11b. Fees for services: legal</t>
        </is>
      </c>
      <c r="D50" s="8" t="inlineStr">
        <is>
          <t>11b</t>
        </is>
      </c>
      <c r="E50" s="8" t="inlineStr">
        <is>
          <t>part_ix_expenses.fees_legal</t>
        </is>
      </c>
      <c r="F50" s="8" t="inlineStr">
        <is>
          <t>high</t>
        </is>
      </c>
      <c r="G50" s="9" t="n">
        <v>55396</v>
      </c>
    </row>
    <row r="51">
      <c r="A51" s="8" t="inlineStr">
        <is>
          <t>Operating expenses (detail)</t>
        </is>
      </c>
      <c r="B51" s="8" t="inlineStr">
        <is>
          <t>D12</t>
        </is>
      </c>
      <c r="C51" s="8" t="inlineStr">
        <is>
          <t>11b. Fees for services: legal</t>
        </is>
      </c>
      <c r="D51" s="8" t="inlineStr">
        <is>
          <t>11b</t>
        </is>
      </c>
      <c r="E51" s="8" t="inlineStr">
        <is>
          <t>part_ix_expenses.fees_legal</t>
        </is>
      </c>
      <c r="F51" s="8" t="inlineStr">
        <is>
          <t>high</t>
        </is>
      </c>
      <c r="G51" s="9" t="n">
        <v>43820</v>
      </c>
    </row>
    <row r="52">
      <c r="A52" s="8" t="inlineStr">
        <is>
          <t>Operating expenses (detail)</t>
        </is>
      </c>
      <c r="B52" s="8" t="inlineStr">
        <is>
          <t>B13</t>
        </is>
      </c>
      <c r="C52" s="8" t="inlineStr">
        <is>
          <t>11c. Fees for services: accounting</t>
        </is>
      </c>
      <c r="D52" s="8" t="inlineStr">
        <is>
          <t>11c</t>
        </is>
      </c>
      <c r="E52" s="8" t="inlineStr">
        <is>
          <t>part_ix_expenses.fees_accounting</t>
        </is>
      </c>
      <c r="F52" s="8" t="inlineStr">
        <is>
          <t>high</t>
        </is>
      </c>
      <c r="G52" s="9" t="n">
        <v>38300</v>
      </c>
    </row>
    <row r="53">
      <c r="A53" s="8" t="inlineStr">
        <is>
          <t>Operating expenses (detail)</t>
        </is>
      </c>
      <c r="B53" s="8" t="inlineStr">
        <is>
          <t>C13</t>
        </is>
      </c>
      <c r="C53" s="8" t="inlineStr">
        <is>
          <t>11c. Fees for services: accounting</t>
        </is>
      </c>
      <c r="D53" s="8" t="inlineStr">
        <is>
          <t>11c</t>
        </is>
      </c>
      <c r="E53" s="8" t="inlineStr">
        <is>
          <t>part_ix_expenses.fees_accounting</t>
        </is>
      </c>
      <c r="F53" s="8" t="inlineStr">
        <is>
          <t>high</t>
        </is>
      </c>
      <c r="G53" s="9" t="n">
        <v>115169</v>
      </c>
    </row>
    <row r="54">
      <c r="A54" s="8" t="inlineStr">
        <is>
          <t>Operating expenses (detail)</t>
        </is>
      </c>
      <c r="B54" s="8" t="inlineStr">
        <is>
          <t>D13</t>
        </is>
      </c>
      <c r="C54" s="8" t="inlineStr">
        <is>
          <t>11c. Fees for services: accounting</t>
        </is>
      </c>
      <c r="D54" s="8" t="inlineStr">
        <is>
          <t>11c</t>
        </is>
      </c>
      <c r="E54" s="8" t="inlineStr">
        <is>
          <t>part_ix_expenses.fees_accounting</t>
        </is>
      </c>
      <c r="F54" s="8" t="inlineStr">
        <is>
          <t>high</t>
        </is>
      </c>
      <c r="G54" s="9" t="n">
        <v>130353</v>
      </c>
    </row>
    <row r="55">
      <c r="A55" s="8" t="inlineStr">
        <is>
          <t>Operating expenses (detail)</t>
        </is>
      </c>
      <c r="B55" s="8" t="inlineStr">
        <is>
          <t>B14</t>
        </is>
      </c>
      <c r="C55" s="8" t="inlineStr">
        <is>
          <t>11g. Fees for services: other</t>
        </is>
      </c>
      <c r="D55" s="8" t="inlineStr">
        <is>
          <t>11g</t>
        </is>
      </c>
      <c r="E55" s="8" t="inlineStr">
        <is>
          <t>part_ix_expenses.fees_other</t>
        </is>
      </c>
      <c r="F55" s="8" t="inlineStr">
        <is>
          <t>high</t>
        </is>
      </c>
      <c r="G55" s="9" t="n">
        <v>55749</v>
      </c>
    </row>
    <row r="56">
      <c r="A56" s="8" t="inlineStr">
        <is>
          <t>Operating expenses (detail)</t>
        </is>
      </c>
      <c r="B56" s="8" t="inlineStr">
        <is>
          <t>C14</t>
        </is>
      </c>
      <c r="C56" s="8" t="inlineStr">
        <is>
          <t>11g. Fees for services: other</t>
        </is>
      </c>
      <c r="D56" s="8" t="inlineStr">
        <is>
          <t>11g</t>
        </is>
      </c>
      <c r="E56" s="8" t="inlineStr">
        <is>
          <t>part_ix_expenses.fees_other</t>
        </is>
      </c>
      <c r="F56" s="8" t="inlineStr">
        <is>
          <t>high</t>
        </is>
      </c>
      <c r="G56" s="9" t="n">
        <v>6000</v>
      </c>
    </row>
    <row r="57">
      <c r="A57" s="8" t="inlineStr">
        <is>
          <t>Operating expenses (detail)</t>
        </is>
      </c>
      <c r="B57" s="8" t="inlineStr">
        <is>
          <t>D14</t>
        </is>
      </c>
      <c r="C57" s="8" t="inlineStr">
        <is>
          <t>11g. Fees for services: other</t>
        </is>
      </c>
      <c r="D57" s="8" t="inlineStr">
        <is>
          <t>11g</t>
        </is>
      </c>
      <c r="E57" s="8" t="inlineStr">
        <is>
          <t>part_ix_expenses.fees_other</t>
        </is>
      </c>
      <c r="F57" s="8" t="inlineStr">
        <is>
          <t>high</t>
        </is>
      </c>
      <c r="G57" s="9" t="n">
        <v>6500</v>
      </c>
    </row>
    <row r="58">
      <c r="A58" s="8" t="inlineStr">
        <is>
          <t>Operating expenses (detail)</t>
        </is>
      </c>
      <c r="B58" s="8" t="inlineStr">
        <is>
          <t>B15</t>
        </is>
      </c>
      <c r="C58" s="8" t="inlineStr">
        <is>
          <t>13. Office expenses</t>
        </is>
      </c>
      <c r="D58" s="8" t="inlineStr">
        <is>
          <t>13</t>
        </is>
      </c>
      <c r="E58" s="8" t="inlineStr">
        <is>
          <t>part_ix_expenses.office_expenses</t>
        </is>
      </c>
      <c r="F58" s="8" t="inlineStr">
        <is>
          <t>high</t>
        </is>
      </c>
      <c r="G58" s="9" t="n">
        <v>46036</v>
      </c>
    </row>
    <row r="59">
      <c r="A59" s="8" t="inlineStr">
        <is>
          <t>Operating expenses (detail)</t>
        </is>
      </c>
      <c r="B59" s="8" t="inlineStr">
        <is>
          <t>C15</t>
        </is>
      </c>
      <c r="C59" s="8" t="inlineStr">
        <is>
          <t>13. Office expenses</t>
        </is>
      </c>
      <c r="D59" s="8" t="inlineStr">
        <is>
          <t>13</t>
        </is>
      </c>
      <c r="E59" s="8" t="inlineStr">
        <is>
          <t>part_ix_expenses.office_expenses</t>
        </is>
      </c>
      <c r="F59" s="8" t="inlineStr">
        <is>
          <t>high</t>
        </is>
      </c>
      <c r="G59" s="9" t="n">
        <v>89897</v>
      </c>
    </row>
    <row r="60">
      <c r="A60" s="8" t="inlineStr">
        <is>
          <t>Operating expenses (detail)</t>
        </is>
      </c>
      <c r="B60" s="8" t="inlineStr">
        <is>
          <t>D15</t>
        </is>
      </c>
      <c r="C60" s="8" t="inlineStr">
        <is>
          <t>13. Office expenses</t>
        </is>
      </c>
      <c r="D60" s="8" t="inlineStr">
        <is>
          <t>13</t>
        </is>
      </c>
      <c r="E60" s="8" t="inlineStr">
        <is>
          <t>part_ix_expenses.office_expenses</t>
        </is>
      </c>
      <c r="F60" s="8" t="inlineStr">
        <is>
          <t>high</t>
        </is>
      </c>
      <c r="G60" s="9" t="n">
        <v>65488</v>
      </c>
    </row>
    <row r="61">
      <c r="A61" s="8" t="inlineStr">
        <is>
          <t>Operating expenses (detail)</t>
        </is>
      </c>
      <c r="B61" s="8" t="inlineStr">
        <is>
          <t>B16</t>
        </is>
      </c>
      <c r="C61" s="8" t="inlineStr">
        <is>
          <t>22. Depreciation, depletion, and amortization</t>
        </is>
      </c>
      <c r="D61" s="8" t="inlineStr">
        <is>
          <t>22</t>
        </is>
      </c>
      <c r="E61" s="8" t="inlineStr">
        <is>
          <t>part_ix_expenses.depreciation</t>
        </is>
      </c>
      <c r="F61" s="8" t="inlineStr">
        <is>
          <t>high</t>
        </is>
      </c>
      <c r="G61" s="9" t="n">
        <v>1104199</v>
      </c>
    </row>
    <row r="62">
      <c r="A62" s="8" t="inlineStr">
        <is>
          <t>Operating expenses (detail)</t>
        </is>
      </c>
      <c r="B62" s="8" t="inlineStr">
        <is>
          <t>C16</t>
        </is>
      </c>
      <c r="C62" s="8" t="inlineStr">
        <is>
          <t>22. Depreciation, depletion, and amortization</t>
        </is>
      </c>
      <c r="D62" s="8" t="inlineStr">
        <is>
          <t>22</t>
        </is>
      </c>
      <c r="E62" s="8" t="inlineStr">
        <is>
          <t>part_ix_expenses.depreciation</t>
        </is>
      </c>
      <c r="F62" s="8" t="inlineStr">
        <is>
          <t>high</t>
        </is>
      </c>
      <c r="G62" s="9" t="n">
        <v>1167182</v>
      </c>
    </row>
    <row r="63">
      <c r="A63" s="8" t="inlineStr">
        <is>
          <t>Operating expenses (detail)</t>
        </is>
      </c>
      <c r="B63" s="8" t="inlineStr">
        <is>
          <t>D16</t>
        </is>
      </c>
      <c r="C63" s="8" t="inlineStr">
        <is>
          <t>22. Depreciation, depletion, and amortization</t>
        </is>
      </c>
      <c r="D63" s="8" t="inlineStr">
        <is>
          <t>22</t>
        </is>
      </c>
      <c r="E63" s="8" t="inlineStr">
        <is>
          <t>part_ix_expenses.depreciation</t>
        </is>
      </c>
      <c r="F63" s="8" t="inlineStr">
        <is>
          <t>high</t>
        </is>
      </c>
      <c r="G63" s="9" t="n">
        <v>1556793</v>
      </c>
    </row>
    <row r="64">
      <c r="A64" s="8" t="inlineStr">
        <is>
          <t>Operating expenses (detail)</t>
        </is>
      </c>
      <c r="B64" s="8" t="inlineStr">
        <is>
          <t>B22</t>
        </is>
      </c>
      <c r="C64" s="8" t="inlineStr">
        <is>
          <t>24e. All other expenses</t>
        </is>
      </c>
      <c r="D64" s="8" t="inlineStr">
        <is>
          <t>24e</t>
        </is>
      </c>
      <c r="E64" s="8" t="inlineStr">
        <is>
          <t>part_ix_expenses.all_other_expenses</t>
        </is>
      </c>
      <c r="F64" s="8" t="inlineStr">
        <is>
          <t>high</t>
        </is>
      </c>
      <c r="G64" s="9" t="n">
        <v>87748</v>
      </c>
    </row>
    <row r="65">
      <c r="A65" s="8" t="inlineStr">
        <is>
          <t>Operating expenses (detail)</t>
        </is>
      </c>
      <c r="B65" s="8" t="inlineStr">
        <is>
          <t>C22</t>
        </is>
      </c>
      <c r="C65" s="8" t="inlineStr">
        <is>
          <t>24e. All other expenses</t>
        </is>
      </c>
      <c r="D65" s="8" t="inlineStr">
        <is>
          <t>24e</t>
        </is>
      </c>
      <c r="E65" s="8" t="inlineStr">
        <is>
          <t>part_ix_expenses.all_other_expenses</t>
        </is>
      </c>
      <c r="F65" s="8" t="inlineStr">
        <is>
          <t>high</t>
        </is>
      </c>
      <c r="G65" s="9" t="n">
        <v>121391</v>
      </c>
    </row>
    <row r="66">
      <c r="A66" s="8" t="inlineStr">
        <is>
          <t>Operating expenses (detail)</t>
        </is>
      </c>
      <c r="B66" s="8" t="inlineStr">
        <is>
          <t>D22</t>
        </is>
      </c>
      <c r="C66" s="8" t="inlineStr">
        <is>
          <t>24e. All other expenses</t>
        </is>
      </c>
      <c r="D66" s="8" t="inlineStr">
        <is>
          <t>24e</t>
        </is>
      </c>
      <c r="E66" s="8" t="inlineStr">
        <is>
          <t>part_ix_expenses.all_other_expenses</t>
        </is>
      </c>
      <c r="F66" s="8" t="inlineStr">
        <is>
          <t>high</t>
        </is>
      </c>
      <c r="G66" s="9" t="n">
        <v>128774</v>
      </c>
    </row>
    <row r="67">
      <c r="A67" s="8" t="inlineStr">
        <is>
          <t>Balance sheet (detail)</t>
        </is>
      </c>
      <c r="B67" s="8" t="inlineStr">
        <is>
          <t>B7</t>
        </is>
      </c>
      <c r="C67" s="8" t="inlineStr">
        <is>
          <t>1. Cash - non-interest-bearing</t>
        </is>
      </c>
      <c r="D67" s="8" t="inlineStr">
        <is>
          <t>1E</t>
        </is>
      </c>
      <c r="E67" s="8" t="inlineStr">
        <is>
          <t>part_x_balance_sheet.cash_noninterest_eoy</t>
        </is>
      </c>
      <c r="F67" s="8" t="inlineStr">
        <is>
          <t>high</t>
        </is>
      </c>
      <c r="G67" s="9" t="n">
        <v>500</v>
      </c>
    </row>
    <row r="68">
      <c r="A68" s="8" t="inlineStr">
        <is>
          <t>Balance sheet (detail)</t>
        </is>
      </c>
      <c r="B68" s="8" t="inlineStr">
        <is>
          <t>C7</t>
        </is>
      </c>
      <c r="C68" s="8" t="inlineStr">
        <is>
          <t>1. Cash - non-interest-bearing</t>
        </is>
      </c>
      <c r="D68" s="8" t="inlineStr">
        <is>
          <t>1E</t>
        </is>
      </c>
      <c r="E68" s="8" t="inlineStr">
        <is>
          <t>part_x_balance_sheet.cash_noninterest_eoy</t>
        </is>
      </c>
      <c r="F68" s="8" t="inlineStr">
        <is>
          <t>high</t>
        </is>
      </c>
      <c r="G68" s="9" t="n">
        <v>36034</v>
      </c>
    </row>
    <row r="69">
      <c r="A69" s="8" t="inlineStr">
        <is>
          <t>Balance sheet (detail)</t>
        </is>
      </c>
      <c r="B69" s="8" t="inlineStr">
        <is>
          <t>D7</t>
        </is>
      </c>
      <c r="C69" s="8" t="inlineStr">
        <is>
          <t>1. Cash - non-interest-bearing</t>
        </is>
      </c>
      <c r="D69" s="8" t="inlineStr">
        <is>
          <t>1E</t>
        </is>
      </c>
      <c r="E69" s="8" t="inlineStr">
        <is>
          <t>part_x_balance_sheet.cash_noninterest_eoy</t>
        </is>
      </c>
      <c r="F69" s="8" t="inlineStr">
        <is>
          <t>high</t>
        </is>
      </c>
      <c r="G69" s="9" t="n">
        <v>133221</v>
      </c>
    </row>
    <row r="70">
      <c r="A70" s="8" t="inlineStr">
        <is>
          <t>Balance sheet (detail)</t>
        </is>
      </c>
      <c r="B70" s="8" t="inlineStr">
        <is>
          <t>B8</t>
        </is>
      </c>
      <c r="C70" s="8" t="inlineStr">
        <is>
          <t>2. Savings and temporary cash investments</t>
        </is>
      </c>
      <c r="D70" s="8" t="inlineStr">
        <is>
          <t>2E</t>
        </is>
      </c>
      <c r="E70" s="8" t="inlineStr">
        <is>
          <t>part_x_balance_sheet.savings_temp_invest_eoy</t>
        </is>
      </c>
      <c r="F70" s="8" t="inlineStr">
        <is>
          <t>high</t>
        </is>
      </c>
      <c r="G70" s="9" t="n">
        <v>2468882</v>
      </c>
    </row>
    <row r="71">
      <c r="A71" s="8" t="inlineStr">
        <is>
          <t>Balance sheet (detail)</t>
        </is>
      </c>
      <c r="B71" s="8" t="inlineStr">
        <is>
          <t>C8</t>
        </is>
      </c>
      <c r="C71" s="8" t="inlineStr">
        <is>
          <t>2. Savings and temporary cash investments</t>
        </is>
      </c>
      <c r="D71" s="8" t="inlineStr">
        <is>
          <t>2E</t>
        </is>
      </c>
      <c r="E71" s="8" t="inlineStr">
        <is>
          <t>part_x_balance_sheet.savings_temp_invest_eoy</t>
        </is>
      </c>
      <c r="F71" s="8" t="inlineStr">
        <is>
          <t>high</t>
        </is>
      </c>
      <c r="G71" s="9" t="n">
        <v>813127</v>
      </c>
    </row>
    <row r="72">
      <c r="A72" s="8" t="inlineStr">
        <is>
          <t>Balance sheet (detail)</t>
        </is>
      </c>
      <c r="B72" s="8" t="inlineStr">
        <is>
          <t>D8</t>
        </is>
      </c>
      <c r="C72" s="8" t="inlineStr">
        <is>
          <t>2. Savings and temporary cash investments</t>
        </is>
      </c>
      <c r="D72" s="8" t="inlineStr">
        <is>
          <t>2E</t>
        </is>
      </c>
      <c r="E72" s="8" t="inlineStr">
        <is>
          <t>part_x_balance_sheet.savings_temp_invest_eoy</t>
        </is>
      </c>
      <c r="F72" s="8" t="inlineStr">
        <is>
          <t>high</t>
        </is>
      </c>
      <c r="G72" s="9" t="n">
        <v>198493</v>
      </c>
    </row>
    <row r="73">
      <c r="A73" s="8" t="inlineStr">
        <is>
          <t>Balance sheet (detail)</t>
        </is>
      </c>
      <c r="B73" s="8" t="inlineStr">
        <is>
          <t>B9</t>
        </is>
      </c>
      <c r="C73" s="8" t="inlineStr">
        <is>
          <t>4. Accounts receivable, net</t>
        </is>
      </c>
      <c r="D73" s="8" t="inlineStr">
        <is>
          <t>4E</t>
        </is>
      </c>
      <c r="E73" s="8" t="inlineStr">
        <is>
          <t>part_x_balance_sheet.accounts_receivable_eoy</t>
        </is>
      </c>
      <c r="F73" s="8" t="inlineStr">
        <is>
          <t>high</t>
        </is>
      </c>
      <c r="G73" s="9" t="n">
        <v>773398</v>
      </c>
    </row>
    <row r="74">
      <c r="A74" s="8" t="inlineStr">
        <is>
          <t>Balance sheet (detail)</t>
        </is>
      </c>
      <c r="B74" s="8" t="inlineStr">
        <is>
          <t>C9</t>
        </is>
      </c>
      <c r="C74" s="8" t="inlineStr">
        <is>
          <t>4. Accounts receivable, net</t>
        </is>
      </c>
      <c r="D74" s="8" t="inlineStr">
        <is>
          <t>4E</t>
        </is>
      </c>
      <c r="E74" s="8" t="inlineStr">
        <is>
          <t>part_x_balance_sheet.accounts_receivable_eoy</t>
        </is>
      </c>
      <c r="F74" s="8" t="inlineStr">
        <is>
          <t>high</t>
        </is>
      </c>
      <c r="G74" s="9" t="n">
        <v>846557</v>
      </c>
    </row>
    <row r="75">
      <c r="A75" s="8" t="inlineStr">
        <is>
          <t>Balance sheet (detail)</t>
        </is>
      </c>
      <c r="B75" s="8" t="inlineStr">
        <is>
          <t>D9</t>
        </is>
      </c>
      <c r="C75" s="8" t="inlineStr">
        <is>
          <t>4. Accounts receivable, net</t>
        </is>
      </c>
      <c r="D75" s="8" t="inlineStr">
        <is>
          <t>4E</t>
        </is>
      </c>
      <c r="E75" s="8" t="inlineStr">
        <is>
          <t>part_x_balance_sheet.accounts_receivable_eoy</t>
        </is>
      </c>
      <c r="F75" s="8" t="inlineStr">
        <is>
          <t>high</t>
        </is>
      </c>
      <c r="G75" s="9" t="n">
        <v>806102</v>
      </c>
    </row>
    <row r="76">
      <c r="A76" s="8" t="inlineStr">
        <is>
          <t>Balance sheet (detail)</t>
        </is>
      </c>
      <c r="B76" s="8" t="inlineStr">
        <is>
          <t>B10</t>
        </is>
      </c>
      <c r="C76" s="8" t="inlineStr">
        <is>
          <t>9. Prepaid expenses and deferred charges</t>
        </is>
      </c>
      <c r="D76" s="8" t="inlineStr">
        <is>
          <t>9E</t>
        </is>
      </c>
      <c r="E76" s="8" t="inlineStr">
        <is>
          <t>part_x_balance_sheet.prepaid_expenses_eoy</t>
        </is>
      </c>
      <c r="F76" s="8" t="inlineStr">
        <is>
          <t>high</t>
        </is>
      </c>
      <c r="G76" s="9" t="n">
        <v>17579</v>
      </c>
    </row>
    <row r="77">
      <c r="A77" s="8" t="inlineStr">
        <is>
          <t>Balance sheet (detail)</t>
        </is>
      </c>
      <c r="B77" s="8" t="inlineStr">
        <is>
          <t>C10</t>
        </is>
      </c>
      <c r="C77" s="8" t="inlineStr">
        <is>
          <t>9. Prepaid expenses and deferred charges</t>
        </is>
      </c>
      <c r="D77" s="8" t="inlineStr">
        <is>
          <t>9E</t>
        </is>
      </c>
      <c r="E77" s="8" t="inlineStr">
        <is>
          <t>part_x_balance_sheet.prepaid_expenses_eoy</t>
        </is>
      </c>
      <c r="F77" s="8" t="inlineStr">
        <is>
          <t>high</t>
        </is>
      </c>
      <c r="G77" s="9" t="n">
        <v>29662</v>
      </c>
    </row>
    <row r="78">
      <c r="A78" s="8" t="inlineStr">
        <is>
          <t>Balance sheet (detail)</t>
        </is>
      </c>
      <c r="B78" s="8" t="inlineStr">
        <is>
          <t>D10</t>
        </is>
      </c>
      <c r="C78" s="8" t="inlineStr">
        <is>
          <t>9. Prepaid expenses and deferred charges</t>
        </is>
      </c>
      <c r="D78" s="8" t="inlineStr">
        <is>
          <t>9E</t>
        </is>
      </c>
      <c r="E78" s="8" t="inlineStr">
        <is>
          <t>part_x_balance_sheet.prepaid_expenses_eoy</t>
        </is>
      </c>
      <c r="F78" s="8" t="inlineStr">
        <is>
          <t>high</t>
        </is>
      </c>
      <c r="G78" s="9" t="n">
        <v>35774</v>
      </c>
    </row>
    <row r="79">
      <c r="A79" s="8" t="inlineStr">
        <is>
          <t>Balance sheet (detail)</t>
        </is>
      </c>
      <c r="B79" s="8" t="inlineStr">
        <is>
          <t>B11</t>
        </is>
      </c>
      <c r="C79" s="8" t="inlineStr">
        <is>
          <t>10c. Land, buildings, and equipment, net</t>
        </is>
      </c>
      <c r="D79" s="8" t="inlineStr">
        <is>
          <t>10cE</t>
        </is>
      </c>
      <c r="E79" s="8" t="inlineStr">
        <is>
          <t>part_x_balance_sheet.land_bldg_equip_net_eoy</t>
        </is>
      </c>
      <c r="F79" s="8" t="inlineStr">
        <is>
          <t>high</t>
        </is>
      </c>
      <c r="G79" s="9" t="n">
        <v>20608776</v>
      </c>
    </row>
    <row r="80">
      <c r="A80" s="8" t="inlineStr">
        <is>
          <t>Balance sheet (detail)</t>
        </is>
      </c>
      <c r="B80" s="8" t="inlineStr">
        <is>
          <t>C11</t>
        </is>
      </c>
      <c r="C80" s="8" t="inlineStr">
        <is>
          <t>10c. Land, buildings, and equipment, net</t>
        </is>
      </c>
      <c r="D80" s="8" t="inlineStr">
        <is>
          <t>10cE</t>
        </is>
      </c>
      <c r="E80" s="8" t="inlineStr">
        <is>
          <t>part_x_balance_sheet.land_bldg_equip_net_eoy</t>
        </is>
      </c>
      <c r="F80" s="8" t="inlineStr">
        <is>
          <t>high</t>
        </is>
      </c>
      <c r="G80" s="9" t="n">
        <v>40696252</v>
      </c>
    </row>
    <row r="81">
      <c r="A81" s="8" t="inlineStr">
        <is>
          <t>Balance sheet (detail)</t>
        </is>
      </c>
      <c r="B81" s="8" t="inlineStr">
        <is>
          <t>D11</t>
        </is>
      </c>
      <c r="C81" s="8" t="inlineStr">
        <is>
          <t>10c. Land, buildings, and equipment, net</t>
        </is>
      </c>
      <c r="D81" s="8" t="inlineStr">
        <is>
          <t>10cE</t>
        </is>
      </c>
      <c r="E81" s="8" t="inlineStr">
        <is>
          <t>part_x_balance_sheet.land_bldg_equip_net_eoy</t>
        </is>
      </c>
      <c r="F81" s="8" t="inlineStr">
        <is>
          <t>high</t>
        </is>
      </c>
      <c r="G81" s="9" t="n">
        <v>40789438</v>
      </c>
    </row>
    <row r="82">
      <c r="A82" s="8" t="inlineStr">
        <is>
          <t>Balance sheet (detail)</t>
        </is>
      </c>
      <c r="B82" s="8" t="inlineStr">
        <is>
          <t>B12</t>
        </is>
      </c>
      <c r="C82" s="8" t="inlineStr">
        <is>
          <t>12. Investments - other securities</t>
        </is>
      </c>
      <c r="D82" s="8" t="inlineStr">
        <is>
          <t>12E</t>
        </is>
      </c>
      <c r="E82" s="8" t="inlineStr">
        <is>
          <t>part_x_balance_sheet.investments_other_securities_eoy</t>
        </is>
      </c>
      <c r="F82" s="8" t="inlineStr">
        <is>
          <t>high</t>
        </is>
      </c>
      <c r="G82" s="9" t="n">
        <v>2135586</v>
      </c>
    </row>
    <row r="83">
      <c r="A83" s="8" t="inlineStr">
        <is>
          <t>Balance sheet (detail)</t>
        </is>
      </c>
      <c r="B83" s="8" t="inlineStr">
        <is>
          <t>C12</t>
        </is>
      </c>
      <c r="C83" s="8" t="inlineStr">
        <is>
          <t>12. Investments - other securities</t>
        </is>
      </c>
      <c r="D83" s="8" t="inlineStr">
        <is>
          <t>12E</t>
        </is>
      </c>
      <c r="E83" s="8" t="inlineStr">
        <is>
          <t>part_x_balance_sheet.investments_other_securities_eoy</t>
        </is>
      </c>
      <c r="F83" s="8" t="inlineStr">
        <is>
          <t>high</t>
        </is>
      </c>
      <c r="G83" s="9" t="n">
        <v>8974701</v>
      </c>
    </row>
    <row r="84">
      <c r="A84" s="8" t="inlineStr">
        <is>
          <t>Balance sheet (detail)</t>
        </is>
      </c>
      <c r="B84" s="8" t="inlineStr">
        <is>
          <t>D12</t>
        </is>
      </c>
      <c r="C84" s="8" t="inlineStr">
        <is>
          <t>12. Investments - other securities</t>
        </is>
      </c>
      <c r="D84" s="8" t="inlineStr">
        <is>
          <t>12E</t>
        </is>
      </c>
      <c r="E84" s="8" t="inlineStr">
        <is>
          <t>part_x_balance_sheet.investments_other_securities_eoy</t>
        </is>
      </c>
      <c r="F84" s="8" t="inlineStr">
        <is>
          <t>high</t>
        </is>
      </c>
      <c r="G84" s="9" t="n">
        <v>9838004</v>
      </c>
    </row>
    <row r="85">
      <c r="A85" s="8" t="inlineStr">
        <is>
          <t>Balance sheet (detail)</t>
        </is>
      </c>
      <c r="B85" s="8" t="inlineStr">
        <is>
          <t>B13</t>
        </is>
      </c>
      <c r="C85" s="8" t="inlineStr">
        <is>
          <t>14. Intangible assets</t>
        </is>
      </c>
      <c r="D85" s="8" t="inlineStr">
        <is>
          <t>14E</t>
        </is>
      </c>
      <c r="E85" s="8" t="inlineStr">
        <is>
          <t>part_x_balance_sheet.intangible_assets_eoy</t>
        </is>
      </c>
      <c r="F85" s="8" t="inlineStr">
        <is>
          <t>high</t>
        </is>
      </c>
      <c r="G85" s="9" t="n">
        <v>698151</v>
      </c>
    </row>
    <row r="86">
      <c r="A86" s="8" t="inlineStr">
        <is>
          <t>Balance sheet (detail)</t>
        </is>
      </c>
      <c r="B86" s="8" t="inlineStr">
        <is>
          <t>C13</t>
        </is>
      </c>
      <c r="C86" s="8" t="inlineStr">
        <is>
          <t>14. Intangible assets</t>
        </is>
      </c>
      <c r="D86" s="8" t="inlineStr">
        <is>
          <t>14E</t>
        </is>
      </c>
      <c r="E86" s="8" t="inlineStr">
        <is>
          <t>part_x_balance_sheet.intangible_assets_eoy</t>
        </is>
      </c>
      <c r="F86" s="8" t="inlineStr">
        <is>
          <t>high</t>
        </is>
      </c>
      <c r="G86" s="9" t="n">
        <v>735759</v>
      </c>
    </row>
    <row r="87">
      <c r="A87" s="8" t="inlineStr">
        <is>
          <t>Balance sheet (detail)</t>
        </is>
      </c>
      <c r="B87" s="8" t="inlineStr">
        <is>
          <t>D13</t>
        </is>
      </c>
      <c r="C87" s="8" t="inlineStr">
        <is>
          <t>14. Intangible assets</t>
        </is>
      </c>
      <c r="D87" s="8" t="inlineStr">
        <is>
          <t>14E</t>
        </is>
      </c>
      <c r="E87" s="8" t="inlineStr">
        <is>
          <t>part_x_balance_sheet.intangible_assets_eoy</t>
        </is>
      </c>
      <c r="F87" s="8" t="inlineStr">
        <is>
          <t>high</t>
        </is>
      </c>
      <c r="G87" s="9" t="n">
        <v>1270111</v>
      </c>
    </row>
    <row r="88">
      <c r="A88" s="8" t="inlineStr">
        <is>
          <t>Balance sheet (detail)</t>
        </is>
      </c>
      <c r="B88" s="8" t="inlineStr">
        <is>
          <t>B14</t>
        </is>
      </c>
      <c r="C88" s="8" t="inlineStr">
        <is>
          <t>15. Other assets</t>
        </is>
      </c>
      <c r="D88" s="8" t="inlineStr">
        <is>
          <t>15E</t>
        </is>
      </c>
      <c r="E88" s="8" t="inlineStr">
        <is>
          <t>part_x_balance_sheet.other_assets_eoy</t>
        </is>
      </c>
      <c r="F88" s="8" t="inlineStr">
        <is>
          <t>high</t>
        </is>
      </c>
      <c r="G88" s="9" t="n">
        <v>439650</v>
      </c>
    </row>
    <row r="89">
      <c r="A89" s="8" t="inlineStr">
        <is>
          <t>Balance sheet (detail)</t>
        </is>
      </c>
      <c r="B89" s="8" t="inlineStr">
        <is>
          <t>C14</t>
        </is>
      </c>
      <c r="C89" s="8" t="inlineStr">
        <is>
          <t>15. Other assets</t>
        </is>
      </c>
      <c r="D89" s="8" t="inlineStr">
        <is>
          <t>15E</t>
        </is>
      </c>
      <c r="E89" s="8" t="inlineStr">
        <is>
          <t>part_x_balance_sheet.other_assets_eoy</t>
        </is>
      </c>
      <c r="F89" s="8" t="inlineStr">
        <is>
          <t>high</t>
        </is>
      </c>
      <c r="G89" s="9" t="n">
        <v>456867</v>
      </c>
    </row>
    <row r="90">
      <c r="A90" s="8" t="inlineStr">
        <is>
          <t>Balance sheet (detail)</t>
        </is>
      </c>
      <c r="B90" s="8" t="inlineStr">
        <is>
          <t>D14</t>
        </is>
      </c>
      <c r="C90" s="8" t="inlineStr">
        <is>
          <t>15. Other assets</t>
        </is>
      </c>
      <c r="D90" s="8" t="inlineStr">
        <is>
          <t>15E</t>
        </is>
      </c>
      <c r="E90" s="8" t="inlineStr">
        <is>
          <t>part_x_balance_sheet.other_assets_eoy</t>
        </is>
      </c>
      <c r="F90" s="8" t="inlineStr">
        <is>
          <t>high</t>
        </is>
      </c>
      <c r="G90" s="9" t="n">
        <v>1420097</v>
      </c>
    </row>
    <row r="91">
      <c r="A91" s="8" t="inlineStr">
        <is>
          <t>Balance sheet (detail)</t>
        </is>
      </c>
      <c r="B91" s="8" t="inlineStr">
        <is>
          <t>B18</t>
        </is>
      </c>
      <c r="C91" s="8" t="inlineStr">
        <is>
          <t>17. Accounts payable and accrued expenses</t>
        </is>
      </c>
      <c r="D91" s="8" t="inlineStr">
        <is>
          <t>17E</t>
        </is>
      </c>
      <c r="E91" s="8" t="inlineStr">
        <is>
          <t>part_x_balance_sheet.accounts_payable_eoy</t>
        </is>
      </c>
      <c r="F91" s="8" t="inlineStr">
        <is>
          <t>high</t>
        </is>
      </c>
      <c r="G91" s="9" t="n">
        <v>495540</v>
      </c>
    </row>
    <row r="92">
      <c r="A92" s="8" t="inlineStr">
        <is>
          <t>Balance sheet (detail)</t>
        </is>
      </c>
      <c r="B92" s="8" t="inlineStr">
        <is>
          <t>C18</t>
        </is>
      </c>
      <c r="C92" s="8" t="inlineStr">
        <is>
          <t>17. Accounts payable and accrued expenses</t>
        </is>
      </c>
      <c r="D92" s="8" t="inlineStr">
        <is>
          <t>17E</t>
        </is>
      </c>
      <c r="E92" s="8" t="inlineStr">
        <is>
          <t>part_x_balance_sheet.accounts_payable_eoy</t>
        </is>
      </c>
      <c r="F92" s="8" t="inlineStr">
        <is>
          <t>high</t>
        </is>
      </c>
      <c r="G92" s="9" t="n">
        <v>578529</v>
      </c>
    </row>
    <row r="93">
      <c r="A93" s="8" t="inlineStr">
        <is>
          <t>Balance sheet (detail)</t>
        </is>
      </c>
      <c r="B93" s="8" t="inlineStr">
        <is>
          <t>D18</t>
        </is>
      </c>
      <c r="C93" s="8" t="inlineStr">
        <is>
          <t>17. Accounts payable and accrued expenses</t>
        </is>
      </c>
      <c r="D93" s="8" t="inlineStr">
        <is>
          <t>17E</t>
        </is>
      </c>
      <c r="E93" s="8" t="inlineStr">
        <is>
          <t>part_x_balance_sheet.accounts_payable_eoy</t>
        </is>
      </c>
      <c r="F93" s="8" t="inlineStr">
        <is>
          <t>high</t>
        </is>
      </c>
      <c r="G93" s="9" t="n">
        <v>707786</v>
      </c>
    </row>
    <row r="94">
      <c r="A94" s="8" t="inlineStr">
        <is>
          <t>Balance sheet (detail)</t>
        </is>
      </c>
      <c r="B94" s="8" t="inlineStr">
        <is>
          <t>B19</t>
        </is>
      </c>
      <c r="C94" s="8" t="inlineStr">
        <is>
          <t>25. Other liabilities</t>
        </is>
      </c>
      <c r="D94" s="8" t="inlineStr">
        <is>
          <t>25E</t>
        </is>
      </c>
      <c r="E94" s="8" t="inlineStr">
        <is>
          <t>part_x_balance_sheet.other_liabilities_eoy</t>
        </is>
      </c>
      <c r="F94" s="8" t="inlineStr">
        <is>
          <t>high</t>
        </is>
      </c>
      <c r="G94" s="9" t="n">
        <v>102287</v>
      </c>
    </row>
    <row r="95">
      <c r="A95" s="8" t="inlineStr">
        <is>
          <t>Balance sheet (detail)</t>
        </is>
      </c>
      <c r="B95" s="8" t="inlineStr">
        <is>
          <t>C19</t>
        </is>
      </c>
      <c r="C95" s="8" t="inlineStr">
        <is>
          <t>25. Other liabilities</t>
        </is>
      </c>
      <c r="D95" s="8" t="inlineStr">
        <is>
          <t>25E</t>
        </is>
      </c>
      <c r="E95" s="8" t="inlineStr">
        <is>
          <t>part_x_balance_sheet.other_liabilities_eoy</t>
        </is>
      </c>
      <c r="F95" s="8" t="inlineStr">
        <is>
          <t>high</t>
        </is>
      </c>
      <c r="G95" s="9" t="n">
        <v>1306600</v>
      </c>
    </row>
    <row r="96">
      <c r="A96" s="8" t="inlineStr">
        <is>
          <t>Balance sheet (detail)</t>
        </is>
      </c>
      <c r="B96" s="8" t="inlineStr">
        <is>
          <t>D19</t>
        </is>
      </c>
      <c r="C96" s="8" t="inlineStr">
        <is>
          <t>25. Other liabilities</t>
        </is>
      </c>
      <c r="D96" s="8" t="inlineStr">
        <is>
          <t>25E</t>
        </is>
      </c>
      <c r="E96" s="8" t="inlineStr">
        <is>
          <t>part_x_balance_sheet.other_liabilities_eoy</t>
        </is>
      </c>
      <c r="F96" s="8" t="inlineStr">
        <is>
          <t>high</t>
        </is>
      </c>
      <c r="G96" s="9" t="n">
        <v>2599145</v>
      </c>
    </row>
    <row r="97">
      <c r="A97" s="8" t="inlineStr">
        <is>
          <t>Balance sheet (detail)</t>
        </is>
      </c>
      <c r="B97" s="8" t="inlineStr">
        <is>
          <t>B23</t>
        </is>
      </c>
      <c r="C97" s="8" t="inlineStr">
        <is>
          <t>29. Capital stock or trust principal</t>
        </is>
      </c>
      <c r="D97" s="8" t="inlineStr">
        <is>
          <t>29E</t>
        </is>
      </c>
      <c r="E97" s="8" t="inlineStr">
        <is>
          <t>part_x_balance_sheet.cap_stock_eoy</t>
        </is>
      </c>
      <c r="F97" s="8" t="inlineStr">
        <is>
          <t>high</t>
        </is>
      </c>
      <c r="G97" s="9" t="n">
        <v>190880</v>
      </c>
    </row>
    <row r="98">
      <c r="A98" s="8" t="inlineStr">
        <is>
          <t>Balance sheet (detail)</t>
        </is>
      </c>
      <c r="B98" s="8" t="inlineStr">
        <is>
          <t>C23</t>
        </is>
      </c>
      <c r="C98" s="8" t="inlineStr">
        <is>
          <t>29. Capital stock or trust principal</t>
        </is>
      </c>
      <c r="D98" s="8" t="inlineStr">
        <is>
          <t>29E</t>
        </is>
      </c>
      <c r="E98" s="8" t="inlineStr">
        <is>
          <t>part_x_balance_sheet.cap_stock_eoy</t>
        </is>
      </c>
      <c r="F98" s="8" t="inlineStr">
        <is>
          <t>high</t>
        </is>
      </c>
      <c r="G98" s="9" t="n">
        <v>190260</v>
      </c>
    </row>
    <row r="99">
      <c r="A99" s="8" t="inlineStr">
        <is>
          <t>Balance sheet (detail)</t>
        </is>
      </c>
      <c r="B99" s="8" t="inlineStr">
        <is>
          <t>D23</t>
        </is>
      </c>
      <c r="C99" s="8" t="inlineStr">
        <is>
          <t>29. Capital stock or trust principal</t>
        </is>
      </c>
      <c r="D99" s="8" t="inlineStr">
        <is>
          <t>29E</t>
        </is>
      </c>
      <c r="E99" s="8" t="inlineStr">
        <is>
          <t>part_x_balance_sheet.cap_stock_eoy</t>
        </is>
      </c>
      <c r="F99" s="8" t="inlineStr">
        <is>
          <t>high</t>
        </is>
      </c>
      <c r="G99" s="9" t="n">
        <v>190260</v>
      </c>
    </row>
    <row r="100">
      <c r="A100" s="8" t="inlineStr">
        <is>
          <t>Balance sheet (detail)</t>
        </is>
      </c>
      <c r="B100" s="8" t="inlineStr">
        <is>
          <t>B24</t>
        </is>
      </c>
      <c r="C100" s="8" t="inlineStr">
        <is>
          <t>30. Paid-in or capital surplus</t>
        </is>
      </c>
      <c r="D100" s="8" t="inlineStr">
        <is>
          <t>30E</t>
        </is>
      </c>
      <c r="E100" s="8" t="inlineStr">
        <is>
          <t>part_x_balance_sheet.paid_in_capital_eoy</t>
        </is>
      </c>
      <c r="F100" s="8" t="inlineStr">
        <is>
          <t>high</t>
        </is>
      </c>
      <c r="G100" s="9" t="n">
        <v>291553</v>
      </c>
    </row>
    <row r="101">
      <c r="A101" s="8" t="inlineStr">
        <is>
          <t>Balance sheet (detail)</t>
        </is>
      </c>
      <c r="B101" s="8" t="inlineStr">
        <is>
          <t>C24</t>
        </is>
      </c>
      <c r="C101" s="8" t="inlineStr">
        <is>
          <t>30. Paid-in or capital surplus</t>
        </is>
      </c>
      <c r="D101" s="8" t="inlineStr">
        <is>
          <t>30E</t>
        </is>
      </c>
      <c r="E101" s="8" t="inlineStr">
        <is>
          <t>part_x_balance_sheet.paid_in_capital_eoy</t>
        </is>
      </c>
      <c r="F101" s="8" t="inlineStr">
        <is>
          <t>high</t>
        </is>
      </c>
      <c r="G101" s="9" t="n">
        <v>292173</v>
      </c>
    </row>
    <row r="102">
      <c r="A102" s="8" t="inlineStr">
        <is>
          <t>Balance sheet (detail)</t>
        </is>
      </c>
      <c r="B102" s="8" t="inlineStr">
        <is>
          <t>D24</t>
        </is>
      </c>
      <c r="C102" s="8" t="inlineStr">
        <is>
          <t>30. Paid-in or capital surplus</t>
        </is>
      </c>
      <c r="D102" s="8" t="inlineStr">
        <is>
          <t>30E</t>
        </is>
      </c>
      <c r="E102" s="8" t="inlineStr">
        <is>
          <t>part_x_balance_sheet.paid_in_capital_eoy</t>
        </is>
      </c>
      <c r="F102" s="8" t="inlineStr">
        <is>
          <t>high</t>
        </is>
      </c>
      <c r="G102" s="9" t="n">
        <v>292173</v>
      </c>
    </row>
    <row r="103">
      <c r="A103" s="8" t="inlineStr">
        <is>
          <t>Balance sheet (detail)</t>
        </is>
      </c>
      <c r="B103" s="8" t="inlineStr">
        <is>
          <t>B25</t>
        </is>
      </c>
      <c r="C103" s="8" t="inlineStr">
        <is>
          <t>31. Retained earnings / accumulated funds</t>
        </is>
      </c>
      <c r="D103" s="8" t="inlineStr">
        <is>
          <t>31E</t>
        </is>
      </c>
      <c r="E103" s="8" t="inlineStr">
        <is>
          <t>part_x_balance_sheet.retained_earnings_eoy</t>
        </is>
      </c>
      <c r="F103" s="8" t="inlineStr">
        <is>
          <t>high</t>
        </is>
      </c>
      <c r="G103" s="9" t="n">
        <v>26062262</v>
      </c>
    </row>
    <row r="104">
      <c r="A104" s="8" t="inlineStr">
        <is>
          <t>Balance sheet (detail)</t>
        </is>
      </c>
      <c r="B104" s="8" t="inlineStr">
        <is>
          <t>C25</t>
        </is>
      </c>
      <c r="C104" s="8" t="inlineStr">
        <is>
          <t>31. Retained earnings / accumulated funds</t>
        </is>
      </c>
      <c r="D104" s="8" t="inlineStr">
        <is>
          <t>31E</t>
        </is>
      </c>
      <c r="E104" s="8" t="inlineStr">
        <is>
          <t>part_x_balance_sheet.retained_earnings_eoy</t>
        </is>
      </c>
      <c r="F104" s="8" t="inlineStr">
        <is>
          <t>high</t>
        </is>
      </c>
      <c r="G104" s="9" t="n">
        <v>50221397</v>
      </c>
    </row>
    <row r="105">
      <c r="A105" s="8" t="inlineStr">
        <is>
          <t>Balance sheet (detail)</t>
        </is>
      </c>
      <c r="B105" s="8" t="inlineStr">
        <is>
          <t>D25</t>
        </is>
      </c>
      <c r="C105" s="8" t="inlineStr">
        <is>
          <t>31. Retained earnings / accumulated funds</t>
        </is>
      </c>
      <c r="D105" s="8" t="inlineStr">
        <is>
          <t>31E</t>
        </is>
      </c>
      <c r="E105" s="8" t="inlineStr">
        <is>
          <t>part_x_balance_sheet.retained_earnings_eoy</t>
        </is>
      </c>
      <c r="F105" s="8" t="inlineStr">
        <is>
          <t>high</t>
        </is>
      </c>
      <c r="G105" s="9" t="n">
        <v>50701876</v>
      </c>
    </row>
    <row r="106">
      <c r="A106" s="8" t="inlineStr">
        <is>
          <t>Net-assets reconciliation</t>
        </is>
      </c>
      <c r="B106" s="8" t="inlineStr">
        <is>
          <t>B7</t>
        </is>
      </c>
      <c r="C106" s="8" t="inlineStr">
        <is>
          <t>4. Net assets, beginning of year</t>
        </is>
      </c>
      <c r="D106" s="8" t="inlineStr">
        <is>
          <t>Part XI line 4</t>
        </is>
      </c>
      <c r="E106" s="8" t="inlineStr">
        <is>
          <t>part_xi_reconciliation.net_assets_boy</t>
        </is>
      </c>
      <c r="F106" s="8" t="inlineStr">
        <is>
          <t>high</t>
        </is>
      </c>
      <c r="G106" s="9" t="n">
        <v>25544927</v>
      </c>
    </row>
    <row r="107">
      <c r="A107" s="8" t="inlineStr">
        <is>
          <t>Net-assets reconciliation</t>
        </is>
      </c>
      <c r="B107" s="8" t="inlineStr">
        <is>
          <t>C7</t>
        </is>
      </c>
      <c r="C107" s="8" t="inlineStr">
        <is>
          <t>4. Net assets, beginning of year</t>
        </is>
      </c>
      <c r="D107" s="8" t="inlineStr">
        <is>
          <t>Part XI line 4</t>
        </is>
      </c>
      <c r="E107" s="8" t="inlineStr">
        <is>
          <t>part_xi_reconciliation.net_assets_boy</t>
        </is>
      </c>
      <c r="F107" s="8" t="inlineStr">
        <is>
          <t>high</t>
        </is>
      </c>
      <c r="G107" s="9" t="n">
        <v>29853693</v>
      </c>
    </row>
    <row r="108">
      <c r="A108" s="8" t="inlineStr">
        <is>
          <t>Net-assets reconciliation</t>
        </is>
      </c>
      <c r="B108" s="8" t="inlineStr">
        <is>
          <t>D7</t>
        </is>
      </c>
      <c r="C108" s="8" t="inlineStr">
        <is>
          <t>4. Net assets, beginning of year</t>
        </is>
      </c>
      <c r="D108" s="8" t="inlineStr">
        <is>
          <t>Part XI line 4</t>
        </is>
      </c>
      <c r="E108" s="8" t="inlineStr">
        <is>
          <t>part_xi_reconciliation.net_assets_boy</t>
        </is>
      </c>
      <c r="F108" s="8" t="inlineStr">
        <is>
          <t>high</t>
        </is>
      </c>
      <c r="G108" s="9" t="n">
        <v>50703830</v>
      </c>
    </row>
    <row r="109">
      <c r="A109" s="8" t="inlineStr">
        <is>
          <t>Net-assets reconciliation</t>
        </is>
      </c>
      <c r="B109" s="8" t="inlineStr">
        <is>
          <t>B8</t>
        </is>
      </c>
      <c r="C109" s="8" t="inlineStr">
        <is>
          <t>3. Revenue less expenses</t>
        </is>
      </c>
      <c r="D109" s="8" t="inlineStr">
        <is>
          <t>Part XI line 3</t>
        </is>
      </c>
      <c r="E109" s="8" t="inlineStr">
        <is>
          <t>part_xi_reconciliation.reconciliation_revenue_expenses</t>
        </is>
      </c>
      <c r="F109" s="8" t="inlineStr">
        <is>
          <t>high</t>
        </is>
      </c>
      <c r="G109" s="9" t="n">
        <v>948565</v>
      </c>
    </row>
    <row r="110">
      <c r="A110" s="8" t="inlineStr">
        <is>
          <t>Net-assets reconciliation</t>
        </is>
      </c>
      <c r="B110" s="8" t="inlineStr">
        <is>
          <t>C8</t>
        </is>
      </c>
      <c r="C110" s="8" t="inlineStr">
        <is>
          <t>3. Revenue less expenses</t>
        </is>
      </c>
      <c r="D110" s="8" t="inlineStr">
        <is>
          <t>Part XI line 3</t>
        </is>
      </c>
      <c r="E110" s="8" t="inlineStr">
        <is>
          <t>part_xi_reconciliation.reconciliation_revenue_expenses</t>
        </is>
      </c>
      <c r="F110" s="8" t="inlineStr">
        <is>
          <t>high</t>
        </is>
      </c>
      <c r="G110" s="9" t="n">
        <v>21478056</v>
      </c>
    </row>
    <row r="111">
      <c r="A111" s="8" t="inlineStr">
        <is>
          <t>Net-assets reconciliation</t>
        </is>
      </c>
      <c r="B111" s="8" t="inlineStr">
        <is>
          <t>D8</t>
        </is>
      </c>
      <c r="C111" s="8" t="inlineStr">
        <is>
          <t>3. Revenue less expenses</t>
        </is>
      </c>
      <c r="D111" s="8" t="inlineStr">
        <is>
          <t>Part XI line 3</t>
        </is>
      </c>
      <c r="E111" s="8" t="inlineStr">
        <is>
          <t>part_xi_reconciliation.reconciliation_revenue_expenses</t>
        </is>
      </c>
      <c r="F111" s="8" t="inlineStr">
        <is>
          <t>high</t>
        </is>
      </c>
      <c r="G111" s="9" t="n">
        <v>418097</v>
      </c>
    </row>
    <row r="112">
      <c r="A112" s="8" t="inlineStr">
        <is>
          <t>Net-assets reconciliation</t>
        </is>
      </c>
      <c r="B112" s="8" t="inlineStr">
        <is>
          <t>B10</t>
        </is>
      </c>
      <c r="C112" s="8" t="inlineStr">
        <is>
          <t>9. Other changes in net assets</t>
        </is>
      </c>
      <c r="D112" s="8" t="inlineStr">
        <is>
          <t>Part XI line 9</t>
        </is>
      </c>
      <c r="E112" s="8" t="inlineStr">
        <is>
          <t>part_xi_reconciliation.other_changes_net_assets</t>
        </is>
      </c>
      <c r="F112" s="8" t="inlineStr">
        <is>
          <t>high</t>
        </is>
      </c>
      <c r="G112" s="9" t="n">
        <v>0</v>
      </c>
    </row>
    <row r="113">
      <c r="A113" s="8" t="inlineStr">
        <is>
          <t>Net-assets reconciliation</t>
        </is>
      </c>
      <c r="B113" s="8" t="inlineStr">
        <is>
          <t>C10</t>
        </is>
      </c>
      <c r="C113" s="8" t="inlineStr">
        <is>
          <t>9. Other changes in net assets</t>
        </is>
      </c>
      <c r="D113" s="8" t="inlineStr">
        <is>
          <t>Part XI line 9</t>
        </is>
      </c>
      <c r="E113" s="8" t="inlineStr">
        <is>
          <t>part_xi_reconciliation.other_changes_net_assets</t>
        </is>
      </c>
      <c r="F113" s="8" t="inlineStr">
        <is>
          <t>high</t>
        </is>
      </c>
      <c r="G113" s="9" t="n">
        <v>-79621</v>
      </c>
    </row>
    <row r="114">
      <c r="A114" s="8" t="inlineStr">
        <is>
          <t>Net-assets reconciliation</t>
        </is>
      </c>
      <c r="B114" s="8" t="inlineStr">
        <is>
          <t>D10</t>
        </is>
      </c>
      <c r="C114" s="8" t="inlineStr">
        <is>
          <t>9. Other changes in net assets</t>
        </is>
      </c>
      <c r="D114" s="8" t="inlineStr">
        <is>
          <t>Part XI line 9</t>
        </is>
      </c>
      <c r="E114" s="8" t="inlineStr">
        <is>
          <t>part_xi_reconciliation.other_changes_net_assets</t>
        </is>
      </c>
      <c r="F114" s="8" t="inlineStr">
        <is>
          <t>high</t>
        </is>
      </c>
      <c r="G114" s="9" t="n">
        <v>-80217</v>
      </c>
    </row>
    <row r="116">
      <c r="A116" s="45" t="inlineStr">
        <is>
          <t>C. Tie-out checks (filed vs computed; any nonzero variance is flagged red)</t>
        </is>
      </c>
      <c r="B116" s="7" t="n"/>
      <c r="C116" s="7" t="n"/>
      <c r="D116" s="7" t="n"/>
      <c r="E116" s="7" t="n"/>
      <c r="F116" s="7" t="n"/>
      <c r="G116" s="7" t="n"/>
      <c r="H116" s="7" t="n"/>
      <c r="I116" s="7" t="n"/>
      <c r="J116" s="7" t="n"/>
      <c r="K116" s="7" t="n"/>
    </row>
    <row r="117">
      <c r="A117" s="5" t="inlineStr">
        <is>
          <t>Tab</t>
        </is>
      </c>
      <c r="B117" s="5" t="inlineStr">
        <is>
          <t>Check</t>
        </is>
      </c>
      <c r="C117" s="5" t="inlineStr">
        <is>
          <t>Fiscal year</t>
        </is>
      </c>
      <c r="D117" s="5" t="inlineStr">
        <is>
          <t>Filed</t>
        </is>
      </c>
      <c r="E117" s="5" t="inlineStr">
        <is>
          <t>Computed</t>
        </is>
      </c>
      <c r="F117" s="5" t="inlineStr">
        <is>
          <t>Variance (computed - filed)</t>
        </is>
      </c>
    </row>
    <row r="118">
      <c r="A118" s="48" t="inlineStr">
        <is>
          <t>Revenue (detail)</t>
        </is>
      </c>
      <c r="B118" s="48" t="inlineStr">
        <is>
          <t>12. Total revenue</t>
        </is>
      </c>
      <c r="C118" s="48" t="inlineStr">
        <is>
          <t>FY2020</t>
        </is>
      </c>
      <c r="D118" s="9" t="n">
        <v>4990618</v>
      </c>
      <c r="E118" s="9">
        <f>'Revenue (detail)'!B13</f>
        <v/>
      </c>
      <c r="F118" s="9">
        <f>E118-D118</f>
        <v/>
      </c>
    </row>
    <row r="119">
      <c r="A119" s="48" t="inlineStr">
        <is>
          <t>Revenue (detail)</t>
        </is>
      </c>
      <c r="B119" s="48" t="inlineStr">
        <is>
          <t>12. Total revenue</t>
        </is>
      </c>
      <c r="C119" s="48" t="inlineStr">
        <is>
          <t>FY2022</t>
        </is>
      </c>
      <c r="D119" s="9" t="n">
        <v>26598252</v>
      </c>
      <c r="E119" s="9">
        <f>'Revenue (detail)'!C13</f>
        <v/>
      </c>
      <c r="F119" s="9">
        <f>E119-D119</f>
        <v/>
      </c>
    </row>
    <row r="120">
      <c r="A120" s="48" t="inlineStr">
        <is>
          <t>Revenue (detail)</t>
        </is>
      </c>
      <c r="B120" s="48" t="inlineStr">
        <is>
          <t>12. Total revenue</t>
        </is>
      </c>
      <c r="C120" s="48" t="inlineStr">
        <is>
          <t>FY2023</t>
        </is>
      </c>
      <c r="D120" s="9" t="n">
        <v>5953474</v>
      </c>
      <c r="E120" s="9">
        <f>'Revenue (detail)'!D13</f>
        <v/>
      </c>
      <c r="F120" s="9">
        <f>E120-D120</f>
        <v/>
      </c>
    </row>
    <row r="121">
      <c r="A121" s="48" t="inlineStr">
        <is>
          <t>Revenue (detail)</t>
        </is>
      </c>
      <c r="B121" s="48" t="inlineStr">
        <is>
          <t>2g program service revenue = sum of lines 2a-2f (FY2023)</t>
        </is>
      </c>
      <c r="C121" s="48" t="inlineStr">
        <is>
          <t>FY2023</t>
        </is>
      </c>
      <c r="D121" s="9" t="n">
        <v>5292585</v>
      </c>
      <c r="E121" s="9">
        <f>SUM('Revenue (detail)'!C17:C19)</f>
        <v/>
      </c>
      <c r="F121" s="9">
        <f>E121-D121</f>
        <v/>
      </c>
    </row>
    <row r="122">
      <c r="A122" s="48" t="inlineStr">
        <is>
          <t>Operating expenses (detail)</t>
        </is>
      </c>
      <c r="B122" s="48" t="inlineStr">
        <is>
          <t>25. Total functional expenses</t>
        </is>
      </c>
      <c r="C122" s="48" t="inlineStr">
        <is>
          <t>FY2020</t>
        </is>
      </c>
      <c r="D122" s="9" t="n">
        <v>4042053</v>
      </c>
      <c r="E122" s="9">
        <f>'Operating expenses (detail)'!B23</f>
        <v/>
      </c>
      <c r="F122" s="9">
        <f>E122-D122</f>
        <v/>
      </c>
    </row>
    <row r="123">
      <c r="A123" s="48" t="inlineStr">
        <is>
          <t>Operating expenses (detail)</t>
        </is>
      </c>
      <c r="B123" s="48" t="inlineStr">
        <is>
          <t>25. Total functional expenses</t>
        </is>
      </c>
      <c r="C123" s="48" t="inlineStr">
        <is>
          <t>FY2022</t>
        </is>
      </c>
      <c r="D123" s="9" t="n">
        <v>5120196</v>
      </c>
      <c r="E123" s="9">
        <f>'Operating expenses (detail)'!C23</f>
        <v/>
      </c>
      <c r="F123" s="9">
        <f>E123-D123</f>
        <v/>
      </c>
    </row>
    <row r="124">
      <c r="A124" s="48" t="inlineStr">
        <is>
          <t>Operating expenses (detail)</t>
        </is>
      </c>
      <c r="B124" s="48" t="inlineStr">
        <is>
          <t>25. Total functional expenses</t>
        </is>
      </c>
      <c r="C124" s="48" t="inlineStr">
        <is>
          <t>FY2023</t>
        </is>
      </c>
      <c r="D124" s="9" t="n">
        <v>5535377</v>
      </c>
      <c r="E124" s="9">
        <f>'Operating expenses (detail)'!D23</f>
        <v/>
      </c>
      <c r="F124" s="9">
        <f>E124-D124</f>
        <v/>
      </c>
    </row>
    <row r="125">
      <c r="A125" s="48" t="inlineStr">
        <is>
          <t>Balance sheet (detail)</t>
        </is>
      </c>
      <c r="B125" s="48" t="inlineStr">
        <is>
          <t>16. Total assets</t>
        </is>
      </c>
      <c r="C125" s="48" t="inlineStr">
        <is>
          <t>FY2020</t>
        </is>
      </c>
      <c r="D125" s="9" t="n">
        <v>27142522</v>
      </c>
      <c r="E125" s="9">
        <f>'Balance sheet (detail)'!B15</f>
        <v/>
      </c>
      <c r="F125" s="9">
        <f>E125-D125</f>
        <v/>
      </c>
    </row>
    <row r="126">
      <c r="A126" s="48" t="inlineStr">
        <is>
          <t>Balance sheet (detail)</t>
        </is>
      </c>
      <c r="B126" s="48" t="inlineStr">
        <is>
          <t>16. Total assets</t>
        </is>
      </c>
      <c r="C126" s="48" t="inlineStr">
        <is>
          <t>FY2022</t>
        </is>
      </c>
      <c r="D126" s="9" t="n">
        <v>52588959</v>
      </c>
      <c r="E126" s="9">
        <f>'Balance sheet (detail)'!C15</f>
        <v/>
      </c>
      <c r="F126" s="9">
        <f>E126-D126</f>
        <v/>
      </c>
    </row>
    <row r="127">
      <c r="A127" s="48" t="inlineStr">
        <is>
          <t>Balance sheet (detail)</t>
        </is>
      </c>
      <c r="B127" s="48" t="inlineStr">
        <is>
          <t>16. Total assets</t>
        </is>
      </c>
      <c r="C127" s="48" t="inlineStr">
        <is>
          <t>FY2023</t>
        </is>
      </c>
      <c r="D127" s="9" t="n">
        <v>54491240</v>
      </c>
      <c r="E127" s="9">
        <f>'Balance sheet (detail)'!D15</f>
        <v/>
      </c>
      <c r="F127" s="9">
        <f>E127-D127</f>
        <v/>
      </c>
    </row>
    <row r="128">
      <c r="A128" s="48" t="inlineStr">
        <is>
          <t>Balance sheet (detail)</t>
        </is>
      </c>
      <c r="B128" s="48" t="inlineStr">
        <is>
          <t>26. Total liabilities</t>
        </is>
      </c>
      <c r="C128" s="48" t="inlineStr">
        <is>
          <t>FY2020</t>
        </is>
      </c>
      <c r="D128" s="9" t="n">
        <v>597827</v>
      </c>
      <c r="E128" s="9">
        <f>'Balance sheet (detail)'!B20</f>
        <v/>
      </c>
      <c r="F128" s="9">
        <f>E128-D128</f>
        <v/>
      </c>
    </row>
    <row r="129">
      <c r="A129" s="48" t="inlineStr">
        <is>
          <t>Balance sheet (detail)</t>
        </is>
      </c>
      <c r="B129" s="48" t="inlineStr">
        <is>
          <t>26. Total liabilities</t>
        </is>
      </c>
      <c r="C129" s="48" t="inlineStr">
        <is>
          <t>FY2022</t>
        </is>
      </c>
      <c r="D129" s="9" t="n">
        <v>1885129</v>
      </c>
      <c r="E129" s="9">
        <f>'Balance sheet (detail)'!C20</f>
        <v/>
      </c>
      <c r="F129" s="9">
        <f>E129-D129</f>
        <v/>
      </c>
    </row>
    <row r="130">
      <c r="A130" s="48" t="inlineStr">
        <is>
          <t>Balance sheet (detail)</t>
        </is>
      </c>
      <c r="B130" s="48" t="inlineStr">
        <is>
          <t>26. Total liabilities</t>
        </is>
      </c>
      <c r="C130" s="48" t="inlineStr">
        <is>
          <t>FY2023</t>
        </is>
      </c>
      <c r="D130" s="9" t="n">
        <v>3306931</v>
      </c>
      <c r="E130" s="9">
        <f>'Balance sheet (detail)'!D20</f>
        <v/>
      </c>
      <c r="F130" s="9">
        <f>E130-D130</f>
        <v/>
      </c>
    </row>
    <row r="131">
      <c r="A131" s="48" t="inlineStr">
        <is>
          <t>Balance sheet (detail)</t>
        </is>
      </c>
      <c r="B131" s="48" t="inlineStr">
        <is>
          <t>32. Total net assets / fund balances</t>
        </is>
      </c>
      <c r="C131" s="48" t="inlineStr">
        <is>
          <t>FY2020</t>
        </is>
      </c>
      <c r="D131" s="9" t="n">
        <v>26544695</v>
      </c>
      <c r="E131" s="9">
        <f>'Balance sheet (detail)'!B26</f>
        <v/>
      </c>
      <c r="F131" s="9">
        <f>E131-D131</f>
        <v/>
      </c>
    </row>
    <row r="132">
      <c r="A132" s="48" t="inlineStr">
        <is>
          <t>Balance sheet (detail)</t>
        </is>
      </c>
      <c r="B132" s="48" t="inlineStr">
        <is>
          <t>32. Total net assets / fund balances</t>
        </is>
      </c>
      <c r="C132" s="48" t="inlineStr">
        <is>
          <t>FY2022</t>
        </is>
      </c>
      <c r="D132" s="9" t="n">
        <v>50703830</v>
      </c>
      <c r="E132" s="9">
        <f>'Balance sheet (detail)'!C26</f>
        <v/>
      </c>
      <c r="F132" s="9">
        <f>E132-D132</f>
        <v/>
      </c>
    </row>
    <row r="133">
      <c r="A133" s="48" t="inlineStr">
        <is>
          <t>Balance sheet (detail)</t>
        </is>
      </c>
      <c r="B133" s="48" t="inlineStr">
        <is>
          <t>32. Total net assets / fund balances</t>
        </is>
      </c>
      <c r="C133" s="48" t="inlineStr">
        <is>
          <t>FY2023</t>
        </is>
      </c>
      <c r="D133" s="9" t="n">
        <v>51184309</v>
      </c>
      <c r="E133" s="9">
        <f>'Balance sheet (detail)'!D26</f>
        <v/>
      </c>
      <c r="F133" s="9">
        <f>E133-D133</f>
        <v/>
      </c>
    </row>
    <row r="134">
      <c r="A134" s="48" t="inlineStr">
        <is>
          <t>Balance sheet (detail)</t>
        </is>
      </c>
      <c r="B134" s="48" t="inlineStr">
        <is>
          <t>Balance sheet identity: line 16 = line 26 + line 32 (EOY)</t>
        </is>
      </c>
      <c r="C134" s="48" t="inlineStr">
        <is>
          <t>FY2020</t>
        </is>
      </c>
      <c r="D134" s="9">
        <f>'Balance sheet (detail)'!B15</f>
        <v/>
      </c>
      <c r="E134" s="9">
        <f>SUM('Balance sheet (detail)'!B20,'Balance sheet (detail)'!B26)</f>
        <v/>
      </c>
      <c r="F134" s="9">
        <f>E134-D134</f>
        <v/>
      </c>
    </row>
    <row r="135">
      <c r="A135" s="48" t="inlineStr">
        <is>
          <t>Balance sheet (detail)</t>
        </is>
      </c>
      <c r="B135" s="48" t="inlineStr">
        <is>
          <t>Balance sheet identity: line 16 = line 26 + line 32 (EOY)</t>
        </is>
      </c>
      <c r="C135" s="48" t="inlineStr">
        <is>
          <t>FY2022</t>
        </is>
      </c>
      <c r="D135" s="9">
        <f>'Balance sheet (detail)'!C15</f>
        <v/>
      </c>
      <c r="E135" s="9">
        <f>SUM('Balance sheet (detail)'!C20,'Balance sheet (detail)'!C26)</f>
        <v/>
      </c>
      <c r="F135" s="9">
        <f>E135-D135</f>
        <v/>
      </c>
    </row>
    <row r="136">
      <c r="A136" s="48" t="inlineStr">
        <is>
          <t>Balance sheet (detail)</t>
        </is>
      </c>
      <c r="B136" s="48" t="inlineStr">
        <is>
          <t>Balance sheet identity: line 16 = line 26 + line 32 (EOY)</t>
        </is>
      </c>
      <c r="C136" s="48" t="inlineStr">
        <is>
          <t>FY2023</t>
        </is>
      </c>
      <c r="D136" s="9">
        <f>'Balance sheet (detail)'!D15</f>
        <v/>
      </c>
      <c r="E136" s="9">
        <f>SUM('Balance sheet (detail)'!D20,'Balance sheet (detail)'!D26)</f>
        <v/>
      </c>
      <c r="F136" s="9">
        <f>E136-D136</f>
        <v/>
      </c>
    </row>
    <row r="137">
      <c r="A137" s="48" t="inlineStr">
        <is>
          <t>Net-assets reconciliation</t>
        </is>
      </c>
      <c r="B137" s="48" t="inlineStr">
        <is>
          <t>10. Net assets, end of year</t>
        </is>
      </c>
      <c r="C137" s="48" t="inlineStr">
        <is>
          <t>FY2020</t>
        </is>
      </c>
      <c r="D137" s="9" t="n">
        <v>26544695</v>
      </c>
      <c r="E137" s="9">
        <f>'Net-assets reconciliation'!B11</f>
        <v/>
      </c>
      <c r="F137" s="9">
        <f>E137-D137</f>
        <v/>
      </c>
    </row>
    <row r="138">
      <c r="A138" s="48" t="inlineStr">
        <is>
          <t>Net-assets reconciliation</t>
        </is>
      </c>
      <c r="B138" s="48" t="inlineStr">
        <is>
          <t>10. Net assets, end of year</t>
        </is>
      </c>
      <c r="C138" s="48" t="inlineStr">
        <is>
          <t>FY2022</t>
        </is>
      </c>
      <c r="D138" s="9" t="n">
        <v>50703830</v>
      </c>
      <c r="E138" s="9">
        <f>'Net-assets reconciliation'!C11</f>
        <v/>
      </c>
      <c r="F138" s="9">
        <f>E138-D138</f>
        <v/>
      </c>
    </row>
    <row r="139">
      <c r="A139" s="48" t="inlineStr">
        <is>
          <t>Net-assets reconciliation</t>
        </is>
      </c>
      <c r="B139" s="48" t="inlineStr">
        <is>
          <t>10. Net assets, end of year</t>
        </is>
      </c>
      <c r="C139" s="48" t="inlineStr">
        <is>
          <t>FY2023</t>
        </is>
      </c>
      <c r="D139" s="9" t="n">
        <v>51184309</v>
      </c>
      <c r="E139" s="9">
        <f>'Net-assets reconciliation'!D11</f>
        <v/>
      </c>
      <c r="F139" s="9">
        <f>E139-D139</f>
        <v/>
      </c>
    </row>
    <row r="141">
      <c r="A141" s="45" t="inlineStr">
        <is>
          <t>D. Preparer / auditor trail (one row per fiscal year, as filed)</t>
        </is>
      </c>
      <c r="B141" s="7" t="n"/>
      <c r="C141" s="7" t="n"/>
      <c r="D141" s="7" t="n"/>
      <c r="E141" s="7" t="n"/>
      <c r="F141" s="7" t="n"/>
      <c r="G141" s="7" t="n"/>
      <c r="H141" s="7" t="n"/>
      <c r="I141" s="7" t="n"/>
      <c r="J141" s="7" t="n"/>
      <c r="K141" s="7" t="n"/>
    </row>
    <row r="142">
      <c r="A142" s="5" t="inlineStr">
        <is>
          <t>Fiscal year</t>
        </is>
      </c>
      <c r="B142" s="5" t="inlineStr">
        <is>
          <t>Paid preparer</t>
        </is>
      </c>
      <c r="C142" s="5" t="inlineStr">
        <is>
          <t>Preparer firm</t>
        </is>
      </c>
      <c r="D142" s="5" t="inlineStr">
        <is>
          <t>Independent auditor</t>
        </is>
      </c>
      <c r="E142" s="5" t="inlineStr">
        <is>
          <t>Citation</t>
        </is>
      </c>
    </row>
    <row r="143" ht="42" customHeight="1">
      <c r="A143" s="46" t="inlineStr">
        <is>
          <t>FY2020</t>
        </is>
      </c>
      <c r="B143" s="8" t="inlineStr">
        <is>
          <t>ROMA SCOTT</t>
        </is>
      </c>
      <c r="C143" s="8" t="inlineStr">
        <is>
          <t>EADIE AND PAYNE LLP</t>
        </is>
      </c>
      <c r="D143" s="50" t="inlineStr">
        <is>
          <t>not reported</t>
        </is>
      </c>
      <c r="E143" s="24" t="inlineStr">
        <is>
          <t>Form 990 Return Header, Paid Preparer block (return_header.preparer_person_name / preparer_firm_name); auditor: Part XII line 2 reports audited financial statements but does not name the firm.</t>
        </is>
      </c>
    </row>
    <row r="144" ht="42" customHeight="1">
      <c r="A144" s="46" t="inlineStr">
        <is>
          <t>FY2022</t>
        </is>
      </c>
      <c r="B144" s="8" t="inlineStr">
        <is>
          <t>ROMA SCOTT</t>
        </is>
      </c>
      <c r="C144" s="8" t="inlineStr">
        <is>
          <t>EADIE AND PAYNE LLP</t>
        </is>
      </c>
      <c r="D144" s="50" t="inlineStr">
        <is>
          <t>not reported</t>
        </is>
      </c>
      <c r="E144" s="24" t="inlineStr">
        <is>
          <t>Form 990 Return Header, Paid Preparer block (return_header.preparer_person_name / preparer_firm_name); auditor: Part XII line 2 reports audited financial statements but does not name the firm.</t>
        </is>
      </c>
    </row>
    <row r="145" ht="42" customHeight="1">
      <c r="A145" s="46" t="inlineStr">
        <is>
          <t>FY2023</t>
        </is>
      </c>
      <c r="B145" s="8" t="inlineStr">
        <is>
          <t>ROMA SCOTT</t>
        </is>
      </c>
      <c r="C145" s="8" t="inlineStr">
        <is>
          <t>EADIE AND PAYNE LLP</t>
        </is>
      </c>
      <c r="D145" s="50" t="inlineStr">
        <is>
          <t>not reported</t>
        </is>
      </c>
      <c r="E145" s="24" t="inlineStr">
        <is>
          <t>Form 990 Return Header, Paid Preparer block (return_header.preparer_person_name / preparer_firm_name); auditor: Part XII line 2 reports audited financial statements but does not name the firm.</t>
        </is>
      </c>
    </row>
    <row r="147" ht="42" customHeight="1">
      <c r="A14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47:K147"/>
    <mergeCell ref="A2:K2"/>
    <mergeCell ref="A5:K5"/>
    <mergeCell ref="A1:K1"/>
  </mergeCells>
  <conditionalFormatting sqref="F118:F139">
    <cfRule type="cellIs" priority="1" operator="notEqual" dxfId="0">
      <formula>0</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