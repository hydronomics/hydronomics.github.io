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comments/comment1.xml" ContentType="application/vnd.openxmlformats-officedocument.spreadsheetml.comments+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Notes" sheetId="2" state="visible" r:id="rId2"/>
    <sheet name="Financial Statements" sheetId="3" state="visible" r:id="rId3"/>
    <sheet name="Balance Sheet" sheetId="4" state="visible" r:id="rId4"/>
    <sheet name="Officers &amp; contractors" sheetId="5" state="visible" r:id="rId5"/>
    <sheet name="Revenue (detail)" sheetId="6" state="visible" r:id="rId6"/>
    <sheet name="Operating expenses (detail)" sheetId="7" state="visible" r:id="rId7"/>
    <sheet name="Balance sheet (detail)" sheetId="8" state="visible" r:id="rId8"/>
    <sheet name="Net-assets reconciliation" sheetId="9" state="visible" r:id="rId9"/>
    <sheet name="Cash flow proxies" sheetId="10" state="visible" r:id="rId10"/>
    <sheet name="Ratios" sheetId="11" state="visible" r:id="rId11"/>
    <sheet name="Unit economics" sheetId="12" state="visible" r:id="rId12"/>
    <sheet name="Rate structure" sheetId="13" state="visible" r:id="rId13"/>
    <sheet name="Operational metrics" sheetId="14" state="visible" r:id="rId14"/>
    <sheet name="Supply &amp; weather" sheetId="15" state="visible" r:id="rId15"/>
    <sheet name="How this was built" sheetId="16" state="visible" r:id="rId16"/>
    <sheet name="Anomaly Flags" sheetId="17" state="visible" r:id="rId17"/>
    <sheet name="Sources &amp; audit" sheetId="18" state="visible" r:id="rId18"/>
    <sheet name="Provenance" sheetId="19" state="visible" r:id="rId19"/>
  </sheets>
  <definedNames/>
  <calcPr calcId="124519" fullCalcOnLoad="1"/>
</workbook>
</file>

<file path=xl/styles.xml><?xml version="1.0" encoding="utf-8"?>
<styleSheet xmlns="http://schemas.openxmlformats.org/spreadsheetml/2006/main">
  <numFmts count="3">
    <numFmt numFmtId="164" formatCode="#,##0;(#,##0)"/>
    <numFmt numFmtId="165" formatCode="0.0%"/>
    <numFmt numFmtId="166" formatCode="#,##0.0"/>
  </numFmts>
  <fonts count="11">
    <font>
      <name val="Calibri"/>
      <family val="2"/>
      <color theme="1"/>
      <sz val="11"/>
      <scheme val="minor"/>
    </font>
    <font>
      <name val="Calibri"/>
      <b val="1"/>
      <color rgb="001F3864"/>
      <sz val="16"/>
    </font>
    <font>
      <name val="Calibri"/>
      <i val="1"/>
      <color rgb="00595959"/>
      <sz val="10"/>
    </font>
    <font>
      <name val="Calibri"/>
      <i val="1"/>
      <color rgb="00808080"/>
      <sz val="9"/>
    </font>
    <font>
      <name val="Calibri"/>
      <b val="1"/>
      <color rgb="00FFFFFF"/>
      <sz val="10"/>
    </font>
    <font>
      <name val="Calibri"/>
      <b val="1"/>
      <color rgb="00FFFFFF"/>
      <sz val="11"/>
    </font>
    <font>
      <name val="Calibri"/>
      <sz val="10"/>
    </font>
    <font>
      <name val="Calibri"/>
      <b val="1"/>
      <sz val="10"/>
    </font>
    <font>
      <name val="Calibri"/>
      <b val="1"/>
      <color rgb="001F3864"/>
      <sz val="10"/>
    </font>
    <font>
      <name val="Calibri"/>
      <i val="1"/>
      <color rgb="00A6A6A6"/>
      <sz val="10"/>
    </font>
    <font>
      <name val="Calibri"/>
      <i val="1"/>
      <color rgb="007F4F00"/>
      <sz val="10"/>
    </font>
  </fonts>
  <fills count="7">
    <fill>
      <patternFill/>
    </fill>
    <fill>
      <patternFill patternType="gray125"/>
    </fill>
    <fill>
      <patternFill patternType="solid">
        <fgColor rgb="002E5496"/>
      </patternFill>
    </fill>
    <fill>
      <patternFill patternType="solid">
        <fgColor rgb="001F3864"/>
      </patternFill>
    </fill>
    <fill>
      <patternFill patternType="solid">
        <fgColor rgb="00D9E1F2"/>
      </patternFill>
    </fill>
    <fill>
      <patternFill patternType="solid">
        <fgColor rgb="00E2EFDA"/>
      </patternFill>
    </fill>
    <fill>
      <patternFill patternType="solid">
        <fgColor rgb="00FDF2DE"/>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32">
    <xf numFmtId="0" fontId="0" fillId="0" borderId="0" pivotButton="0" quotePrefix="0" xfId="0"/>
    <xf numFmtId="0" fontId="1" fillId="0" borderId="0" pivotButton="0" quotePrefix="0" xfId="0"/>
    <xf numFmtId="0" fontId="2" fillId="0" borderId="0" pivotButton="0" quotePrefix="0" xfId="0"/>
    <xf numFmtId="0" fontId="3" fillId="0" borderId="0" applyAlignment="1" pivotButton="0" quotePrefix="0" xfId="0">
      <alignment horizontal="left" vertical="top" wrapText="1"/>
    </xf>
    <xf numFmtId="0" fontId="4" fillId="2" borderId="1" applyAlignment="1" pivotButton="0" quotePrefix="0" xfId="0">
      <alignment horizontal="left" vertical="center"/>
    </xf>
    <xf numFmtId="0" fontId="4" fillId="2" borderId="1" applyAlignment="1" pivotButton="0" quotePrefix="0" xfId="0">
      <alignment horizontal="center" vertical="center"/>
    </xf>
    <xf numFmtId="0" fontId="5" fillId="3" borderId="0" pivotButton="0" quotePrefix="0" xfId="0"/>
    <xf numFmtId="0" fontId="0" fillId="3" borderId="0" pivotButton="0" quotePrefix="0" xfId="0"/>
    <xf numFmtId="0" fontId="6" fillId="0" borderId="1" applyAlignment="1" pivotButton="0" quotePrefix="0" xfId="0">
      <alignment horizontal="left" vertical="center"/>
    </xf>
    <xf numFmtId="164" fontId="6" fillId="0" borderId="1" applyAlignment="1" pivotButton="0" quotePrefix="0" xfId="0">
      <alignment horizontal="right"/>
    </xf>
    <xf numFmtId="0" fontId="7" fillId="4" borderId="1" applyAlignment="1" pivotButton="0" quotePrefix="0" xfId="0">
      <alignment horizontal="left" vertical="center"/>
    </xf>
    <xf numFmtId="164" fontId="7" fillId="4" borderId="1" applyAlignment="1" pivotButton="0" quotePrefix="0" xfId="0">
      <alignment horizontal="right"/>
    </xf>
    <xf numFmtId="165" fontId="6" fillId="0" borderId="1" applyAlignment="1" pivotButton="0" quotePrefix="0" xfId="0">
      <alignment horizontal="right"/>
    </xf>
    <xf numFmtId="0" fontId="3" fillId="0" borderId="0" pivotButton="0" quotePrefix="0" xfId="0"/>
    <xf numFmtId="0" fontId="8" fillId="5" borderId="1" applyAlignment="1" pivotButton="0" quotePrefix="0" xfId="0">
      <alignment horizontal="left" vertical="center"/>
    </xf>
    <xf numFmtId="164" fontId="8" fillId="5" borderId="1" applyAlignment="1" pivotButton="0" quotePrefix="0" xfId="0">
      <alignment horizontal="right"/>
    </xf>
    <xf numFmtId="165" fontId="8" fillId="5" borderId="1" applyAlignment="1" pivotButton="0" quotePrefix="0" xfId="0">
      <alignment horizontal="right"/>
    </xf>
    <xf numFmtId="0" fontId="9" fillId="0" borderId="1" applyAlignment="1" pivotButton="0" quotePrefix="0" xfId="0">
      <alignment horizontal="right"/>
    </xf>
    <xf numFmtId="0" fontId="6" fillId="0" borderId="1" pivotButton="0" quotePrefix="0" xfId="0"/>
    <xf numFmtId="2" fontId="6" fillId="0" borderId="1" applyAlignment="1" pivotButton="0" quotePrefix="0" xfId="0">
      <alignment horizontal="right"/>
    </xf>
    <xf numFmtId="0" fontId="6" fillId="0" borderId="1" applyAlignment="1" pivotButton="0" quotePrefix="0" xfId="0">
      <alignment horizontal="left" vertical="top"/>
    </xf>
    <xf numFmtId="0" fontId="6" fillId="0" borderId="1" applyAlignment="1" pivotButton="0" quotePrefix="0" xfId="0">
      <alignment horizontal="left" vertical="top" wrapText="1"/>
    </xf>
    <xf numFmtId="0" fontId="3" fillId="0" borderId="1" applyAlignment="1" pivotButton="0" quotePrefix="0" xfId="0">
      <alignment horizontal="left" vertical="top" wrapText="1"/>
    </xf>
    <xf numFmtId="0" fontId="8" fillId="0" borderId="1" applyAlignment="1" pivotButton="0" quotePrefix="0" xfId="0">
      <alignment horizontal="center" vertical="center"/>
    </xf>
    <xf numFmtId="0" fontId="6" fillId="0" borderId="1" applyAlignment="1" pivotButton="0" quotePrefix="0" xfId="0">
      <alignment horizontal="right"/>
    </xf>
    <xf numFmtId="0" fontId="2" fillId="0" borderId="0" applyAlignment="1" pivotButton="0" quotePrefix="0" xfId="0">
      <alignment horizontal="left" vertical="top" wrapText="1"/>
    </xf>
    <xf numFmtId="166" fontId="6" fillId="0" borderId="1" applyAlignment="1" pivotButton="0" quotePrefix="0" xfId="0">
      <alignment horizontal="right"/>
    </xf>
    <xf numFmtId="0" fontId="6" fillId="0" borderId="1" applyAlignment="1" pivotButton="0" quotePrefix="0" xfId="0">
      <alignment horizontal="center" vertical="center"/>
    </xf>
    <xf numFmtId="0" fontId="9" fillId="0" borderId="1" applyAlignment="1" pivotButton="0" quotePrefix="0" xfId="0">
      <alignment horizontal="center" vertical="center"/>
    </xf>
    <xf numFmtId="0" fontId="10" fillId="6" borderId="1" applyAlignment="1" pivotButton="0" quotePrefix="0" xfId="0">
      <alignment horizontal="left" vertical="top" wrapText="1"/>
    </xf>
    <xf numFmtId="0" fontId="5" fillId="3" borderId="0" applyAlignment="1" pivotButton="0" quotePrefix="0" xfId="0">
      <alignment horizontal="left" vertical="center"/>
    </xf>
    <xf numFmtId="0" fontId="9" fillId="0" borderId="1" applyAlignment="1" pivotButton="0" quotePrefix="0" xfId="0">
      <alignment horizontal="left" vertical="center"/>
    </xf>
  </cellXfs>
  <cellStyles count="1">
    <cellStyle name="Normal" xfId="0" builtinId="0" hidden="0"/>
  </cellStyles>
  <dxfs count="1">
    <dxf>
      <font>
        <name val="Calibri"/>
        <b val="1"/>
        <color rgb="009C0006"/>
        <sz val="10"/>
      </font>
      <fill>
        <patternFill patternType="solid">
          <fgColor rgb="00FFC7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styles" Target="styles.xml" Id="rId20" /><Relationship Type="http://schemas.openxmlformats.org/officeDocument/2006/relationships/theme" Target="theme/theme1.xml" Id="rId21" /></Relationships>
</file>

<file path=xl/comments/comment1.xml><?xml version="1.0" encoding="utf-8"?>
<comments xmlns="http://schemas.openxmlformats.org/spreadsheetml/2006/main">
  <authors>
    <author>hydronomics</author>
  </authors>
  <commentList>
    <comment ref="B8" authorId="0" shapeId="0">
      <text>
        <t>Sacramento and San Joaquin Valley index classification</t>
      </text>
    </comment>
    <comment ref="C8" authorId="0" shapeId="0">
      <text>
        <t>Sacramento and San Joaquin Valley index classification</t>
      </text>
    </comment>
    <comment ref="D8" authorId="0" shapeId="0">
      <text>
        <t>Sacramento and San Joaquin Valley index classification</t>
      </text>
    </comment>
    <comment ref="E8" authorId="0" shapeId="0">
      <text>
        <t>Sacramento and San Joaquin Valley index classification</t>
      </text>
    </comment>
    <comment ref="F8" authorId="0" shapeId="0">
      <text>
        <t>Sacramento and San Joaquin Valley index classification</t>
      </text>
    </comment>
    <comment ref="B9" authorId="0" shapeId="0">
      <text>
        <t>not available</t>
      </text>
    </comment>
    <comment ref="C9" authorId="0" shapeId="0">
      <text>
        <t>not available</t>
      </text>
    </comment>
    <comment ref="D9" authorId="0" shapeId="0">
      <text>
        <t>not available</t>
      </text>
    </comment>
    <comment ref="E9" authorId="0" shapeId="0">
      <text>
        <t>not available</t>
      </text>
    </comment>
    <comment ref="F9" authorId="0" shapeId="0">
      <text>
        <t>not available</t>
      </text>
    </comment>
    <comment ref="B10" authorId="0" shapeId="0">
      <text>
        <t>water-year cumulative 31.7 in / 50 in seasonal normal; statewide SWP-supply index, not local precipitation</t>
      </text>
    </comment>
    <comment ref="C10" authorId="0" shapeId="0">
      <text>
        <t>water-year cumulative 24.0 in / 50 in seasonal normal; statewide SWP-supply index, not local precipitation</t>
      </text>
    </comment>
    <comment ref="D10" authorId="0" shapeId="0">
      <text>
        <t>water-year cumulative 43.0 in / 50 in seasonal normal; statewide SWP-supply index, not local precipitation</t>
      </text>
    </comment>
    <comment ref="E10" authorId="0" shapeId="0">
      <text>
        <t>water-year cumulative 66.6 in / 50 in seasonal normal; statewide SWP-supply index, not local precipitation</t>
      </text>
    </comment>
    <comment ref="F10" authorId="0" shapeId="0">
      <text>
        <t>water-year cumulative 48.2 in / 50 in seasonal normal; statewide SWP-supply index, not local precipitation</t>
      </text>
    </comment>
    <comment ref="B11" authorId="0" shapeId="0">
      <text>
        <t>April 1 statewide Sierra snowpack, percent of average; SWP-import indicator (no per-year API)</t>
      </text>
    </comment>
    <comment ref="C11" authorId="0" shapeId="0">
      <text>
        <t>April 1 statewide Sierra snowpack, percent of average; SWP-import indicator (no per-year API)</t>
      </text>
    </comment>
    <comment ref="D11" authorId="0" shapeId="0">
      <text>
        <t>April 1 statewide Sierra snowpack, percent of average; SWP-import indicator (no per-year API)</t>
      </text>
    </comment>
    <comment ref="E11" authorId="0" shapeId="0">
      <text>
        <t>April 1 statewide Sierra snowpack, percent of average; SWP-import indicator (no per-year API)</t>
      </text>
    </comment>
    <comment ref="F11" authorId="0" shapeId="0">
      <text>
        <t>April 1 statewide Sierra snowpack, percent of average; SWP-import indicator (no per-year API)</t>
      </text>
    </comment>
    <comment ref="B12" authorId="0" shapeId="0">
      <text>
        <t>final State Water Project Table A allocation; published DWR notice (no structured API)</t>
      </text>
    </comment>
    <comment ref="C12" authorId="0" shapeId="0">
      <text>
        <t>final State Water Project Table A allocation; published DWR notice (no structured API)</t>
      </text>
    </comment>
    <comment ref="D12" authorId="0" shapeId="0">
      <text>
        <t>final State Water Project Table A allocation; published DWR notice (no structured API)</t>
      </text>
    </comment>
    <comment ref="E12" authorId="0" shapeId="0">
      <text>
        <t>final State Water Project Table A allocation; published DWR notice (no structured API)</t>
      </text>
    </comment>
    <comment ref="F12" authorId="0" shapeId="0">
      <text>
        <t>final State Water Project Table A allocation; published DWR notice (no structured API)</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5.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F24"/>
  <sheetViews>
    <sheetView workbookViewId="0">
      <pane xSplit="1" ySplit="7" topLeftCell="B8" activePane="bottomRight" state="frozen"/>
      <selection pane="topRight"/>
      <selection pane="bottomLeft"/>
      <selection pane="bottomRight" activeCell="A1" sqref="A1"/>
    </sheetView>
  </sheetViews>
  <sheetFormatPr baseColWidth="8" defaultRowHeight="15"/>
  <cols>
    <col width="32" customWidth="1" min="1" max="1"/>
    <col width="15" customWidth="1" min="2" max="2"/>
    <col width="15" customWidth="1" min="3" max="3"/>
    <col width="15" customWidth="1" min="4" max="4"/>
    <col width="15" customWidth="1" min="5" max="5"/>
    <col width="15" customWidth="1" min="6" max="6"/>
  </cols>
  <sheetData>
    <row r="1">
      <c r="A1" s="1" t="inlineStr">
        <is>
          <t>Stockdale Annex Mutual Water Co</t>
        </is>
      </c>
    </row>
    <row r="2">
      <c r="A2" s="2" t="inlineStr">
        <is>
          <t>Financial Summary - multi-year overview (USD)</t>
        </is>
      </c>
    </row>
    <row r="3">
      <c r="A3" s="2" t="inlineStr">
        <is>
          <t>Entity ID: cawc_0143   |   Fiscal year ends December 31.</t>
        </is>
      </c>
    </row>
    <row r="5" ht="30" customHeight="1">
      <c r="A5" s="3" t="inlineStr">
        <is>
          <t>Presentation standard: every figure on the statement tabs is verified to its source filing and shown clean. A cell the filing does not report reads "not reported" (never estimated, never guessed).</t>
        </is>
      </c>
    </row>
    <row r="6" ht="30" customHeight="1">
      <c r="A6" s="3" t="inlineStr">
        <is>
          <t>Citations, confidence tiers, and the filed-vs-computed tie-out checks live on the "Sources &amp; audit" tab, keyed by cell, so every number is fully traceable without cluttering the statements. These pages are ready to use as filed.</t>
        </is>
      </c>
    </row>
    <row r="8">
      <c r="A8" s="4" t="inlineStr">
        <is>
          <t>Metric</t>
        </is>
      </c>
      <c r="B8" s="5" t="inlineStr">
        <is>
          <t>FY2020</t>
        </is>
      </c>
      <c r="C8" s="5" t="inlineStr">
        <is>
          <t>FY2021</t>
        </is>
      </c>
      <c r="D8" s="5" t="inlineStr">
        <is>
          <t>FY2022</t>
        </is>
      </c>
      <c r="E8" s="5" t="inlineStr">
        <is>
          <t>FY2023</t>
        </is>
      </c>
      <c r="F8" s="5" t="inlineStr">
        <is>
          <t>FY2024</t>
        </is>
      </c>
    </row>
    <row r="9">
      <c r="A9" s="6" t="inlineStr">
        <is>
          <t>Operating results (USD)</t>
        </is>
      </c>
      <c r="B9" s="7" t="n"/>
      <c r="C9" s="7" t="n"/>
      <c r="D9" s="7" t="n"/>
      <c r="E9" s="7" t="n"/>
      <c r="F9" s="7" t="n"/>
    </row>
    <row r="10">
      <c r="A10" s="8" t="inlineStr">
        <is>
          <t xml:space="preserve">    Total revenue</t>
        </is>
      </c>
      <c r="B10" s="9" t="n">
        <v>144481</v>
      </c>
      <c r="C10" s="9" t="n">
        <v>226637</v>
      </c>
      <c r="D10" s="9" t="n">
        <v>253840</v>
      </c>
      <c r="E10" s="9" t="n">
        <v>1458158</v>
      </c>
      <c r="F10" s="9" t="n">
        <v>269819</v>
      </c>
    </row>
    <row r="11">
      <c r="A11" s="8" t="inlineStr">
        <is>
          <t xml:space="preserve">    Total expenses</t>
        </is>
      </c>
      <c r="B11" s="9" t="n">
        <v>132991</v>
      </c>
      <c r="C11" s="9" t="n">
        <v>155974</v>
      </c>
      <c r="D11" s="9" t="n">
        <v>147019</v>
      </c>
      <c r="E11" s="9" t="n">
        <v>193687</v>
      </c>
      <c r="F11" s="9" t="n">
        <v>238905</v>
      </c>
    </row>
    <row r="12">
      <c r="A12" s="10" t="inlineStr">
        <is>
          <t xml:space="preserve">    Net income</t>
        </is>
      </c>
      <c r="B12" s="11" t="n">
        <v>11490</v>
      </c>
      <c r="C12" s="11" t="n">
        <v>70663</v>
      </c>
      <c r="D12" s="11" t="n">
        <v>106821</v>
      </c>
      <c r="E12" s="11" t="n">
        <v>1264471</v>
      </c>
      <c r="F12" s="11" t="n">
        <v>30914</v>
      </c>
    </row>
    <row r="14">
      <c r="A14" s="6" t="inlineStr">
        <is>
          <t>Financial position (USD, end of year)</t>
        </is>
      </c>
      <c r="B14" s="7" t="n"/>
      <c r="C14" s="7" t="n"/>
      <c r="D14" s="7" t="n"/>
      <c r="E14" s="7" t="n"/>
      <c r="F14" s="7" t="n"/>
    </row>
    <row r="15">
      <c r="A15" s="8" t="inlineStr">
        <is>
          <t xml:space="preserve">    Total assets</t>
        </is>
      </c>
      <c r="B15" s="9" t="n">
        <v>731640</v>
      </c>
      <c r="C15" s="9" t="n">
        <v>806217</v>
      </c>
      <c r="D15" s="9" t="n">
        <v>930149</v>
      </c>
      <c r="E15" s="9" t="n">
        <v>2190801</v>
      </c>
      <c r="F15" s="9" t="n">
        <v>2219500</v>
      </c>
    </row>
    <row r="16">
      <c r="A16" s="8" t="inlineStr">
        <is>
          <t xml:space="preserve">    Total liabilities</t>
        </is>
      </c>
      <c r="B16" s="9" t="n">
        <v>35968</v>
      </c>
      <c r="C16" s="9" t="n">
        <v>39877</v>
      </c>
      <c r="D16" s="9" t="n">
        <v>56988</v>
      </c>
      <c r="E16" s="9" t="n">
        <v>53175</v>
      </c>
      <c r="F16" s="9" t="n">
        <v>50956</v>
      </c>
    </row>
    <row r="17">
      <c r="A17" s="10" t="inlineStr">
        <is>
          <t xml:space="preserve">    Net assets</t>
        </is>
      </c>
      <c r="B17" s="11" t="n">
        <v>695672</v>
      </c>
      <c r="C17" s="11" t="n">
        <v>766340</v>
      </c>
      <c r="D17" s="11" t="n">
        <v>873161</v>
      </c>
      <c r="E17" s="11" t="n">
        <v>2137626</v>
      </c>
      <c r="F17" s="11" t="n">
        <v>2168544</v>
      </c>
    </row>
    <row r="19">
      <c r="A19" s="6" t="inlineStr">
        <is>
          <t>Headline ratios</t>
        </is>
      </c>
      <c r="B19" s="7" t="n"/>
      <c r="C19" s="7" t="n"/>
      <c r="D19" s="7" t="n"/>
      <c r="E19" s="7" t="n"/>
      <c r="F19" s="7" t="n"/>
    </row>
    <row r="20">
      <c r="A20" s="8" t="inlineStr">
        <is>
          <t xml:space="preserve">    Operating margin</t>
        </is>
      </c>
      <c r="B20" s="12" t="n">
        <v>0.07952602764377323</v>
      </c>
      <c r="C20" s="12" t="n">
        <v>0.3117893371338307</v>
      </c>
      <c r="D20" s="12" t="n">
        <v>0.4208202017018595</v>
      </c>
      <c r="E20" s="12" t="n">
        <v>0.8671700871921972</v>
      </c>
      <c r="F20" s="12" t="n">
        <v>0.1145731027095942</v>
      </c>
    </row>
    <row r="21">
      <c r="A21" s="8" t="inlineStr">
        <is>
          <t xml:space="preserve">    Revenue growth (YoY)</t>
        </is>
      </c>
      <c r="B21" s="12" t="n">
        <v>0.09773813413160914</v>
      </c>
      <c r="C21" s="12" t="n">
        <v>0.568628400966217</v>
      </c>
      <c r="D21" s="12" t="n">
        <v>0.1200289449648557</v>
      </c>
      <c r="E21" s="12" t="n">
        <v>4.744398046013237</v>
      </c>
      <c r="F21" s="12" t="n">
        <v>-0.8149590099289652</v>
      </c>
    </row>
    <row r="22">
      <c r="A22" s="8" t="inlineStr">
        <is>
          <t xml:space="preserve">    Return on assets</t>
        </is>
      </c>
      <c r="B22" s="12" t="n">
        <v>0.01570444480892242</v>
      </c>
      <c r="C22" s="12" t="n">
        <v>0.08764761844515806</v>
      </c>
      <c r="D22" s="12" t="n">
        <v>0.1148428907626628</v>
      </c>
      <c r="E22" s="12" t="n">
        <v>0.5771729152944517</v>
      </c>
      <c r="F22" s="12" t="n">
        <v>0.01392836224374859</v>
      </c>
    </row>
    <row r="24" ht="42" customHeight="1">
      <c r="A24" s="3" t="inlineStr">
        <is>
          <t>Figures as reported in source filings (full provenance on the Sources &amp; audit tab). Parentheses denote negatives; ratios are computed upstream in financials_annual.</t>
        </is>
      </c>
    </row>
  </sheetData>
  <mergeCells count="6">
    <mergeCell ref="A24:F24"/>
    <mergeCell ref="A2:F2"/>
    <mergeCell ref="A1:F1"/>
    <mergeCell ref="A5:F5"/>
    <mergeCell ref="A6:F6"/>
    <mergeCell ref="A3:F3"/>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5"/>
  <sheetViews>
    <sheetView workbookViewId="0">
      <pane ySplit="4" topLeftCell="A5" activePane="bottomLeft" state="frozen"/>
      <selection pane="bottomLeft" activeCell="A1" sqref="A1"/>
    </sheetView>
  </sheetViews>
  <sheetFormatPr baseColWidth="8" defaultRowHeight="15"/>
  <cols>
    <col width="12" customWidth="1" min="1" max="1"/>
    <col width="14" customWidth="1" min="2" max="2"/>
    <col width="16" customWidth="1" min="3" max="3"/>
    <col width="90" customWidth="1" min="4" max="4"/>
  </cols>
  <sheetData>
    <row r="1">
      <c r="A1" s="1" t="inlineStr">
        <is>
          <t>Notes</t>
        </is>
      </c>
    </row>
    <row r="2">
      <c r="A2" s="2" t="inlineStr">
        <is>
          <t>Human annotations from the versioned store (data/notes/). Annotations only: they never change a reported figure or a confidence tier.</t>
        </is>
      </c>
    </row>
    <row r="4">
      <c r="A4" s="4" t="inlineStr">
        <is>
          <t>Date</t>
        </is>
      </c>
      <c r="B4" s="4" t="inlineStr">
        <is>
          <t>Tag</t>
        </is>
      </c>
      <c r="C4" s="4" t="inlineStr">
        <is>
          <t>Author</t>
        </is>
      </c>
      <c r="D4" s="4" t="inlineStr">
        <is>
          <t>Note</t>
        </is>
      </c>
    </row>
    <row r="5">
      <c r="A5" s="13" t="inlineStr">
        <is>
          <t>No notes recorded yet.</t>
        </is>
      </c>
    </row>
  </sheetData>
  <mergeCells count="3">
    <mergeCell ref="A1:D1"/>
    <mergeCell ref="A5:D5"/>
    <mergeCell ref="A2:D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78"/>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40" customWidth="1" min="1" max="1"/>
    <col width="15" customWidth="1" min="2" max="2"/>
    <col width="15" customWidth="1" min="3" max="3"/>
    <col width="15" customWidth="1" min="4" max="4"/>
    <col width="15" customWidth="1" min="5" max="5"/>
    <col width="15" customWidth="1" min="6" max="6"/>
  </cols>
  <sheetData>
    <row r="1">
      <c r="A1" s="1" t="inlineStr">
        <is>
          <t>Stockdale Annex Mutual Water Co</t>
        </is>
      </c>
    </row>
    <row r="2">
      <c r="A2" s="2" t="inlineStr">
        <is>
          <t>Financial Statements - income statement, balance sheet, cash flow, member income test (USD)</t>
        </is>
      </c>
    </row>
    <row r="3">
      <c r="A3" s="2" t="inlineStr">
        <is>
          <t>Entity ID: cawc_0143   |   Fiscal year ends December 31.</t>
        </is>
      </c>
    </row>
    <row r="5">
      <c r="A5" s="6" t="inlineStr">
        <is>
          <t>INCOME STATEMENT - as reported (USD)</t>
        </is>
      </c>
      <c r="B5" s="7" t="n"/>
      <c r="C5" s="7" t="n"/>
      <c r="D5" s="7" t="n"/>
      <c r="E5" s="7" t="n"/>
      <c r="F5" s="7" t="n"/>
    </row>
    <row r="6">
      <c r="A6" s="4" t="inlineStr">
        <is>
          <t>Line item</t>
        </is>
      </c>
      <c r="B6" s="5" t="inlineStr">
        <is>
          <t>FY2020</t>
        </is>
      </c>
      <c r="C6" s="5" t="inlineStr">
        <is>
          <t>FY2021</t>
        </is>
      </c>
      <c r="D6" s="5" t="inlineStr">
        <is>
          <t>FY2022</t>
        </is>
      </c>
      <c r="E6" s="5" t="inlineStr">
        <is>
          <t>FY2023</t>
        </is>
      </c>
      <c r="F6" s="5" t="inlineStr">
        <is>
          <t>FY2024</t>
        </is>
      </c>
    </row>
    <row r="7">
      <c r="A7" s="6" t="inlineStr">
        <is>
          <t>Revenue</t>
        </is>
      </c>
      <c r="B7" s="7" t="n"/>
      <c r="C7" s="7" t="n"/>
      <c r="D7" s="7" t="n"/>
      <c r="E7" s="7" t="n"/>
      <c r="F7" s="7" t="n"/>
    </row>
    <row r="8">
      <c r="A8" s="8" t="inlineStr">
        <is>
          <t xml:space="preserve">    Program service revenue</t>
        </is>
      </c>
      <c r="B8" s="9" t="n">
        <v>143360</v>
      </c>
      <c r="C8" s="9" t="n">
        <v>225770</v>
      </c>
      <c r="D8" s="9" t="n">
        <v>251735</v>
      </c>
      <c r="E8" s="9" t="n">
        <v>1450503</v>
      </c>
      <c r="F8" s="9" t="n">
        <v>251967</v>
      </c>
    </row>
    <row r="9">
      <c r="A9" s="8" t="inlineStr">
        <is>
          <t xml:space="preserve">    Investment income</t>
        </is>
      </c>
      <c r="B9" s="9" t="n">
        <v>141</v>
      </c>
      <c r="C9" s="9" t="n">
        <v>92</v>
      </c>
      <c r="D9" s="9" t="n">
        <v>214</v>
      </c>
      <c r="E9" s="9" t="n">
        <v>5805</v>
      </c>
      <c r="F9" s="9" t="n">
        <v>13986</v>
      </c>
    </row>
    <row r="10">
      <c r="A10" s="8" t="inlineStr">
        <is>
          <t xml:space="preserve">    Net rental income</t>
        </is>
      </c>
      <c r="B10" s="9" t="n"/>
      <c r="C10" s="9" t="n"/>
      <c r="D10" s="9" t="n"/>
      <c r="E10" s="9" t="n"/>
      <c r="F10" s="9" t="n"/>
    </row>
    <row r="11">
      <c r="A11" s="8" t="inlineStr">
        <is>
          <t xml:space="preserve">    Net gain/(loss) on investment sales</t>
        </is>
      </c>
      <c r="B11" s="9" t="n"/>
      <c r="C11" s="9" t="n"/>
      <c r="D11" s="9" t="n"/>
      <c r="E11" s="9" t="n"/>
      <c r="F11" s="9" t="n"/>
    </row>
    <row r="12">
      <c r="A12" s="8" t="inlineStr">
        <is>
          <t xml:space="preserve">    Other revenue</t>
        </is>
      </c>
      <c r="B12" s="9" t="n">
        <v>980</v>
      </c>
      <c r="C12" s="9" t="n">
        <v>775</v>
      </c>
      <c r="D12" s="9" t="n">
        <v>1891</v>
      </c>
      <c r="E12" s="9" t="n">
        <v>1850</v>
      </c>
      <c r="F12" s="9" t="n">
        <v>3866</v>
      </c>
    </row>
    <row r="13">
      <c r="A13" s="8" t="inlineStr">
        <is>
          <t xml:space="preserve">    Contributions &amp; grants</t>
        </is>
      </c>
      <c r="B13" s="9" t="n"/>
      <c r="C13" s="9" t="n"/>
      <c r="D13" s="9" t="n"/>
      <c r="E13" s="9" t="n"/>
      <c r="F13" s="9" t="n"/>
    </row>
    <row r="14">
      <c r="A14" s="10" t="inlineStr">
        <is>
          <t>Total revenue</t>
        </is>
      </c>
      <c r="B14" s="11" t="n">
        <v>144481</v>
      </c>
      <c r="C14" s="11" t="n">
        <v>226637</v>
      </c>
      <c r="D14" s="11" t="n">
        <v>253840</v>
      </c>
      <c r="E14" s="11" t="n">
        <v>1458158</v>
      </c>
      <c r="F14" s="11" t="n">
        <v>269819</v>
      </c>
    </row>
    <row r="16">
      <c r="A16" s="6" t="inlineStr">
        <is>
          <t>Expenses</t>
        </is>
      </c>
      <c r="B16" s="7" t="n"/>
      <c r="C16" s="7" t="n"/>
      <c r="D16" s="7" t="n"/>
      <c r="E16" s="7" t="n"/>
      <c r="F16" s="7" t="n"/>
    </row>
    <row r="17">
      <c r="A17" s="8" t="inlineStr">
        <is>
          <t xml:space="preserve">    Depreciation</t>
        </is>
      </c>
      <c r="B17" s="9" t="n">
        <v>8683</v>
      </c>
      <c r="C17" s="9" t="n">
        <v>16199</v>
      </c>
      <c r="D17" s="9" t="n">
        <v>23301</v>
      </c>
      <c r="E17" s="9" t="n">
        <v>26584</v>
      </c>
      <c r="F17" s="9" t="n">
        <v>75874</v>
      </c>
    </row>
    <row r="18">
      <c r="A18" s="8" t="inlineStr">
        <is>
          <t xml:space="preserve">    Interest expense</t>
        </is>
      </c>
      <c r="B18" s="9" t="n"/>
      <c r="C18" s="9" t="n"/>
      <c r="D18" s="9" t="n"/>
      <c r="E18" s="9" t="n"/>
      <c r="F18" s="9" t="n"/>
    </row>
    <row r="19">
      <c r="A19" s="10" t="inlineStr">
        <is>
          <t>Total expenses</t>
        </is>
      </c>
      <c r="B19" s="11" t="n">
        <v>132991</v>
      </c>
      <c r="C19" s="11" t="n">
        <v>155974</v>
      </c>
      <c r="D19" s="11" t="n">
        <v>147019</v>
      </c>
      <c r="E19" s="11" t="n">
        <v>193687</v>
      </c>
      <c r="F19" s="11" t="n">
        <v>238905</v>
      </c>
    </row>
    <row r="21">
      <c r="A21" s="10" t="inlineStr">
        <is>
          <t>Net income</t>
        </is>
      </c>
      <c r="B21" s="11" t="n">
        <v>11490</v>
      </c>
      <c r="C21" s="11" t="n">
        <v>70663</v>
      </c>
      <c r="D21" s="11" t="n">
        <v>106821</v>
      </c>
      <c r="E21" s="11" t="n">
        <v>1264471</v>
      </c>
      <c r="F21" s="11" t="n">
        <v>30914</v>
      </c>
    </row>
    <row r="24">
      <c r="A24" s="6" t="inlineStr">
        <is>
          <t>BALANCE SHEET - as reported (USD, end of year)</t>
        </is>
      </c>
      <c r="B24" s="7" t="n"/>
      <c r="C24" s="7" t="n"/>
      <c r="D24" s="7" t="n"/>
      <c r="E24" s="7" t="n"/>
      <c r="F24" s="7" t="n"/>
    </row>
    <row r="25">
      <c r="A25" s="4" t="inlineStr">
        <is>
          <t>Line item</t>
        </is>
      </c>
      <c r="B25" s="5" t="inlineStr">
        <is>
          <t>FY2020</t>
        </is>
      </c>
      <c r="C25" s="5" t="inlineStr">
        <is>
          <t>FY2021</t>
        </is>
      </c>
      <c r="D25" s="5" t="inlineStr">
        <is>
          <t>FY2022</t>
        </is>
      </c>
      <c r="E25" s="5" t="inlineStr">
        <is>
          <t>FY2023</t>
        </is>
      </c>
      <c r="F25" s="5" t="inlineStr">
        <is>
          <t>FY2024</t>
        </is>
      </c>
    </row>
    <row r="26">
      <c r="A26" s="6" t="inlineStr">
        <is>
          <t>Assets</t>
        </is>
      </c>
      <c r="B26" s="7" t="n"/>
      <c r="C26" s="7" t="n"/>
      <c r="D26" s="7" t="n"/>
      <c r="E26" s="7" t="n"/>
      <c r="F26" s="7" t="n"/>
    </row>
    <row r="27">
      <c r="A27" s="8" t="inlineStr">
        <is>
          <t xml:space="preserve">    Cash</t>
        </is>
      </c>
      <c r="B27" s="9" t="n">
        <v>150977</v>
      </c>
      <c r="C27" s="9" t="n">
        <v>20509</v>
      </c>
      <c r="D27" s="9" t="n">
        <v>140393</v>
      </c>
      <c r="E27" s="9" t="n">
        <v>389241</v>
      </c>
      <c r="F27" s="9" t="n">
        <v>62889</v>
      </c>
    </row>
    <row r="28">
      <c r="A28" s="8" t="inlineStr">
        <is>
          <t xml:space="preserve">    Savings &amp; temporary investments</t>
        </is>
      </c>
      <c r="B28" s="9" t="n">
        <v>18418</v>
      </c>
      <c r="C28" s="9" t="n">
        <v>495956</v>
      </c>
      <c r="D28" s="9" t="n">
        <v>496169</v>
      </c>
      <c r="E28" s="9" t="n">
        <v>465754</v>
      </c>
      <c r="F28" s="9" t="n">
        <v>478980</v>
      </c>
    </row>
    <row r="29">
      <c r="A29" s="8" t="inlineStr">
        <is>
          <t xml:space="preserve">    Accounts receivable</t>
        </is>
      </c>
      <c r="B29" s="9" t="n">
        <v>4903</v>
      </c>
      <c r="C29" s="9" t="n">
        <v>5101</v>
      </c>
      <c r="D29" s="9" t="n">
        <v>4098</v>
      </c>
      <c r="E29" s="9" t="n">
        <v>837575</v>
      </c>
      <c r="F29" s="9" t="n">
        <v>2658</v>
      </c>
    </row>
    <row r="30">
      <c r="A30" s="8" t="inlineStr">
        <is>
          <t xml:space="preserve">    Inventories</t>
        </is>
      </c>
      <c r="B30" s="9" t="n"/>
      <c r="C30" s="9" t="n"/>
      <c r="D30" s="9" t="n"/>
      <c r="E30" s="9" t="n"/>
      <c r="F30" s="9" t="n"/>
    </row>
    <row r="31">
      <c r="A31" s="8" t="inlineStr">
        <is>
          <t xml:space="preserve">    Prepaid expenses</t>
        </is>
      </c>
      <c r="B31" s="9" t="n"/>
      <c r="C31" s="9" t="n"/>
      <c r="D31" s="9" t="n"/>
      <c r="E31" s="9" t="n"/>
      <c r="F31" s="9" t="n"/>
    </row>
    <row r="32">
      <c r="A32" s="8" t="inlineStr">
        <is>
          <t xml:space="preserve">    Property, plant &amp; equipment (gross)</t>
        </is>
      </c>
      <c r="B32" s="9" t="n">
        <v>339951</v>
      </c>
      <c r="C32" s="9" t="n">
        <v>531205</v>
      </c>
      <c r="D32" s="9" t="n">
        <v>559344</v>
      </c>
      <c r="E32" s="9" t="n">
        <v>641512</v>
      </c>
      <c r="F32" s="9" t="n">
        <v>2047286</v>
      </c>
    </row>
    <row r="33">
      <c r="A33" s="8" t="inlineStr">
        <is>
          <t xml:space="preserve">    Less: accumulated depreciation</t>
        </is>
      </c>
      <c r="B33" s="9" t="n">
        <v>-238082</v>
      </c>
      <c r="C33" s="9" t="n">
        <v>-254014</v>
      </c>
      <c r="D33" s="9" t="n">
        <v>-277315</v>
      </c>
      <c r="E33" s="9" t="n">
        <v>-303899</v>
      </c>
      <c r="F33" s="9" t="n">
        <v>-379773</v>
      </c>
    </row>
    <row r="34">
      <c r="A34" s="10" t="inlineStr">
        <is>
          <t xml:space="preserve">    Net property, plant &amp; equipment</t>
        </is>
      </c>
      <c r="B34" s="11" t="n">
        <v>101869</v>
      </c>
      <c r="C34" s="11" t="n">
        <v>277191</v>
      </c>
      <c r="D34" s="11" t="n">
        <v>282029</v>
      </c>
      <c r="E34" s="11" t="n">
        <v>337613</v>
      </c>
      <c r="F34" s="11" t="n">
        <v>1667513</v>
      </c>
    </row>
    <row r="35">
      <c r="A35" s="10" t="inlineStr">
        <is>
          <t>Total assets</t>
        </is>
      </c>
      <c r="B35" s="11" t="n">
        <v>731640</v>
      </c>
      <c r="C35" s="11" t="n">
        <v>806217</v>
      </c>
      <c r="D35" s="11" t="n">
        <v>930149</v>
      </c>
      <c r="E35" s="11" t="n">
        <v>2190801</v>
      </c>
      <c r="F35" s="11" t="n">
        <v>2219500</v>
      </c>
    </row>
    <row r="37">
      <c r="A37" s="6" t="inlineStr">
        <is>
          <t>Liabilities</t>
        </is>
      </c>
      <c r="B37" s="7" t="n"/>
      <c r="C37" s="7" t="n"/>
      <c r="D37" s="7" t="n"/>
      <c r="E37" s="7" t="n"/>
      <c r="F37" s="7" t="n"/>
    </row>
    <row r="38">
      <c r="A38" s="8" t="inlineStr">
        <is>
          <t xml:space="preserve">    Accounts payable</t>
        </is>
      </c>
      <c r="B38" s="9" t="n">
        <v>16507</v>
      </c>
      <c r="C38" s="9" t="n">
        <v>13576</v>
      </c>
      <c r="D38" s="9" t="n">
        <v>32186</v>
      </c>
      <c r="E38" s="9" t="n">
        <v>34254</v>
      </c>
      <c r="F38" s="9" t="n">
        <v>33394</v>
      </c>
    </row>
    <row r="39">
      <c r="A39" s="8" t="inlineStr">
        <is>
          <t xml:space="preserve">    Mortgages &amp; notes payable</t>
        </is>
      </c>
      <c r="B39" s="9" t="n"/>
      <c r="C39" s="9" t="n"/>
      <c r="D39" s="9" t="n"/>
      <c r="E39" s="9" t="n"/>
      <c r="F39" s="9" t="n"/>
    </row>
    <row r="40">
      <c r="A40" s="10" t="inlineStr">
        <is>
          <t>Total liabilities</t>
        </is>
      </c>
      <c r="B40" s="11" t="n">
        <v>35968</v>
      </c>
      <c r="C40" s="11" t="n">
        <v>39877</v>
      </c>
      <c r="D40" s="11" t="n">
        <v>56988</v>
      </c>
      <c r="E40" s="11" t="n">
        <v>53175</v>
      </c>
      <c r="F40" s="11" t="n">
        <v>50956</v>
      </c>
    </row>
    <row r="42">
      <c r="A42" s="6" t="inlineStr">
        <is>
          <t>Net Assets / Equity</t>
        </is>
      </c>
      <c r="B42" s="7" t="n"/>
      <c r="C42" s="7" t="n"/>
      <c r="D42" s="7" t="n"/>
      <c r="E42" s="7" t="n"/>
      <c r="F42" s="7" t="n"/>
    </row>
    <row r="43">
      <c r="A43" s="8" t="inlineStr">
        <is>
          <t xml:space="preserve">    Capital stock</t>
        </is>
      </c>
      <c r="B43" s="9" t="n">
        <v>28756</v>
      </c>
      <c r="C43" s="9" t="n"/>
      <c r="D43" s="9" t="n"/>
      <c r="E43" s="9" t="n"/>
      <c r="F43" s="9" t="n"/>
    </row>
    <row r="44">
      <c r="A44" s="8" t="inlineStr">
        <is>
          <t xml:space="preserve">    Paid-in capital</t>
        </is>
      </c>
      <c r="B44" s="9" t="n">
        <v>487329</v>
      </c>
      <c r="C44" s="9" t="n"/>
      <c r="D44" s="9" t="n"/>
      <c r="E44" s="9" t="n"/>
      <c r="F44" s="9" t="n"/>
    </row>
    <row r="45">
      <c r="A45" s="8" t="inlineStr">
        <is>
          <t xml:space="preserve">    Retained earnings</t>
        </is>
      </c>
      <c r="B45" s="9" t="n">
        <v>179587</v>
      </c>
      <c r="C45" s="9" t="n">
        <v>766340</v>
      </c>
      <c r="D45" s="9" t="n">
        <v>873161</v>
      </c>
      <c r="E45" s="9" t="n">
        <v>2137626</v>
      </c>
      <c r="F45" s="9" t="n">
        <v>2168544</v>
      </c>
    </row>
    <row r="46">
      <c r="A46" s="10" t="inlineStr">
        <is>
          <t>Net assets</t>
        </is>
      </c>
      <c r="B46" s="11" t="n">
        <v>695672</v>
      </c>
      <c r="C46" s="11" t="n">
        <v>766340</v>
      </c>
      <c r="D46" s="11" t="n">
        <v>873161</v>
      </c>
      <c r="E46" s="11" t="n">
        <v>2137626</v>
      </c>
      <c r="F46" s="11" t="n">
        <v>2168544</v>
      </c>
    </row>
    <row r="49">
      <c r="A49" s="6" t="inlineStr">
        <is>
          <t>CASH FLOW - derived proxy (USD)</t>
        </is>
      </c>
      <c r="B49" s="7" t="n"/>
      <c r="C49" s="7" t="n"/>
      <c r="D49" s="7" t="n"/>
      <c r="E49" s="7" t="n"/>
      <c r="F49" s="7" t="n"/>
    </row>
    <row r="50">
      <c r="A50" s="4" t="inlineStr">
        <is>
          <t>Proxy line</t>
        </is>
      </c>
      <c r="B50" s="5" t="inlineStr">
        <is>
          <t>FY2020</t>
        </is>
      </c>
      <c r="C50" s="5" t="inlineStr">
        <is>
          <t>FY2021</t>
        </is>
      </c>
      <c r="D50" s="5" t="inlineStr">
        <is>
          <t>FY2022</t>
        </is>
      </c>
      <c r="E50" s="5" t="inlineStr">
        <is>
          <t>FY2023</t>
        </is>
      </c>
      <c r="F50" s="5" t="inlineStr">
        <is>
          <t>FY2024</t>
        </is>
      </c>
    </row>
    <row r="51">
      <c r="A51" s="6" t="inlineStr">
        <is>
          <t>Operating</t>
        </is>
      </c>
      <c r="B51" s="7" t="n"/>
      <c r="C51" s="7" t="n"/>
      <c r="D51" s="7" t="n"/>
      <c r="E51" s="7" t="n"/>
      <c r="F51" s="7" t="n"/>
    </row>
    <row r="52">
      <c r="A52" s="8" t="inlineStr">
        <is>
          <t xml:space="preserve">    Net income</t>
        </is>
      </c>
      <c r="B52" s="9" t="n">
        <v>11490</v>
      </c>
      <c r="C52" s="9" t="n">
        <v>70663</v>
      </c>
      <c r="D52" s="9" t="n">
        <v>106821</v>
      </c>
      <c r="E52" s="9" t="n">
        <v>1264471</v>
      </c>
      <c r="F52" s="9" t="n">
        <v>30914</v>
      </c>
    </row>
    <row r="53">
      <c r="A53" s="8" t="inlineStr">
        <is>
          <t xml:space="preserve">    + Depreciation (reported)</t>
        </is>
      </c>
      <c r="B53" s="9" t="n">
        <v>8683</v>
      </c>
      <c r="C53" s="9" t="n">
        <v>16199</v>
      </c>
      <c r="D53" s="9" t="n">
        <v>23301</v>
      </c>
      <c r="E53" s="9" t="n">
        <v>26584</v>
      </c>
      <c r="F53" s="9" t="n">
        <v>75874</v>
      </c>
    </row>
    <row r="54">
      <c r="A54" s="8" t="inlineStr">
        <is>
          <t xml:space="preserve">    − Δ Accounts receivable</t>
        </is>
      </c>
      <c r="B54" s="9" t="n"/>
      <c r="C54" s="9" t="n">
        <v>-198</v>
      </c>
      <c r="D54" s="9" t="n">
        <v>1003</v>
      </c>
      <c r="E54" s="9" t="n">
        <v>-833477</v>
      </c>
      <c r="F54" s="9" t="n">
        <v>834917</v>
      </c>
    </row>
    <row r="55">
      <c r="A55" s="8" t="inlineStr">
        <is>
          <t xml:space="preserve">    − Δ Inventories</t>
        </is>
      </c>
      <c r="B55" s="9" t="n"/>
      <c r="C55" s="9" t="n"/>
      <c r="D55" s="9" t="n"/>
      <c r="E55" s="9" t="n"/>
      <c r="F55" s="9" t="n"/>
    </row>
    <row r="56">
      <c r="A56" s="8" t="inlineStr">
        <is>
          <t xml:space="preserve">    − Δ Prepaid expenses</t>
        </is>
      </c>
      <c r="B56" s="9" t="n"/>
      <c r="C56" s="9" t="n"/>
      <c r="D56" s="9" t="n"/>
      <c r="E56" s="9" t="n"/>
      <c r="F56" s="9" t="n"/>
    </row>
    <row r="57">
      <c r="A57" s="8" t="inlineStr">
        <is>
          <t xml:space="preserve">    + Δ Accounts payable</t>
        </is>
      </c>
      <c r="B57" s="9" t="n"/>
      <c r="C57" s="9" t="n">
        <v>-2931</v>
      </c>
      <c r="D57" s="9" t="n">
        <v>18610</v>
      </c>
      <c r="E57" s="9" t="n">
        <v>2068</v>
      </c>
      <c r="F57" s="9" t="n">
        <v>-860</v>
      </c>
    </row>
    <row r="58">
      <c r="A58" s="10" t="inlineStr">
        <is>
          <t xml:space="preserve">    Operating cash flow proxy</t>
        </is>
      </c>
      <c r="B58" s="11" t="n"/>
      <c r="C58" s="11" t="n">
        <v>83733</v>
      </c>
      <c r="D58" s="11" t="n">
        <v>149735</v>
      </c>
      <c r="E58" s="11" t="n">
        <v>459646</v>
      </c>
      <c r="F58" s="11" t="n">
        <v>940845</v>
      </c>
    </row>
    <row r="60">
      <c r="A60" s="6" t="inlineStr">
        <is>
          <t>Investing</t>
        </is>
      </c>
      <c r="B60" s="7" t="n"/>
      <c r="C60" s="7" t="n"/>
      <c r="D60" s="7" t="n"/>
      <c r="E60" s="7" t="n"/>
      <c r="F60" s="7" t="n"/>
    </row>
    <row r="61">
      <c r="A61" s="8" t="inlineStr">
        <is>
          <t xml:space="preserve">    − Δ PP&amp;E gross (capex proxy)</t>
        </is>
      </c>
      <c r="B61" s="9" t="n"/>
      <c r="C61" s="9" t="n">
        <v>-191254</v>
      </c>
      <c r="D61" s="9" t="n">
        <v>-28139</v>
      </c>
      <c r="E61" s="9" t="n">
        <v>-82168</v>
      </c>
      <c r="F61" s="9" t="n">
        <v>-1405774</v>
      </c>
    </row>
    <row r="63">
      <c r="A63" s="6" t="inlineStr">
        <is>
          <t>Financing</t>
        </is>
      </c>
      <c r="B63" s="7" t="n"/>
      <c r="C63" s="7" t="n"/>
      <c r="D63" s="7" t="n"/>
      <c r="E63" s="7" t="n"/>
      <c r="F63" s="7" t="n"/>
    </row>
    <row r="64">
      <c r="A64" s="8" t="inlineStr">
        <is>
          <t xml:space="preserve">    Δ Mortgages &amp; notes payable</t>
        </is>
      </c>
      <c r="B64" s="9" t="n"/>
      <c r="C64" s="9" t="n"/>
      <c r="D64" s="9" t="n"/>
      <c r="E64" s="9" t="n"/>
      <c r="F64" s="9" t="n"/>
    </row>
    <row r="66">
      <c r="A66" s="6" t="inlineStr">
        <is>
          <t>Reconciliation</t>
        </is>
      </c>
      <c r="B66" s="7" t="n"/>
      <c r="C66" s="7" t="n"/>
      <c r="D66" s="7" t="n"/>
      <c r="E66" s="7" t="n"/>
      <c r="F66" s="7" t="n"/>
    </row>
    <row r="67">
      <c r="A67" s="10" t="inlineStr">
        <is>
          <t xml:space="preserve">    Δ Cash + temp. investments (actual)</t>
        </is>
      </c>
      <c r="B67" s="11" t="n"/>
      <c r="C67" s="11" t="n">
        <v>347070</v>
      </c>
      <c r="D67" s="11" t="n">
        <v>120097</v>
      </c>
      <c r="E67" s="11" t="n">
        <v>218433</v>
      </c>
      <c r="F67" s="11" t="n">
        <v>-313126</v>
      </c>
    </row>
    <row r="69" ht="42" customHeight="1">
      <c r="A69" s="3" t="inlineStr">
        <is>
          <t>Income statement and balance sheet are as reported in source filings (full provenance on the Sources &amp; audit tab). The cash flow block is a PROXY: the filings contain no statement of cash flows, so it is derived from net income, reported depreciation, and year-over-year balance-sheet changes - treat as directional. The earliest year has no prior period, so its delta cells are blank. Parentheses denote negatives.</t>
        </is>
      </c>
    </row>
    <row r="71">
      <c r="A71" s="6" t="inlineStr">
        <is>
          <t>MEMBER INCOME TEST - Form 990 Part V (501(c)(12))</t>
        </is>
      </c>
      <c r="B71" s="7" t="n"/>
      <c r="C71" s="7" t="n"/>
      <c r="D71" s="7" t="n"/>
      <c r="E71" s="7" t="n"/>
      <c r="F71" s="7" t="n"/>
    </row>
    <row r="72">
      <c r="A72" s="4" t="inlineStr">
        <is>
          <t>Part V line 11</t>
        </is>
      </c>
      <c r="B72" s="5" t="inlineStr">
        <is>
          <t>FY2020</t>
        </is>
      </c>
      <c r="C72" s="5" t="inlineStr">
        <is>
          <t>FY2021</t>
        </is>
      </c>
      <c r="D72" s="5" t="inlineStr">
        <is>
          <t>FY2022</t>
        </is>
      </c>
      <c r="E72" s="5" t="inlineStr">
        <is>
          <t>FY2023</t>
        </is>
      </c>
      <c r="F72" s="5" t="inlineStr">
        <is>
          <t>FY2024</t>
        </is>
      </c>
    </row>
    <row r="73">
      <c r="A73" s="8" t="inlineStr">
        <is>
          <t xml:space="preserve">    11a. Gross income from members or shareholders</t>
        </is>
      </c>
      <c r="B73" s="9" t="n">
        <v>144340</v>
      </c>
      <c r="C73" s="9" t="n">
        <v>226545</v>
      </c>
      <c r="D73" s="9" t="n">
        <v>253626</v>
      </c>
      <c r="E73" s="9" t="n">
        <v>1454070</v>
      </c>
      <c r="F73" s="9" t="n">
        <v>255834</v>
      </c>
    </row>
    <row r="74">
      <c r="A74" s="8" t="inlineStr">
        <is>
          <t xml:space="preserve">    11b. Gross income from other sources</t>
        </is>
      </c>
      <c r="B74" s="9" t="n">
        <v>141</v>
      </c>
      <c r="C74" s="9" t="n">
        <v>92</v>
      </c>
      <c r="D74" s="9" t="n">
        <v>214</v>
      </c>
      <c r="E74" s="9" t="n">
        <v>5805</v>
      </c>
      <c r="F74" s="9" t="n">
        <v>13986</v>
      </c>
    </row>
    <row r="75">
      <c r="A75" s="14" t="inlineStr">
        <is>
          <t>Total gross income (11a + 11b)</t>
        </is>
      </c>
      <c r="B75" s="15">
        <f>SUM(B73,B74)</f>
        <v/>
      </c>
      <c r="C75" s="15">
        <f>SUM(C73,C74)</f>
        <v/>
      </c>
      <c r="D75" s="15">
        <f>SUM(D73,D74)</f>
        <v/>
      </c>
      <c r="E75" s="15">
        <f>SUM(E73,E74)</f>
        <v/>
      </c>
      <c r="F75" s="15">
        <f>SUM(F73,F74)</f>
        <v/>
      </c>
    </row>
    <row r="76">
      <c r="A76" s="14" t="inlineStr">
        <is>
          <t>Member income share (11a / total)</t>
        </is>
      </c>
      <c r="B76" s="16">
        <f>IF(B75=0,"",B73/B75)</f>
        <v/>
      </c>
      <c r="C76" s="16">
        <f>IF(C75=0,"",C73/C75)</f>
        <v/>
      </c>
      <c r="D76" s="16">
        <f>IF(D75=0,"",D73/D75)</f>
        <v/>
      </c>
      <c r="E76" s="16">
        <f>IF(E75=0,"",E73/E75)</f>
        <v/>
      </c>
      <c r="F76" s="16">
        <f>IF(F75=0,"",F73/F75)</f>
        <v/>
      </c>
    </row>
    <row r="78" ht="42" customHeight="1">
      <c r="A78" s="3" t="inlineStr">
        <is>
          <t>A 501(c)(12) mutual water company must collect at least 85 percent of its gross income from members (the member income share above). Figures are as filed on Part V line 11; the total and share are live formulas. Every figure's citation and confidence are on the Sources &amp; audit tab.</t>
        </is>
      </c>
    </row>
  </sheetData>
  <mergeCells count="5">
    <mergeCell ref="A2:F2"/>
    <mergeCell ref="A78:F78"/>
    <mergeCell ref="A1:F1"/>
    <mergeCell ref="A3:F3"/>
    <mergeCell ref="A69:F69"/>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30"/>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38" customWidth="1" min="1" max="1"/>
    <col width="15" customWidth="1" min="2" max="2"/>
    <col width="15" customWidth="1" min="3" max="3"/>
    <col width="15" customWidth="1" min="4" max="4"/>
    <col width="15" customWidth="1" min="5" max="5"/>
    <col width="15" customWidth="1" min="6" max="6"/>
  </cols>
  <sheetData>
    <row r="1">
      <c r="A1" s="1" t="inlineStr">
        <is>
          <t>Stockdale Annex Mutual Water Co</t>
        </is>
      </c>
    </row>
    <row r="2">
      <c r="A2" s="2" t="inlineStr">
        <is>
          <t>Balance Sheet - as reported (USD, end of year)</t>
        </is>
      </c>
    </row>
    <row r="3">
      <c r="A3" s="2" t="inlineStr">
        <is>
          <t>Entity ID: cawc_0143   |   Fiscal year ends December 31.</t>
        </is>
      </c>
    </row>
    <row r="5">
      <c r="A5" s="4" t="inlineStr">
        <is>
          <t>Line item</t>
        </is>
      </c>
      <c r="B5" s="5" t="inlineStr">
        <is>
          <t>FY2020</t>
        </is>
      </c>
      <c r="C5" s="5" t="inlineStr">
        <is>
          <t>FY2021</t>
        </is>
      </c>
      <c r="D5" s="5" t="inlineStr">
        <is>
          <t>FY2022</t>
        </is>
      </c>
      <c r="E5" s="5" t="inlineStr">
        <is>
          <t>FY2023</t>
        </is>
      </c>
      <c r="F5" s="5" t="inlineStr">
        <is>
          <t>FY2024</t>
        </is>
      </c>
    </row>
    <row r="6">
      <c r="A6" s="6" t="inlineStr">
        <is>
          <t>Assets</t>
        </is>
      </c>
      <c r="B6" s="7" t="n"/>
      <c r="C6" s="7" t="n"/>
      <c r="D6" s="7" t="n"/>
      <c r="E6" s="7" t="n"/>
      <c r="F6" s="7" t="n"/>
    </row>
    <row r="7">
      <c r="A7" s="8" t="inlineStr">
        <is>
          <t xml:space="preserve">    Cash</t>
        </is>
      </c>
      <c r="B7" s="9" t="n">
        <v>150977</v>
      </c>
      <c r="C7" s="9" t="n">
        <v>20509</v>
      </c>
      <c r="D7" s="9" t="n">
        <v>140393</v>
      </c>
      <c r="E7" s="9" t="n">
        <v>389241</v>
      </c>
      <c r="F7" s="9" t="n">
        <v>62889</v>
      </c>
    </row>
    <row r="8">
      <c r="A8" s="8" t="inlineStr">
        <is>
          <t xml:space="preserve">    Savings &amp; temporary investments</t>
        </is>
      </c>
      <c r="B8" s="9" t="n">
        <v>18418</v>
      </c>
      <c r="C8" s="9" t="n">
        <v>495956</v>
      </c>
      <c r="D8" s="9" t="n">
        <v>496169</v>
      </c>
      <c r="E8" s="9" t="n">
        <v>465754</v>
      </c>
      <c r="F8" s="9" t="n">
        <v>478980</v>
      </c>
    </row>
    <row r="9">
      <c r="A9" s="8" t="inlineStr">
        <is>
          <t xml:space="preserve">    Accounts receivable</t>
        </is>
      </c>
      <c r="B9" s="9" t="n">
        <v>4903</v>
      </c>
      <c r="C9" s="9" t="n">
        <v>5101</v>
      </c>
      <c r="D9" s="9" t="n">
        <v>4098</v>
      </c>
      <c r="E9" s="9" t="n">
        <v>837575</v>
      </c>
      <c r="F9" s="9" t="n">
        <v>2658</v>
      </c>
    </row>
    <row r="10">
      <c r="A10" s="8" t="inlineStr">
        <is>
          <t xml:space="preserve">    Inventories</t>
        </is>
      </c>
      <c r="B10" s="9" t="n"/>
      <c r="C10" s="9" t="n"/>
      <c r="D10" s="9" t="n"/>
      <c r="E10" s="9" t="n"/>
      <c r="F10" s="9" t="n"/>
    </row>
    <row r="11">
      <c r="A11" s="8" t="inlineStr">
        <is>
          <t xml:space="preserve">    Prepaid expenses</t>
        </is>
      </c>
      <c r="B11" s="9" t="n"/>
      <c r="C11" s="9" t="n"/>
      <c r="D11" s="9" t="n"/>
      <c r="E11" s="9" t="n"/>
      <c r="F11" s="9" t="n"/>
    </row>
    <row r="12">
      <c r="A12" s="8" t="inlineStr">
        <is>
          <t xml:space="preserve">    Property, plant &amp; equipment (gross)</t>
        </is>
      </c>
      <c r="B12" s="9" t="n">
        <v>339951</v>
      </c>
      <c r="C12" s="9" t="n">
        <v>531205</v>
      </c>
      <c r="D12" s="9" t="n">
        <v>559344</v>
      </c>
      <c r="E12" s="9" t="n">
        <v>641512</v>
      </c>
      <c r="F12" s="9" t="n">
        <v>2047286</v>
      </c>
    </row>
    <row r="13">
      <c r="A13" s="8" t="inlineStr">
        <is>
          <t xml:space="preserve">    Less: accumulated depreciation</t>
        </is>
      </c>
      <c r="B13" s="9" t="n">
        <v>-238082</v>
      </c>
      <c r="C13" s="9" t="n">
        <v>-254014</v>
      </c>
      <c r="D13" s="9" t="n">
        <v>-277315</v>
      </c>
      <c r="E13" s="9" t="n">
        <v>-303899</v>
      </c>
      <c r="F13" s="9" t="n">
        <v>-379773</v>
      </c>
    </row>
    <row r="14">
      <c r="A14" s="10" t="inlineStr">
        <is>
          <t xml:space="preserve">    Net property, plant &amp; equipment</t>
        </is>
      </c>
      <c r="B14" s="11" t="n">
        <v>101869</v>
      </c>
      <c r="C14" s="11" t="n">
        <v>277191</v>
      </c>
      <c r="D14" s="11" t="n">
        <v>282029</v>
      </c>
      <c r="E14" s="11" t="n">
        <v>337613</v>
      </c>
      <c r="F14" s="11" t="n">
        <v>1667513</v>
      </c>
    </row>
    <row r="15">
      <c r="A15" s="10" t="inlineStr">
        <is>
          <t>Total assets</t>
        </is>
      </c>
      <c r="B15" s="11" t="n">
        <v>731640</v>
      </c>
      <c r="C15" s="11" t="n">
        <v>806217</v>
      </c>
      <c r="D15" s="11" t="n">
        <v>930149</v>
      </c>
      <c r="E15" s="11" t="n">
        <v>2190801</v>
      </c>
      <c r="F15" s="11" t="n">
        <v>2219500</v>
      </c>
    </row>
    <row r="17">
      <c r="A17" s="6" t="inlineStr">
        <is>
          <t>Liabilities</t>
        </is>
      </c>
      <c r="B17" s="7" t="n"/>
      <c r="C17" s="7" t="n"/>
      <c r="D17" s="7" t="n"/>
      <c r="E17" s="7" t="n"/>
      <c r="F17" s="7" t="n"/>
    </row>
    <row r="18">
      <c r="A18" s="8" t="inlineStr">
        <is>
          <t xml:space="preserve">    Accounts payable</t>
        </is>
      </c>
      <c r="B18" s="9" t="n">
        <v>16507</v>
      </c>
      <c r="C18" s="9" t="n">
        <v>13576</v>
      </c>
      <c r="D18" s="9" t="n">
        <v>32186</v>
      </c>
      <c r="E18" s="9" t="n">
        <v>34254</v>
      </c>
      <c r="F18" s="9" t="n">
        <v>33394</v>
      </c>
    </row>
    <row r="19">
      <c r="A19" s="8" t="inlineStr">
        <is>
          <t xml:space="preserve">    Mortgages &amp; notes payable</t>
        </is>
      </c>
      <c r="B19" s="9" t="n"/>
      <c r="C19" s="9" t="n"/>
      <c r="D19" s="9" t="n"/>
      <c r="E19" s="9" t="n"/>
      <c r="F19" s="9" t="n"/>
    </row>
    <row r="20">
      <c r="A20" s="10" t="inlineStr">
        <is>
          <t>Total liabilities</t>
        </is>
      </c>
      <c r="B20" s="11" t="n">
        <v>35968</v>
      </c>
      <c r="C20" s="11" t="n">
        <v>39877</v>
      </c>
      <c r="D20" s="11" t="n">
        <v>56988</v>
      </c>
      <c r="E20" s="11" t="n">
        <v>53175</v>
      </c>
      <c r="F20" s="11" t="n">
        <v>50956</v>
      </c>
    </row>
    <row r="22">
      <c r="A22" s="6" t="inlineStr">
        <is>
          <t>Net Assets / Equity</t>
        </is>
      </c>
      <c r="B22" s="7" t="n"/>
      <c r="C22" s="7" t="n"/>
      <c r="D22" s="7" t="n"/>
      <c r="E22" s="7" t="n"/>
      <c r="F22" s="7" t="n"/>
    </row>
    <row r="23">
      <c r="A23" s="8" t="inlineStr">
        <is>
          <t xml:space="preserve">    Capital stock</t>
        </is>
      </c>
      <c r="B23" s="9" t="n">
        <v>28756</v>
      </c>
      <c r="C23" s="9" t="n"/>
      <c r="D23" s="9" t="n"/>
      <c r="E23" s="9" t="n"/>
      <c r="F23" s="9" t="n"/>
    </row>
    <row r="24">
      <c r="A24" s="8" t="inlineStr">
        <is>
          <t xml:space="preserve">    Paid-in capital</t>
        </is>
      </c>
      <c r="B24" s="9" t="n">
        <v>487329</v>
      </c>
      <c r="C24" s="9" t="n"/>
      <c r="D24" s="9" t="n"/>
      <c r="E24" s="9" t="n"/>
      <c r="F24" s="9" t="n"/>
    </row>
    <row r="25">
      <c r="A25" s="8" t="inlineStr">
        <is>
          <t xml:space="preserve">    Retained earnings</t>
        </is>
      </c>
      <c r="B25" s="9" t="n">
        <v>179587</v>
      </c>
      <c r="C25" s="9" t="n">
        <v>766340</v>
      </c>
      <c r="D25" s="9" t="n">
        <v>873161</v>
      </c>
      <c r="E25" s="9" t="n">
        <v>2137626</v>
      </c>
      <c r="F25" s="9" t="n">
        <v>2168544</v>
      </c>
    </row>
    <row r="26">
      <c r="A26" s="10" t="inlineStr">
        <is>
          <t>Net assets</t>
        </is>
      </c>
      <c r="B26" s="11" t="n">
        <v>695672</v>
      </c>
      <c r="C26" s="11" t="n">
        <v>766340</v>
      </c>
      <c r="D26" s="11" t="n">
        <v>873161</v>
      </c>
      <c r="E26" s="11" t="n">
        <v>2137626</v>
      </c>
      <c r="F26" s="11" t="n">
        <v>2168544</v>
      </c>
    </row>
    <row r="28">
      <c r="A28" s="8" t="inlineStr">
        <is>
          <t>Balance check (assets − liab. − net assets)</t>
        </is>
      </c>
      <c r="B28" s="9" t="n">
        <v>0</v>
      </c>
      <c r="C28" s="9" t="n">
        <v>0</v>
      </c>
      <c r="D28" s="9" t="n">
        <v>0</v>
      </c>
      <c r="E28" s="9" t="n">
        <v>0</v>
      </c>
      <c r="F28" s="9" t="n">
        <v>0</v>
      </c>
    </row>
    <row r="30" ht="42" customHeight="1">
      <c r="A30" s="3" t="inlineStr">
        <is>
          <t>Net PP&amp;E is the reported ppe_net column (gross less accumulated depreciation). The balance check should be ~0 where all three totals are reported; a non-zero value flags a reporting or extraction discrepancy worth reviewing.</t>
        </is>
      </c>
    </row>
  </sheetData>
  <mergeCells count="4">
    <mergeCell ref="A3:F3"/>
    <mergeCell ref="A2:F2"/>
    <mergeCell ref="A1:F1"/>
    <mergeCell ref="A30:F30"/>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16"/>
  <sheetViews>
    <sheetView workbookViewId="0">
      <pane ySplit="5" topLeftCell="A6" activePane="bottomLeft" state="frozen"/>
      <selection pane="bottomLeft" activeCell="A1" sqref="A1"/>
    </sheetView>
  </sheetViews>
  <sheetFormatPr baseColWidth="8" defaultRowHeight="15"/>
  <cols>
    <col width="34" customWidth="1" min="1" max="1"/>
    <col width="18" customWidth="1" min="2" max="2"/>
    <col width="18" customWidth="1" min="3" max="3"/>
    <col width="18" customWidth="1" min="4" max="4"/>
    <col width="18" customWidth="1" min="5" max="5"/>
    <col width="18" customWidth="1" min="6" max="6"/>
  </cols>
  <sheetData>
    <row r="1">
      <c r="A1" s="1" t="inlineStr">
        <is>
          <t>Stockdale Annex Mutual Water Co</t>
        </is>
      </c>
    </row>
    <row r="2">
      <c r="A2" s="2" t="inlineStr">
        <is>
          <t>Officers, Directors &amp; Contractors - Form 990 Part VII (FY2024; USD)</t>
        </is>
      </c>
    </row>
    <row r="3">
      <c r="A3" s="2" t="inlineStr">
        <is>
          <t>Entity ID: cawc_0143   |   Fiscal year ends December 31.</t>
        </is>
      </c>
    </row>
    <row r="5">
      <c r="A5" s="6" t="inlineStr">
        <is>
          <t>Section A - Officers, directors, trustees, key employees</t>
        </is>
      </c>
      <c r="B5" s="7" t="n"/>
      <c r="C5" s="7" t="n"/>
      <c r="D5" s="7" t="n"/>
      <c r="E5" s="7" t="n"/>
      <c r="F5" s="7" t="n"/>
    </row>
    <row r="6">
      <c r="A6" s="5" t="inlineStr">
        <is>
          <t>Name</t>
        </is>
      </c>
      <c r="B6" s="5" t="inlineStr">
        <is>
          <t>Title</t>
        </is>
      </c>
      <c r="C6" s="5" t="inlineStr">
        <is>
          <t>Reportable comp (org)</t>
        </is>
      </c>
      <c r="D6" s="5" t="inlineStr">
        <is>
          <t>Reportable comp (related)</t>
        </is>
      </c>
      <c r="E6" s="5" t="inlineStr">
        <is>
          <t>Other comp</t>
        </is>
      </c>
      <c r="F6" s="5" t="inlineStr">
        <is>
          <t>Total compensation</t>
        </is>
      </c>
    </row>
    <row r="7">
      <c r="A7" s="8" t="inlineStr">
        <is>
          <t>Scott Spitzer</t>
        </is>
      </c>
      <c r="B7" s="8" t="inlineStr">
        <is>
          <t>Director</t>
        </is>
      </c>
      <c r="C7" s="9" t="n">
        <v>0</v>
      </c>
      <c r="D7" s="9" t="n">
        <v>0</v>
      </c>
      <c r="E7" s="9" t="n">
        <v>0</v>
      </c>
      <c r="F7" s="9" t="n">
        <v>0</v>
      </c>
    </row>
    <row r="8">
      <c r="A8" s="8" t="inlineStr">
        <is>
          <t>Chad Brock</t>
        </is>
      </c>
      <c r="B8" s="8" t="inlineStr">
        <is>
          <t>Director</t>
        </is>
      </c>
      <c r="C8" s="9" t="n">
        <v>0</v>
      </c>
      <c r="D8" s="9" t="n">
        <v>0</v>
      </c>
      <c r="E8" s="9" t="n">
        <v>0</v>
      </c>
      <c r="F8" s="9" t="n">
        <v>0</v>
      </c>
    </row>
    <row r="9">
      <c r="A9" s="8" t="inlineStr">
        <is>
          <t>Christopher D Jacobs</t>
        </is>
      </c>
      <c r="B9" s="8" t="inlineStr">
        <is>
          <t>PresidentCEO</t>
        </is>
      </c>
      <c r="C9" s="9" t="n">
        <v>0</v>
      </c>
      <c r="D9" s="9" t="n">
        <v>0</v>
      </c>
      <c r="E9" s="9" t="n">
        <v>0</v>
      </c>
      <c r="F9" s="9" t="n">
        <v>0</v>
      </c>
    </row>
    <row r="10">
      <c r="A10" s="8" t="inlineStr">
        <is>
          <t>Michael Ming</t>
        </is>
      </c>
      <c r="B10" s="8" t="inlineStr">
        <is>
          <t>Vice President</t>
        </is>
      </c>
      <c r="C10" s="9" t="n">
        <v>0</v>
      </c>
      <c r="D10" s="9" t="n">
        <v>0</v>
      </c>
      <c r="E10" s="9" t="n">
        <v>0</v>
      </c>
      <c r="F10" s="9" t="n">
        <v>0</v>
      </c>
    </row>
    <row r="11">
      <c r="A11" s="8" t="inlineStr">
        <is>
          <t>Brian Grant</t>
        </is>
      </c>
      <c r="B11" s="8" t="inlineStr">
        <is>
          <t>SecretaryCFO</t>
        </is>
      </c>
      <c r="C11" s="9" t="n">
        <v>0</v>
      </c>
      <c r="D11" s="9" t="n">
        <v>0</v>
      </c>
      <c r="E11" s="9" t="n">
        <v>0</v>
      </c>
      <c r="F11" s="9" t="n">
        <v>0</v>
      </c>
    </row>
    <row r="13">
      <c r="A13" s="6" t="inlineStr">
        <is>
          <t>Section B - Independent contractors (over $100,000)</t>
        </is>
      </c>
      <c r="B13" s="7" t="n"/>
      <c r="C13" s="7" t="n"/>
      <c r="D13" s="7" t="n"/>
      <c r="E13" s="7" t="n"/>
      <c r="F13" s="7" t="n"/>
    </row>
    <row r="14">
      <c r="A14" s="5" t="inlineStr">
        <is>
          <t>Contractor</t>
        </is>
      </c>
      <c r="B14" s="5" t="inlineStr">
        <is>
          <t>Services</t>
        </is>
      </c>
      <c r="C14" s="5" t="inlineStr">
        <is>
          <t>Compensation</t>
        </is>
      </c>
    </row>
    <row r="16" ht="42" customHeight="1">
      <c r="A16" s="3" t="inlineStr">
        <is>
          <t>Section A lists every officer, director, trustee and key employee filed for the latest year; the two with the highest total compensation are highlighted. Total compensation is computed (reportable org + related + other). Section B lists each independent contractor paid over $100,000; the return reports None such contractor(s). Source and confidence for every figure are on the Sources &amp; audit tab.</t>
        </is>
      </c>
    </row>
  </sheetData>
  <mergeCells count="4">
    <mergeCell ref="A3:F3"/>
    <mergeCell ref="A2:F2"/>
    <mergeCell ref="A16:F16"/>
    <mergeCell ref="A1:F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19"/>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46" customWidth="1" min="1" max="1"/>
    <col width="15" customWidth="1" min="2" max="2"/>
    <col width="15" customWidth="1" min="3" max="3"/>
    <col width="15" customWidth="1" min="4" max="4"/>
    <col width="15" customWidth="1" min="5" max="5"/>
    <col width="15" customWidth="1" min="6" max="6"/>
  </cols>
  <sheetData>
    <row r="1">
      <c r="A1" s="1" t="inlineStr">
        <is>
          <t>Stockdale Annex Mutual Water Co</t>
        </is>
      </c>
    </row>
    <row r="2">
      <c r="A2" s="2" t="inlineStr">
        <is>
          <t>Revenue - Form 990 Part VIII (USD)</t>
        </is>
      </c>
    </row>
    <row r="3">
      <c r="A3" s="2" t="inlineStr">
        <is>
          <t>Entity ID: cawc_0143   |   Fiscal year ends December 31.</t>
        </is>
      </c>
    </row>
    <row r="5">
      <c r="A5" s="4" t="inlineStr">
        <is>
          <t>Part VIII line</t>
        </is>
      </c>
      <c r="B5" s="5" t="inlineStr">
        <is>
          <t>FY2020</t>
        </is>
      </c>
      <c r="C5" s="5" t="inlineStr">
        <is>
          <t>FY2021</t>
        </is>
      </c>
      <c r="D5" s="5" t="inlineStr">
        <is>
          <t>FY2022</t>
        </is>
      </c>
      <c r="E5" s="5" t="inlineStr">
        <is>
          <t>FY2023</t>
        </is>
      </c>
      <c r="F5" s="5" t="inlineStr">
        <is>
          <t>FY2024</t>
        </is>
      </c>
    </row>
    <row r="6">
      <c r="A6" s="6" t="inlineStr">
        <is>
          <t>Revenue by category</t>
        </is>
      </c>
      <c r="B6" s="7" t="n"/>
      <c r="C6" s="7" t="n"/>
      <c r="D6" s="7" t="n"/>
      <c r="E6" s="7" t="n"/>
      <c r="F6" s="7" t="n"/>
    </row>
    <row r="7">
      <c r="A7" s="8" t="inlineStr">
        <is>
          <t xml:space="preserve">    1h. Total contributions, gifts, grants</t>
        </is>
      </c>
      <c r="B7" s="17" t="inlineStr">
        <is>
          <t>not reported</t>
        </is>
      </c>
      <c r="C7" s="17" t="inlineStr">
        <is>
          <t>not reported</t>
        </is>
      </c>
      <c r="D7" s="17" t="inlineStr">
        <is>
          <t>not reported</t>
        </is>
      </c>
      <c r="E7" s="17" t="inlineStr">
        <is>
          <t>not reported</t>
        </is>
      </c>
      <c r="F7" s="17" t="inlineStr">
        <is>
          <t>not reported</t>
        </is>
      </c>
    </row>
    <row r="8">
      <c r="A8" s="8" t="inlineStr">
        <is>
          <t xml:space="preserve">    2g. Total program service revenue</t>
        </is>
      </c>
      <c r="B8" s="9" t="n">
        <v>143360</v>
      </c>
      <c r="C8" s="9" t="n">
        <v>225770</v>
      </c>
      <c r="D8" s="9" t="n">
        <v>251735</v>
      </c>
      <c r="E8" s="9" t="n">
        <v>1450503</v>
      </c>
      <c r="F8" s="9" t="n">
        <v>251967</v>
      </c>
    </row>
    <row r="9">
      <c r="A9" s="8" t="inlineStr">
        <is>
          <t xml:space="preserve">    3. Investment income</t>
        </is>
      </c>
      <c r="B9" s="9" t="n">
        <v>141</v>
      </c>
      <c r="C9" s="9" t="n">
        <v>92</v>
      </c>
      <c r="D9" s="9" t="n">
        <v>214</v>
      </c>
      <c r="E9" s="9" t="n">
        <v>5805</v>
      </c>
      <c r="F9" s="9" t="n">
        <v>13986</v>
      </c>
    </row>
    <row r="10">
      <c r="A10" s="8" t="inlineStr">
        <is>
          <t xml:space="preserve">    6d. Net rental income</t>
        </is>
      </c>
      <c r="B10" s="17" t="inlineStr">
        <is>
          <t>not reported</t>
        </is>
      </c>
      <c r="C10" s="17" t="inlineStr">
        <is>
          <t>not reported</t>
        </is>
      </c>
      <c r="D10" s="17" t="inlineStr">
        <is>
          <t>not reported</t>
        </is>
      </c>
      <c r="E10" s="17" t="inlineStr">
        <is>
          <t>not reported</t>
        </is>
      </c>
      <c r="F10" s="17" t="inlineStr">
        <is>
          <t>not reported</t>
        </is>
      </c>
    </row>
    <row r="11">
      <c r="A11" s="8" t="inlineStr">
        <is>
          <t xml:space="preserve">    7d. Net gain/(loss) from investment sales</t>
        </is>
      </c>
      <c r="B11" s="17" t="inlineStr">
        <is>
          <t>not reported</t>
        </is>
      </c>
      <c r="C11" s="17" t="inlineStr">
        <is>
          <t>not reported</t>
        </is>
      </c>
      <c r="D11" s="17" t="inlineStr">
        <is>
          <t>not reported</t>
        </is>
      </c>
      <c r="E11" s="17" t="inlineStr">
        <is>
          <t>not reported</t>
        </is>
      </c>
      <c r="F11" s="17" t="inlineStr">
        <is>
          <t>not reported</t>
        </is>
      </c>
    </row>
    <row r="12">
      <c r="A12" s="8" t="inlineStr">
        <is>
          <t xml:space="preserve">    11e. Other revenue</t>
        </is>
      </c>
      <c r="B12" s="9" t="n">
        <v>980</v>
      </c>
      <c r="C12" s="9" t="n">
        <v>775</v>
      </c>
      <c r="D12" s="9" t="n">
        <v>1891</v>
      </c>
      <c r="E12" s="9" t="n">
        <v>1850</v>
      </c>
      <c r="F12" s="9" t="n">
        <v>3866</v>
      </c>
    </row>
    <row r="13">
      <c r="A13" s="10" t="inlineStr">
        <is>
          <t>12. Total revenue</t>
        </is>
      </c>
      <c r="B13" s="11">
        <f>SUM(B7:B12)</f>
        <v/>
      </c>
      <c r="C13" s="11">
        <f>SUM(C7:C12)</f>
        <v/>
      </c>
      <c r="D13" s="11">
        <f>SUM(D7:D12)</f>
        <v/>
      </c>
      <c r="E13" s="11">
        <f>SUM(E7:E12)</f>
        <v/>
      </c>
      <c r="F13" s="11">
        <f>SUM(F7:F12)</f>
        <v/>
      </c>
    </row>
    <row r="15">
      <c r="A15" s="6" t="inlineStr">
        <is>
          <t>Program service revenue detail - FY2024 (lines 2a-2f)</t>
        </is>
      </c>
      <c r="B15" s="7" t="n"/>
      <c r="C15" s="7" t="n"/>
      <c r="D15" s="7" t="n"/>
      <c r="E15" s="7" t="n"/>
      <c r="F15" s="7" t="n"/>
    </row>
    <row r="16">
      <c r="A16" s="5" t="inlineStr">
        <is>
          <t>Description</t>
        </is>
      </c>
      <c r="B16" s="5" t="inlineStr">
        <is>
          <t>Business code</t>
        </is>
      </c>
      <c r="C16" s="5" t="inlineStr">
        <is>
          <t>Total revenue</t>
        </is>
      </c>
    </row>
    <row r="17">
      <c r="A17" s="8" t="inlineStr">
        <is>
          <t>Water Service</t>
        </is>
      </c>
      <c r="B17" s="8" t="inlineStr">
        <is>
          <t>221000</t>
        </is>
      </c>
      <c r="C17" s="9" t="n">
        <v>152290</v>
      </c>
    </row>
    <row r="18">
      <c r="A18" s="8" t="inlineStr">
        <is>
          <t>Member Assessment</t>
        </is>
      </c>
      <c r="B18" s="8" t="inlineStr">
        <is>
          <t>221000</t>
        </is>
      </c>
      <c r="C18" s="9" t="n">
        <v>99677</v>
      </c>
    </row>
    <row r="19" ht="42" customHeight="1">
      <c r="A19" s="3" t="inlineStr">
        <is>
          <t>Revenue category subtotals are as filed. Total revenue (line 12) is a live SUM of the category cells above; its tie-out to the filed total is on the Sources &amp; audit tab. Program service revenue detail is shown for the latest year, with its sum-to-line-2g check on that same audit tab.</t>
        </is>
      </c>
    </row>
  </sheetData>
  <mergeCells count="4">
    <mergeCell ref="A3:F3"/>
    <mergeCell ref="A2:F2"/>
    <mergeCell ref="A19:F19"/>
    <mergeCell ref="A1:F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29"/>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52" customWidth="1" min="1" max="1"/>
    <col width="16" customWidth="1" min="2" max="2"/>
    <col width="16" customWidth="1" min="3" max="3"/>
    <col width="16" customWidth="1" min="4" max="4"/>
    <col width="16" customWidth="1" min="5" max="5"/>
    <col width="16" customWidth="1" min="6" max="6"/>
  </cols>
  <sheetData>
    <row r="1">
      <c r="A1" s="1" t="inlineStr">
        <is>
          <t>Stockdale Annex Mutual Water Co</t>
        </is>
      </c>
    </row>
    <row r="2">
      <c r="A2" s="2" t="inlineStr">
        <is>
          <t>Statement of Functional Expenses - Form 990 Part IX (USD)</t>
        </is>
      </c>
    </row>
    <row r="3">
      <c r="A3" s="2" t="inlineStr">
        <is>
          <t>Entity ID: cawc_0143   |   Fiscal year ends December 31.</t>
        </is>
      </c>
    </row>
    <row r="5">
      <c r="A5" s="4" t="inlineStr">
        <is>
          <t>Part IX line (column A Total)</t>
        </is>
      </c>
      <c r="B5" s="5" t="inlineStr">
        <is>
          <t>FY2020</t>
        </is>
      </c>
      <c r="C5" s="5" t="inlineStr">
        <is>
          <t>FY2021</t>
        </is>
      </c>
      <c r="D5" s="5" t="inlineStr">
        <is>
          <t>FY2022</t>
        </is>
      </c>
      <c r="E5" s="5" t="inlineStr">
        <is>
          <t>FY2023</t>
        </is>
      </c>
      <c r="F5" s="5" t="inlineStr">
        <is>
          <t>FY2024</t>
        </is>
      </c>
    </row>
    <row r="6">
      <c r="A6" s="6" t="inlineStr">
        <is>
          <t>Functional expenses, column A Total - by year</t>
        </is>
      </c>
      <c r="B6" s="7" t="n"/>
      <c r="C6" s="7" t="n"/>
      <c r="D6" s="7" t="n"/>
      <c r="E6" s="7" t="n"/>
      <c r="F6" s="7" t="n"/>
    </row>
    <row r="7">
      <c r="A7" s="8" t="inlineStr">
        <is>
          <t xml:space="preserve">    11a. Fees for services: management</t>
        </is>
      </c>
      <c r="B7" s="9" t="n">
        <v>12000</v>
      </c>
      <c r="C7" s="9" t="n">
        <v>12000</v>
      </c>
      <c r="D7" s="9" t="n">
        <v>12000</v>
      </c>
      <c r="E7" s="9" t="n">
        <v>14300</v>
      </c>
      <c r="F7" s="9" t="n">
        <v>13200</v>
      </c>
    </row>
    <row r="8">
      <c r="A8" s="8" t="inlineStr">
        <is>
          <t xml:space="preserve">    11b. Fees for services: legal</t>
        </is>
      </c>
      <c r="B8" s="9" t="n">
        <v>7434</v>
      </c>
      <c r="C8" s="9" t="n">
        <v>880</v>
      </c>
      <c r="D8" s="9" t="n">
        <v>4703</v>
      </c>
      <c r="E8" s="9" t="n">
        <v>4386</v>
      </c>
      <c r="F8" s="9" t="n">
        <v>20582</v>
      </c>
    </row>
    <row r="9">
      <c r="A9" s="8" t="inlineStr">
        <is>
          <t xml:space="preserve">    11c. Fees for services: accounting</t>
        </is>
      </c>
      <c r="B9" s="9" t="n">
        <v>4495</v>
      </c>
      <c r="C9" s="9" t="n">
        <v>5286</v>
      </c>
      <c r="D9" s="9" t="n">
        <v>4646</v>
      </c>
      <c r="E9" s="9" t="n">
        <v>3733</v>
      </c>
      <c r="F9" s="9" t="n">
        <v>3672</v>
      </c>
    </row>
    <row r="10">
      <c r="A10" s="8" t="inlineStr">
        <is>
          <t xml:space="preserve">    11g. Fees for services: other</t>
        </is>
      </c>
      <c r="B10" s="9" t="n">
        <v>3415</v>
      </c>
      <c r="C10" s="9" t="n">
        <v>10747</v>
      </c>
      <c r="D10" s="9" t="n">
        <v>4945</v>
      </c>
      <c r="E10" s="9" t="n">
        <v>15879</v>
      </c>
      <c r="F10" s="17" t="inlineStr">
        <is>
          <t>not reported</t>
        </is>
      </c>
    </row>
    <row r="11">
      <c r="A11" s="8" t="inlineStr">
        <is>
          <t xml:space="preserve">    22. Depreciation, depletion, and amortization</t>
        </is>
      </c>
      <c r="B11" s="9" t="n">
        <v>8683</v>
      </c>
      <c r="C11" s="9" t="n">
        <v>16199</v>
      </c>
      <c r="D11" s="9" t="n">
        <v>23301</v>
      </c>
      <c r="E11" s="9" t="n">
        <v>26584</v>
      </c>
      <c r="F11" s="9" t="n">
        <v>75874</v>
      </c>
    </row>
    <row r="12">
      <c r="A12" s="8" t="inlineStr">
        <is>
          <t xml:space="preserve">    23. Insurance</t>
        </is>
      </c>
      <c r="B12" s="9" t="n">
        <v>4346</v>
      </c>
      <c r="C12" s="9" t="n">
        <v>4527</v>
      </c>
      <c r="D12" s="9" t="n">
        <v>4912</v>
      </c>
      <c r="E12" s="9" t="n">
        <v>5345</v>
      </c>
      <c r="F12" s="9" t="n">
        <v>6029</v>
      </c>
    </row>
    <row r="13">
      <c r="A13" s="8" t="inlineStr">
        <is>
          <t xml:space="preserve">    24. Repairs &amp; Maintenance</t>
        </is>
      </c>
      <c r="B13" s="9" t="n">
        <v>37456</v>
      </c>
      <c r="C13" s="9" t="n">
        <v>50383</v>
      </c>
      <c r="D13" s="9" t="n">
        <v>27132</v>
      </c>
      <c r="E13" s="9" t="n">
        <v>52502</v>
      </c>
      <c r="F13" s="9" t="n">
        <v>44615</v>
      </c>
    </row>
    <row r="14">
      <c r="A14" s="8" t="inlineStr">
        <is>
          <t xml:space="preserve">    24. Utilities</t>
        </is>
      </c>
      <c r="B14" s="9" t="n">
        <v>40652</v>
      </c>
      <c r="C14" s="9" t="n">
        <v>41145</v>
      </c>
      <c r="D14" s="9" t="n">
        <v>49287</v>
      </c>
      <c r="E14" s="9" t="n">
        <v>48571</v>
      </c>
      <c r="F14" s="9" t="n">
        <v>60981</v>
      </c>
    </row>
    <row r="15">
      <c r="A15" s="8" t="inlineStr">
        <is>
          <t xml:space="preserve">    24. Goverment Assessments</t>
        </is>
      </c>
      <c r="B15" s="9" t="n">
        <v>9612</v>
      </c>
      <c r="C15" s="9" t="n">
        <v>9800</v>
      </c>
      <c r="D15" s="9" t="n">
        <v>12163</v>
      </c>
      <c r="E15" s="9" t="n">
        <v>17701</v>
      </c>
      <c r="F15" s="9" t="n">
        <v>7115</v>
      </c>
    </row>
    <row r="16">
      <c r="A16" s="8" t="inlineStr">
        <is>
          <t xml:space="preserve">    24. Permits Licenses &amp; Fees</t>
        </is>
      </c>
      <c r="B16" s="9" t="n">
        <v>1087</v>
      </c>
      <c r="C16" s="9" t="n">
        <v>1883</v>
      </c>
      <c r="D16" s="9" t="n">
        <v>1336</v>
      </c>
      <c r="E16" s="9" t="n">
        <v>1529</v>
      </c>
      <c r="F16" s="9" t="n">
        <v>626</v>
      </c>
    </row>
    <row r="17">
      <c r="A17" s="8" t="inlineStr">
        <is>
          <t xml:space="preserve">    24e. All other expenses</t>
        </is>
      </c>
      <c r="B17" s="9" t="n">
        <v>3811</v>
      </c>
      <c r="C17" s="9" t="n">
        <v>3124</v>
      </c>
      <c r="D17" s="9" t="n">
        <v>2594</v>
      </c>
      <c r="E17" s="9" t="n">
        <v>3157</v>
      </c>
      <c r="F17" s="9" t="n">
        <v>6211</v>
      </c>
    </row>
    <row r="18">
      <c r="A18" s="10" t="inlineStr">
        <is>
          <t>25. Total functional expenses</t>
        </is>
      </c>
      <c r="B18" s="11">
        <f>SUM(B7:B17)</f>
        <v/>
      </c>
      <c r="C18" s="11">
        <f>SUM(C7:C17)</f>
        <v/>
      </c>
      <c r="D18" s="11">
        <f>SUM(D7:D17)</f>
        <v/>
      </c>
      <c r="E18" s="11">
        <f>SUM(E7:E17)</f>
        <v/>
      </c>
      <c r="F18" s="11">
        <f>SUM(F7:F17)</f>
        <v/>
      </c>
    </row>
    <row r="20">
      <c r="A20" s="6" t="inlineStr">
        <is>
          <t>Functional column split - FY2024 (col A = B + C + D)</t>
        </is>
      </c>
      <c r="B20" s="7" t="n"/>
      <c r="C20" s="7" t="n"/>
      <c r="D20" s="7" t="n"/>
      <c r="E20" s="7" t="n"/>
      <c r="F20" s="7" t="n"/>
    </row>
    <row r="21">
      <c r="A21" s="5" t="inlineStr">
        <is>
          <t>Part IX line</t>
        </is>
      </c>
      <c r="B21" s="5" t="inlineStr">
        <is>
          <t>A. Total</t>
        </is>
      </c>
      <c r="C21" s="5" t="inlineStr">
        <is>
          <t>B. Program services</t>
        </is>
      </c>
      <c r="D21" s="5" t="inlineStr">
        <is>
          <t>C. Management &amp; general</t>
        </is>
      </c>
      <c r="E21" s="5" t="inlineStr">
        <is>
          <t>D. Fundraising</t>
        </is>
      </c>
    </row>
    <row r="22">
      <c r="A22" s="18" t="inlineStr">
        <is>
          <t>11a. Fees for services: management</t>
        </is>
      </c>
      <c r="B22" s="9" t="n">
        <v>13200</v>
      </c>
      <c r="C22" s="9" t="n">
        <v>13200</v>
      </c>
      <c r="D22" s="9" t="n"/>
      <c r="E22" s="9" t="n"/>
    </row>
    <row r="23">
      <c r="A23" s="18" t="inlineStr">
        <is>
          <t>11b. Fees for services: legal</t>
        </is>
      </c>
      <c r="B23" s="9" t="n">
        <v>20582</v>
      </c>
      <c r="C23" s="9" t="n">
        <v>20582</v>
      </c>
      <c r="D23" s="9" t="n"/>
      <c r="E23" s="9" t="n"/>
    </row>
    <row r="24">
      <c r="A24" s="18" t="inlineStr">
        <is>
          <t>11c. Fees for services: accounting</t>
        </is>
      </c>
      <c r="B24" s="9" t="n">
        <v>3672</v>
      </c>
      <c r="C24" s="9" t="n">
        <v>3672</v>
      </c>
      <c r="D24" s="9" t="n"/>
      <c r="E24" s="9" t="n"/>
    </row>
    <row r="25">
      <c r="A25" s="18" t="inlineStr">
        <is>
          <t>22. Depreciation, depletion, and amortization</t>
        </is>
      </c>
      <c r="B25" s="9" t="n">
        <v>75874</v>
      </c>
      <c r="C25" s="9" t="n">
        <v>75874</v>
      </c>
      <c r="D25" s="9" t="n"/>
      <c r="E25" s="9" t="n"/>
    </row>
    <row r="26">
      <c r="A26" s="18" t="inlineStr">
        <is>
          <t>23. Insurance</t>
        </is>
      </c>
      <c r="B26" s="9" t="n">
        <v>6029</v>
      </c>
      <c r="C26" s="9" t="n">
        <v>6029</v>
      </c>
      <c r="D26" s="9" t="n"/>
      <c r="E26" s="9" t="n"/>
    </row>
    <row r="27">
      <c r="A27" s="10" t="inlineStr">
        <is>
          <t>25. Total (filed col A / B / C / D)</t>
        </is>
      </c>
      <c r="B27" s="11" t="n">
        <v>238905</v>
      </c>
      <c r="C27" s="11" t="n">
        <v>238905</v>
      </c>
      <c r="D27" s="11" t="n">
        <v>0</v>
      </c>
      <c r="E27" s="11" t="n">
        <v>0</v>
      </c>
    </row>
    <row r="29" ht="42" customHeight="1">
      <c r="A29" s="3" t="inlineStr">
        <is>
          <t>Top block: each Part IX line, column A (Total), by year, as filed. Total functional expenses (line 25) is a live SUM of the line cells; its tie-out to the filed total is on the Sources &amp; audit tab. Filer-itemized 24a-24d rows show the most recent year's as-filed wording; rows are aligned across years case-insensitively with collapsed spacing, so a line filed only in a different capitalization or spacing shares one row, while genuinely different wording stays a separate row (every as-filed variant is recorded on the Sources &amp; audit tab). Lower block: the program / management / fundraising split for the latest year, with its col A = B + C + D check on the audit tab. Lines this filer does not report are omitted rather than shown empty.</t>
        </is>
      </c>
    </row>
  </sheetData>
  <mergeCells count="4">
    <mergeCell ref="A3:F3"/>
    <mergeCell ref="A2:F2"/>
    <mergeCell ref="A1:F1"/>
    <mergeCell ref="A29:F29"/>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25"/>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52" customWidth="1" min="1" max="1"/>
    <col width="15" customWidth="1" min="2" max="2"/>
    <col width="15" customWidth="1" min="3" max="3"/>
    <col width="15" customWidth="1" min="4" max="4"/>
    <col width="15" customWidth="1" min="5" max="5"/>
    <col width="15" customWidth="1" min="6" max="6"/>
  </cols>
  <sheetData>
    <row r="1">
      <c r="A1" s="1" t="inlineStr">
        <is>
          <t>Stockdale Annex Mutual Water Co</t>
        </is>
      </c>
    </row>
    <row r="2">
      <c r="A2" s="2" t="inlineStr">
        <is>
          <t>Balance Sheet - Form 990 Part X (end of year, USD)</t>
        </is>
      </c>
    </row>
    <row r="3">
      <c r="A3" s="2" t="inlineStr">
        <is>
          <t>Entity ID: cawc_0143   |   Fiscal year ends December 31.</t>
        </is>
      </c>
    </row>
    <row r="5">
      <c r="A5" s="4" t="inlineStr">
        <is>
          <t>Part X line (column B, EOY)</t>
        </is>
      </c>
      <c r="B5" s="5" t="inlineStr">
        <is>
          <t>FY2020</t>
        </is>
      </c>
      <c r="C5" s="5" t="inlineStr">
        <is>
          <t>FY2021</t>
        </is>
      </c>
      <c r="D5" s="5" t="inlineStr">
        <is>
          <t>FY2022</t>
        </is>
      </c>
      <c r="E5" s="5" t="inlineStr">
        <is>
          <t>FY2023</t>
        </is>
      </c>
      <c r="F5" s="5" t="inlineStr">
        <is>
          <t>FY2024</t>
        </is>
      </c>
    </row>
    <row r="6">
      <c r="A6" s="6" t="inlineStr">
        <is>
          <t>Assets</t>
        </is>
      </c>
      <c r="B6" s="7" t="n"/>
      <c r="C6" s="7" t="n"/>
      <c r="D6" s="7" t="n"/>
      <c r="E6" s="7" t="n"/>
      <c r="F6" s="7" t="n"/>
    </row>
    <row r="7">
      <c r="A7" s="8" t="inlineStr">
        <is>
          <t xml:space="preserve">    1. Cash - non-interest-bearing</t>
        </is>
      </c>
      <c r="B7" s="9" t="n">
        <v>150977</v>
      </c>
      <c r="C7" s="9" t="n">
        <v>20509</v>
      </c>
      <c r="D7" s="9" t="n">
        <v>140393</v>
      </c>
      <c r="E7" s="9" t="n">
        <v>389241</v>
      </c>
      <c r="F7" s="9" t="n">
        <v>62889</v>
      </c>
    </row>
    <row r="8">
      <c r="A8" s="8" t="inlineStr">
        <is>
          <t xml:space="preserve">    2. Savings and temporary cash investments</t>
        </is>
      </c>
      <c r="B8" s="9" t="n">
        <v>18418</v>
      </c>
      <c r="C8" s="9" t="n">
        <v>495956</v>
      </c>
      <c r="D8" s="9" t="n">
        <v>496169</v>
      </c>
      <c r="E8" s="9" t="n">
        <v>465754</v>
      </c>
      <c r="F8" s="9" t="n">
        <v>478980</v>
      </c>
    </row>
    <row r="9">
      <c r="A9" s="8" t="inlineStr">
        <is>
          <t xml:space="preserve">    4. Accounts receivable, net</t>
        </is>
      </c>
      <c r="B9" s="9" t="n">
        <v>4903</v>
      </c>
      <c r="C9" s="9" t="n">
        <v>5101</v>
      </c>
      <c r="D9" s="9" t="n">
        <v>4098</v>
      </c>
      <c r="E9" s="9" t="n">
        <v>837575</v>
      </c>
      <c r="F9" s="9" t="n">
        <v>2658</v>
      </c>
    </row>
    <row r="10">
      <c r="A10" s="8" t="inlineStr">
        <is>
          <t xml:space="preserve">    10c. Land, buildings, and equipment, net</t>
        </is>
      </c>
      <c r="B10" s="9" t="n">
        <v>101869</v>
      </c>
      <c r="C10" s="9" t="n">
        <v>277191</v>
      </c>
      <c r="D10" s="9" t="n">
        <v>282029</v>
      </c>
      <c r="E10" s="9" t="n">
        <v>337613</v>
      </c>
      <c r="F10" s="9" t="n">
        <v>1667513</v>
      </c>
    </row>
    <row r="11">
      <c r="A11" s="8" t="inlineStr">
        <is>
          <t xml:space="preserve">    15. Other assets</t>
        </is>
      </c>
      <c r="B11" s="9" t="n">
        <v>455473</v>
      </c>
      <c r="C11" s="9" t="n">
        <v>7460</v>
      </c>
      <c r="D11" s="9" t="n">
        <v>7460</v>
      </c>
      <c r="E11" s="9" t="n">
        <v>160618</v>
      </c>
      <c r="F11" s="9" t="n">
        <v>7460</v>
      </c>
    </row>
    <row r="12">
      <c r="A12" s="10" t="inlineStr">
        <is>
          <t>16. Total assets</t>
        </is>
      </c>
      <c r="B12" s="11">
        <f>SUM(B7:B11)</f>
        <v/>
      </c>
      <c r="C12" s="11">
        <f>SUM(C7:C11)</f>
        <v/>
      </c>
      <c r="D12" s="11">
        <f>SUM(D7:D11)</f>
        <v/>
      </c>
      <c r="E12" s="11">
        <f>SUM(E7:E11)</f>
        <v/>
      </c>
      <c r="F12" s="11">
        <f>SUM(F7:F11)</f>
        <v/>
      </c>
    </row>
    <row r="14">
      <c r="A14" s="6" t="inlineStr">
        <is>
          <t>Liabilities</t>
        </is>
      </c>
      <c r="B14" s="7" t="n"/>
      <c r="C14" s="7" t="n"/>
      <c r="D14" s="7" t="n"/>
      <c r="E14" s="7" t="n"/>
      <c r="F14" s="7" t="n"/>
    </row>
    <row r="15">
      <c r="A15" s="8" t="inlineStr">
        <is>
          <t xml:space="preserve">    17. Accounts payable and accrued expenses</t>
        </is>
      </c>
      <c r="B15" s="9" t="n">
        <v>16507</v>
      </c>
      <c r="C15" s="9" t="n">
        <v>13576</v>
      </c>
      <c r="D15" s="9" t="n">
        <v>32186</v>
      </c>
      <c r="E15" s="9" t="n">
        <v>34254</v>
      </c>
      <c r="F15" s="9" t="n">
        <v>33394</v>
      </c>
    </row>
    <row r="16">
      <c r="A16" s="8" t="inlineStr">
        <is>
          <t xml:space="preserve">    19. Deferred revenue</t>
        </is>
      </c>
      <c r="B16" s="9" t="n">
        <v>19461</v>
      </c>
      <c r="C16" s="9" t="n">
        <v>26301</v>
      </c>
      <c r="D16" s="9" t="n">
        <v>24802</v>
      </c>
      <c r="E16" s="9" t="n">
        <v>18921</v>
      </c>
      <c r="F16" s="9" t="n">
        <v>17562</v>
      </c>
    </row>
    <row r="17">
      <c r="A17" s="10" t="inlineStr">
        <is>
          <t>26. Total liabilities</t>
        </is>
      </c>
      <c r="B17" s="11">
        <f>SUM(B15:B16)</f>
        <v/>
      </c>
      <c r="C17" s="11">
        <f>SUM(C15:C16)</f>
        <v/>
      </c>
      <c r="D17" s="11">
        <f>SUM(D15:D16)</f>
        <v/>
      </c>
      <c r="E17" s="11">
        <f>SUM(E15:E16)</f>
        <v/>
      </c>
      <c r="F17" s="11">
        <f>SUM(F15:F16)</f>
        <v/>
      </c>
    </row>
    <row r="19">
      <c r="A19" s="6" t="inlineStr">
        <is>
          <t>Net assets / fund balances</t>
        </is>
      </c>
      <c r="B19" s="7" t="n"/>
      <c r="C19" s="7" t="n"/>
      <c r="D19" s="7" t="n"/>
      <c r="E19" s="7" t="n"/>
      <c r="F19" s="7" t="n"/>
    </row>
    <row r="20">
      <c r="A20" s="8" t="inlineStr">
        <is>
          <t xml:space="preserve">    29. Capital stock or trust principal</t>
        </is>
      </c>
      <c r="B20" s="9" t="n">
        <v>28756</v>
      </c>
      <c r="C20" s="17" t="inlineStr">
        <is>
          <t>not reported</t>
        </is>
      </c>
      <c r="D20" s="17" t="inlineStr">
        <is>
          <t>not reported</t>
        </is>
      </c>
      <c r="E20" s="17" t="inlineStr">
        <is>
          <t>not reported</t>
        </is>
      </c>
      <c r="F20" s="17" t="inlineStr">
        <is>
          <t>not reported</t>
        </is>
      </c>
    </row>
    <row r="21">
      <c r="A21" s="8" t="inlineStr">
        <is>
          <t xml:space="preserve">    30. Paid-in or capital surplus</t>
        </is>
      </c>
      <c r="B21" s="9" t="n">
        <v>487329</v>
      </c>
      <c r="C21" s="17" t="inlineStr">
        <is>
          <t>not reported</t>
        </is>
      </c>
      <c r="D21" s="17" t="inlineStr">
        <is>
          <t>not reported</t>
        </is>
      </c>
      <c r="E21" s="17" t="inlineStr">
        <is>
          <t>not reported</t>
        </is>
      </c>
      <c r="F21" s="17" t="inlineStr">
        <is>
          <t>not reported</t>
        </is>
      </c>
    </row>
    <row r="22">
      <c r="A22" s="8" t="inlineStr">
        <is>
          <t xml:space="preserve">    31. Retained earnings / accumulated funds</t>
        </is>
      </c>
      <c r="B22" s="9" t="n">
        <v>179587</v>
      </c>
      <c r="C22" s="9" t="n">
        <v>766340</v>
      </c>
      <c r="D22" s="9" t="n">
        <v>873161</v>
      </c>
      <c r="E22" s="9" t="n">
        <v>2137626</v>
      </c>
      <c r="F22" s="9" t="n">
        <v>2168544</v>
      </c>
    </row>
    <row r="23">
      <c r="A23" s="10" t="inlineStr">
        <is>
          <t>32. Total net assets / fund balances</t>
        </is>
      </c>
      <c r="B23" s="11">
        <f>SUM(B20:B22)</f>
        <v/>
      </c>
      <c r="C23" s="11">
        <f>SUM(C20:C22)</f>
        <v/>
      </c>
      <c r="D23" s="11">
        <f>SUM(D20:D22)</f>
        <v/>
      </c>
      <c r="E23" s="11">
        <f>SUM(E20:E22)</f>
        <v/>
      </c>
      <c r="F23" s="11">
        <f>SUM(F20:F22)</f>
        <v/>
      </c>
    </row>
    <row r="25" ht="42" customHeight="1">
      <c r="A25" s="3" t="inlineStr">
        <is>
          <t>Every Part X line is end-of-year (column B), as filed. Section totals (lines 16 / 26 / 32) are live SUMs of the lines above; their tie-outs and the balance-sheet identity (16 = 26 + 32) are on the Sources &amp; audit tab. This filer files as a non-FASB mutual, so net assets sit on lines 29-31 (capital stock / paid-in capital / retained earnings); lines this filer does not report are omitted. Lines 10a/10b net into line 10c (shown).</t>
        </is>
      </c>
    </row>
  </sheetData>
  <mergeCells count="4">
    <mergeCell ref="A3:F3"/>
    <mergeCell ref="A2:F2"/>
    <mergeCell ref="A1:F1"/>
    <mergeCell ref="A25:F25"/>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13"/>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52" customWidth="1" min="1" max="1"/>
    <col width="15" customWidth="1" min="2" max="2"/>
    <col width="15" customWidth="1" min="3" max="3"/>
    <col width="15" customWidth="1" min="4" max="4"/>
    <col width="15" customWidth="1" min="5" max="5"/>
    <col width="15" customWidth="1" min="6" max="6"/>
  </cols>
  <sheetData>
    <row r="1">
      <c r="A1" s="1" t="inlineStr">
        <is>
          <t>Stockdale Annex Mutual Water Co</t>
        </is>
      </c>
    </row>
    <row r="2">
      <c r="A2" s="2" t="inlineStr">
        <is>
          <t>Reconciliation of Net Assets - Form 990 Part XI (USD)</t>
        </is>
      </c>
    </row>
    <row r="3">
      <c r="A3" s="2" t="inlineStr">
        <is>
          <t>Entity ID: cawc_0143   |   Fiscal year ends December 31.</t>
        </is>
      </c>
    </row>
    <row r="5">
      <c r="A5" s="4" t="inlineStr">
        <is>
          <t>Part XI line</t>
        </is>
      </c>
      <c r="B5" s="5" t="inlineStr">
        <is>
          <t>FY2020</t>
        </is>
      </c>
      <c r="C5" s="5" t="inlineStr">
        <is>
          <t>FY2021</t>
        </is>
      </c>
      <c r="D5" s="5" t="inlineStr">
        <is>
          <t>FY2022</t>
        </is>
      </c>
      <c r="E5" s="5" t="inlineStr">
        <is>
          <t>FY2023</t>
        </is>
      </c>
      <c r="F5" s="5" t="inlineStr">
        <is>
          <t>FY2024</t>
        </is>
      </c>
    </row>
    <row r="6">
      <c r="A6" s="6" t="inlineStr">
        <is>
          <t>Reconciliation</t>
        </is>
      </c>
      <c r="B6" s="7" t="n"/>
      <c r="C6" s="7" t="n"/>
      <c r="D6" s="7" t="n"/>
      <c r="E6" s="7" t="n"/>
      <c r="F6" s="7" t="n"/>
    </row>
    <row r="7">
      <c r="A7" s="8" t="inlineStr">
        <is>
          <t xml:space="preserve">    4. Net assets, beginning of year</t>
        </is>
      </c>
      <c r="B7" s="9" t="n">
        <v>602991</v>
      </c>
      <c r="C7" s="9" t="n">
        <v>695672</v>
      </c>
      <c r="D7" s="9" t="n">
        <v>766340</v>
      </c>
      <c r="E7" s="9" t="n">
        <v>873159</v>
      </c>
      <c r="F7" s="9" t="n">
        <v>2137626</v>
      </c>
    </row>
    <row r="8">
      <c r="A8" s="8" t="inlineStr">
        <is>
          <t xml:space="preserve">    3. Revenue less expenses</t>
        </is>
      </c>
      <c r="B8" s="9" t="n">
        <v>11490</v>
      </c>
      <c r="C8" s="9" t="n">
        <v>70663</v>
      </c>
      <c r="D8" s="9" t="n">
        <v>106821</v>
      </c>
      <c r="E8" s="9" t="n">
        <v>1264471</v>
      </c>
      <c r="F8" s="9" t="n">
        <v>30914</v>
      </c>
    </row>
    <row r="9">
      <c r="A9" s="8" t="inlineStr">
        <is>
          <t xml:space="preserve">    8. Prior period adjustments</t>
        </is>
      </c>
      <c r="B9" s="17" t="inlineStr">
        <is>
          <t>not reported</t>
        </is>
      </c>
      <c r="C9" s="17" t="inlineStr">
        <is>
          <t>not reported</t>
        </is>
      </c>
      <c r="D9" s="17" t="inlineStr">
        <is>
          <t>not reported</t>
        </is>
      </c>
      <c r="E9" s="17" t="inlineStr">
        <is>
          <t>not reported</t>
        </is>
      </c>
      <c r="F9" s="17" t="inlineStr">
        <is>
          <t>not reported</t>
        </is>
      </c>
    </row>
    <row r="10">
      <c r="A10" s="8" t="inlineStr">
        <is>
          <t xml:space="preserve">    9. Other changes in net assets</t>
        </is>
      </c>
      <c r="B10" s="9" t="n">
        <v>81191</v>
      </c>
      <c r="C10" s="9" t="n">
        <v>5</v>
      </c>
      <c r="D10" s="9" t="n">
        <v>0</v>
      </c>
      <c r="E10" s="9" t="n">
        <v>-4</v>
      </c>
      <c r="F10" s="9" t="n">
        <v>4</v>
      </c>
    </row>
    <row r="11">
      <c r="A11" s="10" t="inlineStr">
        <is>
          <t>10. Net assets, end of year</t>
        </is>
      </c>
      <c r="B11" s="11">
        <f>SUM(B7,B8,B9,B10)</f>
        <v/>
      </c>
      <c r="C11" s="11">
        <f>SUM(C7,C8,C9,C10)</f>
        <v/>
      </c>
      <c r="D11" s="11">
        <f>SUM(D7,D8,D9,D10)</f>
        <v/>
      </c>
      <c r="E11" s="11">
        <f>SUM(E7,E8,E9,E10)</f>
        <v/>
      </c>
      <c r="F11" s="11">
        <f>SUM(F7,F8,F9,F10)</f>
        <v/>
      </c>
    </row>
    <row r="13" ht="42" customHeight="1">
      <c r="A13" s="3" t="inlineStr">
        <is>
          <t>Part XI reconciles beginning to ending net assets. Ending net assets (line 10) is a live formula: beginning balance (line 4) + revenue less expenses (line 3) + prior-period adjustments (8) + other changes (9). Its tie-out to the filed line 10 (and to Part X line 32) is on the Sources &amp; audit tab. Lines 5-7 (unrealized gains, donated services, investment expenses) are not filed by this entity.</t>
        </is>
      </c>
    </row>
  </sheetData>
  <mergeCells count="4">
    <mergeCell ref="A3:F3"/>
    <mergeCell ref="A2:F2"/>
    <mergeCell ref="A13:F13"/>
    <mergeCell ref="A1:F1"/>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F26"/>
  <sheetViews>
    <sheetView workbookViewId="0">
      <pane xSplit="1" ySplit="7" topLeftCell="B8" activePane="bottomRight" state="frozen"/>
      <selection pane="topRight"/>
      <selection pane="bottomLeft"/>
      <selection pane="bottomRight" activeCell="A1" sqref="A1"/>
    </sheetView>
  </sheetViews>
  <sheetFormatPr baseColWidth="8" defaultRowHeight="15"/>
  <cols>
    <col width="40" customWidth="1" min="1" max="1"/>
    <col width="15" customWidth="1" min="2" max="2"/>
    <col width="15" customWidth="1" min="3" max="3"/>
    <col width="15" customWidth="1" min="4" max="4"/>
    <col width="15" customWidth="1" min="5" max="5"/>
    <col width="15" customWidth="1" min="6" max="6"/>
  </cols>
  <sheetData>
    <row r="1">
      <c r="A1" s="1" t="inlineStr">
        <is>
          <t>Stockdale Annex Mutual Water Co</t>
        </is>
      </c>
    </row>
    <row r="2">
      <c r="A2" s="2" t="inlineStr">
        <is>
          <t>Cash Flow Proxies - derived (USD)</t>
        </is>
      </c>
    </row>
    <row r="3">
      <c r="A3" s="2" t="inlineStr">
        <is>
          <t>Entity ID: cawc_0143   |   Fiscal year ends December 31.</t>
        </is>
      </c>
    </row>
    <row r="5" ht="42" customHeight="1">
      <c r="A5" s="3" t="inlineStr">
        <is>
          <t>PROXY ONLY. The source filings contain no statement of cash flows. Lines below are derived from the reported income statement and year-over-year balance-sheet changes; treat as directional estimates, not GAAP cash flows. The earliest year has no prior period, so its delta cells are blank.</t>
        </is>
      </c>
    </row>
    <row r="7">
      <c r="A7" s="4" t="inlineStr">
        <is>
          <t>Proxy line (USD)</t>
        </is>
      </c>
      <c r="B7" s="5" t="inlineStr">
        <is>
          <t>FY2020</t>
        </is>
      </c>
      <c r="C7" s="5" t="inlineStr">
        <is>
          <t>FY2021</t>
        </is>
      </c>
      <c r="D7" s="5" t="inlineStr">
        <is>
          <t>FY2022</t>
        </is>
      </c>
      <c r="E7" s="5" t="inlineStr">
        <is>
          <t>FY2023</t>
        </is>
      </c>
      <c r="F7" s="5" t="inlineStr">
        <is>
          <t>FY2024</t>
        </is>
      </c>
    </row>
    <row r="8">
      <c r="A8" s="6" t="inlineStr">
        <is>
          <t>Operating</t>
        </is>
      </c>
      <c r="B8" s="7" t="n"/>
      <c r="C8" s="7" t="n"/>
      <c r="D8" s="7" t="n"/>
      <c r="E8" s="7" t="n"/>
      <c r="F8" s="7" t="n"/>
    </row>
    <row r="9">
      <c r="A9" s="8" t="inlineStr">
        <is>
          <t xml:space="preserve">    Net income</t>
        </is>
      </c>
      <c r="B9" s="9" t="n">
        <v>11490</v>
      </c>
      <c r="C9" s="9" t="n">
        <v>70663</v>
      </c>
      <c r="D9" s="9" t="n">
        <v>106821</v>
      </c>
      <c r="E9" s="9" t="n">
        <v>1264471</v>
      </c>
      <c r="F9" s="9" t="n">
        <v>30914</v>
      </c>
    </row>
    <row r="10">
      <c r="A10" s="8" t="inlineStr">
        <is>
          <t xml:space="preserve">    + Depreciation (reported)</t>
        </is>
      </c>
      <c r="B10" s="9" t="n">
        <v>8683</v>
      </c>
      <c r="C10" s="9" t="n">
        <v>16199</v>
      </c>
      <c r="D10" s="9" t="n">
        <v>23301</v>
      </c>
      <c r="E10" s="9" t="n">
        <v>26584</v>
      </c>
      <c r="F10" s="9" t="n">
        <v>75874</v>
      </c>
    </row>
    <row r="11">
      <c r="A11" s="8" t="inlineStr">
        <is>
          <t xml:space="preserve">    − Δ Accounts receivable</t>
        </is>
      </c>
      <c r="B11" s="9" t="n"/>
      <c r="C11" s="9" t="n">
        <v>-198</v>
      </c>
      <c r="D11" s="9" t="n">
        <v>1003</v>
      </c>
      <c r="E11" s="9" t="n">
        <v>-833477</v>
      </c>
      <c r="F11" s="9" t="n">
        <v>834917</v>
      </c>
    </row>
    <row r="12">
      <c r="A12" s="8" t="inlineStr">
        <is>
          <t xml:space="preserve">    − Δ Inventories</t>
        </is>
      </c>
      <c r="B12" s="9" t="n"/>
      <c r="C12" s="9" t="n"/>
      <c r="D12" s="9" t="n"/>
      <c r="E12" s="9" t="n"/>
      <c r="F12" s="9" t="n"/>
    </row>
    <row r="13">
      <c r="A13" s="8" t="inlineStr">
        <is>
          <t xml:space="preserve">    − Δ Prepaid expenses</t>
        </is>
      </c>
      <c r="B13" s="9" t="n"/>
      <c r="C13" s="9" t="n"/>
      <c r="D13" s="9" t="n"/>
      <c r="E13" s="9" t="n"/>
      <c r="F13" s="9" t="n"/>
    </row>
    <row r="14">
      <c r="A14" s="8" t="inlineStr">
        <is>
          <t xml:space="preserve">    + Δ Accounts payable</t>
        </is>
      </c>
      <c r="B14" s="9" t="n"/>
      <c r="C14" s="9" t="n">
        <v>-2931</v>
      </c>
      <c r="D14" s="9" t="n">
        <v>18610</v>
      </c>
      <c r="E14" s="9" t="n">
        <v>2068</v>
      </c>
      <c r="F14" s="9" t="n">
        <v>-860</v>
      </c>
    </row>
    <row r="15">
      <c r="A15" s="10" t="inlineStr">
        <is>
          <t xml:space="preserve">    Operating cash flow proxy</t>
        </is>
      </c>
      <c r="B15" s="11" t="n"/>
      <c r="C15" s="11" t="n">
        <v>83733</v>
      </c>
      <c r="D15" s="11" t="n">
        <v>149735</v>
      </c>
      <c r="E15" s="11" t="n">
        <v>459646</v>
      </c>
      <c r="F15" s="11" t="n">
        <v>940845</v>
      </c>
    </row>
    <row r="17">
      <c r="A17" s="6" t="inlineStr">
        <is>
          <t>Investing</t>
        </is>
      </c>
      <c r="B17" s="7" t="n"/>
      <c r="C17" s="7" t="n"/>
      <c r="D17" s="7" t="n"/>
      <c r="E17" s="7" t="n"/>
      <c r="F17" s="7" t="n"/>
    </row>
    <row r="18">
      <c r="A18" s="8" t="inlineStr">
        <is>
          <t xml:space="preserve">    − Δ PP&amp;E gross (capex proxy)</t>
        </is>
      </c>
      <c r="B18" s="9" t="n"/>
      <c r="C18" s="9" t="n">
        <v>-191254</v>
      </c>
      <c r="D18" s="9" t="n">
        <v>-28139</v>
      </c>
      <c r="E18" s="9" t="n">
        <v>-82168</v>
      </c>
      <c r="F18" s="9" t="n">
        <v>-1405774</v>
      </c>
    </row>
    <row r="20">
      <c r="A20" s="6" t="inlineStr">
        <is>
          <t>Financing</t>
        </is>
      </c>
      <c r="B20" s="7" t="n"/>
      <c r="C20" s="7" t="n"/>
      <c r="D20" s="7" t="n"/>
      <c r="E20" s="7" t="n"/>
      <c r="F20" s="7" t="n"/>
    </row>
    <row r="21">
      <c r="A21" s="8" t="inlineStr">
        <is>
          <t xml:space="preserve">    Δ Mortgages &amp; notes payable</t>
        </is>
      </c>
      <c r="B21" s="9" t="n"/>
      <c r="C21" s="9" t="n"/>
      <c r="D21" s="9" t="n"/>
      <c r="E21" s="9" t="n"/>
      <c r="F21" s="9" t="n"/>
    </row>
    <row r="23">
      <c r="A23" s="6" t="inlineStr">
        <is>
          <t>Reconciliation</t>
        </is>
      </c>
      <c r="B23" s="7" t="n"/>
      <c r="C23" s="7" t="n"/>
      <c r="D23" s="7" t="n"/>
      <c r="E23" s="7" t="n"/>
      <c r="F23" s="7" t="n"/>
    </row>
    <row r="24">
      <c r="A24" s="10" t="inlineStr">
        <is>
          <t xml:space="preserve">    Δ Cash + temp. investments (actual)</t>
        </is>
      </c>
      <c r="B24" s="11" t="n"/>
      <c r="C24" s="11" t="n">
        <v>347070</v>
      </c>
      <c r="D24" s="11" t="n">
        <v>120097</v>
      </c>
      <c r="E24" s="11" t="n">
        <v>218433</v>
      </c>
      <c r="F24" s="11" t="n">
        <v>-313126</v>
      </c>
    </row>
    <row r="26" ht="42" customHeight="1">
      <c r="A26" s="3" t="inlineStr">
        <is>
          <t>The capex proxy assumes gross PP&amp;E rises only via capital spending (it ignores disposals). 'Δ Cash + temp. investments (actual)' is the real reported change in liquid funds and is the most reliable line here; the operating/investing/financing proxies will not perfectly reconcile to it.</t>
        </is>
      </c>
    </row>
  </sheetData>
  <mergeCells count="5">
    <mergeCell ref="A2:F2"/>
    <mergeCell ref="A1:F1"/>
    <mergeCell ref="A5:F5"/>
    <mergeCell ref="A26:F26"/>
    <mergeCell ref="A3:F3"/>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F21"/>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42" customWidth="1" min="1" max="1"/>
    <col width="15" customWidth="1" min="2" max="2"/>
    <col width="15" customWidth="1" min="3" max="3"/>
    <col width="15" customWidth="1" min="4" max="4"/>
    <col width="15" customWidth="1" min="5" max="5"/>
    <col width="15" customWidth="1" min="6" max="6"/>
  </cols>
  <sheetData>
    <row r="1">
      <c r="A1" s="1" t="inlineStr">
        <is>
          <t>Stockdale Annex Mutual Water Co</t>
        </is>
      </c>
    </row>
    <row r="2">
      <c r="A2" s="2" t="inlineStr">
        <is>
          <t>Financial Ratios</t>
        </is>
      </c>
    </row>
    <row r="3">
      <c r="A3" s="2" t="inlineStr">
        <is>
          <t>Entity ID: cawc_0143   |   Fiscal year ends December 31.</t>
        </is>
      </c>
    </row>
    <row r="5">
      <c r="A5" s="4" t="inlineStr">
        <is>
          <t>Ratio</t>
        </is>
      </c>
      <c r="B5" s="5" t="inlineStr">
        <is>
          <t>FY2020</t>
        </is>
      </c>
      <c r="C5" s="5" t="inlineStr">
        <is>
          <t>FY2021</t>
        </is>
      </c>
      <c r="D5" s="5" t="inlineStr">
        <is>
          <t>FY2022</t>
        </is>
      </c>
      <c r="E5" s="5" t="inlineStr">
        <is>
          <t>FY2023</t>
        </is>
      </c>
      <c r="F5" s="5" t="inlineStr">
        <is>
          <t>FY2024</t>
        </is>
      </c>
    </row>
    <row r="6">
      <c r="A6" s="6" t="inlineStr">
        <is>
          <t>Profitability (computed upstream)</t>
        </is>
      </c>
      <c r="B6" s="7" t="n"/>
      <c r="C6" s="7" t="n"/>
      <c r="D6" s="7" t="n"/>
      <c r="E6" s="7" t="n"/>
      <c r="F6" s="7" t="n"/>
    </row>
    <row r="7">
      <c r="A7" s="8" t="inlineStr">
        <is>
          <t xml:space="preserve">    Operating margin (NI / revenue)</t>
        </is>
      </c>
      <c r="B7" s="12" t="n">
        <v>0.07952602764377323</v>
      </c>
      <c r="C7" s="12" t="n">
        <v>0.3117893371338307</v>
      </c>
      <c r="D7" s="12" t="n">
        <v>0.4208202017018595</v>
      </c>
      <c r="E7" s="12" t="n">
        <v>0.8671700871921972</v>
      </c>
      <c r="F7" s="12" t="n">
        <v>0.1145731027095942</v>
      </c>
    </row>
    <row r="8">
      <c r="A8" s="8" t="inlineStr">
        <is>
          <t xml:space="preserve">    Expense ratio (expenses / revenue)</t>
        </is>
      </c>
      <c r="B8" s="12" t="n">
        <v>0.9204739723562267</v>
      </c>
      <c r="C8" s="12" t="n">
        <v>0.6882106628661693</v>
      </c>
      <c r="D8" s="12" t="n">
        <v>0.5791797982981406</v>
      </c>
      <c r="E8" s="12" t="n">
        <v>0.1328299128078027</v>
      </c>
      <c r="F8" s="12" t="n">
        <v>0.8854268972904058</v>
      </c>
    </row>
    <row r="9">
      <c r="A9" s="8" t="inlineStr">
        <is>
          <t xml:space="preserve">    Return on assets (NI / assets)</t>
        </is>
      </c>
      <c r="B9" s="12" t="n">
        <v>0.01570444480892242</v>
      </c>
      <c r="C9" s="12" t="n">
        <v>0.08764761844515806</v>
      </c>
      <c r="D9" s="12" t="n">
        <v>0.1148428907626628</v>
      </c>
      <c r="E9" s="12" t="n">
        <v>0.5771729152944517</v>
      </c>
      <c r="F9" s="12" t="n">
        <v>0.01392836224374859</v>
      </c>
    </row>
    <row r="10">
      <c r="A10" s="8" t="inlineStr">
        <is>
          <t xml:space="preserve">    Revenue growth (YoY)</t>
        </is>
      </c>
      <c r="B10" s="12" t="n">
        <v>0.09773813413160914</v>
      </c>
      <c r="C10" s="12" t="n">
        <v>0.568628400966217</v>
      </c>
      <c r="D10" s="12" t="n">
        <v>0.1200289449648557</v>
      </c>
      <c r="E10" s="12" t="n">
        <v>4.744398046013237</v>
      </c>
      <c r="F10" s="12" t="n">
        <v>-0.8149590099289652</v>
      </c>
    </row>
    <row r="12">
      <c r="A12" s="6" t="inlineStr">
        <is>
          <t>Leverage &amp; solvency</t>
        </is>
      </c>
      <c r="B12" s="7" t="n"/>
      <c r="C12" s="7" t="n"/>
      <c r="D12" s="7" t="n"/>
      <c r="E12" s="7" t="n"/>
      <c r="F12" s="7" t="n"/>
    </row>
    <row r="13">
      <c r="A13" s="8" t="inlineStr">
        <is>
          <t xml:space="preserve">    Debt-to-assets (liab. / assets)</t>
        </is>
      </c>
      <c r="B13" s="12" t="n">
        <v>0.04916078945929692</v>
      </c>
      <c r="C13" s="12" t="n">
        <v>0.04946186944705954</v>
      </c>
      <c r="D13" s="12" t="n">
        <v>0.06126760336247204</v>
      </c>
      <c r="E13" s="12" t="n">
        <v>0.02427194437103142</v>
      </c>
      <c r="F13" s="12" t="n">
        <v>0.02295832394683487</v>
      </c>
    </row>
    <row r="14">
      <c r="A14" s="8" t="inlineStr">
        <is>
          <t xml:space="preserve">    Equity ratio (net assets / assets)</t>
        </is>
      </c>
      <c r="B14" s="12" t="n">
        <v>0.9508392105407031</v>
      </c>
      <c r="C14" s="12" t="n">
        <v>0.9505381305529405</v>
      </c>
      <c r="D14" s="12" t="n">
        <v>0.9387323966375279</v>
      </c>
      <c r="E14" s="12" t="n">
        <v>0.9757280556289686</v>
      </c>
      <c r="F14" s="12" t="n">
        <v>0.9770416760531652</v>
      </c>
    </row>
    <row r="16">
      <c r="A16" s="6" t="inlineStr">
        <is>
          <t>Liquidity &amp; asset profile (derived here)</t>
        </is>
      </c>
      <c r="B16" s="7" t="n"/>
      <c r="C16" s="7" t="n"/>
      <c r="D16" s="7" t="n"/>
      <c r="E16" s="7" t="n"/>
      <c r="F16" s="7" t="n"/>
    </row>
    <row r="17">
      <c r="A17" s="8" t="inlineStr">
        <is>
          <t xml:space="preserve">    Current ratio (current assets / AP)</t>
        </is>
      </c>
      <c r="B17" s="19" t="n">
        <v>10.55903556067123</v>
      </c>
      <c r="C17" s="19" t="n">
        <v>38.41823806717737</v>
      </c>
      <c r="D17" s="19" t="n">
        <v>19.90492760827689</v>
      </c>
      <c r="E17" s="19" t="n">
        <v>49.41233140655106</v>
      </c>
      <c r="F17" s="19" t="n">
        <v>16.30613283823442</v>
      </c>
    </row>
    <row r="18">
      <c r="A18" s="8" t="inlineStr">
        <is>
          <t xml:space="preserve">    Cash ratio ((cash+temp inv.) / total liab.)</t>
        </is>
      </c>
      <c r="B18" s="19" t="n">
        <v>4.709602980427047</v>
      </c>
      <c r="C18" s="19" t="n">
        <v>12.95145071093613</v>
      </c>
      <c r="D18" s="19" t="n">
        <v>11.17010598722538</v>
      </c>
      <c r="E18" s="19" t="n">
        <v>16.07889045604137</v>
      </c>
      <c r="F18" s="19" t="n">
        <v>10.63405683334642</v>
      </c>
    </row>
    <row r="19">
      <c r="A19" s="8" t="inlineStr">
        <is>
          <t xml:space="preserve">    Asset age proxy (accum. deprec. / gross PP&amp;E)</t>
        </is>
      </c>
      <c r="B19" s="12" t="n">
        <v>0.7003421081273478</v>
      </c>
      <c r="C19" s="12" t="n">
        <v>0.478184505040427</v>
      </c>
      <c r="D19" s="12" t="n">
        <v>0.4957861351869333</v>
      </c>
      <c r="E19" s="12" t="n">
        <v>0.4737230168726384</v>
      </c>
      <c r="F19" s="12" t="n">
        <v>0.1855007067893787</v>
      </c>
    </row>
    <row r="21" ht="42" customHeight="1">
      <c r="A21" s="3" t="inlineStr">
        <is>
          <t>Upstream ratios are read from financials_annual; derived ratios are computed only where inputs are reported. Current ratio uses accounts payable as the current-liability proxy (the filings do not split current vs. long-term liabilities). Asset age proxy: a higher % implies older / more depreciated infrastructure.</t>
        </is>
      </c>
    </row>
  </sheetData>
  <mergeCells count="4">
    <mergeCell ref="A3:F3"/>
    <mergeCell ref="A2:F2"/>
    <mergeCell ref="A21:F21"/>
    <mergeCell ref="A1:F1"/>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31"/>
  <sheetViews>
    <sheetView workbookViewId="0">
      <pane ySplit="4" topLeftCell="A5" activePane="bottomLeft" state="frozen"/>
      <selection pane="bottomLeft" activeCell="A1" sqref="A1"/>
    </sheetView>
  </sheetViews>
  <sheetFormatPr baseColWidth="8" defaultRowHeight="15"/>
  <cols>
    <col width="42" customWidth="1" min="1" max="1"/>
    <col width="18" customWidth="1" min="2" max="2"/>
    <col width="20" customWidth="1" min="3" max="3"/>
    <col width="16" customWidth="1" min="4" max="4"/>
    <col width="60" customWidth="1" min="5" max="5"/>
  </cols>
  <sheetData>
    <row r="1">
      <c r="A1" s="1" t="inlineStr">
        <is>
          <t>Stockdale Annex Mutual Water Co</t>
        </is>
      </c>
    </row>
    <row r="2">
      <c r="A2" s="2" t="inlineStr">
        <is>
          <t>Unit economics - per-customer revenue by category (USD)</t>
        </is>
      </c>
    </row>
    <row r="3">
      <c r="A3" s="2" t="inlineStr">
        <is>
          <t>Entity ID: cawc_0143   |   Fiscal year ends December 31.</t>
        </is>
      </c>
    </row>
    <row r="5" ht="96" customHeight="1">
      <c r="A5" s="3" t="inlineStr">
        <is>
          <t>Every metric here is PER CUSTOMER (a metered service connection). It is not a per-member figure; the member (shareholder) count is a different denominator, shown in the denominator block. The visible cell shows the value and its classification; the numerator, denominator, formula, and rationale are in each metric's LOGIC popup.</t>
        </is>
      </c>
    </row>
    <row r="6">
      <c r="A6" s="20" t="inlineStr">
        <is>
          <t>Per-customer denominator (service connections)</t>
        </is>
      </c>
      <c r="B6" s="21" t="n"/>
      <c r="C6" s="22" t="inlineStr">
        <is>
          <t>State Water Board eAR Section 4</t>
        </is>
      </c>
    </row>
    <row r="7">
      <c r="A7" s="20" t="inlineStr">
        <is>
          <t>Total annual revenue (eAR Section 8b B1.8)</t>
        </is>
      </c>
      <c r="B7" s="21" t="n"/>
      <c r="C7" s="22" t="inlineStr">
        <is>
          <t>eAR Section 8b total annual revenue not reported for this system.</t>
        </is>
      </c>
    </row>
    <row r="8">
      <c r="A8" s="20" t="inlineStr">
        <is>
          <t>Primary source</t>
        </is>
      </c>
      <c r="B8" s="21" t="inlineStr"/>
      <c r="C8" s="22" t="n"/>
    </row>
    <row r="10">
      <c r="A10" s="6" t="inlineStr">
        <is>
          <t>Revenue categories (value, classification, per customer, share)</t>
        </is>
      </c>
      <c r="B10" s="7" t="n"/>
      <c r="C10" s="7" t="n"/>
      <c r="D10" s="7" t="n"/>
      <c r="E10" s="7" t="n"/>
    </row>
    <row r="11">
      <c r="A11" s="5" t="inlineStr">
        <is>
          <t>Revenue category</t>
        </is>
      </c>
      <c r="B11" s="5" t="inlineStr">
        <is>
          <t>Classification</t>
        </is>
      </c>
      <c r="C11" s="5" t="inlineStr">
        <is>
          <t>Value (USD)</t>
        </is>
      </c>
      <c r="D11" s="5" t="inlineStr">
        <is>
          <t>Per customer</t>
        </is>
      </c>
      <c r="E11" s="5" t="inlineStr">
        <is>
          <t>Share of revenue</t>
        </is>
      </c>
    </row>
    <row r="12">
      <c r="A12" s="8" t="inlineStr">
        <is>
          <t>Water sales revenue</t>
        </is>
      </c>
      <c r="B12" s="23" t="inlineStr">
        <is>
          <t>not reported</t>
        </is>
      </c>
      <c r="C12" s="24" t="inlineStr">
        <is>
          <t>not reported</t>
        </is>
      </c>
      <c r="D12" s="24" t="inlineStr">
        <is>
          <t>not reported</t>
        </is>
      </c>
      <c r="E12" s="24" t="inlineStr">
        <is>
          <t>not reported</t>
        </is>
      </c>
    </row>
    <row r="13">
      <c r="A13" s="8" t="inlineStr">
        <is>
          <t>Assessment revenue (990 program-service revenue not matched to eAR water-rate revenue)</t>
        </is>
      </c>
      <c r="B13" s="23" t="inlineStr">
        <is>
          <t>IMPOSSIBLE</t>
        </is>
      </c>
      <c r="C13" s="24" t="inlineStr">
        <is>
          <t>IMPOSSIBLE</t>
        </is>
      </c>
      <c r="D13" s="24" t="inlineStr">
        <is>
          <t>IMPOSSIBLE</t>
        </is>
      </c>
      <c r="E13" s="24" t="inlineStr">
        <is>
          <t>IMPOSSIBLE</t>
        </is>
      </c>
    </row>
    <row r="14">
      <c r="A14" s="8" t="inlineStr">
        <is>
          <t>Meter revenue</t>
        </is>
      </c>
      <c r="B14" s="23" t="inlineStr">
        <is>
          <t>not reported</t>
        </is>
      </c>
      <c r="C14" s="24" t="inlineStr">
        <is>
          <t>not reported</t>
        </is>
      </c>
      <c r="D14" s="24" t="inlineStr">
        <is>
          <t>not reported</t>
        </is>
      </c>
      <c r="E14" s="24" t="inlineStr">
        <is>
          <t>not reported</t>
        </is>
      </c>
    </row>
    <row r="15">
      <c r="A15" s="8" t="inlineStr">
        <is>
          <t>Overage or tiered penalty revenue</t>
        </is>
      </c>
      <c r="B15" s="23" t="inlineStr">
        <is>
          <t>not reported</t>
        </is>
      </c>
      <c r="C15" s="24" t="inlineStr">
        <is>
          <t>not reported</t>
        </is>
      </c>
      <c r="D15" s="24" t="inlineStr">
        <is>
          <t>not reported</t>
        </is>
      </c>
      <c r="E15" s="24" t="inlineStr">
        <is>
          <t>not reported</t>
        </is>
      </c>
    </row>
    <row r="17">
      <c r="A17" s="6" t="inlineStr">
        <is>
          <t>Water sales revenue - not reported</t>
        </is>
      </c>
      <c r="B17" s="7" t="n"/>
      <c r="C17" s="7" t="n"/>
      <c r="D17" s="7" t="n"/>
      <c r="E17" s="7" t="n"/>
    </row>
    <row r="18" ht="51" customHeight="1">
      <c r="A18" s="3" t="inlineStr">
        <is>
          <t>Not reported: this system filed an eAR but no Section 8b revenue block, so there is no filed water-sales figure. Not fallen back to a different year.</t>
        </is>
      </c>
    </row>
    <row r="19" ht="36" customHeight="1">
      <c r="A19" s="3" t="inlineStr">
        <is>
          <t>Reason: No filed eAR Section 8b water-rate revenue for this system.</t>
        </is>
      </c>
    </row>
    <row r="21">
      <c r="A21" s="6" t="inlineStr">
        <is>
          <t>Assessment revenue (990 program-service revenue not matched to eAR water-rate revenue) - IMPOSSIBLE</t>
        </is>
      </c>
      <c r="B21" s="7" t="n"/>
      <c r="C21" s="7" t="n"/>
      <c r="D21" s="7" t="n"/>
      <c r="E21" s="7" t="n"/>
    </row>
    <row r="22" ht="36" customHeight="1">
      <c r="A22" s="3" t="inlineStr">
        <is>
          <t>Not computed. A period-aligned residual is not possible for this filer.</t>
        </is>
      </c>
    </row>
    <row r="23" ht="66" customHeight="1">
      <c r="A23" s="3" t="inlineStr">
        <is>
          <t>Reason: Not derivable. The eAR Section 8b is reporting year None while the Form 990 fiscal year ends None; the two period ends are not aligned, so a period-aligned residual cannot be computed.</t>
        </is>
      </c>
    </row>
    <row r="25">
      <c r="A25" s="6" t="inlineStr">
        <is>
          <t>Meter revenue - not reported</t>
        </is>
      </c>
      <c r="B25" s="7" t="n"/>
      <c r="C25" s="7" t="n"/>
      <c r="D25" s="7" t="n"/>
      <c r="E25" s="7" t="n"/>
    </row>
    <row r="26" ht="36" customHeight="1">
      <c r="A26" s="3" t="inlineStr">
        <is>
          <t>Not reported. This category is not built because doing so would double-count.</t>
        </is>
      </c>
    </row>
    <row r="27" ht="81" customHeight="1">
      <c r="A27" s="3" t="inlineStr">
        <is>
          <t>Reason: The eAR Section 8a reports a base/meter rate PRICE, but the filing carries no meter revenue line and no tier volume, and the base charge is already inside the water-sales revenue (eAR Section 8b water rates). Building a separate meter figure would double-count. Not backed into from a total.</t>
        </is>
      </c>
    </row>
    <row r="29">
      <c r="A29" s="6" t="inlineStr">
        <is>
          <t>Overage or tiered penalty revenue - not reported</t>
        </is>
      </c>
      <c r="B29" s="7" t="n"/>
      <c r="C29" s="7" t="n"/>
      <c r="D29" s="7" t="n"/>
      <c r="E29" s="7" t="n"/>
    </row>
    <row r="30" ht="36" customHeight="1">
      <c r="A30" s="3" t="inlineStr">
        <is>
          <t>Not reported. This category is not built because doing so would double-count.</t>
        </is>
      </c>
    </row>
    <row r="31" ht="81" customHeight="1">
      <c r="A31" s="3" t="inlineStr">
        <is>
          <t>Reason: The eAR Section 8a reports tiered/overage rate PRICES, but the filing carries no overage revenue and no tier consumption volume, and any overage billed is already inside the water-sales revenue. Building it would double-count. Not backed into from a total.</t>
        </is>
      </c>
    </row>
  </sheetData>
  <mergeCells count="12">
    <mergeCell ref="A30:E30"/>
    <mergeCell ref="A26:E26"/>
    <mergeCell ref="A2:E2"/>
    <mergeCell ref="A19:E19"/>
    <mergeCell ref="A1:E1"/>
    <mergeCell ref="A5:E5"/>
    <mergeCell ref="A23:E23"/>
    <mergeCell ref="A31:E31"/>
    <mergeCell ref="A22:E22"/>
    <mergeCell ref="A18:E18"/>
    <mergeCell ref="A27:E27"/>
    <mergeCell ref="A3:E3"/>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cols>
    <col width="44" customWidth="1" min="1" max="1"/>
    <col width="16" customWidth="1" min="2" max="2"/>
    <col width="16" customWidth="1" min="3" max="3"/>
    <col width="16" customWidth="1" min="4" max="4"/>
  </cols>
  <sheetData>
    <row r="1">
      <c r="A1" s="1" t="inlineStr">
        <is>
          <t>Stockdale Annex Mutual Water Co</t>
        </is>
      </c>
    </row>
    <row r="2">
      <c r="A2" s="2" t="inlineStr">
        <is>
          <t>Rate structure and representative bill - eAR Section 8a</t>
        </is>
      </c>
    </row>
    <row r="3">
      <c r="A3" s="2" t="inlineStr">
        <is>
          <t>Entity ID: cawc_0143   |   Fiscal year ends December 31.</t>
        </is>
      </c>
    </row>
    <row r="5" ht="81" customHeight="1">
      <c r="A5" s="25" t="inlineStr">
        <is>
          <t>This block is a rate-schedule illustration at defined usage levels. It is NOT billed revenue and not a claim about any real customer's usage. The revenue side of unit economics is the separate Unit Economics block.</t>
        </is>
      </c>
    </row>
    <row r="6" ht="36" customHeight="1">
      <c r="A6" s="3" t="inlineStr">
        <is>
          <t>No filed eAR Section 8a rate schedule is staged for this system.</t>
        </is>
      </c>
    </row>
  </sheetData>
  <mergeCells count="5">
    <mergeCell ref="A1:D1"/>
    <mergeCell ref="A5:D5"/>
    <mergeCell ref="A6:D6"/>
    <mergeCell ref="A3:D3"/>
    <mergeCell ref="A2:D2"/>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C19"/>
  <sheetViews>
    <sheetView workbookViewId="0">
      <pane ySplit="4" topLeftCell="A5" activePane="bottomLeft" state="frozen"/>
      <selection pane="bottomLeft" activeCell="A1" sqref="A1"/>
    </sheetView>
  </sheetViews>
  <sheetFormatPr baseColWidth="8" defaultRowHeight="15"/>
  <cols>
    <col width="30" customWidth="1" min="1" max="1"/>
    <col width="26" customWidth="1" min="2" max="2"/>
    <col width="60" customWidth="1" min="3" max="3"/>
  </cols>
  <sheetData>
    <row r="1">
      <c r="A1" s="1" t="inlineStr">
        <is>
          <t>Stockdale Annex Mutual Water Co</t>
        </is>
      </c>
    </row>
    <row r="2">
      <c r="A2" s="2" t="inlineStr">
        <is>
          <t>Operational metrics - plant per acre, density, terrain</t>
        </is>
      </c>
    </row>
    <row r="3">
      <c r="A3" s="2" t="inlineStr">
        <is>
          <t>Entity ID: cawc_0143   |   Fiscal year ends December 31.</t>
        </is>
      </c>
    </row>
    <row r="5">
      <c r="A5" s="6" t="inlineStr">
        <is>
          <t>Plant assets per acre</t>
        </is>
      </c>
      <c r="B5" s="7" t="n"/>
      <c r="C5" s="7" t="n"/>
    </row>
    <row r="6">
      <c r="A6" s="20" t="inlineStr">
        <is>
          <t>Service-area acres</t>
        </is>
      </c>
      <c r="B6" s="26" t="n">
        <v>445.6</v>
      </c>
      <c r="C6" s="22" t="inlineStr">
        <is>
          <t>Geodesic area (WGS84 spherical excess) of the SABL service-area polygon.</t>
        </is>
      </c>
    </row>
    <row r="7">
      <c r="A7" s="5" t="inlineStr">
        <is>
          <t>Fiscal year</t>
        </is>
      </c>
      <c r="B7" s="5" t="inlineStr">
        <is>
          <t>Gross plant per acre (primary)</t>
        </is>
      </c>
      <c r="C7" s="5" t="inlineStr">
        <is>
          <t>Net plant per acre</t>
        </is>
      </c>
    </row>
    <row r="8">
      <c r="A8" s="18" t="inlineStr">
        <is>
          <t>FY2020</t>
        </is>
      </c>
      <c r="B8" s="9" t="n">
        <v>762.9062</v>
      </c>
      <c r="C8" s="9" t="n">
        <v>228.6109</v>
      </c>
    </row>
    <row r="9">
      <c r="A9" s="18" t="inlineStr">
        <is>
          <t>FY2021</t>
        </is>
      </c>
      <c r="B9" s="9" t="n">
        <v>1192.1118</v>
      </c>
      <c r="C9" s="9" t="n">
        <v>622.0624</v>
      </c>
    </row>
    <row r="10">
      <c r="A10" s="18" t="inlineStr">
        <is>
          <t>FY2022</t>
        </is>
      </c>
      <c r="B10" s="9" t="n">
        <v>1255.2603</v>
      </c>
      <c r="C10" s="9" t="n">
        <v>632.9197</v>
      </c>
    </row>
    <row r="11">
      <c r="A11" s="18" t="inlineStr">
        <is>
          <t>FY2023</t>
        </is>
      </c>
      <c r="B11" s="9" t="n">
        <v>1439.6589</v>
      </c>
      <c r="C11" s="9" t="n">
        <v>757.6593</v>
      </c>
    </row>
    <row r="12">
      <c r="A12" s="18" t="inlineStr">
        <is>
          <t>FY2024</t>
        </is>
      </c>
      <c r="B12" s="9" t="n">
        <v>4594.4479</v>
      </c>
      <c r="C12" s="9" t="n">
        <v>3742.1746</v>
      </c>
    </row>
    <row r="13" ht="156" customHeight="1">
      <c r="A13" s="3" t="inlineStr">
        <is>
          <t>Infrastructure built per acre of service area. Gross plant per acre is the primary read because it measures how much plant the system has put in the ground per acre, and unlike net plant it does not fall over time purely because the assets depreciate on the books. Net plant per acre is shown alongside as the depreciated book value per acre.</t>
        </is>
      </c>
    </row>
    <row r="14" ht="81" customHeight="1">
      <c r="A14" s="3" t="inlineStr">
        <is>
          <t>Formula: gross plant per acre = Form 990 Part X line 10a (land, buildings, and equipment, gross) / SABL service-area acres; net plant per acre uses Part X line 10c (net)</t>
        </is>
      </c>
    </row>
    <row r="15" ht="66" customHeight="1">
      <c r="A15" s="3" t="inlineStr">
        <is>
          <t>Source lines: Form 990 Part X line 10a (gross) and line 10c (net); Geodesic area (WGS84 spherical excess) of the SABL service-area polygon.</t>
        </is>
      </c>
    </row>
    <row r="16" ht="96" customHeight="1">
      <c r="A16" s="3" t="inlineStr">
        <is>
          <t>Confidence: medium. This is worked out from filed figures (a ratio, or a year-to-year change), so it is one step removed from the raw numbers.. Filed gross/net plant over the measured SABL service-area acreage.</t>
        </is>
      </c>
    </row>
    <row r="18">
      <c r="A18" s="6" t="inlineStr">
        <is>
          <t>Connections per acre</t>
        </is>
      </c>
      <c r="B18" s="7" t="n"/>
      <c r="C18" s="7" t="n"/>
    </row>
    <row r="19">
      <c r="A19" s="20" t="inlineStr">
        <is>
          <t>Connections per acre</t>
        </is>
      </c>
      <c r="B19" s="19" t="n">
        <v>0.32</v>
      </c>
      <c r="C19" s="22" t="inlineStr">
        <is>
          <t>141 connections / 445.6 acres. CA State Water Board SABL SERVICE_CONNECTIONS; Geodesic area (WGS84 spherical excess) of the SABL service-area polygon.</t>
        </is>
      </c>
    </row>
  </sheetData>
  <mergeCells count="7">
    <mergeCell ref="A13:C13"/>
    <mergeCell ref="A1:C1"/>
    <mergeCell ref="A16:C16"/>
    <mergeCell ref="A14:C14"/>
    <mergeCell ref="A3:C3"/>
    <mergeCell ref="A15:C15"/>
    <mergeCell ref="A2:C2"/>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F12"/>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40" customWidth="1" min="1" max="1"/>
    <col width="14" customWidth="1" min="2" max="2"/>
    <col width="14" customWidth="1" min="3" max="3"/>
    <col width="14" customWidth="1" min="4" max="4"/>
    <col width="14" customWidth="1" min="5" max="5"/>
    <col width="14" customWidth="1" min="6" max="6"/>
  </cols>
  <sheetData>
    <row r="1">
      <c r="A1" s="1" t="inlineStr">
        <is>
          <t>Stockdale Annex Mutual Water Co</t>
        </is>
      </c>
    </row>
    <row r="2">
      <c r="A2" s="2" t="inlineStr">
        <is>
          <t>Supply and weather indicators (DWR water year)</t>
        </is>
      </c>
    </row>
    <row r="3">
      <c r="A3" s="2" t="inlineStr">
        <is>
          <t>Entity ID: cawc_0143   |   Fiscal year ends December 31.</t>
        </is>
      </c>
    </row>
    <row r="5" ht="96" customHeight="1">
      <c r="A5" s="3" t="inlineStr">
        <is>
          <t>Reporting calendar: Different reporting periods. The DWR water year runs October 1 to September 30; this system's fiscal year ends December 31, so the two period ends are three months apart. Read the two side by side with that in mind. Neither series is recast: both are reported as filed. A water year is named for the calendar year it ends in, so WY2024 and FY2024 share a number without covering the same twelve months.</t>
        </is>
      </c>
    </row>
    <row r="7">
      <c r="A7" s="4" t="inlineStr">
        <is>
          <t>Indicator</t>
        </is>
      </c>
      <c r="B7" s="5" t="inlineStr">
        <is>
          <t>WY2020</t>
        </is>
      </c>
      <c r="C7" s="5" t="inlineStr">
        <is>
          <t>WY2021</t>
        </is>
      </c>
      <c r="D7" s="5" t="inlineStr">
        <is>
          <t>WY2022</t>
        </is>
      </c>
      <c r="E7" s="5" t="inlineStr">
        <is>
          <t>WY2023</t>
        </is>
      </c>
      <c r="F7" s="5" t="inlineStr">
        <is>
          <t>WY2024</t>
        </is>
      </c>
    </row>
    <row r="8">
      <c r="A8" s="8" t="inlineStr">
        <is>
          <t>Water-year type (Sacramento Valley)</t>
        </is>
      </c>
      <c r="B8" s="27" t="inlineStr">
        <is>
          <t>Dry</t>
        </is>
      </c>
      <c r="C8" s="27" t="inlineStr">
        <is>
          <t>Critical</t>
        </is>
      </c>
      <c r="D8" s="27" t="inlineStr">
        <is>
          <t>Critical</t>
        </is>
      </c>
      <c r="E8" s="27" t="inlineStr">
        <is>
          <t>Wet</t>
        </is>
      </c>
      <c r="F8" s="27" t="inlineStr">
        <is>
          <t>Above Normal</t>
        </is>
      </c>
    </row>
    <row r="9">
      <c r="A9" s="8" t="inlineStr">
        <is>
          <t>Peak drought, county County</t>
        </is>
      </c>
      <c r="B9" s="28" t="inlineStr">
        <is>
          <t>not reported</t>
        </is>
      </c>
      <c r="C9" s="28" t="inlineStr">
        <is>
          <t>not reported</t>
        </is>
      </c>
      <c r="D9" s="28" t="inlineStr">
        <is>
          <t>not reported</t>
        </is>
      </c>
      <c r="E9" s="28" t="inlineStr">
        <is>
          <t>not reported</t>
        </is>
      </c>
      <c r="F9" s="28" t="inlineStr">
        <is>
          <t>not reported</t>
        </is>
      </c>
    </row>
    <row r="10">
      <c r="A10" s="8" t="inlineStr">
        <is>
          <t>Precip, percent of normal (8-Station Index)</t>
        </is>
      </c>
      <c r="B10" s="27" t="inlineStr">
        <is>
          <t>63</t>
        </is>
      </c>
      <c r="C10" s="27" t="inlineStr">
        <is>
          <t>48</t>
        </is>
      </c>
      <c r="D10" s="27" t="inlineStr">
        <is>
          <t>86</t>
        </is>
      </c>
      <c r="E10" s="27" t="inlineStr">
        <is>
          <t>133</t>
        </is>
      </c>
      <c r="F10" s="27" t="inlineStr">
        <is>
          <t>96</t>
        </is>
      </c>
    </row>
    <row r="11">
      <c r="A11" s="8" t="inlineStr">
        <is>
          <t>Snowpack, April 1 percent of average</t>
        </is>
      </c>
      <c r="B11" s="27" t="inlineStr">
        <is>
          <t>53%</t>
        </is>
      </c>
      <c r="C11" s="27" t="inlineStr">
        <is>
          <t>59%</t>
        </is>
      </c>
      <c r="D11" s="27" t="inlineStr">
        <is>
          <t>38%</t>
        </is>
      </c>
      <c r="E11" s="27" t="inlineStr">
        <is>
          <t>237%</t>
        </is>
      </c>
      <c r="F11" s="27" t="inlineStr">
        <is>
          <t>110%</t>
        </is>
      </c>
    </row>
    <row r="12">
      <c r="A12" s="8" t="inlineStr">
        <is>
          <t>State Water Project allocation</t>
        </is>
      </c>
      <c r="B12" s="27" t="inlineStr">
        <is>
          <t>20%</t>
        </is>
      </c>
      <c r="C12" s="27" t="inlineStr">
        <is>
          <t>5%</t>
        </is>
      </c>
      <c r="D12" s="27" t="inlineStr">
        <is>
          <t>5%</t>
        </is>
      </c>
      <c r="E12" s="27" t="inlineStr">
        <is>
          <t>100%</t>
        </is>
      </c>
      <c r="F12" s="27" t="inlineStr">
        <is>
          <t>40%</t>
        </is>
      </c>
    </row>
  </sheetData>
  <mergeCells count="4">
    <mergeCell ref="A3:F3"/>
    <mergeCell ref="A2:F2"/>
    <mergeCell ref="A1:F1"/>
    <mergeCell ref="A5:F5"/>
  </mergeCells>
  <pageMargins left="0.75" right="0.75" top="1" bottom="1" header="0.5" footer="0.5"/>
  <legacyDrawing xmlns:r="http://schemas.openxmlformats.org/officeDocument/2006/relationships" r:id="anysvml"/>
</worksheet>
</file>

<file path=xl/worksheets/sheet16.xml><?xml version="1.0" encoding="utf-8"?>
<worksheet xmlns="http://schemas.openxmlformats.org/spreadsheetml/2006/main">
  <sheetPr>
    <outlinePr summaryBelow="1" summaryRight="1"/>
    <pageSetUpPr/>
  </sheetPr>
  <dimension ref="A1:B36"/>
  <sheetViews>
    <sheetView workbookViewId="0">
      <pane ySplit="4" topLeftCell="A5" activePane="bottomLeft" state="frozen"/>
      <selection pane="bottomLeft" activeCell="A1" sqref="A1"/>
    </sheetView>
  </sheetViews>
  <sheetFormatPr baseColWidth="8" defaultRowHeight="15"/>
  <cols>
    <col width="26" customWidth="1" min="1" max="1"/>
    <col width="104" customWidth="1" min="2" max="2"/>
  </cols>
  <sheetData>
    <row r="1">
      <c r="A1" s="1" t="inlineStr">
        <is>
          <t>Stockdale Annex Mutual Water Co</t>
        </is>
      </c>
    </row>
    <row r="2">
      <c r="A2" s="2" t="inlineStr">
        <is>
          <t>How this was built - forensic lineage</t>
        </is>
      </c>
    </row>
    <row r="3">
      <c r="A3" s="2" t="inlineStr">
        <is>
          <t>Entity ID: cawc_0143   |   Fiscal year ends December 31.</t>
        </is>
      </c>
    </row>
    <row r="5" ht="171" customHeight="1">
      <c r="A5" s="3" t="inlineStr">
        <is>
          <t>A plain account of the forensic lineage behind the hard-to-source metrics: what sources were checked, what was found, what was derived, and what could not be built and why. Every figure marked DERIVED or IMPOSSIBLE above is traceable to a line here.</t>
        </is>
      </c>
    </row>
    <row r="7">
      <c r="A7" s="6" t="inlineStr">
        <is>
          <t>Water-sales revenue per customer - not reported</t>
        </is>
      </c>
      <c r="B7" s="7" t="n"/>
    </row>
    <row r="8" ht="72" customHeight="1">
      <c r="A8" s="20" t="inlineStr">
        <is>
          <t>Sources checked</t>
        </is>
      </c>
      <c r="B8" s="22" t="inlineStr">
        <is>
          <t>State Water Board eAR Section 8b (water-rate revenue B1.1/B1.2); State Water Board eAR Section 4 (connection count, same reporting year); audited financial statement (secondary cross-check, where published)</t>
        </is>
      </c>
    </row>
    <row r="9" ht="72" customHeight="1">
      <c r="A9" s="20" t="inlineStr">
        <is>
          <t>What was found</t>
        </is>
      </c>
      <c r="B9" s="22" t="inlineStr">
        <is>
          <t>The eAR Section 8b reports water-rate revenue for reporting year None, so this is a DIRECT filed figure; per customer it is divided by the eAR Section 4 connection count for the same reporting year, so numerator and denominator share the year.</t>
        </is>
      </c>
    </row>
    <row r="11">
      <c r="A11" s="6" t="inlineStr">
        <is>
          <t>Assessment revenue (residual) - IMPOSSIBLE</t>
        </is>
      </c>
      <c r="B11" s="7" t="n"/>
    </row>
    <row r="12" ht="72" customHeight="1">
      <c r="A12" s="20" t="inlineStr">
        <is>
          <t>Sources checked</t>
        </is>
      </c>
      <c r="B12" s="22" t="inlineStr">
        <is>
          <t>Form 990 Part VIII line 2 (program-service revenue); State Water Board eAR Section 8b (water-rate revenue B1.1/B1.2); eAR Section 8b filer comment (WRRevenueComments)</t>
        </is>
      </c>
    </row>
    <row r="13" ht="72" customHeight="1">
      <c r="A13" s="20" t="inlineStr">
        <is>
          <t>What was found</t>
        </is>
      </c>
      <c r="B13" s="22" t="inlineStr">
        <is>
          <t>A period-aligned residual cannot be computed for this filer, so the metric is rendered IMPOSSIBLE rather than guessed.</t>
        </is>
      </c>
    </row>
    <row r="14" ht="72" customHeight="1">
      <c r="A14" s="20" t="inlineStr">
        <is>
          <t>Caveat</t>
        </is>
      </c>
      <c r="B14" s="22" t="inlineStr">
        <is>
          <t>Not derivable. The eAR Section 8b is reporting year None while the Form 990 fiscal year ends None; the two period ends are not aligned, so a period-aligned residual cannot be computed.</t>
        </is>
      </c>
    </row>
    <row r="16">
      <c r="A16" s="6" t="inlineStr">
        <is>
          <t>Meter revenue - not reported</t>
        </is>
      </c>
      <c r="B16" s="7" t="n"/>
    </row>
    <row r="17" ht="72" customHeight="1">
      <c r="A17" s="20" t="inlineStr">
        <is>
          <t>Sources checked</t>
        </is>
      </c>
      <c r="B17" s="22" t="inlineStr">
        <is>
          <t>State Water Board eAR Section 8a (rate prices); State Water Board eAR Section 8b (revenue lines); audited financial statement</t>
        </is>
      </c>
    </row>
    <row r="18" ht="72" customHeight="1">
      <c r="A18" s="20" t="inlineStr">
        <is>
          <t>What was found</t>
        </is>
      </c>
      <c r="B18" s="22" t="inlineStr">
        <is>
          <t>The rate price exists in Section 8a but no revenue or tier volume is reported, and the base charge is already inside water sales.</t>
        </is>
      </c>
    </row>
    <row r="19" ht="72" customHeight="1">
      <c r="A19" s="20" t="inlineStr">
        <is>
          <t>Caveat</t>
        </is>
      </c>
      <c r="B19" s="22" t="inlineStr">
        <is>
          <t>The eAR Section 8a reports a base/meter rate PRICE, but the filing carries no meter revenue line and no tier volume, and the base charge is already inside the water-sales revenue (eAR Section 8b water rates). Building a separate meter figure would double-count. Not backed into from a total.</t>
        </is>
      </c>
    </row>
    <row r="21">
      <c r="A21" s="6" t="inlineStr">
        <is>
          <t>Overage / tiered-penalty revenue - not reported</t>
        </is>
      </c>
      <c r="B21" s="7" t="n"/>
    </row>
    <row r="22" ht="72" customHeight="1">
      <c r="A22" s="20" t="inlineStr">
        <is>
          <t>Sources checked</t>
        </is>
      </c>
      <c r="B22" s="22" t="inlineStr">
        <is>
          <t>State Water Board eAR Section 8a (rate prices); State Water Board eAR Section 8b (revenue lines); audited financial statement</t>
        </is>
      </c>
    </row>
    <row r="23" ht="72" customHeight="1">
      <c r="A23" s="20" t="inlineStr">
        <is>
          <t>What was found</t>
        </is>
      </c>
      <c r="B23" s="22" t="inlineStr">
        <is>
          <t>The rate price exists in Section 8a but no revenue or tier volume is reported, and the base charge is already inside water sales.</t>
        </is>
      </c>
    </row>
    <row r="24" ht="72" customHeight="1">
      <c r="A24" s="20" t="inlineStr">
        <is>
          <t>Caveat</t>
        </is>
      </c>
      <c r="B24" s="22" t="inlineStr">
        <is>
          <t>The eAR Section 8a reports tiered/overage rate PRICES, but the filing carries no overage revenue and no tier consumption volume, and any overage billed is already inside the water-sales revenue. Building it would double-count. Not backed into from a total.</t>
        </is>
      </c>
    </row>
    <row r="26">
      <c r="A26" s="6" t="inlineStr">
        <is>
          <t>eAR Section 8b reporting-period basis - sourced</t>
        </is>
      </c>
      <c r="B26" s="7" t="n"/>
    </row>
    <row r="27" ht="72" customHeight="1">
      <c r="A27" s="20" t="inlineStr">
        <is>
          <t>Sources checked</t>
        </is>
      </c>
      <c r="B27" s="22" t="inlineStr">
        <is>
          <t>eAR Section 8b B0.1 (WRFinancialReportingPeriod); eAR Section 8b B0.2 (WRFiscalYearStartDate)</t>
        </is>
      </c>
    </row>
    <row r="28" ht="72" customHeight="1">
      <c r="A28" s="20" t="inlineStr">
        <is>
          <t>What was found</t>
        </is>
      </c>
      <c r="B28" s="22" t="inlineStr">
        <is>
          <t>The reporting basis (fiscal vs calendar year) is read from the filer's own B0.1/B0.2 answer and staged verbatim, never hardcoded, so the 990 comparison and the residual are period-aligned.</t>
        </is>
      </c>
    </row>
    <row r="30">
      <c r="A30" s="6" t="inlineStr">
        <is>
          <t>Member (shareholder) count denominator - not reported</t>
        </is>
      </c>
      <c r="B30" s="7" t="n"/>
    </row>
    <row r="31" ht="72" customHeight="1">
      <c r="A31" s="20" t="inlineStr">
        <is>
          <t>Sources checked</t>
        </is>
      </c>
      <c r="B31" s="22" t="inlineStr">
        <is>
          <t>Form 990 (no member count stated); company website</t>
        </is>
      </c>
    </row>
    <row r="32" ht="72" customHeight="1">
      <c r="A32" s="20" t="inlineStr">
        <is>
          <t>What was found</t>
        </is>
      </c>
      <c r="B32" s="22" t="inlineStr">
        <is>
          <t>No filing states a member/shareholder count, so the per-member unit economics read not reported rather than borrowing the connection count.</t>
        </is>
      </c>
    </row>
    <row r="34">
      <c r="A34" s="6" t="inlineStr">
        <is>
          <t>Water volume delivered (acre-feet) - not reported</t>
        </is>
      </c>
      <c r="B34" s="7" t="n"/>
    </row>
    <row r="35" ht="72" customHeight="1">
      <c r="A35" s="20" t="inlineStr">
        <is>
          <t>Sources checked</t>
        </is>
      </c>
      <c r="B35" s="22" t="inlineStr">
        <is>
          <t>Form 990 (not in the filing); Consumer Confidence Report; eAR Section 6 (PRA-gated)</t>
        </is>
      </c>
    </row>
    <row r="36" ht="72" customHeight="1">
      <c r="A36" s="20" t="inlineStr">
        <is>
          <t>What was found</t>
        </is>
      </c>
      <c r="B36" s="22" t="inlineStr">
        <is>
          <t>Volume delivered in acre-feet is not in the Form 990 and the CCR states only a source mix, so the per-acre-foot metrics read not reported; the eAR Section 6 is named as the source still needed.</t>
        </is>
      </c>
    </row>
  </sheetData>
  <mergeCells count="4">
    <mergeCell ref="A3:B3"/>
    <mergeCell ref="A2:B2"/>
    <mergeCell ref="A1:B1"/>
    <mergeCell ref="A5:B5"/>
  </mergeCell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B23"/>
  <sheetViews>
    <sheetView workbookViewId="0">
      <pane ySplit="4" topLeftCell="A5" activePane="bottomLeft" state="frozen"/>
      <selection pane="bottomLeft" activeCell="A1" sqref="A1"/>
    </sheetView>
  </sheetViews>
  <sheetFormatPr baseColWidth="8" defaultRowHeight="15"/>
  <cols>
    <col width="32" customWidth="1" min="1" max="1"/>
    <col width="96" customWidth="1" min="2" max="2"/>
  </cols>
  <sheetData>
    <row r="1">
      <c r="A1" s="1" t="inlineStr">
        <is>
          <t>Stockdale Annex Mutual Water Co</t>
        </is>
      </c>
    </row>
    <row r="2">
      <c r="A2" s="2" t="inlineStr">
        <is>
          <t>Anomaly Flags (automated; kept separate from the clean statements)</t>
        </is>
      </c>
    </row>
    <row r="3">
      <c r="A3" s="2" t="inlineStr">
        <is>
          <t>Entity ID: cawc_0143   |   Fiscal year ends December 31.</t>
        </is>
      </c>
    </row>
    <row r="5" ht="42" customHeight="1">
      <c r="A5" s="3" t="inlineStr">
        <is>
          <t>Material irregularities found automatically in the filed financials by the Hydronomics anomaly flagger. Each flag has two clearly separated layers. WHAT is mechanical, certain, and sourced: the exact filed lines, years, and amounts, carried as filed and never reconciled. WHY is attempted: the filing's own narrative is checked first, and when it states no reason a single best-guess hypothesis is shown, clearly labelled as a guess that is not in the filing and is not a verified figure.</t>
        </is>
      </c>
    </row>
    <row r="7">
      <c r="A7" s="6" t="inlineStr">
        <is>
          <t>Flag: FY2024 total revenue swing</t>
        </is>
      </c>
      <c r="B7" s="7" t="n"/>
    </row>
    <row r="8">
      <c r="A8" s="20" t="inlineStr">
        <is>
          <t>Affected figure</t>
        </is>
      </c>
      <c r="B8" s="22" t="inlineStr">
        <is>
          <t>Operating revenue FY2024</t>
        </is>
      </c>
    </row>
    <row r="9">
      <c r="A9" s="20" t="inlineStr">
        <is>
          <t>Confidence</t>
        </is>
      </c>
      <c r="B9" s="22" t="inlineStr">
        <is>
          <t>high</t>
        </is>
      </c>
    </row>
    <row r="10" ht="72" customHeight="1">
      <c r="A10" s="20" t="inlineStr">
        <is>
          <t>What happened (filed, sourced)</t>
        </is>
      </c>
      <c r="B10" s="22" t="inlineStr">
        <is>
          <t>FY2024 total revenue fell to $269,819 from $1,458,158 in FY2023, a 81 percent move ($1,188,339 in absolute terms). Carried as filed and flagged as a documented anomaly, not smoothed.</t>
        </is>
      </c>
    </row>
    <row r="11" ht="22" customHeight="1">
      <c r="A11" s="20" t="inlineStr">
        <is>
          <t>Source lines</t>
        </is>
      </c>
      <c r="B11" s="22" t="inlineStr">
        <is>
          <t>- total revenue: $1,458,158 FY2023, $269,819 FY2024</t>
        </is>
      </c>
    </row>
    <row r="12" ht="72" customHeight="1">
      <c r="A12" s="20" t="inlineStr">
        <is>
          <t>Confidence reasoning</t>
        </is>
      </c>
      <c r="B12" s="22" t="inlineStr">
        <is>
          <t>A year-over-year move in a filed headline total that exceeds both the percentage and the dollar threshold; carried as filed.</t>
        </is>
      </c>
    </row>
    <row r="13">
      <c r="A13" s="20" t="inlineStr">
        <is>
          <t>Why (not stated in the filing)</t>
        </is>
      </c>
      <c r="B13" s="22" t="inlineStr">
        <is>
          <t>The filing does not state a reason.</t>
        </is>
      </c>
    </row>
    <row r="14" ht="60" customHeight="1">
      <c r="A14" s="20" t="inlineStr">
        <is>
          <t>Possible explanation (guess)</t>
        </is>
      </c>
      <c r="B14" s="29" t="inlineStr">
        <is>
          <t>Possible explanation, not stated in filing: a large one-year move in total revenue may reflect a one-time item or a change in how it was recorded. This is an educated guess, not something the filing actually says.</t>
        </is>
      </c>
    </row>
    <row r="16">
      <c r="A16" s="6" t="inlineStr">
        <is>
          <t>Flag: FY2023 opening net assets differ from FY2022 closing</t>
        </is>
      </c>
      <c r="B16" s="7" t="n"/>
    </row>
    <row r="17">
      <c r="A17" s="20" t="inlineStr">
        <is>
          <t>Affected figure</t>
        </is>
      </c>
      <c r="B17" s="22" t="inlineStr">
        <is>
          <t>Net assets FY2023</t>
        </is>
      </c>
    </row>
    <row r="18">
      <c r="A18" s="20" t="inlineStr">
        <is>
          <t>Confidence</t>
        </is>
      </c>
      <c r="B18" s="22" t="inlineStr">
        <is>
          <t>high</t>
        </is>
      </c>
    </row>
    <row r="19" ht="72" customHeight="1">
      <c r="A19" s="20" t="inlineStr">
        <is>
          <t>What happened (filed, sourced)</t>
        </is>
      </c>
      <c r="B19" s="22" t="inlineStr">
        <is>
          <t>The company filed $873,159 as its beginning net assets for FY2023 and $873,161 as its ending net assets for FY2022, a difference of $-2. Both figures are carried exactly as each year's own filing reports them. Neither is adjusted to match the other.</t>
        </is>
      </c>
    </row>
    <row r="20" ht="54" customHeight="1">
      <c r="A20" s="20" t="inlineStr">
        <is>
          <t>Source lines</t>
        </is>
      </c>
      <c r="B20" s="22" t="inlineStr">
        <is>
          <t>- FY2023 net assets, beginning of year (as filed): $873,159
- FY2022 net assets, end of year (as filed): $873,161
- Difference: $-2</t>
        </is>
      </c>
    </row>
    <row r="21" ht="72" customHeight="1">
      <c r="A21" s="20" t="inlineStr">
        <is>
          <t>Confidence reasoning</t>
        </is>
      </c>
      <c r="B21" s="22" t="inlineStr">
        <is>
          <t>Both are direct filed line items read from two different returns, so the difference between them is high confidence as an observation. What caused it is not stated on either form.</t>
        </is>
      </c>
    </row>
    <row r="22">
      <c r="A22" s="20" t="inlineStr">
        <is>
          <t>Why (not stated in the filing)</t>
        </is>
      </c>
      <c r="B22" s="22" t="inlineStr">
        <is>
          <t>The filing does not state a reason.</t>
        </is>
      </c>
    </row>
    <row r="23" ht="60" customHeight="1">
      <c r="A23" s="20" t="inlineStr">
        <is>
          <t>Possible explanation (guess)</t>
        </is>
      </c>
      <c r="B23" s="29" t="inlineStr">
        <is>
          <t>Possible explanation, not stated in filing: a beginning balance that differs from the prior year's ending balance usually means the earlier year was restated, or a balance-sheet line was reclassified between the two filings. This is an educated guess, not something either filing says.</t>
        </is>
      </c>
    </row>
  </sheetData>
  <mergeCells count="4">
    <mergeCell ref="A3:B3"/>
    <mergeCell ref="A2:B2"/>
    <mergeCell ref="A1:B1"/>
    <mergeCell ref="A5:B5"/>
  </mergeCell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K183"/>
  <sheetViews>
    <sheetView workbookViewId="0">
      <pane ySplit="5" topLeftCell="A6" activePane="bottomLeft" state="frozen"/>
      <selection pane="bottomLeft" activeCell="A1" sqref="A1"/>
    </sheetView>
  </sheetViews>
  <sheetFormatPr baseColWidth="8" defaultRowHeight="15"/>
  <cols>
    <col width="22" customWidth="1" min="1" max="1"/>
    <col width="10" customWidth="1" min="2" max="2"/>
    <col width="40" customWidth="1" min="3" max="3"/>
    <col width="16" customWidth="1" min="4" max="4"/>
    <col width="46" customWidth="1" min="5" max="5"/>
    <col width="12" customWidth="1" min="6" max="6"/>
    <col width="18" customWidth="1" min="7" max="7"/>
  </cols>
  <sheetData>
    <row r="1">
      <c r="A1" s="1" t="inlineStr">
        <is>
          <t>Stockdale Annex Mutual Water Co</t>
        </is>
      </c>
    </row>
    <row r="2">
      <c r="A2" s="2" t="inlineStr">
        <is>
          <t>Sources &amp; audit - full provenance and tie-outs (kept off the statements so they read clean)</t>
        </is>
      </c>
    </row>
    <row r="3">
      <c r="A3" s="2" t="inlineStr">
        <is>
          <t>Entity ID: cawc_0143   |   Fiscal year ends December 31.</t>
        </is>
      </c>
    </row>
    <row r="5" ht="30" customHeight="1">
      <c r="A5" s="3" t="inlineStr">
        <is>
          <t>Presentation standard: every figure on the statement tabs is verified to its source filing and shown clean. A cell the filing does not report reads "not reported" (never estimated, never guessed).</t>
        </is>
      </c>
    </row>
    <row r="6" ht="30" customHeight="1">
      <c r="A6" s="3" t="inlineStr">
        <is>
          <t>Citations, confidence tiers, and the filed-vs-computed tie-out checks live on the "Sources &amp; audit" tab, keyed by cell, so every number is fully traceable without cluttering the statements. These pages are ready to use as filed.</t>
        </is>
      </c>
    </row>
    <row r="8">
      <c r="A8" s="30" t="inlineStr">
        <is>
          <t>A. Filing provenance (one row per staged extraction)</t>
        </is>
      </c>
      <c r="B8" s="7" t="n"/>
      <c r="C8" s="7" t="n"/>
      <c r="D8" s="7" t="n"/>
      <c r="E8" s="7" t="n"/>
      <c r="F8" s="7" t="n"/>
      <c r="G8" s="7" t="n"/>
      <c r="H8" s="7" t="n"/>
      <c r="I8" s="7" t="n"/>
      <c r="J8" s="7" t="n"/>
      <c r="K8" s="7" t="n"/>
    </row>
    <row r="9">
      <c r="A9" s="5" t="inlineStr">
        <is>
          <t>Fiscal year</t>
        </is>
      </c>
      <c r="B9" s="5" t="inlineStr">
        <is>
          <t>Period end</t>
        </is>
      </c>
      <c r="C9" s="5" t="inlineStr">
        <is>
          <t>Filing type</t>
        </is>
      </c>
      <c r="D9" s="5" t="inlineStr">
        <is>
          <t>Confidence</t>
        </is>
      </c>
      <c r="E9" s="5" t="inlineStr">
        <is>
          <t>Extraction ID</t>
        </is>
      </c>
      <c r="F9" s="5" t="inlineStr">
        <is>
          <t>Object ID</t>
        </is>
      </c>
      <c r="G9" s="5" t="inlineStr">
        <is>
          <t>Extracted by</t>
        </is>
      </c>
      <c r="H9" s="5" t="inlineStr">
        <is>
          <t>Extracted at</t>
        </is>
      </c>
      <c r="I9" s="5" t="inlineStr">
        <is>
          <t>Source URL</t>
        </is>
      </c>
    </row>
    <row r="10">
      <c r="A10" s="27" t="inlineStr">
        <is>
          <t>FY2020</t>
        </is>
      </c>
      <c r="B10" s="8" t="inlineStr">
        <is>
          <t>2020-12-31</t>
        </is>
      </c>
      <c r="C10" s="8" t="inlineStr">
        <is>
          <t>990</t>
        </is>
      </c>
      <c r="D10" s="8" t="inlineStr">
        <is>
          <t>high</t>
        </is>
      </c>
      <c r="E10" s="8" t="inlineStr">
        <is>
          <t>bd197e5f-187d-49b6-b57d-631200938bb1</t>
        </is>
      </c>
      <c r="F10" s="8" t="inlineStr">
        <is>
          <t>202111489349301011</t>
        </is>
      </c>
      <c r="G10" s="8" t="inlineStr">
        <is>
          <t>claude-opus-5</t>
        </is>
      </c>
      <c r="H10" s="8" t="inlineStr">
        <is>
          <t>2026-10-03T23:10:03+00:00</t>
        </is>
      </c>
      <c r="I10" s="8" t="inlineStr">
        <is>
          <t>https://apps.irs.gov/pub/epostcard/990/xml/2021/2021_TEOS_XML_01A.zip#202111489349301011_public.xml</t>
        </is>
      </c>
    </row>
    <row r="11">
      <c r="A11" s="27" t="inlineStr">
        <is>
          <t>FY2021</t>
        </is>
      </c>
      <c r="B11" s="8" t="inlineStr">
        <is>
          <t>2021-12-31</t>
        </is>
      </c>
      <c r="C11" s="8" t="inlineStr">
        <is>
          <t>990</t>
        </is>
      </c>
      <c r="D11" s="8" t="inlineStr">
        <is>
          <t>high</t>
        </is>
      </c>
      <c r="E11" s="8" t="inlineStr">
        <is>
          <t>86f786d0-7b81-4e3c-96c4-2726a832daad</t>
        </is>
      </c>
      <c r="F11" s="8" t="inlineStr">
        <is>
          <t>202201319349303700</t>
        </is>
      </c>
      <c r="G11" s="8" t="inlineStr">
        <is>
          <t>claude-opus-5</t>
        </is>
      </c>
      <c r="H11" s="8" t="inlineStr">
        <is>
          <t>2026-10-03T23:10:03+00:00</t>
        </is>
      </c>
      <c r="I11" s="8" t="inlineStr">
        <is>
          <t>https://apps.irs.gov/pub/epostcard/990/xml/2022/2022_TEOS_XML_01A.zip#202201319349303700_public.xml</t>
        </is>
      </c>
    </row>
    <row r="12">
      <c r="A12" s="27" t="inlineStr">
        <is>
          <t>FY2022</t>
        </is>
      </c>
      <c r="B12" s="8" t="inlineStr">
        <is>
          <t>2022-12-31</t>
        </is>
      </c>
      <c r="C12" s="8" t="inlineStr">
        <is>
          <t>990</t>
        </is>
      </c>
      <c r="D12" s="8" t="inlineStr">
        <is>
          <t>high</t>
        </is>
      </c>
      <c r="E12" s="8" t="inlineStr">
        <is>
          <t>5fb3c3ea-76cd-4f1c-adba-d954ab0674b5</t>
        </is>
      </c>
      <c r="F12" s="8" t="inlineStr">
        <is>
          <t>202331659349300843</t>
        </is>
      </c>
      <c r="G12" s="8" t="inlineStr">
        <is>
          <t>claude-opus-5</t>
        </is>
      </c>
      <c r="H12" s="8" t="inlineStr">
        <is>
          <t>2026-10-03T23:10:03+00:00</t>
        </is>
      </c>
      <c r="I12" s="8" t="inlineStr">
        <is>
          <t>https://apps.irs.gov/pub/epostcard/990/xml/2023/2023_TEOS_XML_06A.zip#202331659349300843_public.xml</t>
        </is>
      </c>
    </row>
    <row r="13">
      <c r="A13" s="27" t="inlineStr">
        <is>
          <t>FY2023</t>
        </is>
      </c>
      <c r="B13" s="8" t="inlineStr">
        <is>
          <t>2023-12-31</t>
        </is>
      </c>
      <c r="C13" s="8" t="inlineStr">
        <is>
          <t>990</t>
        </is>
      </c>
      <c r="D13" s="8" t="inlineStr">
        <is>
          <t>high</t>
        </is>
      </c>
      <c r="E13" s="8" t="inlineStr">
        <is>
          <t>595d1db7-1735-4625-b4a9-4e5b2046950c</t>
        </is>
      </c>
      <c r="F13" s="8" t="inlineStr">
        <is>
          <t>202442299349301239</t>
        </is>
      </c>
      <c r="G13" s="8" t="inlineStr">
        <is>
          <t>claude-opus-5</t>
        </is>
      </c>
      <c r="H13" s="8" t="inlineStr">
        <is>
          <t>2026-10-03T23:10:03+00:00</t>
        </is>
      </c>
      <c r="I13" s="8" t="inlineStr">
        <is>
          <t>https://apps.irs.gov/pub/epostcard/990/xml/2024/2024_TEOS_XML_08A.zip#202442299349301239_public.xml</t>
        </is>
      </c>
    </row>
    <row r="14">
      <c r="A14" s="27" t="inlineStr">
        <is>
          <t>FY2024</t>
        </is>
      </c>
      <c r="B14" s="8" t="inlineStr">
        <is>
          <t>2024-12-31</t>
        </is>
      </c>
      <c r="C14" s="8" t="inlineStr">
        <is>
          <t>990</t>
        </is>
      </c>
      <c r="D14" s="8" t="inlineStr">
        <is>
          <t>high</t>
        </is>
      </c>
      <c r="E14" s="8" t="inlineStr">
        <is>
          <t>6ee9da0e-fb95-4523-8406-13d3bb1248a3</t>
        </is>
      </c>
      <c r="F14" s="8" t="inlineStr">
        <is>
          <t>202512529349300446</t>
        </is>
      </c>
      <c r="G14" s="8" t="inlineStr">
        <is>
          <t>claude-opus-5</t>
        </is>
      </c>
      <c r="H14" s="8" t="inlineStr">
        <is>
          <t>2026-10-03T23:10:03+00:00</t>
        </is>
      </c>
      <c r="I14" s="8" t="inlineStr">
        <is>
          <t>https://apps.irs.gov/pub/epostcard/990/xml/2025/2025_TEOS_XML_09A.zip#202512529349300446_public.xml</t>
        </is>
      </c>
    </row>
    <row r="16">
      <c r="A16" s="30" t="inlineStr">
        <is>
          <t>B. Figure citations (every figure on the statement tabs, keyed by cell)</t>
        </is>
      </c>
      <c r="B16" s="7" t="n"/>
      <c r="C16" s="7" t="n"/>
      <c r="D16" s="7" t="n"/>
      <c r="E16" s="7" t="n"/>
      <c r="F16" s="7" t="n"/>
      <c r="G16" s="7" t="n"/>
      <c r="H16" s="7" t="n"/>
      <c r="I16" s="7" t="n"/>
      <c r="J16" s="7" t="n"/>
      <c r="K16" s="7" t="n"/>
    </row>
    <row r="17">
      <c r="A17" s="5" t="inlineStr">
        <is>
          <t>Tab</t>
        </is>
      </c>
      <c r="B17" s="5" t="inlineStr">
        <is>
          <t>Cell</t>
        </is>
      </c>
      <c r="C17" s="5" t="inlineStr">
        <is>
          <t>Line item</t>
        </is>
      </c>
      <c r="D17" s="5" t="inlineStr">
        <is>
          <t>Form 990 line</t>
        </is>
      </c>
      <c r="E17" s="5" t="inlineStr">
        <is>
          <t>Key path</t>
        </is>
      </c>
      <c r="F17" s="5" t="inlineStr">
        <is>
          <t>Confidence</t>
        </is>
      </c>
      <c r="G17" s="5" t="inlineStr">
        <is>
          <t>As filed</t>
        </is>
      </c>
    </row>
    <row r="18">
      <c r="A18" s="8" t="inlineStr">
        <is>
          <t>Financial Statements</t>
        </is>
      </c>
      <c r="B18" s="8" t="inlineStr">
        <is>
          <t>B73</t>
        </is>
      </c>
      <c r="C18" s="8" t="inlineStr">
        <is>
          <t>11a. Gross income from members or shareholders</t>
        </is>
      </c>
      <c r="D18" s="8" t="inlineStr">
        <is>
          <t>11a</t>
        </is>
      </c>
      <c r="E18" s="8" t="inlineStr">
        <is>
          <t>part_v_other_irs_filings.members_and_shareholders_gross_income</t>
        </is>
      </c>
      <c r="F18" s="8" t="inlineStr">
        <is>
          <t>high</t>
        </is>
      </c>
      <c r="G18" s="9" t="n">
        <v>144340</v>
      </c>
    </row>
    <row r="19">
      <c r="A19" s="8" t="inlineStr">
        <is>
          <t>Financial Statements</t>
        </is>
      </c>
      <c r="B19" s="8" t="inlineStr">
        <is>
          <t>C73</t>
        </is>
      </c>
      <c r="C19" s="8" t="inlineStr">
        <is>
          <t>11a. Gross income from members or shareholders</t>
        </is>
      </c>
      <c r="D19" s="8" t="inlineStr">
        <is>
          <t>11a</t>
        </is>
      </c>
      <c r="E19" s="8" t="inlineStr">
        <is>
          <t>part_v_other_irs_filings.members_and_shareholders_gross_income</t>
        </is>
      </c>
      <c r="F19" s="8" t="inlineStr">
        <is>
          <t>high</t>
        </is>
      </c>
      <c r="G19" s="9" t="n">
        <v>226545</v>
      </c>
    </row>
    <row r="20">
      <c r="A20" s="8" t="inlineStr">
        <is>
          <t>Financial Statements</t>
        </is>
      </c>
      <c r="B20" s="8" t="inlineStr">
        <is>
          <t>D73</t>
        </is>
      </c>
      <c r="C20" s="8" t="inlineStr">
        <is>
          <t>11a. Gross income from members or shareholders</t>
        </is>
      </c>
      <c r="D20" s="8" t="inlineStr">
        <is>
          <t>11a</t>
        </is>
      </c>
      <c r="E20" s="8" t="inlineStr">
        <is>
          <t>part_v_other_irs_filings.members_and_shareholders_gross_income</t>
        </is>
      </c>
      <c r="F20" s="8" t="inlineStr">
        <is>
          <t>high</t>
        </is>
      </c>
      <c r="G20" s="9" t="n">
        <v>253626</v>
      </c>
    </row>
    <row r="21">
      <c r="A21" s="8" t="inlineStr">
        <is>
          <t>Financial Statements</t>
        </is>
      </c>
      <c r="B21" s="8" t="inlineStr">
        <is>
          <t>E73</t>
        </is>
      </c>
      <c r="C21" s="8" t="inlineStr">
        <is>
          <t>11a. Gross income from members or shareholders</t>
        </is>
      </c>
      <c r="D21" s="8" t="inlineStr">
        <is>
          <t>11a</t>
        </is>
      </c>
      <c r="E21" s="8" t="inlineStr">
        <is>
          <t>part_v_other_irs_filings.members_and_shareholders_gross_income</t>
        </is>
      </c>
      <c r="F21" s="8" t="inlineStr">
        <is>
          <t>high</t>
        </is>
      </c>
      <c r="G21" s="9" t="n">
        <v>1454070</v>
      </c>
    </row>
    <row r="22">
      <c r="A22" s="8" t="inlineStr">
        <is>
          <t>Financial Statements</t>
        </is>
      </c>
      <c r="B22" s="8" t="inlineStr">
        <is>
          <t>F73</t>
        </is>
      </c>
      <c r="C22" s="8" t="inlineStr">
        <is>
          <t>11a. Gross income from members or shareholders</t>
        </is>
      </c>
      <c r="D22" s="8" t="inlineStr">
        <is>
          <t>11a</t>
        </is>
      </c>
      <c r="E22" s="8" t="inlineStr">
        <is>
          <t>part_v_other_irs_filings.members_and_shareholders_gross_income</t>
        </is>
      </c>
      <c r="F22" s="8" t="inlineStr">
        <is>
          <t>high</t>
        </is>
      </c>
      <c r="G22" s="9" t="n">
        <v>255834</v>
      </c>
    </row>
    <row r="23">
      <c r="A23" s="8" t="inlineStr">
        <is>
          <t>Financial Statements</t>
        </is>
      </c>
      <c r="B23" s="8" t="inlineStr">
        <is>
          <t>B74</t>
        </is>
      </c>
      <c r="C23" s="8" t="inlineStr">
        <is>
          <t>11b. Gross income from other sources</t>
        </is>
      </c>
      <c r="D23" s="8" t="inlineStr">
        <is>
          <t>11b</t>
        </is>
      </c>
      <c r="E23" s="8" t="inlineStr">
        <is>
          <t>part_v_other_irs_filings.other_sources_gross_income</t>
        </is>
      </c>
      <c r="F23" s="8" t="inlineStr">
        <is>
          <t>high</t>
        </is>
      </c>
      <c r="G23" s="9" t="n">
        <v>141</v>
      </c>
    </row>
    <row r="24">
      <c r="A24" s="8" t="inlineStr">
        <is>
          <t>Financial Statements</t>
        </is>
      </c>
      <c r="B24" s="8" t="inlineStr">
        <is>
          <t>C74</t>
        </is>
      </c>
      <c r="C24" s="8" t="inlineStr">
        <is>
          <t>11b. Gross income from other sources</t>
        </is>
      </c>
      <c r="D24" s="8" t="inlineStr">
        <is>
          <t>11b</t>
        </is>
      </c>
      <c r="E24" s="8" t="inlineStr">
        <is>
          <t>part_v_other_irs_filings.other_sources_gross_income</t>
        </is>
      </c>
      <c r="F24" s="8" t="inlineStr">
        <is>
          <t>high</t>
        </is>
      </c>
      <c r="G24" s="9" t="n">
        <v>92</v>
      </c>
    </row>
    <row r="25">
      <c r="A25" s="8" t="inlineStr">
        <is>
          <t>Financial Statements</t>
        </is>
      </c>
      <c r="B25" s="8" t="inlineStr">
        <is>
          <t>D74</t>
        </is>
      </c>
      <c r="C25" s="8" t="inlineStr">
        <is>
          <t>11b. Gross income from other sources</t>
        </is>
      </c>
      <c r="D25" s="8" t="inlineStr">
        <is>
          <t>11b</t>
        </is>
      </c>
      <c r="E25" s="8" t="inlineStr">
        <is>
          <t>part_v_other_irs_filings.other_sources_gross_income</t>
        </is>
      </c>
      <c r="F25" s="8" t="inlineStr">
        <is>
          <t>high</t>
        </is>
      </c>
      <c r="G25" s="9" t="n">
        <v>214</v>
      </c>
    </row>
    <row r="26">
      <c r="A26" s="8" t="inlineStr">
        <is>
          <t>Financial Statements</t>
        </is>
      </c>
      <c r="B26" s="8" t="inlineStr">
        <is>
          <t>E74</t>
        </is>
      </c>
      <c r="C26" s="8" t="inlineStr">
        <is>
          <t>11b. Gross income from other sources</t>
        </is>
      </c>
      <c r="D26" s="8" t="inlineStr">
        <is>
          <t>11b</t>
        </is>
      </c>
      <c r="E26" s="8" t="inlineStr">
        <is>
          <t>part_v_other_irs_filings.other_sources_gross_income</t>
        </is>
      </c>
      <c r="F26" s="8" t="inlineStr">
        <is>
          <t>high</t>
        </is>
      </c>
      <c r="G26" s="9" t="n">
        <v>5805</v>
      </c>
    </row>
    <row r="27">
      <c r="A27" s="8" t="inlineStr">
        <is>
          <t>Financial Statements</t>
        </is>
      </c>
      <c r="B27" s="8" t="inlineStr">
        <is>
          <t>F74</t>
        </is>
      </c>
      <c r="C27" s="8" t="inlineStr">
        <is>
          <t>11b. Gross income from other sources</t>
        </is>
      </c>
      <c r="D27" s="8" t="inlineStr">
        <is>
          <t>11b</t>
        </is>
      </c>
      <c r="E27" s="8" t="inlineStr">
        <is>
          <t>part_v_other_irs_filings.other_sources_gross_income</t>
        </is>
      </c>
      <c r="F27" s="8" t="inlineStr">
        <is>
          <t>high</t>
        </is>
      </c>
      <c r="G27" s="9" t="n">
        <v>13986</v>
      </c>
    </row>
    <row r="28">
      <c r="A28" s="8" t="inlineStr">
        <is>
          <t>Revenue (detail)</t>
        </is>
      </c>
      <c r="B28" s="8" t="inlineStr">
        <is>
          <t>B8</t>
        </is>
      </c>
      <c r="C28" s="8" t="inlineStr">
        <is>
          <t>2g. Total program service revenue</t>
        </is>
      </c>
      <c r="D28" s="8" t="inlineStr">
        <is>
          <t>2g</t>
        </is>
      </c>
      <c r="E28" s="8" t="inlineStr">
        <is>
          <t>part_viii_revenue.total_program_service_revenue</t>
        </is>
      </c>
      <c r="F28" s="8" t="inlineStr">
        <is>
          <t>high</t>
        </is>
      </c>
      <c r="G28" s="9" t="n">
        <v>143360</v>
      </c>
    </row>
    <row r="29">
      <c r="A29" s="8" t="inlineStr">
        <is>
          <t>Revenue (detail)</t>
        </is>
      </c>
      <c r="B29" s="8" t="inlineStr">
        <is>
          <t>C8</t>
        </is>
      </c>
      <c r="C29" s="8" t="inlineStr">
        <is>
          <t>2g. Total program service revenue</t>
        </is>
      </c>
      <c r="D29" s="8" t="inlineStr">
        <is>
          <t>2g</t>
        </is>
      </c>
      <c r="E29" s="8" t="inlineStr">
        <is>
          <t>part_viii_revenue.total_program_service_revenue</t>
        </is>
      </c>
      <c r="F29" s="8" t="inlineStr">
        <is>
          <t>high</t>
        </is>
      </c>
      <c r="G29" s="9" t="n">
        <v>225770</v>
      </c>
    </row>
    <row r="30">
      <c r="A30" s="8" t="inlineStr">
        <is>
          <t>Revenue (detail)</t>
        </is>
      </c>
      <c r="B30" s="8" t="inlineStr">
        <is>
          <t>D8</t>
        </is>
      </c>
      <c r="C30" s="8" t="inlineStr">
        <is>
          <t>2g. Total program service revenue</t>
        </is>
      </c>
      <c r="D30" s="8" t="inlineStr">
        <is>
          <t>2g</t>
        </is>
      </c>
      <c r="E30" s="8" t="inlineStr">
        <is>
          <t>part_viii_revenue.total_program_service_revenue</t>
        </is>
      </c>
      <c r="F30" s="8" t="inlineStr">
        <is>
          <t>high</t>
        </is>
      </c>
      <c r="G30" s="9" t="n">
        <v>251735</v>
      </c>
    </row>
    <row r="31">
      <c r="A31" s="8" t="inlineStr">
        <is>
          <t>Revenue (detail)</t>
        </is>
      </c>
      <c r="B31" s="8" t="inlineStr">
        <is>
          <t>E8</t>
        </is>
      </c>
      <c r="C31" s="8" t="inlineStr">
        <is>
          <t>2g. Total program service revenue</t>
        </is>
      </c>
      <c r="D31" s="8" t="inlineStr">
        <is>
          <t>2g</t>
        </is>
      </c>
      <c r="E31" s="8" t="inlineStr">
        <is>
          <t>part_viii_revenue.total_program_service_revenue</t>
        </is>
      </c>
      <c r="F31" s="8" t="inlineStr">
        <is>
          <t>high</t>
        </is>
      </c>
      <c r="G31" s="9" t="n">
        <v>1450503</v>
      </c>
    </row>
    <row r="32">
      <c r="A32" s="8" t="inlineStr">
        <is>
          <t>Revenue (detail)</t>
        </is>
      </c>
      <c r="B32" s="8" t="inlineStr">
        <is>
          <t>F8</t>
        </is>
      </c>
      <c r="C32" s="8" t="inlineStr">
        <is>
          <t>2g. Total program service revenue</t>
        </is>
      </c>
      <c r="D32" s="8" t="inlineStr">
        <is>
          <t>2g</t>
        </is>
      </c>
      <c r="E32" s="8" t="inlineStr">
        <is>
          <t>part_viii_revenue.total_program_service_revenue</t>
        </is>
      </c>
      <c r="F32" s="8" t="inlineStr">
        <is>
          <t>high</t>
        </is>
      </c>
      <c r="G32" s="9" t="n">
        <v>251967</v>
      </c>
    </row>
    <row r="33">
      <c r="A33" s="8" t="inlineStr">
        <is>
          <t>Revenue (detail)</t>
        </is>
      </c>
      <c r="B33" s="8" t="inlineStr">
        <is>
          <t>B9</t>
        </is>
      </c>
      <c r="C33" s="8" t="inlineStr">
        <is>
          <t>3. Investment income</t>
        </is>
      </c>
      <c r="D33" s="8" t="inlineStr">
        <is>
          <t>3</t>
        </is>
      </c>
      <c r="E33" s="8" t="inlineStr">
        <is>
          <t>part_viii_revenue.investment_income</t>
        </is>
      </c>
      <c r="F33" s="8" t="inlineStr">
        <is>
          <t>high</t>
        </is>
      </c>
      <c r="G33" s="9" t="n">
        <v>141</v>
      </c>
    </row>
    <row r="34">
      <c r="A34" s="8" t="inlineStr">
        <is>
          <t>Revenue (detail)</t>
        </is>
      </c>
      <c r="B34" s="8" t="inlineStr">
        <is>
          <t>C9</t>
        </is>
      </c>
      <c r="C34" s="8" t="inlineStr">
        <is>
          <t>3. Investment income</t>
        </is>
      </c>
      <c r="D34" s="8" t="inlineStr">
        <is>
          <t>3</t>
        </is>
      </c>
      <c r="E34" s="8" t="inlineStr">
        <is>
          <t>part_viii_revenue.investment_income</t>
        </is>
      </c>
      <c r="F34" s="8" t="inlineStr">
        <is>
          <t>high</t>
        </is>
      </c>
      <c r="G34" s="9" t="n">
        <v>92</v>
      </c>
    </row>
    <row r="35">
      <c r="A35" s="8" t="inlineStr">
        <is>
          <t>Revenue (detail)</t>
        </is>
      </c>
      <c r="B35" s="8" t="inlineStr">
        <is>
          <t>D9</t>
        </is>
      </c>
      <c r="C35" s="8" t="inlineStr">
        <is>
          <t>3. Investment income</t>
        </is>
      </c>
      <c r="D35" s="8" t="inlineStr">
        <is>
          <t>3</t>
        </is>
      </c>
      <c r="E35" s="8" t="inlineStr">
        <is>
          <t>part_viii_revenue.investment_income</t>
        </is>
      </c>
      <c r="F35" s="8" t="inlineStr">
        <is>
          <t>high</t>
        </is>
      </c>
      <c r="G35" s="9" t="n">
        <v>214</v>
      </c>
    </row>
    <row r="36">
      <c r="A36" s="8" t="inlineStr">
        <is>
          <t>Revenue (detail)</t>
        </is>
      </c>
      <c r="B36" s="8" t="inlineStr">
        <is>
          <t>E9</t>
        </is>
      </c>
      <c r="C36" s="8" t="inlineStr">
        <is>
          <t>3. Investment income</t>
        </is>
      </c>
      <c r="D36" s="8" t="inlineStr">
        <is>
          <t>3</t>
        </is>
      </c>
      <c r="E36" s="8" t="inlineStr">
        <is>
          <t>part_viii_revenue.investment_income</t>
        </is>
      </c>
      <c r="F36" s="8" t="inlineStr">
        <is>
          <t>high</t>
        </is>
      </c>
      <c r="G36" s="9" t="n">
        <v>5805</v>
      </c>
    </row>
    <row r="37">
      <c r="A37" s="8" t="inlineStr">
        <is>
          <t>Revenue (detail)</t>
        </is>
      </c>
      <c r="B37" s="8" t="inlineStr">
        <is>
          <t>F9</t>
        </is>
      </c>
      <c r="C37" s="8" t="inlineStr">
        <is>
          <t>3. Investment income</t>
        </is>
      </c>
      <c r="D37" s="8" t="inlineStr">
        <is>
          <t>3</t>
        </is>
      </c>
      <c r="E37" s="8" t="inlineStr">
        <is>
          <t>part_viii_revenue.investment_income</t>
        </is>
      </c>
      <c r="F37" s="8" t="inlineStr">
        <is>
          <t>high</t>
        </is>
      </c>
      <c r="G37" s="9" t="n">
        <v>13986</v>
      </c>
    </row>
    <row r="38">
      <c r="A38" s="8" t="inlineStr">
        <is>
          <t>Revenue (detail)</t>
        </is>
      </c>
      <c r="B38" s="8" t="inlineStr">
        <is>
          <t>B12</t>
        </is>
      </c>
      <c r="C38" s="8" t="inlineStr">
        <is>
          <t>11e. Other revenue</t>
        </is>
      </c>
      <c r="D38" s="8" t="inlineStr">
        <is>
          <t>11e</t>
        </is>
      </c>
      <c r="E38" s="8" t="inlineStr">
        <is>
          <t>part_viii_revenue.other_revenue_total</t>
        </is>
      </c>
      <c r="F38" s="8" t="inlineStr">
        <is>
          <t>high</t>
        </is>
      </c>
      <c r="G38" s="9" t="n">
        <v>980</v>
      </c>
    </row>
    <row r="39">
      <c r="A39" s="8" t="inlineStr">
        <is>
          <t>Revenue (detail)</t>
        </is>
      </c>
      <c r="B39" s="8" t="inlineStr">
        <is>
          <t>C12</t>
        </is>
      </c>
      <c r="C39" s="8" t="inlineStr">
        <is>
          <t>11e. Other revenue</t>
        </is>
      </c>
      <c r="D39" s="8" t="inlineStr">
        <is>
          <t>11e</t>
        </is>
      </c>
      <c r="E39" s="8" t="inlineStr">
        <is>
          <t>part_viii_revenue.other_revenue_total</t>
        </is>
      </c>
      <c r="F39" s="8" t="inlineStr">
        <is>
          <t>high</t>
        </is>
      </c>
      <c r="G39" s="9" t="n">
        <v>775</v>
      </c>
    </row>
    <row r="40">
      <c r="A40" s="8" t="inlineStr">
        <is>
          <t>Revenue (detail)</t>
        </is>
      </c>
      <c r="B40" s="8" t="inlineStr">
        <is>
          <t>D12</t>
        </is>
      </c>
      <c r="C40" s="8" t="inlineStr">
        <is>
          <t>11e. Other revenue</t>
        </is>
      </c>
      <c r="D40" s="8" t="inlineStr">
        <is>
          <t>11e</t>
        </is>
      </c>
      <c r="E40" s="8" t="inlineStr">
        <is>
          <t>part_viii_revenue.other_revenue_total</t>
        </is>
      </c>
      <c r="F40" s="8" t="inlineStr">
        <is>
          <t>high</t>
        </is>
      </c>
      <c r="G40" s="9" t="n">
        <v>1891</v>
      </c>
    </row>
    <row r="41">
      <c r="A41" s="8" t="inlineStr">
        <is>
          <t>Revenue (detail)</t>
        </is>
      </c>
      <c r="B41" s="8" t="inlineStr">
        <is>
          <t>E12</t>
        </is>
      </c>
      <c r="C41" s="8" t="inlineStr">
        <is>
          <t>11e. Other revenue</t>
        </is>
      </c>
      <c r="D41" s="8" t="inlineStr">
        <is>
          <t>11e</t>
        </is>
      </c>
      <c r="E41" s="8" t="inlineStr">
        <is>
          <t>part_viii_revenue.other_revenue_total</t>
        </is>
      </c>
      <c r="F41" s="8" t="inlineStr">
        <is>
          <t>high</t>
        </is>
      </c>
      <c r="G41" s="9" t="n">
        <v>1850</v>
      </c>
    </row>
    <row r="42">
      <c r="A42" s="8" t="inlineStr">
        <is>
          <t>Revenue (detail)</t>
        </is>
      </c>
      <c r="B42" s="8" t="inlineStr">
        <is>
          <t>F12</t>
        </is>
      </c>
      <c r="C42" s="8" t="inlineStr">
        <is>
          <t>11e. Other revenue</t>
        </is>
      </c>
      <c r="D42" s="8" t="inlineStr">
        <is>
          <t>11e</t>
        </is>
      </c>
      <c r="E42" s="8" t="inlineStr">
        <is>
          <t>part_viii_revenue.other_revenue_total</t>
        </is>
      </c>
      <c r="F42" s="8" t="inlineStr">
        <is>
          <t>high</t>
        </is>
      </c>
      <c r="G42" s="9" t="n">
        <v>3866</v>
      </c>
    </row>
    <row r="43">
      <c r="A43" s="8" t="inlineStr">
        <is>
          <t>Operating expenses (detail)</t>
        </is>
      </c>
      <c r="B43" s="8" t="inlineStr">
        <is>
          <t>B7</t>
        </is>
      </c>
      <c r="C43" s="8" t="inlineStr">
        <is>
          <t>11a. Fees for services: management</t>
        </is>
      </c>
      <c r="D43" s="8" t="inlineStr">
        <is>
          <t>11a</t>
        </is>
      </c>
      <c r="E43" s="8" t="inlineStr">
        <is>
          <t>part_ix_expenses.fees_management</t>
        </is>
      </c>
      <c r="F43" s="8" t="inlineStr">
        <is>
          <t>high</t>
        </is>
      </c>
      <c r="G43" s="9" t="n">
        <v>12000</v>
      </c>
    </row>
    <row r="44">
      <c r="A44" s="8" t="inlineStr">
        <is>
          <t>Operating expenses (detail)</t>
        </is>
      </c>
      <c r="B44" s="8" t="inlineStr">
        <is>
          <t>C7</t>
        </is>
      </c>
      <c r="C44" s="8" t="inlineStr">
        <is>
          <t>11a. Fees for services: management</t>
        </is>
      </c>
      <c r="D44" s="8" t="inlineStr">
        <is>
          <t>11a</t>
        </is>
      </c>
      <c r="E44" s="8" t="inlineStr">
        <is>
          <t>part_ix_expenses.fees_management</t>
        </is>
      </c>
      <c r="F44" s="8" t="inlineStr">
        <is>
          <t>high</t>
        </is>
      </c>
      <c r="G44" s="9" t="n">
        <v>12000</v>
      </c>
    </row>
    <row r="45">
      <c r="A45" s="8" t="inlineStr">
        <is>
          <t>Operating expenses (detail)</t>
        </is>
      </c>
      <c r="B45" s="8" t="inlineStr">
        <is>
          <t>D7</t>
        </is>
      </c>
      <c r="C45" s="8" t="inlineStr">
        <is>
          <t>11a. Fees for services: management</t>
        </is>
      </c>
      <c r="D45" s="8" t="inlineStr">
        <is>
          <t>11a</t>
        </is>
      </c>
      <c r="E45" s="8" t="inlineStr">
        <is>
          <t>part_ix_expenses.fees_management</t>
        </is>
      </c>
      <c r="F45" s="8" t="inlineStr">
        <is>
          <t>high</t>
        </is>
      </c>
      <c r="G45" s="9" t="n">
        <v>12000</v>
      </c>
    </row>
    <row r="46">
      <c r="A46" s="8" t="inlineStr">
        <is>
          <t>Operating expenses (detail)</t>
        </is>
      </c>
      <c r="B46" s="8" t="inlineStr">
        <is>
          <t>E7</t>
        </is>
      </c>
      <c r="C46" s="8" t="inlineStr">
        <is>
          <t>11a. Fees for services: management</t>
        </is>
      </c>
      <c r="D46" s="8" t="inlineStr">
        <is>
          <t>11a</t>
        </is>
      </c>
      <c r="E46" s="8" t="inlineStr">
        <is>
          <t>part_ix_expenses.fees_management</t>
        </is>
      </c>
      <c r="F46" s="8" t="inlineStr">
        <is>
          <t>high</t>
        </is>
      </c>
      <c r="G46" s="9" t="n">
        <v>14300</v>
      </c>
    </row>
    <row r="47">
      <c r="A47" s="8" t="inlineStr">
        <is>
          <t>Operating expenses (detail)</t>
        </is>
      </c>
      <c r="B47" s="8" t="inlineStr">
        <is>
          <t>F7</t>
        </is>
      </c>
      <c r="C47" s="8" t="inlineStr">
        <is>
          <t>11a. Fees for services: management</t>
        </is>
      </c>
      <c r="D47" s="8" t="inlineStr">
        <is>
          <t>11a</t>
        </is>
      </c>
      <c r="E47" s="8" t="inlineStr">
        <is>
          <t>part_ix_expenses.fees_management</t>
        </is>
      </c>
      <c r="F47" s="8" t="inlineStr">
        <is>
          <t>high</t>
        </is>
      </c>
      <c r="G47" s="9" t="n">
        <v>13200</v>
      </c>
    </row>
    <row r="48">
      <c r="A48" s="8" t="inlineStr">
        <is>
          <t>Operating expenses (detail)</t>
        </is>
      </c>
      <c r="B48" s="8" t="inlineStr">
        <is>
          <t>B8</t>
        </is>
      </c>
      <c r="C48" s="8" t="inlineStr">
        <is>
          <t>11b. Fees for services: legal</t>
        </is>
      </c>
      <c r="D48" s="8" t="inlineStr">
        <is>
          <t>11b</t>
        </is>
      </c>
      <c r="E48" s="8" t="inlineStr">
        <is>
          <t>part_ix_expenses.fees_legal</t>
        </is>
      </c>
      <c r="F48" s="8" t="inlineStr">
        <is>
          <t>high</t>
        </is>
      </c>
      <c r="G48" s="9" t="n">
        <v>7434</v>
      </c>
    </row>
    <row r="49">
      <c r="A49" s="8" t="inlineStr">
        <is>
          <t>Operating expenses (detail)</t>
        </is>
      </c>
      <c r="B49" s="8" t="inlineStr">
        <is>
          <t>C8</t>
        </is>
      </c>
      <c r="C49" s="8" t="inlineStr">
        <is>
          <t>11b. Fees for services: legal</t>
        </is>
      </c>
      <c r="D49" s="8" t="inlineStr">
        <is>
          <t>11b</t>
        </is>
      </c>
      <c r="E49" s="8" t="inlineStr">
        <is>
          <t>part_ix_expenses.fees_legal</t>
        </is>
      </c>
      <c r="F49" s="8" t="inlineStr">
        <is>
          <t>high</t>
        </is>
      </c>
      <c r="G49" s="9" t="n">
        <v>880</v>
      </c>
    </row>
    <row r="50">
      <c r="A50" s="8" t="inlineStr">
        <is>
          <t>Operating expenses (detail)</t>
        </is>
      </c>
      <c r="B50" s="8" t="inlineStr">
        <is>
          <t>D8</t>
        </is>
      </c>
      <c r="C50" s="8" t="inlineStr">
        <is>
          <t>11b. Fees for services: legal</t>
        </is>
      </c>
      <c r="D50" s="8" t="inlineStr">
        <is>
          <t>11b</t>
        </is>
      </c>
      <c r="E50" s="8" t="inlineStr">
        <is>
          <t>part_ix_expenses.fees_legal</t>
        </is>
      </c>
      <c r="F50" s="8" t="inlineStr">
        <is>
          <t>high</t>
        </is>
      </c>
      <c r="G50" s="9" t="n">
        <v>4703</v>
      </c>
    </row>
    <row r="51">
      <c r="A51" s="8" t="inlineStr">
        <is>
          <t>Operating expenses (detail)</t>
        </is>
      </c>
      <c r="B51" s="8" t="inlineStr">
        <is>
          <t>E8</t>
        </is>
      </c>
      <c r="C51" s="8" t="inlineStr">
        <is>
          <t>11b. Fees for services: legal</t>
        </is>
      </c>
      <c r="D51" s="8" t="inlineStr">
        <is>
          <t>11b</t>
        </is>
      </c>
      <c r="E51" s="8" t="inlineStr">
        <is>
          <t>part_ix_expenses.fees_legal</t>
        </is>
      </c>
      <c r="F51" s="8" t="inlineStr">
        <is>
          <t>high</t>
        </is>
      </c>
      <c r="G51" s="9" t="n">
        <v>4386</v>
      </c>
    </row>
    <row r="52">
      <c r="A52" s="8" t="inlineStr">
        <is>
          <t>Operating expenses (detail)</t>
        </is>
      </c>
      <c r="B52" s="8" t="inlineStr">
        <is>
          <t>F8</t>
        </is>
      </c>
      <c r="C52" s="8" t="inlineStr">
        <is>
          <t>11b. Fees for services: legal</t>
        </is>
      </c>
      <c r="D52" s="8" t="inlineStr">
        <is>
          <t>11b</t>
        </is>
      </c>
      <c r="E52" s="8" t="inlineStr">
        <is>
          <t>part_ix_expenses.fees_legal</t>
        </is>
      </c>
      <c r="F52" s="8" t="inlineStr">
        <is>
          <t>high</t>
        </is>
      </c>
      <c r="G52" s="9" t="n">
        <v>20582</v>
      </c>
    </row>
    <row r="53">
      <c r="A53" s="8" t="inlineStr">
        <is>
          <t>Operating expenses (detail)</t>
        </is>
      </c>
      <c r="B53" s="8" t="inlineStr">
        <is>
          <t>B9</t>
        </is>
      </c>
      <c r="C53" s="8" t="inlineStr">
        <is>
          <t>11c. Fees for services: accounting</t>
        </is>
      </c>
      <c r="D53" s="8" t="inlineStr">
        <is>
          <t>11c</t>
        </is>
      </c>
      <c r="E53" s="8" t="inlineStr">
        <is>
          <t>part_ix_expenses.fees_accounting</t>
        </is>
      </c>
      <c r="F53" s="8" t="inlineStr">
        <is>
          <t>high</t>
        </is>
      </c>
      <c r="G53" s="9" t="n">
        <v>4495</v>
      </c>
    </row>
    <row r="54">
      <c r="A54" s="8" t="inlineStr">
        <is>
          <t>Operating expenses (detail)</t>
        </is>
      </c>
      <c r="B54" s="8" t="inlineStr">
        <is>
          <t>C9</t>
        </is>
      </c>
      <c r="C54" s="8" t="inlineStr">
        <is>
          <t>11c. Fees for services: accounting</t>
        </is>
      </c>
      <c r="D54" s="8" t="inlineStr">
        <is>
          <t>11c</t>
        </is>
      </c>
      <c r="E54" s="8" t="inlineStr">
        <is>
          <t>part_ix_expenses.fees_accounting</t>
        </is>
      </c>
      <c r="F54" s="8" t="inlineStr">
        <is>
          <t>high</t>
        </is>
      </c>
      <c r="G54" s="9" t="n">
        <v>5286</v>
      </c>
    </row>
    <row r="55">
      <c r="A55" s="8" t="inlineStr">
        <is>
          <t>Operating expenses (detail)</t>
        </is>
      </c>
      <c r="B55" s="8" t="inlineStr">
        <is>
          <t>D9</t>
        </is>
      </c>
      <c r="C55" s="8" t="inlineStr">
        <is>
          <t>11c. Fees for services: accounting</t>
        </is>
      </c>
      <c r="D55" s="8" t="inlineStr">
        <is>
          <t>11c</t>
        </is>
      </c>
      <c r="E55" s="8" t="inlineStr">
        <is>
          <t>part_ix_expenses.fees_accounting</t>
        </is>
      </c>
      <c r="F55" s="8" t="inlineStr">
        <is>
          <t>high</t>
        </is>
      </c>
      <c r="G55" s="9" t="n">
        <v>4646</v>
      </c>
    </row>
    <row r="56">
      <c r="A56" s="8" t="inlineStr">
        <is>
          <t>Operating expenses (detail)</t>
        </is>
      </c>
      <c r="B56" s="8" t="inlineStr">
        <is>
          <t>E9</t>
        </is>
      </c>
      <c r="C56" s="8" t="inlineStr">
        <is>
          <t>11c. Fees for services: accounting</t>
        </is>
      </c>
      <c r="D56" s="8" t="inlineStr">
        <is>
          <t>11c</t>
        </is>
      </c>
      <c r="E56" s="8" t="inlineStr">
        <is>
          <t>part_ix_expenses.fees_accounting</t>
        </is>
      </c>
      <c r="F56" s="8" t="inlineStr">
        <is>
          <t>high</t>
        </is>
      </c>
      <c r="G56" s="9" t="n">
        <v>3733</v>
      </c>
    </row>
    <row r="57">
      <c r="A57" s="8" t="inlineStr">
        <is>
          <t>Operating expenses (detail)</t>
        </is>
      </c>
      <c r="B57" s="8" t="inlineStr">
        <is>
          <t>F9</t>
        </is>
      </c>
      <c r="C57" s="8" t="inlineStr">
        <is>
          <t>11c. Fees for services: accounting</t>
        </is>
      </c>
      <c r="D57" s="8" t="inlineStr">
        <is>
          <t>11c</t>
        </is>
      </c>
      <c r="E57" s="8" t="inlineStr">
        <is>
          <t>part_ix_expenses.fees_accounting</t>
        </is>
      </c>
      <c r="F57" s="8" t="inlineStr">
        <is>
          <t>high</t>
        </is>
      </c>
      <c r="G57" s="9" t="n">
        <v>3672</v>
      </c>
    </row>
    <row r="58">
      <c r="A58" s="8" t="inlineStr">
        <is>
          <t>Operating expenses (detail)</t>
        </is>
      </c>
      <c r="B58" s="8" t="inlineStr">
        <is>
          <t>B10</t>
        </is>
      </c>
      <c r="C58" s="8" t="inlineStr">
        <is>
          <t>11g. Fees for services: other</t>
        </is>
      </c>
      <c r="D58" s="8" t="inlineStr">
        <is>
          <t>11g</t>
        </is>
      </c>
      <c r="E58" s="8" t="inlineStr">
        <is>
          <t>part_ix_expenses.fees_other</t>
        </is>
      </c>
      <c r="F58" s="8" t="inlineStr">
        <is>
          <t>high</t>
        </is>
      </c>
      <c r="G58" s="9" t="n">
        <v>3415</v>
      </c>
    </row>
    <row r="59">
      <c r="A59" s="8" t="inlineStr">
        <is>
          <t>Operating expenses (detail)</t>
        </is>
      </c>
      <c r="B59" s="8" t="inlineStr">
        <is>
          <t>C10</t>
        </is>
      </c>
      <c r="C59" s="8" t="inlineStr">
        <is>
          <t>11g. Fees for services: other</t>
        </is>
      </c>
      <c r="D59" s="8" t="inlineStr">
        <is>
          <t>11g</t>
        </is>
      </c>
      <c r="E59" s="8" t="inlineStr">
        <is>
          <t>part_ix_expenses.fees_other</t>
        </is>
      </c>
      <c r="F59" s="8" t="inlineStr">
        <is>
          <t>high</t>
        </is>
      </c>
      <c r="G59" s="9" t="n">
        <v>10747</v>
      </c>
    </row>
    <row r="60">
      <c r="A60" s="8" t="inlineStr">
        <is>
          <t>Operating expenses (detail)</t>
        </is>
      </c>
      <c r="B60" s="8" t="inlineStr">
        <is>
          <t>D10</t>
        </is>
      </c>
      <c r="C60" s="8" t="inlineStr">
        <is>
          <t>11g. Fees for services: other</t>
        </is>
      </c>
      <c r="D60" s="8" t="inlineStr">
        <is>
          <t>11g</t>
        </is>
      </c>
      <c r="E60" s="8" t="inlineStr">
        <is>
          <t>part_ix_expenses.fees_other</t>
        </is>
      </c>
      <c r="F60" s="8" t="inlineStr">
        <is>
          <t>high</t>
        </is>
      </c>
      <c r="G60" s="9" t="n">
        <v>4945</v>
      </c>
    </row>
    <row r="61">
      <c r="A61" s="8" t="inlineStr">
        <is>
          <t>Operating expenses (detail)</t>
        </is>
      </c>
      <c r="B61" s="8" t="inlineStr">
        <is>
          <t>E10</t>
        </is>
      </c>
      <c r="C61" s="8" t="inlineStr">
        <is>
          <t>11g. Fees for services: other</t>
        </is>
      </c>
      <c r="D61" s="8" t="inlineStr">
        <is>
          <t>11g</t>
        </is>
      </c>
      <c r="E61" s="8" t="inlineStr">
        <is>
          <t>part_ix_expenses.fees_other</t>
        </is>
      </c>
      <c r="F61" s="8" t="inlineStr">
        <is>
          <t>high</t>
        </is>
      </c>
      <c r="G61" s="9" t="n">
        <v>15879</v>
      </c>
    </row>
    <row r="62">
      <c r="A62" s="8" t="inlineStr">
        <is>
          <t>Operating expenses (detail)</t>
        </is>
      </c>
      <c r="B62" s="8" t="inlineStr">
        <is>
          <t>B11</t>
        </is>
      </c>
      <c r="C62" s="8" t="inlineStr">
        <is>
          <t>22. Depreciation, depletion, and amortization</t>
        </is>
      </c>
      <c r="D62" s="8" t="inlineStr">
        <is>
          <t>22</t>
        </is>
      </c>
      <c r="E62" s="8" t="inlineStr">
        <is>
          <t>part_ix_expenses.depreciation</t>
        </is>
      </c>
      <c r="F62" s="8" t="inlineStr">
        <is>
          <t>high</t>
        </is>
      </c>
      <c r="G62" s="9" t="n">
        <v>8683</v>
      </c>
    </row>
    <row r="63">
      <c r="A63" s="8" t="inlineStr">
        <is>
          <t>Operating expenses (detail)</t>
        </is>
      </c>
      <c r="B63" s="8" t="inlineStr">
        <is>
          <t>C11</t>
        </is>
      </c>
      <c r="C63" s="8" t="inlineStr">
        <is>
          <t>22. Depreciation, depletion, and amortization</t>
        </is>
      </c>
      <c r="D63" s="8" t="inlineStr">
        <is>
          <t>22</t>
        </is>
      </c>
      <c r="E63" s="8" t="inlineStr">
        <is>
          <t>part_ix_expenses.depreciation</t>
        </is>
      </c>
      <c r="F63" s="8" t="inlineStr">
        <is>
          <t>high</t>
        </is>
      </c>
      <c r="G63" s="9" t="n">
        <v>16199</v>
      </c>
    </row>
    <row r="64">
      <c r="A64" s="8" t="inlineStr">
        <is>
          <t>Operating expenses (detail)</t>
        </is>
      </c>
      <c r="B64" s="8" t="inlineStr">
        <is>
          <t>D11</t>
        </is>
      </c>
      <c r="C64" s="8" t="inlineStr">
        <is>
          <t>22. Depreciation, depletion, and amortization</t>
        </is>
      </c>
      <c r="D64" s="8" t="inlineStr">
        <is>
          <t>22</t>
        </is>
      </c>
      <c r="E64" s="8" t="inlineStr">
        <is>
          <t>part_ix_expenses.depreciation</t>
        </is>
      </c>
      <c r="F64" s="8" t="inlineStr">
        <is>
          <t>high</t>
        </is>
      </c>
      <c r="G64" s="9" t="n">
        <v>23301</v>
      </c>
    </row>
    <row r="65">
      <c r="A65" s="8" t="inlineStr">
        <is>
          <t>Operating expenses (detail)</t>
        </is>
      </c>
      <c r="B65" s="8" t="inlineStr">
        <is>
          <t>E11</t>
        </is>
      </c>
      <c r="C65" s="8" t="inlineStr">
        <is>
          <t>22. Depreciation, depletion, and amortization</t>
        </is>
      </c>
      <c r="D65" s="8" t="inlineStr">
        <is>
          <t>22</t>
        </is>
      </c>
      <c r="E65" s="8" t="inlineStr">
        <is>
          <t>part_ix_expenses.depreciation</t>
        </is>
      </c>
      <c r="F65" s="8" t="inlineStr">
        <is>
          <t>high</t>
        </is>
      </c>
      <c r="G65" s="9" t="n">
        <v>26584</v>
      </c>
    </row>
    <row r="66">
      <c r="A66" s="8" t="inlineStr">
        <is>
          <t>Operating expenses (detail)</t>
        </is>
      </c>
      <c r="B66" s="8" t="inlineStr">
        <is>
          <t>F11</t>
        </is>
      </c>
      <c r="C66" s="8" t="inlineStr">
        <is>
          <t>22. Depreciation, depletion, and amortization</t>
        </is>
      </c>
      <c r="D66" s="8" t="inlineStr">
        <is>
          <t>22</t>
        </is>
      </c>
      <c r="E66" s="8" t="inlineStr">
        <is>
          <t>part_ix_expenses.depreciation</t>
        </is>
      </c>
      <c r="F66" s="8" t="inlineStr">
        <is>
          <t>high</t>
        </is>
      </c>
      <c r="G66" s="9" t="n">
        <v>75874</v>
      </c>
    </row>
    <row r="67">
      <c r="A67" s="8" t="inlineStr">
        <is>
          <t>Operating expenses (detail)</t>
        </is>
      </c>
      <c r="B67" s="8" t="inlineStr">
        <is>
          <t>B12</t>
        </is>
      </c>
      <c r="C67" s="8" t="inlineStr">
        <is>
          <t>23. Insurance</t>
        </is>
      </c>
      <c r="D67" s="8" t="inlineStr">
        <is>
          <t>23</t>
        </is>
      </c>
      <c r="E67" s="8" t="inlineStr">
        <is>
          <t>part_ix_expenses.insurance</t>
        </is>
      </c>
      <c r="F67" s="8" t="inlineStr">
        <is>
          <t>high</t>
        </is>
      </c>
      <c r="G67" s="9" t="n">
        <v>4346</v>
      </c>
    </row>
    <row r="68">
      <c r="A68" s="8" t="inlineStr">
        <is>
          <t>Operating expenses (detail)</t>
        </is>
      </c>
      <c r="B68" s="8" t="inlineStr">
        <is>
          <t>C12</t>
        </is>
      </c>
      <c r="C68" s="8" t="inlineStr">
        <is>
          <t>23. Insurance</t>
        </is>
      </c>
      <c r="D68" s="8" t="inlineStr">
        <is>
          <t>23</t>
        </is>
      </c>
      <c r="E68" s="8" t="inlineStr">
        <is>
          <t>part_ix_expenses.insurance</t>
        </is>
      </c>
      <c r="F68" s="8" t="inlineStr">
        <is>
          <t>high</t>
        </is>
      </c>
      <c r="G68" s="9" t="n">
        <v>4527</v>
      </c>
    </row>
    <row r="69">
      <c r="A69" s="8" t="inlineStr">
        <is>
          <t>Operating expenses (detail)</t>
        </is>
      </c>
      <c r="B69" s="8" t="inlineStr">
        <is>
          <t>D12</t>
        </is>
      </c>
      <c r="C69" s="8" t="inlineStr">
        <is>
          <t>23. Insurance</t>
        </is>
      </c>
      <c r="D69" s="8" t="inlineStr">
        <is>
          <t>23</t>
        </is>
      </c>
      <c r="E69" s="8" t="inlineStr">
        <is>
          <t>part_ix_expenses.insurance</t>
        </is>
      </c>
      <c r="F69" s="8" t="inlineStr">
        <is>
          <t>high</t>
        </is>
      </c>
      <c r="G69" s="9" t="n">
        <v>4912</v>
      </c>
    </row>
    <row r="70">
      <c r="A70" s="8" t="inlineStr">
        <is>
          <t>Operating expenses (detail)</t>
        </is>
      </c>
      <c r="B70" s="8" t="inlineStr">
        <is>
          <t>E12</t>
        </is>
      </c>
      <c r="C70" s="8" t="inlineStr">
        <is>
          <t>23. Insurance</t>
        </is>
      </c>
      <c r="D70" s="8" t="inlineStr">
        <is>
          <t>23</t>
        </is>
      </c>
      <c r="E70" s="8" t="inlineStr">
        <is>
          <t>part_ix_expenses.insurance</t>
        </is>
      </c>
      <c r="F70" s="8" t="inlineStr">
        <is>
          <t>high</t>
        </is>
      </c>
      <c r="G70" s="9" t="n">
        <v>5345</v>
      </c>
    </row>
    <row r="71">
      <c r="A71" s="8" t="inlineStr">
        <is>
          <t>Operating expenses (detail)</t>
        </is>
      </c>
      <c r="B71" s="8" t="inlineStr">
        <is>
          <t>F12</t>
        </is>
      </c>
      <c r="C71" s="8" t="inlineStr">
        <is>
          <t>23. Insurance</t>
        </is>
      </c>
      <c r="D71" s="8" t="inlineStr">
        <is>
          <t>23</t>
        </is>
      </c>
      <c r="E71" s="8" t="inlineStr">
        <is>
          <t>part_ix_expenses.insurance</t>
        </is>
      </c>
      <c r="F71" s="8" t="inlineStr">
        <is>
          <t>high</t>
        </is>
      </c>
      <c r="G71" s="9" t="n">
        <v>6029</v>
      </c>
    </row>
    <row r="72">
      <c r="A72" s="8" t="inlineStr">
        <is>
          <t>Operating expenses (detail)</t>
        </is>
      </c>
      <c r="B72" s="8" t="inlineStr">
        <is>
          <t>B17</t>
        </is>
      </c>
      <c r="C72" s="8" t="inlineStr">
        <is>
          <t>24e. All other expenses</t>
        </is>
      </c>
      <c r="D72" s="8" t="inlineStr">
        <is>
          <t>24e</t>
        </is>
      </c>
      <c r="E72" s="8" t="inlineStr">
        <is>
          <t>part_ix_expenses.all_other_expenses</t>
        </is>
      </c>
      <c r="F72" s="8" t="inlineStr">
        <is>
          <t>high</t>
        </is>
      </c>
      <c r="G72" s="9" t="n">
        <v>3811</v>
      </c>
    </row>
    <row r="73">
      <c r="A73" s="8" t="inlineStr">
        <is>
          <t>Operating expenses (detail)</t>
        </is>
      </c>
      <c r="B73" s="8" t="inlineStr">
        <is>
          <t>C17</t>
        </is>
      </c>
      <c r="C73" s="8" t="inlineStr">
        <is>
          <t>24e. All other expenses</t>
        </is>
      </c>
      <c r="D73" s="8" t="inlineStr">
        <is>
          <t>24e</t>
        </is>
      </c>
      <c r="E73" s="8" t="inlineStr">
        <is>
          <t>part_ix_expenses.all_other_expenses</t>
        </is>
      </c>
      <c r="F73" s="8" t="inlineStr">
        <is>
          <t>high</t>
        </is>
      </c>
      <c r="G73" s="9" t="n">
        <v>3124</v>
      </c>
    </row>
    <row r="74">
      <c r="A74" s="8" t="inlineStr">
        <is>
          <t>Operating expenses (detail)</t>
        </is>
      </c>
      <c r="B74" s="8" t="inlineStr">
        <is>
          <t>D17</t>
        </is>
      </c>
      <c r="C74" s="8" t="inlineStr">
        <is>
          <t>24e. All other expenses</t>
        </is>
      </c>
      <c r="D74" s="8" t="inlineStr">
        <is>
          <t>24e</t>
        </is>
      </c>
      <c r="E74" s="8" t="inlineStr">
        <is>
          <t>part_ix_expenses.all_other_expenses</t>
        </is>
      </c>
      <c r="F74" s="8" t="inlineStr">
        <is>
          <t>high</t>
        </is>
      </c>
      <c r="G74" s="9" t="n">
        <v>2594</v>
      </c>
    </row>
    <row r="75">
      <c r="A75" s="8" t="inlineStr">
        <is>
          <t>Operating expenses (detail)</t>
        </is>
      </c>
      <c r="B75" s="8" t="inlineStr">
        <is>
          <t>E17</t>
        </is>
      </c>
      <c r="C75" s="8" t="inlineStr">
        <is>
          <t>24e. All other expenses</t>
        </is>
      </c>
      <c r="D75" s="8" t="inlineStr">
        <is>
          <t>24e</t>
        </is>
      </c>
      <c r="E75" s="8" t="inlineStr">
        <is>
          <t>part_ix_expenses.all_other_expenses</t>
        </is>
      </c>
      <c r="F75" s="8" t="inlineStr">
        <is>
          <t>high</t>
        </is>
      </c>
      <c r="G75" s="9" t="n">
        <v>3157</v>
      </c>
    </row>
    <row r="76">
      <c r="A76" s="8" t="inlineStr">
        <is>
          <t>Operating expenses (detail)</t>
        </is>
      </c>
      <c r="B76" s="8" t="inlineStr">
        <is>
          <t>F17</t>
        </is>
      </c>
      <c r="C76" s="8" t="inlineStr">
        <is>
          <t>24e. All other expenses</t>
        </is>
      </c>
      <c r="D76" s="8" t="inlineStr">
        <is>
          <t>24e</t>
        </is>
      </c>
      <c r="E76" s="8" t="inlineStr">
        <is>
          <t>part_ix_expenses.all_other_expenses</t>
        </is>
      </c>
      <c r="F76" s="8" t="inlineStr">
        <is>
          <t>high</t>
        </is>
      </c>
      <c r="G76" s="9" t="n">
        <v>6211</v>
      </c>
    </row>
    <row r="77">
      <c r="A77" s="8" t="inlineStr">
        <is>
          <t>Balance sheet (detail)</t>
        </is>
      </c>
      <c r="B77" s="8" t="inlineStr">
        <is>
          <t>B7</t>
        </is>
      </c>
      <c r="C77" s="8" t="inlineStr">
        <is>
          <t>1. Cash - non-interest-bearing</t>
        </is>
      </c>
      <c r="D77" s="8" t="inlineStr">
        <is>
          <t>1E</t>
        </is>
      </c>
      <c r="E77" s="8" t="inlineStr">
        <is>
          <t>part_x_balance_sheet.cash_noninterest_eoy</t>
        </is>
      </c>
      <c r="F77" s="8" t="inlineStr">
        <is>
          <t>high</t>
        </is>
      </c>
      <c r="G77" s="9" t="n">
        <v>150977</v>
      </c>
    </row>
    <row r="78">
      <c r="A78" s="8" t="inlineStr">
        <is>
          <t>Balance sheet (detail)</t>
        </is>
      </c>
      <c r="B78" s="8" t="inlineStr">
        <is>
          <t>C7</t>
        </is>
      </c>
      <c r="C78" s="8" t="inlineStr">
        <is>
          <t>1. Cash - non-interest-bearing</t>
        </is>
      </c>
      <c r="D78" s="8" t="inlineStr">
        <is>
          <t>1E</t>
        </is>
      </c>
      <c r="E78" s="8" t="inlineStr">
        <is>
          <t>part_x_balance_sheet.cash_noninterest_eoy</t>
        </is>
      </c>
      <c r="F78" s="8" t="inlineStr">
        <is>
          <t>high</t>
        </is>
      </c>
      <c r="G78" s="9" t="n">
        <v>20509</v>
      </c>
    </row>
    <row r="79">
      <c r="A79" s="8" t="inlineStr">
        <is>
          <t>Balance sheet (detail)</t>
        </is>
      </c>
      <c r="B79" s="8" t="inlineStr">
        <is>
          <t>D7</t>
        </is>
      </c>
      <c r="C79" s="8" t="inlineStr">
        <is>
          <t>1. Cash - non-interest-bearing</t>
        </is>
      </c>
      <c r="D79" s="8" t="inlineStr">
        <is>
          <t>1E</t>
        </is>
      </c>
      <c r="E79" s="8" t="inlineStr">
        <is>
          <t>part_x_balance_sheet.cash_noninterest_eoy</t>
        </is>
      </c>
      <c r="F79" s="8" t="inlineStr">
        <is>
          <t>high</t>
        </is>
      </c>
      <c r="G79" s="9" t="n">
        <v>140393</v>
      </c>
    </row>
    <row r="80">
      <c r="A80" s="8" t="inlineStr">
        <is>
          <t>Balance sheet (detail)</t>
        </is>
      </c>
      <c r="B80" s="8" t="inlineStr">
        <is>
          <t>E7</t>
        </is>
      </c>
      <c r="C80" s="8" t="inlineStr">
        <is>
          <t>1. Cash - non-interest-bearing</t>
        </is>
      </c>
      <c r="D80" s="8" t="inlineStr">
        <is>
          <t>1E</t>
        </is>
      </c>
      <c r="E80" s="8" t="inlineStr">
        <is>
          <t>part_x_balance_sheet.cash_noninterest_eoy</t>
        </is>
      </c>
      <c r="F80" s="8" t="inlineStr">
        <is>
          <t>high</t>
        </is>
      </c>
      <c r="G80" s="9" t="n">
        <v>389241</v>
      </c>
    </row>
    <row r="81">
      <c r="A81" s="8" t="inlineStr">
        <is>
          <t>Balance sheet (detail)</t>
        </is>
      </c>
      <c r="B81" s="8" t="inlineStr">
        <is>
          <t>F7</t>
        </is>
      </c>
      <c r="C81" s="8" t="inlineStr">
        <is>
          <t>1. Cash - non-interest-bearing</t>
        </is>
      </c>
      <c r="D81" s="8" t="inlineStr">
        <is>
          <t>1E</t>
        </is>
      </c>
      <c r="E81" s="8" t="inlineStr">
        <is>
          <t>part_x_balance_sheet.cash_noninterest_eoy</t>
        </is>
      </c>
      <c r="F81" s="8" t="inlineStr">
        <is>
          <t>high</t>
        </is>
      </c>
      <c r="G81" s="9" t="n">
        <v>62889</v>
      </c>
    </row>
    <row r="82">
      <c r="A82" s="8" t="inlineStr">
        <is>
          <t>Balance sheet (detail)</t>
        </is>
      </c>
      <c r="B82" s="8" t="inlineStr">
        <is>
          <t>B8</t>
        </is>
      </c>
      <c r="C82" s="8" t="inlineStr">
        <is>
          <t>2. Savings and temporary cash investments</t>
        </is>
      </c>
      <c r="D82" s="8" t="inlineStr">
        <is>
          <t>2E</t>
        </is>
      </c>
      <c r="E82" s="8" t="inlineStr">
        <is>
          <t>part_x_balance_sheet.savings_temp_invest_eoy</t>
        </is>
      </c>
      <c r="F82" s="8" t="inlineStr">
        <is>
          <t>high</t>
        </is>
      </c>
      <c r="G82" s="9" t="n">
        <v>18418</v>
      </c>
    </row>
    <row r="83">
      <c r="A83" s="8" t="inlineStr">
        <is>
          <t>Balance sheet (detail)</t>
        </is>
      </c>
      <c r="B83" s="8" t="inlineStr">
        <is>
          <t>C8</t>
        </is>
      </c>
      <c r="C83" s="8" t="inlineStr">
        <is>
          <t>2. Savings and temporary cash investments</t>
        </is>
      </c>
      <c r="D83" s="8" t="inlineStr">
        <is>
          <t>2E</t>
        </is>
      </c>
      <c r="E83" s="8" t="inlineStr">
        <is>
          <t>part_x_balance_sheet.savings_temp_invest_eoy</t>
        </is>
      </c>
      <c r="F83" s="8" t="inlineStr">
        <is>
          <t>high</t>
        </is>
      </c>
      <c r="G83" s="9" t="n">
        <v>495956</v>
      </c>
    </row>
    <row r="84">
      <c r="A84" s="8" t="inlineStr">
        <is>
          <t>Balance sheet (detail)</t>
        </is>
      </c>
      <c r="B84" s="8" t="inlineStr">
        <is>
          <t>D8</t>
        </is>
      </c>
      <c r="C84" s="8" t="inlineStr">
        <is>
          <t>2. Savings and temporary cash investments</t>
        </is>
      </c>
      <c r="D84" s="8" t="inlineStr">
        <is>
          <t>2E</t>
        </is>
      </c>
      <c r="E84" s="8" t="inlineStr">
        <is>
          <t>part_x_balance_sheet.savings_temp_invest_eoy</t>
        </is>
      </c>
      <c r="F84" s="8" t="inlineStr">
        <is>
          <t>high</t>
        </is>
      </c>
      <c r="G84" s="9" t="n">
        <v>496169</v>
      </c>
    </row>
    <row r="85">
      <c r="A85" s="8" t="inlineStr">
        <is>
          <t>Balance sheet (detail)</t>
        </is>
      </c>
      <c r="B85" s="8" t="inlineStr">
        <is>
          <t>E8</t>
        </is>
      </c>
      <c r="C85" s="8" t="inlineStr">
        <is>
          <t>2. Savings and temporary cash investments</t>
        </is>
      </c>
      <c r="D85" s="8" t="inlineStr">
        <is>
          <t>2E</t>
        </is>
      </c>
      <c r="E85" s="8" t="inlineStr">
        <is>
          <t>part_x_balance_sheet.savings_temp_invest_eoy</t>
        </is>
      </c>
      <c r="F85" s="8" t="inlineStr">
        <is>
          <t>high</t>
        </is>
      </c>
      <c r="G85" s="9" t="n">
        <v>465754</v>
      </c>
    </row>
    <row r="86">
      <c r="A86" s="8" t="inlineStr">
        <is>
          <t>Balance sheet (detail)</t>
        </is>
      </c>
      <c r="B86" s="8" t="inlineStr">
        <is>
          <t>F8</t>
        </is>
      </c>
      <c r="C86" s="8" t="inlineStr">
        <is>
          <t>2. Savings and temporary cash investments</t>
        </is>
      </c>
      <c r="D86" s="8" t="inlineStr">
        <is>
          <t>2E</t>
        </is>
      </c>
      <c r="E86" s="8" t="inlineStr">
        <is>
          <t>part_x_balance_sheet.savings_temp_invest_eoy</t>
        </is>
      </c>
      <c r="F86" s="8" t="inlineStr">
        <is>
          <t>high</t>
        </is>
      </c>
      <c r="G86" s="9" t="n">
        <v>478980</v>
      </c>
    </row>
    <row r="87">
      <c r="A87" s="8" t="inlineStr">
        <is>
          <t>Balance sheet (detail)</t>
        </is>
      </c>
      <c r="B87" s="8" t="inlineStr">
        <is>
          <t>B9</t>
        </is>
      </c>
      <c r="C87" s="8" t="inlineStr">
        <is>
          <t>4. Accounts receivable, net</t>
        </is>
      </c>
      <c r="D87" s="8" t="inlineStr">
        <is>
          <t>4E</t>
        </is>
      </c>
      <c r="E87" s="8" t="inlineStr">
        <is>
          <t>part_x_balance_sheet.accounts_receivable_eoy</t>
        </is>
      </c>
      <c r="F87" s="8" t="inlineStr">
        <is>
          <t>high</t>
        </is>
      </c>
      <c r="G87" s="9" t="n">
        <v>4903</v>
      </c>
    </row>
    <row r="88">
      <c r="A88" s="8" t="inlineStr">
        <is>
          <t>Balance sheet (detail)</t>
        </is>
      </c>
      <c r="B88" s="8" t="inlineStr">
        <is>
          <t>C9</t>
        </is>
      </c>
      <c r="C88" s="8" t="inlineStr">
        <is>
          <t>4. Accounts receivable, net</t>
        </is>
      </c>
      <c r="D88" s="8" t="inlineStr">
        <is>
          <t>4E</t>
        </is>
      </c>
      <c r="E88" s="8" t="inlineStr">
        <is>
          <t>part_x_balance_sheet.accounts_receivable_eoy</t>
        </is>
      </c>
      <c r="F88" s="8" t="inlineStr">
        <is>
          <t>high</t>
        </is>
      </c>
      <c r="G88" s="9" t="n">
        <v>5101</v>
      </c>
    </row>
    <row r="89">
      <c r="A89" s="8" t="inlineStr">
        <is>
          <t>Balance sheet (detail)</t>
        </is>
      </c>
      <c r="B89" s="8" t="inlineStr">
        <is>
          <t>D9</t>
        </is>
      </c>
      <c r="C89" s="8" t="inlineStr">
        <is>
          <t>4. Accounts receivable, net</t>
        </is>
      </c>
      <c r="D89" s="8" t="inlineStr">
        <is>
          <t>4E</t>
        </is>
      </c>
      <c r="E89" s="8" t="inlineStr">
        <is>
          <t>part_x_balance_sheet.accounts_receivable_eoy</t>
        </is>
      </c>
      <c r="F89" s="8" t="inlineStr">
        <is>
          <t>high</t>
        </is>
      </c>
      <c r="G89" s="9" t="n">
        <v>4098</v>
      </c>
    </row>
    <row r="90">
      <c r="A90" s="8" t="inlineStr">
        <is>
          <t>Balance sheet (detail)</t>
        </is>
      </c>
      <c r="B90" s="8" t="inlineStr">
        <is>
          <t>E9</t>
        </is>
      </c>
      <c r="C90" s="8" t="inlineStr">
        <is>
          <t>4. Accounts receivable, net</t>
        </is>
      </c>
      <c r="D90" s="8" t="inlineStr">
        <is>
          <t>4E</t>
        </is>
      </c>
      <c r="E90" s="8" t="inlineStr">
        <is>
          <t>part_x_balance_sheet.accounts_receivable_eoy</t>
        </is>
      </c>
      <c r="F90" s="8" t="inlineStr">
        <is>
          <t>high</t>
        </is>
      </c>
      <c r="G90" s="9" t="n">
        <v>837575</v>
      </c>
    </row>
    <row r="91">
      <c r="A91" s="8" t="inlineStr">
        <is>
          <t>Balance sheet (detail)</t>
        </is>
      </c>
      <c r="B91" s="8" t="inlineStr">
        <is>
          <t>F9</t>
        </is>
      </c>
      <c r="C91" s="8" t="inlineStr">
        <is>
          <t>4. Accounts receivable, net</t>
        </is>
      </c>
      <c r="D91" s="8" t="inlineStr">
        <is>
          <t>4E</t>
        </is>
      </c>
      <c r="E91" s="8" t="inlineStr">
        <is>
          <t>part_x_balance_sheet.accounts_receivable_eoy</t>
        </is>
      </c>
      <c r="F91" s="8" t="inlineStr">
        <is>
          <t>high</t>
        </is>
      </c>
      <c r="G91" s="9" t="n">
        <v>2658</v>
      </c>
    </row>
    <row r="92">
      <c r="A92" s="8" t="inlineStr">
        <is>
          <t>Balance sheet (detail)</t>
        </is>
      </c>
      <c r="B92" s="8" t="inlineStr">
        <is>
          <t>B10</t>
        </is>
      </c>
      <c r="C92" s="8" t="inlineStr">
        <is>
          <t>10c. Land, buildings, and equipment, net</t>
        </is>
      </c>
      <c r="D92" s="8" t="inlineStr">
        <is>
          <t>10cE</t>
        </is>
      </c>
      <c r="E92" s="8" t="inlineStr">
        <is>
          <t>part_x_balance_sheet.land_bldg_equip_net_eoy</t>
        </is>
      </c>
      <c r="F92" s="8" t="inlineStr">
        <is>
          <t>high</t>
        </is>
      </c>
      <c r="G92" s="9" t="n">
        <v>101869</v>
      </c>
    </row>
    <row r="93">
      <c r="A93" s="8" t="inlineStr">
        <is>
          <t>Balance sheet (detail)</t>
        </is>
      </c>
      <c r="B93" s="8" t="inlineStr">
        <is>
          <t>C10</t>
        </is>
      </c>
      <c r="C93" s="8" t="inlineStr">
        <is>
          <t>10c. Land, buildings, and equipment, net</t>
        </is>
      </c>
      <c r="D93" s="8" t="inlineStr">
        <is>
          <t>10cE</t>
        </is>
      </c>
      <c r="E93" s="8" t="inlineStr">
        <is>
          <t>part_x_balance_sheet.land_bldg_equip_net_eoy</t>
        </is>
      </c>
      <c r="F93" s="8" t="inlineStr">
        <is>
          <t>high</t>
        </is>
      </c>
      <c r="G93" s="9" t="n">
        <v>277191</v>
      </c>
    </row>
    <row r="94">
      <c r="A94" s="8" t="inlineStr">
        <is>
          <t>Balance sheet (detail)</t>
        </is>
      </c>
      <c r="B94" s="8" t="inlineStr">
        <is>
          <t>D10</t>
        </is>
      </c>
      <c r="C94" s="8" t="inlineStr">
        <is>
          <t>10c. Land, buildings, and equipment, net</t>
        </is>
      </c>
      <c r="D94" s="8" t="inlineStr">
        <is>
          <t>10cE</t>
        </is>
      </c>
      <c r="E94" s="8" t="inlineStr">
        <is>
          <t>part_x_balance_sheet.land_bldg_equip_net_eoy</t>
        </is>
      </c>
      <c r="F94" s="8" t="inlineStr">
        <is>
          <t>high</t>
        </is>
      </c>
      <c r="G94" s="9" t="n">
        <v>282029</v>
      </c>
    </row>
    <row r="95">
      <c r="A95" s="8" t="inlineStr">
        <is>
          <t>Balance sheet (detail)</t>
        </is>
      </c>
      <c r="B95" s="8" t="inlineStr">
        <is>
          <t>E10</t>
        </is>
      </c>
      <c r="C95" s="8" t="inlineStr">
        <is>
          <t>10c. Land, buildings, and equipment, net</t>
        </is>
      </c>
      <c r="D95" s="8" t="inlineStr">
        <is>
          <t>10cE</t>
        </is>
      </c>
      <c r="E95" s="8" t="inlineStr">
        <is>
          <t>part_x_balance_sheet.land_bldg_equip_net_eoy</t>
        </is>
      </c>
      <c r="F95" s="8" t="inlineStr">
        <is>
          <t>high</t>
        </is>
      </c>
      <c r="G95" s="9" t="n">
        <v>337613</v>
      </c>
    </row>
    <row r="96">
      <c r="A96" s="8" t="inlineStr">
        <is>
          <t>Balance sheet (detail)</t>
        </is>
      </c>
      <c r="B96" s="8" t="inlineStr">
        <is>
          <t>F10</t>
        </is>
      </c>
      <c r="C96" s="8" t="inlineStr">
        <is>
          <t>10c. Land, buildings, and equipment, net</t>
        </is>
      </c>
      <c r="D96" s="8" t="inlineStr">
        <is>
          <t>10cE</t>
        </is>
      </c>
      <c r="E96" s="8" t="inlineStr">
        <is>
          <t>part_x_balance_sheet.land_bldg_equip_net_eoy</t>
        </is>
      </c>
      <c r="F96" s="8" t="inlineStr">
        <is>
          <t>high</t>
        </is>
      </c>
      <c r="G96" s="9" t="n">
        <v>1667513</v>
      </c>
    </row>
    <row r="97">
      <c r="A97" s="8" t="inlineStr">
        <is>
          <t>Balance sheet (detail)</t>
        </is>
      </c>
      <c r="B97" s="8" t="inlineStr">
        <is>
          <t>B11</t>
        </is>
      </c>
      <c r="C97" s="8" t="inlineStr">
        <is>
          <t>15. Other assets</t>
        </is>
      </c>
      <c r="D97" s="8" t="inlineStr">
        <is>
          <t>15E</t>
        </is>
      </c>
      <c r="E97" s="8" t="inlineStr">
        <is>
          <t>part_x_balance_sheet.other_assets_eoy</t>
        </is>
      </c>
      <c r="F97" s="8" t="inlineStr">
        <is>
          <t>high</t>
        </is>
      </c>
      <c r="G97" s="9" t="n">
        <v>455473</v>
      </c>
    </row>
    <row r="98">
      <c r="A98" s="8" t="inlineStr">
        <is>
          <t>Balance sheet (detail)</t>
        </is>
      </c>
      <c r="B98" s="8" t="inlineStr">
        <is>
          <t>C11</t>
        </is>
      </c>
      <c r="C98" s="8" t="inlineStr">
        <is>
          <t>15. Other assets</t>
        </is>
      </c>
      <c r="D98" s="8" t="inlineStr">
        <is>
          <t>15E</t>
        </is>
      </c>
      <c r="E98" s="8" t="inlineStr">
        <is>
          <t>part_x_balance_sheet.other_assets_eoy</t>
        </is>
      </c>
      <c r="F98" s="8" t="inlineStr">
        <is>
          <t>high</t>
        </is>
      </c>
      <c r="G98" s="9" t="n">
        <v>7460</v>
      </c>
    </row>
    <row r="99">
      <c r="A99" s="8" t="inlineStr">
        <is>
          <t>Balance sheet (detail)</t>
        </is>
      </c>
      <c r="B99" s="8" t="inlineStr">
        <is>
          <t>D11</t>
        </is>
      </c>
      <c r="C99" s="8" t="inlineStr">
        <is>
          <t>15. Other assets</t>
        </is>
      </c>
      <c r="D99" s="8" t="inlineStr">
        <is>
          <t>15E</t>
        </is>
      </c>
      <c r="E99" s="8" t="inlineStr">
        <is>
          <t>part_x_balance_sheet.other_assets_eoy</t>
        </is>
      </c>
      <c r="F99" s="8" t="inlineStr">
        <is>
          <t>high</t>
        </is>
      </c>
      <c r="G99" s="9" t="n">
        <v>7460</v>
      </c>
    </row>
    <row r="100">
      <c r="A100" s="8" t="inlineStr">
        <is>
          <t>Balance sheet (detail)</t>
        </is>
      </c>
      <c r="B100" s="8" t="inlineStr">
        <is>
          <t>E11</t>
        </is>
      </c>
      <c r="C100" s="8" t="inlineStr">
        <is>
          <t>15. Other assets</t>
        </is>
      </c>
      <c r="D100" s="8" t="inlineStr">
        <is>
          <t>15E</t>
        </is>
      </c>
      <c r="E100" s="8" t="inlineStr">
        <is>
          <t>part_x_balance_sheet.other_assets_eoy</t>
        </is>
      </c>
      <c r="F100" s="8" t="inlineStr">
        <is>
          <t>high</t>
        </is>
      </c>
      <c r="G100" s="9" t="n">
        <v>160618</v>
      </c>
    </row>
    <row r="101">
      <c r="A101" s="8" t="inlineStr">
        <is>
          <t>Balance sheet (detail)</t>
        </is>
      </c>
      <c r="B101" s="8" t="inlineStr">
        <is>
          <t>F11</t>
        </is>
      </c>
      <c r="C101" s="8" t="inlineStr">
        <is>
          <t>15. Other assets</t>
        </is>
      </c>
      <c r="D101" s="8" t="inlineStr">
        <is>
          <t>15E</t>
        </is>
      </c>
      <c r="E101" s="8" t="inlineStr">
        <is>
          <t>part_x_balance_sheet.other_assets_eoy</t>
        </is>
      </c>
      <c r="F101" s="8" t="inlineStr">
        <is>
          <t>high</t>
        </is>
      </c>
      <c r="G101" s="9" t="n">
        <v>7460</v>
      </c>
    </row>
    <row r="102">
      <c r="A102" s="8" t="inlineStr">
        <is>
          <t>Balance sheet (detail)</t>
        </is>
      </c>
      <c r="B102" s="8" t="inlineStr">
        <is>
          <t>B15</t>
        </is>
      </c>
      <c r="C102" s="8" t="inlineStr">
        <is>
          <t>17. Accounts payable and accrued expenses</t>
        </is>
      </c>
      <c r="D102" s="8" t="inlineStr">
        <is>
          <t>17E</t>
        </is>
      </c>
      <c r="E102" s="8" t="inlineStr">
        <is>
          <t>part_x_balance_sheet.accounts_payable_eoy</t>
        </is>
      </c>
      <c r="F102" s="8" t="inlineStr">
        <is>
          <t>high</t>
        </is>
      </c>
      <c r="G102" s="9" t="n">
        <v>16507</v>
      </c>
    </row>
    <row r="103">
      <c r="A103" s="8" t="inlineStr">
        <is>
          <t>Balance sheet (detail)</t>
        </is>
      </c>
      <c r="B103" s="8" t="inlineStr">
        <is>
          <t>C15</t>
        </is>
      </c>
      <c r="C103" s="8" t="inlineStr">
        <is>
          <t>17. Accounts payable and accrued expenses</t>
        </is>
      </c>
      <c r="D103" s="8" t="inlineStr">
        <is>
          <t>17E</t>
        </is>
      </c>
      <c r="E103" s="8" t="inlineStr">
        <is>
          <t>part_x_balance_sheet.accounts_payable_eoy</t>
        </is>
      </c>
      <c r="F103" s="8" t="inlineStr">
        <is>
          <t>high</t>
        </is>
      </c>
      <c r="G103" s="9" t="n">
        <v>13576</v>
      </c>
    </row>
    <row r="104">
      <c r="A104" s="8" t="inlineStr">
        <is>
          <t>Balance sheet (detail)</t>
        </is>
      </c>
      <c r="B104" s="8" t="inlineStr">
        <is>
          <t>D15</t>
        </is>
      </c>
      <c r="C104" s="8" t="inlineStr">
        <is>
          <t>17. Accounts payable and accrued expenses</t>
        </is>
      </c>
      <c r="D104" s="8" t="inlineStr">
        <is>
          <t>17E</t>
        </is>
      </c>
      <c r="E104" s="8" t="inlineStr">
        <is>
          <t>part_x_balance_sheet.accounts_payable_eoy</t>
        </is>
      </c>
      <c r="F104" s="8" t="inlineStr">
        <is>
          <t>high</t>
        </is>
      </c>
      <c r="G104" s="9" t="n">
        <v>32186</v>
      </c>
    </row>
    <row r="105">
      <c r="A105" s="8" t="inlineStr">
        <is>
          <t>Balance sheet (detail)</t>
        </is>
      </c>
      <c r="B105" s="8" t="inlineStr">
        <is>
          <t>E15</t>
        </is>
      </c>
      <c r="C105" s="8" t="inlineStr">
        <is>
          <t>17. Accounts payable and accrued expenses</t>
        </is>
      </c>
      <c r="D105" s="8" t="inlineStr">
        <is>
          <t>17E</t>
        </is>
      </c>
      <c r="E105" s="8" t="inlineStr">
        <is>
          <t>part_x_balance_sheet.accounts_payable_eoy</t>
        </is>
      </c>
      <c r="F105" s="8" t="inlineStr">
        <is>
          <t>high</t>
        </is>
      </c>
      <c r="G105" s="9" t="n">
        <v>34254</v>
      </c>
    </row>
    <row r="106">
      <c r="A106" s="8" t="inlineStr">
        <is>
          <t>Balance sheet (detail)</t>
        </is>
      </c>
      <c r="B106" s="8" t="inlineStr">
        <is>
          <t>F15</t>
        </is>
      </c>
      <c r="C106" s="8" t="inlineStr">
        <is>
          <t>17. Accounts payable and accrued expenses</t>
        </is>
      </c>
      <c r="D106" s="8" t="inlineStr">
        <is>
          <t>17E</t>
        </is>
      </c>
      <c r="E106" s="8" t="inlineStr">
        <is>
          <t>part_x_balance_sheet.accounts_payable_eoy</t>
        </is>
      </c>
      <c r="F106" s="8" t="inlineStr">
        <is>
          <t>high</t>
        </is>
      </c>
      <c r="G106" s="9" t="n">
        <v>33394</v>
      </c>
    </row>
    <row r="107">
      <c r="A107" s="8" t="inlineStr">
        <is>
          <t>Balance sheet (detail)</t>
        </is>
      </c>
      <c r="B107" s="8" t="inlineStr">
        <is>
          <t>B16</t>
        </is>
      </c>
      <c r="C107" s="8" t="inlineStr">
        <is>
          <t>19. Deferred revenue</t>
        </is>
      </c>
      <c r="D107" s="8" t="inlineStr">
        <is>
          <t>19E</t>
        </is>
      </c>
      <c r="E107" s="8" t="inlineStr">
        <is>
          <t>part_x_balance_sheet.deferred_revenue_eoy</t>
        </is>
      </c>
      <c r="F107" s="8" t="inlineStr">
        <is>
          <t>high</t>
        </is>
      </c>
      <c r="G107" s="9" t="n">
        <v>19461</v>
      </c>
    </row>
    <row r="108">
      <c r="A108" s="8" t="inlineStr">
        <is>
          <t>Balance sheet (detail)</t>
        </is>
      </c>
      <c r="B108" s="8" t="inlineStr">
        <is>
          <t>C16</t>
        </is>
      </c>
      <c r="C108" s="8" t="inlineStr">
        <is>
          <t>19. Deferred revenue</t>
        </is>
      </c>
      <c r="D108" s="8" t="inlineStr">
        <is>
          <t>19E</t>
        </is>
      </c>
      <c r="E108" s="8" t="inlineStr">
        <is>
          <t>part_x_balance_sheet.deferred_revenue_eoy</t>
        </is>
      </c>
      <c r="F108" s="8" t="inlineStr">
        <is>
          <t>high</t>
        </is>
      </c>
      <c r="G108" s="9" t="n">
        <v>26301</v>
      </c>
    </row>
    <row r="109">
      <c r="A109" s="8" t="inlineStr">
        <is>
          <t>Balance sheet (detail)</t>
        </is>
      </c>
      <c r="B109" s="8" t="inlineStr">
        <is>
          <t>D16</t>
        </is>
      </c>
      <c r="C109" s="8" t="inlineStr">
        <is>
          <t>19. Deferred revenue</t>
        </is>
      </c>
      <c r="D109" s="8" t="inlineStr">
        <is>
          <t>19E</t>
        </is>
      </c>
      <c r="E109" s="8" t="inlineStr">
        <is>
          <t>part_x_balance_sheet.deferred_revenue_eoy</t>
        </is>
      </c>
      <c r="F109" s="8" t="inlineStr">
        <is>
          <t>high</t>
        </is>
      </c>
      <c r="G109" s="9" t="n">
        <v>24802</v>
      </c>
    </row>
    <row r="110">
      <c r="A110" s="8" t="inlineStr">
        <is>
          <t>Balance sheet (detail)</t>
        </is>
      </c>
      <c r="B110" s="8" t="inlineStr">
        <is>
          <t>E16</t>
        </is>
      </c>
      <c r="C110" s="8" t="inlineStr">
        <is>
          <t>19. Deferred revenue</t>
        </is>
      </c>
      <c r="D110" s="8" t="inlineStr">
        <is>
          <t>19E</t>
        </is>
      </c>
      <c r="E110" s="8" t="inlineStr">
        <is>
          <t>part_x_balance_sheet.deferred_revenue_eoy</t>
        </is>
      </c>
      <c r="F110" s="8" t="inlineStr">
        <is>
          <t>high</t>
        </is>
      </c>
      <c r="G110" s="9" t="n">
        <v>18921</v>
      </c>
    </row>
    <row r="111">
      <c r="A111" s="8" t="inlineStr">
        <is>
          <t>Balance sheet (detail)</t>
        </is>
      </c>
      <c r="B111" s="8" t="inlineStr">
        <is>
          <t>F16</t>
        </is>
      </c>
      <c r="C111" s="8" t="inlineStr">
        <is>
          <t>19. Deferred revenue</t>
        </is>
      </c>
      <c r="D111" s="8" t="inlineStr">
        <is>
          <t>19E</t>
        </is>
      </c>
      <c r="E111" s="8" t="inlineStr">
        <is>
          <t>part_x_balance_sheet.deferred_revenue_eoy</t>
        </is>
      </c>
      <c r="F111" s="8" t="inlineStr">
        <is>
          <t>high</t>
        </is>
      </c>
      <c r="G111" s="9" t="n">
        <v>17562</v>
      </c>
    </row>
    <row r="112">
      <c r="A112" s="8" t="inlineStr">
        <is>
          <t>Balance sheet (detail)</t>
        </is>
      </c>
      <c r="B112" s="8" t="inlineStr">
        <is>
          <t>B20</t>
        </is>
      </c>
      <c r="C112" s="8" t="inlineStr">
        <is>
          <t>29. Capital stock or trust principal</t>
        </is>
      </c>
      <c r="D112" s="8" t="inlineStr">
        <is>
          <t>29E</t>
        </is>
      </c>
      <c r="E112" s="8" t="inlineStr">
        <is>
          <t>part_x_balance_sheet.cap_stock_eoy</t>
        </is>
      </c>
      <c r="F112" s="8" t="inlineStr">
        <is>
          <t>high</t>
        </is>
      </c>
      <c r="G112" s="9" t="n">
        <v>28756</v>
      </c>
    </row>
    <row r="113">
      <c r="A113" s="8" t="inlineStr">
        <is>
          <t>Balance sheet (detail)</t>
        </is>
      </c>
      <c r="B113" s="8" t="inlineStr">
        <is>
          <t>B21</t>
        </is>
      </c>
      <c r="C113" s="8" t="inlineStr">
        <is>
          <t>30. Paid-in or capital surplus</t>
        </is>
      </c>
      <c r="D113" s="8" t="inlineStr">
        <is>
          <t>30E</t>
        </is>
      </c>
      <c r="E113" s="8" t="inlineStr">
        <is>
          <t>part_x_balance_sheet.paid_in_capital_eoy</t>
        </is>
      </c>
      <c r="F113" s="8" t="inlineStr">
        <is>
          <t>high</t>
        </is>
      </c>
      <c r="G113" s="9" t="n">
        <v>487329</v>
      </c>
    </row>
    <row r="114">
      <c r="A114" s="8" t="inlineStr">
        <is>
          <t>Balance sheet (detail)</t>
        </is>
      </c>
      <c r="B114" s="8" t="inlineStr">
        <is>
          <t>B22</t>
        </is>
      </c>
      <c r="C114" s="8" t="inlineStr">
        <is>
          <t>31. Retained earnings / accumulated funds</t>
        </is>
      </c>
      <c r="D114" s="8" t="inlineStr">
        <is>
          <t>31E</t>
        </is>
      </c>
      <c r="E114" s="8" t="inlineStr">
        <is>
          <t>part_x_balance_sheet.retained_earnings_eoy</t>
        </is>
      </c>
      <c r="F114" s="8" t="inlineStr">
        <is>
          <t>high</t>
        </is>
      </c>
      <c r="G114" s="9" t="n">
        <v>179587</v>
      </c>
    </row>
    <row r="115">
      <c r="A115" s="8" t="inlineStr">
        <is>
          <t>Balance sheet (detail)</t>
        </is>
      </c>
      <c r="B115" s="8" t="inlineStr">
        <is>
          <t>C22</t>
        </is>
      </c>
      <c r="C115" s="8" t="inlineStr">
        <is>
          <t>31. Retained earnings / accumulated funds</t>
        </is>
      </c>
      <c r="D115" s="8" t="inlineStr">
        <is>
          <t>31E</t>
        </is>
      </c>
      <c r="E115" s="8" t="inlineStr">
        <is>
          <t>part_x_balance_sheet.retained_earnings_eoy</t>
        </is>
      </c>
      <c r="F115" s="8" t="inlineStr">
        <is>
          <t>high</t>
        </is>
      </c>
      <c r="G115" s="9" t="n">
        <v>766340</v>
      </c>
    </row>
    <row r="116">
      <c r="A116" s="8" t="inlineStr">
        <is>
          <t>Balance sheet (detail)</t>
        </is>
      </c>
      <c r="B116" s="8" t="inlineStr">
        <is>
          <t>D22</t>
        </is>
      </c>
      <c r="C116" s="8" t="inlineStr">
        <is>
          <t>31. Retained earnings / accumulated funds</t>
        </is>
      </c>
      <c r="D116" s="8" t="inlineStr">
        <is>
          <t>31E</t>
        </is>
      </c>
      <c r="E116" s="8" t="inlineStr">
        <is>
          <t>part_x_balance_sheet.retained_earnings_eoy</t>
        </is>
      </c>
      <c r="F116" s="8" t="inlineStr">
        <is>
          <t>high</t>
        </is>
      </c>
      <c r="G116" s="9" t="n">
        <v>873161</v>
      </c>
    </row>
    <row r="117">
      <c r="A117" s="8" t="inlineStr">
        <is>
          <t>Balance sheet (detail)</t>
        </is>
      </c>
      <c r="B117" s="8" t="inlineStr">
        <is>
          <t>E22</t>
        </is>
      </c>
      <c r="C117" s="8" t="inlineStr">
        <is>
          <t>31. Retained earnings / accumulated funds</t>
        </is>
      </c>
      <c r="D117" s="8" t="inlineStr">
        <is>
          <t>31E</t>
        </is>
      </c>
      <c r="E117" s="8" t="inlineStr">
        <is>
          <t>part_x_balance_sheet.retained_earnings_eoy</t>
        </is>
      </c>
      <c r="F117" s="8" t="inlineStr">
        <is>
          <t>high</t>
        </is>
      </c>
      <c r="G117" s="9" t="n">
        <v>2137626</v>
      </c>
    </row>
    <row r="118">
      <c r="A118" s="8" t="inlineStr">
        <is>
          <t>Balance sheet (detail)</t>
        </is>
      </c>
      <c r="B118" s="8" t="inlineStr">
        <is>
          <t>F22</t>
        </is>
      </c>
      <c r="C118" s="8" t="inlineStr">
        <is>
          <t>31. Retained earnings / accumulated funds</t>
        </is>
      </c>
      <c r="D118" s="8" t="inlineStr">
        <is>
          <t>31E</t>
        </is>
      </c>
      <c r="E118" s="8" t="inlineStr">
        <is>
          <t>part_x_balance_sheet.retained_earnings_eoy</t>
        </is>
      </c>
      <c r="F118" s="8" t="inlineStr">
        <is>
          <t>high</t>
        </is>
      </c>
      <c r="G118" s="9" t="n">
        <v>2168544</v>
      </c>
    </row>
    <row r="119">
      <c r="A119" s="8" t="inlineStr">
        <is>
          <t>Net-assets reconciliation</t>
        </is>
      </c>
      <c r="B119" s="8" t="inlineStr">
        <is>
          <t>B7</t>
        </is>
      </c>
      <c r="C119" s="8" t="inlineStr">
        <is>
          <t>4. Net assets, beginning of year</t>
        </is>
      </c>
      <c r="D119" s="8" t="inlineStr">
        <is>
          <t>Part XI line 4</t>
        </is>
      </c>
      <c r="E119" s="8" t="inlineStr">
        <is>
          <t>part_xi_reconciliation.net_assets_boy</t>
        </is>
      </c>
      <c r="F119" s="8" t="inlineStr">
        <is>
          <t>high</t>
        </is>
      </c>
      <c r="G119" s="9" t="n">
        <v>602991</v>
      </c>
    </row>
    <row r="120">
      <c r="A120" s="8" t="inlineStr">
        <is>
          <t>Net-assets reconciliation</t>
        </is>
      </c>
      <c r="B120" s="8" t="inlineStr">
        <is>
          <t>C7</t>
        </is>
      </c>
      <c r="C120" s="8" t="inlineStr">
        <is>
          <t>4. Net assets, beginning of year</t>
        </is>
      </c>
      <c r="D120" s="8" t="inlineStr">
        <is>
          <t>Part XI line 4</t>
        </is>
      </c>
      <c r="E120" s="8" t="inlineStr">
        <is>
          <t>part_xi_reconciliation.net_assets_boy</t>
        </is>
      </c>
      <c r="F120" s="8" t="inlineStr">
        <is>
          <t>high</t>
        </is>
      </c>
      <c r="G120" s="9" t="n">
        <v>695672</v>
      </c>
    </row>
    <row r="121">
      <c r="A121" s="8" t="inlineStr">
        <is>
          <t>Net-assets reconciliation</t>
        </is>
      </c>
      <c r="B121" s="8" t="inlineStr">
        <is>
          <t>D7</t>
        </is>
      </c>
      <c r="C121" s="8" t="inlineStr">
        <is>
          <t>4. Net assets, beginning of year</t>
        </is>
      </c>
      <c r="D121" s="8" t="inlineStr">
        <is>
          <t>Part XI line 4</t>
        </is>
      </c>
      <c r="E121" s="8" t="inlineStr">
        <is>
          <t>part_xi_reconciliation.net_assets_boy</t>
        </is>
      </c>
      <c r="F121" s="8" t="inlineStr">
        <is>
          <t>high</t>
        </is>
      </c>
      <c r="G121" s="9" t="n">
        <v>766340</v>
      </c>
    </row>
    <row r="122">
      <c r="A122" s="8" t="inlineStr">
        <is>
          <t>Net-assets reconciliation</t>
        </is>
      </c>
      <c r="B122" s="8" t="inlineStr">
        <is>
          <t>E7</t>
        </is>
      </c>
      <c r="C122" s="8" t="inlineStr">
        <is>
          <t>4. Net assets, beginning of year</t>
        </is>
      </c>
      <c r="D122" s="8" t="inlineStr">
        <is>
          <t>Part XI line 4</t>
        </is>
      </c>
      <c r="E122" s="8" t="inlineStr">
        <is>
          <t>part_xi_reconciliation.net_assets_boy</t>
        </is>
      </c>
      <c r="F122" s="8" t="inlineStr">
        <is>
          <t>high</t>
        </is>
      </c>
      <c r="G122" s="9" t="n">
        <v>873159</v>
      </c>
    </row>
    <row r="123">
      <c r="A123" s="8" t="inlineStr">
        <is>
          <t>Net-assets reconciliation</t>
        </is>
      </c>
      <c r="B123" s="8" t="inlineStr">
        <is>
          <t>F7</t>
        </is>
      </c>
      <c r="C123" s="8" t="inlineStr">
        <is>
          <t>4. Net assets, beginning of year</t>
        </is>
      </c>
      <c r="D123" s="8" t="inlineStr">
        <is>
          <t>Part XI line 4</t>
        </is>
      </c>
      <c r="E123" s="8" t="inlineStr">
        <is>
          <t>part_xi_reconciliation.net_assets_boy</t>
        </is>
      </c>
      <c r="F123" s="8" t="inlineStr">
        <is>
          <t>high</t>
        </is>
      </c>
      <c r="G123" s="9" t="n">
        <v>2137626</v>
      </c>
    </row>
    <row r="124">
      <c r="A124" s="8" t="inlineStr">
        <is>
          <t>Net-assets reconciliation</t>
        </is>
      </c>
      <c r="B124" s="8" t="inlineStr">
        <is>
          <t>B8</t>
        </is>
      </c>
      <c r="C124" s="8" t="inlineStr">
        <is>
          <t>3. Revenue less expenses</t>
        </is>
      </c>
      <c r="D124" s="8" t="inlineStr">
        <is>
          <t>Part XI line 3</t>
        </is>
      </c>
      <c r="E124" s="8" t="inlineStr">
        <is>
          <t>part_xi_reconciliation.reconciliation_revenue_expenses</t>
        </is>
      </c>
      <c r="F124" s="8" t="inlineStr">
        <is>
          <t>high</t>
        </is>
      </c>
      <c r="G124" s="9" t="n">
        <v>11490</v>
      </c>
    </row>
    <row r="125">
      <c r="A125" s="8" t="inlineStr">
        <is>
          <t>Net-assets reconciliation</t>
        </is>
      </c>
      <c r="B125" s="8" t="inlineStr">
        <is>
          <t>C8</t>
        </is>
      </c>
      <c r="C125" s="8" t="inlineStr">
        <is>
          <t>3. Revenue less expenses</t>
        </is>
      </c>
      <c r="D125" s="8" t="inlineStr">
        <is>
          <t>Part XI line 3</t>
        </is>
      </c>
      <c r="E125" s="8" t="inlineStr">
        <is>
          <t>part_xi_reconciliation.reconciliation_revenue_expenses</t>
        </is>
      </c>
      <c r="F125" s="8" t="inlineStr">
        <is>
          <t>high</t>
        </is>
      </c>
      <c r="G125" s="9" t="n">
        <v>70663</v>
      </c>
    </row>
    <row r="126">
      <c r="A126" s="8" t="inlineStr">
        <is>
          <t>Net-assets reconciliation</t>
        </is>
      </c>
      <c r="B126" s="8" t="inlineStr">
        <is>
          <t>D8</t>
        </is>
      </c>
      <c r="C126" s="8" t="inlineStr">
        <is>
          <t>3. Revenue less expenses</t>
        </is>
      </c>
      <c r="D126" s="8" t="inlineStr">
        <is>
          <t>Part XI line 3</t>
        </is>
      </c>
      <c r="E126" s="8" t="inlineStr">
        <is>
          <t>part_xi_reconciliation.reconciliation_revenue_expenses</t>
        </is>
      </c>
      <c r="F126" s="8" t="inlineStr">
        <is>
          <t>high</t>
        </is>
      </c>
      <c r="G126" s="9" t="n">
        <v>106821</v>
      </c>
    </row>
    <row r="127">
      <c r="A127" s="8" t="inlineStr">
        <is>
          <t>Net-assets reconciliation</t>
        </is>
      </c>
      <c r="B127" s="8" t="inlineStr">
        <is>
          <t>E8</t>
        </is>
      </c>
      <c r="C127" s="8" t="inlineStr">
        <is>
          <t>3. Revenue less expenses</t>
        </is>
      </c>
      <c r="D127" s="8" t="inlineStr">
        <is>
          <t>Part XI line 3</t>
        </is>
      </c>
      <c r="E127" s="8" t="inlineStr">
        <is>
          <t>part_xi_reconciliation.reconciliation_revenue_expenses</t>
        </is>
      </c>
      <c r="F127" s="8" t="inlineStr">
        <is>
          <t>high</t>
        </is>
      </c>
      <c r="G127" s="9" t="n">
        <v>1264471</v>
      </c>
    </row>
    <row r="128">
      <c r="A128" s="8" t="inlineStr">
        <is>
          <t>Net-assets reconciliation</t>
        </is>
      </c>
      <c r="B128" s="8" t="inlineStr">
        <is>
          <t>F8</t>
        </is>
      </c>
      <c r="C128" s="8" t="inlineStr">
        <is>
          <t>3. Revenue less expenses</t>
        </is>
      </c>
      <c r="D128" s="8" t="inlineStr">
        <is>
          <t>Part XI line 3</t>
        </is>
      </c>
      <c r="E128" s="8" t="inlineStr">
        <is>
          <t>part_xi_reconciliation.reconciliation_revenue_expenses</t>
        </is>
      </c>
      <c r="F128" s="8" t="inlineStr">
        <is>
          <t>high</t>
        </is>
      </c>
      <c r="G128" s="9" t="n">
        <v>30914</v>
      </c>
    </row>
    <row r="129">
      <c r="A129" s="8" t="inlineStr">
        <is>
          <t>Net-assets reconciliation</t>
        </is>
      </c>
      <c r="B129" s="8" t="inlineStr">
        <is>
          <t>B10</t>
        </is>
      </c>
      <c r="C129" s="8" t="inlineStr">
        <is>
          <t>9. Other changes in net assets</t>
        </is>
      </c>
      <c r="D129" s="8" t="inlineStr">
        <is>
          <t>Part XI line 9</t>
        </is>
      </c>
      <c r="E129" s="8" t="inlineStr">
        <is>
          <t>part_xi_reconciliation.other_changes_net_assets</t>
        </is>
      </c>
      <c r="F129" s="8" t="inlineStr">
        <is>
          <t>high</t>
        </is>
      </c>
      <c r="G129" s="9" t="n">
        <v>81191</v>
      </c>
    </row>
    <row r="130">
      <c r="A130" s="8" t="inlineStr">
        <is>
          <t>Net-assets reconciliation</t>
        </is>
      </c>
      <c r="B130" s="8" t="inlineStr">
        <is>
          <t>C10</t>
        </is>
      </c>
      <c r="C130" s="8" t="inlineStr">
        <is>
          <t>9. Other changes in net assets</t>
        </is>
      </c>
      <c r="D130" s="8" t="inlineStr">
        <is>
          <t>Part XI line 9</t>
        </is>
      </c>
      <c r="E130" s="8" t="inlineStr">
        <is>
          <t>part_xi_reconciliation.other_changes_net_assets</t>
        </is>
      </c>
      <c r="F130" s="8" t="inlineStr">
        <is>
          <t>high</t>
        </is>
      </c>
      <c r="G130" s="9" t="n">
        <v>5</v>
      </c>
    </row>
    <row r="131">
      <c r="A131" s="8" t="inlineStr">
        <is>
          <t>Net-assets reconciliation</t>
        </is>
      </c>
      <c r="B131" s="8" t="inlineStr">
        <is>
          <t>D10</t>
        </is>
      </c>
      <c r="C131" s="8" t="inlineStr">
        <is>
          <t>9. Other changes in net assets</t>
        </is>
      </c>
      <c r="D131" s="8" t="inlineStr">
        <is>
          <t>Part XI line 9</t>
        </is>
      </c>
      <c r="E131" s="8" t="inlineStr">
        <is>
          <t>part_xi_reconciliation.other_changes_net_assets</t>
        </is>
      </c>
      <c r="F131" s="8" t="inlineStr">
        <is>
          <t>high</t>
        </is>
      </c>
      <c r="G131" s="9" t="n">
        <v>0</v>
      </c>
    </row>
    <row r="132">
      <c r="A132" s="8" t="inlineStr">
        <is>
          <t>Net-assets reconciliation</t>
        </is>
      </c>
      <c r="B132" s="8" t="inlineStr">
        <is>
          <t>E10</t>
        </is>
      </c>
      <c r="C132" s="8" t="inlineStr">
        <is>
          <t>9. Other changes in net assets</t>
        </is>
      </c>
      <c r="D132" s="8" t="inlineStr">
        <is>
          <t>Part XI line 9</t>
        </is>
      </c>
      <c r="E132" s="8" t="inlineStr">
        <is>
          <t>part_xi_reconciliation.other_changes_net_assets</t>
        </is>
      </c>
      <c r="F132" s="8" t="inlineStr">
        <is>
          <t>high</t>
        </is>
      </c>
      <c r="G132" s="9" t="n">
        <v>-4</v>
      </c>
    </row>
    <row r="133">
      <c r="A133" s="8" t="inlineStr">
        <is>
          <t>Net-assets reconciliation</t>
        </is>
      </c>
      <c r="B133" s="8" t="inlineStr">
        <is>
          <t>F10</t>
        </is>
      </c>
      <c r="C133" s="8" t="inlineStr">
        <is>
          <t>9. Other changes in net assets</t>
        </is>
      </c>
      <c r="D133" s="8" t="inlineStr">
        <is>
          <t>Part XI line 9</t>
        </is>
      </c>
      <c r="E133" s="8" t="inlineStr">
        <is>
          <t>part_xi_reconciliation.other_changes_net_assets</t>
        </is>
      </c>
      <c r="F133" s="8" t="inlineStr">
        <is>
          <t>high</t>
        </is>
      </c>
      <c r="G133" s="9" t="n">
        <v>4</v>
      </c>
    </row>
    <row r="135">
      <c r="A135" s="30" t="inlineStr">
        <is>
          <t>C. Tie-out checks (filed vs computed; any nonzero variance is flagged red)</t>
        </is>
      </c>
      <c r="B135" s="7" t="n"/>
      <c r="C135" s="7" t="n"/>
      <c r="D135" s="7" t="n"/>
      <c r="E135" s="7" t="n"/>
      <c r="F135" s="7" t="n"/>
      <c r="G135" s="7" t="n"/>
      <c r="H135" s="7" t="n"/>
      <c r="I135" s="7" t="n"/>
      <c r="J135" s="7" t="n"/>
      <c r="K135" s="7" t="n"/>
    </row>
    <row r="136">
      <c r="A136" s="5" t="inlineStr">
        <is>
          <t>Tab</t>
        </is>
      </c>
      <c r="B136" s="5" t="inlineStr">
        <is>
          <t>Check</t>
        </is>
      </c>
      <c r="C136" s="5" t="inlineStr">
        <is>
          <t>Fiscal year</t>
        </is>
      </c>
      <c r="D136" s="5" t="inlineStr">
        <is>
          <t>Filed</t>
        </is>
      </c>
      <c r="E136" s="5" t="inlineStr">
        <is>
          <t>Computed</t>
        </is>
      </c>
      <c r="F136" s="5" t="inlineStr">
        <is>
          <t>Variance (computed - filed)</t>
        </is>
      </c>
    </row>
    <row r="137">
      <c r="A137" s="18" t="inlineStr">
        <is>
          <t>Revenue (detail)</t>
        </is>
      </c>
      <c r="B137" s="18" t="inlineStr">
        <is>
          <t>12. Total revenue</t>
        </is>
      </c>
      <c r="C137" s="18" t="inlineStr">
        <is>
          <t>FY2020</t>
        </is>
      </c>
      <c r="D137" s="9" t="n">
        <v>144481</v>
      </c>
      <c r="E137" s="9">
        <f>'Revenue (detail)'!B13</f>
        <v/>
      </c>
      <c r="F137" s="9">
        <f>E137-D137</f>
        <v/>
      </c>
    </row>
    <row r="138">
      <c r="A138" s="18" t="inlineStr">
        <is>
          <t>Revenue (detail)</t>
        </is>
      </c>
      <c r="B138" s="18" t="inlineStr">
        <is>
          <t>12. Total revenue</t>
        </is>
      </c>
      <c r="C138" s="18" t="inlineStr">
        <is>
          <t>FY2021</t>
        </is>
      </c>
      <c r="D138" s="9" t="n">
        <v>226637</v>
      </c>
      <c r="E138" s="9">
        <f>'Revenue (detail)'!C13</f>
        <v/>
      </c>
      <c r="F138" s="9">
        <f>E138-D138</f>
        <v/>
      </c>
    </row>
    <row r="139">
      <c r="A139" s="18" t="inlineStr">
        <is>
          <t>Revenue (detail)</t>
        </is>
      </c>
      <c r="B139" s="18" t="inlineStr">
        <is>
          <t>12. Total revenue</t>
        </is>
      </c>
      <c r="C139" s="18" t="inlineStr">
        <is>
          <t>FY2022</t>
        </is>
      </c>
      <c r="D139" s="9" t="n">
        <v>253840</v>
      </c>
      <c r="E139" s="9">
        <f>'Revenue (detail)'!D13</f>
        <v/>
      </c>
      <c r="F139" s="9">
        <f>E139-D139</f>
        <v/>
      </c>
    </row>
    <row r="140">
      <c r="A140" s="18" t="inlineStr">
        <is>
          <t>Revenue (detail)</t>
        </is>
      </c>
      <c r="B140" s="18" t="inlineStr">
        <is>
          <t>12. Total revenue</t>
        </is>
      </c>
      <c r="C140" s="18" t="inlineStr">
        <is>
          <t>FY2023</t>
        </is>
      </c>
      <c r="D140" s="9" t="n">
        <v>1458158</v>
      </c>
      <c r="E140" s="9">
        <f>'Revenue (detail)'!E13</f>
        <v/>
      </c>
      <c r="F140" s="9">
        <f>E140-D140</f>
        <v/>
      </c>
    </row>
    <row r="141">
      <c r="A141" s="18" t="inlineStr">
        <is>
          <t>Revenue (detail)</t>
        </is>
      </c>
      <c r="B141" s="18" t="inlineStr">
        <is>
          <t>12. Total revenue</t>
        </is>
      </c>
      <c r="C141" s="18" t="inlineStr">
        <is>
          <t>FY2024</t>
        </is>
      </c>
      <c r="D141" s="9" t="n">
        <v>269819</v>
      </c>
      <c r="E141" s="9">
        <f>'Revenue (detail)'!F13</f>
        <v/>
      </c>
      <c r="F141" s="9">
        <f>E141-D141</f>
        <v/>
      </c>
    </row>
    <row r="142">
      <c r="A142" s="18" t="inlineStr">
        <is>
          <t>Revenue (detail)</t>
        </is>
      </c>
      <c r="B142" s="18" t="inlineStr">
        <is>
          <t>2g program service revenue = sum of lines 2a-2f (FY2024)</t>
        </is>
      </c>
      <c r="C142" s="18" t="inlineStr">
        <is>
          <t>FY2024</t>
        </is>
      </c>
      <c r="D142" s="9" t="n">
        <v>251967</v>
      </c>
      <c r="E142" s="9">
        <f>SUM('Revenue (detail)'!C17:C18)</f>
        <v/>
      </c>
      <c r="F142" s="9">
        <f>E142-D142</f>
        <v/>
      </c>
    </row>
    <row r="143">
      <c r="A143" s="18" t="inlineStr">
        <is>
          <t>Operating expenses (detail)</t>
        </is>
      </c>
      <c r="B143" s="18" t="inlineStr">
        <is>
          <t>25. Total functional expenses</t>
        </is>
      </c>
      <c r="C143" s="18" t="inlineStr">
        <is>
          <t>FY2020</t>
        </is>
      </c>
      <c r="D143" s="9" t="n">
        <v>132991</v>
      </c>
      <c r="E143" s="9">
        <f>'Operating expenses (detail)'!B18</f>
        <v/>
      </c>
      <c r="F143" s="9">
        <f>E143-D143</f>
        <v/>
      </c>
    </row>
    <row r="144">
      <c r="A144" s="18" t="inlineStr">
        <is>
          <t>Operating expenses (detail)</t>
        </is>
      </c>
      <c r="B144" s="18" t="inlineStr">
        <is>
          <t>25. Total functional expenses</t>
        </is>
      </c>
      <c r="C144" s="18" t="inlineStr">
        <is>
          <t>FY2021</t>
        </is>
      </c>
      <c r="D144" s="9" t="n">
        <v>155974</v>
      </c>
      <c r="E144" s="9">
        <f>'Operating expenses (detail)'!C18</f>
        <v/>
      </c>
      <c r="F144" s="9">
        <f>E144-D144</f>
        <v/>
      </c>
    </row>
    <row r="145">
      <c r="A145" s="18" t="inlineStr">
        <is>
          <t>Operating expenses (detail)</t>
        </is>
      </c>
      <c r="B145" s="18" t="inlineStr">
        <is>
          <t>25. Total functional expenses</t>
        </is>
      </c>
      <c r="C145" s="18" t="inlineStr">
        <is>
          <t>FY2022</t>
        </is>
      </c>
      <c r="D145" s="9" t="n">
        <v>147019</v>
      </c>
      <c r="E145" s="9">
        <f>'Operating expenses (detail)'!D18</f>
        <v/>
      </c>
      <c r="F145" s="9">
        <f>E145-D145</f>
        <v/>
      </c>
    </row>
    <row r="146">
      <c r="A146" s="18" t="inlineStr">
        <is>
          <t>Operating expenses (detail)</t>
        </is>
      </c>
      <c r="B146" s="18" t="inlineStr">
        <is>
          <t>25. Total functional expenses</t>
        </is>
      </c>
      <c r="C146" s="18" t="inlineStr">
        <is>
          <t>FY2023</t>
        </is>
      </c>
      <c r="D146" s="9" t="n">
        <v>193687</v>
      </c>
      <c r="E146" s="9">
        <f>'Operating expenses (detail)'!E18</f>
        <v/>
      </c>
      <c r="F146" s="9">
        <f>E146-D146</f>
        <v/>
      </c>
    </row>
    <row r="147">
      <c r="A147" s="18" t="inlineStr">
        <is>
          <t>Operating expenses (detail)</t>
        </is>
      </c>
      <c r="B147" s="18" t="inlineStr">
        <is>
          <t>25. Total functional expenses</t>
        </is>
      </c>
      <c r="C147" s="18" t="inlineStr">
        <is>
          <t>FY2024</t>
        </is>
      </c>
      <c r="D147" s="9" t="n">
        <v>238905</v>
      </c>
      <c r="E147" s="9">
        <f>'Operating expenses (detail)'!F18</f>
        <v/>
      </c>
      <c r="F147" s="9">
        <f>E147-D147</f>
        <v/>
      </c>
    </row>
    <row r="148">
      <c r="A148" s="18" t="inlineStr">
        <is>
          <t>Operating expenses (detail)</t>
        </is>
      </c>
      <c r="B148" s="18" t="inlineStr">
        <is>
          <t>Part IX column split: col A = B + C + D (FY2024)</t>
        </is>
      </c>
      <c r="C148" s="18" t="inlineStr">
        <is>
          <t>FY2024</t>
        </is>
      </c>
      <c r="D148" s="9">
        <f>'Operating expenses (detail)'!B27</f>
        <v/>
      </c>
      <c r="E148" s="9">
        <f>'Operating expenses (detail)'!C27+'Operating expenses (detail)'!D27+'Operating expenses (detail)'!E27</f>
        <v/>
      </c>
      <c r="F148" s="9">
        <f>E148-D148</f>
        <v/>
      </c>
    </row>
    <row r="149">
      <c r="A149" s="18" t="inlineStr">
        <is>
          <t>Balance sheet (detail)</t>
        </is>
      </c>
      <c r="B149" s="18" t="inlineStr">
        <is>
          <t>16. Total assets</t>
        </is>
      </c>
      <c r="C149" s="18" t="inlineStr">
        <is>
          <t>FY2020</t>
        </is>
      </c>
      <c r="D149" s="9" t="n">
        <v>731640</v>
      </c>
      <c r="E149" s="9">
        <f>'Balance sheet (detail)'!B12</f>
        <v/>
      </c>
      <c r="F149" s="9">
        <f>E149-D149</f>
        <v/>
      </c>
    </row>
    <row r="150">
      <c r="A150" s="18" t="inlineStr">
        <is>
          <t>Balance sheet (detail)</t>
        </is>
      </c>
      <c r="B150" s="18" t="inlineStr">
        <is>
          <t>16. Total assets</t>
        </is>
      </c>
      <c r="C150" s="18" t="inlineStr">
        <is>
          <t>FY2021</t>
        </is>
      </c>
      <c r="D150" s="9" t="n">
        <v>806217</v>
      </c>
      <c r="E150" s="9">
        <f>'Balance sheet (detail)'!C12</f>
        <v/>
      </c>
      <c r="F150" s="9">
        <f>E150-D150</f>
        <v/>
      </c>
    </row>
    <row r="151">
      <c r="A151" s="18" t="inlineStr">
        <is>
          <t>Balance sheet (detail)</t>
        </is>
      </c>
      <c r="B151" s="18" t="inlineStr">
        <is>
          <t>16. Total assets</t>
        </is>
      </c>
      <c r="C151" s="18" t="inlineStr">
        <is>
          <t>FY2022</t>
        </is>
      </c>
      <c r="D151" s="9" t="n">
        <v>930149</v>
      </c>
      <c r="E151" s="9">
        <f>'Balance sheet (detail)'!D12</f>
        <v/>
      </c>
      <c r="F151" s="9">
        <f>E151-D151</f>
        <v/>
      </c>
    </row>
    <row r="152">
      <c r="A152" s="18" t="inlineStr">
        <is>
          <t>Balance sheet (detail)</t>
        </is>
      </c>
      <c r="B152" s="18" t="inlineStr">
        <is>
          <t>16. Total assets</t>
        </is>
      </c>
      <c r="C152" s="18" t="inlineStr">
        <is>
          <t>FY2023</t>
        </is>
      </c>
      <c r="D152" s="9" t="n">
        <v>2190801</v>
      </c>
      <c r="E152" s="9">
        <f>'Balance sheet (detail)'!E12</f>
        <v/>
      </c>
      <c r="F152" s="9">
        <f>E152-D152</f>
        <v/>
      </c>
    </row>
    <row r="153">
      <c r="A153" s="18" t="inlineStr">
        <is>
          <t>Balance sheet (detail)</t>
        </is>
      </c>
      <c r="B153" s="18" t="inlineStr">
        <is>
          <t>16. Total assets</t>
        </is>
      </c>
      <c r="C153" s="18" t="inlineStr">
        <is>
          <t>FY2024</t>
        </is>
      </c>
      <c r="D153" s="9" t="n">
        <v>2219500</v>
      </c>
      <c r="E153" s="9">
        <f>'Balance sheet (detail)'!F12</f>
        <v/>
      </c>
      <c r="F153" s="9">
        <f>E153-D153</f>
        <v/>
      </c>
    </row>
    <row r="154">
      <c r="A154" s="18" t="inlineStr">
        <is>
          <t>Balance sheet (detail)</t>
        </is>
      </c>
      <c r="B154" s="18" t="inlineStr">
        <is>
          <t>26. Total liabilities</t>
        </is>
      </c>
      <c r="C154" s="18" t="inlineStr">
        <is>
          <t>FY2020</t>
        </is>
      </c>
      <c r="D154" s="9" t="n">
        <v>35968</v>
      </c>
      <c r="E154" s="9">
        <f>'Balance sheet (detail)'!B17</f>
        <v/>
      </c>
      <c r="F154" s="9">
        <f>E154-D154</f>
        <v/>
      </c>
    </row>
    <row r="155">
      <c r="A155" s="18" t="inlineStr">
        <is>
          <t>Balance sheet (detail)</t>
        </is>
      </c>
      <c r="B155" s="18" t="inlineStr">
        <is>
          <t>26. Total liabilities</t>
        </is>
      </c>
      <c r="C155" s="18" t="inlineStr">
        <is>
          <t>FY2021</t>
        </is>
      </c>
      <c r="D155" s="9" t="n">
        <v>39877</v>
      </c>
      <c r="E155" s="9">
        <f>'Balance sheet (detail)'!C17</f>
        <v/>
      </c>
      <c r="F155" s="9">
        <f>E155-D155</f>
        <v/>
      </c>
    </row>
    <row r="156">
      <c r="A156" s="18" t="inlineStr">
        <is>
          <t>Balance sheet (detail)</t>
        </is>
      </c>
      <c r="B156" s="18" t="inlineStr">
        <is>
          <t>26. Total liabilities</t>
        </is>
      </c>
      <c r="C156" s="18" t="inlineStr">
        <is>
          <t>FY2022</t>
        </is>
      </c>
      <c r="D156" s="9" t="n">
        <v>56988</v>
      </c>
      <c r="E156" s="9">
        <f>'Balance sheet (detail)'!D17</f>
        <v/>
      </c>
      <c r="F156" s="9">
        <f>E156-D156</f>
        <v/>
      </c>
    </row>
    <row r="157">
      <c r="A157" s="18" t="inlineStr">
        <is>
          <t>Balance sheet (detail)</t>
        </is>
      </c>
      <c r="B157" s="18" t="inlineStr">
        <is>
          <t>26. Total liabilities</t>
        </is>
      </c>
      <c r="C157" s="18" t="inlineStr">
        <is>
          <t>FY2023</t>
        </is>
      </c>
      <c r="D157" s="9" t="n">
        <v>53175</v>
      </c>
      <c r="E157" s="9">
        <f>'Balance sheet (detail)'!E17</f>
        <v/>
      </c>
      <c r="F157" s="9">
        <f>E157-D157</f>
        <v/>
      </c>
    </row>
    <row r="158">
      <c r="A158" s="18" t="inlineStr">
        <is>
          <t>Balance sheet (detail)</t>
        </is>
      </c>
      <c r="B158" s="18" t="inlineStr">
        <is>
          <t>26. Total liabilities</t>
        </is>
      </c>
      <c r="C158" s="18" t="inlineStr">
        <is>
          <t>FY2024</t>
        </is>
      </c>
      <c r="D158" s="9" t="n">
        <v>50956</v>
      </c>
      <c r="E158" s="9">
        <f>'Balance sheet (detail)'!F17</f>
        <v/>
      </c>
      <c r="F158" s="9">
        <f>E158-D158</f>
        <v/>
      </c>
    </row>
    <row r="159">
      <c r="A159" s="18" t="inlineStr">
        <is>
          <t>Balance sheet (detail)</t>
        </is>
      </c>
      <c r="B159" s="18" t="inlineStr">
        <is>
          <t>32. Total net assets / fund balances</t>
        </is>
      </c>
      <c r="C159" s="18" t="inlineStr">
        <is>
          <t>FY2020</t>
        </is>
      </c>
      <c r="D159" s="9" t="n">
        <v>695672</v>
      </c>
      <c r="E159" s="9">
        <f>'Balance sheet (detail)'!B23</f>
        <v/>
      </c>
      <c r="F159" s="9">
        <f>E159-D159</f>
        <v/>
      </c>
    </row>
    <row r="160">
      <c r="A160" s="18" t="inlineStr">
        <is>
          <t>Balance sheet (detail)</t>
        </is>
      </c>
      <c r="B160" s="18" t="inlineStr">
        <is>
          <t>32. Total net assets / fund balances</t>
        </is>
      </c>
      <c r="C160" s="18" t="inlineStr">
        <is>
          <t>FY2021</t>
        </is>
      </c>
      <c r="D160" s="9" t="n">
        <v>766340</v>
      </c>
      <c r="E160" s="9">
        <f>'Balance sheet (detail)'!C23</f>
        <v/>
      </c>
      <c r="F160" s="9">
        <f>E160-D160</f>
        <v/>
      </c>
    </row>
    <row r="161">
      <c r="A161" s="18" t="inlineStr">
        <is>
          <t>Balance sheet (detail)</t>
        </is>
      </c>
      <c r="B161" s="18" t="inlineStr">
        <is>
          <t>32. Total net assets / fund balances</t>
        </is>
      </c>
      <c r="C161" s="18" t="inlineStr">
        <is>
          <t>FY2022</t>
        </is>
      </c>
      <c r="D161" s="9" t="n">
        <v>873161</v>
      </c>
      <c r="E161" s="9">
        <f>'Balance sheet (detail)'!D23</f>
        <v/>
      </c>
      <c r="F161" s="9">
        <f>E161-D161</f>
        <v/>
      </c>
    </row>
    <row r="162">
      <c r="A162" s="18" t="inlineStr">
        <is>
          <t>Balance sheet (detail)</t>
        </is>
      </c>
      <c r="B162" s="18" t="inlineStr">
        <is>
          <t>32. Total net assets / fund balances</t>
        </is>
      </c>
      <c r="C162" s="18" t="inlineStr">
        <is>
          <t>FY2023</t>
        </is>
      </c>
      <c r="D162" s="9" t="n">
        <v>2137626</v>
      </c>
      <c r="E162" s="9">
        <f>'Balance sheet (detail)'!E23</f>
        <v/>
      </c>
      <c r="F162" s="9">
        <f>E162-D162</f>
        <v/>
      </c>
    </row>
    <row r="163">
      <c r="A163" s="18" t="inlineStr">
        <is>
          <t>Balance sheet (detail)</t>
        </is>
      </c>
      <c r="B163" s="18" t="inlineStr">
        <is>
          <t>32. Total net assets / fund balances</t>
        </is>
      </c>
      <c r="C163" s="18" t="inlineStr">
        <is>
          <t>FY2024</t>
        </is>
      </c>
      <c r="D163" s="9" t="n">
        <v>2168544</v>
      </c>
      <c r="E163" s="9">
        <f>'Balance sheet (detail)'!F23</f>
        <v/>
      </c>
      <c r="F163" s="9">
        <f>E163-D163</f>
        <v/>
      </c>
    </row>
    <row r="164">
      <c r="A164" s="18" t="inlineStr">
        <is>
          <t>Balance sheet (detail)</t>
        </is>
      </c>
      <c r="B164" s="18" t="inlineStr">
        <is>
          <t>Balance sheet identity: line 16 = line 26 + line 32 (EOY)</t>
        </is>
      </c>
      <c r="C164" s="18" t="inlineStr">
        <is>
          <t>FY2020</t>
        </is>
      </c>
      <c r="D164" s="9">
        <f>'Balance sheet (detail)'!B12</f>
        <v/>
      </c>
      <c r="E164" s="9">
        <f>SUM('Balance sheet (detail)'!B17,'Balance sheet (detail)'!B23)</f>
        <v/>
      </c>
      <c r="F164" s="9">
        <f>E164-D164</f>
        <v/>
      </c>
    </row>
    <row r="165">
      <c r="A165" s="18" t="inlineStr">
        <is>
          <t>Balance sheet (detail)</t>
        </is>
      </c>
      <c r="B165" s="18" t="inlineStr">
        <is>
          <t>Balance sheet identity: line 16 = line 26 + line 32 (EOY)</t>
        </is>
      </c>
      <c r="C165" s="18" t="inlineStr">
        <is>
          <t>FY2021</t>
        </is>
      </c>
      <c r="D165" s="9">
        <f>'Balance sheet (detail)'!C12</f>
        <v/>
      </c>
      <c r="E165" s="9">
        <f>SUM('Balance sheet (detail)'!C17,'Balance sheet (detail)'!C23)</f>
        <v/>
      </c>
      <c r="F165" s="9">
        <f>E165-D165</f>
        <v/>
      </c>
    </row>
    <row r="166">
      <c r="A166" s="18" t="inlineStr">
        <is>
          <t>Balance sheet (detail)</t>
        </is>
      </c>
      <c r="B166" s="18" t="inlineStr">
        <is>
          <t>Balance sheet identity: line 16 = line 26 + line 32 (EOY)</t>
        </is>
      </c>
      <c r="C166" s="18" t="inlineStr">
        <is>
          <t>FY2022</t>
        </is>
      </c>
      <c r="D166" s="9">
        <f>'Balance sheet (detail)'!D12</f>
        <v/>
      </c>
      <c r="E166" s="9">
        <f>SUM('Balance sheet (detail)'!D17,'Balance sheet (detail)'!D23)</f>
        <v/>
      </c>
      <c r="F166" s="9">
        <f>E166-D166</f>
        <v/>
      </c>
    </row>
    <row r="167">
      <c r="A167" s="18" t="inlineStr">
        <is>
          <t>Balance sheet (detail)</t>
        </is>
      </c>
      <c r="B167" s="18" t="inlineStr">
        <is>
          <t>Balance sheet identity: line 16 = line 26 + line 32 (EOY)</t>
        </is>
      </c>
      <c r="C167" s="18" t="inlineStr">
        <is>
          <t>FY2023</t>
        </is>
      </c>
      <c r="D167" s="9">
        <f>'Balance sheet (detail)'!E12</f>
        <v/>
      </c>
      <c r="E167" s="9">
        <f>SUM('Balance sheet (detail)'!E17,'Balance sheet (detail)'!E23)</f>
        <v/>
      </c>
      <c r="F167" s="9">
        <f>E167-D167</f>
        <v/>
      </c>
    </row>
    <row r="168">
      <c r="A168" s="18" t="inlineStr">
        <is>
          <t>Balance sheet (detail)</t>
        </is>
      </c>
      <c r="B168" s="18" t="inlineStr">
        <is>
          <t>Balance sheet identity: line 16 = line 26 + line 32 (EOY)</t>
        </is>
      </c>
      <c r="C168" s="18" t="inlineStr">
        <is>
          <t>FY2024</t>
        </is>
      </c>
      <c r="D168" s="9">
        <f>'Balance sheet (detail)'!F12</f>
        <v/>
      </c>
      <c r="E168" s="9">
        <f>SUM('Balance sheet (detail)'!F17,'Balance sheet (detail)'!F23)</f>
        <v/>
      </c>
      <c r="F168" s="9">
        <f>E168-D168</f>
        <v/>
      </c>
    </row>
    <row r="169">
      <c r="A169" s="18" t="inlineStr">
        <is>
          <t>Net-assets reconciliation</t>
        </is>
      </c>
      <c r="B169" s="18" t="inlineStr">
        <is>
          <t>10. Net assets, end of year</t>
        </is>
      </c>
      <c r="C169" s="18" t="inlineStr">
        <is>
          <t>FY2020</t>
        </is>
      </c>
      <c r="D169" s="9" t="n">
        <v>695672</v>
      </c>
      <c r="E169" s="9">
        <f>'Net-assets reconciliation'!B11</f>
        <v/>
      </c>
      <c r="F169" s="9">
        <f>E169-D169</f>
        <v/>
      </c>
    </row>
    <row r="170">
      <c r="A170" s="18" t="inlineStr">
        <is>
          <t>Net-assets reconciliation</t>
        </is>
      </c>
      <c r="B170" s="18" t="inlineStr">
        <is>
          <t>10. Net assets, end of year</t>
        </is>
      </c>
      <c r="C170" s="18" t="inlineStr">
        <is>
          <t>FY2021</t>
        </is>
      </c>
      <c r="D170" s="9" t="n">
        <v>766340</v>
      </c>
      <c r="E170" s="9">
        <f>'Net-assets reconciliation'!C11</f>
        <v/>
      </c>
      <c r="F170" s="9">
        <f>E170-D170</f>
        <v/>
      </c>
    </row>
    <row r="171">
      <c r="A171" s="18" t="inlineStr">
        <is>
          <t>Net-assets reconciliation</t>
        </is>
      </c>
      <c r="B171" s="18" t="inlineStr">
        <is>
          <t>10. Net assets, end of year</t>
        </is>
      </c>
      <c r="C171" s="18" t="inlineStr">
        <is>
          <t>FY2022</t>
        </is>
      </c>
      <c r="D171" s="9" t="n">
        <v>873161</v>
      </c>
      <c r="E171" s="9">
        <f>'Net-assets reconciliation'!D11</f>
        <v/>
      </c>
      <c r="F171" s="9">
        <f>E171-D171</f>
        <v/>
      </c>
    </row>
    <row r="172">
      <c r="A172" s="18" t="inlineStr">
        <is>
          <t>Net-assets reconciliation</t>
        </is>
      </c>
      <c r="B172" s="18" t="inlineStr">
        <is>
          <t>10. Net assets, end of year</t>
        </is>
      </c>
      <c r="C172" s="18" t="inlineStr">
        <is>
          <t>FY2023</t>
        </is>
      </c>
      <c r="D172" s="9" t="n">
        <v>2137626</v>
      </c>
      <c r="E172" s="9">
        <f>'Net-assets reconciliation'!E11</f>
        <v/>
      </c>
      <c r="F172" s="9">
        <f>E172-D172</f>
        <v/>
      </c>
    </row>
    <row r="173">
      <c r="A173" s="18" t="inlineStr">
        <is>
          <t>Net-assets reconciliation</t>
        </is>
      </c>
      <c r="B173" s="18" t="inlineStr">
        <is>
          <t>10. Net assets, end of year</t>
        </is>
      </c>
      <c r="C173" s="18" t="inlineStr">
        <is>
          <t>FY2024</t>
        </is>
      </c>
      <c r="D173" s="9" t="n">
        <v>2168544</v>
      </c>
      <c r="E173" s="9">
        <f>'Net-assets reconciliation'!F11</f>
        <v/>
      </c>
      <c r="F173" s="9">
        <f>E173-D173</f>
        <v/>
      </c>
    </row>
    <row r="175">
      <c r="A175" s="30" t="inlineStr">
        <is>
          <t>D. Preparer / auditor trail (one row per fiscal year, as filed)</t>
        </is>
      </c>
      <c r="B175" s="7" t="n"/>
      <c r="C175" s="7" t="n"/>
      <c r="D175" s="7" t="n"/>
      <c r="E175" s="7" t="n"/>
      <c r="F175" s="7" t="n"/>
      <c r="G175" s="7" t="n"/>
      <c r="H175" s="7" t="n"/>
      <c r="I175" s="7" t="n"/>
      <c r="J175" s="7" t="n"/>
      <c r="K175" s="7" t="n"/>
    </row>
    <row r="176">
      <c r="A176" s="5" t="inlineStr">
        <is>
          <t>Fiscal year</t>
        </is>
      </c>
      <c r="B176" s="5" t="inlineStr">
        <is>
          <t>Paid preparer</t>
        </is>
      </c>
      <c r="C176" s="5" t="inlineStr">
        <is>
          <t>Preparer firm</t>
        </is>
      </c>
      <c r="D176" s="5" t="inlineStr">
        <is>
          <t>Independent auditor</t>
        </is>
      </c>
      <c r="E176" s="5" t="inlineStr">
        <is>
          <t>Citation</t>
        </is>
      </c>
    </row>
    <row r="177" ht="42" customHeight="1">
      <c r="A177" s="27" t="inlineStr">
        <is>
          <t>FY2020</t>
        </is>
      </c>
      <c r="B177" s="8" t="inlineStr">
        <is>
          <t>Christopher D Jacobs</t>
        </is>
      </c>
      <c r="C177" s="8" t="inlineStr">
        <is>
          <t>Christopher D Jacobs CPA</t>
        </is>
      </c>
      <c r="D177" s="31" t="inlineStr">
        <is>
          <t>not reported</t>
        </is>
      </c>
      <c r="E177" s="21" t="inlineStr">
        <is>
          <t>Form 990 Return Header, Paid Preparer block (return_header.preparer_person_name / preparer_firm_name); auditor: Part XII line 2 reports audited financial statements but does not name the firm.</t>
        </is>
      </c>
    </row>
    <row r="178" ht="42" customHeight="1">
      <c r="A178" s="27" t="inlineStr">
        <is>
          <t>FY2021</t>
        </is>
      </c>
      <c r="B178" s="8" t="inlineStr">
        <is>
          <t>Christopher D Jacobs</t>
        </is>
      </c>
      <c r="C178" s="8" t="inlineStr">
        <is>
          <t>Christopher D Jacobs CPA</t>
        </is>
      </c>
      <c r="D178" s="31" t="inlineStr">
        <is>
          <t>not reported</t>
        </is>
      </c>
      <c r="E178" s="21" t="inlineStr">
        <is>
          <t>Form 990 Return Header, Paid Preparer block (return_header.preparer_person_name / preparer_firm_name); auditor: Part XII line 2 reports audited financial statements but does not name the firm.</t>
        </is>
      </c>
    </row>
    <row r="179" ht="42" customHeight="1">
      <c r="A179" s="27" t="inlineStr">
        <is>
          <t>FY2022</t>
        </is>
      </c>
      <c r="B179" s="8" t="inlineStr">
        <is>
          <t>Christopher D Jacobs</t>
        </is>
      </c>
      <c r="C179" s="8" t="inlineStr">
        <is>
          <t>Christopher D Jacobs CPA</t>
        </is>
      </c>
      <c r="D179" s="31" t="inlineStr">
        <is>
          <t>not reported</t>
        </is>
      </c>
      <c r="E179" s="21" t="inlineStr">
        <is>
          <t>Form 990 Return Header, Paid Preparer block (return_header.preparer_person_name / preparer_firm_name); auditor: Part XII line 2 reports audited financial statements but does not name the firm.</t>
        </is>
      </c>
    </row>
    <row r="180" ht="42" customHeight="1">
      <c r="A180" s="27" t="inlineStr">
        <is>
          <t>FY2023</t>
        </is>
      </c>
      <c r="B180" s="8" t="inlineStr">
        <is>
          <t>Christopher D Jacobs</t>
        </is>
      </c>
      <c r="C180" s="8" t="inlineStr">
        <is>
          <t>Christopher D Jacobs CPA</t>
        </is>
      </c>
      <c r="D180" s="31" t="inlineStr">
        <is>
          <t>not reported</t>
        </is>
      </c>
      <c r="E180" s="21" t="inlineStr">
        <is>
          <t>Form 990 Return Header, Paid Preparer block (return_header.preparer_person_name / preparer_firm_name); auditor: Part XII line 2 reports audited financial statements but does not name the firm.</t>
        </is>
      </c>
    </row>
    <row r="181" ht="42" customHeight="1">
      <c r="A181" s="27" t="inlineStr">
        <is>
          <t>FY2024</t>
        </is>
      </c>
      <c r="B181" s="8" t="inlineStr">
        <is>
          <t>CHRISTOPHER D JACOBS</t>
        </is>
      </c>
      <c r="C181" s="8" t="inlineStr">
        <is>
          <t>Christopher D Jacobs CPA</t>
        </is>
      </c>
      <c r="D181" s="31" t="inlineStr">
        <is>
          <t>not reported</t>
        </is>
      </c>
      <c r="E181" s="21" t="inlineStr">
        <is>
          <t>Form 990 Return Header, Paid Preparer block (return_header.preparer_person_name / preparer_firm_name); auditor: Part XII line 2 reports audited financial statements but does not name the firm.</t>
        </is>
      </c>
    </row>
    <row r="183" ht="42" customHeight="1">
      <c r="A183" s="3" t="inlineStr">
        <is>
          <t>Section B lists every figure on the statement tabs by its cell, so any number can be traced to its Form 990 line, key path, and confidence without cluttering the statements. Section C recomputes each statutory total live from the statement cells and compares it with the as-filed value; a nonzero variance turns red. A red row is a filer-internal inconsistency (e.g. an ending net-assets figure that does not equal the beginning balance plus the year's surplus or deficit), carried exactly as filed and never reconciled; the statutory totals otherwise tie to zero. Section D records the paid preparer and (where named) the auditor for each year, as filed; the 990 names the preparer but not the auditing firm, so the auditor reads "not reported". Section E lists every as-filed wording variant for Part IX line-24 rows that were consolidated across years because they differed only by capitalization or spacing. IRS efile XML has no page numbers, so 990 figures cite by Part and line (the key path), not a page.</t>
        </is>
      </c>
    </row>
  </sheetData>
  <mergeCells count="6">
    <mergeCell ref="A6:K6"/>
    <mergeCell ref="A3:K3"/>
    <mergeCell ref="A2:K2"/>
    <mergeCell ref="A183:K183"/>
    <mergeCell ref="A5:K5"/>
    <mergeCell ref="A1:K1"/>
  </mergeCells>
  <conditionalFormatting sqref="F137:F173">
    <cfRule type="cellIs" priority="1" operator="notEqual" dxfId="0">
      <formula>0</formula>
    </cfRule>
  </conditionalFormatting>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34" customWidth="1" min="1" max="1"/>
    <col width="90" customWidth="1" min="2" max="2"/>
  </cols>
  <sheetData>
    <row r="1">
      <c r="A1" t="inlineStr">
        <is>
          <t>Build provenance</t>
        </is>
      </c>
      <c r="B1" t="inlineStr">
        <is>
          <t>Built from source commit d418ffb17485 (2026-10-06); source fingerprint a75a8eee82c65cf7; 192 companies (179 retail mutual, 4 irrigation mutual, 3 mutual, no PWSID, purpose not stated, 2 frozen non-mutual (special district), 2 wholesale mutual, 1 frozen non-mutual (investor-owned), 1 frozen non-mutual (municipal)); 91 gates; build id 3d08d6d2a855.</t>
        </is>
      </c>
    </row>
    <row r="2">
      <c r="A2" t="inlineStr">
        <is>
          <t>source_commit</t>
        </is>
      </c>
      <c r="B2" t="inlineStr">
        <is>
          <t>d418ffb174855ab78000d391d42f898397b0d8aa</t>
        </is>
      </c>
    </row>
    <row r="3">
      <c r="A3" t="inlineStr">
        <is>
          <t>source_commit_date</t>
        </is>
      </c>
      <c r="B3" t="inlineStr">
        <is>
          <t>2026-10-06</t>
        </is>
      </c>
    </row>
    <row r="4">
      <c r="A4" t="inlineStr">
        <is>
          <t>source_fingerprint</t>
        </is>
      </c>
      <c r="B4" t="inlineStr">
        <is>
          <t>a75a8eee82c65cf7096931f06e18affdc28686a02895b46538e7298b57c04d94</t>
        </is>
      </c>
    </row>
    <row r="5">
      <c r="A5" t="inlineStr">
        <is>
          <t>gate_count</t>
        </is>
      </c>
      <c r="B5" t="n">
        <v>91</v>
      </c>
    </row>
    <row r="6">
      <c r="A6" t="inlineStr">
        <is>
          <t>build_id</t>
        </is>
      </c>
      <c r="B6" t="inlineStr">
        <is>
          <t>3d08d6d2a855</t>
        </is>
      </c>
    </row>
    <row r="7">
      <c r="A7" t="inlineStr">
        <is>
          <t>registry: frozen non-mutual (investor-owned)</t>
        </is>
      </c>
      <c r="B7" t="n">
        <v>1</v>
      </c>
    </row>
    <row r="8">
      <c r="A8" t="inlineStr">
        <is>
          <t>registry: frozen non-mutual (municipal)</t>
        </is>
      </c>
      <c r="B8" t="n">
        <v>1</v>
      </c>
    </row>
    <row r="9">
      <c r="A9" t="inlineStr">
        <is>
          <t>registry: frozen non-mutual (special district)</t>
        </is>
      </c>
      <c r="B9" t="n">
        <v>2</v>
      </c>
    </row>
    <row r="10">
      <c r="A10" t="inlineStr">
        <is>
          <t>registry: irrigation mutual</t>
        </is>
      </c>
      <c r="B10" t="n">
        <v>4</v>
      </c>
    </row>
    <row r="11">
      <c r="A11" t="inlineStr">
        <is>
          <t>registry: mutual, no PWSID, purpose not stated</t>
        </is>
      </c>
      <c r="B11" t="n">
        <v>3</v>
      </c>
    </row>
    <row r="12">
      <c r="A12" t="inlineStr">
        <is>
          <t>registry: retail mutual</t>
        </is>
      </c>
      <c r="B12" t="n">
        <v>179</v>
      </c>
    </row>
    <row r="13">
      <c r="A13" t="inlineStr">
        <is>
          <t>registry: wholesale mutual</t>
        </is>
      </c>
      <c r="B13" t="n">
        <v>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2020-01-01T00:00:00Z</dcterms:created>
  <dcterms:modified xsi:type="dcterms:W3CDTF">2020-01-01T00:00:00Z</dcterms:modified>
</cp:coreProperties>
</file>