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1.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eAR revenue &amp; expenses" sheetId="10" state="visible" r:id="rId10"/>
    <sheet name="Denominators &amp; alignment" sheetId="11" state="visible" r:id="rId11"/>
    <sheet name="Governance evidence" sheetId="12" state="visible" r:id="rId12"/>
    <sheet name="Operational metrics" sheetId="13" state="visible" r:id="rId13"/>
    <sheet name="Supply &amp; weather" sheetId="14" state="visible" r:id="rId14"/>
    <sheet name="How this was built" sheetId="15" state="visible" r:id="rId15"/>
    <sheet name="Water Operations"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
    <numFmt numFmtId="167" formatCode="$#,##0.00###"/>
    <numFmt numFmtId="168" formatCode="#,##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7F60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9"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0" fillId="6" borderId="1" applyAlignment="1" pivotButton="0" quotePrefix="0" xfId="0">
      <alignment horizontal="right"/>
    </xf>
    <xf numFmtId="1" fontId="10" fillId="6"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9" fillId="5" borderId="1" applyAlignment="1" pivotButton="0" quotePrefix="0" xfId="0">
      <alignment horizontal="right"/>
    </xf>
    <xf numFmtId="166" fontId="9" fillId="5" borderId="1" applyAlignment="1" pivotButton="0" quotePrefix="0" xfId="0">
      <alignment horizontal="right"/>
    </xf>
    <xf numFmtId="166" fontId="9" fillId="4" borderId="1" applyAlignment="1" pivotButton="0" quotePrefix="0" xfId="0">
      <alignment horizontal="right"/>
    </xf>
    <xf numFmtId="10" fontId="9" fillId="5" borderId="1" applyAlignment="1" pivotButton="0" quotePrefix="0" xfId="0">
      <alignment horizontal="right"/>
    </xf>
    <xf numFmtId="2" fontId="9" fillId="5" borderId="1" applyAlignment="1" pivotButton="0" quotePrefix="0" xfId="0">
      <alignment horizontal="right"/>
    </xf>
    <xf numFmtId="0" fontId="9"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Siete Robles Mutual Water Company</t>
        </is>
      </c>
    </row>
    <row r="2">
      <c r="A2" s="2" t="inlineStr">
        <is>
          <t>Financial Summary - multi-year overview (USD)</t>
        </is>
      </c>
    </row>
    <row r="3">
      <c r="A3" s="2" t="inlineStr">
        <is>
          <t>Entity ID: cawc_0019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101672</v>
      </c>
      <c r="C10" s="9" t="n">
        <v>99507</v>
      </c>
      <c r="D10" s="9" t="n">
        <v>92729</v>
      </c>
      <c r="E10" s="9" t="n">
        <v>82724</v>
      </c>
      <c r="F10" s="9" t="n">
        <v>101454</v>
      </c>
    </row>
    <row r="11">
      <c r="A11" s="8" t="inlineStr">
        <is>
          <t xml:space="preserve">    Total expenses</t>
        </is>
      </c>
      <c r="B11" s="9" t="n">
        <v>88328</v>
      </c>
      <c r="C11" s="9" t="n">
        <v>100064</v>
      </c>
      <c r="D11" s="9" t="n">
        <v>95649</v>
      </c>
      <c r="E11" s="9" t="n">
        <v>113031</v>
      </c>
      <c r="F11" s="9" t="n">
        <v>131241</v>
      </c>
    </row>
    <row r="12">
      <c r="A12" s="10" t="inlineStr">
        <is>
          <t xml:space="preserve">    Net income</t>
        </is>
      </c>
      <c r="B12" s="11" t="n">
        <v>13344</v>
      </c>
      <c r="C12" s="11" t="n">
        <v>-557</v>
      </c>
      <c r="D12" s="11" t="n">
        <v>-2920</v>
      </c>
      <c r="E12" s="11" t="n">
        <v>-30307</v>
      </c>
      <c r="F12" s="11" t="n">
        <v>-29787</v>
      </c>
    </row>
    <row r="14">
      <c r="A14" s="6" t="inlineStr">
        <is>
          <t>Financial position (USD, end of year)</t>
        </is>
      </c>
      <c r="B14" s="7" t="n"/>
      <c r="C14" s="7" t="n"/>
      <c r="D14" s="7" t="n"/>
      <c r="E14" s="7" t="n"/>
      <c r="F14" s="7" t="n"/>
    </row>
    <row r="15">
      <c r="A15" s="8" t="inlineStr">
        <is>
          <t xml:space="preserve">    Total assets</t>
        </is>
      </c>
      <c r="B15" s="9" t="n">
        <v>210815</v>
      </c>
      <c r="C15" s="9" t="n">
        <v>210252</v>
      </c>
      <c r="D15" s="9" t="n">
        <v>207355</v>
      </c>
      <c r="E15" s="9" t="n">
        <v>177026</v>
      </c>
      <c r="F15" s="9" t="n">
        <v>145736</v>
      </c>
    </row>
    <row r="16">
      <c r="A16" s="8" t="inlineStr">
        <is>
          <t xml:space="preserve">    Total liabilities</t>
        </is>
      </c>
      <c r="B16" s="9" t="n">
        <v>1508</v>
      </c>
      <c r="C16" s="9" t="n">
        <v>1502</v>
      </c>
      <c r="D16" s="9" t="n">
        <v>1525</v>
      </c>
      <c r="E16" s="9" t="n">
        <v>1503</v>
      </c>
      <c r="F16" s="9" t="n"/>
    </row>
    <row r="17">
      <c r="A17" s="10" t="inlineStr">
        <is>
          <t xml:space="preserve">    Net assets</t>
        </is>
      </c>
      <c r="B17" s="11" t="n">
        <v>209307</v>
      </c>
      <c r="C17" s="11" t="n">
        <v>208750</v>
      </c>
      <c r="D17" s="11" t="n">
        <v>205830</v>
      </c>
      <c r="E17" s="11" t="n">
        <v>175523</v>
      </c>
      <c r="F17" s="11" t="n">
        <v>145736</v>
      </c>
    </row>
    <row r="19">
      <c r="A19" s="6" t="inlineStr">
        <is>
          <t>Headline ratios</t>
        </is>
      </c>
      <c r="B19" s="7" t="n"/>
      <c r="C19" s="7" t="n"/>
      <c r="D19" s="7" t="n"/>
      <c r="E19" s="7" t="n"/>
      <c r="F19" s="7" t="n"/>
    </row>
    <row r="20">
      <c r="A20" s="8" t="inlineStr">
        <is>
          <t xml:space="preserve">    Operating margin</t>
        </is>
      </c>
      <c r="B20" s="12" t="n">
        <v>0.1312455740026753</v>
      </c>
      <c r="C20" s="12" t="n">
        <v>-0.005597596149014642</v>
      </c>
      <c r="D20" s="12" t="n">
        <v>-0.03148960950727388</v>
      </c>
      <c r="E20" s="12" t="n">
        <v>-0.3663628451235433</v>
      </c>
      <c r="F20" s="12" t="n">
        <v>-0.2936010408658111</v>
      </c>
    </row>
    <row r="21">
      <c r="A21" s="8" t="inlineStr">
        <is>
          <t xml:space="preserve">    Revenue growth (YoY)</t>
        </is>
      </c>
      <c r="B21" s="12" t="n"/>
      <c r="C21" s="12" t="n"/>
      <c r="D21" s="12" t="n"/>
      <c r="E21" s="12" t="n"/>
      <c r="F21" s="12" t="n"/>
    </row>
    <row r="22">
      <c r="A22" s="8" t="inlineStr">
        <is>
          <t xml:space="preserve">    Return on assets</t>
        </is>
      </c>
      <c r="B22" s="12" t="n">
        <v>0.06329720370941347</v>
      </c>
      <c r="C22" s="12" t="n">
        <v>-0.002649201910088846</v>
      </c>
      <c r="D22" s="12" t="n">
        <v>-0.01408212968098189</v>
      </c>
      <c r="E22" s="12" t="n">
        <v>-0.1712008405544948</v>
      </c>
      <c r="F22" s="12" t="n">
        <v>-0.2043901300982599</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Siete Robles Mutual Water Company</t>
        </is>
      </c>
    </row>
    <row r="2">
      <c r="A2" s="2" t="inlineStr">
        <is>
          <t>Financial Statements - income statement, balance sheet, cash flow, member income test (USD)</t>
        </is>
      </c>
    </row>
    <row r="3">
      <c r="A3" s="2" t="inlineStr">
        <is>
          <t>Entity ID: cawc_0019   |   Fiscal year ends June 30.</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c r="C8" s="9" t="n"/>
      <c r="D8" s="9" t="n"/>
      <c r="E8" s="9" t="n"/>
      <c r="F8" s="9" t="n"/>
    </row>
    <row r="9">
      <c r="A9" s="8" t="inlineStr">
        <is>
          <t xml:space="preserve">    Investment income</t>
        </is>
      </c>
      <c r="B9" s="9" t="n"/>
      <c r="C9" s="9" t="n"/>
      <c r="D9" s="9" t="n"/>
      <c r="E9" s="9" t="n"/>
      <c r="F9" s="9" t="n"/>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c r="C13" s="9" t="n"/>
      <c r="D13" s="9" t="n"/>
      <c r="E13" s="9" t="n"/>
      <c r="F13" s="9" t="n"/>
    </row>
    <row r="14">
      <c r="A14" s="10" t="inlineStr">
        <is>
          <t>Total revenue</t>
        </is>
      </c>
      <c r="B14" s="11" t="n"/>
      <c r="C14" s="11" t="n"/>
      <c r="D14" s="11" t="n"/>
      <c r="E14" s="11" t="n"/>
      <c r="F14" s="11" t="n"/>
    </row>
    <row r="16">
      <c r="A16" s="6" t="inlineStr">
        <is>
          <t>Expenses</t>
        </is>
      </c>
      <c r="B16" s="7" t="n"/>
      <c r="C16" s="7" t="n"/>
      <c r="D16" s="7" t="n"/>
      <c r="E16" s="7" t="n"/>
      <c r="F16" s="7" t="n"/>
    </row>
    <row r="17">
      <c r="A17" s="8" t="inlineStr">
        <is>
          <t xml:space="preserve">    Depreciation</t>
        </is>
      </c>
      <c r="B17" s="9" t="n"/>
      <c r="C17" s="9" t="n"/>
      <c r="D17" s="9" t="n"/>
      <c r="E17" s="9" t="n"/>
      <c r="F17" s="9" t="n"/>
    </row>
    <row r="18">
      <c r="A18" s="8" t="inlineStr">
        <is>
          <t xml:space="preserve">    Interest expense</t>
        </is>
      </c>
      <c r="B18" s="9" t="n"/>
      <c r="C18" s="9" t="n"/>
      <c r="D18" s="9" t="n"/>
      <c r="E18" s="9" t="n"/>
      <c r="F18" s="9" t="n"/>
    </row>
    <row r="19">
      <c r="A19" s="10" t="inlineStr">
        <is>
          <t>Total expenses</t>
        </is>
      </c>
      <c r="B19" s="11" t="n">
        <v>88328</v>
      </c>
      <c r="C19" s="11" t="n">
        <v>100064</v>
      </c>
      <c r="D19" s="11" t="n">
        <v>95649</v>
      </c>
      <c r="E19" s="11" t="n">
        <v>113031</v>
      </c>
      <c r="F19" s="11" t="n">
        <v>131241</v>
      </c>
    </row>
    <row r="21">
      <c r="A21" s="10" t="inlineStr">
        <is>
          <t>Net income</t>
        </is>
      </c>
      <c r="B21" s="11" t="n">
        <v>13344</v>
      </c>
      <c r="C21" s="11" t="n">
        <v>-557</v>
      </c>
      <c r="D21" s="11" t="n">
        <v>-2920</v>
      </c>
      <c r="E21" s="11" t="n">
        <v>-30307</v>
      </c>
      <c r="F21" s="11" t="n">
        <v>-29787</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180887</v>
      </c>
      <c r="C27" s="9" t="n">
        <v>162888</v>
      </c>
      <c r="D27" s="9" t="n">
        <v>158608</v>
      </c>
      <c r="E27" s="9" t="n">
        <v>120845</v>
      </c>
      <c r="F27" s="9" t="n">
        <v>98220</v>
      </c>
    </row>
    <row r="28">
      <c r="A28" s="8" t="inlineStr">
        <is>
          <t xml:space="preserve">    Savings &amp; temporary investments</t>
        </is>
      </c>
      <c r="B28" s="9" t="n"/>
      <c r="C28" s="9" t="n"/>
      <c r="D28" s="9" t="n"/>
      <c r="E28" s="9" t="n"/>
      <c r="F28" s="9" t="n"/>
    </row>
    <row r="29">
      <c r="A29" s="8" t="inlineStr">
        <is>
          <t xml:space="preserve">    Accounts receivable</t>
        </is>
      </c>
      <c r="B29" s="9" t="n"/>
      <c r="C29" s="9" t="n"/>
      <c r="D29" s="9" t="n"/>
      <c r="E29" s="9" t="n"/>
      <c r="F29" s="9" t="n"/>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c r="C32" s="9" t="n"/>
      <c r="D32" s="9" t="n"/>
      <c r="E32" s="9" t="n"/>
      <c r="F32" s="9" t="n"/>
    </row>
    <row r="33">
      <c r="A33" s="8" t="inlineStr">
        <is>
          <t xml:space="preserve">    Less: accumulated depreciation</t>
        </is>
      </c>
      <c r="B33" s="9" t="n"/>
      <c r="C33" s="9" t="n"/>
      <c r="D33" s="9" t="n"/>
      <c r="E33" s="9" t="n"/>
      <c r="F33" s="9" t="n"/>
    </row>
    <row r="34">
      <c r="A34" s="10" t="inlineStr">
        <is>
          <t xml:space="preserve">    Net property, plant &amp; equipment</t>
        </is>
      </c>
      <c r="B34" s="11" t="n"/>
      <c r="C34" s="11" t="n"/>
      <c r="D34" s="11" t="n"/>
      <c r="E34" s="11" t="n"/>
      <c r="F34" s="11" t="n"/>
    </row>
    <row r="35">
      <c r="A35" s="10" t="inlineStr">
        <is>
          <t>Total assets</t>
        </is>
      </c>
      <c r="B35" s="11" t="n">
        <v>210815</v>
      </c>
      <c r="C35" s="11" t="n">
        <v>210252</v>
      </c>
      <c r="D35" s="11" t="n">
        <v>207355</v>
      </c>
      <c r="E35" s="11" t="n">
        <v>177026</v>
      </c>
      <c r="F35" s="11" t="n">
        <v>145736</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1508</v>
      </c>
      <c r="C40" s="11" t="n">
        <v>1502</v>
      </c>
      <c r="D40" s="11" t="n">
        <v>1525</v>
      </c>
      <c r="E40" s="11" t="n">
        <v>1503</v>
      </c>
      <c r="F40" s="11" t="n"/>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209307</v>
      </c>
      <c r="C46" s="11" t="n">
        <v>208750</v>
      </c>
      <c r="D46" s="11" t="n">
        <v>205830</v>
      </c>
      <c r="E46" s="11" t="n">
        <v>175523</v>
      </c>
      <c r="F46" s="11" t="n">
        <v>145736</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13344</v>
      </c>
      <c r="C52" s="9" t="n">
        <v>-557</v>
      </c>
      <c r="D52" s="9" t="n">
        <v>-2920</v>
      </c>
      <c r="E52" s="9" t="n">
        <v>-30307</v>
      </c>
      <c r="F52" s="9" t="n">
        <v>-29787</v>
      </c>
    </row>
    <row r="53">
      <c r="A53" s="8" t="inlineStr">
        <is>
          <t xml:space="preserve">    + Depreciation (reported)</t>
        </is>
      </c>
      <c r="B53" s="9" t="n"/>
      <c r="C53" s="9" t="n"/>
      <c r="D53" s="9" t="n"/>
      <c r="E53" s="9" t="n"/>
      <c r="F53" s="9" t="n"/>
    </row>
    <row r="54">
      <c r="A54" s="8" t="inlineStr">
        <is>
          <t xml:space="preserve">    − Δ Accounts receivable</t>
        </is>
      </c>
      <c r="B54" s="9" t="n"/>
      <c r="C54" s="9" t="n"/>
      <c r="D54" s="9" t="n"/>
      <c r="E54" s="9" t="n"/>
      <c r="F54" s="9" t="n"/>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-557</v>
      </c>
      <c r="D58" s="11" t="n">
        <v>-2920</v>
      </c>
      <c r="E58" s="11" t="n">
        <v>-30307</v>
      </c>
      <c r="F58" s="11" t="n">
        <v>-29787</v>
      </c>
    </row>
    <row r="60">
      <c r="A60" s="6" t="inlineStr">
        <is>
          <t>Investing</t>
        </is>
      </c>
      <c r="B60" s="7" t="n"/>
      <c r="C60" s="7" t="n"/>
      <c r="D60" s="7" t="n"/>
      <c r="E60" s="7" t="n"/>
      <c r="F60" s="7" t="n"/>
    </row>
    <row r="61">
      <c r="A61" s="8" t="inlineStr">
        <is>
          <t xml:space="preserve">    − Δ PP&amp;E gross (capex proxy)</t>
        </is>
      </c>
      <c r="B61" s="9" t="n"/>
      <c r="C61" s="9" t="n"/>
      <c r="D61" s="9" t="n"/>
      <c r="E61" s="9" t="n"/>
      <c r="F61" s="9" t="n"/>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-17999</v>
      </c>
      <c r="D67" s="11" t="n">
        <v>-4280</v>
      </c>
      <c r="E67" s="11" t="n">
        <v>-37763</v>
      </c>
      <c r="F67" s="11" t="n">
        <v>-22625</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3:F3"/>
    <mergeCell ref="A2:F2"/>
    <mergeCell ref="A69:F69"/>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Siete Robles Mutual Water Company</t>
        </is>
      </c>
    </row>
    <row r="2">
      <c r="A2" s="2" t="inlineStr">
        <is>
          <t>Balance Sheet - as reported (USD, end of year)</t>
        </is>
      </c>
    </row>
    <row r="3">
      <c r="A3" s="2" t="inlineStr">
        <is>
          <t>Entity ID: cawc_0019   |   Fiscal year ends June 30.</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180887</v>
      </c>
      <c r="C7" s="9" t="n">
        <v>162888</v>
      </c>
      <c r="D7" s="9" t="n">
        <v>158608</v>
      </c>
      <c r="E7" s="9" t="n">
        <v>120845</v>
      </c>
      <c r="F7" s="9" t="n">
        <v>98220</v>
      </c>
    </row>
    <row r="8">
      <c r="A8" s="8" t="inlineStr">
        <is>
          <t xml:space="preserve">    Savings &amp; temporary investments</t>
        </is>
      </c>
      <c r="B8" s="9" t="n"/>
      <c r="C8" s="9" t="n"/>
      <c r="D8" s="9" t="n"/>
      <c r="E8" s="9" t="n"/>
      <c r="F8" s="9" t="n"/>
    </row>
    <row r="9">
      <c r="A9" s="8" t="inlineStr">
        <is>
          <t xml:space="preserve">    Accounts receivable</t>
        </is>
      </c>
      <c r="B9" s="9" t="n"/>
      <c r="C9" s="9" t="n"/>
      <c r="D9" s="9" t="n"/>
      <c r="E9" s="9" t="n"/>
      <c r="F9" s="9" t="n"/>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c r="C12" s="9" t="n"/>
      <c r="D12" s="9" t="n"/>
      <c r="E12" s="9" t="n"/>
      <c r="F12" s="9" t="n"/>
    </row>
    <row r="13">
      <c r="A13" s="8" t="inlineStr">
        <is>
          <t xml:space="preserve">    Less: accumulated depreciation</t>
        </is>
      </c>
      <c r="B13" s="9" t="n"/>
      <c r="C13" s="9" t="n"/>
      <c r="D13" s="9" t="n"/>
      <c r="E13" s="9" t="n"/>
      <c r="F13" s="9" t="n"/>
    </row>
    <row r="14">
      <c r="A14" s="10" t="inlineStr">
        <is>
          <t xml:space="preserve">    Net property, plant &amp; equipment</t>
        </is>
      </c>
      <c r="B14" s="11" t="n"/>
      <c r="C14" s="11" t="n"/>
      <c r="D14" s="11" t="n"/>
      <c r="E14" s="11" t="n"/>
      <c r="F14" s="11" t="n"/>
    </row>
    <row r="15">
      <c r="A15" s="10" t="inlineStr">
        <is>
          <t>Total assets</t>
        </is>
      </c>
      <c r="B15" s="11" t="n">
        <v>210815</v>
      </c>
      <c r="C15" s="11" t="n">
        <v>210252</v>
      </c>
      <c r="D15" s="11" t="n">
        <v>207355</v>
      </c>
      <c r="E15" s="11" t="n">
        <v>177026</v>
      </c>
      <c r="F15" s="11" t="n">
        <v>145736</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1508</v>
      </c>
      <c r="C20" s="11" t="n">
        <v>1502</v>
      </c>
      <c r="D20" s="11" t="n">
        <v>1525</v>
      </c>
      <c r="E20" s="11" t="n">
        <v>1503</v>
      </c>
      <c r="F20" s="11" t="n"/>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209307</v>
      </c>
      <c r="C26" s="11" t="n">
        <v>208750</v>
      </c>
      <c r="D26" s="11" t="n">
        <v>205830</v>
      </c>
      <c r="E26" s="11" t="n">
        <v>175523</v>
      </c>
      <c r="F26" s="11" t="n">
        <v>145736</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Siete Robles Mutual Water Company</t>
        </is>
      </c>
    </row>
    <row r="2">
      <c r="A2" s="2" t="inlineStr">
        <is>
          <t>Form 990-EZ - Part I (revenue, expenses, net assets) and Part II (balance sheet), as filed (USD)</t>
        </is>
      </c>
    </row>
    <row r="3">
      <c r="A3" s="2" t="inlineStr">
        <is>
          <t>Entity ID: cawc_0019   |   Fiscal year ends June 30.</t>
        </is>
      </c>
    </row>
    <row r="5">
      <c r="A5" s="4" t="inlineStr">
        <is>
          <t>Form 990-EZ line</t>
        </is>
      </c>
      <c r="B5" s="5" t="inlineStr">
        <is>
          <t>FY2021</t>
        </is>
      </c>
      <c r="C5" s="5" t="inlineStr">
        <is>
          <t>FY2022</t>
        </is>
      </c>
      <c r="D5" s="5" t="inlineStr">
        <is>
          <t>FY2023</t>
        </is>
      </c>
      <c r="E5" s="5" t="inlineStr">
        <is>
          <t>FY2024</t>
        </is>
      </c>
      <c r="F5" s="5" t="inlineStr">
        <is>
          <t>FY2025</t>
        </is>
      </c>
    </row>
    <row r="6">
      <c r="A6" s="6" t="inlineStr">
        <is>
          <t>Revenue (Part I)</t>
        </is>
      </c>
      <c r="B6" s="7" t="n"/>
      <c r="C6" s="7" t="n"/>
      <c r="D6" s="7" t="n"/>
      <c r="E6" s="7" t="n"/>
      <c r="F6" s="7" t="n"/>
    </row>
    <row r="7">
      <c r="A7" s="8" t="inlineStr">
        <is>
          <t xml:space="preserve">    4. Investment income</t>
        </is>
      </c>
      <c r="B7" s="9" t="n">
        <v>1315</v>
      </c>
      <c r="C7" s="14" t="inlineStr">
        <is>
          <t>not reported</t>
        </is>
      </c>
      <c r="D7" s="9" t="n">
        <v>124</v>
      </c>
      <c r="E7" s="9" t="n">
        <v>124</v>
      </c>
      <c r="F7" s="9" t="n">
        <v>221</v>
      </c>
    </row>
    <row r="8">
      <c r="A8" s="8" t="inlineStr">
        <is>
          <t xml:space="preserve">    8. Other revenue</t>
        </is>
      </c>
      <c r="B8" s="9" t="n">
        <v>100357</v>
      </c>
      <c r="C8" s="9" t="n">
        <v>99507</v>
      </c>
      <c r="D8" s="9" t="n">
        <v>92605</v>
      </c>
      <c r="E8" s="9" t="n">
        <v>82600</v>
      </c>
      <c r="F8" s="9" t="n">
        <v>101233</v>
      </c>
    </row>
    <row r="9">
      <c r="A9" s="10" t="inlineStr">
        <is>
          <t>9. Total revenue</t>
        </is>
      </c>
      <c r="B9" s="11" t="n">
        <v>101672</v>
      </c>
      <c r="C9" s="11" t="n">
        <v>99507</v>
      </c>
      <c r="D9" s="11" t="n">
        <v>92729</v>
      </c>
      <c r="E9" s="11" t="n">
        <v>82724</v>
      </c>
      <c r="F9" s="11" t="n">
        <v>101454</v>
      </c>
    </row>
    <row r="11">
      <c r="A11" s="6" t="inlineStr">
        <is>
          <t>Expenses (Part I)</t>
        </is>
      </c>
      <c r="B11" s="7" t="n"/>
      <c r="C11" s="7" t="n"/>
      <c r="D11" s="7" t="n"/>
      <c r="E11" s="7" t="n"/>
      <c r="F11" s="7" t="n"/>
    </row>
    <row r="12">
      <c r="A12" s="8" t="inlineStr">
        <is>
          <t xml:space="preserve">    12. Salaries, other compensation, benefits</t>
        </is>
      </c>
      <c r="B12" s="9" t="n">
        <v>4057</v>
      </c>
      <c r="C12" s="9" t="n">
        <v>901</v>
      </c>
      <c r="D12" s="9" t="n">
        <v>904</v>
      </c>
      <c r="E12" s="9" t="n">
        <v>902</v>
      </c>
      <c r="F12" s="9" t="n">
        <v>881</v>
      </c>
    </row>
    <row r="13">
      <c r="A13" s="8" t="inlineStr">
        <is>
          <t xml:space="preserve">    13. Fees for services (independent contractors)</t>
        </is>
      </c>
      <c r="B13" s="9" t="n">
        <v>18554</v>
      </c>
      <c r="C13" s="9" t="n">
        <v>23782</v>
      </c>
      <c r="D13" s="9" t="n">
        <v>20165</v>
      </c>
      <c r="E13" s="9" t="n">
        <v>20414</v>
      </c>
      <c r="F13" s="9" t="n">
        <v>18865</v>
      </c>
    </row>
    <row r="14">
      <c r="A14" s="8" t="inlineStr">
        <is>
          <t xml:space="preserve">    16. Other expenses</t>
        </is>
      </c>
      <c r="B14" s="9" t="n">
        <v>65717</v>
      </c>
      <c r="C14" s="9" t="n">
        <v>75381</v>
      </c>
      <c r="D14" s="9" t="n">
        <v>74580</v>
      </c>
      <c r="E14" s="9" t="n">
        <v>91715</v>
      </c>
      <c r="F14" s="9" t="n">
        <v>111495</v>
      </c>
    </row>
    <row r="15">
      <c r="A15" s="10" t="inlineStr">
        <is>
          <t>17. Total expenses</t>
        </is>
      </c>
      <c r="B15" s="11">
        <f>SUM(B12:B14)</f>
        <v/>
      </c>
      <c r="C15" s="11">
        <f>SUM(C12:C14)</f>
        <v/>
      </c>
      <c r="D15" s="11">
        <f>SUM(D12:D14)</f>
        <v/>
      </c>
      <c r="E15" s="11">
        <f>SUM(E12:E14)</f>
        <v/>
      </c>
      <c r="F15" s="11">
        <f>SUM(F12:F14)</f>
        <v/>
      </c>
    </row>
    <row r="17">
      <c r="A17" s="6" t="inlineStr">
        <is>
          <t>Net-assets reconciliation (Part I)</t>
        </is>
      </c>
      <c r="B17" s="7" t="n"/>
      <c r="C17" s="7" t="n"/>
      <c r="D17" s="7" t="n"/>
      <c r="E17" s="7" t="n"/>
      <c r="F17" s="7" t="n"/>
    </row>
    <row r="18">
      <c r="A18" s="8" t="inlineStr">
        <is>
          <t xml:space="preserve">    19. Net assets or fund balances, beginning of year</t>
        </is>
      </c>
      <c r="B18" s="9" t="n">
        <v>195963</v>
      </c>
      <c r="C18" s="9" t="n">
        <v>209307</v>
      </c>
      <c r="D18" s="9" t="n">
        <v>208750</v>
      </c>
      <c r="E18" s="9" t="n">
        <v>205830</v>
      </c>
      <c r="F18" s="9" t="n">
        <v>175523</v>
      </c>
    </row>
    <row r="19">
      <c r="A19" s="8" t="inlineStr">
        <is>
          <t xml:space="preserve">    18. Excess or (deficit) for the year</t>
        </is>
      </c>
      <c r="B19" s="9" t="n">
        <v>13344</v>
      </c>
      <c r="C19" s="9" t="n">
        <v>-557</v>
      </c>
      <c r="D19" s="9" t="n">
        <v>-2920</v>
      </c>
      <c r="E19" s="9" t="n">
        <v>-30307</v>
      </c>
      <c r="F19" s="9" t="n">
        <v>-29787</v>
      </c>
    </row>
    <row r="20">
      <c r="A20" s="10" t="inlineStr">
        <is>
          <t>21. Net assets or fund balances, end of year</t>
        </is>
      </c>
      <c r="B20" s="11">
        <f>SUM(B18,B19)</f>
        <v/>
      </c>
      <c r="C20" s="11">
        <f>SUM(C18,C19)</f>
        <v/>
      </c>
      <c r="D20" s="11">
        <f>SUM(D18,D19)</f>
        <v/>
      </c>
      <c r="E20" s="11">
        <f>SUM(E18,E19)</f>
        <v/>
      </c>
      <c r="F20" s="11">
        <f>SUM(F18,F19)</f>
        <v/>
      </c>
    </row>
    <row r="22">
      <c r="A22" s="6" t="inlineStr">
        <is>
          <t>Balance sheet (Part II, end of year - column B)</t>
        </is>
      </c>
      <c r="B22" s="7" t="n"/>
      <c r="C22" s="7" t="n"/>
      <c r="D22" s="7" t="n"/>
      <c r="E22" s="7" t="n"/>
      <c r="F22" s="7" t="n"/>
    </row>
    <row r="23">
      <c r="A23" s="8" t="inlineStr">
        <is>
          <t xml:space="preserve">    22. Cash, savings, and investments</t>
        </is>
      </c>
      <c r="B23" s="9" t="n">
        <v>180887</v>
      </c>
      <c r="C23" s="9" t="n">
        <v>162888</v>
      </c>
      <c r="D23" s="9" t="n">
        <v>158608</v>
      </c>
      <c r="E23" s="9" t="n">
        <v>120845</v>
      </c>
      <c r="F23" s="9" t="n">
        <v>98220</v>
      </c>
    </row>
    <row r="24">
      <c r="A24" s="8" t="inlineStr">
        <is>
          <t xml:space="preserve">    24. Other assets</t>
        </is>
      </c>
      <c r="B24" s="9" t="n">
        <v>29928</v>
      </c>
      <c r="C24" s="9" t="n">
        <v>47364</v>
      </c>
      <c r="D24" s="9" t="n">
        <v>48747</v>
      </c>
      <c r="E24" s="9" t="n">
        <v>56181</v>
      </c>
      <c r="F24" s="9" t="n">
        <v>47516</v>
      </c>
    </row>
    <row r="25">
      <c r="A25" s="10" t="inlineStr">
        <is>
          <t>25. Total assets</t>
        </is>
      </c>
      <c r="B25" s="11">
        <f>SUM(B23:B24)</f>
        <v/>
      </c>
      <c r="C25" s="11">
        <f>SUM(C23:C24)</f>
        <v/>
      </c>
      <c r="D25" s="11">
        <f>SUM(D23:D24)</f>
        <v/>
      </c>
      <c r="E25" s="11">
        <f>SUM(E23:E24)</f>
        <v/>
      </c>
      <c r="F25" s="11">
        <f>SUM(F23:F24)</f>
        <v/>
      </c>
    </row>
    <row r="26">
      <c r="A26" s="10" t="inlineStr">
        <is>
          <t>26. Total liabilities</t>
        </is>
      </c>
      <c r="B26" s="11" t="n">
        <v>1508</v>
      </c>
      <c r="C26" s="11" t="n">
        <v>1502</v>
      </c>
      <c r="D26" s="11" t="n">
        <v>1525</v>
      </c>
      <c r="E26" s="11" t="n">
        <v>1503</v>
      </c>
      <c r="F26" s="14" t="inlineStr">
        <is>
          <t>not reported</t>
        </is>
      </c>
    </row>
    <row r="27">
      <c r="A27" s="10" t="inlineStr">
        <is>
          <t>27. Net assets or fund balances</t>
        </is>
      </c>
      <c r="B27" s="11" t="n">
        <v>209307</v>
      </c>
      <c r="C27" s="11" t="n">
        <v>208750</v>
      </c>
      <c r="D27" s="11" t="n">
        <v>205830</v>
      </c>
      <c r="E27" s="11" t="n">
        <v>175523</v>
      </c>
      <c r="F27" s="11" t="n">
        <v>145736</v>
      </c>
    </row>
    <row r="29" ht="42" customHeight="1">
      <c r="A29"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F3"/>
    <mergeCell ref="A2:F2"/>
    <mergeCell ref="A1:F1"/>
    <mergeCell ref="A29:F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Siete Robles Mutual Water Company</t>
        </is>
      </c>
    </row>
    <row r="2">
      <c r="A2" s="2" t="inlineStr">
        <is>
          <t>Cash Flow Proxies - derived (USD)</t>
        </is>
      </c>
    </row>
    <row r="3">
      <c r="A3" s="2" t="inlineStr">
        <is>
          <t>Entity ID: cawc_0019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13344</v>
      </c>
      <c r="C9" s="9" t="n">
        <v>-557</v>
      </c>
      <c r="D9" s="9" t="n">
        <v>-2920</v>
      </c>
      <c r="E9" s="9" t="n">
        <v>-30307</v>
      </c>
      <c r="F9" s="9" t="n">
        <v>-29787</v>
      </c>
    </row>
    <row r="10">
      <c r="A10" s="8" t="inlineStr">
        <is>
          <t xml:space="preserve">    + Depreciation (reported)</t>
        </is>
      </c>
      <c r="B10" s="9" t="n"/>
      <c r="C10" s="9" t="n"/>
      <c r="D10" s="9" t="n"/>
      <c r="E10" s="9" t="n"/>
      <c r="F10" s="9" t="n"/>
    </row>
    <row r="11">
      <c r="A11" s="8" t="inlineStr">
        <is>
          <t xml:space="preserve">    − Δ Accounts receivable</t>
        </is>
      </c>
      <c r="B11" s="9" t="n"/>
      <c r="C11" s="9" t="n"/>
      <c r="D11" s="9" t="n"/>
      <c r="E11" s="9" t="n"/>
      <c r="F11" s="9" t="n"/>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-557</v>
      </c>
      <c r="D15" s="11" t="n">
        <v>-2920</v>
      </c>
      <c r="E15" s="11" t="n">
        <v>-30307</v>
      </c>
      <c r="F15" s="11" t="n">
        <v>-29787</v>
      </c>
    </row>
    <row r="17">
      <c r="A17" s="6" t="inlineStr">
        <is>
          <t>Investing</t>
        </is>
      </c>
      <c r="B17" s="7" t="n"/>
      <c r="C17" s="7" t="n"/>
      <c r="D17" s="7" t="n"/>
      <c r="E17" s="7" t="n"/>
      <c r="F17" s="7" t="n"/>
    </row>
    <row r="18">
      <c r="A18" s="8" t="inlineStr">
        <is>
          <t xml:space="preserve">    − Δ PP&amp;E gross (capex proxy)</t>
        </is>
      </c>
      <c r="B18" s="9" t="n"/>
      <c r="C18" s="9" t="n"/>
      <c r="D18" s="9" t="n"/>
      <c r="E18" s="9" t="n"/>
      <c r="F18" s="9" t="n"/>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-17999</v>
      </c>
      <c r="D24" s="11" t="n">
        <v>-4280</v>
      </c>
      <c r="E24" s="11" t="n">
        <v>-37763</v>
      </c>
      <c r="F24" s="11" t="n">
        <v>-22625</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Siete Robles Mutual Water Company</t>
        </is>
      </c>
    </row>
    <row r="2">
      <c r="A2" s="2" t="inlineStr">
        <is>
          <t>Financial Ratios</t>
        </is>
      </c>
    </row>
    <row r="3">
      <c r="A3" s="2" t="inlineStr">
        <is>
          <t>Entity ID: cawc_0019   |   Fiscal year ends June 30.</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0.1312455740026753</v>
      </c>
      <c r="C7" s="12" t="n">
        <v>-0.005597596149014642</v>
      </c>
      <c r="D7" s="12" t="n">
        <v>-0.03148960950727388</v>
      </c>
      <c r="E7" s="12" t="n">
        <v>-0.3663628451235433</v>
      </c>
      <c r="F7" s="12" t="n">
        <v>-0.2936010408658111</v>
      </c>
    </row>
    <row r="8">
      <c r="A8" s="8" t="inlineStr">
        <is>
          <t xml:space="preserve">    Expense ratio (expenses / revenue)</t>
        </is>
      </c>
      <c r="B8" s="12" t="n">
        <v>0.8687544259973248</v>
      </c>
      <c r="C8" s="12" t="n">
        <v>1.005597596149015</v>
      </c>
      <c r="D8" s="12" t="n">
        <v>1.031489609507274</v>
      </c>
      <c r="E8" s="12" t="n">
        <v>1.366362845123543</v>
      </c>
      <c r="F8" s="12" t="n">
        <v>1.293601040865811</v>
      </c>
    </row>
    <row r="9">
      <c r="A9" s="8" t="inlineStr">
        <is>
          <t xml:space="preserve">    Return on assets (NI / assets)</t>
        </is>
      </c>
      <c r="B9" s="12" t="n">
        <v>0.06329720370941347</v>
      </c>
      <c r="C9" s="12" t="n">
        <v>-0.002649201910088846</v>
      </c>
      <c r="D9" s="12" t="n">
        <v>-0.01408212968098189</v>
      </c>
      <c r="E9" s="12" t="n">
        <v>-0.1712008405544948</v>
      </c>
      <c r="F9" s="12" t="n">
        <v>-0.2043901300982599</v>
      </c>
    </row>
    <row r="10">
      <c r="A10" s="8" t="inlineStr">
        <is>
          <t xml:space="preserve">    Revenue growth (YoY)</t>
        </is>
      </c>
      <c r="B10" s="12" t="n"/>
      <c r="C10" s="12" t="n"/>
      <c r="D10" s="12" t="n"/>
      <c r="E10" s="12" t="n"/>
      <c r="F10" s="12" t="n"/>
    </row>
    <row r="12">
      <c r="A12" s="6" t="inlineStr">
        <is>
          <t>Leverage &amp; solvency</t>
        </is>
      </c>
      <c r="B12" s="7" t="n"/>
      <c r="C12" s="7" t="n"/>
      <c r="D12" s="7" t="n"/>
      <c r="E12" s="7" t="n"/>
      <c r="F12" s="7" t="n"/>
    </row>
    <row r="13">
      <c r="A13" s="8" t="inlineStr">
        <is>
          <t xml:space="preserve">    Debt-to-assets (liab. / assets)</t>
        </is>
      </c>
      <c r="B13" s="12" t="n">
        <v>0.007153191186585394</v>
      </c>
      <c r="C13" s="12" t="n">
        <v>0.007143808382322166</v>
      </c>
      <c r="D13" s="12" t="n">
        <v>0.007354536905307323</v>
      </c>
      <c r="E13" s="12" t="n">
        <v>0.008490278264209778</v>
      </c>
      <c r="F13" s="12" t="n"/>
    </row>
    <row r="14">
      <c r="A14" s="8" t="inlineStr">
        <is>
          <t xml:space="preserve">    Equity ratio (net assets / assets)</t>
        </is>
      </c>
      <c r="B14" s="12" t="n">
        <v>0.9928468088134146</v>
      </c>
      <c r="C14" s="12" t="n">
        <v>0.9928561916176778</v>
      </c>
      <c r="D14" s="12" t="n">
        <v>0.9926454630946927</v>
      </c>
      <c r="E14" s="12" t="n">
        <v>0.9915097217357902</v>
      </c>
      <c r="F14" s="12" t="n">
        <v>1</v>
      </c>
    </row>
    <row r="16">
      <c r="A16" s="6" t="inlineStr">
        <is>
          <t>Liquidity &amp; asset profile (derived here)</t>
        </is>
      </c>
      <c r="B16" s="7" t="n"/>
      <c r="C16" s="7" t="n"/>
      <c r="D16" s="7" t="n"/>
      <c r="E16" s="7" t="n"/>
      <c r="F16" s="7" t="n"/>
    </row>
    <row r="17">
      <c r="A17" s="8" t="inlineStr">
        <is>
          <t xml:space="preserve">    Current ratio (current assets / AP)</t>
        </is>
      </c>
      <c r="B17" s="15" t="n"/>
      <c r="C17" s="15" t="n"/>
      <c r="D17" s="15" t="n"/>
      <c r="E17" s="15" t="n"/>
      <c r="F17" s="15" t="n"/>
    </row>
    <row r="18">
      <c r="A18" s="8" t="inlineStr">
        <is>
          <t xml:space="preserve">    Cash ratio ((cash+temp inv.) / total liab.)</t>
        </is>
      </c>
      <c r="B18" s="15" t="n">
        <v>119.9515915119363</v>
      </c>
      <c r="C18" s="15" t="n">
        <v>108.4474034620506</v>
      </c>
      <c r="D18" s="15" t="n">
        <v>104.0052459016393</v>
      </c>
      <c r="E18" s="15" t="n">
        <v>80.40252827677978</v>
      </c>
      <c r="F18" s="15" t="n"/>
    </row>
    <row r="19">
      <c r="A19" s="8" t="inlineStr">
        <is>
          <t xml:space="preserve">    Asset age proxy (accum. deprec. / gross PP&amp;E)</t>
        </is>
      </c>
      <c r="B19" s="12" t="n"/>
      <c r="C19" s="12" t="n"/>
      <c r="D19" s="12" t="n"/>
      <c r="E19" s="12" t="n"/>
      <c r="F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Siete Robles Mutual Water Company</t>
        </is>
      </c>
    </row>
    <row r="2">
      <c r="A2" s="2" t="inlineStr">
        <is>
          <t>Unit economics - per-customer revenue by category (USD)</t>
        </is>
      </c>
    </row>
    <row r="3">
      <c r="A3" s="2" t="inlineStr">
        <is>
          <t>Entity ID: cawc_0019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v>95</v>
      </c>
      <c r="C6" s="18" t="inlineStr">
        <is>
          <t>State Water Board eAR Section 4 (CurTotalConnections), reporting year 2023</t>
        </is>
      </c>
    </row>
    <row r="7">
      <c r="A7" s="16" t="inlineStr">
        <is>
          <t>Total annual revenue (eAR Section 8b B1.8)</t>
        </is>
      </c>
      <c r="B7" s="9" t="n">
        <v>92605</v>
      </c>
      <c r="C7" s="18" t="inlineStr">
        <is>
          <t>State Water Board eAR Section 8b, question B1.8 (total annual revenue), reporting year 2023</t>
        </is>
      </c>
    </row>
    <row r="8">
      <c r="A8" s="16" t="inlineStr">
        <is>
          <t>Primary source</t>
        </is>
      </c>
      <c r="B8" s="19" t="inlineStr"/>
      <c r="C8" s="18" t="inlineStr">
        <is>
          <t>State Water Board eAR Section 8b (revenue by rate/fee), reporting year 2023</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0" t="inlineStr">
        <is>
          <t>DIRECT</t>
        </is>
      </c>
      <c r="C12" s="9" t="n">
        <v>90655</v>
      </c>
      <c r="D12" s="21" t="n">
        <v>954.26</v>
      </c>
      <c r="E12" s="22" t="n">
        <v>0.9789</v>
      </c>
    </row>
    <row r="13">
      <c r="A13" s="8" t="inlineStr">
        <is>
          <t>Assessment revenue (990 program-service revenue not matched to eAR water-rate revenue)</t>
        </is>
      </c>
      <c r="B13" s="20" t="inlineStr">
        <is>
          <t>DERIVED</t>
        </is>
      </c>
      <c r="C13" s="9" t="n">
        <v>1950</v>
      </c>
      <c r="D13" s="21" t="n">
        <v>20.53</v>
      </c>
      <c r="E13" s="22" t="n">
        <v>0.0211</v>
      </c>
    </row>
    <row r="14">
      <c r="A14" s="8" t="inlineStr">
        <is>
          <t>Meter revenue</t>
        </is>
      </c>
      <c r="B14" s="20" t="inlineStr">
        <is>
          <t>not reported</t>
        </is>
      </c>
      <c r="C14" s="23" t="inlineStr">
        <is>
          <t>not reported</t>
        </is>
      </c>
      <c r="D14" s="23" t="inlineStr">
        <is>
          <t>not reported</t>
        </is>
      </c>
      <c r="E14" s="23" t="inlineStr">
        <is>
          <t>not reported</t>
        </is>
      </c>
    </row>
    <row r="15">
      <c r="A15" s="8" t="inlineStr">
        <is>
          <t>Overage or tiered penalty revenue</t>
        </is>
      </c>
      <c r="B15" s="20" t="inlineStr">
        <is>
          <t>not reported</t>
        </is>
      </c>
      <c r="C15" s="23" t="inlineStr">
        <is>
          <t>not reported</t>
        </is>
      </c>
      <c r="D15" s="23" t="inlineStr">
        <is>
          <t>not reported</t>
        </is>
      </c>
      <c r="E15" s="23"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16" t="inlineStr">
        <is>
          <t>Numerator: Water rate revenue</t>
        </is>
      </c>
      <c r="B19" s="9" t="n">
        <v>90655</v>
      </c>
      <c r="C19" s="18" t="inlineStr">
        <is>
          <t>eAR Section 8b field B1.1 (residential water rates) only (this filer reported no non-residential water-rate revenue). State Water Board eAR Section 8b, question B1.1 + B1.2 (revenue from water rates), reporting year 2023</t>
        </is>
      </c>
    </row>
    <row r="20">
      <c r="A20" s="16" t="inlineStr">
        <is>
          <t>Denominator: Total service connections</t>
        </is>
      </c>
      <c r="B20" s="17" t="n">
        <v>95</v>
      </c>
      <c r="C20" s="18" t="inlineStr">
        <is>
          <t>eAR Section 4 CurTotalConnections, reporting year 2023. State Water Board eAR Section 4 (CurTotalConnections), reporting year 2023</t>
        </is>
      </c>
    </row>
    <row r="21" ht="36" customHeight="1">
      <c r="A21" s="3" t="inlineStr">
        <is>
          <t>Per customer: water rate revenue $90,655 / 95 connections = $954.26 per connection</t>
        </is>
      </c>
    </row>
    <row r="22" ht="36" customHeight="1">
      <c r="A22" s="3" t="inlineStr">
        <is>
          <t>Share of revenue: water rate revenue $90,655 / total annual revenue (eAR Section 8b B1.8) $92,605 = 97.89%</t>
        </is>
      </c>
    </row>
    <row r="23" ht="81" customHeight="1">
      <c r="A23" s="3" t="inlineStr">
        <is>
          <t>Period treatment: Numerator (eAR Section 8b, the fiscal year ending June 30, 2023) and denominator (eAR Section 4 connections reported in the same eAR filing) are both the eAR reporting year 2023,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16" t="inlineStr">
        <is>
          <t>Input A: Form 990 program-service revenue</t>
        </is>
      </c>
      <c r="B28" s="9" t="n">
        <v>92605</v>
      </c>
      <c r="C28" s="18" t="inlineStr">
        <is>
          <t>Form 990 Part VIII line 2 (total program-service revenue), fiscal year 2023 ending June 30, 2023</t>
        </is>
      </c>
    </row>
    <row r="29">
      <c r="A29" s="16" t="inlineStr">
        <is>
          <t>Input B: eAR water-rate revenue</t>
        </is>
      </c>
      <c r="B29" s="9" t="n">
        <v>90655</v>
      </c>
      <c r="C29" s="18" t="inlineStr">
        <is>
          <t>State Water Board eAR Section 8b, question B1.1 + B1.2 (revenue from water rates), reporting year 2023</t>
        </is>
      </c>
    </row>
    <row r="30">
      <c r="A30" s="24" t="inlineStr">
        <is>
          <t>Residual (A minus B) = assessment revenue</t>
        </is>
      </c>
      <c r="B30" s="25">
        <f>B28-B29</f>
        <v/>
      </c>
      <c r="C30" s="18" t="inlineStr">
        <is>
          <t>$92,605 (990 program-service revenue) minus $90,655 (eAR water-rate revenue) = $1,950</t>
        </is>
      </c>
    </row>
    <row r="31" ht="66" customHeight="1">
      <c r="A31" s="3" t="inlineStr">
        <is>
          <t>Period alignment: Both inputs cover the same period: the eAR Section 8b is the fiscal year ending June 30, 2023 and the Form 990 fiscal year 2023 ends June 30, 2023,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16" t="inlineStr">
        <is>
          <t>Denominator: Total service connections</t>
        </is>
      </c>
      <c r="B34" s="17" t="n">
        <v>95</v>
      </c>
      <c r="C34" s="18" t="inlineStr">
        <is>
          <t>eAR Section 4 CurTotalConnections, reporting year 2023. State Water Board eAR Section 4 (CurTotalConnections), reporting year 2023</t>
        </is>
      </c>
    </row>
    <row r="35" ht="36" customHeight="1">
      <c r="A35" s="3" t="inlineStr">
        <is>
          <t>Per customer: residual $1,950 / 95 connections = $20.53 per connection</t>
        </is>
      </c>
    </row>
    <row r="36" ht="36" customHeight="1">
      <c r="A36" s="3" t="inlineStr">
        <is>
          <t>Share of revenue: residual $1,950 / 990 program-service revenue $92,605 = 2.11%</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7"/>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Siete Robles Mutual Water Company</t>
        </is>
      </c>
    </row>
    <row r="2">
      <c r="A2" s="2" t="inlineStr">
        <is>
          <t>Rate structure and representative bill - eAR Section 8a (RY2024)</t>
        </is>
      </c>
    </row>
    <row r="3">
      <c r="A3" s="2" t="inlineStr">
        <is>
          <t>Entity ID: cawc_0019   |   Fiscal year ends June 30.</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27" t="inlineStr">
        <is>
          <t>Structure: Tiered increasing-block with a fixed base, billed monthly, priced per HCF.</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28" t="inlineStr"/>
      <c r="B10" s="5" t="inlineStr">
        <is>
          <t>Low</t>
        </is>
      </c>
      <c r="C10" s="5" t="inlineStr">
        <is>
          <t>Median</t>
        </is>
      </c>
      <c r="D10" s="5" t="inlineStr">
        <is>
          <t>High</t>
        </is>
      </c>
    </row>
    <row r="11">
      <c r="A11" s="8" t="inlineStr">
        <is>
          <t>Monthly usage (HCF)</t>
        </is>
      </c>
      <c r="B11" s="29" t="n">
        <v>5</v>
      </c>
      <c r="C11" s="29" t="n">
        <v>10</v>
      </c>
      <c r="D11" s="29" t="n">
        <v>25</v>
      </c>
    </row>
    <row r="12">
      <c r="A12" s="8" t="inlineStr">
        <is>
          <t>Months per bill (from filed billing frequency)</t>
        </is>
      </c>
      <c r="B12" s="30" t="n">
        <v>1</v>
      </c>
      <c r="C12" s="13" t="inlineStr">
        <is>
          <t>monthly biller</t>
        </is>
      </c>
    </row>
    <row r="14">
      <c r="A14" s="6" t="inlineStr">
        <is>
          <t>Filed rate table - single-family residential (as filed, eAR Section 8a)</t>
        </is>
      </c>
      <c r="B14" s="7" t="n"/>
      <c r="C14" s="7" t="n"/>
      <c r="D14" s="7" t="n"/>
    </row>
    <row r="15">
      <c r="A15" s="8" t="inlineStr">
        <is>
          <t>Base / fixed charge per monthly bill ($)</t>
        </is>
      </c>
      <c r="B15" s="21" t="n">
        <v>45</v>
      </c>
    </row>
    <row r="16">
      <c r="A16" s="4" t="inlineStr">
        <is>
          <t>Tier</t>
        </is>
      </c>
      <c r="B16" s="4" t="inlineStr">
        <is>
          <t>Range (HCF)</t>
        </is>
      </c>
      <c r="C16" s="31" t="inlineStr">
        <is>
          <t>Price ($/HCF)</t>
        </is>
      </c>
      <c r="D16" s="31" t="inlineStr">
        <is>
          <t>Upper limit (HCF)</t>
        </is>
      </c>
    </row>
    <row r="17">
      <c r="A17" s="8" t="inlineStr">
        <is>
          <t>Tier 1</t>
        </is>
      </c>
      <c r="B17" s="8" t="inlineStr">
        <is>
          <t>0 to 10 HCF</t>
        </is>
      </c>
      <c r="C17" s="32" t="n">
        <v>1.55</v>
      </c>
      <c r="D17" s="33" t="n">
        <v>10</v>
      </c>
    </row>
    <row r="18">
      <c r="A18" s="8" t="inlineStr">
        <is>
          <t>Tier 2</t>
        </is>
      </c>
      <c r="B18" s="8" t="inlineStr">
        <is>
          <t>10 to 15 HCF</t>
        </is>
      </c>
      <c r="C18" s="32" t="n">
        <v>1.7</v>
      </c>
      <c r="D18" s="33" t="n">
        <v>15</v>
      </c>
    </row>
    <row r="19">
      <c r="A19" s="8" t="inlineStr">
        <is>
          <t>Tier 3</t>
        </is>
      </c>
      <c r="B19" s="8" t="inlineStr">
        <is>
          <t>15 to 25 HCF</t>
        </is>
      </c>
      <c r="C19" s="32" t="n">
        <v>1.85</v>
      </c>
      <c r="D19" s="33" t="n">
        <v>25</v>
      </c>
    </row>
    <row r="20">
      <c r="A20" s="8" t="inlineStr">
        <is>
          <t>Tier 4</t>
        </is>
      </c>
      <c r="B20" s="8" t="inlineStr">
        <is>
          <t>25 to 30 HCF</t>
        </is>
      </c>
      <c r="C20" s="32" t="n">
        <v>2</v>
      </c>
      <c r="D20" s="33" t="n">
        <v>30</v>
      </c>
    </row>
    <row r="21">
      <c r="A21" s="8" t="inlineStr">
        <is>
          <t>Tier 5</t>
        </is>
      </c>
      <c r="B21" s="8" t="inlineStr">
        <is>
          <t>over 30 HCF</t>
        </is>
      </c>
      <c r="C21" s="32" t="n">
        <v>2.15</v>
      </c>
      <c r="D21" s="33" t="inlineStr">
        <is>
          <t>no limit</t>
        </is>
      </c>
    </row>
    <row r="23">
      <c r="A23" s="6" t="inlineStr">
        <is>
          <t>Representative monthly bill - LIVE (edit a yellow usage cell to recompute)</t>
        </is>
      </c>
      <c r="B23" s="7" t="n"/>
      <c r="C23" s="7" t="n"/>
      <c r="D23" s="7" t="n"/>
    </row>
    <row r="24">
      <c r="A24" s="28" t="inlineStr"/>
      <c r="B24" s="5" t="inlineStr">
        <is>
          <t>Low</t>
        </is>
      </c>
      <c r="C24" s="5" t="inlineStr">
        <is>
          <t>Median</t>
        </is>
      </c>
      <c r="D24" s="5" t="inlineStr">
        <is>
          <t>High</t>
        </is>
      </c>
    </row>
    <row r="25">
      <c r="A25" s="8" t="inlineStr">
        <is>
          <t>Usage per bill (HCF)</t>
        </is>
      </c>
      <c r="B25" s="34">
        <f>B11*$B$12</f>
        <v/>
      </c>
      <c r="C25" s="34">
        <f>C11*$B$12</f>
        <v/>
      </c>
      <c r="D25" s="34">
        <f>D11*$B$12</f>
        <v/>
      </c>
    </row>
    <row r="26">
      <c r="A26" s="8" t="inlineStr">
        <is>
          <t xml:space="preserve">    Tier 1 charge per bill ($)</t>
        </is>
      </c>
      <c r="B26" s="35">
        <f>$C$17*MAX(0,MIN(B25,$D$17)-0)</f>
        <v/>
      </c>
      <c r="C26" s="35">
        <f>$C$17*MAX(0,MIN(C25,$D$17)-0)</f>
        <v/>
      </c>
      <c r="D26" s="35">
        <f>$C$17*MAX(0,MIN(D25,$D$17)-0)</f>
        <v/>
      </c>
    </row>
    <row r="27">
      <c r="A27" s="8" t="inlineStr">
        <is>
          <t xml:space="preserve">    Tier 2 charge per bill ($)</t>
        </is>
      </c>
      <c r="B27" s="35">
        <f>$C$18*MAX(0,MIN(B25,$D$18)-$D$17)</f>
        <v/>
      </c>
      <c r="C27" s="35">
        <f>$C$18*MAX(0,MIN(C25,$D$18)-$D$17)</f>
        <v/>
      </c>
      <c r="D27" s="35">
        <f>$C$18*MAX(0,MIN(D25,$D$18)-$D$17)</f>
        <v/>
      </c>
    </row>
    <row r="28">
      <c r="A28" s="8" t="inlineStr">
        <is>
          <t xml:space="preserve">    Tier 3 charge per bill ($)</t>
        </is>
      </c>
      <c r="B28" s="35">
        <f>$C$19*MAX(0,MIN(B25,$D$19)-$D$18)</f>
        <v/>
      </c>
      <c r="C28" s="35">
        <f>$C$19*MAX(0,MIN(C25,$D$19)-$D$18)</f>
        <v/>
      </c>
      <c r="D28" s="35">
        <f>$C$19*MAX(0,MIN(D25,$D$19)-$D$18)</f>
        <v/>
      </c>
    </row>
    <row r="29">
      <c r="A29" s="8" t="inlineStr">
        <is>
          <t xml:space="preserve">    Tier 4 charge per bill ($)</t>
        </is>
      </c>
      <c r="B29" s="35">
        <f>$C$20*MAX(0,MIN(B25,$D$20)-$D$19)</f>
        <v/>
      </c>
      <c r="C29" s="35">
        <f>$C$20*MAX(0,MIN(C25,$D$20)-$D$19)</f>
        <v/>
      </c>
      <c r="D29" s="35">
        <f>$C$20*MAX(0,MIN(D25,$D$20)-$D$19)</f>
        <v/>
      </c>
    </row>
    <row r="30">
      <c r="A30" s="8" t="inlineStr">
        <is>
          <t xml:space="preserve">    Tier 5 charge per bill ($)</t>
        </is>
      </c>
      <c r="B30" s="35">
        <f>$C$21*MAX(0,B25-$D$20)</f>
        <v/>
      </c>
      <c r="C30" s="35">
        <f>$C$21*MAX(0,C25-$D$20)</f>
        <v/>
      </c>
      <c r="D30" s="35">
        <f>$C$21*MAX(0,D25-$D$20)</f>
        <v/>
      </c>
    </row>
    <row r="31">
      <c r="A31" s="8" t="inlineStr">
        <is>
          <t>Volumetric charge per bill ($)</t>
        </is>
      </c>
      <c r="B31" s="35">
        <f>SUM(B26,B27,B28,B29,B30)</f>
        <v/>
      </c>
      <c r="C31" s="35">
        <f>SUM(C26,C27,C28,C29,C30)</f>
        <v/>
      </c>
      <c r="D31" s="35">
        <f>SUM(D26,D27,D28,D29,D30)</f>
        <v/>
      </c>
    </row>
    <row r="32">
      <c r="A32" s="8" t="inlineStr">
        <is>
          <t>Base charge per bill ($)</t>
        </is>
      </c>
      <c r="B32" s="35">
        <f>$B$15</f>
        <v/>
      </c>
      <c r="C32" s="35">
        <f>$B$15</f>
        <v/>
      </c>
      <c r="D32" s="35">
        <f>$B$15</f>
        <v/>
      </c>
    </row>
    <row r="33">
      <c r="A33" s="8" t="inlineStr">
        <is>
          <t>Total per bill ($)</t>
        </is>
      </c>
      <c r="B33" s="35">
        <f>B32+B31</f>
        <v/>
      </c>
      <c r="C33" s="35">
        <f>C32+C31</f>
        <v/>
      </c>
      <c r="D33" s="35">
        <f>D32+D31</f>
        <v/>
      </c>
    </row>
    <row r="34">
      <c r="A34" s="10" t="inlineStr">
        <is>
          <t>Total per MONTH ($)</t>
        </is>
      </c>
      <c r="B34" s="36">
        <f>B33/$B$12</f>
        <v/>
      </c>
      <c r="C34" s="36">
        <f>C33/$B$12</f>
        <v/>
      </c>
      <c r="D34" s="36">
        <f>D33/$B$12</f>
        <v/>
      </c>
    </row>
    <row r="35">
      <c r="A35" s="8" t="inlineStr">
        <is>
          <t xml:space="preserve">    Fixed per month ($)</t>
        </is>
      </c>
      <c r="B35" s="35">
        <f>$B$15/$B$12</f>
        <v/>
      </c>
      <c r="C35" s="35">
        <f>$B$15/$B$12</f>
        <v/>
      </c>
      <c r="D35" s="35">
        <f>$B$15/$B$12</f>
        <v/>
      </c>
    </row>
    <row r="36">
      <c r="A36" s="8" t="inlineStr">
        <is>
          <t xml:space="preserve">    Volumetric per month ($)</t>
        </is>
      </c>
      <c r="B36" s="35">
        <f>B31/$B$12</f>
        <v/>
      </c>
      <c r="C36" s="35">
        <f>C31/$B$12</f>
        <v/>
      </c>
      <c r="D36" s="35">
        <f>D31/$B$12</f>
        <v/>
      </c>
    </row>
    <row r="37">
      <c r="A37" s="8" t="inlineStr">
        <is>
          <t>Effective price ($/HCF)</t>
        </is>
      </c>
      <c r="B37" s="35">
        <f>IF(B11=0,"",B34/B11)</f>
        <v/>
      </c>
      <c r="C37" s="35">
        <f>IF(C11=0,"",C34/C11)</f>
        <v/>
      </c>
      <c r="D37" s="35">
        <f>IF(D11=0,"",D34/D11)</f>
        <v/>
      </c>
    </row>
    <row r="39">
      <c r="A39" s="6" t="inlineStr">
        <is>
          <t>Rate-structure comparison metrics</t>
        </is>
      </c>
      <c r="B39" s="7" t="n"/>
      <c r="C39" s="7" t="n"/>
      <c r="D39" s="7" t="n"/>
    </row>
    <row r="40">
      <c r="A40" s="8" t="inlineStr">
        <is>
          <t>Fixed share of the bill at median usage</t>
        </is>
      </c>
      <c r="B40" s="37">
        <f>C35/C34</f>
        <v/>
      </c>
      <c r="C40" s="13" t="inlineStr">
        <is>
          <t>fixed / total at 10 HCF/month</t>
        </is>
      </c>
    </row>
    <row r="41">
      <c r="A41" s="8" t="inlineStr">
        <is>
          <t>Tier price ratio (highest to lowest positive tier)</t>
        </is>
      </c>
      <c r="B41" s="38">
        <f>$C$21/$C$17</f>
        <v/>
      </c>
      <c r="C41" s="13" t="inlineStr">
        <is>
          <t>highest filed tier price divided by lowest filed tier price.</t>
        </is>
      </c>
    </row>
    <row r="42">
      <c r="A42" s="8" t="inlineStr">
        <is>
          <t>Rate structure (as filed)</t>
        </is>
      </c>
      <c r="B42" s="39" t="inlineStr">
        <is>
          <t>tiered (Variable Base)</t>
        </is>
      </c>
    </row>
    <row r="44">
      <c r="A44" s="6" t="inlineStr">
        <is>
          <t>Flagged (carried as filed, never reconciled)</t>
        </is>
      </c>
      <c r="B44" s="7" t="n"/>
      <c r="C44" s="7" t="n"/>
      <c r="D44" s="7" t="n"/>
    </row>
    <row r="45" ht="81" customHeight="1">
      <c r="A45" s="27" t="inlineStr">
        <is>
          <t>The single-family base charge or tier thresholds filed for RY2024 differ from RY2023, yet the eAR answer to whether rates changed is "No". Carried exactly as filed; both years are preserved and the difference is surfaced, never reconciled.</t>
        </is>
      </c>
    </row>
    <row r="46" ht="66" customHeight="1">
      <c r="A46" s="3" t="inlineStr">
        <is>
          <t>RY2023: base $1.55, tier upper thresholds [10.0, 15.0, 25.0, 30.0, None]. RY2024: base $45.00, tier upper thresholds [10.0, 15.0, 25.0, 30.0, None].</t>
        </is>
      </c>
    </row>
    <row r="47" ht="66" customHeight="1">
      <c r="A47" s="3" t="inlineStr">
        <is>
          <t>State Water Board eAR Section 8a (Customer Charges), single- and multi-family residential charges grid, reporting year 2024. Rate structure only; no revenue.</t>
        </is>
      </c>
    </row>
  </sheetData>
  <mergeCells count="9">
    <mergeCell ref="A1:D1"/>
    <mergeCell ref="A5:D5"/>
    <mergeCell ref="A45:D45"/>
    <mergeCell ref="A6:D6"/>
    <mergeCell ref="A3:D3"/>
    <mergeCell ref="A7:D7"/>
    <mergeCell ref="A2:D2"/>
    <mergeCell ref="A47:D47"/>
    <mergeCell ref="A46:D4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Siete Robles Mutual Water Company</t>
        </is>
      </c>
    </row>
    <row r="2">
      <c r="A2" s="2" t="inlineStr">
        <is>
          <t>eAR annual revenue and expenses - State Water Board eAR Section 8b (USD)</t>
        </is>
      </c>
    </row>
    <row r="3">
      <c r="A3" s="2" t="inlineStr">
        <is>
          <t>Entity ID: cawc_0019   |   Fiscal year ends June 30.</t>
        </is>
      </c>
    </row>
    <row r="5" ht="141" customHeight="1">
      <c r="A5" s="3" t="inlineStr">
        <is>
          <t>The water system's own annual figures from the public eAR Section 8b, on the fiscal year ending June 30, 2023 the filer self-reported (B0.1/B0.2). Shown beside the period-aligned Form 990 with the variance flagged: a different source (a State Water Board self-report vs an IRS filing). Preserved as filed, never reconciled.</t>
        </is>
      </c>
    </row>
    <row r="6">
      <c r="A6" s="16" t="inlineStr">
        <is>
          <t>Reporting period basis (self-reported)</t>
        </is>
      </c>
      <c r="B6" s="19" t="inlineStr">
        <is>
          <t>fiscal year ending June 30, 2023</t>
        </is>
      </c>
      <c r="C6" s="18" t="inlineStr">
        <is>
          <t>eAR Section 8b B0.1 (WRFinancialReportingPeriod) / B0.2 start 07/01/2022</t>
        </is>
      </c>
    </row>
    <row r="8">
      <c r="A8" s="6" t="inlineStr">
        <is>
          <t>Revenue (eAR Section 8b, questions B1.x)</t>
        </is>
      </c>
      <c r="B8" s="7" t="n"/>
      <c r="C8" s="7" t="n"/>
    </row>
    <row r="9">
      <c r="A9" s="5" t="inlineStr">
        <is>
          <t>Line</t>
        </is>
      </c>
      <c r="B9" s="5" t="inlineStr">
        <is>
          <t>Amount (USD)</t>
        </is>
      </c>
      <c r="C9" s="5" t="inlineStr">
        <is>
          <t>Citation</t>
        </is>
      </c>
    </row>
    <row r="10">
      <c r="A10" s="16" t="inlineStr">
        <is>
          <t>Water rate revenue</t>
        </is>
      </c>
      <c r="B10" s="9" t="n">
        <v>90655</v>
      </c>
      <c r="C10" s="18" t="inlineStr">
        <is>
          <t>State Water Board eAR Section 8b, question B1.1 + B1.2 (revenue from water rates), reporting year 2023</t>
        </is>
      </c>
    </row>
    <row r="11">
      <c r="A11" s="16" t="inlineStr">
        <is>
          <t>Other fees and charges</t>
        </is>
      </c>
      <c r="B11" s="9" t="n">
        <v>1950</v>
      </c>
      <c r="C11" s="18" t="inlineStr">
        <is>
          <t>State Water Board eAR Section 8b, question B1.3 + B1.4 (revenue from other fees), reporting year 2023</t>
        </is>
      </c>
    </row>
    <row r="12">
      <c r="A12" s="16" t="inlineStr">
        <is>
          <t>Non-customer revenue</t>
        </is>
      </c>
      <c r="B12" s="9" t="n">
        <v>0</v>
      </c>
      <c r="C12" s="18" t="inlineStr">
        <is>
          <t>State Water Board eAR Section 8b, question B1.7 (grants, interest, and other non-customer), reporting year 2023</t>
        </is>
      </c>
    </row>
    <row r="13">
      <c r="A13" s="16" t="inlineStr">
        <is>
          <t>Total annual revenue</t>
        </is>
      </c>
      <c r="B13" s="40" t="n">
        <v>92605</v>
      </c>
      <c r="C13" s="18" t="inlineStr">
        <is>
          <t>State Water Board eAR Section 8b, question B1.8 (total annual revenue for the reporting year), reporting year 2023</t>
        </is>
      </c>
    </row>
    <row r="15">
      <c r="A15" s="6" t="inlineStr">
        <is>
          <t>Expenses (eAR Section 8b, questions B2.x)</t>
        </is>
      </c>
      <c r="B15" s="7" t="n"/>
      <c r="C15" s="7" t="n"/>
    </row>
    <row r="16">
      <c r="A16" s="5" t="inlineStr">
        <is>
          <t>Line</t>
        </is>
      </c>
      <c r="B16" s="5" t="inlineStr">
        <is>
          <t>Amount (USD)</t>
        </is>
      </c>
      <c r="C16" s="5" t="inlineStr">
        <is>
          <t>Citation</t>
        </is>
      </c>
    </row>
    <row r="17">
      <c r="A17" s="16" t="inlineStr">
        <is>
          <t>Operations and maintenance</t>
        </is>
      </c>
      <c r="B17" s="9" t="n">
        <v>66705</v>
      </c>
      <c r="C17" s="18" t="inlineStr">
        <is>
          <t>State Water Board eAR Section 8b, question B2.1 (annual O and M expense), reporting year 2023</t>
        </is>
      </c>
    </row>
    <row r="18">
      <c r="A18" s="16" t="inlineStr">
        <is>
          <t>Capital</t>
        </is>
      </c>
      <c r="B18" s="9" t="n">
        <v>0</v>
      </c>
      <c r="C18" s="18" t="inlineStr">
        <is>
          <t>State Water Board eAR Section 8b, question B2.2 (annual expenses from investing or capital), reporting year 2023</t>
        </is>
      </c>
    </row>
    <row r="19">
      <c r="A19" s="16" t="inlineStr">
        <is>
          <t>Financing</t>
        </is>
      </c>
      <c r="B19" s="9" t="n">
        <v>0</v>
      </c>
      <c r="C19" s="18" t="inlineStr">
        <is>
          <t>State Water Board eAR Section 8b, question B2.3 (annual expenses from financing), reporting year 2023</t>
        </is>
      </c>
    </row>
    <row r="20">
      <c r="A20" s="16" t="inlineStr">
        <is>
          <t>Other</t>
        </is>
      </c>
      <c r="B20" s="9" t="n">
        <v>27470</v>
      </c>
      <c r="C20" s="18" t="inlineStr">
        <is>
          <t>State Water Board eAR Section 8b, question B2.4 (total other annual expenses), reporting year 2023</t>
        </is>
      </c>
    </row>
    <row r="21">
      <c r="A21" s="16" t="inlineStr">
        <is>
          <t>Total annual expenses</t>
        </is>
      </c>
      <c r="B21" s="40" t="n">
        <v>94175</v>
      </c>
      <c r="C21" s="18" t="inlineStr">
        <is>
          <t>State Water Board eAR Section 8b, question B2.5 (total annual expenses), reporting year 2023</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92605</v>
      </c>
      <c r="C25" s="9" t="n">
        <v>92729</v>
      </c>
    </row>
    <row r="26">
      <c r="A26" s="24" t="inlineStr">
        <is>
          <t>Variance (eAR minus Form 990)</t>
        </is>
      </c>
      <c r="B26" s="25">
        <f>B25-C25</f>
        <v/>
      </c>
      <c r="C26" s="41" t="n"/>
    </row>
    <row r="27" ht="201" customHeight="1">
      <c r="A27" s="3" t="inlineStr">
        <is>
          <t>The eAR Section 8b total revenue (State Water Board self-report, fiscal year ending June 30, 2023) and the Form 990 total revenue (IRS filing) are a different source and cover the same fiscal year (July 1, 2022 to June 30, 2023): the water system self-reported the eAR Section 8b on a fiscal year (B0.1 Fiscal, B0.2 start 07/01/2022), which matches the Form 990 fiscal year. Both are carried as filed; the variance is surfaced, never reconciled.</t>
        </is>
      </c>
    </row>
    <row r="28">
      <c r="A28" s="8" t="inlineStr">
        <is>
          <t>total expenses</t>
        </is>
      </c>
      <c r="B28" s="9" t="n">
        <v>94175</v>
      </c>
      <c r="C28" s="9" t="n">
        <v>95649</v>
      </c>
    </row>
    <row r="29">
      <c r="A29" s="24" t="inlineStr">
        <is>
          <t>Variance (eAR minus Form 990)</t>
        </is>
      </c>
      <c r="B29" s="25">
        <f>B28-C28</f>
        <v/>
      </c>
      <c r="C29" s="41" t="n"/>
    </row>
    <row r="30" ht="201" customHeight="1">
      <c r="A30" s="3" t="inlineStr">
        <is>
          <t>The eAR Section 8b total expenses (State Water Board self-report, fiscal year ending June 30, 2023) and the Form 990 total expenses (IRS filing) are a different source and cover the same fiscal year (July 1, 2022 to June 30, 2023): the water system self-reported the eAR Section 8b on a fiscal year (B0.1 Fiscal, B0.2 start 07/01/2022), which matches the Form 990 fiscal year.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Siete Robles Mutual Water Company</t>
        </is>
      </c>
    </row>
    <row r="2">
      <c r="A2" s="2" t="inlineStr">
        <is>
          <t>Denominators and calendar alignment</t>
        </is>
      </c>
    </row>
    <row r="3">
      <c r="A3" s="2" t="inlineStr">
        <is>
          <t>Entity ID: cawc_0019   |   Fiscal year ends June 30.</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16" t="inlineStr">
        <is>
          <t>Customer (service connection)</t>
        </is>
      </c>
      <c r="B7" s="17" t="n">
        <v>95</v>
      </c>
      <c r="C7" s="18" t="inlineStr">
        <is>
          <t>State Water Board eAR Section 4 (CurTotalConnections), reporting year 2024</t>
        </is>
      </c>
    </row>
    <row r="8">
      <c r="A8" s="16" t="inlineStr">
        <is>
          <t>SDWIS service-connection count (different registry)</t>
        </is>
      </c>
      <c r="B8" s="17" t="n">
        <v>95</v>
      </c>
      <c r="C8" s="18" t="inlineStr"/>
    </row>
    <row r="9">
      <c r="A9" s="16" t="inlineStr">
        <is>
          <t>Member (shareholder)</t>
        </is>
      </c>
      <c r="B9" s="19" t="n"/>
      <c r="C9" s="18" t="inlineStr">
        <is>
          <t>No published shareholder count</t>
        </is>
      </c>
    </row>
    <row r="10" ht="96" customHeight="1">
      <c r="A10"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2">
      <c r="A12" s="6" t="inlineStr">
        <is>
          <t>Denominator layer by fiscal year</t>
        </is>
      </c>
      <c r="B12" s="7" t="n"/>
      <c r="C12" s="7" t="n"/>
      <c r="D12" s="7" t="n"/>
      <c r="E12" s="7" t="n"/>
      <c r="F12" s="7" t="n"/>
      <c r="G12" s="7" t="n"/>
    </row>
    <row r="13">
      <c r="A13" s="5" t="inlineStr">
        <is>
          <t>Fiscal year (end)</t>
        </is>
      </c>
      <c r="B13" s="5" t="inlineStr">
        <is>
          <t>Connections</t>
        </is>
      </c>
      <c r="C13" s="5" t="inlineStr">
        <is>
          <t>Population</t>
        </is>
      </c>
      <c r="D13" s="5" t="inlineStr">
        <is>
          <t>Service-area acres</t>
        </is>
      </c>
      <c r="E13" s="5" t="inlineStr">
        <is>
          <t>Water produced (AF)</t>
        </is>
      </c>
      <c r="F13" s="5" t="inlineStr">
        <is>
          <t>Water delivered (AF)</t>
        </is>
      </c>
      <c r="G13" s="5" t="inlineStr">
        <is>
          <t>Alignment method</t>
        </is>
      </c>
    </row>
    <row r="14" ht="40" customHeight="1">
      <c r="A14" s="8" t="inlineStr">
        <is>
          <t>FY2021 (2021-06-30)</t>
        </is>
      </c>
      <c r="B14" s="17" t="n">
        <v>95</v>
      </c>
      <c r="C14" s="14" t="inlineStr">
        <is>
          <t>not reported</t>
        </is>
      </c>
      <c r="D14" s="17" t="n">
        <v>51</v>
      </c>
      <c r="E14" s="17" t="n">
        <v>460344</v>
      </c>
      <c r="F14" s="17" t="n">
        <v>0</v>
      </c>
      <c r="G14" s="19" t="inlineStr">
        <is>
          <t>recast from monthly eAR data to fiscal year ending June 30, 2021</t>
        </is>
      </c>
    </row>
    <row r="15" ht="40" customHeight="1">
      <c r="A15" s="8" t="inlineStr">
        <is>
          <t>FY2022 (2022-06-30)</t>
        </is>
      </c>
      <c r="B15" s="17" t="n">
        <v>95</v>
      </c>
      <c r="C15" s="14" t="inlineStr">
        <is>
          <t>not reported</t>
        </is>
      </c>
      <c r="D15" s="17" t="n">
        <v>51</v>
      </c>
      <c r="E15" s="17" t="n">
        <v>306456.1</v>
      </c>
      <c r="F15" s="17" t="n">
        <v>18.1</v>
      </c>
      <c r="G15" s="19" t="inlineStr">
        <is>
          <t>recast from monthly eAR data to fiscal year ending June 30, 2022</t>
        </is>
      </c>
    </row>
    <row r="16" ht="40" customHeight="1">
      <c r="A16" s="8" t="inlineStr">
        <is>
          <t>FY2023 (2023-06-30)</t>
        </is>
      </c>
      <c r="B16" s="17" t="n">
        <v>95</v>
      </c>
      <c r="C16" s="14" t="inlineStr">
        <is>
          <t>not reported</t>
        </is>
      </c>
      <c r="D16" s="17" t="n">
        <v>51</v>
      </c>
      <c r="E16" s="14" t="inlineStr">
        <is>
          <t>not reported</t>
        </is>
      </c>
      <c r="F16" s="14" t="inlineStr">
        <is>
          <t>not reported</t>
        </is>
      </c>
      <c r="G16" s="19" t="inlineStr">
        <is>
          <t>recast from monthly eAR data to fiscal year ending June 30, 2023</t>
        </is>
      </c>
    </row>
    <row r="17" ht="40" customHeight="1">
      <c r="A17" s="8" t="inlineStr">
        <is>
          <t>FY2024 (2024-06-30)</t>
        </is>
      </c>
      <c r="B17" s="17" t="n">
        <v>95</v>
      </c>
      <c r="C17" s="17" t="n">
        <v>323</v>
      </c>
      <c r="D17" s="17" t="n">
        <v>51</v>
      </c>
      <c r="E17" s="14" t="inlineStr">
        <is>
          <t>not reported</t>
        </is>
      </c>
      <c r="F17" s="14" t="inlineStr">
        <is>
          <t>not reported</t>
        </is>
      </c>
      <c r="G17" s="19" t="inlineStr">
        <is>
          <t>recast from monthly eAR data to fiscal year ending June 30, 2024</t>
        </is>
      </c>
    </row>
    <row r="18" ht="40" customHeight="1">
      <c r="A18" s="8" t="inlineStr">
        <is>
          <t>FY2025 (2025-06-30)</t>
        </is>
      </c>
      <c r="B18" s="17" t="n">
        <v>95</v>
      </c>
      <c r="C18" s="17" t="n">
        <v>323</v>
      </c>
      <c r="D18" s="17" t="n">
        <v>51</v>
      </c>
      <c r="E18" s="14" t="inlineStr">
        <is>
          <t>not reported</t>
        </is>
      </c>
      <c r="F18" s="14" t="inlineStr">
        <is>
          <t>not reported</t>
        </is>
      </c>
      <c r="G18" s="19" t="inlineStr">
        <is>
          <t>recast from monthly eAR data to fiscal year ending June 30, 2025</t>
        </is>
      </c>
    </row>
    <row r="20">
      <c r="A20" s="6" t="inlineStr">
        <is>
          <t>Connections by class - FY2025 (eAR Section 4)</t>
        </is>
      </c>
      <c r="B20" s="7" t="n"/>
      <c r="C20" s="7" t="n"/>
      <c r="D20" s="7" t="n"/>
      <c r="E20" s="7" t="n"/>
      <c r="F20" s="7" t="n"/>
      <c r="G20" s="7" t="n"/>
    </row>
    <row r="21">
      <c r="A21" s="16" t="inlineStr">
        <is>
          <t>Single-family residential</t>
        </is>
      </c>
      <c r="B21" s="17" t="n">
        <v>95</v>
      </c>
      <c r="C21" s="18" t="inlineStr"/>
    </row>
    <row r="22" ht="81" customHeight="1">
      <c r="A22"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3:G3"/>
    <mergeCell ref="A22:G22"/>
    <mergeCell ref="A2:G2"/>
    <mergeCell ref="A10:G10"/>
    <mergeCell ref="A5:G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Siete Robles Mutual Water Company</t>
        </is>
      </c>
    </row>
    <row r="2">
      <c r="A2" s="2" t="inlineStr">
        <is>
          <t>Governance evidence status - Ostrom's eight design principles</t>
        </is>
      </c>
    </row>
    <row r="3">
      <c r="A3" s="2" t="inlineStr">
        <is>
          <t>Entity ID: cawc_0019   |   Fiscal year ends June 30.</t>
        </is>
      </c>
    </row>
    <row r="5">
      <c r="A5" s="42" t="inlineStr">
        <is>
          <t>Evidence summary: 6 documented, 0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0" t="inlineStr">
        <is>
          <t>DOCUMENTED</t>
        </is>
      </c>
      <c r="C10" s="19" t="inlineStr">
        <is>
          <t>The system is a defined public water system: 95 service connections over a State-published service-area boundary.</t>
        </is>
      </c>
      <c r="D10" s="19" t="inlineStr">
        <is>
          <t>SDWIS Community water system; SABL service-area boundary (not verified (sabl)); connections defined.</t>
        </is>
      </c>
      <c r="E10" s="43" t="inlineStr">
        <is>
          <t>[C][G]</t>
        </is>
      </c>
    </row>
    <row r="11" ht="81" customHeight="1">
      <c r="A11" s="3" t="inlineStr">
        <is>
          <t>What the record shows: SDWIS defines the membership as a fixed set of service connections and the State Water Board publishes a SABL service-area polygon, so who is inside and outside the system is documented. The boundary is Not Verified (SABL), so its outer edge rests on that State layer.</t>
        </is>
      </c>
    </row>
    <row r="12" ht="46" customHeight="1">
      <c r="A12" s="8" t="inlineStr">
        <is>
          <t>Rules fit local conditions</t>
        </is>
      </c>
      <c r="B12" s="20" t="inlineStr">
        <is>
          <t>DOCUMENTED</t>
        </is>
      </c>
      <c r="C12" s="19" t="inlineStr">
        <is>
          <t>Charges are tied to service under a documented rate or share-based allocation rule reported to the State or set in the company's structure.</t>
        </is>
      </c>
      <c r="D12" s="19" t="inlineStr">
        <is>
          <t>eAR Section 8a customer charges; documented rate or share-allocation rule.</t>
        </is>
      </c>
      <c r="E12" s="43" t="inlineStr">
        <is>
          <t>[E][r1]</t>
        </is>
      </c>
    </row>
    <row r="13" ht="81" customHeight="1">
      <c r="A13" s="3" t="inlineStr">
        <is>
          <t>What the record shows: The record documents how charges are set, whether a filed metered rate schedule or a share-and-acreage allocation, so cost tracks service. Whether every tier scales precisely with use is only partially visible at this scale, but a real cost-to-service rule is on record.</t>
        </is>
      </c>
    </row>
    <row r="14" ht="46" customHeight="1">
      <c r="A14" s="8" t="inlineStr">
        <is>
          <t>Collective-choice arrangements</t>
        </is>
      </c>
      <c r="B14" s="20" t="inlineStr">
        <is>
          <t>DOCUMENTED</t>
        </is>
      </c>
      <c r="C14" s="19" t="inlineStr">
        <is>
          <t>The company is owned by its customer-shareholders and run by a named board they elect, documented in its Form 990 governance section.</t>
        </is>
      </c>
      <c r="D14" s="19" t="inlineStr">
        <is>
          <t>Mutual ownership; named elected board of directors (Form 990).</t>
        </is>
      </c>
      <c r="E14" s="43" t="inlineStr">
        <is>
          <t>[990][r1]</t>
        </is>
      </c>
    </row>
    <row r="15" ht="81" customHeight="1">
      <c r="A15" s="3" t="inlineStr">
        <is>
          <t>What the record shows: The record documents a collective-choice mechanism: customers are shareholders who elect a named board that governs the company. Turnout and specific member votes on major decisions are not documented, but the elected-board structure and its membership are on record.</t>
        </is>
      </c>
    </row>
    <row r="16" ht="46" customHeight="1">
      <c r="A16" s="8" t="inlineStr">
        <is>
          <t>Monitoring</t>
        </is>
      </c>
      <c r="B16" s="20" t="inlineStr">
        <is>
          <t>DOCUMENTED</t>
        </is>
      </c>
      <c r="C16" s="19" t="inlineStr">
        <is>
          <t>The system is metered and monitored: the State SAFER risk assessment shows it Not Failing, and it files an annual eAR.</t>
        </is>
      </c>
      <c r="D16" s="19" t="inlineStr">
        <is>
          <t>SAFER Not Failing; annual eAR reporting; metered connections.</t>
        </is>
      </c>
      <c r="E16" s="43" t="inlineStr">
        <is>
          <t>[S][E]</t>
        </is>
      </c>
    </row>
    <row r="17" ht="81" customHeight="1">
      <c r="A17" s="3" t="inlineStr">
        <is>
          <t>What the record shows: Operational monitoring is documented: the State rates the system Not Failing on its drinking-water risk assessment and the system files an annual eAR. No independent audited financial statement is published, so financial monitoring is weaker, but the operational record is present.</t>
        </is>
      </c>
    </row>
    <row r="18" ht="46" customHeight="1">
      <c r="A18" s="8" t="inlineStr">
        <is>
          <t>Graduated sanctions</t>
        </is>
      </c>
      <c r="B18" s="20" t="inlineStr">
        <is>
          <t>NOT DOCUMENTED</t>
        </is>
      </c>
      <c r="C18" s="19" t="inlineStr">
        <is>
          <t>No published shut-off, penalty, or delinquency policy was found for this system.</t>
        </is>
      </c>
      <c r="D18" s="19" t="inlineStr">
        <is>
          <t>No sourced sanctions policy.</t>
        </is>
      </c>
      <c r="E18" s="43" t="inlineStr">
        <is>
          <t>not reported</t>
        </is>
      </c>
    </row>
    <row r="19" ht="81" customHeight="1">
      <c r="A19" s="3" t="inlineStr">
        <is>
          <t>What the record shows: No public record of a graduated shut-off or penalty policy was found for a system this small.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0" t="inlineStr">
        <is>
          <t>NOT DOCUMENTED</t>
        </is>
      </c>
      <c r="C20" s="19" t="inlineStr">
        <is>
          <t>No published bylaws, dispute procedure, or grievance mechanism was found for this system.</t>
        </is>
      </c>
      <c r="D20" s="19" t="inlineStr">
        <is>
          <t>No sourced conflict-resolution record.</t>
        </is>
      </c>
      <c r="E20" s="43" t="inlineStr">
        <is>
          <t>not reported</t>
        </is>
      </c>
    </row>
    <row r="21" ht="81" customHeight="1">
      <c r="A21" s="3" t="inlineStr">
        <is>
          <t>What the record shows: No public record of a member dispute or conflict-resolution procedure was found.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0" t="inlineStr">
        <is>
          <t>DOCUMENTED</t>
        </is>
      </c>
      <c r="C22" s="19" t="inlineStr">
        <is>
          <t>An incorporated California mutual water company recognized by the IRS (501(c)(12)) and by the State Water Board as a public water system.</t>
        </is>
      </c>
      <c r="D22" s="19" t="inlineStr">
        <is>
          <t>IRS 501(c)(12) exempt filer (Form 990); SDWIS public water system.</t>
        </is>
      </c>
      <c r="E22" s="43" t="inlineStr">
        <is>
          <t>[990][C][SOS]</t>
        </is>
      </c>
    </row>
    <row r="23" ht="150" customHeight="1">
      <c r="A23" s="3" t="inlineStr">
        <is>
          <t>What the record shows: Baseline legal standing is documented: the company is an incorporated mutual recognized by the IRS as a tax-exempt filer and by the State Water Board as a regulated water system. This records the right to organize as a member entity, not a documented instance of exercising it. The California Secretary of State holds the company as a registered corporation, entity number 0184598, first registered 07/17/1940, status as filed "Active", with a governing body named in the Statement of Information filed 7/20/2020. That is a direct state record of the right to organize being recognized, so the evidence behind this status is now a filed corporate record rather than an inference from the company's tax form. The status was already DOCUMENTED and does not move.</t>
        </is>
      </c>
    </row>
    <row r="24" ht="46" customHeight="1">
      <c r="A24" s="8" t="inlineStr">
        <is>
          <t>Nested enterprises</t>
        </is>
      </c>
      <c r="B24" s="20" t="inlineStr">
        <is>
          <t>DOCUMENTED</t>
        </is>
      </c>
      <c r="C24" s="19" t="inlineStr">
        <is>
          <t>The system buys treated water wholesale from a larger supplier, so it is nested inside a regional water enterprise.</t>
        </is>
      </c>
      <c r="D24" s="19" t="inlineStr">
        <is>
          <t>SDWIS Primary Water Source Type: purchased surface water.</t>
        </is>
      </c>
      <c r="E24" s="43" t="inlineStr">
        <is>
          <t>[C][r1]</t>
        </is>
      </c>
    </row>
    <row r="25" ht="81" customHeight="1">
      <c r="A25" s="3" t="inlineStr">
        <is>
          <t>What the record shows: Nesting is documented on the supply side: SDWIS records the system as buying treated surface water wholesale, so it sits inside a larger regional supplier's system. Its role in basin or regional governance is not documented, so the nesting on record is physical rather than a governed layer.</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Siete Robles Mutual Water Company</t>
        </is>
      </c>
    </row>
    <row r="2">
      <c r="A2" s="2" t="inlineStr">
        <is>
          <t>Operational metrics - plant per acre, density, terrain</t>
        </is>
      </c>
    </row>
    <row r="3">
      <c r="A3" s="2" t="inlineStr">
        <is>
          <t>Entity ID: cawc_0019   |   Fiscal year ends June 30.</t>
        </is>
      </c>
    </row>
    <row r="5">
      <c r="A5" s="6" t="inlineStr">
        <is>
          <t>Connections per acre</t>
        </is>
      </c>
      <c r="B5" s="7" t="n"/>
      <c r="C5" s="7" t="n"/>
    </row>
    <row r="6">
      <c r="A6" s="16" t="inlineStr">
        <is>
          <t>Connections per acre</t>
        </is>
      </c>
      <c r="B6" s="15" t="n">
        <v>1.86</v>
      </c>
      <c r="C6" s="18" t="inlineStr">
        <is>
          <t>95 connections / 51.0 acres. CA State Water Board SABL SERVICE_CONNECTIONS; Geodesic area (WGS84 spherical excess) of the SABL service-area polygon.</t>
        </is>
      </c>
    </row>
    <row r="8">
      <c r="A8" s="6" t="inlineStr">
        <is>
          <t>Who they are</t>
        </is>
      </c>
      <c r="B8" s="7" t="n"/>
      <c r="C8" s="7" t="n"/>
    </row>
    <row r="9">
      <c r="A9" s="16" t="inlineStr">
        <is>
          <t>Terrain class</t>
        </is>
      </c>
      <c r="B9" s="19" t="inlineStr">
        <is>
          <t>flat valley</t>
        </is>
      </c>
      <c r="C9" s="18" t="inlineStr">
        <is>
          <t>Company context page (BLUEPRINT 5B)</t>
        </is>
      </c>
    </row>
    <row r="10" ht="96" customHeight="1">
      <c r="A10" s="3" t="inlineStr">
        <is>
          <t>A California mutual water company (501(c)(12)) serving about 95 service connections (roughly 97 shareholders, ~323 residents) in the Ojai area of Ventura County, on the Ojai Valley floor.</t>
        </is>
      </c>
    </row>
  </sheetData>
  <mergeCells count="4">
    <mergeCell ref="A1:C1"/>
    <mergeCell ref="A3:C3"/>
    <mergeCell ref="A2:C2"/>
    <mergeCell ref="A10:C1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Siete Robles Mutual Water Company</t>
        </is>
      </c>
    </row>
    <row r="2">
      <c r="A2" s="2" t="inlineStr">
        <is>
          <t>Supply and weather indicators (DWR water year)</t>
        </is>
      </c>
    </row>
    <row r="3">
      <c r="A3" s="2" t="inlineStr">
        <is>
          <t>Entity ID: cawc_0019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43" t="inlineStr">
        <is>
          <t>Critical</t>
        </is>
      </c>
      <c r="C8" s="43" t="inlineStr">
        <is>
          <t>Critical</t>
        </is>
      </c>
      <c r="D8" s="43" t="inlineStr">
        <is>
          <t>Wet</t>
        </is>
      </c>
      <c r="E8" s="43" t="inlineStr">
        <is>
          <t>Above Normal</t>
        </is>
      </c>
      <c r="F8" s="44" t="inlineStr">
        <is>
          <t>not reported</t>
        </is>
      </c>
    </row>
    <row r="9">
      <c r="A9" s="8" t="inlineStr">
        <is>
          <t>Peak drought, Ventura County</t>
        </is>
      </c>
      <c r="B9" s="43" t="inlineStr">
        <is>
          <t>D4</t>
        </is>
      </c>
      <c r="C9" s="43" t="inlineStr">
        <is>
          <t>D4</t>
        </is>
      </c>
      <c r="D9" s="43" t="inlineStr">
        <is>
          <t>D3</t>
        </is>
      </c>
      <c r="E9" s="43" t="inlineStr">
        <is>
          <t>None (no D0-D4 during the fiscal year)</t>
        </is>
      </c>
      <c r="F9" s="43" t="inlineStr">
        <is>
          <t>D3</t>
        </is>
      </c>
    </row>
    <row r="10">
      <c r="A10" s="8" t="inlineStr">
        <is>
          <t>Precip, percent of normal (8-Station Index)</t>
        </is>
      </c>
      <c r="B10" s="43" t="inlineStr">
        <is>
          <t>48</t>
        </is>
      </c>
      <c r="C10" s="43" t="inlineStr">
        <is>
          <t>86</t>
        </is>
      </c>
      <c r="D10" s="43" t="inlineStr">
        <is>
          <t>133</t>
        </is>
      </c>
      <c r="E10" s="43" t="inlineStr">
        <is>
          <t>96</t>
        </is>
      </c>
      <c r="F10" s="43" t="inlineStr">
        <is>
          <t>113</t>
        </is>
      </c>
    </row>
    <row r="11">
      <c r="A11" s="8" t="inlineStr">
        <is>
          <t>Snowpack, April 1 percent of average</t>
        </is>
      </c>
      <c r="B11" s="43" t="inlineStr">
        <is>
          <t>59%</t>
        </is>
      </c>
      <c r="C11" s="43" t="inlineStr">
        <is>
          <t>38%</t>
        </is>
      </c>
      <c r="D11" s="43" t="inlineStr">
        <is>
          <t>237%</t>
        </is>
      </c>
      <c r="E11" s="43" t="inlineStr">
        <is>
          <t>110%</t>
        </is>
      </c>
      <c r="F11" s="43" t="inlineStr">
        <is>
          <t>96%</t>
        </is>
      </c>
    </row>
    <row r="12">
      <c r="A12" s="8" t="inlineStr">
        <is>
          <t>State Water Project allocation</t>
        </is>
      </c>
      <c r="B12" s="43" t="inlineStr">
        <is>
          <t>5%</t>
        </is>
      </c>
      <c r="C12" s="43" t="inlineStr">
        <is>
          <t>5%</t>
        </is>
      </c>
      <c r="D12" s="43" t="inlineStr">
        <is>
          <t>100%</t>
        </is>
      </c>
      <c r="E12" s="43" t="inlineStr">
        <is>
          <t>40%</t>
        </is>
      </c>
      <c r="F12" s="43"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Siete Robles Mutual Water Company</t>
        </is>
      </c>
    </row>
    <row r="2">
      <c r="A2" s="2" t="inlineStr">
        <is>
          <t>How this was built - forensic lineage</t>
        </is>
      </c>
    </row>
    <row r="3">
      <c r="A3" s="2" t="inlineStr">
        <is>
          <t>Entity ID: cawc_0019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2023,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16" t="inlineStr">
        <is>
          <t>Sources checked</t>
        </is>
      </c>
      <c r="B12" s="18" t="inlineStr">
        <is>
          <t>Form 990 Part VIII line 2 (program-service revenue); State Water Board eAR Section 8b (water-rate revenue B1.1/B1.2)</t>
        </is>
      </c>
    </row>
    <row r="13" ht="72" customHeight="1">
      <c r="A13" s="16" t="inlineStr">
        <is>
          <t>What was found</t>
        </is>
      </c>
      <c r="B13" s="18" t="inlineStr">
        <is>
          <t>No source separately reports a member assessment, so it is DERIVED as a residual: $92,605 (990 program-service revenue) minus $90,655 (eAR water-rate revenue) = $1,950. Period-aligned; medium confidence.</t>
        </is>
      </c>
    </row>
    <row r="14" ht="72" customHeight="1">
      <c r="A14" s="16" t="inlineStr">
        <is>
          <t>Caveat</t>
        </is>
      </c>
      <c r="B14" s="18"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Siete Robles Mutual Water Company</t>
        </is>
      </c>
    </row>
    <row r="2">
      <c r="A2" s="2" t="inlineStr">
        <is>
          <t>Water Operations (sourced outside the financial filings)</t>
        </is>
      </c>
    </row>
    <row r="3">
      <c r="A3" s="2" t="inlineStr">
        <is>
          <t>Entity ID: cawc_0019   |   Fiscal year ends June 30.</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19" t="inlineStr">
        <is>
          <t>Potable (community drinking water)</t>
        </is>
      </c>
      <c r="C8" s="8" t="inlineStr">
        <is>
          <t>SDWIS Drinking Water Watch (State Water Board)</t>
        </is>
      </c>
      <c r="D8" s="43" t="n">
        <v>2024</v>
      </c>
      <c r="E8" s="8" t="inlineStr">
        <is>
          <t>high</t>
        </is>
      </c>
      <c r="F8" s="19" t="inlineStr">
        <is>
          <t>SIETE ROBLES MUTUAL WATER CO: State Water System Type = Community.</t>
        </is>
      </c>
    </row>
    <row r="9" ht="42" customHeight="1">
      <c r="A9" s="8" t="inlineStr">
        <is>
          <t>Source mix</t>
        </is>
      </c>
      <c r="B9" s="19" t="inlineStr">
        <is>
          <t>Primary source: purchased treated surface water from a wholesale supplier (SDWIS Primary Water Source Type: Surface Water Purchased). SDWIS classifies the primary supply type; it states no acre-foot volume by source.</t>
        </is>
      </c>
      <c r="C9" s="8" t="inlineStr">
        <is>
          <t>SDWIS Drinking Water Watch (State Water Board)</t>
        </is>
      </c>
      <c r="D9" s="43" t="n">
        <v>2024</v>
      </c>
      <c r="E9" s="8" t="inlineStr">
        <is>
          <t>high</t>
        </is>
      </c>
      <c r="F9" s="19" t="inlineStr">
        <is>
          <t>SIETE ROBLES MUTUAL WATER CO: Primary Water Source Type = Surface Water Purchased.</t>
        </is>
      </c>
    </row>
    <row r="10" ht="42" customHeight="1">
      <c r="A10" s="8" t="inlineStr">
        <is>
          <t>Service connections (total)</t>
        </is>
      </c>
      <c r="B10" s="19" t="inlineStr">
        <is>
          <t>95 connections</t>
        </is>
      </c>
      <c r="C10" s="8" t="inlineStr">
        <is>
          <t>SDWIS Drinking Water Watch (State Water Board)</t>
        </is>
      </c>
      <c r="D10" s="43" t="n">
        <v>2024</v>
      </c>
      <c r="E10" s="8" t="inlineStr">
        <is>
          <t>high</t>
        </is>
      </c>
      <c r="F10" s="19" t="inlineStr">
        <is>
          <t>SIETE ROBLES MUTUAL WATER CO: Total Number of Service Connections = 95.  [cross-source: SDWIS connection snapshot; the eAR reports active service connections on its own basis and per reporting year. Both preserved, not reconciled.]</t>
        </is>
      </c>
    </row>
    <row r="11" ht="42" customHeight="1">
      <c r="A11" s="8" t="inlineStr">
        <is>
          <t>Connections by class</t>
        </is>
      </c>
      <c r="B11" s="19" t="inlineStr">
        <is>
          <t>Service connections by type (SDWIS snapshot): Residential 95; Total 95.</t>
        </is>
      </c>
      <c r="C11" s="8" t="inlineStr">
        <is>
          <t>SDWIS Drinking Water Watch (State Water Board)</t>
        </is>
      </c>
      <c r="D11" s="43" t="n">
        <v>2024</v>
      </c>
      <c r="E11" s="8" t="inlineStr">
        <is>
          <t>high</t>
        </is>
      </c>
      <c r="F11" s="19" t="inlineStr">
        <is>
          <t>SIETE ROBLES MUTUAL WATER CO: connections by type - Residential 95; Total 95.</t>
        </is>
      </c>
    </row>
    <row r="12" ht="42" customHeight="1">
      <c r="A12" s="8" t="inlineStr">
        <is>
          <t>Population served</t>
        </is>
      </c>
      <c r="B12" s="19" t="inlineStr">
        <is>
          <t>323 residents</t>
        </is>
      </c>
      <c r="C12" s="8" t="inlineStr">
        <is>
          <t>SDWIS Drinking Water Watch (State Water Board)</t>
        </is>
      </c>
      <c r="D12" s="43" t="n">
        <v>2024</v>
      </c>
      <c r="E12" s="8" t="inlineStr">
        <is>
          <t>high</t>
        </is>
      </c>
      <c r="F12" s="19" t="inlineStr">
        <is>
          <t>SIETE ROBLES MUTUAL WATER CO: Total Population = 323.</t>
        </is>
      </c>
    </row>
    <row r="13" ht="42" customHeight="1">
      <c r="A13" s="8" t="inlineStr">
        <is>
          <t>Treatment and water quality</t>
        </is>
      </c>
      <c r="B13" s="19" t="inlineStr">
        <is>
          <t>Operator certification on file: Treatment Operator Level 1; Distribution Operator Level 1. SDWIS states operator grades, not the treatment process detail.</t>
        </is>
      </c>
      <c r="C13" s="8" t="inlineStr">
        <is>
          <t>SDWIS Drinking Water Watch (State Water Board)</t>
        </is>
      </c>
      <c r="D13" s="43" t="n">
        <v>2024</v>
      </c>
      <c r="E13" s="8" t="inlineStr">
        <is>
          <t>high</t>
        </is>
      </c>
      <c r="F13" s="19" t="inlineStr">
        <is>
          <t>SIETE ROBLES MUTUAL WATER CO: Treatment Plant Class = Treatment Operator Level 1; Distribution System Class = Distribution Operator Level 1.</t>
        </is>
      </c>
    </row>
    <row r="15">
      <c r="A15" s="6" t="inlineStr">
        <is>
          <t>Not reported (source still needed)</t>
        </is>
      </c>
      <c r="B15" s="7" t="n"/>
      <c r="C15" s="7" t="n"/>
      <c r="D15" s="7" t="n"/>
      <c r="E15" s="7" t="n"/>
      <c r="F15" s="7" t="n"/>
    </row>
    <row r="16" ht="30" customHeight="1">
      <c r="A16" s="8" t="inlineStr">
        <is>
          <t>Annual volume delivered (acre-feet)</t>
        </is>
      </c>
      <c r="B16" s="18" t="inlineStr">
        <is>
          <t>not reported - needs annual volume in acre-feet (State Water Board eAR Section 6 or company production records); the CCR states only a percentage mix</t>
        </is>
      </c>
      <c r="C16" s="41" t="n"/>
      <c r="D16" s="41" t="n"/>
      <c r="E16" s="41" t="n"/>
      <c r="F16" s="41" t="n"/>
    </row>
    <row r="17" ht="30" customHeight="1">
      <c r="A17" s="8" t="inlineStr">
        <is>
          <t>Customer classes served</t>
        </is>
      </c>
      <c r="B17" s="18" t="inlineStr">
        <is>
          <t>not reported - needs the State Water Board eAR or the system CCR</t>
        </is>
      </c>
      <c r="C17" s="41" t="n"/>
      <c r="D17" s="41" t="n"/>
      <c r="E17" s="41" t="n"/>
      <c r="F17" s="41" t="n"/>
    </row>
  </sheetData>
  <mergeCells count="4">
    <mergeCell ref="A3:F3"/>
    <mergeCell ref="A2:F2"/>
    <mergeCell ref="A1:F1"/>
    <mergeCell ref="A5:F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0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Siete Robles Mutual Water Company</t>
        </is>
      </c>
    </row>
    <row r="2">
      <c r="A2" s="2" t="inlineStr">
        <is>
          <t>Sources &amp; audit - full provenance and tie-outs (kept off the statements so they read clean)</t>
        </is>
      </c>
    </row>
    <row r="3">
      <c r="A3" s="2" t="inlineStr">
        <is>
          <t>Entity ID: cawc_0019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2"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3" t="inlineStr">
        <is>
          <t>FY2021</t>
        </is>
      </c>
      <c r="B10" s="8" t="inlineStr">
        <is>
          <t>2021-06-30</t>
        </is>
      </c>
      <c r="C10" s="8" t="inlineStr">
        <is>
          <t>990-EZ</t>
        </is>
      </c>
      <c r="D10" s="8" t="inlineStr">
        <is>
          <t>high</t>
        </is>
      </c>
      <c r="E10" s="8" t="inlineStr">
        <is>
          <t>41d7cd73-39b3-43db-85ce-6983f8e1e87c</t>
        </is>
      </c>
      <c r="F10" s="8" t="inlineStr">
        <is>
          <t>202102779349200025</t>
        </is>
      </c>
      <c r="G10" s="8" t="inlineStr">
        <is>
          <t>claude-opus-5</t>
        </is>
      </c>
      <c r="H10" s="8" t="inlineStr">
        <is>
          <t>2026-09-14T20:40:23+00:00</t>
        </is>
      </c>
      <c r="I10" s="8" t="inlineStr">
        <is>
          <t>https://apps.irs.gov/pub/epostcard/990/xml/2021/2021_TEOS_XML_01A.zip#202102779349200025_public.xml</t>
        </is>
      </c>
    </row>
    <row r="11">
      <c r="A11" s="43" t="inlineStr">
        <is>
          <t>FY2022</t>
        </is>
      </c>
      <c r="B11" s="8" t="inlineStr">
        <is>
          <t>2022-06-30</t>
        </is>
      </c>
      <c r="C11" s="8" t="inlineStr">
        <is>
          <t>990-EZ</t>
        </is>
      </c>
      <c r="D11" s="8" t="inlineStr">
        <is>
          <t>high</t>
        </is>
      </c>
      <c r="E11" s="8" t="inlineStr">
        <is>
          <t>627350cf-b41c-4178-ac77-c27a0c0a1e65</t>
        </is>
      </c>
      <c r="F11" s="8" t="inlineStr">
        <is>
          <t>202222589349201137</t>
        </is>
      </c>
      <c r="G11" s="8" t="inlineStr">
        <is>
          <t>claude-opus-5</t>
        </is>
      </c>
      <c r="H11" s="8" t="inlineStr">
        <is>
          <t>2026-09-14T20:40:23+00:00</t>
        </is>
      </c>
      <c r="I11" s="8" t="inlineStr">
        <is>
          <t>https://apps.irs.gov/pub/epostcard/990/xml/2024/2024_TEOS_XML_07A.zip#202222589349201137_public.xml</t>
        </is>
      </c>
    </row>
    <row r="12">
      <c r="A12" s="43" t="inlineStr">
        <is>
          <t>FY2023</t>
        </is>
      </c>
      <c r="B12" s="8" t="inlineStr">
        <is>
          <t>2023-06-30</t>
        </is>
      </c>
      <c r="C12" s="8" t="inlineStr">
        <is>
          <t>990-EZ</t>
        </is>
      </c>
      <c r="D12" s="8" t="inlineStr">
        <is>
          <t>high</t>
        </is>
      </c>
      <c r="E12" s="8" t="inlineStr">
        <is>
          <t>48577865-5048-408d-a507-dedf8c024dbf</t>
        </is>
      </c>
      <c r="F12" s="8" t="inlineStr">
        <is>
          <t>202302489349201245</t>
        </is>
      </c>
      <c r="G12" s="8" t="inlineStr">
        <is>
          <t>claude-opus-5</t>
        </is>
      </c>
      <c r="H12" s="8" t="inlineStr">
        <is>
          <t>2026-09-14T20:40:23+00:00</t>
        </is>
      </c>
      <c r="I12" s="8" t="inlineStr">
        <is>
          <t>https://apps.irs.gov/pub/epostcard/990/xml/2023/2023_TEOS_XML_09A.zip#202302489349201245_public.xml</t>
        </is>
      </c>
    </row>
    <row r="13">
      <c r="A13" s="43" t="inlineStr">
        <is>
          <t>FY2024</t>
        </is>
      </c>
      <c r="B13" s="8" t="inlineStr">
        <is>
          <t>2024-06-30</t>
        </is>
      </c>
      <c r="C13" s="8" t="inlineStr">
        <is>
          <t>990-EZ</t>
        </is>
      </c>
      <c r="D13" s="8" t="inlineStr">
        <is>
          <t>high</t>
        </is>
      </c>
      <c r="E13" s="8" t="inlineStr">
        <is>
          <t>7f86fbcb-0a47-4d4b-ae08-33c9d1004ae1</t>
        </is>
      </c>
      <c r="F13" s="8" t="inlineStr">
        <is>
          <t>202422839349201107</t>
        </is>
      </c>
      <c r="G13" s="8" t="inlineStr">
        <is>
          <t>claude-opus-5</t>
        </is>
      </c>
      <c r="H13" s="8" t="inlineStr">
        <is>
          <t>2026-09-14T20:40:23+00:00</t>
        </is>
      </c>
      <c r="I13" s="8" t="inlineStr">
        <is>
          <t>https://apps.irs.gov/pub/epostcard/990/xml/2024/2024_TEOS_XML_10A.zip#202422839349201107_public.xml</t>
        </is>
      </c>
    </row>
    <row r="14">
      <c r="A14" s="43" t="inlineStr">
        <is>
          <t>FY2025</t>
        </is>
      </c>
      <c r="B14" s="8" t="inlineStr">
        <is>
          <t>2025-06-30</t>
        </is>
      </c>
      <c r="C14" s="8" t="inlineStr">
        <is>
          <t>990-EZ</t>
        </is>
      </c>
      <c r="D14" s="8" t="inlineStr">
        <is>
          <t>high</t>
        </is>
      </c>
      <c r="E14" s="8" t="inlineStr">
        <is>
          <t>cd0e5abb-3b94-42d9-b456-bc98f74466eb</t>
        </is>
      </c>
      <c r="F14" s="8" t="inlineStr">
        <is>
          <t>202522879349201932</t>
        </is>
      </c>
      <c r="G14" s="8" t="inlineStr">
        <is>
          <t>claude-opus-5</t>
        </is>
      </c>
      <c r="H14" s="8" t="inlineStr">
        <is>
          <t>2026-09-14T20:40:23+00:00</t>
        </is>
      </c>
      <c r="I14" s="8" t="inlineStr">
        <is>
          <t>https://apps.irs.gov/pub/epostcard/990/xml/2025/2025_TEOS_XML_11D.zip#202522879349201932_public.xml</t>
        </is>
      </c>
    </row>
    <row r="16">
      <c r="A16" s="42"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Form 990-EZ Parts I &amp; II</t>
        </is>
      </c>
      <c r="B18" s="8" t="inlineStr">
        <is>
          <t>B7</t>
        </is>
      </c>
      <c r="C18" s="8" t="inlineStr">
        <is>
          <t>4. Investment income</t>
        </is>
      </c>
      <c r="D18" s="8" t="inlineStr">
        <is>
          <t>Part I line 4</t>
        </is>
      </c>
      <c r="E18" s="8" t="inlineStr">
        <is>
          <t>part_i_revenue_expenses.investment_income</t>
        </is>
      </c>
      <c r="F18" s="8" t="inlineStr">
        <is>
          <t>high</t>
        </is>
      </c>
      <c r="G18" s="9" t="n">
        <v>1315</v>
      </c>
    </row>
    <row r="19">
      <c r="A19" s="8" t="inlineStr">
        <is>
          <t>Form 990-EZ Parts I &amp; II</t>
        </is>
      </c>
      <c r="B19" s="8" t="inlineStr">
        <is>
          <t>D7</t>
        </is>
      </c>
      <c r="C19" s="8" t="inlineStr">
        <is>
          <t>4. Investment income</t>
        </is>
      </c>
      <c r="D19" s="8" t="inlineStr">
        <is>
          <t>Part I line 4</t>
        </is>
      </c>
      <c r="E19" s="8" t="inlineStr">
        <is>
          <t>part_i_revenue_expenses.investment_income</t>
        </is>
      </c>
      <c r="F19" s="8" t="inlineStr">
        <is>
          <t>high</t>
        </is>
      </c>
      <c r="G19" s="9" t="n">
        <v>124</v>
      </c>
    </row>
    <row r="20">
      <c r="A20" s="8" t="inlineStr">
        <is>
          <t>Form 990-EZ Parts I &amp; II</t>
        </is>
      </c>
      <c r="B20" s="8" t="inlineStr">
        <is>
          <t>E7</t>
        </is>
      </c>
      <c r="C20" s="8" t="inlineStr">
        <is>
          <t>4. Investment income</t>
        </is>
      </c>
      <c r="D20" s="8" t="inlineStr">
        <is>
          <t>Part I line 4</t>
        </is>
      </c>
      <c r="E20" s="8" t="inlineStr">
        <is>
          <t>part_i_revenue_expenses.investment_income</t>
        </is>
      </c>
      <c r="F20" s="8" t="inlineStr">
        <is>
          <t>high</t>
        </is>
      </c>
      <c r="G20" s="9" t="n">
        <v>124</v>
      </c>
    </row>
    <row r="21">
      <c r="A21" s="8" t="inlineStr">
        <is>
          <t>Form 990-EZ Parts I &amp; II</t>
        </is>
      </c>
      <c r="B21" s="8" t="inlineStr">
        <is>
          <t>F7</t>
        </is>
      </c>
      <c r="C21" s="8" t="inlineStr">
        <is>
          <t>4. Investment income</t>
        </is>
      </c>
      <c r="D21" s="8" t="inlineStr">
        <is>
          <t>Part I line 4</t>
        </is>
      </c>
      <c r="E21" s="8" t="inlineStr">
        <is>
          <t>part_i_revenue_expenses.investment_income</t>
        </is>
      </c>
      <c r="F21" s="8" t="inlineStr">
        <is>
          <t>high</t>
        </is>
      </c>
      <c r="G21" s="9" t="n">
        <v>221</v>
      </c>
    </row>
    <row r="22">
      <c r="A22" s="8" t="inlineStr">
        <is>
          <t>Form 990-EZ Parts I &amp; II</t>
        </is>
      </c>
      <c r="B22" s="8" t="inlineStr">
        <is>
          <t>B8</t>
        </is>
      </c>
      <c r="C22" s="8" t="inlineStr">
        <is>
          <t>8. Other revenue</t>
        </is>
      </c>
      <c r="D22" s="8" t="inlineStr">
        <is>
          <t>Part I line 8</t>
        </is>
      </c>
      <c r="E22" s="8" t="inlineStr">
        <is>
          <t>part_i_revenue_expenses.other_revenue_total</t>
        </is>
      </c>
      <c r="F22" s="8" t="inlineStr">
        <is>
          <t>high</t>
        </is>
      </c>
      <c r="G22" s="9" t="n">
        <v>100357</v>
      </c>
    </row>
    <row r="23">
      <c r="A23" s="8" t="inlineStr">
        <is>
          <t>Form 990-EZ Parts I &amp; II</t>
        </is>
      </c>
      <c r="B23" s="8" t="inlineStr">
        <is>
          <t>C8</t>
        </is>
      </c>
      <c r="C23" s="8" t="inlineStr">
        <is>
          <t>8. Other revenue</t>
        </is>
      </c>
      <c r="D23" s="8" t="inlineStr">
        <is>
          <t>Part I line 8</t>
        </is>
      </c>
      <c r="E23" s="8" t="inlineStr">
        <is>
          <t>part_i_revenue_expenses.other_revenue_total</t>
        </is>
      </c>
      <c r="F23" s="8" t="inlineStr">
        <is>
          <t>high</t>
        </is>
      </c>
      <c r="G23" s="9" t="n">
        <v>99507</v>
      </c>
    </row>
    <row r="24">
      <c r="A24" s="8" t="inlineStr">
        <is>
          <t>Form 990-EZ Parts I &amp; II</t>
        </is>
      </c>
      <c r="B24" s="8" t="inlineStr">
        <is>
          <t>D8</t>
        </is>
      </c>
      <c r="C24" s="8" t="inlineStr">
        <is>
          <t>8. Other revenue</t>
        </is>
      </c>
      <c r="D24" s="8" t="inlineStr">
        <is>
          <t>Part I line 8</t>
        </is>
      </c>
      <c r="E24" s="8" t="inlineStr">
        <is>
          <t>part_i_revenue_expenses.other_revenue_total</t>
        </is>
      </c>
      <c r="F24" s="8" t="inlineStr">
        <is>
          <t>high</t>
        </is>
      </c>
      <c r="G24" s="9" t="n">
        <v>92605</v>
      </c>
    </row>
    <row r="25">
      <c r="A25" s="8" t="inlineStr">
        <is>
          <t>Form 990-EZ Parts I &amp; II</t>
        </is>
      </c>
      <c r="B25" s="8" t="inlineStr">
        <is>
          <t>E8</t>
        </is>
      </c>
      <c r="C25" s="8" t="inlineStr">
        <is>
          <t>8. Other revenue</t>
        </is>
      </c>
      <c r="D25" s="8" t="inlineStr">
        <is>
          <t>Part I line 8</t>
        </is>
      </c>
      <c r="E25" s="8" t="inlineStr">
        <is>
          <t>part_i_revenue_expenses.other_revenue_total</t>
        </is>
      </c>
      <c r="F25" s="8" t="inlineStr">
        <is>
          <t>high</t>
        </is>
      </c>
      <c r="G25" s="9" t="n">
        <v>82600</v>
      </c>
    </row>
    <row r="26">
      <c r="A26" s="8" t="inlineStr">
        <is>
          <t>Form 990-EZ Parts I &amp; II</t>
        </is>
      </c>
      <c r="B26" s="8" t="inlineStr">
        <is>
          <t>F8</t>
        </is>
      </c>
      <c r="C26" s="8" t="inlineStr">
        <is>
          <t>8. Other revenue</t>
        </is>
      </c>
      <c r="D26" s="8" t="inlineStr">
        <is>
          <t>Part I line 8</t>
        </is>
      </c>
      <c r="E26" s="8" t="inlineStr">
        <is>
          <t>part_i_revenue_expenses.other_revenue_total</t>
        </is>
      </c>
      <c r="F26" s="8" t="inlineStr">
        <is>
          <t>high</t>
        </is>
      </c>
      <c r="G26" s="9" t="n">
        <v>101233</v>
      </c>
    </row>
    <row r="27">
      <c r="A27" s="8" t="inlineStr">
        <is>
          <t>Form 990-EZ Parts I &amp; II</t>
        </is>
      </c>
      <c r="B27" s="8" t="inlineStr">
        <is>
          <t>B9</t>
        </is>
      </c>
      <c r="C27" s="8" t="inlineStr">
        <is>
          <t>9. Total revenue</t>
        </is>
      </c>
      <c r="D27" s="8" t="inlineStr">
        <is>
          <t>Part I line 9</t>
        </is>
      </c>
      <c r="E27" s="8" t="inlineStr">
        <is>
          <t>part_i_revenue_expenses.total_revenue</t>
        </is>
      </c>
      <c r="F27" s="8" t="inlineStr">
        <is>
          <t>high</t>
        </is>
      </c>
      <c r="G27" s="9" t="n">
        <v>101672</v>
      </c>
    </row>
    <row r="28">
      <c r="A28" s="8" t="inlineStr">
        <is>
          <t>Form 990-EZ Parts I &amp; II</t>
        </is>
      </c>
      <c r="B28" s="8" t="inlineStr">
        <is>
          <t>C9</t>
        </is>
      </c>
      <c r="C28" s="8" t="inlineStr">
        <is>
          <t>9. Total revenue</t>
        </is>
      </c>
      <c r="D28" s="8" t="inlineStr">
        <is>
          <t>Part I line 9</t>
        </is>
      </c>
      <c r="E28" s="8" t="inlineStr">
        <is>
          <t>part_i_revenue_expenses.total_revenue</t>
        </is>
      </c>
      <c r="F28" s="8" t="inlineStr">
        <is>
          <t>high</t>
        </is>
      </c>
      <c r="G28" s="9" t="n">
        <v>99507</v>
      </c>
    </row>
    <row r="29">
      <c r="A29" s="8" t="inlineStr">
        <is>
          <t>Form 990-EZ Parts I &amp; II</t>
        </is>
      </c>
      <c r="B29" s="8" t="inlineStr">
        <is>
          <t>D9</t>
        </is>
      </c>
      <c r="C29" s="8" t="inlineStr">
        <is>
          <t>9. Total revenue</t>
        </is>
      </c>
      <c r="D29" s="8" t="inlineStr">
        <is>
          <t>Part I line 9</t>
        </is>
      </c>
      <c r="E29" s="8" t="inlineStr">
        <is>
          <t>part_i_revenue_expenses.total_revenue</t>
        </is>
      </c>
      <c r="F29" s="8" t="inlineStr">
        <is>
          <t>high</t>
        </is>
      </c>
      <c r="G29" s="9" t="n">
        <v>92729</v>
      </c>
    </row>
    <row r="30">
      <c r="A30" s="8" t="inlineStr">
        <is>
          <t>Form 990-EZ Parts I &amp; II</t>
        </is>
      </c>
      <c r="B30" s="8" t="inlineStr">
        <is>
          <t>E9</t>
        </is>
      </c>
      <c r="C30" s="8" t="inlineStr">
        <is>
          <t>9. Total revenue</t>
        </is>
      </c>
      <c r="D30" s="8" t="inlineStr">
        <is>
          <t>Part I line 9</t>
        </is>
      </c>
      <c r="E30" s="8" t="inlineStr">
        <is>
          <t>part_i_revenue_expenses.total_revenue</t>
        </is>
      </c>
      <c r="F30" s="8" t="inlineStr">
        <is>
          <t>high</t>
        </is>
      </c>
      <c r="G30" s="9" t="n">
        <v>82724</v>
      </c>
    </row>
    <row r="31">
      <c r="A31" s="8" t="inlineStr">
        <is>
          <t>Form 990-EZ Parts I &amp; II</t>
        </is>
      </c>
      <c r="B31" s="8" t="inlineStr">
        <is>
          <t>F9</t>
        </is>
      </c>
      <c r="C31" s="8" t="inlineStr">
        <is>
          <t>9. Total revenue</t>
        </is>
      </c>
      <c r="D31" s="8" t="inlineStr">
        <is>
          <t>Part I line 9</t>
        </is>
      </c>
      <c r="E31" s="8" t="inlineStr">
        <is>
          <t>part_i_revenue_expenses.total_revenue</t>
        </is>
      </c>
      <c r="F31" s="8" t="inlineStr">
        <is>
          <t>high</t>
        </is>
      </c>
      <c r="G31" s="9" t="n">
        <v>101454</v>
      </c>
    </row>
    <row r="32">
      <c r="A32" s="8" t="inlineStr">
        <is>
          <t>Form 990-EZ Parts I &amp; II</t>
        </is>
      </c>
      <c r="B32" s="8" t="inlineStr">
        <is>
          <t>B12</t>
        </is>
      </c>
      <c r="C32" s="8" t="inlineStr">
        <is>
          <t>12. Salaries, other compensation, benefits</t>
        </is>
      </c>
      <c r="D32" s="8" t="inlineStr">
        <is>
          <t>Part I line 12</t>
        </is>
      </c>
      <c r="E32" s="8" t="inlineStr">
        <is>
          <t>part_i_revenue_expenses.salaries_other_comp_benefits</t>
        </is>
      </c>
      <c r="F32" s="8" t="inlineStr">
        <is>
          <t>high</t>
        </is>
      </c>
      <c r="G32" s="9" t="n">
        <v>4057</v>
      </c>
    </row>
    <row r="33">
      <c r="A33" s="8" t="inlineStr">
        <is>
          <t>Form 990-EZ Parts I &amp; II</t>
        </is>
      </c>
      <c r="B33" s="8" t="inlineStr">
        <is>
          <t>C12</t>
        </is>
      </c>
      <c r="C33" s="8" t="inlineStr">
        <is>
          <t>12. Salaries, other compensation, benefits</t>
        </is>
      </c>
      <c r="D33" s="8" t="inlineStr">
        <is>
          <t>Part I line 12</t>
        </is>
      </c>
      <c r="E33" s="8" t="inlineStr">
        <is>
          <t>part_i_revenue_expenses.salaries_other_comp_benefits</t>
        </is>
      </c>
      <c r="F33" s="8" t="inlineStr">
        <is>
          <t>high</t>
        </is>
      </c>
      <c r="G33" s="9" t="n">
        <v>901</v>
      </c>
    </row>
    <row r="34">
      <c r="A34" s="8" t="inlineStr">
        <is>
          <t>Form 990-EZ Parts I &amp; II</t>
        </is>
      </c>
      <c r="B34" s="8" t="inlineStr">
        <is>
          <t>D12</t>
        </is>
      </c>
      <c r="C34" s="8" t="inlineStr">
        <is>
          <t>12. Salaries, other compensation, benefits</t>
        </is>
      </c>
      <c r="D34" s="8" t="inlineStr">
        <is>
          <t>Part I line 12</t>
        </is>
      </c>
      <c r="E34" s="8" t="inlineStr">
        <is>
          <t>part_i_revenue_expenses.salaries_other_comp_benefits</t>
        </is>
      </c>
      <c r="F34" s="8" t="inlineStr">
        <is>
          <t>high</t>
        </is>
      </c>
      <c r="G34" s="9" t="n">
        <v>904</v>
      </c>
    </row>
    <row r="35">
      <c r="A35" s="8" t="inlineStr">
        <is>
          <t>Form 990-EZ Parts I &amp; II</t>
        </is>
      </c>
      <c r="B35" s="8" t="inlineStr">
        <is>
          <t>E12</t>
        </is>
      </c>
      <c r="C35" s="8" t="inlineStr">
        <is>
          <t>12. Salaries, other compensation, benefits</t>
        </is>
      </c>
      <c r="D35" s="8" t="inlineStr">
        <is>
          <t>Part I line 12</t>
        </is>
      </c>
      <c r="E35" s="8" t="inlineStr">
        <is>
          <t>part_i_revenue_expenses.salaries_other_comp_benefits</t>
        </is>
      </c>
      <c r="F35" s="8" t="inlineStr">
        <is>
          <t>high</t>
        </is>
      </c>
      <c r="G35" s="9" t="n">
        <v>902</v>
      </c>
    </row>
    <row r="36">
      <c r="A36" s="8" t="inlineStr">
        <is>
          <t>Form 990-EZ Parts I &amp; II</t>
        </is>
      </c>
      <c r="B36" s="8" t="inlineStr">
        <is>
          <t>F12</t>
        </is>
      </c>
      <c r="C36" s="8" t="inlineStr">
        <is>
          <t>12. Salaries, other compensation, benefits</t>
        </is>
      </c>
      <c r="D36" s="8" t="inlineStr">
        <is>
          <t>Part I line 12</t>
        </is>
      </c>
      <c r="E36" s="8" t="inlineStr">
        <is>
          <t>part_i_revenue_expenses.salaries_other_comp_benefits</t>
        </is>
      </c>
      <c r="F36" s="8" t="inlineStr">
        <is>
          <t>high</t>
        </is>
      </c>
      <c r="G36" s="9" t="n">
        <v>881</v>
      </c>
    </row>
    <row r="37">
      <c r="A37" s="8" t="inlineStr">
        <is>
          <t>Form 990-EZ Parts I &amp; II</t>
        </is>
      </c>
      <c r="B37" s="8" t="inlineStr">
        <is>
          <t>B13</t>
        </is>
      </c>
      <c r="C37" s="8" t="inlineStr">
        <is>
          <t>13. Fees for services (independent contractors)</t>
        </is>
      </c>
      <c r="D37" s="8" t="inlineStr">
        <is>
          <t>Part I line 13</t>
        </is>
      </c>
      <c r="E37" s="8" t="inlineStr">
        <is>
          <t>part_i_revenue_expenses.fees_ind_contractors</t>
        </is>
      </c>
      <c r="F37" s="8" t="inlineStr">
        <is>
          <t>high</t>
        </is>
      </c>
      <c r="G37" s="9" t="n">
        <v>18554</v>
      </c>
    </row>
    <row r="38">
      <c r="A38" s="8" t="inlineStr">
        <is>
          <t>Form 990-EZ Parts I &amp; II</t>
        </is>
      </c>
      <c r="B38" s="8" t="inlineStr">
        <is>
          <t>C13</t>
        </is>
      </c>
      <c r="C38" s="8" t="inlineStr">
        <is>
          <t>13. Fees for services (independent contractors)</t>
        </is>
      </c>
      <c r="D38" s="8" t="inlineStr">
        <is>
          <t>Part I line 13</t>
        </is>
      </c>
      <c r="E38" s="8" t="inlineStr">
        <is>
          <t>part_i_revenue_expenses.fees_ind_contractors</t>
        </is>
      </c>
      <c r="F38" s="8" t="inlineStr">
        <is>
          <t>high</t>
        </is>
      </c>
      <c r="G38" s="9" t="n">
        <v>23782</v>
      </c>
    </row>
    <row r="39">
      <c r="A39" s="8" t="inlineStr">
        <is>
          <t>Form 990-EZ Parts I &amp; II</t>
        </is>
      </c>
      <c r="B39" s="8" t="inlineStr">
        <is>
          <t>D13</t>
        </is>
      </c>
      <c r="C39" s="8" t="inlineStr">
        <is>
          <t>13. Fees for services (independent contractors)</t>
        </is>
      </c>
      <c r="D39" s="8" t="inlineStr">
        <is>
          <t>Part I line 13</t>
        </is>
      </c>
      <c r="E39" s="8" t="inlineStr">
        <is>
          <t>part_i_revenue_expenses.fees_ind_contractors</t>
        </is>
      </c>
      <c r="F39" s="8" t="inlineStr">
        <is>
          <t>high</t>
        </is>
      </c>
      <c r="G39" s="9" t="n">
        <v>20165</v>
      </c>
    </row>
    <row r="40">
      <c r="A40" s="8" t="inlineStr">
        <is>
          <t>Form 990-EZ Parts I &amp; II</t>
        </is>
      </c>
      <c r="B40" s="8" t="inlineStr">
        <is>
          <t>E13</t>
        </is>
      </c>
      <c r="C40" s="8" t="inlineStr">
        <is>
          <t>13. Fees for services (independent contractors)</t>
        </is>
      </c>
      <c r="D40" s="8" t="inlineStr">
        <is>
          <t>Part I line 13</t>
        </is>
      </c>
      <c r="E40" s="8" t="inlineStr">
        <is>
          <t>part_i_revenue_expenses.fees_ind_contractors</t>
        </is>
      </c>
      <c r="F40" s="8" t="inlineStr">
        <is>
          <t>high</t>
        </is>
      </c>
      <c r="G40" s="9" t="n">
        <v>20414</v>
      </c>
    </row>
    <row r="41">
      <c r="A41" s="8" t="inlineStr">
        <is>
          <t>Form 990-EZ Parts I &amp; II</t>
        </is>
      </c>
      <c r="B41" s="8" t="inlineStr">
        <is>
          <t>F13</t>
        </is>
      </c>
      <c r="C41" s="8" t="inlineStr">
        <is>
          <t>13. Fees for services (independent contractors)</t>
        </is>
      </c>
      <c r="D41" s="8" t="inlineStr">
        <is>
          <t>Part I line 13</t>
        </is>
      </c>
      <c r="E41" s="8" t="inlineStr">
        <is>
          <t>part_i_revenue_expenses.fees_ind_contractors</t>
        </is>
      </c>
      <c r="F41" s="8" t="inlineStr">
        <is>
          <t>high</t>
        </is>
      </c>
      <c r="G41" s="9" t="n">
        <v>18865</v>
      </c>
    </row>
    <row r="42">
      <c r="A42" s="8" t="inlineStr">
        <is>
          <t>Form 990-EZ Parts I &amp; II</t>
        </is>
      </c>
      <c r="B42" s="8" t="inlineStr">
        <is>
          <t>B14</t>
        </is>
      </c>
      <c r="C42" s="8" t="inlineStr">
        <is>
          <t>16. Other expenses</t>
        </is>
      </c>
      <c r="D42" s="8" t="inlineStr">
        <is>
          <t>Part I line 16</t>
        </is>
      </c>
      <c r="E42" s="8" t="inlineStr">
        <is>
          <t>part_i_revenue_expenses.other_expenses_total</t>
        </is>
      </c>
      <c r="F42" s="8" t="inlineStr">
        <is>
          <t>high</t>
        </is>
      </c>
      <c r="G42" s="9" t="n">
        <v>65717</v>
      </c>
    </row>
    <row r="43">
      <c r="A43" s="8" t="inlineStr">
        <is>
          <t>Form 990-EZ Parts I &amp; II</t>
        </is>
      </c>
      <c r="B43" s="8" t="inlineStr">
        <is>
          <t>C14</t>
        </is>
      </c>
      <c r="C43" s="8" t="inlineStr">
        <is>
          <t>16. Other expenses</t>
        </is>
      </c>
      <c r="D43" s="8" t="inlineStr">
        <is>
          <t>Part I line 16</t>
        </is>
      </c>
      <c r="E43" s="8" t="inlineStr">
        <is>
          <t>part_i_revenue_expenses.other_expenses_total</t>
        </is>
      </c>
      <c r="F43" s="8" t="inlineStr">
        <is>
          <t>high</t>
        </is>
      </c>
      <c r="G43" s="9" t="n">
        <v>75381</v>
      </c>
    </row>
    <row r="44">
      <c r="A44" s="8" t="inlineStr">
        <is>
          <t>Form 990-EZ Parts I &amp; II</t>
        </is>
      </c>
      <c r="B44" s="8" t="inlineStr">
        <is>
          <t>D14</t>
        </is>
      </c>
      <c r="C44" s="8" t="inlineStr">
        <is>
          <t>16. Other expenses</t>
        </is>
      </c>
      <c r="D44" s="8" t="inlineStr">
        <is>
          <t>Part I line 16</t>
        </is>
      </c>
      <c r="E44" s="8" t="inlineStr">
        <is>
          <t>part_i_revenue_expenses.other_expenses_total</t>
        </is>
      </c>
      <c r="F44" s="8" t="inlineStr">
        <is>
          <t>high</t>
        </is>
      </c>
      <c r="G44" s="9" t="n">
        <v>74580</v>
      </c>
    </row>
    <row r="45">
      <c r="A45" s="8" t="inlineStr">
        <is>
          <t>Form 990-EZ Parts I &amp; II</t>
        </is>
      </c>
      <c r="B45" s="8" t="inlineStr">
        <is>
          <t>E14</t>
        </is>
      </c>
      <c r="C45" s="8" t="inlineStr">
        <is>
          <t>16. Other expenses</t>
        </is>
      </c>
      <c r="D45" s="8" t="inlineStr">
        <is>
          <t>Part I line 16</t>
        </is>
      </c>
      <c r="E45" s="8" t="inlineStr">
        <is>
          <t>part_i_revenue_expenses.other_expenses_total</t>
        </is>
      </c>
      <c r="F45" s="8" t="inlineStr">
        <is>
          <t>high</t>
        </is>
      </c>
      <c r="G45" s="9" t="n">
        <v>91715</v>
      </c>
    </row>
    <row r="46">
      <c r="A46" s="8" t="inlineStr">
        <is>
          <t>Form 990-EZ Parts I &amp; II</t>
        </is>
      </c>
      <c r="B46" s="8" t="inlineStr">
        <is>
          <t>F14</t>
        </is>
      </c>
      <c r="C46" s="8" t="inlineStr">
        <is>
          <t>16. Other expenses</t>
        </is>
      </c>
      <c r="D46" s="8" t="inlineStr">
        <is>
          <t>Part I line 16</t>
        </is>
      </c>
      <c r="E46" s="8" t="inlineStr">
        <is>
          <t>part_i_revenue_expenses.other_expenses_total</t>
        </is>
      </c>
      <c r="F46" s="8" t="inlineStr">
        <is>
          <t>high</t>
        </is>
      </c>
      <c r="G46" s="9" t="n">
        <v>111495</v>
      </c>
    </row>
    <row r="47">
      <c r="A47" s="8" t="inlineStr">
        <is>
          <t>Form 990-EZ Parts I &amp; II</t>
        </is>
      </c>
      <c r="B47" s="8" t="inlineStr">
        <is>
          <t>B18</t>
        </is>
      </c>
      <c r="C47" s="8" t="inlineStr">
        <is>
          <t>19. Net assets or fund balances, beginning of year</t>
        </is>
      </c>
      <c r="D47" s="8" t="inlineStr">
        <is>
          <t>Part I line 19</t>
        </is>
      </c>
      <c r="E47" s="8" t="inlineStr">
        <is>
          <t>part_i_revenue_expenses.net_assets_boy</t>
        </is>
      </c>
      <c r="F47" s="8" t="inlineStr">
        <is>
          <t>high</t>
        </is>
      </c>
      <c r="G47" s="9" t="n">
        <v>195963</v>
      </c>
    </row>
    <row r="48">
      <c r="A48" s="8" t="inlineStr">
        <is>
          <t>Form 990-EZ Parts I &amp; II</t>
        </is>
      </c>
      <c r="B48" s="8" t="inlineStr">
        <is>
          <t>C18</t>
        </is>
      </c>
      <c r="C48" s="8" t="inlineStr">
        <is>
          <t>19. Net assets or fund balances, beginning of year</t>
        </is>
      </c>
      <c r="D48" s="8" t="inlineStr">
        <is>
          <t>Part I line 19</t>
        </is>
      </c>
      <c r="E48" s="8" t="inlineStr">
        <is>
          <t>part_i_revenue_expenses.net_assets_boy</t>
        </is>
      </c>
      <c r="F48" s="8" t="inlineStr">
        <is>
          <t>high</t>
        </is>
      </c>
      <c r="G48" s="9" t="n">
        <v>209307</v>
      </c>
    </row>
    <row r="49">
      <c r="A49" s="8" t="inlineStr">
        <is>
          <t>Form 990-EZ Parts I &amp; II</t>
        </is>
      </c>
      <c r="B49" s="8" t="inlineStr">
        <is>
          <t>D18</t>
        </is>
      </c>
      <c r="C49" s="8" t="inlineStr">
        <is>
          <t>19. Net assets or fund balances, beginning of year</t>
        </is>
      </c>
      <c r="D49" s="8" t="inlineStr">
        <is>
          <t>Part I line 19</t>
        </is>
      </c>
      <c r="E49" s="8" t="inlineStr">
        <is>
          <t>part_i_revenue_expenses.net_assets_boy</t>
        </is>
      </c>
      <c r="F49" s="8" t="inlineStr">
        <is>
          <t>high</t>
        </is>
      </c>
      <c r="G49" s="9" t="n">
        <v>208750</v>
      </c>
    </row>
    <row r="50">
      <c r="A50" s="8" t="inlineStr">
        <is>
          <t>Form 990-EZ Parts I &amp; II</t>
        </is>
      </c>
      <c r="B50" s="8" t="inlineStr">
        <is>
          <t>E18</t>
        </is>
      </c>
      <c r="C50" s="8" t="inlineStr">
        <is>
          <t>19. Net assets or fund balances, beginning of year</t>
        </is>
      </c>
      <c r="D50" s="8" t="inlineStr">
        <is>
          <t>Part I line 19</t>
        </is>
      </c>
      <c r="E50" s="8" t="inlineStr">
        <is>
          <t>part_i_revenue_expenses.net_assets_boy</t>
        </is>
      </c>
      <c r="F50" s="8" t="inlineStr">
        <is>
          <t>high</t>
        </is>
      </c>
      <c r="G50" s="9" t="n">
        <v>205830</v>
      </c>
    </row>
    <row r="51">
      <c r="A51" s="8" t="inlineStr">
        <is>
          <t>Form 990-EZ Parts I &amp; II</t>
        </is>
      </c>
      <c r="B51" s="8" t="inlineStr">
        <is>
          <t>F18</t>
        </is>
      </c>
      <c r="C51" s="8" t="inlineStr">
        <is>
          <t>19. Net assets or fund balances, beginning of year</t>
        </is>
      </c>
      <c r="D51" s="8" t="inlineStr">
        <is>
          <t>Part I line 19</t>
        </is>
      </c>
      <c r="E51" s="8" t="inlineStr">
        <is>
          <t>part_i_revenue_expenses.net_assets_boy</t>
        </is>
      </c>
      <c r="F51" s="8" t="inlineStr">
        <is>
          <t>high</t>
        </is>
      </c>
      <c r="G51" s="9" t="n">
        <v>175523</v>
      </c>
    </row>
    <row r="52">
      <c r="A52" s="8" t="inlineStr">
        <is>
          <t>Form 990-EZ Parts I &amp; II</t>
        </is>
      </c>
      <c r="B52" s="8" t="inlineStr">
        <is>
          <t>B19</t>
        </is>
      </c>
      <c r="C52" s="8" t="inlineStr">
        <is>
          <t>18. Excess or (deficit) for the year</t>
        </is>
      </c>
      <c r="D52" s="8" t="inlineStr">
        <is>
          <t>Part I line 18</t>
        </is>
      </c>
      <c r="E52" s="8" t="inlineStr">
        <is>
          <t>part_i_revenue_expenses.excess_or_deficit</t>
        </is>
      </c>
      <c r="F52" s="8" t="inlineStr">
        <is>
          <t>high</t>
        </is>
      </c>
      <c r="G52" s="9" t="n">
        <v>13344</v>
      </c>
    </row>
    <row r="53">
      <c r="A53" s="8" t="inlineStr">
        <is>
          <t>Form 990-EZ Parts I &amp; II</t>
        </is>
      </c>
      <c r="B53" s="8" t="inlineStr">
        <is>
          <t>C19</t>
        </is>
      </c>
      <c r="C53" s="8" t="inlineStr">
        <is>
          <t>18. Excess or (deficit) for the year</t>
        </is>
      </c>
      <c r="D53" s="8" t="inlineStr">
        <is>
          <t>Part I line 18</t>
        </is>
      </c>
      <c r="E53" s="8" t="inlineStr">
        <is>
          <t>part_i_revenue_expenses.excess_or_deficit</t>
        </is>
      </c>
      <c r="F53" s="8" t="inlineStr">
        <is>
          <t>high</t>
        </is>
      </c>
      <c r="G53" s="9" t="n">
        <v>-557</v>
      </c>
    </row>
    <row r="54">
      <c r="A54" s="8" t="inlineStr">
        <is>
          <t>Form 990-EZ Parts I &amp; II</t>
        </is>
      </c>
      <c r="B54" s="8" t="inlineStr">
        <is>
          <t>D19</t>
        </is>
      </c>
      <c r="C54" s="8" t="inlineStr">
        <is>
          <t>18. Excess or (deficit) for the year</t>
        </is>
      </c>
      <c r="D54" s="8" t="inlineStr">
        <is>
          <t>Part I line 18</t>
        </is>
      </c>
      <c r="E54" s="8" t="inlineStr">
        <is>
          <t>part_i_revenue_expenses.excess_or_deficit</t>
        </is>
      </c>
      <c r="F54" s="8" t="inlineStr">
        <is>
          <t>high</t>
        </is>
      </c>
      <c r="G54" s="9" t="n">
        <v>-2920</v>
      </c>
    </row>
    <row r="55">
      <c r="A55" s="8" t="inlineStr">
        <is>
          <t>Form 990-EZ Parts I &amp; II</t>
        </is>
      </c>
      <c r="B55" s="8" t="inlineStr">
        <is>
          <t>E19</t>
        </is>
      </c>
      <c r="C55" s="8" t="inlineStr">
        <is>
          <t>18. Excess or (deficit) for the year</t>
        </is>
      </c>
      <c r="D55" s="8" t="inlineStr">
        <is>
          <t>Part I line 18</t>
        </is>
      </c>
      <c r="E55" s="8" t="inlineStr">
        <is>
          <t>part_i_revenue_expenses.excess_or_deficit</t>
        </is>
      </c>
      <c r="F55" s="8" t="inlineStr">
        <is>
          <t>high</t>
        </is>
      </c>
      <c r="G55" s="9" t="n">
        <v>-30307</v>
      </c>
    </row>
    <row r="56">
      <c r="A56" s="8" t="inlineStr">
        <is>
          <t>Form 990-EZ Parts I &amp; II</t>
        </is>
      </c>
      <c r="B56" s="8" t="inlineStr">
        <is>
          <t>F19</t>
        </is>
      </c>
      <c r="C56" s="8" t="inlineStr">
        <is>
          <t>18. Excess or (deficit) for the year</t>
        </is>
      </c>
      <c r="D56" s="8" t="inlineStr">
        <is>
          <t>Part I line 18</t>
        </is>
      </c>
      <c r="E56" s="8" t="inlineStr">
        <is>
          <t>part_i_revenue_expenses.excess_or_deficit</t>
        </is>
      </c>
      <c r="F56" s="8" t="inlineStr">
        <is>
          <t>high</t>
        </is>
      </c>
      <c r="G56" s="9" t="n">
        <v>-29787</v>
      </c>
    </row>
    <row r="57">
      <c r="A57" s="8" t="inlineStr">
        <is>
          <t>Form 990-EZ Parts I &amp; II</t>
        </is>
      </c>
      <c r="B57" s="8" t="inlineStr">
        <is>
          <t>B23</t>
        </is>
      </c>
      <c r="C57" s="8" t="inlineStr">
        <is>
          <t>22. Cash, savings, and investments</t>
        </is>
      </c>
      <c r="D57" s="8" t="inlineStr">
        <is>
          <t>Part II line 22 col B</t>
        </is>
      </c>
      <c r="E57" s="8" t="inlineStr">
        <is>
          <t>part_ii_balance_sheet.cash_savings_investments_eoy</t>
        </is>
      </c>
      <c r="F57" s="8" t="inlineStr">
        <is>
          <t>high</t>
        </is>
      </c>
      <c r="G57" s="9" t="n">
        <v>180887</v>
      </c>
    </row>
    <row r="58">
      <c r="A58" s="8" t="inlineStr">
        <is>
          <t>Form 990-EZ Parts I &amp; II</t>
        </is>
      </c>
      <c r="B58" s="8" t="inlineStr">
        <is>
          <t>C23</t>
        </is>
      </c>
      <c r="C58" s="8" t="inlineStr">
        <is>
          <t>22. Cash, savings, and investments</t>
        </is>
      </c>
      <c r="D58" s="8" t="inlineStr">
        <is>
          <t>Part II line 22 col B</t>
        </is>
      </c>
      <c r="E58" s="8" t="inlineStr">
        <is>
          <t>part_ii_balance_sheet.cash_savings_investments_eoy</t>
        </is>
      </c>
      <c r="F58" s="8" t="inlineStr">
        <is>
          <t>high</t>
        </is>
      </c>
      <c r="G58" s="9" t="n">
        <v>162888</v>
      </c>
    </row>
    <row r="59">
      <c r="A59" s="8" t="inlineStr">
        <is>
          <t>Form 990-EZ Parts I &amp; II</t>
        </is>
      </c>
      <c r="B59" s="8" t="inlineStr">
        <is>
          <t>D23</t>
        </is>
      </c>
      <c r="C59" s="8" t="inlineStr">
        <is>
          <t>22. Cash, savings, and investments</t>
        </is>
      </c>
      <c r="D59" s="8" t="inlineStr">
        <is>
          <t>Part II line 22 col B</t>
        </is>
      </c>
      <c r="E59" s="8" t="inlineStr">
        <is>
          <t>part_ii_balance_sheet.cash_savings_investments_eoy</t>
        </is>
      </c>
      <c r="F59" s="8" t="inlineStr">
        <is>
          <t>high</t>
        </is>
      </c>
      <c r="G59" s="9" t="n">
        <v>158608</v>
      </c>
    </row>
    <row r="60">
      <c r="A60" s="8" t="inlineStr">
        <is>
          <t>Form 990-EZ Parts I &amp; II</t>
        </is>
      </c>
      <c r="B60" s="8" t="inlineStr">
        <is>
          <t>E23</t>
        </is>
      </c>
      <c r="C60" s="8" t="inlineStr">
        <is>
          <t>22. Cash, savings, and investments</t>
        </is>
      </c>
      <c r="D60" s="8" t="inlineStr">
        <is>
          <t>Part II line 22 col B</t>
        </is>
      </c>
      <c r="E60" s="8" t="inlineStr">
        <is>
          <t>part_ii_balance_sheet.cash_savings_investments_eoy</t>
        </is>
      </c>
      <c r="F60" s="8" t="inlineStr">
        <is>
          <t>high</t>
        </is>
      </c>
      <c r="G60" s="9" t="n">
        <v>120845</v>
      </c>
    </row>
    <row r="61">
      <c r="A61" s="8" t="inlineStr">
        <is>
          <t>Form 990-EZ Parts I &amp; II</t>
        </is>
      </c>
      <c r="B61" s="8" t="inlineStr">
        <is>
          <t>F23</t>
        </is>
      </c>
      <c r="C61" s="8" t="inlineStr">
        <is>
          <t>22. Cash, savings, and investments</t>
        </is>
      </c>
      <c r="D61" s="8" t="inlineStr">
        <is>
          <t>Part II line 22 col B</t>
        </is>
      </c>
      <c r="E61" s="8" t="inlineStr">
        <is>
          <t>part_ii_balance_sheet.cash_savings_investments_eoy</t>
        </is>
      </c>
      <c r="F61" s="8" t="inlineStr">
        <is>
          <t>high</t>
        </is>
      </c>
      <c r="G61" s="9" t="n">
        <v>98220</v>
      </c>
    </row>
    <row r="62">
      <c r="A62" s="8" t="inlineStr">
        <is>
          <t>Form 990-EZ Parts I &amp; II</t>
        </is>
      </c>
      <c r="B62" s="8" t="inlineStr">
        <is>
          <t>B24</t>
        </is>
      </c>
      <c r="C62" s="8" t="inlineStr">
        <is>
          <t>24. Other assets</t>
        </is>
      </c>
      <c r="D62" s="8" t="inlineStr">
        <is>
          <t>Part II line 24 col B</t>
        </is>
      </c>
      <c r="E62" s="8" t="inlineStr">
        <is>
          <t>part_ii_balance_sheet.other_assets_eoy</t>
        </is>
      </c>
      <c r="F62" s="8" t="inlineStr">
        <is>
          <t>high</t>
        </is>
      </c>
      <c r="G62" s="9" t="n">
        <v>29928</v>
      </c>
    </row>
    <row r="63">
      <c r="A63" s="8" t="inlineStr">
        <is>
          <t>Form 990-EZ Parts I &amp; II</t>
        </is>
      </c>
      <c r="B63" s="8" t="inlineStr">
        <is>
          <t>C24</t>
        </is>
      </c>
      <c r="C63" s="8" t="inlineStr">
        <is>
          <t>24. Other assets</t>
        </is>
      </c>
      <c r="D63" s="8" t="inlineStr">
        <is>
          <t>Part II line 24 col B</t>
        </is>
      </c>
      <c r="E63" s="8" t="inlineStr">
        <is>
          <t>part_ii_balance_sheet.other_assets_eoy</t>
        </is>
      </c>
      <c r="F63" s="8" t="inlineStr">
        <is>
          <t>high</t>
        </is>
      </c>
      <c r="G63" s="9" t="n">
        <v>47364</v>
      </c>
    </row>
    <row r="64">
      <c r="A64" s="8" t="inlineStr">
        <is>
          <t>Form 990-EZ Parts I &amp; II</t>
        </is>
      </c>
      <c r="B64" s="8" t="inlineStr">
        <is>
          <t>D24</t>
        </is>
      </c>
      <c r="C64" s="8" t="inlineStr">
        <is>
          <t>24. Other assets</t>
        </is>
      </c>
      <c r="D64" s="8" t="inlineStr">
        <is>
          <t>Part II line 24 col B</t>
        </is>
      </c>
      <c r="E64" s="8" t="inlineStr">
        <is>
          <t>part_ii_balance_sheet.other_assets_eoy</t>
        </is>
      </c>
      <c r="F64" s="8" t="inlineStr">
        <is>
          <t>high</t>
        </is>
      </c>
      <c r="G64" s="9" t="n">
        <v>48747</v>
      </c>
    </row>
    <row r="65">
      <c r="A65" s="8" t="inlineStr">
        <is>
          <t>Form 990-EZ Parts I &amp; II</t>
        </is>
      </c>
      <c r="B65" s="8" t="inlineStr">
        <is>
          <t>E24</t>
        </is>
      </c>
      <c r="C65" s="8" t="inlineStr">
        <is>
          <t>24. Other assets</t>
        </is>
      </c>
      <c r="D65" s="8" t="inlineStr">
        <is>
          <t>Part II line 24 col B</t>
        </is>
      </c>
      <c r="E65" s="8" t="inlineStr">
        <is>
          <t>part_ii_balance_sheet.other_assets_eoy</t>
        </is>
      </c>
      <c r="F65" s="8" t="inlineStr">
        <is>
          <t>high</t>
        </is>
      </c>
      <c r="G65" s="9" t="n">
        <v>56181</v>
      </c>
    </row>
    <row r="66">
      <c r="A66" s="8" t="inlineStr">
        <is>
          <t>Form 990-EZ Parts I &amp; II</t>
        </is>
      </c>
      <c r="B66" s="8" t="inlineStr">
        <is>
          <t>F24</t>
        </is>
      </c>
      <c r="C66" s="8" t="inlineStr">
        <is>
          <t>24. Other assets</t>
        </is>
      </c>
      <c r="D66" s="8" t="inlineStr">
        <is>
          <t>Part II line 24 col B</t>
        </is>
      </c>
      <c r="E66" s="8" t="inlineStr">
        <is>
          <t>part_ii_balance_sheet.other_assets_eoy</t>
        </is>
      </c>
      <c r="F66" s="8" t="inlineStr">
        <is>
          <t>high</t>
        </is>
      </c>
      <c r="G66" s="9" t="n">
        <v>47516</v>
      </c>
    </row>
    <row r="67">
      <c r="A67" s="8" t="inlineStr">
        <is>
          <t>Form 990-EZ Parts I &amp; II</t>
        </is>
      </c>
      <c r="B67" s="8" t="inlineStr">
        <is>
          <t>B26</t>
        </is>
      </c>
      <c r="C67" s="8" t="inlineStr">
        <is>
          <t>26. Total liabilities</t>
        </is>
      </c>
      <c r="D67" s="8" t="inlineStr">
        <is>
          <t>Part II line 26 col B</t>
        </is>
      </c>
      <c r="E67" s="8" t="inlineStr">
        <is>
          <t>part_ii_balance_sheet.total_liabilities_eoy</t>
        </is>
      </c>
      <c r="F67" s="8" t="inlineStr">
        <is>
          <t>high</t>
        </is>
      </c>
      <c r="G67" s="9" t="n">
        <v>1508</v>
      </c>
    </row>
    <row r="68">
      <c r="A68" s="8" t="inlineStr">
        <is>
          <t>Form 990-EZ Parts I &amp; II</t>
        </is>
      </c>
      <c r="B68" s="8" t="inlineStr">
        <is>
          <t>C26</t>
        </is>
      </c>
      <c r="C68" s="8" t="inlineStr">
        <is>
          <t>26. Total liabilities</t>
        </is>
      </c>
      <c r="D68" s="8" t="inlineStr">
        <is>
          <t>Part II line 26 col B</t>
        </is>
      </c>
      <c r="E68" s="8" t="inlineStr">
        <is>
          <t>part_ii_balance_sheet.total_liabilities_eoy</t>
        </is>
      </c>
      <c r="F68" s="8" t="inlineStr">
        <is>
          <t>high</t>
        </is>
      </c>
      <c r="G68" s="9" t="n">
        <v>1502</v>
      </c>
    </row>
    <row r="69">
      <c r="A69" s="8" t="inlineStr">
        <is>
          <t>Form 990-EZ Parts I &amp; II</t>
        </is>
      </c>
      <c r="B69" s="8" t="inlineStr">
        <is>
          <t>D26</t>
        </is>
      </c>
      <c r="C69" s="8" t="inlineStr">
        <is>
          <t>26. Total liabilities</t>
        </is>
      </c>
      <c r="D69" s="8" t="inlineStr">
        <is>
          <t>Part II line 26 col B</t>
        </is>
      </c>
      <c r="E69" s="8" t="inlineStr">
        <is>
          <t>part_ii_balance_sheet.total_liabilities_eoy</t>
        </is>
      </c>
      <c r="F69" s="8" t="inlineStr">
        <is>
          <t>high</t>
        </is>
      </c>
      <c r="G69" s="9" t="n">
        <v>1525</v>
      </c>
    </row>
    <row r="70">
      <c r="A70" s="8" t="inlineStr">
        <is>
          <t>Form 990-EZ Parts I &amp; II</t>
        </is>
      </c>
      <c r="B70" s="8" t="inlineStr">
        <is>
          <t>E26</t>
        </is>
      </c>
      <c r="C70" s="8" t="inlineStr">
        <is>
          <t>26. Total liabilities</t>
        </is>
      </c>
      <c r="D70" s="8" t="inlineStr">
        <is>
          <t>Part II line 26 col B</t>
        </is>
      </c>
      <c r="E70" s="8" t="inlineStr">
        <is>
          <t>part_ii_balance_sheet.total_liabilities_eoy</t>
        </is>
      </c>
      <c r="F70" s="8" t="inlineStr">
        <is>
          <t>high</t>
        </is>
      </c>
      <c r="G70" s="9" t="n">
        <v>1503</v>
      </c>
    </row>
    <row r="71">
      <c r="A71" s="8" t="inlineStr">
        <is>
          <t>Form 990-EZ Parts I &amp; II</t>
        </is>
      </c>
      <c r="B71" s="8" t="inlineStr">
        <is>
          <t>B27</t>
        </is>
      </c>
      <c r="C71" s="8" t="inlineStr">
        <is>
          <t>27. Net assets or fund balances</t>
        </is>
      </c>
      <c r="D71" s="8" t="inlineStr">
        <is>
          <t>Part II line 27 col B</t>
        </is>
      </c>
      <c r="E71" s="8" t="inlineStr">
        <is>
          <t>part_ii_balance_sheet.net_assets_eoy</t>
        </is>
      </c>
      <c r="F71" s="8" t="inlineStr">
        <is>
          <t>high</t>
        </is>
      </c>
      <c r="G71" s="9" t="n">
        <v>209307</v>
      </c>
    </row>
    <row r="72">
      <c r="A72" s="8" t="inlineStr">
        <is>
          <t>Form 990-EZ Parts I &amp; II</t>
        </is>
      </c>
      <c r="B72" s="8" t="inlineStr">
        <is>
          <t>C27</t>
        </is>
      </c>
      <c r="C72" s="8" t="inlineStr">
        <is>
          <t>27. Net assets or fund balances</t>
        </is>
      </c>
      <c r="D72" s="8" t="inlineStr">
        <is>
          <t>Part II line 27 col B</t>
        </is>
      </c>
      <c r="E72" s="8" t="inlineStr">
        <is>
          <t>part_ii_balance_sheet.net_assets_eoy</t>
        </is>
      </c>
      <c r="F72" s="8" t="inlineStr">
        <is>
          <t>high</t>
        </is>
      </c>
      <c r="G72" s="9" t="n">
        <v>208750</v>
      </c>
    </row>
    <row r="73">
      <c r="A73" s="8" t="inlineStr">
        <is>
          <t>Form 990-EZ Parts I &amp; II</t>
        </is>
      </c>
      <c r="B73" s="8" t="inlineStr">
        <is>
          <t>D27</t>
        </is>
      </c>
      <c r="C73" s="8" t="inlineStr">
        <is>
          <t>27. Net assets or fund balances</t>
        </is>
      </c>
      <c r="D73" s="8" t="inlineStr">
        <is>
          <t>Part II line 27 col B</t>
        </is>
      </c>
      <c r="E73" s="8" t="inlineStr">
        <is>
          <t>part_ii_balance_sheet.net_assets_eoy</t>
        </is>
      </c>
      <c r="F73" s="8" t="inlineStr">
        <is>
          <t>high</t>
        </is>
      </c>
      <c r="G73" s="9" t="n">
        <v>205830</v>
      </c>
    </row>
    <row r="74">
      <c r="A74" s="8" t="inlineStr">
        <is>
          <t>Form 990-EZ Parts I &amp; II</t>
        </is>
      </c>
      <c r="B74" s="8" t="inlineStr">
        <is>
          <t>E27</t>
        </is>
      </c>
      <c r="C74" s="8" t="inlineStr">
        <is>
          <t>27. Net assets or fund balances</t>
        </is>
      </c>
      <c r="D74" s="8" t="inlineStr">
        <is>
          <t>Part II line 27 col B</t>
        </is>
      </c>
      <c r="E74" s="8" t="inlineStr">
        <is>
          <t>part_ii_balance_sheet.net_assets_eoy</t>
        </is>
      </c>
      <c r="F74" s="8" t="inlineStr">
        <is>
          <t>high</t>
        </is>
      </c>
      <c r="G74" s="9" t="n">
        <v>175523</v>
      </c>
    </row>
    <row r="75">
      <c r="A75" s="8" t="inlineStr">
        <is>
          <t>Form 990-EZ Parts I &amp; II</t>
        </is>
      </c>
      <c r="B75" s="8" t="inlineStr">
        <is>
          <t>F27</t>
        </is>
      </c>
      <c r="C75" s="8" t="inlineStr">
        <is>
          <t>27. Net assets or fund balances</t>
        </is>
      </c>
      <c r="D75" s="8" t="inlineStr">
        <is>
          <t>Part II line 27 col B</t>
        </is>
      </c>
      <c r="E75" s="8" t="inlineStr">
        <is>
          <t>part_ii_balance_sheet.net_assets_eoy</t>
        </is>
      </c>
      <c r="F75" s="8" t="inlineStr">
        <is>
          <t>high</t>
        </is>
      </c>
      <c r="G75" s="9" t="n">
        <v>145736</v>
      </c>
    </row>
    <row r="77">
      <c r="A77" s="42" t="inlineStr">
        <is>
          <t>C. Tie-out checks (filed vs computed; any nonzero variance is flagged red)</t>
        </is>
      </c>
      <c r="B77" s="7" t="n"/>
      <c r="C77" s="7" t="n"/>
      <c r="D77" s="7" t="n"/>
      <c r="E77" s="7" t="n"/>
      <c r="F77" s="7" t="n"/>
      <c r="G77" s="7" t="n"/>
      <c r="H77" s="7" t="n"/>
      <c r="I77" s="7" t="n"/>
      <c r="J77" s="7" t="n"/>
      <c r="K77" s="7" t="n"/>
    </row>
    <row r="78">
      <c r="A78" s="5" t="inlineStr">
        <is>
          <t>Tab</t>
        </is>
      </c>
      <c r="B78" s="5" t="inlineStr">
        <is>
          <t>Check</t>
        </is>
      </c>
      <c r="C78" s="5" t="inlineStr">
        <is>
          <t>Fiscal year</t>
        </is>
      </c>
      <c r="D78" s="5" t="inlineStr">
        <is>
          <t>Filed</t>
        </is>
      </c>
      <c r="E78" s="5" t="inlineStr">
        <is>
          <t>Computed</t>
        </is>
      </c>
      <c r="F78" s="5" t="inlineStr">
        <is>
          <t>Variance (computed - filed)</t>
        </is>
      </c>
    </row>
    <row r="79">
      <c r="A79" s="45" t="inlineStr">
        <is>
          <t>Form 990-EZ Parts I &amp; II</t>
        </is>
      </c>
      <c r="B79" s="45" t="inlineStr">
        <is>
          <t>17. Total expenses</t>
        </is>
      </c>
      <c r="C79" s="45" t="inlineStr">
        <is>
          <t>FY2021</t>
        </is>
      </c>
      <c r="D79" s="9" t="n">
        <v>88328</v>
      </c>
      <c r="E79" s="9">
        <f>'Form 990-EZ Parts I &amp; II'!B15</f>
        <v/>
      </c>
      <c r="F79" s="9">
        <f>E79-D79</f>
        <v/>
      </c>
    </row>
    <row r="80">
      <c r="A80" s="45" t="inlineStr">
        <is>
          <t>Form 990-EZ Parts I &amp; II</t>
        </is>
      </c>
      <c r="B80" s="45" t="inlineStr">
        <is>
          <t>17. Total expenses</t>
        </is>
      </c>
      <c r="C80" s="45" t="inlineStr">
        <is>
          <t>FY2022</t>
        </is>
      </c>
      <c r="D80" s="9" t="n">
        <v>100064</v>
      </c>
      <c r="E80" s="9">
        <f>'Form 990-EZ Parts I &amp; II'!C15</f>
        <v/>
      </c>
      <c r="F80" s="9">
        <f>E80-D80</f>
        <v/>
      </c>
    </row>
    <row r="81">
      <c r="A81" s="45" t="inlineStr">
        <is>
          <t>Form 990-EZ Parts I &amp; II</t>
        </is>
      </c>
      <c r="B81" s="45" t="inlineStr">
        <is>
          <t>17. Total expenses</t>
        </is>
      </c>
      <c r="C81" s="45" t="inlineStr">
        <is>
          <t>FY2023</t>
        </is>
      </c>
      <c r="D81" s="9" t="n">
        <v>95649</v>
      </c>
      <c r="E81" s="9">
        <f>'Form 990-EZ Parts I &amp; II'!D15</f>
        <v/>
      </c>
      <c r="F81" s="9">
        <f>E81-D81</f>
        <v/>
      </c>
    </row>
    <row r="82">
      <c r="A82" s="45" t="inlineStr">
        <is>
          <t>Form 990-EZ Parts I &amp; II</t>
        </is>
      </c>
      <c r="B82" s="45" t="inlineStr">
        <is>
          <t>17. Total expenses</t>
        </is>
      </c>
      <c r="C82" s="45" t="inlineStr">
        <is>
          <t>FY2024</t>
        </is>
      </c>
      <c r="D82" s="9" t="n">
        <v>113031</v>
      </c>
      <c r="E82" s="9">
        <f>'Form 990-EZ Parts I &amp; II'!E15</f>
        <v/>
      </c>
      <c r="F82" s="9">
        <f>E82-D82</f>
        <v/>
      </c>
    </row>
    <row r="83">
      <c r="A83" s="45" t="inlineStr">
        <is>
          <t>Form 990-EZ Parts I &amp; II</t>
        </is>
      </c>
      <c r="B83" s="45" t="inlineStr">
        <is>
          <t>17. Total expenses</t>
        </is>
      </c>
      <c r="C83" s="45" t="inlineStr">
        <is>
          <t>FY2025</t>
        </is>
      </c>
      <c r="D83" s="9" t="n">
        <v>131241</v>
      </c>
      <c r="E83" s="9">
        <f>'Form 990-EZ Parts I &amp; II'!F15</f>
        <v/>
      </c>
      <c r="F83" s="9">
        <f>E83-D83</f>
        <v/>
      </c>
    </row>
    <row r="84">
      <c r="A84" s="45" t="inlineStr">
        <is>
          <t>Form 990-EZ Parts I &amp; II</t>
        </is>
      </c>
      <c r="B84" s="45" t="inlineStr">
        <is>
          <t>21. Net assets or fund balances, end of year</t>
        </is>
      </c>
      <c r="C84" s="45" t="inlineStr">
        <is>
          <t>FY2021</t>
        </is>
      </c>
      <c r="D84" s="9" t="n">
        <v>209307</v>
      </c>
      <c r="E84" s="9">
        <f>'Form 990-EZ Parts I &amp; II'!B20</f>
        <v/>
      </c>
      <c r="F84" s="9">
        <f>E84-D84</f>
        <v/>
      </c>
    </row>
    <row r="85">
      <c r="A85" s="45" t="inlineStr">
        <is>
          <t>Form 990-EZ Parts I &amp; II</t>
        </is>
      </c>
      <c r="B85" s="45" t="inlineStr">
        <is>
          <t>21. Net assets or fund balances, end of year</t>
        </is>
      </c>
      <c r="C85" s="45" t="inlineStr">
        <is>
          <t>FY2022</t>
        </is>
      </c>
      <c r="D85" s="9" t="n">
        <v>208750</v>
      </c>
      <c r="E85" s="9">
        <f>'Form 990-EZ Parts I &amp; II'!C20</f>
        <v/>
      </c>
      <c r="F85" s="9">
        <f>E85-D85</f>
        <v/>
      </c>
    </row>
    <row r="86">
      <c r="A86" s="45" t="inlineStr">
        <is>
          <t>Form 990-EZ Parts I &amp; II</t>
        </is>
      </c>
      <c r="B86" s="45" t="inlineStr">
        <is>
          <t>21. Net assets or fund balances, end of year</t>
        </is>
      </c>
      <c r="C86" s="45" t="inlineStr">
        <is>
          <t>FY2023</t>
        </is>
      </c>
      <c r="D86" s="9" t="n">
        <v>205830</v>
      </c>
      <c r="E86" s="9">
        <f>'Form 990-EZ Parts I &amp; II'!D20</f>
        <v/>
      </c>
      <c r="F86" s="9">
        <f>E86-D86</f>
        <v/>
      </c>
    </row>
    <row r="87">
      <c r="A87" s="45" t="inlineStr">
        <is>
          <t>Form 990-EZ Parts I &amp; II</t>
        </is>
      </c>
      <c r="B87" s="45" t="inlineStr">
        <is>
          <t>21. Net assets or fund balances, end of year</t>
        </is>
      </c>
      <c r="C87" s="45" t="inlineStr">
        <is>
          <t>FY2024</t>
        </is>
      </c>
      <c r="D87" s="9" t="n">
        <v>175523</v>
      </c>
      <c r="E87" s="9">
        <f>'Form 990-EZ Parts I &amp; II'!E20</f>
        <v/>
      </c>
      <c r="F87" s="9">
        <f>E87-D87</f>
        <v/>
      </c>
    </row>
    <row r="88">
      <c r="A88" s="45" t="inlineStr">
        <is>
          <t>Form 990-EZ Parts I &amp; II</t>
        </is>
      </c>
      <c r="B88" s="45" t="inlineStr">
        <is>
          <t>21. Net assets or fund balances, end of year</t>
        </is>
      </c>
      <c r="C88" s="45" t="inlineStr">
        <is>
          <t>FY2025</t>
        </is>
      </c>
      <c r="D88" s="9" t="n">
        <v>145736</v>
      </c>
      <c r="E88" s="9">
        <f>'Form 990-EZ Parts I &amp; II'!F20</f>
        <v/>
      </c>
      <c r="F88" s="9">
        <f>E88-D88</f>
        <v/>
      </c>
    </row>
    <row r="89">
      <c r="A89" s="45" t="inlineStr">
        <is>
          <t>Form 990-EZ Parts I &amp; II</t>
        </is>
      </c>
      <c r="B89" s="45" t="inlineStr">
        <is>
          <t>25. Total assets</t>
        </is>
      </c>
      <c r="C89" s="45" t="inlineStr">
        <is>
          <t>FY2021</t>
        </is>
      </c>
      <c r="D89" s="9" t="n">
        <v>210815</v>
      </c>
      <c r="E89" s="9">
        <f>'Form 990-EZ Parts I &amp; II'!B25</f>
        <v/>
      </c>
      <c r="F89" s="9">
        <f>E89-D89</f>
        <v/>
      </c>
    </row>
    <row r="90">
      <c r="A90" s="45" t="inlineStr">
        <is>
          <t>Form 990-EZ Parts I &amp; II</t>
        </is>
      </c>
      <c r="B90" s="45" t="inlineStr">
        <is>
          <t>25. Total assets</t>
        </is>
      </c>
      <c r="C90" s="45" t="inlineStr">
        <is>
          <t>FY2022</t>
        </is>
      </c>
      <c r="D90" s="9" t="n">
        <v>210252</v>
      </c>
      <c r="E90" s="9">
        <f>'Form 990-EZ Parts I &amp; II'!C25</f>
        <v/>
      </c>
      <c r="F90" s="9">
        <f>E90-D90</f>
        <v/>
      </c>
    </row>
    <row r="91">
      <c r="A91" s="45" t="inlineStr">
        <is>
          <t>Form 990-EZ Parts I &amp; II</t>
        </is>
      </c>
      <c r="B91" s="45" t="inlineStr">
        <is>
          <t>25. Total assets</t>
        </is>
      </c>
      <c r="C91" s="45" t="inlineStr">
        <is>
          <t>FY2023</t>
        </is>
      </c>
      <c r="D91" s="9" t="n">
        <v>207355</v>
      </c>
      <c r="E91" s="9">
        <f>'Form 990-EZ Parts I &amp; II'!D25</f>
        <v/>
      </c>
      <c r="F91" s="9">
        <f>E91-D91</f>
        <v/>
      </c>
    </row>
    <row r="92">
      <c r="A92" s="45" t="inlineStr">
        <is>
          <t>Form 990-EZ Parts I &amp; II</t>
        </is>
      </c>
      <c r="B92" s="45" t="inlineStr">
        <is>
          <t>25. Total assets</t>
        </is>
      </c>
      <c r="C92" s="45" t="inlineStr">
        <is>
          <t>FY2024</t>
        </is>
      </c>
      <c r="D92" s="9" t="n">
        <v>177026</v>
      </c>
      <c r="E92" s="9">
        <f>'Form 990-EZ Parts I &amp; II'!E25</f>
        <v/>
      </c>
      <c r="F92" s="9">
        <f>E92-D92</f>
        <v/>
      </c>
    </row>
    <row r="93">
      <c r="A93" s="45" t="inlineStr">
        <is>
          <t>Form 990-EZ Parts I &amp; II</t>
        </is>
      </c>
      <c r="B93" s="45" t="inlineStr">
        <is>
          <t>25. Total assets</t>
        </is>
      </c>
      <c r="C93" s="45" t="inlineStr">
        <is>
          <t>FY2025</t>
        </is>
      </c>
      <c r="D93" s="9" t="n">
        <v>145736</v>
      </c>
      <c r="E93" s="9">
        <f>'Form 990-EZ Parts I &amp; II'!F25</f>
        <v/>
      </c>
      <c r="F93" s="9">
        <f>E93-D93</f>
        <v/>
      </c>
    </row>
    <row r="94">
      <c r="A94" s="45" t="inlineStr">
        <is>
          <t>Form 990-EZ Parts I &amp; II</t>
        </is>
      </c>
      <c r="B94" s="45" t="inlineStr">
        <is>
          <t>Balance sheet identity: line 25 = line 26 + line 27 (EOY)</t>
        </is>
      </c>
      <c r="C94" s="45" t="inlineStr">
        <is>
          <t>FY2021</t>
        </is>
      </c>
      <c r="D94" s="9">
        <f>'Form 990-EZ Parts I &amp; II'!B25</f>
        <v/>
      </c>
      <c r="E94" s="9">
        <f>SUM('Form 990-EZ Parts I &amp; II'!B26,'Form 990-EZ Parts I &amp; II'!B27)</f>
        <v/>
      </c>
      <c r="F94" s="9">
        <f>E94-D94</f>
        <v/>
      </c>
    </row>
    <row r="95">
      <c r="A95" s="45" t="inlineStr">
        <is>
          <t>Form 990-EZ Parts I &amp; II</t>
        </is>
      </c>
      <c r="B95" s="45" t="inlineStr">
        <is>
          <t>Balance sheet identity: line 25 = line 26 + line 27 (EOY)</t>
        </is>
      </c>
      <c r="C95" s="45" t="inlineStr">
        <is>
          <t>FY2022</t>
        </is>
      </c>
      <c r="D95" s="9">
        <f>'Form 990-EZ Parts I &amp; II'!C25</f>
        <v/>
      </c>
      <c r="E95" s="9">
        <f>SUM('Form 990-EZ Parts I &amp; II'!C26,'Form 990-EZ Parts I &amp; II'!C27)</f>
        <v/>
      </c>
      <c r="F95" s="9">
        <f>E95-D95</f>
        <v/>
      </c>
    </row>
    <row r="96">
      <c r="A96" s="45" t="inlineStr">
        <is>
          <t>Form 990-EZ Parts I &amp; II</t>
        </is>
      </c>
      <c r="B96" s="45" t="inlineStr">
        <is>
          <t>Balance sheet identity: line 25 = line 26 + line 27 (EOY)</t>
        </is>
      </c>
      <c r="C96" s="45" t="inlineStr">
        <is>
          <t>FY2023</t>
        </is>
      </c>
      <c r="D96" s="9">
        <f>'Form 990-EZ Parts I &amp; II'!D25</f>
        <v/>
      </c>
      <c r="E96" s="9">
        <f>SUM('Form 990-EZ Parts I &amp; II'!D26,'Form 990-EZ Parts I &amp; II'!D27)</f>
        <v/>
      </c>
      <c r="F96" s="9">
        <f>E96-D96</f>
        <v/>
      </c>
    </row>
    <row r="97">
      <c r="A97" s="45" t="inlineStr">
        <is>
          <t>Form 990-EZ Parts I &amp; II</t>
        </is>
      </c>
      <c r="B97" s="45" t="inlineStr">
        <is>
          <t>Balance sheet identity: line 25 = line 26 + line 27 (EOY)</t>
        </is>
      </c>
      <c r="C97" s="45" t="inlineStr">
        <is>
          <t>FY2024</t>
        </is>
      </c>
      <c r="D97" s="9">
        <f>'Form 990-EZ Parts I &amp; II'!E25</f>
        <v/>
      </c>
      <c r="E97" s="9">
        <f>SUM('Form 990-EZ Parts I &amp; II'!E26,'Form 990-EZ Parts I &amp; II'!E27)</f>
        <v/>
      </c>
      <c r="F97" s="9">
        <f>E97-D97</f>
        <v/>
      </c>
    </row>
    <row r="98">
      <c r="A98" s="45" t="inlineStr">
        <is>
          <t>Form 990-EZ Parts I &amp; II</t>
        </is>
      </c>
      <c r="B98" s="45" t="inlineStr">
        <is>
          <t>Balance sheet identity: line 25 = line 26 + line 27 (EOY)</t>
        </is>
      </c>
      <c r="C98" s="45" t="inlineStr">
        <is>
          <t>FY2025</t>
        </is>
      </c>
      <c r="D98" s="9">
        <f>'Form 990-EZ Parts I &amp; II'!F25</f>
        <v/>
      </c>
      <c r="E98" s="9">
        <f>SUM('Form 990-EZ Parts I &amp; II'!F26,'Form 990-EZ Parts I &amp; II'!F27)</f>
        <v/>
      </c>
      <c r="F98" s="9">
        <f>E98-D98</f>
        <v/>
      </c>
    </row>
    <row r="100">
      <c r="A100" s="42" t="inlineStr">
        <is>
          <t>D. Preparer / auditor trail (one row per fiscal year, as filed)</t>
        </is>
      </c>
      <c r="B100" s="7" t="n"/>
      <c r="C100" s="7" t="n"/>
      <c r="D100" s="7" t="n"/>
      <c r="E100" s="7" t="n"/>
      <c r="F100" s="7" t="n"/>
      <c r="G100" s="7" t="n"/>
      <c r="H100" s="7" t="n"/>
      <c r="I100" s="7" t="n"/>
      <c r="J100" s="7" t="n"/>
      <c r="K100" s="7" t="n"/>
    </row>
    <row r="101">
      <c r="A101" s="5" t="inlineStr">
        <is>
          <t>Fiscal year</t>
        </is>
      </c>
      <c r="B101" s="5" t="inlineStr">
        <is>
          <t>Paid preparer</t>
        </is>
      </c>
      <c r="C101" s="5" t="inlineStr">
        <is>
          <t>Preparer firm</t>
        </is>
      </c>
      <c r="D101" s="5" t="inlineStr">
        <is>
          <t>Independent auditor</t>
        </is>
      </c>
      <c r="E101" s="5" t="inlineStr">
        <is>
          <t>Citation</t>
        </is>
      </c>
    </row>
    <row r="102" ht="42" customHeight="1">
      <c r="A102" s="43" t="inlineStr">
        <is>
          <t>FY2021</t>
        </is>
      </c>
      <c r="B102" s="8" t="inlineStr">
        <is>
          <t>PAUL THOMAS CPA</t>
        </is>
      </c>
      <c r="C102" s="8" t="inlineStr">
        <is>
          <t>Jacobs &amp; Jacobs Accountancy Corporation</t>
        </is>
      </c>
      <c r="D102" s="46" t="inlineStr">
        <is>
          <t>not reported</t>
        </is>
      </c>
      <c r="E102" s="19" t="inlineStr">
        <is>
          <t>Form 990 Return Header, Paid Preparer block (return_header.preparer_person_name / preparer_firm_name); auditor: Part XII line 2 reports audited financial statements but does not name the firm.</t>
        </is>
      </c>
    </row>
    <row r="103" ht="42" customHeight="1">
      <c r="A103" s="43" t="inlineStr">
        <is>
          <t>FY2022</t>
        </is>
      </c>
      <c r="B103" s="8" t="inlineStr">
        <is>
          <t>PAUL THOMAS CPA</t>
        </is>
      </c>
      <c r="C103" s="8" t="inlineStr">
        <is>
          <t>Jacobs &amp; Jacobs Accountancy Corporation</t>
        </is>
      </c>
      <c r="D103" s="46" t="inlineStr">
        <is>
          <t>not reported</t>
        </is>
      </c>
      <c r="E103" s="19" t="inlineStr">
        <is>
          <t>Form 990 Return Header, Paid Preparer block (return_header.preparer_person_name / preparer_firm_name); auditor: Part XII line 2 reports audited financial statements but does not name the firm.</t>
        </is>
      </c>
    </row>
    <row r="104" ht="42" customHeight="1">
      <c r="A104" s="43" t="inlineStr">
        <is>
          <t>FY2023</t>
        </is>
      </c>
      <c r="B104" s="8" t="inlineStr">
        <is>
          <t>PAUL THOMAS CPA</t>
        </is>
      </c>
      <c r="C104" s="8" t="inlineStr">
        <is>
          <t>Jacobs &amp; Jacobs Accountancy Corporation</t>
        </is>
      </c>
      <c r="D104" s="46" t="inlineStr">
        <is>
          <t>not reported</t>
        </is>
      </c>
      <c r="E104" s="19" t="inlineStr">
        <is>
          <t>Form 990 Return Header, Paid Preparer block (return_header.preparer_person_name / preparer_firm_name); auditor: Part XII line 2 reports audited financial statements but does not name the firm.</t>
        </is>
      </c>
    </row>
    <row r="105" ht="42" customHeight="1">
      <c r="A105" s="43" t="inlineStr">
        <is>
          <t>FY2024</t>
        </is>
      </c>
      <c r="B105" s="8" t="inlineStr">
        <is>
          <t>PAUL THOMAS CPA</t>
        </is>
      </c>
      <c r="C105" s="8" t="inlineStr">
        <is>
          <t>Jacobs &amp; Jacobs Accountancy Corp</t>
        </is>
      </c>
      <c r="D105" s="46" t="inlineStr">
        <is>
          <t>not reported</t>
        </is>
      </c>
      <c r="E105" s="19" t="inlineStr">
        <is>
          <t>Form 990 Return Header, Paid Preparer block (return_header.preparer_person_name / preparer_firm_name); auditor: Part XII line 2 reports audited financial statements but does not name the firm.</t>
        </is>
      </c>
    </row>
    <row r="106" ht="42" customHeight="1">
      <c r="A106" s="43" t="inlineStr">
        <is>
          <t>FY2025</t>
        </is>
      </c>
      <c r="B106" s="8" t="inlineStr">
        <is>
          <t>PAUL THOMAS CPA</t>
        </is>
      </c>
      <c r="C106" s="8" t="inlineStr">
        <is>
          <t>Jacobs &amp; Jacobs Accountancy Corp</t>
        </is>
      </c>
      <c r="D106" s="46" t="inlineStr">
        <is>
          <t>not reported</t>
        </is>
      </c>
      <c r="E106" s="19" t="inlineStr">
        <is>
          <t>Form 990 Return Header, Paid Preparer block (return_header.preparer_person_name / preparer_firm_name); auditor: Part XII line 2 reports audited financial statements but does not name the firm.</t>
        </is>
      </c>
    </row>
    <row r="108" ht="42" customHeight="1">
      <c r="A10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08:K108"/>
    <mergeCell ref="A1:K1"/>
  </mergeCells>
  <conditionalFormatting sqref="F79:F98">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