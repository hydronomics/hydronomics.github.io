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2.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Water Operations" sheetId="20" state="visible" r:id="rId20"/>
    <sheet name="Anomaly Flags" sheetId="21" state="visible" r:id="rId21"/>
    <sheet name="Sources &amp; audit" sheetId="22" state="visible" r:id="rId22"/>
    <sheet name="Provenance" sheetId="23" state="visible" r:id="rId23"/>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3">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b val="1"/>
      <color rgb="007F6000"/>
      <sz val="10"/>
    </font>
    <font>
      <name val="Calibri"/>
      <i val="1"/>
      <color rgb="007F4F00"/>
      <sz val="10"/>
    </font>
  </fonts>
  <fills count="9">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1" fillId="7" borderId="1" applyAlignment="1" pivotButton="0" quotePrefix="0" xfId="0">
      <alignment horizontal="right"/>
    </xf>
    <xf numFmtId="1" fontId="11" fillId="7"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8" fillId="5" borderId="1" applyAlignment="1" pivotButton="0" quotePrefix="0" xfId="0">
      <alignment horizontal="right"/>
    </xf>
    <xf numFmtId="166" fontId="8" fillId="5" borderId="1" applyAlignment="1" pivotButton="0" quotePrefix="0" xfId="0">
      <alignment horizontal="right"/>
    </xf>
    <xf numFmtId="166" fontId="8" fillId="4" borderId="1" applyAlignment="1" pivotButton="0" quotePrefix="0" xfId="0">
      <alignment horizontal="right"/>
    </xf>
    <xf numFmtId="10" fontId="8" fillId="5" borderId="1" applyAlignment="1" pivotButton="0" quotePrefix="0" xfId="0">
      <alignment horizontal="right"/>
    </xf>
    <xf numFmtId="2" fontId="8" fillId="5" borderId="1" applyAlignment="1" pivotButton="0" quotePrefix="0" xfId="0">
      <alignment horizontal="right"/>
    </xf>
    <xf numFmtId="0" fontId="8"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6" fillId="0" borderId="1" pivotButton="0" quotePrefix="0" xfId="0"/>
    <xf numFmtId="0" fontId="12" fillId="8" borderId="1" applyAlignment="1" pivotButton="0" quotePrefix="0" xfId="0">
      <alignment horizontal="left" vertical="top" wrapText="1"/>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Hydronomics anomaly flagger</author>
  </authors>
  <commentList>
    <comment ref="F19" authorId="0" shapeId="0">
      <text>
        <t>Documented anomaly (auto-flagged): FY2024 total expenses swing. See the Anomaly Flags tab for the what, why, and source.</t>
      </text>
    </comment>
  </commentList>
</comments>
</file>

<file path=xl/comments/comment2.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Las Flores Water Company</t>
        </is>
      </c>
    </row>
    <row r="2">
      <c r="A2" s="2" t="inlineStr">
        <is>
          <t>Financial Summary - multi-year overview (USD)</t>
        </is>
      </c>
    </row>
    <row r="3">
      <c r="A3" s="2" t="inlineStr">
        <is>
          <t>Entity ID: cawc_0028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825066</v>
      </c>
      <c r="C10" s="9" t="n">
        <v>794539</v>
      </c>
      <c r="D10" s="9" t="n">
        <v>428697</v>
      </c>
      <c r="E10" s="9" t="n">
        <v>686016</v>
      </c>
      <c r="F10" s="9" t="n">
        <v>1804118</v>
      </c>
    </row>
    <row r="11">
      <c r="A11" s="8" t="inlineStr">
        <is>
          <t xml:space="preserve">    Total expenses</t>
        </is>
      </c>
      <c r="B11" s="9" t="n">
        <v>586276</v>
      </c>
      <c r="C11" s="9" t="n">
        <v>618727</v>
      </c>
      <c r="D11" s="9" t="n">
        <v>633790</v>
      </c>
      <c r="E11" s="9" t="n">
        <v>647062</v>
      </c>
      <c r="F11" s="9" t="n">
        <v>2629920</v>
      </c>
    </row>
    <row r="12">
      <c r="A12" s="10" t="inlineStr">
        <is>
          <t xml:space="preserve">    Net income</t>
        </is>
      </c>
      <c r="B12" s="11" t="n">
        <v>238790</v>
      </c>
      <c r="C12" s="11" t="n">
        <v>175812</v>
      </c>
      <c r="D12" s="11" t="n">
        <v>-205093</v>
      </c>
      <c r="E12" s="11" t="n">
        <v>38954</v>
      </c>
      <c r="F12" s="11" t="n">
        <v>-825802</v>
      </c>
    </row>
    <row r="14">
      <c r="A14" s="6" t="inlineStr">
        <is>
          <t>Financial position (USD, end of year)</t>
        </is>
      </c>
      <c r="B14" s="7" t="n"/>
      <c r="C14" s="7" t="n"/>
      <c r="D14" s="7" t="n"/>
      <c r="E14" s="7" t="n"/>
      <c r="F14" s="7" t="n"/>
    </row>
    <row r="15">
      <c r="A15" s="8" t="inlineStr">
        <is>
          <t xml:space="preserve">    Total assets</t>
        </is>
      </c>
      <c r="B15" s="9" t="n">
        <v>3638049</v>
      </c>
      <c r="C15" s="9" t="n">
        <v>3765834</v>
      </c>
      <c r="D15" s="9" t="n">
        <v>3523963</v>
      </c>
      <c r="E15" s="9" t="n">
        <v>3436963</v>
      </c>
      <c r="F15" s="9" t="n">
        <v>3271181</v>
      </c>
    </row>
    <row r="16">
      <c r="A16" s="8" t="inlineStr">
        <is>
          <t xml:space="preserve">    Total liabilities</t>
        </is>
      </c>
      <c r="B16" s="9" t="n">
        <v>393607</v>
      </c>
      <c r="C16" s="9" t="n">
        <v>345580</v>
      </c>
      <c r="D16" s="9" t="n">
        <v>308802</v>
      </c>
      <c r="E16" s="9" t="n">
        <v>182848</v>
      </c>
      <c r="F16" s="9" t="n">
        <v>499075</v>
      </c>
    </row>
    <row r="17">
      <c r="A17" s="10" t="inlineStr">
        <is>
          <t xml:space="preserve">    Net assets</t>
        </is>
      </c>
      <c r="B17" s="11" t="n">
        <v>3244442</v>
      </c>
      <c r="C17" s="11" t="n">
        <v>3420254</v>
      </c>
      <c r="D17" s="11" t="n">
        <v>3215161</v>
      </c>
      <c r="E17" s="11" t="n">
        <v>3254115</v>
      </c>
      <c r="F17" s="11" t="n">
        <v>2772106</v>
      </c>
    </row>
    <row r="19">
      <c r="A19" s="6" t="inlineStr">
        <is>
          <t>Headline ratios</t>
        </is>
      </c>
      <c r="B19" s="7" t="n"/>
      <c r="C19" s="7" t="n"/>
      <c r="D19" s="7" t="n"/>
      <c r="E19" s="7" t="n"/>
      <c r="F19" s="7" t="n"/>
    </row>
    <row r="20">
      <c r="A20" s="8" t="inlineStr">
        <is>
          <t xml:space="preserve">    Operating margin</t>
        </is>
      </c>
      <c r="B20" s="12" t="n">
        <v>0.2894192707007682</v>
      </c>
      <c r="C20" s="12" t="n">
        <v>0.2212754817573461</v>
      </c>
      <c r="D20" s="12" t="n">
        <v>-0.4784101591567004</v>
      </c>
      <c r="E20" s="12" t="n">
        <v>0.056782932176509</v>
      </c>
      <c r="F20" s="12" t="n">
        <v>-0.4577317004763546</v>
      </c>
    </row>
    <row r="21">
      <c r="A21" s="8" t="inlineStr">
        <is>
          <t xml:space="preserve">    Revenue growth (YoY)</t>
        </is>
      </c>
      <c r="B21" s="12" t="n">
        <v>0.3655873045297459</v>
      </c>
      <c r="C21" s="12" t="n">
        <v>-0.03699946428528142</v>
      </c>
      <c r="D21" s="12" t="n">
        <v>-0.4604456168923111</v>
      </c>
      <c r="E21" s="12" t="n">
        <v>0.6002351311065858</v>
      </c>
      <c r="F21" s="12" t="n">
        <v>1.629848283421961</v>
      </c>
    </row>
    <row r="22">
      <c r="A22" s="8" t="inlineStr">
        <is>
          <t xml:space="preserve">    Return on assets</t>
        </is>
      </c>
      <c r="B22" s="12" t="n">
        <v>0.06563682897069281</v>
      </c>
      <c r="C22" s="12" t="n">
        <v>0.04668607272651954</v>
      </c>
      <c r="D22" s="12" t="n">
        <v>-0.0581995327419726</v>
      </c>
      <c r="E22" s="12" t="n">
        <v>0.01133384327966289</v>
      </c>
      <c r="F22" s="12" t="n">
        <v>-0.2524476633974091</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Las Flores Water Company</t>
        </is>
      </c>
    </row>
    <row r="2">
      <c r="A2" s="2" t="inlineStr">
        <is>
          <t>Financial Statements - income statement, balance sheet, cash flow, member income test (USD)</t>
        </is>
      </c>
    </row>
    <row r="3">
      <c r="A3" s="2" t="inlineStr">
        <is>
          <t>Entity ID: cawc_0028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c r="C8" s="9" t="n"/>
      <c r="D8" s="9" t="n"/>
      <c r="E8" s="9" t="n"/>
      <c r="F8" s="9" t="n">
        <v>2143394</v>
      </c>
    </row>
    <row r="9">
      <c r="A9" s="8" t="inlineStr">
        <is>
          <t xml:space="preserve">    Investment income</t>
        </is>
      </c>
      <c r="B9" s="9" t="n">
        <v>5641</v>
      </c>
      <c r="C9" s="9" t="n">
        <v>480</v>
      </c>
      <c r="D9" s="9" t="n">
        <v>38</v>
      </c>
      <c r="E9" s="9" t="n">
        <v>241</v>
      </c>
      <c r="F9" s="9" t="n">
        <v>4516</v>
      </c>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c r="F13" s="9" t="n"/>
    </row>
    <row r="14">
      <c r="A14" s="10" t="inlineStr">
        <is>
          <t>Total revenue</t>
        </is>
      </c>
      <c r="B14" s="11" t="n">
        <v>825066</v>
      </c>
      <c r="C14" s="11" t="n">
        <v>794539</v>
      </c>
      <c r="D14" s="11" t="n">
        <v>428697</v>
      </c>
      <c r="E14" s="11" t="n">
        <v>686016</v>
      </c>
      <c r="F14" s="11" t="n">
        <v>1804118</v>
      </c>
    </row>
    <row r="16">
      <c r="A16" s="6" t="inlineStr">
        <is>
          <t>Expenses</t>
        </is>
      </c>
      <c r="B16" s="7" t="n"/>
      <c r="C16" s="7" t="n"/>
      <c r="D16" s="7" t="n"/>
      <c r="E16" s="7" t="n"/>
      <c r="F16" s="7" t="n"/>
    </row>
    <row r="17">
      <c r="A17" s="8" t="inlineStr">
        <is>
          <t xml:space="preserve">    Depreciation</t>
        </is>
      </c>
      <c r="B17" s="9" t="n">
        <v>35458</v>
      </c>
      <c r="C17" s="9" t="n">
        <v>34249</v>
      </c>
      <c r="D17" s="9" t="n"/>
      <c r="E17" s="9" t="n"/>
      <c r="F17" s="9" t="n"/>
    </row>
    <row r="18">
      <c r="A18" s="8" t="inlineStr">
        <is>
          <t xml:space="preserve">    Interest expense</t>
        </is>
      </c>
      <c r="B18" s="9" t="n">
        <v>14994</v>
      </c>
      <c r="C18" s="9" t="n">
        <v>12844</v>
      </c>
      <c r="D18" s="9" t="n">
        <v>10619</v>
      </c>
      <c r="E18" s="9" t="n">
        <v>8058</v>
      </c>
      <c r="F18" s="9" t="n">
        <v>5442</v>
      </c>
    </row>
    <row r="19">
      <c r="A19" s="10" t="inlineStr">
        <is>
          <t>Total expenses</t>
        </is>
      </c>
      <c r="B19" s="11" t="n">
        <v>586276</v>
      </c>
      <c r="C19" s="11" t="n">
        <v>618727</v>
      </c>
      <c r="D19" s="11" t="n">
        <v>633790</v>
      </c>
      <c r="E19" s="11" t="n">
        <v>647062</v>
      </c>
      <c r="F19" s="11" t="n">
        <v>2629920</v>
      </c>
    </row>
    <row r="21">
      <c r="A21" s="10" t="inlineStr">
        <is>
          <t>Net income</t>
        </is>
      </c>
      <c r="B21" s="11" t="n">
        <v>238790</v>
      </c>
      <c r="C21" s="11" t="n">
        <v>175812</v>
      </c>
      <c r="D21" s="11" t="n">
        <v>-205093</v>
      </c>
      <c r="E21" s="11" t="n">
        <v>38954</v>
      </c>
      <c r="F21" s="11" t="n">
        <v>-825802</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1164839</v>
      </c>
      <c r="C27" s="9" t="n">
        <v>1310794</v>
      </c>
      <c r="D27" s="9" t="n">
        <v>1135670</v>
      </c>
      <c r="E27" s="9" t="n">
        <v>1162140</v>
      </c>
      <c r="F27" s="9" t="n">
        <v>870462</v>
      </c>
    </row>
    <row r="28">
      <c r="A28" s="8" t="inlineStr">
        <is>
          <t xml:space="preserve">    Savings &amp; temporary investments</t>
        </is>
      </c>
      <c r="B28" s="9" t="n"/>
      <c r="C28" s="9" t="n"/>
      <c r="D28" s="9" t="n"/>
      <c r="E28" s="9" t="n"/>
      <c r="F28" s="9" t="n"/>
    </row>
    <row r="29">
      <c r="A29" s="8" t="inlineStr">
        <is>
          <t xml:space="preserve">    Accounts receivable</t>
        </is>
      </c>
      <c r="B29" s="9" t="n">
        <v>191583</v>
      </c>
      <c r="C29" s="9" t="n">
        <v>191723</v>
      </c>
      <c r="D29" s="9" t="n">
        <v>170902</v>
      </c>
      <c r="E29" s="9" t="n">
        <v>188316</v>
      </c>
      <c r="F29" s="9" t="n">
        <v>243983</v>
      </c>
    </row>
    <row r="30">
      <c r="A30" s="8" t="inlineStr">
        <is>
          <t xml:space="preserve">    Inventories</t>
        </is>
      </c>
      <c r="B30" s="9" t="n">
        <v>30711</v>
      </c>
      <c r="C30" s="9" t="n">
        <v>36240</v>
      </c>
      <c r="D30" s="9" t="n">
        <v>26378</v>
      </c>
      <c r="E30" s="9" t="n">
        <v>24087</v>
      </c>
      <c r="F30" s="9" t="n">
        <v>24087</v>
      </c>
    </row>
    <row r="31">
      <c r="A31" s="8" t="inlineStr">
        <is>
          <t xml:space="preserve">    Prepaid expenses</t>
        </is>
      </c>
      <c r="B31" s="9" t="n">
        <v>8832</v>
      </c>
      <c r="C31" s="9" t="n">
        <v>10270</v>
      </c>
      <c r="D31" s="9" t="n">
        <v>11524</v>
      </c>
      <c r="E31" s="9" t="n">
        <v>12797</v>
      </c>
      <c r="F31" s="9" t="n">
        <v>11128</v>
      </c>
    </row>
    <row r="32">
      <c r="A32" s="8" t="inlineStr">
        <is>
          <t xml:space="preserve">    Property, plant &amp; equipment (gross)</t>
        </is>
      </c>
      <c r="B32" s="9" t="n">
        <v>4816674</v>
      </c>
      <c r="C32" s="9" t="n">
        <v>4970178</v>
      </c>
      <c r="D32" s="9" t="n">
        <v>5115683</v>
      </c>
      <c r="E32" s="9" t="n">
        <v>5131583</v>
      </c>
      <c r="F32" s="9" t="n">
        <v>5393249</v>
      </c>
    </row>
    <row r="33">
      <c r="A33" s="8" t="inlineStr">
        <is>
          <t xml:space="preserve">    Less: accumulated depreciation</t>
        </is>
      </c>
      <c r="B33" s="9" t="n">
        <v>-2575590</v>
      </c>
      <c r="C33" s="9" t="n">
        <v>-2754371</v>
      </c>
      <c r="D33" s="9" t="n">
        <v>-2937194</v>
      </c>
      <c r="E33" s="9" t="n">
        <v>-3082960</v>
      </c>
      <c r="F33" s="9" t="n">
        <v>-3272728</v>
      </c>
    </row>
    <row r="34">
      <c r="A34" s="10" t="inlineStr">
        <is>
          <t xml:space="preserve">    Net property, plant &amp; equipment</t>
        </is>
      </c>
      <c r="B34" s="11" t="n">
        <v>2241084</v>
      </c>
      <c r="C34" s="11" t="n">
        <v>2215807</v>
      </c>
      <c r="D34" s="11" t="n">
        <v>2178489</v>
      </c>
      <c r="E34" s="11" t="n">
        <v>2048623</v>
      </c>
      <c r="F34" s="11" t="n">
        <v>2120521</v>
      </c>
    </row>
    <row r="35">
      <c r="A35" s="10" t="inlineStr">
        <is>
          <t>Total assets</t>
        </is>
      </c>
      <c r="B35" s="11" t="n">
        <v>3638049</v>
      </c>
      <c r="C35" s="11" t="n">
        <v>3765834</v>
      </c>
      <c r="D35" s="11" t="n">
        <v>3523963</v>
      </c>
      <c r="E35" s="11" t="n">
        <v>3436963</v>
      </c>
      <c r="F35" s="11" t="n">
        <v>3271181</v>
      </c>
    </row>
    <row r="37">
      <c r="A37" s="6" t="inlineStr">
        <is>
          <t>Liabilities</t>
        </is>
      </c>
      <c r="B37" s="7" t="n"/>
      <c r="C37" s="7" t="n"/>
      <c r="D37" s="7" t="n"/>
      <c r="E37" s="7" t="n"/>
      <c r="F37" s="7" t="n"/>
    </row>
    <row r="38">
      <c r="A38" s="8" t="inlineStr">
        <is>
          <t xml:space="preserve">    Accounts payable</t>
        </is>
      </c>
      <c r="B38" s="9" t="n">
        <v>113577</v>
      </c>
      <c r="C38" s="9" t="n">
        <v>112122</v>
      </c>
      <c r="D38" s="9" t="n">
        <v>124210</v>
      </c>
      <c r="E38" s="9" t="n">
        <v>49672</v>
      </c>
      <c r="F38" s="9" t="n">
        <v>40046</v>
      </c>
    </row>
    <row r="39">
      <c r="A39" s="8" t="inlineStr">
        <is>
          <t xml:space="preserve">    Mortgages &amp; notes payable</t>
        </is>
      </c>
      <c r="B39" s="9" t="n">
        <v>280030</v>
      </c>
      <c r="C39" s="9" t="n">
        <v>233458</v>
      </c>
      <c r="D39" s="9" t="n">
        <v>184592</v>
      </c>
      <c r="E39" s="9" t="n">
        <v>133176</v>
      </c>
      <c r="F39" s="9" t="n">
        <v>79201</v>
      </c>
    </row>
    <row r="40">
      <c r="A40" s="10" t="inlineStr">
        <is>
          <t>Total liabilities</t>
        </is>
      </c>
      <c r="B40" s="11" t="n">
        <v>393607</v>
      </c>
      <c r="C40" s="11" t="n">
        <v>345580</v>
      </c>
      <c r="D40" s="11" t="n">
        <v>308802</v>
      </c>
      <c r="E40" s="11" t="n">
        <v>182848</v>
      </c>
      <c r="F40" s="11" t="n">
        <v>499075</v>
      </c>
    </row>
    <row r="42">
      <c r="A42" s="6" t="inlineStr">
        <is>
          <t>Net Assets / Equity</t>
        </is>
      </c>
      <c r="B42" s="7" t="n"/>
      <c r="C42" s="7" t="n"/>
      <c r="D42" s="7" t="n"/>
      <c r="E42" s="7" t="n"/>
      <c r="F42" s="7" t="n"/>
    </row>
    <row r="43">
      <c r="A43" s="8" t="inlineStr">
        <is>
          <t xml:space="preserve">    Capital stock</t>
        </is>
      </c>
      <c r="B43" s="9" t="n">
        <v>366675</v>
      </c>
      <c r="C43" s="9" t="n">
        <v>366675</v>
      </c>
      <c r="D43" s="9" t="n">
        <v>366675</v>
      </c>
      <c r="E43" s="9" t="n">
        <v>366675</v>
      </c>
      <c r="F43" s="9" t="n">
        <v>366675</v>
      </c>
    </row>
    <row r="44">
      <c r="A44" s="8" t="inlineStr">
        <is>
          <t xml:space="preserve">    Paid-in capital</t>
        </is>
      </c>
      <c r="B44" s="9" t="n">
        <v>240002</v>
      </c>
      <c r="C44" s="9" t="n">
        <v>240002</v>
      </c>
      <c r="D44" s="9" t="n">
        <v>240002</v>
      </c>
      <c r="E44" s="9" t="n">
        <v>240002</v>
      </c>
      <c r="F44" s="9" t="n">
        <v>240002</v>
      </c>
    </row>
    <row r="45">
      <c r="A45" s="8" t="inlineStr">
        <is>
          <t xml:space="preserve">    Retained earnings</t>
        </is>
      </c>
      <c r="B45" s="9" t="n">
        <v>2637765</v>
      </c>
      <c r="C45" s="9" t="n">
        <v>2813577</v>
      </c>
      <c r="D45" s="9" t="n">
        <v>2608484</v>
      </c>
      <c r="E45" s="9" t="n">
        <v>2647438</v>
      </c>
      <c r="F45" s="9" t="n">
        <v>2165429</v>
      </c>
    </row>
    <row r="46">
      <c r="A46" s="10" t="inlineStr">
        <is>
          <t>Net assets</t>
        </is>
      </c>
      <c r="B46" s="11" t="n">
        <v>3244442</v>
      </c>
      <c r="C46" s="11" t="n">
        <v>3420254</v>
      </c>
      <c r="D46" s="11" t="n">
        <v>3215161</v>
      </c>
      <c r="E46" s="11" t="n">
        <v>3254115</v>
      </c>
      <c r="F46" s="11" t="n">
        <v>2772106</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238790</v>
      </c>
      <c r="C52" s="9" t="n">
        <v>175812</v>
      </c>
      <c r="D52" s="9" t="n">
        <v>-205093</v>
      </c>
      <c r="E52" s="9" t="n">
        <v>38954</v>
      </c>
      <c r="F52" s="9" t="n">
        <v>-825802</v>
      </c>
    </row>
    <row r="53">
      <c r="A53" s="8" t="inlineStr">
        <is>
          <t xml:space="preserve">    + Depreciation (reported)</t>
        </is>
      </c>
      <c r="B53" s="9" t="n">
        <v>35458</v>
      </c>
      <c r="C53" s="9" t="n">
        <v>34249</v>
      </c>
      <c r="D53" s="9" t="n"/>
      <c r="E53" s="9" t="n"/>
      <c r="F53" s="9" t="n"/>
    </row>
    <row r="54">
      <c r="A54" s="8" t="inlineStr">
        <is>
          <t xml:space="preserve">    − Δ Accounts receivable</t>
        </is>
      </c>
      <c r="B54" s="9" t="n"/>
      <c r="C54" s="9" t="n">
        <v>-140</v>
      </c>
      <c r="D54" s="9" t="n">
        <v>20821</v>
      </c>
      <c r="E54" s="9" t="n">
        <v>-17414</v>
      </c>
      <c r="F54" s="9" t="n">
        <v>-55667</v>
      </c>
    </row>
    <row r="55">
      <c r="A55" s="8" t="inlineStr">
        <is>
          <t xml:space="preserve">    − Δ Inventories</t>
        </is>
      </c>
      <c r="B55" s="9" t="n"/>
      <c r="C55" s="9" t="n">
        <v>-5529</v>
      </c>
      <c r="D55" s="9" t="n">
        <v>9862</v>
      </c>
      <c r="E55" s="9" t="n">
        <v>2291</v>
      </c>
      <c r="F55" s="9" t="n">
        <v>0</v>
      </c>
    </row>
    <row r="56">
      <c r="A56" s="8" t="inlineStr">
        <is>
          <t xml:space="preserve">    − Δ Prepaid expenses</t>
        </is>
      </c>
      <c r="B56" s="9" t="n"/>
      <c r="C56" s="9" t="n">
        <v>-1438</v>
      </c>
      <c r="D56" s="9" t="n">
        <v>-1254</v>
      </c>
      <c r="E56" s="9" t="n">
        <v>-1273</v>
      </c>
      <c r="F56" s="9" t="n">
        <v>1669</v>
      </c>
    </row>
    <row r="57">
      <c r="A57" s="8" t="inlineStr">
        <is>
          <t xml:space="preserve">    + Δ Accounts payable</t>
        </is>
      </c>
      <c r="B57" s="9" t="n"/>
      <c r="C57" s="9" t="n">
        <v>-1455</v>
      </c>
      <c r="D57" s="9" t="n">
        <v>12088</v>
      </c>
      <c r="E57" s="9" t="n">
        <v>-74538</v>
      </c>
      <c r="F57" s="9" t="n">
        <v>-9626</v>
      </c>
    </row>
    <row r="58">
      <c r="A58" s="10" t="inlineStr">
        <is>
          <t xml:space="preserve">    Operating cash flow proxy</t>
        </is>
      </c>
      <c r="B58" s="11" t="n"/>
      <c r="C58" s="11" t="n">
        <v>201499</v>
      </c>
      <c r="D58" s="11" t="n">
        <v>-163576</v>
      </c>
      <c r="E58" s="11" t="n">
        <v>-51980</v>
      </c>
      <c r="F58" s="11" t="n">
        <v>-889426</v>
      </c>
    </row>
    <row r="60">
      <c r="A60" s="6" t="inlineStr">
        <is>
          <t>Investing</t>
        </is>
      </c>
      <c r="B60" s="7" t="n"/>
      <c r="C60" s="7" t="n"/>
      <c r="D60" s="7" t="n"/>
      <c r="E60" s="7" t="n"/>
      <c r="F60" s="7" t="n"/>
    </row>
    <row r="61">
      <c r="A61" s="8" t="inlineStr">
        <is>
          <t xml:space="preserve">    − Δ PP&amp;E gross (capex proxy)</t>
        </is>
      </c>
      <c r="B61" s="9" t="n"/>
      <c r="C61" s="9" t="n">
        <v>-153504</v>
      </c>
      <c r="D61" s="9" t="n">
        <v>-145505</v>
      </c>
      <c r="E61" s="9" t="n">
        <v>-15900</v>
      </c>
      <c r="F61" s="9" t="n">
        <v>-261666</v>
      </c>
    </row>
    <row r="63">
      <c r="A63" s="6" t="inlineStr">
        <is>
          <t>Financing</t>
        </is>
      </c>
      <c r="B63" s="7" t="n"/>
      <c r="C63" s="7" t="n"/>
      <c r="D63" s="7" t="n"/>
      <c r="E63" s="7" t="n"/>
      <c r="F63" s="7" t="n"/>
    </row>
    <row r="64">
      <c r="A64" s="8" t="inlineStr">
        <is>
          <t xml:space="preserve">    Δ Mortgages &amp; notes payable</t>
        </is>
      </c>
      <c r="B64" s="9" t="n"/>
      <c r="C64" s="9" t="n">
        <v>-46572</v>
      </c>
      <c r="D64" s="9" t="n">
        <v>-48866</v>
      </c>
      <c r="E64" s="9" t="n">
        <v>-51416</v>
      </c>
      <c r="F64" s="9" t="n">
        <v>-53975</v>
      </c>
    </row>
    <row r="66">
      <c r="A66" s="6" t="inlineStr">
        <is>
          <t>Reconciliation</t>
        </is>
      </c>
      <c r="B66" s="7" t="n"/>
      <c r="C66" s="7" t="n"/>
      <c r="D66" s="7" t="n"/>
      <c r="E66" s="7" t="n"/>
      <c r="F66" s="7" t="n"/>
    </row>
    <row r="67">
      <c r="A67" s="10" t="inlineStr">
        <is>
          <t xml:space="preserve">    Δ Cash + temp. investments (actual)</t>
        </is>
      </c>
      <c r="B67" s="11" t="n"/>
      <c r="C67" s="11" t="n">
        <v>145955</v>
      </c>
      <c r="D67" s="11" t="n">
        <v>-175124</v>
      </c>
      <c r="E67" s="11" t="n">
        <v>26470</v>
      </c>
      <c r="F67" s="11" t="n">
        <v>-291678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2023684</v>
      </c>
      <c r="C73" s="9" t="n">
        <v>2020897</v>
      </c>
      <c r="D73" s="9" t="n">
        <v>1878158</v>
      </c>
      <c r="E73" s="9" t="n">
        <v>1734237</v>
      </c>
      <c r="F73" s="9" t="n">
        <v>2143394</v>
      </c>
    </row>
    <row r="74">
      <c r="A74" s="8" t="inlineStr">
        <is>
          <t xml:space="preserve">    11b. Gross income from other sources</t>
        </is>
      </c>
      <c r="B74" s="9" t="n">
        <v>38898</v>
      </c>
      <c r="C74" s="9" t="n">
        <v>34637</v>
      </c>
      <c r="D74" s="9" t="n">
        <v>38</v>
      </c>
      <c r="E74" s="9" t="n">
        <v>55851</v>
      </c>
      <c r="F74" s="9" t="n">
        <v>4516</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Las Flores Water Company</t>
        </is>
      </c>
    </row>
    <row r="2">
      <c r="A2" s="2" t="inlineStr">
        <is>
          <t>Balance Sheet - as reported (USD, end of year)</t>
        </is>
      </c>
    </row>
    <row r="3">
      <c r="A3" s="2" t="inlineStr">
        <is>
          <t>Entity ID: cawc_0028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1164839</v>
      </c>
      <c r="C7" s="9" t="n">
        <v>1310794</v>
      </c>
      <c r="D7" s="9" t="n">
        <v>1135670</v>
      </c>
      <c r="E7" s="9" t="n">
        <v>1162140</v>
      </c>
      <c r="F7" s="9" t="n">
        <v>870462</v>
      </c>
    </row>
    <row r="8">
      <c r="A8" s="8" t="inlineStr">
        <is>
          <t xml:space="preserve">    Savings &amp; temporary investments</t>
        </is>
      </c>
      <c r="B8" s="9" t="n"/>
      <c r="C8" s="9" t="n"/>
      <c r="D8" s="9" t="n"/>
      <c r="E8" s="9" t="n"/>
      <c r="F8" s="9" t="n"/>
    </row>
    <row r="9">
      <c r="A9" s="8" t="inlineStr">
        <is>
          <t xml:space="preserve">    Accounts receivable</t>
        </is>
      </c>
      <c r="B9" s="9" t="n">
        <v>191583</v>
      </c>
      <c r="C9" s="9" t="n">
        <v>191723</v>
      </c>
      <c r="D9" s="9" t="n">
        <v>170902</v>
      </c>
      <c r="E9" s="9" t="n">
        <v>188316</v>
      </c>
      <c r="F9" s="9" t="n">
        <v>243983</v>
      </c>
    </row>
    <row r="10">
      <c r="A10" s="8" t="inlineStr">
        <is>
          <t xml:space="preserve">    Inventories</t>
        </is>
      </c>
      <c r="B10" s="9" t="n">
        <v>30711</v>
      </c>
      <c r="C10" s="9" t="n">
        <v>36240</v>
      </c>
      <c r="D10" s="9" t="n">
        <v>26378</v>
      </c>
      <c r="E10" s="9" t="n">
        <v>24087</v>
      </c>
      <c r="F10" s="9" t="n">
        <v>24087</v>
      </c>
    </row>
    <row r="11">
      <c r="A11" s="8" t="inlineStr">
        <is>
          <t xml:space="preserve">    Prepaid expenses</t>
        </is>
      </c>
      <c r="B11" s="9" t="n">
        <v>8832</v>
      </c>
      <c r="C11" s="9" t="n">
        <v>10270</v>
      </c>
      <c r="D11" s="9" t="n">
        <v>11524</v>
      </c>
      <c r="E11" s="9" t="n">
        <v>12797</v>
      </c>
      <c r="F11" s="9" t="n">
        <v>11128</v>
      </c>
    </row>
    <row r="12">
      <c r="A12" s="8" t="inlineStr">
        <is>
          <t xml:space="preserve">    Property, plant &amp; equipment (gross)</t>
        </is>
      </c>
      <c r="B12" s="9" t="n">
        <v>4816674</v>
      </c>
      <c r="C12" s="9" t="n">
        <v>4970178</v>
      </c>
      <c r="D12" s="9" t="n">
        <v>5115683</v>
      </c>
      <c r="E12" s="9" t="n">
        <v>5131583</v>
      </c>
      <c r="F12" s="9" t="n">
        <v>5393249</v>
      </c>
    </row>
    <row r="13">
      <c r="A13" s="8" t="inlineStr">
        <is>
          <t xml:space="preserve">    Less: accumulated depreciation</t>
        </is>
      </c>
      <c r="B13" s="9" t="n">
        <v>-2575590</v>
      </c>
      <c r="C13" s="9" t="n">
        <v>-2754371</v>
      </c>
      <c r="D13" s="9" t="n">
        <v>-2937194</v>
      </c>
      <c r="E13" s="9" t="n">
        <v>-3082960</v>
      </c>
      <c r="F13" s="9" t="n">
        <v>-3272728</v>
      </c>
    </row>
    <row r="14">
      <c r="A14" s="10" t="inlineStr">
        <is>
          <t xml:space="preserve">    Net property, plant &amp; equipment</t>
        </is>
      </c>
      <c r="B14" s="11" t="n">
        <v>2241084</v>
      </c>
      <c r="C14" s="11" t="n">
        <v>2215807</v>
      </c>
      <c r="D14" s="11" t="n">
        <v>2178489</v>
      </c>
      <c r="E14" s="11" t="n">
        <v>2048623</v>
      </c>
      <c r="F14" s="11" t="n">
        <v>2120521</v>
      </c>
    </row>
    <row r="15">
      <c r="A15" s="10" t="inlineStr">
        <is>
          <t>Total assets</t>
        </is>
      </c>
      <c r="B15" s="11" t="n">
        <v>3638049</v>
      </c>
      <c r="C15" s="11" t="n">
        <v>3765834</v>
      </c>
      <c r="D15" s="11" t="n">
        <v>3523963</v>
      </c>
      <c r="E15" s="11" t="n">
        <v>3436963</v>
      </c>
      <c r="F15" s="11" t="n">
        <v>3271181</v>
      </c>
    </row>
    <row r="17">
      <c r="A17" s="6" t="inlineStr">
        <is>
          <t>Liabilities</t>
        </is>
      </c>
      <c r="B17" s="7" t="n"/>
      <c r="C17" s="7" t="n"/>
      <c r="D17" s="7" t="n"/>
      <c r="E17" s="7" t="n"/>
      <c r="F17" s="7" t="n"/>
    </row>
    <row r="18">
      <c r="A18" s="8" t="inlineStr">
        <is>
          <t xml:space="preserve">    Accounts payable</t>
        </is>
      </c>
      <c r="B18" s="9" t="n">
        <v>113577</v>
      </c>
      <c r="C18" s="9" t="n">
        <v>112122</v>
      </c>
      <c r="D18" s="9" t="n">
        <v>124210</v>
      </c>
      <c r="E18" s="9" t="n">
        <v>49672</v>
      </c>
      <c r="F18" s="9" t="n">
        <v>40046</v>
      </c>
    </row>
    <row r="19">
      <c r="A19" s="8" t="inlineStr">
        <is>
          <t xml:space="preserve">    Mortgages &amp; notes payable</t>
        </is>
      </c>
      <c r="B19" s="9" t="n">
        <v>280030</v>
      </c>
      <c r="C19" s="9" t="n">
        <v>233458</v>
      </c>
      <c r="D19" s="9" t="n">
        <v>184592</v>
      </c>
      <c r="E19" s="9" t="n">
        <v>133176</v>
      </c>
      <c r="F19" s="9" t="n">
        <v>79201</v>
      </c>
    </row>
    <row r="20">
      <c r="A20" s="10" t="inlineStr">
        <is>
          <t>Total liabilities</t>
        </is>
      </c>
      <c r="B20" s="11" t="n">
        <v>393607</v>
      </c>
      <c r="C20" s="11" t="n">
        <v>345580</v>
      </c>
      <c r="D20" s="11" t="n">
        <v>308802</v>
      </c>
      <c r="E20" s="11" t="n">
        <v>182848</v>
      </c>
      <c r="F20" s="11" t="n">
        <v>499075</v>
      </c>
    </row>
    <row r="22">
      <c r="A22" s="6" t="inlineStr">
        <is>
          <t>Net Assets / Equity</t>
        </is>
      </c>
      <c r="B22" s="7" t="n"/>
      <c r="C22" s="7" t="n"/>
      <c r="D22" s="7" t="n"/>
      <c r="E22" s="7" t="n"/>
      <c r="F22" s="7" t="n"/>
    </row>
    <row r="23">
      <c r="A23" s="8" t="inlineStr">
        <is>
          <t xml:space="preserve">    Capital stock</t>
        </is>
      </c>
      <c r="B23" s="9" t="n">
        <v>366675</v>
      </c>
      <c r="C23" s="9" t="n">
        <v>366675</v>
      </c>
      <c r="D23" s="9" t="n">
        <v>366675</v>
      </c>
      <c r="E23" s="9" t="n">
        <v>366675</v>
      </c>
      <c r="F23" s="9" t="n">
        <v>366675</v>
      </c>
    </row>
    <row r="24">
      <c r="A24" s="8" t="inlineStr">
        <is>
          <t xml:space="preserve">    Paid-in capital</t>
        </is>
      </c>
      <c r="B24" s="9" t="n">
        <v>240002</v>
      </c>
      <c r="C24" s="9" t="n">
        <v>240002</v>
      </c>
      <c r="D24" s="9" t="n">
        <v>240002</v>
      </c>
      <c r="E24" s="9" t="n">
        <v>240002</v>
      </c>
      <c r="F24" s="9" t="n">
        <v>240002</v>
      </c>
    </row>
    <row r="25">
      <c r="A25" s="8" t="inlineStr">
        <is>
          <t xml:space="preserve">    Retained earnings</t>
        </is>
      </c>
      <c r="B25" s="9" t="n">
        <v>2637765</v>
      </c>
      <c r="C25" s="9" t="n">
        <v>2813577</v>
      </c>
      <c r="D25" s="9" t="n">
        <v>2608484</v>
      </c>
      <c r="E25" s="9" t="n">
        <v>2647438</v>
      </c>
      <c r="F25" s="9" t="n">
        <v>2165429</v>
      </c>
    </row>
    <row r="26">
      <c r="A26" s="10" t="inlineStr">
        <is>
          <t>Net assets</t>
        </is>
      </c>
      <c r="B26" s="11" t="n">
        <v>3244442</v>
      </c>
      <c r="C26" s="11" t="n">
        <v>3420254</v>
      </c>
      <c r="D26" s="11" t="n">
        <v>3215161</v>
      </c>
      <c r="E26" s="11" t="n">
        <v>3254115</v>
      </c>
      <c r="F26" s="11" t="n">
        <v>2772106</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Las Flores Water Company</t>
        </is>
      </c>
    </row>
    <row r="2">
      <c r="A2" s="2" t="inlineStr">
        <is>
          <t>Officers, Directors &amp; Contractors - Form 990 Part VII (FY2024; USD)</t>
        </is>
      </c>
    </row>
    <row r="3">
      <c r="A3" s="2" t="inlineStr">
        <is>
          <t>Entity ID: cawc_0028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 BEDNARSKI</t>
        </is>
      </c>
      <c r="B7" s="8" t="inlineStr">
        <is>
          <t>PRES.</t>
        </is>
      </c>
      <c r="C7" s="9" t="n">
        <v>0</v>
      </c>
      <c r="D7" s="9" t="n">
        <v>0</v>
      </c>
      <c r="E7" s="9" t="n">
        <v>0</v>
      </c>
      <c r="F7" s="9" t="n">
        <v>0</v>
      </c>
    </row>
    <row r="8">
      <c r="A8" s="17" t="inlineStr">
        <is>
          <t>G BRYANT</t>
        </is>
      </c>
      <c r="B8" s="17" t="inlineStr">
        <is>
          <t>SECR</t>
        </is>
      </c>
      <c r="C8" s="18" t="n">
        <v>900</v>
      </c>
      <c r="D8" s="18" t="n">
        <v>0</v>
      </c>
      <c r="E8" s="18" t="n">
        <v>0</v>
      </c>
      <c r="F8" s="18" t="n">
        <v>900</v>
      </c>
    </row>
    <row r="9">
      <c r="A9" s="17" t="inlineStr">
        <is>
          <t>M SPIETH</t>
        </is>
      </c>
      <c r="B9" s="17" t="inlineStr">
        <is>
          <t>TREAS</t>
        </is>
      </c>
      <c r="C9" s="18" t="n">
        <v>900</v>
      </c>
      <c r="D9" s="18" t="n">
        <v>0</v>
      </c>
      <c r="E9" s="18" t="n">
        <v>0</v>
      </c>
      <c r="F9" s="18" t="n">
        <v>900</v>
      </c>
    </row>
    <row r="10">
      <c r="A10" s="8" t="inlineStr">
        <is>
          <t>D MOSHER</t>
        </is>
      </c>
      <c r="B10" s="8" t="inlineStr">
        <is>
          <t>DIR.</t>
        </is>
      </c>
      <c r="C10" s="9" t="n">
        <v>0</v>
      </c>
      <c r="D10" s="9" t="n">
        <v>0</v>
      </c>
      <c r="E10" s="9" t="n">
        <v>0</v>
      </c>
      <c r="F10" s="9" t="n">
        <v>0</v>
      </c>
    </row>
    <row r="11">
      <c r="A11" s="8" t="inlineStr">
        <is>
          <t>HA NGUYEN</t>
        </is>
      </c>
      <c r="B11" s="8" t="inlineStr">
        <is>
          <t>DIR.</t>
        </is>
      </c>
      <c r="C11" s="9" t="n">
        <v>900</v>
      </c>
      <c r="D11" s="9" t="n">
        <v>0</v>
      </c>
      <c r="E11" s="9" t="n">
        <v>0</v>
      </c>
      <c r="F11" s="9" t="n">
        <v>900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Las Flores Water Company</t>
        </is>
      </c>
    </row>
    <row r="2">
      <c r="A2" s="2" t="inlineStr">
        <is>
          <t>Revenue - Form 990 Part VIII (USD)</t>
        </is>
      </c>
    </row>
    <row r="3">
      <c r="A3" s="2" t="inlineStr">
        <is>
          <t>Entity ID: cawc_0028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9" t="inlineStr">
        <is>
          <t>not reported</t>
        </is>
      </c>
      <c r="C7" s="19" t="inlineStr">
        <is>
          <t>not reported</t>
        </is>
      </c>
      <c r="D7" s="19" t="inlineStr">
        <is>
          <t>not reported</t>
        </is>
      </c>
      <c r="E7" s="19" t="inlineStr">
        <is>
          <t>not reported</t>
        </is>
      </c>
      <c r="F7" s="19" t="inlineStr">
        <is>
          <t>not reported</t>
        </is>
      </c>
    </row>
    <row r="8">
      <c r="A8" s="8" t="inlineStr">
        <is>
          <t xml:space="preserve">    2g. Total program service revenue</t>
        </is>
      </c>
      <c r="B8" s="19" t="inlineStr">
        <is>
          <t>not reported</t>
        </is>
      </c>
      <c r="C8" s="19" t="inlineStr">
        <is>
          <t>not reported</t>
        </is>
      </c>
      <c r="D8" s="19" t="inlineStr">
        <is>
          <t>not reported</t>
        </is>
      </c>
      <c r="E8" s="19" t="inlineStr">
        <is>
          <t>not reported</t>
        </is>
      </c>
      <c r="F8" s="9" t="n">
        <v>2143394</v>
      </c>
    </row>
    <row r="9">
      <c r="A9" s="8" t="inlineStr">
        <is>
          <t xml:space="preserve">    3. Investment income</t>
        </is>
      </c>
      <c r="B9" s="9" t="n">
        <v>5641</v>
      </c>
      <c r="C9" s="9" t="n">
        <v>480</v>
      </c>
      <c r="D9" s="9" t="n">
        <v>38</v>
      </c>
      <c r="E9" s="9" t="n">
        <v>241</v>
      </c>
      <c r="F9" s="9" t="n">
        <v>4516</v>
      </c>
    </row>
    <row r="10">
      <c r="A10" s="8" t="inlineStr">
        <is>
          <t xml:space="preserve">    6d. Net rental income</t>
        </is>
      </c>
      <c r="B10" s="19" t="inlineStr">
        <is>
          <t>not reported</t>
        </is>
      </c>
      <c r="C10" s="19" t="inlineStr">
        <is>
          <t>not reported</t>
        </is>
      </c>
      <c r="D10" s="19" t="inlineStr">
        <is>
          <t>not reported</t>
        </is>
      </c>
      <c r="E10" s="19" t="inlineStr">
        <is>
          <t>not reported</t>
        </is>
      </c>
      <c r="F10" s="19" t="inlineStr">
        <is>
          <t>not reported</t>
        </is>
      </c>
    </row>
    <row r="11">
      <c r="A11" s="8" t="inlineStr">
        <is>
          <t xml:space="preserve">    7d. Net gain/(loss) from investment sales</t>
        </is>
      </c>
      <c r="B11" s="19" t="inlineStr">
        <is>
          <t>not reported</t>
        </is>
      </c>
      <c r="C11" s="19" t="inlineStr">
        <is>
          <t>not reported</t>
        </is>
      </c>
      <c r="D11" s="19" t="inlineStr">
        <is>
          <t>not reported</t>
        </is>
      </c>
      <c r="E11" s="19" t="inlineStr">
        <is>
          <t>not reported</t>
        </is>
      </c>
      <c r="F11" s="19" t="inlineStr">
        <is>
          <t>not reported</t>
        </is>
      </c>
    </row>
    <row r="12">
      <c r="A12" s="8" t="inlineStr">
        <is>
          <t xml:space="preserve">    11e. Other revenue</t>
        </is>
      </c>
      <c r="B12" s="19" t="inlineStr">
        <is>
          <t>not reported</t>
        </is>
      </c>
      <c r="C12" s="19" t="inlineStr">
        <is>
          <t>not reported</t>
        </is>
      </c>
      <c r="D12" s="19" t="inlineStr">
        <is>
          <t>not reported</t>
        </is>
      </c>
      <c r="E12" s="19" t="inlineStr">
        <is>
          <t>not reported</t>
        </is>
      </c>
      <c r="F12" s="19"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POTABLE WATER</t>
        </is>
      </c>
      <c r="B17" s="8" t="inlineStr">
        <is>
          <t>221000</t>
        </is>
      </c>
      <c r="C17" s="9" t="n">
        <v>2143394</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Las Flores Water Company</t>
        </is>
      </c>
    </row>
    <row r="2">
      <c r="A2" s="2" t="inlineStr">
        <is>
          <t>Statement of Functional Expenses - Form 990 Part IX (USD)</t>
        </is>
      </c>
    </row>
    <row r="3">
      <c r="A3" s="2" t="inlineStr">
        <is>
          <t>Entity ID: cawc_0028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5. Compensation of current officers, directors, trustees</t>
        </is>
      </c>
      <c r="B7" s="9" t="n">
        <v>2475</v>
      </c>
      <c r="C7" s="9" t="n">
        <v>1800</v>
      </c>
      <c r="D7" s="19" t="inlineStr">
        <is>
          <t>not reported</t>
        </is>
      </c>
      <c r="E7" s="19" t="inlineStr">
        <is>
          <t>not reported</t>
        </is>
      </c>
      <c r="F7" s="19" t="inlineStr">
        <is>
          <t>not reported</t>
        </is>
      </c>
    </row>
    <row r="8">
      <c r="A8" s="8" t="inlineStr">
        <is>
          <t xml:space="preserve">    6. Compensation to disqualified persons</t>
        </is>
      </c>
      <c r="B8" s="9" t="n">
        <v>233214</v>
      </c>
      <c r="C8" s="9" t="n">
        <v>261029</v>
      </c>
      <c r="D8" s="19" t="inlineStr">
        <is>
          <t>not reported</t>
        </is>
      </c>
      <c r="E8" s="19" t="inlineStr">
        <is>
          <t>not reported</t>
        </is>
      </c>
      <c r="F8" s="19" t="inlineStr">
        <is>
          <t>not reported</t>
        </is>
      </c>
    </row>
    <row r="9">
      <c r="A9" s="8" t="inlineStr">
        <is>
          <t xml:space="preserve">    7. Other salaries and wages</t>
        </is>
      </c>
      <c r="B9" s="19" t="inlineStr">
        <is>
          <t>not reported</t>
        </is>
      </c>
      <c r="C9" s="19" t="inlineStr">
        <is>
          <t>not reported</t>
        </is>
      </c>
      <c r="D9" s="9" t="n">
        <v>261345</v>
      </c>
      <c r="E9" s="9" t="n">
        <v>302579</v>
      </c>
      <c r="F9" s="9" t="n">
        <v>327718</v>
      </c>
    </row>
    <row r="10">
      <c r="A10" s="8" t="inlineStr">
        <is>
          <t xml:space="preserve">    8. Pension plan accruals and contributions</t>
        </is>
      </c>
      <c r="B10" s="9" t="n">
        <v>22491</v>
      </c>
      <c r="C10" s="9" t="n">
        <v>23257</v>
      </c>
      <c r="D10" s="9" t="n">
        <v>19996</v>
      </c>
      <c r="E10" s="9" t="n">
        <v>21065</v>
      </c>
      <c r="F10" s="9" t="n">
        <v>27096</v>
      </c>
    </row>
    <row r="11">
      <c r="A11" s="8" t="inlineStr">
        <is>
          <t xml:space="preserve">    10. Payroll taxes</t>
        </is>
      </c>
      <c r="B11" s="9" t="n">
        <v>34442</v>
      </c>
      <c r="C11" s="9" t="n">
        <v>20910</v>
      </c>
      <c r="D11" s="9" t="n">
        <v>19110</v>
      </c>
      <c r="E11" s="9" t="n">
        <v>12704</v>
      </c>
      <c r="F11" s="9" t="n">
        <v>34539</v>
      </c>
    </row>
    <row r="12">
      <c r="A12" s="8" t="inlineStr">
        <is>
          <t xml:space="preserve">    11g. Fees for services: other</t>
        </is>
      </c>
      <c r="B12" s="9" t="n">
        <v>15785</v>
      </c>
      <c r="C12" s="9" t="n">
        <v>36869</v>
      </c>
      <c r="D12" s="9" t="n">
        <v>60670</v>
      </c>
      <c r="E12" s="9" t="n">
        <v>15640</v>
      </c>
      <c r="F12" s="9" t="n">
        <v>171293</v>
      </c>
    </row>
    <row r="13">
      <c r="A13" s="8" t="inlineStr">
        <is>
          <t xml:space="preserve">    13. Office expenses</t>
        </is>
      </c>
      <c r="B13" s="9" t="n">
        <v>8351</v>
      </c>
      <c r="C13" s="9" t="n">
        <v>47943</v>
      </c>
      <c r="D13" s="9" t="n">
        <v>9672</v>
      </c>
      <c r="E13" s="9" t="n">
        <v>9579</v>
      </c>
      <c r="F13" s="9" t="n">
        <v>9827</v>
      </c>
    </row>
    <row r="14">
      <c r="A14" s="8" t="inlineStr">
        <is>
          <t xml:space="preserve">    16. Occupancy</t>
        </is>
      </c>
      <c r="B14" s="19" t="inlineStr">
        <is>
          <t>not reported</t>
        </is>
      </c>
      <c r="C14" s="19" t="inlineStr">
        <is>
          <t>not reported</t>
        </is>
      </c>
      <c r="D14" s="9" t="n">
        <v>28216</v>
      </c>
      <c r="E14" s="9" t="n">
        <v>29016</v>
      </c>
      <c r="F14" s="9" t="n">
        <v>9460</v>
      </c>
    </row>
    <row r="15">
      <c r="A15" s="8" t="inlineStr">
        <is>
          <t xml:space="preserve">    20. Interest</t>
        </is>
      </c>
      <c r="B15" s="9" t="n">
        <v>14994</v>
      </c>
      <c r="C15" s="9" t="n">
        <v>12844</v>
      </c>
      <c r="D15" s="9" t="n">
        <v>10619</v>
      </c>
      <c r="E15" s="9" t="n">
        <v>8058</v>
      </c>
      <c r="F15" s="9" t="n">
        <v>5442</v>
      </c>
    </row>
    <row r="16">
      <c r="A16" s="8" t="inlineStr">
        <is>
          <t xml:space="preserve">    22. Depreciation, depletion, and amortization</t>
        </is>
      </c>
      <c r="B16" s="9" t="n">
        <v>35458</v>
      </c>
      <c r="C16" s="9" t="n">
        <v>34249</v>
      </c>
      <c r="D16" s="19" t="inlineStr">
        <is>
          <t>not reported</t>
        </is>
      </c>
      <c r="E16" s="19" t="inlineStr">
        <is>
          <t>not reported</t>
        </is>
      </c>
      <c r="F16" s="19" t="inlineStr">
        <is>
          <t>not reported</t>
        </is>
      </c>
    </row>
    <row r="17">
      <c r="A17" s="8" t="inlineStr">
        <is>
          <t xml:space="preserve">    23. Insurance</t>
        </is>
      </c>
      <c r="B17" s="9" t="n">
        <v>126313</v>
      </c>
      <c r="C17" s="9" t="n">
        <v>144216</v>
      </c>
      <c r="D17" s="9" t="n">
        <v>142943</v>
      </c>
      <c r="E17" s="9" t="n">
        <v>148442</v>
      </c>
      <c r="F17" s="9" t="n">
        <v>164891</v>
      </c>
    </row>
    <row r="18">
      <c r="A18" s="8" t="inlineStr">
        <is>
          <t xml:space="preserve">    24. REPAIRS &amp; MAINTENANCE</t>
        </is>
      </c>
      <c r="B18" s="9" t="n">
        <v>64873</v>
      </c>
      <c r="C18" s="19" t="inlineStr">
        <is>
          <t>not reported</t>
        </is>
      </c>
      <c r="D18" s="19" t="inlineStr">
        <is>
          <t>not reported</t>
        </is>
      </c>
      <c r="E18" s="19" t="inlineStr">
        <is>
          <t>not reported</t>
        </is>
      </c>
      <c r="F18" s="19" t="inlineStr">
        <is>
          <t>not reported</t>
        </is>
      </c>
    </row>
    <row r="19">
      <c r="A19" s="8" t="inlineStr">
        <is>
          <t xml:space="preserve">    24. GENERAL MEMBER EXPENSE</t>
        </is>
      </c>
      <c r="B19" s="9" t="n">
        <v>17478</v>
      </c>
      <c r="C19" s="9" t="n">
        <v>25978</v>
      </c>
      <c r="D19" s="9" t="n">
        <v>26871</v>
      </c>
      <c r="E19" s="9" t="n">
        <v>34053</v>
      </c>
      <c r="F19" s="9" t="n">
        <v>35850</v>
      </c>
    </row>
    <row r="20">
      <c r="A20" s="8" t="inlineStr">
        <is>
          <t xml:space="preserve">    24. POSTAGE</t>
        </is>
      </c>
      <c r="B20" s="9" t="n">
        <v>9602</v>
      </c>
      <c r="C20" s="9" t="n">
        <v>8832</v>
      </c>
      <c r="D20" s="9" t="n">
        <v>8791</v>
      </c>
      <c r="E20" s="19" t="inlineStr">
        <is>
          <t>not reported</t>
        </is>
      </c>
      <c r="F20" s="19" t="inlineStr">
        <is>
          <t>not reported</t>
        </is>
      </c>
    </row>
    <row r="21">
      <c r="A21" s="8" t="inlineStr">
        <is>
          <t xml:space="preserve">    24. PROPERTY TAX, CA TAX</t>
        </is>
      </c>
      <c r="B21" s="9" t="n">
        <v>800</v>
      </c>
      <c r="C21" s="19" t="inlineStr">
        <is>
          <t>not reported</t>
        </is>
      </c>
      <c r="D21" s="19" t="inlineStr">
        <is>
          <t>not reported</t>
        </is>
      </c>
      <c r="E21" s="19" t="inlineStr">
        <is>
          <t>not reported</t>
        </is>
      </c>
      <c r="F21" s="19" t="inlineStr">
        <is>
          <t>not reported</t>
        </is>
      </c>
    </row>
    <row r="22">
      <c r="A22" s="8" t="inlineStr">
        <is>
          <t xml:space="preserve">    24. CA TAX</t>
        </is>
      </c>
      <c r="B22" s="19" t="inlineStr">
        <is>
          <t>not reported</t>
        </is>
      </c>
      <c r="C22" s="9" t="n">
        <v>800</v>
      </c>
      <c r="D22" s="9" t="n">
        <v>800</v>
      </c>
      <c r="E22" s="9" t="n">
        <v>800</v>
      </c>
      <c r="F22" s="19" t="inlineStr">
        <is>
          <t>not reported</t>
        </is>
      </c>
    </row>
    <row r="23">
      <c r="A23" s="8" t="inlineStr">
        <is>
          <t xml:space="preserve">    24. REPAIRS</t>
        </is>
      </c>
      <c r="B23" s="19" t="inlineStr">
        <is>
          <t>not reported</t>
        </is>
      </c>
      <c r="C23" s="19" t="inlineStr">
        <is>
          <t>not reported</t>
        </is>
      </c>
      <c r="D23" s="9" t="n">
        <v>44757</v>
      </c>
      <c r="E23" s="9" t="n">
        <v>46560</v>
      </c>
      <c r="F23" s="9" t="n">
        <v>56051</v>
      </c>
    </row>
    <row r="24">
      <c r="A24" s="8" t="inlineStr">
        <is>
          <t xml:space="preserve">    24. SUPPLIES</t>
        </is>
      </c>
      <c r="B24" s="19" t="inlineStr">
        <is>
          <t>not reported</t>
        </is>
      </c>
      <c r="C24" s="19" t="inlineStr">
        <is>
          <t>not reported</t>
        </is>
      </c>
      <c r="D24" s="19" t="inlineStr">
        <is>
          <t>not reported</t>
        </is>
      </c>
      <c r="E24" s="9" t="n">
        <v>18566</v>
      </c>
      <c r="F24" s="9" t="n">
        <v>19153</v>
      </c>
    </row>
    <row r="25">
      <c r="A25" s="8" t="inlineStr">
        <is>
          <t xml:space="preserve">    24. ALL COST OF SUPPLYING W</t>
        </is>
      </c>
      <c r="B25" s="19" t="inlineStr">
        <is>
          <t>not reported</t>
        </is>
      </c>
      <c r="C25" s="19" t="inlineStr">
        <is>
          <t>not reported</t>
        </is>
      </c>
      <c r="D25" s="19" t="inlineStr">
        <is>
          <t>not reported</t>
        </is>
      </c>
      <c r="E25" s="19" t="inlineStr">
        <is>
          <t>not reported</t>
        </is>
      </c>
      <c r="F25" s="9" t="n">
        <v>1768600</v>
      </c>
    </row>
    <row r="26">
      <c r="A26" s="8" t="inlineStr">
        <is>
          <t xml:space="preserve">    24e. All other expenses</t>
        </is>
      </c>
      <c r="B26" s="19" t="inlineStr">
        <is>
          <t>not reported</t>
        </is>
      </c>
      <c r="C26" s="19" t="inlineStr">
        <is>
          <t>not reported</t>
        </is>
      </c>
      <c r="D26" s="19" t="inlineStr">
        <is>
          <t>not reported</t>
        </is>
      </c>
      <c r="E26" s="19" t="inlineStr">
        <is>
          <t>not reported</t>
        </is>
      </c>
      <c r="F26" s="19" t="inlineStr">
        <is>
          <t>not reported</t>
        </is>
      </c>
    </row>
    <row r="27">
      <c r="A27" s="10" t="inlineStr">
        <is>
          <t>25. Total functional expenses</t>
        </is>
      </c>
      <c r="B27" s="11">
        <f>SUM(B7:B26)</f>
        <v/>
      </c>
      <c r="C27" s="11">
        <f>SUM(C7:C26)</f>
        <v/>
      </c>
      <c r="D27" s="11">
        <f>SUM(D7:D26)</f>
        <v/>
      </c>
      <c r="E27" s="11">
        <f>SUM(E7:E26)</f>
        <v/>
      </c>
      <c r="F27" s="11">
        <f>SUM(F7:F26)</f>
        <v/>
      </c>
    </row>
    <row r="29">
      <c r="A29" s="6" t="inlineStr">
        <is>
          <t>Functional column split - FY2024</t>
        </is>
      </c>
      <c r="B29" s="7" t="n"/>
      <c r="C29" s="7" t="n"/>
      <c r="D29" s="7" t="n"/>
      <c r="E29" s="7" t="n"/>
      <c r="F29" s="7" t="n"/>
    </row>
    <row r="30" ht="42" customHeight="1">
      <c r="A30" s="3" t="inlineStr">
        <is>
          <t>Not reported. This filer reports only column A (Total) of Part IX; the program / management / fundraising split (columns B-D) is not filed, so it is left as not reported rather than shown empty or inferred.</t>
        </is>
      </c>
    </row>
    <row r="31" ht="42" customHeight="1">
      <c r="A3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2:F2"/>
    <mergeCell ref="A1:F1"/>
    <mergeCell ref="A31:F31"/>
    <mergeCell ref="A3:F3"/>
    <mergeCell ref="A30:F3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Las Flores Water Company</t>
        </is>
      </c>
    </row>
    <row r="2">
      <c r="A2" s="2" t="inlineStr">
        <is>
          <t>Balance Sheet - Form 990 Part X (end of year, USD)</t>
        </is>
      </c>
    </row>
    <row r="3">
      <c r="A3" s="2" t="inlineStr">
        <is>
          <t>Entity ID: cawc_0028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1164839</v>
      </c>
      <c r="C7" s="9" t="n">
        <v>1310794</v>
      </c>
      <c r="D7" s="9" t="n">
        <v>1135670</v>
      </c>
      <c r="E7" s="9" t="n">
        <v>1162140</v>
      </c>
      <c r="F7" s="9" t="n">
        <v>870462</v>
      </c>
    </row>
    <row r="8">
      <c r="A8" s="8" t="inlineStr">
        <is>
          <t xml:space="preserve">    4. Accounts receivable, net</t>
        </is>
      </c>
      <c r="B8" s="9" t="n">
        <v>191583</v>
      </c>
      <c r="C8" s="9" t="n">
        <v>191723</v>
      </c>
      <c r="D8" s="9" t="n">
        <v>170902</v>
      </c>
      <c r="E8" s="9" t="n">
        <v>188316</v>
      </c>
      <c r="F8" s="9" t="n">
        <v>243983</v>
      </c>
    </row>
    <row r="9">
      <c r="A9" s="8" t="inlineStr">
        <is>
          <t xml:space="preserve">    8. Inventories for sale or use</t>
        </is>
      </c>
      <c r="B9" s="9" t="n">
        <v>30711</v>
      </c>
      <c r="C9" s="9" t="n">
        <v>36240</v>
      </c>
      <c r="D9" s="9" t="n">
        <v>26378</v>
      </c>
      <c r="E9" s="9" t="n">
        <v>24087</v>
      </c>
      <c r="F9" s="9" t="n">
        <v>24087</v>
      </c>
    </row>
    <row r="10">
      <c r="A10" s="8" t="inlineStr">
        <is>
          <t xml:space="preserve">    9. Prepaid expenses and deferred charges</t>
        </is>
      </c>
      <c r="B10" s="9" t="n">
        <v>8832</v>
      </c>
      <c r="C10" s="9" t="n">
        <v>10270</v>
      </c>
      <c r="D10" s="9" t="n">
        <v>11524</v>
      </c>
      <c r="E10" s="9" t="n">
        <v>12797</v>
      </c>
      <c r="F10" s="9" t="n">
        <v>11128</v>
      </c>
    </row>
    <row r="11">
      <c r="A11" s="8" t="inlineStr">
        <is>
          <t xml:space="preserve">    10c. Land, buildings, and equipment, net</t>
        </is>
      </c>
      <c r="B11" s="9" t="n">
        <v>2241084</v>
      </c>
      <c r="C11" s="9" t="n">
        <v>2215807</v>
      </c>
      <c r="D11" s="9" t="n">
        <v>2178489</v>
      </c>
      <c r="E11" s="9" t="n">
        <v>2048623</v>
      </c>
      <c r="F11" s="9" t="n">
        <v>2120521</v>
      </c>
    </row>
    <row r="12">
      <c r="A12" s="8" t="inlineStr">
        <is>
          <t xml:space="preserve">    15. Other assets</t>
        </is>
      </c>
      <c r="B12" s="9" t="n">
        <v>1000</v>
      </c>
      <c r="C12" s="9" t="n">
        <v>1000</v>
      </c>
      <c r="D12" s="9" t="n">
        <v>1000</v>
      </c>
      <c r="E12" s="9" t="n">
        <v>1000</v>
      </c>
      <c r="F12" s="9" t="n">
        <v>1000</v>
      </c>
    </row>
    <row r="13">
      <c r="A13" s="10" t="inlineStr">
        <is>
          <t>16. Total assets</t>
        </is>
      </c>
      <c r="B13" s="11">
        <f>SUM(B7:B12)</f>
        <v/>
      </c>
      <c r="C13" s="11">
        <f>SUM(C7:C12)</f>
        <v/>
      </c>
      <c r="D13" s="11">
        <f>SUM(D7:D12)</f>
        <v/>
      </c>
      <c r="E13" s="11">
        <f>SUM(E7:E12)</f>
        <v/>
      </c>
      <c r="F13" s="11">
        <f>SUM(F7:F12)</f>
        <v/>
      </c>
    </row>
    <row r="15">
      <c r="A15" s="6" t="inlineStr">
        <is>
          <t>Liabilities</t>
        </is>
      </c>
      <c r="B15" s="7" t="n"/>
      <c r="C15" s="7" t="n"/>
      <c r="D15" s="7" t="n"/>
      <c r="E15" s="7" t="n"/>
      <c r="F15" s="7" t="n"/>
    </row>
    <row r="16">
      <c r="A16" s="8" t="inlineStr">
        <is>
          <t xml:space="preserve">    17. Accounts payable and accrued expenses</t>
        </is>
      </c>
      <c r="B16" s="9" t="n">
        <v>113577</v>
      </c>
      <c r="C16" s="9" t="n">
        <v>112122</v>
      </c>
      <c r="D16" s="9" t="n">
        <v>124210</v>
      </c>
      <c r="E16" s="9" t="n">
        <v>49672</v>
      </c>
      <c r="F16" s="9" t="n">
        <v>40046</v>
      </c>
    </row>
    <row r="17">
      <c r="A17" s="8" t="inlineStr">
        <is>
          <t xml:space="preserve">    23. Secured mortgages and notes payable</t>
        </is>
      </c>
      <c r="B17" s="9" t="n">
        <v>280030</v>
      </c>
      <c r="C17" s="9" t="n">
        <v>233458</v>
      </c>
      <c r="D17" s="9" t="n">
        <v>184592</v>
      </c>
      <c r="E17" s="9" t="n">
        <v>133176</v>
      </c>
      <c r="F17" s="9" t="n">
        <v>79201</v>
      </c>
    </row>
    <row r="18">
      <c r="A18" s="8" t="inlineStr">
        <is>
          <t xml:space="preserve">    25. Other liabilities</t>
        </is>
      </c>
      <c r="B18" s="19" t="inlineStr">
        <is>
          <t>not reported</t>
        </is>
      </c>
      <c r="C18" s="19" t="inlineStr">
        <is>
          <t>not reported</t>
        </is>
      </c>
      <c r="D18" s="19" t="inlineStr">
        <is>
          <t>not reported</t>
        </is>
      </c>
      <c r="E18" s="19" t="inlineStr">
        <is>
          <t>not reported</t>
        </is>
      </c>
      <c r="F18" s="9" t="n">
        <v>379828</v>
      </c>
    </row>
    <row r="19">
      <c r="A19" s="10" t="inlineStr">
        <is>
          <t>26. Total liabilities</t>
        </is>
      </c>
      <c r="B19" s="11">
        <f>SUM(B16:B18)</f>
        <v/>
      </c>
      <c r="C19" s="11">
        <f>SUM(C16:C18)</f>
        <v/>
      </c>
      <c r="D19" s="11">
        <f>SUM(D16:D18)</f>
        <v/>
      </c>
      <c r="E19" s="11">
        <f>SUM(E16:E18)</f>
        <v/>
      </c>
      <c r="F19" s="11">
        <f>SUM(F16:F18)</f>
        <v/>
      </c>
    </row>
    <row r="21">
      <c r="A21" s="6" t="inlineStr">
        <is>
          <t>Net assets / fund balances</t>
        </is>
      </c>
      <c r="B21" s="7" t="n"/>
      <c r="C21" s="7" t="n"/>
      <c r="D21" s="7" t="n"/>
      <c r="E21" s="7" t="n"/>
      <c r="F21" s="7" t="n"/>
    </row>
    <row r="22">
      <c r="A22" s="8" t="inlineStr">
        <is>
          <t xml:space="preserve">    29. Capital stock or trust principal</t>
        </is>
      </c>
      <c r="B22" s="9" t="n">
        <v>366675</v>
      </c>
      <c r="C22" s="9" t="n">
        <v>366675</v>
      </c>
      <c r="D22" s="9" t="n">
        <v>366675</v>
      </c>
      <c r="E22" s="9" t="n">
        <v>366675</v>
      </c>
      <c r="F22" s="9" t="n">
        <v>366675</v>
      </c>
    </row>
    <row r="23">
      <c r="A23" s="8" t="inlineStr">
        <is>
          <t xml:space="preserve">    30. Paid-in or capital surplus</t>
        </is>
      </c>
      <c r="B23" s="9" t="n">
        <v>240002</v>
      </c>
      <c r="C23" s="9" t="n">
        <v>240002</v>
      </c>
      <c r="D23" s="9" t="n">
        <v>240002</v>
      </c>
      <c r="E23" s="9" t="n">
        <v>240002</v>
      </c>
      <c r="F23" s="9" t="n">
        <v>240002</v>
      </c>
    </row>
    <row r="24">
      <c r="A24" s="8" t="inlineStr">
        <is>
          <t xml:space="preserve">    31. Retained earnings / accumulated funds</t>
        </is>
      </c>
      <c r="B24" s="9" t="n">
        <v>2637765</v>
      </c>
      <c r="C24" s="9" t="n">
        <v>2813577</v>
      </c>
      <c r="D24" s="9" t="n">
        <v>2608484</v>
      </c>
      <c r="E24" s="9" t="n">
        <v>2647438</v>
      </c>
      <c r="F24" s="9" t="n">
        <v>2165429</v>
      </c>
    </row>
    <row r="25">
      <c r="A25" s="10" t="inlineStr">
        <is>
          <t>32. Total net assets / fund balances</t>
        </is>
      </c>
      <c r="B25" s="11">
        <f>SUM(B22:B24)</f>
        <v/>
      </c>
      <c r="C25" s="11">
        <f>SUM(C22:C24)</f>
        <v/>
      </c>
      <c r="D25" s="11">
        <f>SUM(D22:D24)</f>
        <v/>
      </c>
      <c r="E25" s="11">
        <f>SUM(E22:E24)</f>
        <v/>
      </c>
      <c r="F25" s="11">
        <f>SUM(F22:F24)</f>
        <v/>
      </c>
    </row>
    <row r="27" ht="42" customHeight="1">
      <c r="A27"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7:F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Las Flores Water Company</t>
        </is>
      </c>
    </row>
    <row r="2">
      <c r="A2" s="2" t="inlineStr">
        <is>
          <t>Reconciliation of Net Assets - Form 990 Part XI (USD)</t>
        </is>
      </c>
    </row>
    <row r="3">
      <c r="A3" s="2" t="inlineStr">
        <is>
          <t>Entity ID: cawc_0028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3005652</v>
      </c>
      <c r="C7" s="9" t="n">
        <v>3244442</v>
      </c>
      <c r="D7" s="9" t="n">
        <v>3420254</v>
      </c>
      <c r="E7" s="9" t="n">
        <v>3215161</v>
      </c>
      <c r="F7" s="9" t="n">
        <v>3254115</v>
      </c>
    </row>
    <row r="8">
      <c r="A8" s="8" t="inlineStr">
        <is>
          <t xml:space="preserve">    3. Revenue less expenses</t>
        </is>
      </c>
      <c r="B8" s="9" t="n">
        <v>238790</v>
      </c>
      <c r="C8" s="9" t="n">
        <v>175812</v>
      </c>
      <c r="D8" s="9" t="n">
        <v>-205093</v>
      </c>
      <c r="E8" s="9" t="n">
        <v>38954</v>
      </c>
      <c r="F8" s="9" t="n">
        <v>-825802</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row>
    <row r="10">
      <c r="A10" s="8" t="inlineStr">
        <is>
          <t xml:space="preserve">    9. Other changes in net assets</t>
        </is>
      </c>
      <c r="B10" s="9" t="n">
        <v>0</v>
      </c>
      <c r="C10" s="9" t="n">
        <v>0</v>
      </c>
      <c r="D10" s="9" t="n">
        <v>0</v>
      </c>
      <c r="E10" s="9" t="n">
        <v>0</v>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Las Flores Water Company</t>
        </is>
      </c>
    </row>
    <row r="2">
      <c r="A2" s="2" t="inlineStr">
        <is>
          <t>Cash Flow Proxies - derived (USD)</t>
        </is>
      </c>
    </row>
    <row r="3">
      <c r="A3" s="2" t="inlineStr">
        <is>
          <t>Entity ID: cawc_0028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238790</v>
      </c>
      <c r="C9" s="9" t="n">
        <v>175812</v>
      </c>
      <c r="D9" s="9" t="n">
        <v>-205093</v>
      </c>
      <c r="E9" s="9" t="n">
        <v>38954</v>
      </c>
      <c r="F9" s="9" t="n">
        <v>-825802</v>
      </c>
    </row>
    <row r="10">
      <c r="A10" s="8" t="inlineStr">
        <is>
          <t xml:space="preserve">    + Depreciation (reported)</t>
        </is>
      </c>
      <c r="B10" s="9" t="n">
        <v>35458</v>
      </c>
      <c r="C10" s="9" t="n">
        <v>34249</v>
      </c>
      <c r="D10" s="9" t="n"/>
      <c r="E10" s="9" t="n"/>
      <c r="F10" s="9" t="n"/>
    </row>
    <row r="11">
      <c r="A11" s="8" t="inlineStr">
        <is>
          <t xml:space="preserve">    − Δ Accounts receivable</t>
        </is>
      </c>
      <c r="B11" s="9" t="n"/>
      <c r="C11" s="9" t="n">
        <v>-140</v>
      </c>
      <c r="D11" s="9" t="n">
        <v>20821</v>
      </c>
      <c r="E11" s="9" t="n">
        <v>-17414</v>
      </c>
      <c r="F11" s="9" t="n">
        <v>-55667</v>
      </c>
    </row>
    <row r="12">
      <c r="A12" s="8" t="inlineStr">
        <is>
          <t xml:space="preserve">    − Δ Inventories</t>
        </is>
      </c>
      <c r="B12" s="9" t="n"/>
      <c r="C12" s="9" t="n">
        <v>-5529</v>
      </c>
      <c r="D12" s="9" t="n">
        <v>9862</v>
      </c>
      <c r="E12" s="9" t="n">
        <v>2291</v>
      </c>
      <c r="F12" s="9" t="n">
        <v>0</v>
      </c>
    </row>
    <row r="13">
      <c r="A13" s="8" t="inlineStr">
        <is>
          <t xml:space="preserve">    − Δ Prepaid expenses</t>
        </is>
      </c>
      <c r="B13" s="9" t="n"/>
      <c r="C13" s="9" t="n">
        <v>-1438</v>
      </c>
      <c r="D13" s="9" t="n">
        <v>-1254</v>
      </c>
      <c r="E13" s="9" t="n">
        <v>-1273</v>
      </c>
      <c r="F13" s="9" t="n">
        <v>1669</v>
      </c>
    </row>
    <row r="14">
      <c r="A14" s="8" t="inlineStr">
        <is>
          <t xml:space="preserve">    + Δ Accounts payable</t>
        </is>
      </c>
      <c r="B14" s="9" t="n"/>
      <c r="C14" s="9" t="n">
        <v>-1455</v>
      </c>
      <c r="D14" s="9" t="n">
        <v>12088</v>
      </c>
      <c r="E14" s="9" t="n">
        <v>-74538</v>
      </c>
      <c r="F14" s="9" t="n">
        <v>-9626</v>
      </c>
    </row>
    <row r="15">
      <c r="A15" s="10" t="inlineStr">
        <is>
          <t xml:space="preserve">    Operating cash flow proxy</t>
        </is>
      </c>
      <c r="B15" s="11" t="n"/>
      <c r="C15" s="11" t="n">
        <v>201499</v>
      </c>
      <c r="D15" s="11" t="n">
        <v>-163576</v>
      </c>
      <c r="E15" s="11" t="n">
        <v>-51980</v>
      </c>
      <c r="F15" s="11" t="n">
        <v>-889426</v>
      </c>
    </row>
    <row r="17">
      <c r="A17" s="6" t="inlineStr">
        <is>
          <t>Investing</t>
        </is>
      </c>
      <c r="B17" s="7" t="n"/>
      <c r="C17" s="7" t="n"/>
      <c r="D17" s="7" t="n"/>
      <c r="E17" s="7" t="n"/>
      <c r="F17" s="7" t="n"/>
    </row>
    <row r="18">
      <c r="A18" s="8" t="inlineStr">
        <is>
          <t xml:space="preserve">    − Δ PP&amp;E gross (capex proxy)</t>
        </is>
      </c>
      <c r="B18" s="9" t="n"/>
      <c r="C18" s="9" t="n">
        <v>-153504</v>
      </c>
      <c r="D18" s="9" t="n">
        <v>-145505</v>
      </c>
      <c r="E18" s="9" t="n">
        <v>-15900</v>
      </c>
      <c r="F18" s="9" t="n">
        <v>-261666</v>
      </c>
    </row>
    <row r="20">
      <c r="A20" s="6" t="inlineStr">
        <is>
          <t>Financing</t>
        </is>
      </c>
      <c r="B20" s="7" t="n"/>
      <c r="C20" s="7" t="n"/>
      <c r="D20" s="7" t="n"/>
      <c r="E20" s="7" t="n"/>
      <c r="F20" s="7" t="n"/>
    </row>
    <row r="21">
      <c r="A21" s="8" t="inlineStr">
        <is>
          <t xml:space="preserve">    Δ Mortgages &amp; notes payable</t>
        </is>
      </c>
      <c r="B21" s="9" t="n"/>
      <c r="C21" s="9" t="n">
        <v>-46572</v>
      </c>
      <c r="D21" s="9" t="n">
        <v>-48866</v>
      </c>
      <c r="E21" s="9" t="n">
        <v>-51416</v>
      </c>
      <c r="F21" s="9" t="n">
        <v>-53975</v>
      </c>
    </row>
    <row r="23">
      <c r="A23" s="6" t="inlineStr">
        <is>
          <t>Reconciliation</t>
        </is>
      </c>
      <c r="B23" s="7" t="n"/>
      <c r="C23" s="7" t="n"/>
      <c r="D23" s="7" t="n"/>
      <c r="E23" s="7" t="n"/>
      <c r="F23" s="7" t="n"/>
    </row>
    <row r="24">
      <c r="A24" s="10" t="inlineStr">
        <is>
          <t xml:space="preserve">    Δ Cash + temp. investments (actual)</t>
        </is>
      </c>
      <c r="B24" s="11" t="n"/>
      <c r="C24" s="11" t="n">
        <v>145955</v>
      </c>
      <c r="D24" s="11" t="n">
        <v>-175124</v>
      </c>
      <c r="E24" s="11" t="n">
        <v>26470</v>
      </c>
      <c r="F24" s="11" t="n">
        <v>-291678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Las Flores Water Company</t>
        </is>
      </c>
    </row>
    <row r="2">
      <c r="A2" s="2" t="inlineStr">
        <is>
          <t>Financial Ratios</t>
        </is>
      </c>
    </row>
    <row r="3">
      <c r="A3" s="2" t="inlineStr">
        <is>
          <t>Entity ID: cawc_0028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0.2894192707007682</v>
      </c>
      <c r="C7" s="12" t="n">
        <v>0.2212754817573461</v>
      </c>
      <c r="D7" s="12" t="n">
        <v>-0.4784101591567004</v>
      </c>
      <c r="E7" s="12" t="n">
        <v>0.056782932176509</v>
      </c>
      <c r="F7" s="12" t="n">
        <v>-0.4577317004763546</v>
      </c>
    </row>
    <row r="8">
      <c r="A8" s="8" t="inlineStr">
        <is>
          <t xml:space="preserve">    Expense ratio (expenses / revenue)</t>
        </is>
      </c>
      <c r="B8" s="12" t="n">
        <v>0.7105807292992318</v>
      </c>
      <c r="C8" s="12" t="n">
        <v>0.7787245182426539</v>
      </c>
      <c r="D8" s="12" t="n">
        <v>1.4784101591567</v>
      </c>
      <c r="E8" s="12" t="n">
        <v>0.943217067823491</v>
      </c>
      <c r="F8" s="12" t="n">
        <v>1.457731700476355</v>
      </c>
    </row>
    <row r="9">
      <c r="A9" s="8" t="inlineStr">
        <is>
          <t xml:space="preserve">    Return on assets (NI / assets)</t>
        </is>
      </c>
      <c r="B9" s="12" t="n">
        <v>0.06563682897069281</v>
      </c>
      <c r="C9" s="12" t="n">
        <v>0.04668607272651954</v>
      </c>
      <c r="D9" s="12" t="n">
        <v>-0.0581995327419726</v>
      </c>
      <c r="E9" s="12" t="n">
        <v>0.01133384327966289</v>
      </c>
      <c r="F9" s="12" t="n">
        <v>-0.2524476633974091</v>
      </c>
    </row>
    <row r="10">
      <c r="A10" s="8" t="inlineStr">
        <is>
          <t xml:space="preserve">    Revenue growth (YoY)</t>
        </is>
      </c>
      <c r="B10" s="12" t="n">
        <v>0.3655873045297459</v>
      </c>
      <c r="C10" s="12" t="n">
        <v>-0.03699946428528142</v>
      </c>
      <c r="D10" s="12" t="n">
        <v>-0.4604456168923111</v>
      </c>
      <c r="E10" s="12" t="n">
        <v>0.6002351311065858</v>
      </c>
      <c r="F10" s="12" t="n">
        <v>1.629848283421961</v>
      </c>
    </row>
    <row r="12">
      <c r="A12" s="6" t="inlineStr">
        <is>
          <t>Leverage &amp; solvency</t>
        </is>
      </c>
      <c r="B12" s="7" t="n"/>
      <c r="C12" s="7" t="n"/>
      <c r="D12" s="7" t="n"/>
      <c r="E12" s="7" t="n"/>
      <c r="F12" s="7" t="n"/>
    </row>
    <row r="13">
      <c r="A13" s="8" t="inlineStr">
        <is>
          <t xml:space="preserve">    Debt-to-assets (liab. / assets)</t>
        </is>
      </c>
      <c r="B13" s="12" t="n">
        <v>0.108191780814387</v>
      </c>
      <c r="C13" s="12" t="n">
        <v>0.09176718888830469</v>
      </c>
      <c r="D13" s="12" t="n">
        <v>0.08762918339380975</v>
      </c>
      <c r="E13" s="12" t="n">
        <v>0.05320045633310571</v>
      </c>
      <c r="F13" s="12" t="n">
        <v>0.1525672226636191</v>
      </c>
    </row>
    <row r="14">
      <c r="A14" s="8" t="inlineStr">
        <is>
          <t xml:space="preserve">    Equity ratio (net assets / assets)</t>
        </is>
      </c>
      <c r="B14" s="12" t="n">
        <v>0.8918082191856129</v>
      </c>
      <c r="C14" s="12" t="n">
        <v>0.9082328111116953</v>
      </c>
      <c r="D14" s="12" t="n">
        <v>0.9123708166061902</v>
      </c>
      <c r="E14" s="12" t="n">
        <v>0.9467995436668943</v>
      </c>
      <c r="F14" s="12" t="n">
        <v>0.847432777336381</v>
      </c>
    </row>
    <row r="16">
      <c r="A16" s="6" t="inlineStr">
        <is>
          <t>Liquidity &amp; asset profile (derived here)</t>
        </is>
      </c>
      <c r="B16" s="7" t="n"/>
      <c r="C16" s="7" t="n"/>
      <c r="D16" s="7" t="n"/>
      <c r="E16" s="7" t="n"/>
      <c r="F16" s="7" t="n"/>
    </row>
    <row r="17">
      <c r="A17" s="8" t="inlineStr">
        <is>
          <t xml:space="preserve">    Current ratio (current assets / AP)</t>
        </is>
      </c>
      <c r="B17" s="20" t="n">
        <v>12.29091277283253</v>
      </c>
      <c r="C17" s="20" t="n">
        <v>13.81554913397906</v>
      </c>
      <c r="D17" s="20" t="n">
        <v>10.82420095000403</v>
      </c>
      <c r="E17" s="20" t="n">
        <v>27.93002093734901</v>
      </c>
      <c r="F17" s="20" t="n">
        <v>28.70848524197173</v>
      </c>
    </row>
    <row r="18">
      <c r="A18" s="8" t="inlineStr">
        <is>
          <t xml:space="preserve">    Cash ratio ((cash+temp inv.) / total liab.)</t>
        </is>
      </c>
      <c r="B18" s="20" t="n">
        <v>2.959396047326394</v>
      </c>
      <c r="C18" s="20" t="n">
        <v>3.793026216794953</v>
      </c>
      <c r="D18" s="20" t="n">
        <v>3.677664004766808</v>
      </c>
      <c r="E18" s="20" t="n">
        <v>6.355770913545677</v>
      </c>
      <c r="F18" s="20" t="n">
        <v>1.744150678755698</v>
      </c>
    </row>
    <row r="19">
      <c r="A19" s="8" t="inlineStr">
        <is>
          <t xml:space="preserve">    Asset age proxy (accum. deprec. / gross PP&amp;E)</t>
        </is>
      </c>
      <c r="B19" s="12" t="n">
        <v>0.5347237533617596</v>
      </c>
      <c r="C19" s="12" t="n">
        <v>0.5541795484990678</v>
      </c>
      <c r="D19" s="12" t="n">
        <v>0.5741548098269577</v>
      </c>
      <c r="E19" s="12" t="n">
        <v>0.6007814742546306</v>
      </c>
      <c r="F19" s="12" t="n">
        <v>0.6068193773363699</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6"/>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Las Flores Water Company</t>
        </is>
      </c>
    </row>
    <row r="2">
      <c r="A2" s="2" t="inlineStr">
        <is>
          <t>Unit economics - per-customer revenue by category (USD)</t>
        </is>
      </c>
    </row>
    <row r="3">
      <c r="A3" s="2" t="inlineStr">
        <is>
          <t>Entity ID: cawc_0028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v>1479</v>
      </c>
      <c r="C6" s="23" t="inlineStr">
        <is>
          <t>State Water Board eAR Section 4 (CurTotalConnections), reporting year 2023</t>
        </is>
      </c>
    </row>
    <row r="7">
      <c r="A7" s="21" t="inlineStr">
        <is>
          <t>Total annual revenue (eAR Section 8b B1.8)</t>
        </is>
      </c>
      <c r="B7" s="9" t="n">
        <v>1734238</v>
      </c>
      <c r="C7" s="23" t="inlineStr">
        <is>
          <t>State Water Board eAR Section 8b, question B1.8 (total annual revenue), reporting year 2023</t>
        </is>
      </c>
    </row>
    <row r="8">
      <c r="A8" s="21" t="inlineStr">
        <is>
          <t>Primary source</t>
        </is>
      </c>
      <c r="B8" s="24" t="inlineStr"/>
      <c r="C8" s="23"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DIRECT</t>
        </is>
      </c>
      <c r="C12" s="9" t="n">
        <v>1734237</v>
      </c>
      <c r="D12" s="26" t="n">
        <v>1172.57</v>
      </c>
      <c r="E12" s="27" t="n">
        <v>1</v>
      </c>
    </row>
    <row r="13">
      <c r="A13" s="8" t="inlineStr">
        <is>
          <t>Assessment revenue (990 program-service revenue not matched to eAR water-rate revenue)</t>
        </is>
      </c>
      <c r="B13" s="25" t="inlineStr">
        <is>
          <t>IMPOSSIBLE</t>
        </is>
      </c>
      <c r="C13" s="28" t="inlineStr">
        <is>
          <t>IMPOSSIBLE</t>
        </is>
      </c>
      <c r="D13" s="28" t="inlineStr">
        <is>
          <t>IMPOSSIBLE</t>
        </is>
      </c>
      <c r="E13" s="28" t="inlineStr">
        <is>
          <t>IMPOSSIBLE</t>
        </is>
      </c>
    </row>
    <row r="14">
      <c r="A14" s="8" t="inlineStr">
        <is>
          <t>Meter revenue</t>
        </is>
      </c>
      <c r="B14" s="25" t="inlineStr">
        <is>
          <t>not reported</t>
        </is>
      </c>
      <c r="C14" s="28" t="inlineStr">
        <is>
          <t>not reported</t>
        </is>
      </c>
      <c r="D14" s="28" t="inlineStr">
        <is>
          <t>not reported</t>
        </is>
      </c>
      <c r="E14" s="28" t="inlineStr">
        <is>
          <t>not reported</t>
        </is>
      </c>
    </row>
    <row r="15">
      <c r="A15" s="8" t="inlineStr">
        <is>
          <t>Overage or tiered penalty revenue</t>
        </is>
      </c>
      <c r="B15" s="25" t="inlineStr">
        <is>
          <t>not reported</t>
        </is>
      </c>
      <c r="C15" s="28" t="inlineStr">
        <is>
          <t>not reported</t>
        </is>
      </c>
      <c r="D15" s="28" t="inlineStr">
        <is>
          <t>not reported</t>
        </is>
      </c>
      <c r="E15" s="28"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1" t="inlineStr">
        <is>
          <t>Numerator: Water rate revenue</t>
        </is>
      </c>
      <c r="B19" s="9" t="n">
        <v>1734237</v>
      </c>
      <c r="C19" s="23" t="inlineStr">
        <is>
          <t>eAR Section 8b field B1.1 (residential water rates) only (this filer reported no non-residential water-rate revenue). State Water Board eAR Section 8b, question B1.1 + B1.2 (revenue from water rates), reporting year 2023</t>
        </is>
      </c>
    </row>
    <row r="20">
      <c r="A20" s="21" t="inlineStr">
        <is>
          <t>Denominator: Total service connections</t>
        </is>
      </c>
      <c r="B20" s="22" t="n">
        <v>1479</v>
      </c>
      <c r="C20" s="23" t="inlineStr">
        <is>
          <t>eAR Section 4 CurTotalConnections, reporting year 2023. State Water Board eAR Section 4 (CurTotalConnections), reporting year 2023</t>
        </is>
      </c>
    </row>
    <row r="21" ht="36" customHeight="1">
      <c r="A21" s="3" t="inlineStr">
        <is>
          <t>Per customer: water rate revenue $1,734,237 / 1,479 connections = $1,172.57 per connection</t>
        </is>
      </c>
    </row>
    <row r="22" ht="36" customHeight="1">
      <c r="A22" s="3" t="inlineStr">
        <is>
          <t>Share of revenue: water rate revenue $1,734,237 / total annual revenue (eAR Section 8b B1.8) $1,734,238 = 100.00%</t>
        </is>
      </c>
    </row>
    <row r="23" ht="66" customHeight="1">
      <c r="A23" s="3" t="inlineStr">
        <is>
          <t>Period treatment: Numerator (eAR Section 8b, the calendar year 2023)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IMPOSSIBLE</t>
        </is>
      </c>
      <c r="B26" s="7" t="n"/>
      <c r="C26" s="7" t="n"/>
      <c r="D26" s="7" t="n"/>
      <c r="E26" s="7" t="n"/>
    </row>
    <row r="27" ht="36" customHeight="1">
      <c r="A27" s="3" t="inlineStr">
        <is>
          <t>Not computed. A period-aligned residual is not possible for this filer.</t>
        </is>
      </c>
    </row>
    <row r="28" ht="66" customHeight="1">
      <c r="A28" s="3" t="inlineStr">
        <is>
          <t>Reason: Not derivable. The eAR Section 8b is the calendar year 2023 while the Form 990 fiscal year ends December 31, 2023; the two period ends are not aligned, so a period-aligned residual cannot be computed.</t>
        </is>
      </c>
    </row>
    <row r="30">
      <c r="A30" s="6" t="inlineStr">
        <is>
          <t>Meter revenue - not reported</t>
        </is>
      </c>
      <c r="B30" s="7" t="n"/>
      <c r="C30" s="7" t="n"/>
      <c r="D30" s="7" t="n"/>
      <c r="E30" s="7" t="n"/>
    </row>
    <row r="31" ht="36" customHeight="1">
      <c r="A31" s="3" t="inlineStr">
        <is>
          <t>Not reported. This category is not built because doing so would double-count.</t>
        </is>
      </c>
    </row>
    <row r="32" ht="81" customHeight="1">
      <c r="A32"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34">
      <c r="A34" s="6" t="inlineStr">
        <is>
          <t>Overage or tiered penalty revenue - not reported</t>
        </is>
      </c>
      <c r="B34" s="7" t="n"/>
      <c r="C34" s="7" t="n"/>
      <c r="D34" s="7" t="n"/>
      <c r="E34" s="7" t="n"/>
    </row>
    <row r="35" ht="36" customHeight="1">
      <c r="A35" s="3" t="inlineStr">
        <is>
          <t>Not reported. This category is not built because doing so would double-count.</t>
        </is>
      </c>
    </row>
    <row r="36" ht="81" customHeight="1">
      <c r="A36"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5">
    <mergeCell ref="A21:E21"/>
    <mergeCell ref="A35:E35"/>
    <mergeCell ref="A24:E24"/>
    <mergeCell ref="A2:E2"/>
    <mergeCell ref="A28:E28"/>
    <mergeCell ref="A1:E1"/>
    <mergeCell ref="A5:E5"/>
    <mergeCell ref="A23:E23"/>
    <mergeCell ref="A32:E32"/>
    <mergeCell ref="A31:E31"/>
    <mergeCell ref="A36:E36"/>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9"/>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Las Flores Water Company</t>
        </is>
      </c>
    </row>
    <row r="2">
      <c r="A2" s="2" t="inlineStr">
        <is>
          <t>Rate structure and representative bill - eAR Section 8a (RY2024)</t>
        </is>
      </c>
    </row>
    <row r="3">
      <c r="A3" s="2" t="inlineStr">
        <is>
          <t>Entity ID: cawc_0028   |   Fiscal year ends December 31.</t>
        </is>
      </c>
    </row>
    <row r="5" ht="81" customHeight="1">
      <c r="A5" s="29" t="inlineStr">
        <is>
          <t>This block is a rate-schedule illustration at defined usage levels. It is NOT billed revenue and not a claim about any real customer's usage. The revenue side of unit economics is the separate Unit Economics block.</t>
        </is>
      </c>
    </row>
    <row r="6" ht="51" customHeight="1">
      <c r="A6" s="30" t="inlineStr">
        <is>
          <t>Structure: Uniform: fixed base plus a single volumetric rate, billed monthly, priced per HCF. Rate schedule last updated 11/20/24.</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1" t="inlineStr"/>
      <c r="B10" s="5" t="inlineStr">
        <is>
          <t>Low</t>
        </is>
      </c>
      <c r="C10" s="5" t="inlineStr">
        <is>
          <t>Median</t>
        </is>
      </c>
      <c r="D10" s="5" t="inlineStr">
        <is>
          <t>High</t>
        </is>
      </c>
    </row>
    <row r="11">
      <c r="A11" s="8" t="inlineStr">
        <is>
          <t>Monthly usage (HCF)</t>
        </is>
      </c>
      <c r="B11" s="32" t="n">
        <v>5</v>
      </c>
      <c r="C11" s="32" t="n">
        <v>10</v>
      </c>
      <c r="D11" s="32" t="n">
        <v>25</v>
      </c>
    </row>
    <row r="12">
      <c r="A12" s="8" t="inlineStr">
        <is>
          <t>Months per bill (from filed billing frequency)</t>
        </is>
      </c>
      <c r="B12" s="33" t="n">
        <v>1</v>
      </c>
      <c r="C12" s="13" t="inlineStr">
        <is>
          <t>monthly biller</t>
        </is>
      </c>
    </row>
    <row r="14">
      <c r="A14" s="6" t="inlineStr">
        <is>
          <t>Filed rate table - single-family residential (as filed, eAR Section 8a)</t>
        </is>
      </c>
      <c r="B14" s="7" t="n"/>
      <c r="C14" s="7" t="n"/>
      <c r="D14" s="7" t="n"/>
    </row>
    <row r="15">
      <c r="A15" s="8" t="inlineStr">
        <is>
          <t>Base / fixed charge per monthly bill ($)</t>
        </is>
      </c>
      <c r="B15" s="26" t="n">
        <v>4.03</v>
      </c>
    </row>
    <row r="16">
      <c r="A16" s="4" t="inlineStr">
        <is>
          <t>Tier</t>
        </is>
      </c>
      <c r="B16" s="4" t="inlineStr">
        <is>
          <t>Range (HCF)</t>
        </is>
      </c>
      <c r="C16" s="34" t="inlineStr">
        <is>
          <t>Price ($/HCF)</t>
        </is>
      </c>
      <c r="D16" s="34" t="inlineStr">
        <is>
          <t>Upper limit (HCF)</t>
        </is>
      </c>
    </row>
    <row r="17">
      <c r="A17" s="8" t="inlineStr">
        <is>
          <t>Tier 1</t>
        </is>
      </c>
      <c r="B17" s="8" t="inlineStr">
        <is>
          <t>all usage (HCF)</t>
        </is>
      </c>
      <c r="C17" s="35" t="n">
        <v>4.03</v>
      </c>
      <c r="D17" s="36" t="inlineStr">
        <is>
          <t>no limit</t>
        </is>
      </c>
    </row>
    <row r="19">
      <c r="A19" s="6" t="inlineStr">
        <is>
          <t>Flags on the filed rate table (nothing below is corrected)</t>
        </is>
      </c>
      <c r="B19" s="7" t="n"/>
      <c r="C19" s="7" t="n"/>
      <c r="D19" s="7" t="n"/>
    </row>
    <row r="20" ht="126" customHeight="1">
      <c r="A20" s="3" t="inlineStr">
        <is>
          <t>Fixed charge: implausible as filed; checked against source. The filed base charge of $4.03 per bill is $4.03 per month, outside the $5.00 to $500.00 per month range a residential fixed charge plausibly takes. A filed $0.00 can simply mean the company charges no fixed charge. Carried exactly as filed and not corrected. Source: State Water Board eAR Section 8 / WRSFCostPerUOM1</t>
        </is>
      </c>
    </row>
    <row r="22">
      <c r="A22" s="6" t="inlineStr">
        <is>
          <t>Representative monthly bill - LIVE (edit a yellow usage cell to recompute)</t>
        </is>
      </c>
      <c r="B22" s="7" t="n"/>
      <c r="C22" s="7" t="n"/>
      <c r="D22" s="7" t="n"/>
    </row>
    <row r="23">
      <c r="A23" s="31" t="inlineStr"/>
      <c r="B23" s="5" t="inlineStr">
        <is>
          <t>Low</t>
        </is>
      </c>
      <c r="C23" s="5" t="inlineStr">
        <is>
          <t>Median</t>
        </is>
      </c>
      <c r="D23" s="5" t="inlineStr">
        <is>
          <t>High</t>
        </is>
      </c>
    </row>
    <row r="24">
      <c r="A24" s="8" t="inlineStr">
        <is>
          <t>Usage per bill (HCF)</t>
        </is>
      </c>
      <c r="B24" s="37">
        <f>B11*$B$12</f>
        <v/>
      </c>
      <c r="C24" s="37">
        <f>C11*$B$12</f>
        <v/>
      </c>
      <c r="D24" s="37">
        <f>D11*$B$12</f>
        <v/>
      </c>
    </row>
    <row r="25">
      <c r="A25" s="8" t="inlineStr">
        <is>
          <t xml:space="preserve">    Tier 1 charge per bill ($)</t>
        </is>
      </c>
      <c r="B25" s="38">
        <f>$C$17*MAX(0,B24-0)</f>
        <v/>
      </c>
      <c r="C25" s="38">
        <f>$C$17*MAX(0,C24-0)</f>
        <v/>
      </c>
      <c r="D25" s="38">
        <f>$C$17*MAX(0,D24-0)</f>
        <v/>
      </c>
    </row>
    <row r="26">
      <c r="A26" s="8" t="inlineStr">
        <is>
          <t>Volumetric charge per bill ($)</t>
        </is>
      </c>
      <c r="B26" s="38">
        <f>SUM(B25)</f>
        <v/>
      </c>
      <c r="C26" s="38">
        <f>SUM(C25)</f>
        <v/>
      </c>
      <c r="D26" s="38">
        <f>SUM(D25)</f>
        <v/>
      </c>
    </row>
    <row r="27">
      <c r="A27" s="8" t="inlineStr">
        <is>
          <t>Base charge per bill ($)</t>
        </is>
      </c>
      <c r="B27" s="38">
        <f>$B$15</f>
        <v/>
      </c>
      <c r="C27" s="38">
        <f>$B$15</f>
        <v/>
      </c>
      <c r="D27" s="38">
        <f>$B$15</f>
        <v/>
      </c>
    </row>
    <row r="28">
      <c r="A28" s="8" t="inlineStr">
        <is>
          <t>Total per bill ($)</t>
        </is>
      </c>
      <c r="B28" s="38">
        <f>B27+B26</f>
        <v/>
      </c>
      <c r="C28" s="38">
        <f>C27+C26</f>
        <v/>
      </c>
      <c r="D28" s="38">
        <f>D27+D26</f>
        <v/>
      </c>
    </row>
    <row r="29">
      <c r="A29" s="10" t="inlineStr">
        <is>
          <t>Total per MONTH ($)</t>
        </is>
      </c>
      <c r="B29" s="39">
        <f>B28/$B$12</f>
        <v/>
      </c>
      <c r="C29" s="39">
        <f>C28/$B$12</f>
        <v/>
      </c>
      <c r="D29" s="39">
        <f>D28/$B$12</f>
        <v/>
      </c>
    </row>
    <row r="30">
      <c r="A30" s="8" t="inlineStr">
        <is>
          <t xml:space="preserve">    Fixed per month ($)</t>
        </is>
      </c>
      <c r="B30" s="38">
        <f>$B$15/$B$12</f>
        <v/>
      </c>
      <c r="C30" s="38">
        <f>$B$15/$B$12</f>
        <v/>
      </c>
      <c r="D30" s="38">
        <f>$B$15/$B$12</f>
        <v/>
      </c>
    </row>
    <row r="31">
      <c r="A31" s="8" t="inlineStr">
        <is>
          <t xml:space="preserve">    Volumetric per month ($)</t>
        </is>
      </c>
      <c r="B31" s="38">
        <f>B26/$B$12</f>
        <v/>
      </c>
      <c r="C31" s="38">
        <f>C26/$B$12</f>
        <v/>
      </c>
      <c r="D31" s="38">
        <f>D26/$B$12</f>
        <v/>
      </c>
    </row>
    <row r="32">
      <c r="A32" s="8" t="inlineStr">
        <is>
          <t>Effective price ($/HCF)</t>
        </is>
      </c>
      <c r="B32" s="38">
        <f>IF(B11=0,"",B29/B11)</f>
        <v/>
      </c>
      <c r="C32" s="38">
        <f>IF(C11=0,"",C29/C11)</f>
        <v/>
      </c>
      <c r="D32" s="38">
        <f>IF(D11=0,"",D29/D11)</f>
        <v/>
      </c>
    </row>
    <row r="34">
      <c r="A34" s="6" t="inlineStr">
        <is>
          <t>Rate-structure comparison metrics</t>
        </is>
      </c>
      <c r="B34" s="7" t="n"/>
      <c r="C34" s="7" t="n"/>
      <c r="D34" s="7" t="n"/>
    </row>
    <row r="35">
      <c r="A35" s="8" t="inlineStr">
        <is>
          <t>Fixed share of the bill at median usage</t>
        </is>
      </c>
      <c r="B35" s="40">
        <f>C30/C29</f>
        <v/>
      </c>
      <c r="C35" s="13" t="inlineStr">
        <is>
          <t>fixed / total at 10 HCF/month</t>
        </is>
      </c>
    </row>
    <row r="36">
      <c r="A36" s="8" t="inlineStr">
        <is>
          <t>Tier price ratio (highest to lowest positive tier)</t>
        </is>
      </c>
      <c r="B36" s="41">
        <f>$C$17/$C$17</f>
        <v/>
      </c>
      <c r="C36" s="13" t="inlineStr">
        <is>
          <t>uniform structure: a single volumetric rate, so the ratio is 1.00 (flat).</t>
        </is>
      </c>
    </row>
    <row r="37">
      <c r="A37" s="8" t="inlineStr">
        <is>
          <t>Rate structure (as filed)</t>
        </is>
      </c>
      <c r="B37" s="42" t="inlineStr">
        <is>
          <t>uniform (Uniform Usage)</t>
        </is>
      </c>
    </row>
    <row r="39" ht="66" customHeight="1">
      <c r="A39" s="3" t="inlineStr">
        <is>
          <t>State Water Board eAR Section 8a (Customer Charges), single- and multi-family residential charges grid, reporting year 2024. Rate structure only; no revenue.</t>
        </is>
      </c>
    </row>
  </sheetData>
  <mergeCells count="8">
    <mergeCell ref="A1:D1"/>
    <mergeCell ref="A5:D5"/>
    <mergeCell ref="A6:D6"/>
    <mergeCell ref="A3:D3"/>
    <mergeCell ref="A20:D20"/>
    <mergeCell ref="A39:D39"/>
    <mergeCell ref="A7:D7"/>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Las Flores Water Company</t>
        </is>
      </c>
    </row>
    <row r="2">
      <c r="A2" s="2" t="inlineStr">
        <is>
          <t>eAR annual revenue and expenses - State Water Board eAR Section 8b (USD)</t>
        </is>
      </c>
    </row>
    <row r="3">
      <c r="A3" s="2" t="inlineStr">
        <is>
          <t>Entity ID: cawc_0028   |   Fiscal year ends December 31.</t>
        </is>
      </c>
    </row>
    <row r="5" ht="141" customHeight="1">
      <c r="A5" s="3" t="inlineStr">
        <is>
          <t>The water system's own annual figures from the public eAR Section 8b, on the calendar year 2023 the filer self-reported (B0.1/B0.2). Shown beside the period-aligned Form 990 with the variance flagged: a different source (a State Water Board self-report vs an IRS filing). Preserved as filed, never reconciled.</t>
        </is>
      </c>
    </row>
    <row r="6">
      <c r="A6" s="21" t="inlineStr">
        <is>
          <t>Reporting period basis (self-reported)</t>
        </is>
      </c>
      <c r="B6" s="24" t="inlineStr">
        <is>
          <t>calendar year 2023</t>
        </is>
      </c>
      <c r="C6" s="23"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1" t="inlineStr">
        <is>
          <t>Water rate revenue</t>
        </is>
      </c>
      <c r="B10" s="9" t="n">
        <v>1734237</v>
      </c>
      <c r="C10" s="23" t="inlineStr">
        <is>
          <t>State Water Board eAR Section 8b, question B1.1 + B1.2 (revenue from water rates), reporting year 2023</t>
        </is>
      </c>
    </row>
    <row r="11">
      <c r="A11" s="21" t="inlineStr">
        <is>
          <t>Other fees and charges</t>
        </is>
      </c>
      <c r="B11" s="9" t="n">
        <v>1</v>
      </c>
      <c r="C11" s="23" t="inlineStr">
        <is>
          <t>State Water Board eAR Section 8b, question B1.3 + B1.4 (revenue from other fees), reporting year 2023</t>
        </is>
      </c>
    </row>
    <row r="12">
      <c r="A12" s="21" t="inlineStr">
        <is>
          <t>Non-customer revenue</t>
        </is>
      </c>
      <c r="B12" s="9" t="n">
        <v>0</v>
      </c>
      <c r="C12" s="23" t="inlineStr">
        <is>
          <t>State Water Board eAR Section 8b, question B1.7 (grants, interest, and other non-customer), reporting year 2023</t>
        </is>
      </c>
    </row>
    <row r="13">
      <c r="A13" s="21" t="inlineStr">
        <is>
          <t>Total annual revenue</t>
        </is>
      </c>
      <c r="B13" s="43" t="n">
        <v>1734238</v>
      </c>
      <c r="C13" s="23"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21" t="inlineStr">
        <is>
          <t>Operations and maintenance</t>
        </is>
      </c>
      <c r="B17" s="9" t="n">
        <v>958307</v>
      </c>
      <c r="C17" s="23" t="inlineStr">
        <is>
          <t>State Water Board eAR Section 8b, question B2.1 (annual O and M expense), reporting year 2023</t>
        </is>
      </c>
    </row>
    <row r="18">
      <c r="A18" s="21" t="inlineStr">
        <is>
          <t>Capital</t>
        </is>
      </c>
      <c r="B18" s="9" t="n">
        <v>0</v>
      </c>
      <c r="C18" s="23" t="inlineStr">
        <is>
          <t>State Water Board eAR Section 8b, question B2.2 (annual expenses from investing or capital), reporting year 2023</t>
        </is>
      </c>
    </row>
    <row r="19">
      <c r="A19" s="21" t="inlineStr">
        <is>
          <t>Financing</t>
        </is>
      </c>
      <c r="B19" s="9" t="n">
        <v>0</v>
      </c>
      <c r="C19" s="23" t="inlineStr">
        <is>
          <t>State Water Board eAR Section 8b, question B2.3 (annual expenses from financing), reporting year 2023</t>
        </is>
      </c>
    </row>
    <row r="20">
      <c r="A20" s="21" t="inlineStr">
        <is>
          <t>Other</t>
        </is>
      </c>
      <c r="B20" s="9" t="n">
        <v>47793</v>
      </c>
      <c r="C20" s="23" t="inlineStr">
        <is>
          <t>State Water Board eAR Section 8b, question B2.4 (total other annual expenses), reporting year 2023</t>
        </is>
      </c>
    </row>
    <row r="21">
      <c r="A21" s="21" t="inlineStr">
        <is>
          <t>Total annual expenses</t>
        </is>
      </c>
      <c r="B21" s="43" t="n">
        <v>1006100</v>
      </c>
      <c r="C21" s="23"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1734238</v>
      </c>
      <c r="C25" s="9" t="n">
        <v>686016</v>
      </c>
    </row>
    <row r="26">
      <c r="A26" s="14" t="inlineStr">
        <is>
          <t>Variance (eAR minus Form 990)</t>
        </is>
      </c>
      <c r="B26" s="15">
        <f>B25-C25</f>
        <v/>
      </c>
      <c r="C26" s="44" t="n"/>
    </row>
    <row r="27" ht="126" customHeight="1">
      <c r="A27" s="3" t="inlineStr">
        <is>
          <t>The eAR Section 8b total revenue (State Water Board self-report, calendar year 2023) and the Form 990 total revenue (IRS filing) are a different source and cover the same calendar year 2023. Both are carried as filed; the variance is surfaced, never reconciled.</t>
        </is>
      </c>
    </row>
    <row r="28">
      <c r="A28" s="8" t="inlineStr">
        <is>
          <t>total expenses</t>
        </is>
      </c>
      <c r="B28" s="9" t="n">
        <v>1006100</v>
      </c>
      <c r="C28" s="9" t="n">
        <v>647062</v>
      </c>
    </row>
    <row r="29">
      <c r="A29" s="14" t="inlineStr">
        <is>
          <t>Variance (eAR minus Form 990)</t>
        </is>
      </c>
      <c r="B29" s="15">
        <f>B28-C28</f>
        <v/>
      </c>
      <c r="C29" s="44" t="n"/>
    </row>
    <row r="30" ht="126" customHeight="1">
      <c r="A30" s="3" t="inlineStr">
        <is>
          <t>The eAR Section 8b total expenses (State Water Board self-report, calendar year 2023) and the Form 990 total expenses (IRS filing) are a different source and cover the same calendar year 2023.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Las Flores Water Company</t>
        </is>
      </c>
    </row>
    <row r="2">
      <c r="A2" s="2" t="inlineStr">
        <is>
          <t>Denominators and calendar alignment</t>
        </is>
      </c>
    </row>
    <row r="3">
      <c r="A3" s="2" t="inlineStr">
        <is>
          <t>Entity ID: cawc_0028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1" t="inlineStr">
        <is>
          <t>Customer (service connection)</t>
        </is>
      </c>
      <c r="B7" s="22" t="n">
        <v>1479</v>
      </c>
      <c r="C7" s="23" t="inlineStr">
        <is>
          <t>State Water Board eAR Section 4 (CurTotalConnections), reporting year 2024</t>
        </is>
      </c>
    </row>
    <row r="8">
      <c r="A8" s="21" t="inlineStr">
        <is>
          <t>SDWIS service-connection count (different registry)</t>
        </is>
      </c>
      <c r="B8" s="22" t="n">
        <v>1479</v>
      </c>
      <c r="C8" s="23" t="inlineStr"/>
    </row>
    <row r="9">
      <c r="A9" s="21" t="inlineStr">
        <is>
          <t>Member (shareholder)</t>
        </is>
      </c>
      <c r="B9" s="24" t="n"/>
      <c r="C9" s="23"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FY2020 (2020-12-31)</t>
        </is>
      </c>
      <c r="B14" s="22" t="n">
        <v>1479</v>
      </c>
      <c r="C14" s="19" t="inlineStr">
        <is>
          <t>not reported</t>
        </is>
      </c>
      <c r="D14" s="22" t="n">
        <v>491.9</v>
      </c>
      <c r="E14" s="19" t="inlineStr">
        <is>
          <t>not reported</t>
        </is>
      </c>
      <c r="F14" s="19" t="inlineStr">
        <is>
          <t>not reported</t>
        </is>
      </c>
      <c r="G14" s="24" t="inlineStr">
        <is>
          <t>eAR annual total, calendar filer, equals fiscal year (not a monthly recast)</t>
        </is>
      </c>
    </row>
    <row r="15" ht="40" customHeight="1">
      <c r="A15" s="8" t="inlineStr">
        <is>
          <t>FY2021 (2021-12-31)</t>
        </is>
      </c>
      <c r="B15" s="22" t="n">
        <v>1479</v>
      </c>
      <c r="C15" s="19" t="inlineStr">
        <is>
          <t>not reported</t>
        </is>
      </c>
      <c r="D15" s="22" t="n">
        <v>491.9</v>
      </c>
      <c r="E15" s="19" t="inlineStr">
        <is>
          <t>not reported</t>
        </is>
      </c>
      <c r="F15" s="19" t="inlineStr">
        <is>
          <t>not reported</t>
        </is>
      </c>
      <c r="G15" s="24" t="inlineStr">
        <is>
          <t>eAR annual total, calendar filer, equals fiscal year (not a monthly recast)</t>
        </is>
      </c>
    </row>
    <row r="16" ht="40" customHeight="1">
      <c r="A16" s="8" t="inlineStr">
        <is>
          <t>FY2022 (2022-12-31)</t>
        </is>
      </c>
      <c r="B16" s="22" t="n">
        <v>1479</v>
      </c>
      <c r="C16" s="19" t="inlineStr">
        <is>
          <t>not reported</t>
        </is>
      </c>
      <c r="D16" s="22" t="n">
        <v>491.9</v>
      </c>
      <c r="E16" s="19" t="inlineStr">
        <is>
          <t>not reported</t>
        </is>
      </c>
      <c r="F16" s="19" t="inlineStr">
        <is>
          <t>not reported</t>
        </is>
      </c>
      <c r="G16" s="24" t="inlineStr">
        <is>
          <t>eAR annual total, calendar filer, equals fiscal year (not a monthly recast)</t>
        </is>
      </c>
    </row>
    <row r="17" ht="40" customHeight="1">
      <c r="A17" s="8" t="inlineStr">
        <is>
          <t>FY2023 (2023-12-31)</t>
        </is>
      </c>
      <c r="B17" s="22" t="n">
        <v>1479</v>
      </c>
      <c r="C17" s="22" t="n">
        <v>4847</v>
      </c>
      <c r="D17" s="22" t="n">
        <v>491.9</v>
      </c>
      <c r="E17" s="19" t="inlineStr">
        <is>
          <t>not reported</t>
        </is>
      </c>
      <c r="F17" s="19" t="inlineStr">
        <is>
          <t>not reported</t>
        </is>
      </c>
      <c r="G17" s="24" t="inlineStr">
        <is>
          <t>eAR annual total, calendar filer, equals fiscal year (not a monthly recast)</t>
        </is>
      </c>
    </row>
    <row r="18" ht="40" customHeight="1">
      <c r="A18" s="8" t="inlineStr">
        <is>
          <t>FY2024 (2024-12-31)</t>
        </is>
      </c>
      <c r="B18" s="22" t="n">
        <v>1479</v>
      </c>
      <c r="C18" s="22" t="n">
        <v>4847</v>
      </c>
      <c r="D18" s="22" t="n">
        <v>491.9</v>
      </c>
      <c r="E18" s="19" t="inlineStr">
        <is>
          <t>not reported</t>
        </is>
      </c>
      <c r="F18" s="19" t="inlineStr">
        <is>
          <t>not reported</t>
        </is>
      </c>
      <c r="G18" s="24" t="inlineStr">
        <is>
          <t>eAR annual total, calendar filer, equals fiscal year (not a monthly recast)</t>
        </is>
      </c>
    </row>
    <row r="20">
      <c r="A20" s="6" t="inlineStr">
        <is>
          <t>Connections by class - FY2024 (eAR Section 4)</t>
        </is>
      </c>
      <c r="B20" s="7" t="n"/>
      <c r="C20" s="7" t="n"/>
      <c r="D20" s="7" t="n"/>
      <c r="E20" s="7" t="n"/>
      <c r="F20" s="7" t="n"/>
      <c r="G20" s="7" t="n"/>
    </row>
    <row r="21">
      <c r="A21" s="21" t="inlineStr">
        <is>
          <t>Single-family residential</t>
        </is>
      </c>
      <c r="B21" s="22" t="n">
        <v>1469</v>
      </c>
      <c r="C21" s="23" t="inlineStr"/>
    </row>
    <row r="22">
      <c r="A22" s="21" t="inlineStr">
        <is>
          <t>Multi-family residential</t>
        </is>
      </c>
      <c r="B22" s="22" t="n">
        <v>6</v>
      </c>
      <c r="C22" s="23" t="inlineStr"/>
    </row>
    <row r="23">
      <c r="A23" s="21" t="inlineStr">
        <is>
          <t>Commercial and institutional</t>
        </is>
      </c>
      <c r="B23" s="22" t="n">
        <v>2</v>
      </c>
      <c r="C23" s="23" t="inlineStr"/>
    </row>
    <row r="24">
      <c r="A24" s="21" t="inlineStr">
        <is>
          <t>Landscape irrigation</t>
        </is>
      </c>
      <c r="B24" s="22" t="n">
        <v>2</v>
      </c>
      <c r="C24" s="23" t="inlineStr"/>
    </row>
    <row r="25" ht="81" customHeight="1">
      <c r="A25"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G2"/>
    <mergeCell ref="A25:G25"/>
    <mergeCell ref="A10:G10"/>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Las Flores Water Company</t>
        </is>
      </c>
    </row>
    <row r="2">
      <c r="A2" s="2" t="inlineStr">
        <is>
          <t>Governance evidence status - Ostrom's eight design principles</t>
        </is>
      </c>
    </row>
    <row r="3">
      <c r="A3" s="2" t="inlineStr">
        <is>
          <t>Entity ID: cawc_0028   |   Fiscal year ends December 31.</t>
        </is>
      </c>
    </row>
    <row r="5">
      <c r="A5" s="45" t="inlineStr">
        <is>
          <t>Evidence summary: 4 documented, 2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5" t="inlineStr">
        <is>
          <t>DOCUMENTED</t>
        </is>
      </c>
      <c r="C10" s="24" t="inlineStr">
        <is>
          <t>The system is a defined public water system: 1,479 service connections over a State-published service-area boundary of roughly 491.9 acres.</t>
        </is>
      </c>
      <c r="D10" s="24" t="inlineStr">
        <is>
          <t>SDWIS Community water system; SABL service-area boundary (Not Verified (SABL)); connections defined and agreed by two sources.</t>
        </is>
      </c>
      <c r="E10" s="46" t="inlineStr">
        <is>
          <t>[C][G]</t>
        </is>
      </c>
    </row>
    <row r="11" ht="96" customHeight="1">
      <c r="A11" s="3" t="inlineStr">
        <is>
          <t>What the record shows: SDWIS defines the membership as a fixed set of service connections and the State Water Board publishes a SABL service-area polygon, so who is inside and outside the system is documented, and SDWIS and the eAR agree on the count exactly. The boundary is Not Verified (SABL), so its outer edge rests on that State layer rather than on a field check.</t>
        </is>
      </c>
    </row>
    <row r="12" ht="46" customHeight="1">
      <c r="A12" s="8" t="inlineStr">
        <is>
          <t>Rules fit local conditions</t>
        </is>
      </c>
      <c r="B12" s="25" t="inlineStr">
        <is>
          <t>DOCUMENTED</t>
        </is>
      </c>
      <c r="C12" s="24" t="inlineStr">
        <is>
          <t>Charges are tied to use under a filed rate schedule: a Uniform Usage residential structure priced per hundred cubic feet, unchanged in the reporting year.</t>
        </is>
      </c>
      <c r="D12" s="24" t="inlineStr">
        <is>
          <t>eAR Section 8a customer charges; Uniform Usage residential rate structure priced per hundred cubic feet.</t>
        </is>
      </c>
      <c r="E12" s="46" t="inlineStr">
        <is>
          <t>[E]</t>
        </is>
      </c>
    </row>
    <row r="13" ht="96" customHeight="1">
      <c r="A13" s="3" t="inlineStr">
        <is>
          <t>What the record shows: The record documents how charges are set: a filed rate schedule with a Uniform Usage residential structure priced per hundred cubic feet, so cost tracks use. The filer did not answer the metering question for reporting year 2024, so whether every connection is metered is not confirmed from that year's filing and is not claimed.</t>
        </is>
      </c>
    </row>
    <row r="14" ht="46" customHeight="1">
      <c r="A14" s="8" t="inlineStr">
        <is>
          <t>Collective-choice arrangements</t>
        </is>
      </c>
      <c r="B14" s="25" t="inlineStr">
        <is>
          <t>PARTIAL</t>
        </is>
      </c>
      <c r="C14" s="24" t="inlineStr">
        <is>
          <t>The company is owned by its customer-shareholders and files a Form 990 governance section, but the specific board, the election procedure and member votes are not in a source this project holds.</t>
        </is>
      </c>
      <c r="D14" s="24" t="inlineStr">
        <is>
          <t>Mutual ownership (eAR ownership type); Form 990 governance section.</t>
        </is>
      </c>
      <c r="E14" s="46" t="inlineStr">
        <is>
          <t>[990][E]</t>
        </is>
      </c>
    </row>
    <row r="15" ht="111" customHeight="1">
      <c r="A15" s="3" t="inlineStr">
        <is>
          <t>What the record shows: A collective-choice mechanism is documented in outline: the State records the company as a privately owned mutual, so customers are shareholders. Three gaps keep this at PARTIAL: the specific board membership, the election procedure, and any record of member votes. The corporate registration that would close the first is NOT YET CHECKED for this company, and no company website was found that would document the rest.</t>
        </is>
      </c>
    </row>
    <row r="16" ht="46" customHeight="1">
      <c r="A16" s="8" t="inlineStr">
        <is>
          <t>Monitoring</t>
        </is>
      </c>
      <c r="B16" s="25" t="inlineStr">
        <is>
          <t>DOCUMENTED</t>
        </is>
      </c>
      <c r="C16" s="24" t="inlineStr">
        <is>
          <t>The system files an annual eAR, publishes an annual Consumer Confidence Report, and holds a dated emergency response plan.</t>
        </is>
      </c>
      <c r="D16" s="24" t="inlineStr">
        <is>
          <t>Annual eAR reporting including a complete Section 8b for reporting year 2023; 2024 Consumer Confidence Report located; emergency response plan dated 6/15/2022.</t>
        </is>
      </c>
      <c r="E16" s="46" t="inlineStr">
        <is>
          <t>[E][CCR][S]</t>
        </is>
      </c>
    </row>
    <row r="17" ht="96" customHeight="1">
      <c r="A17" s="3" t="inlineStr">
        <is>
          <t>What the record shows: Operational monitoring is documented: the system files an annual eAR, published a Consumer Confidence Report for 2024 that was located and downloaded, and holds a dated emergency response plan. That the report carries no text layer is a limit on what this project can read out of it, not evidence that the monitoring is absent.</t>
        </is>
      </c>
    </row>
    <row r="18" ht="46" customHeight="1">
      <c r="A18" s="8" t="inlineStr">
        <is>
          <t>Graduated sanctions</t>
        </is>
      </c>
      <c r="B18" s="25" t="inlineStr">
        <is>
          <t>NOT DOCUMENTED</t>
        </is>
      </c>
      <c r="C18" s="24" t="inlineStr">
        <is>
          <t>No published shut-off, penalty, or delinquency policy was found for this system.</t>
        </is>
      </c>
      <c r="D18" s="24" t="inlineStr">
        <is>
          <t>No sourced sanctions policy.</t>
        </is>
      </c>
      <c r="E18" s="46" t="inlineStr">
        <is>
          <t>not reported</t>
        </is>
      </c>
    </row>
    <row r="19" ht="96" customHeight="1">
      <c r="A19" s="3" t="inlineStr">
        <is>
          <t>What the record shows: No public record of a graduated shut-off or penalty policy was located, and no company website was found that might publish one.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5" t="inlineStr">
        <is>
          <t>NOT DOCUMENTED</t>
        </is>
      </c>
      <c r="C20" s="24" t="inlineStr">
        <is>
          <t>No published bylaws, dispute procedure, or grievance mechanism was found for this system.</t>
        </is>
      </c>
      <c r="D20" s="24" t="inlineStr">
        <is>
          <t>No sourced conflict-resolution record.</t>
        </is>
      </c>
      <c r="E20" s="46" t="inlineStr">
        <is>
          <t>not reported</t>
        </is>
      </c>
    </row>
    <row r="21" ht="96" customHeight="1">
      <c r="A21" s="3" t="inlineStr">
        <is>
          <t>What the record shows: No public record of a member dispute or conflict-resolution procedure was located, and no company website was found that might publish one.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5" t="inlineStr">
        <is>
          <t>DOCUMENTED</t>
        </is>
      </c>
      <c r="C22" s="24" t="inlineStr">
        <is>
          <t>An incorporated California mutual water company recognized by the IRS as a 501(c)(12) exempt filer and by the State Water Board as a Community public water system.</t>
        </is>
      </c>
      <c r="D22" s="24" t="inlineStr">
        <is>
          <t>IRS 501(c)(12) exempt filer (Form 990); SDWIS Community public water system; eAR ownership type 'Privately owned Mutual Water Company or Association'.</t>
        </is>
      </c>
      <c r="E22" s="46" t="inlineStr">
        <is>
          <t>[990][C][E]</t>
        </is>
      </c>
    </row>
    <row r="23" ht="111" customHeight="1">
      <c r="A23" s="3" t="inlineStr">
        <is>
          <t>What the record shows: Baseline legal standing is documented by two independent regulators: the IRS accepts it as a tax-exempt 501(c)(12) filer and the State Water Board holds it as a Community public water system with a mutual ownership type. Unlike the 22 mutuals covered by the 2026-08-21 Secretary of State pull, this status does NOT yet rest on a filed corporate record, because that check has not been run.</t>
        </is>
      </c>
    </row>
    <row r="24" ht="46" customHeight="1">
      <c r="A24" s="8" t="inlineStr">
        <is>
          <t>Nested enterprises</t>
        </is>
      </c>
      <c r="B24" s="25" t="inlineStr">
        <is>
          <t>PARTIAL</t>
        </is>
      </c>
      <c r="C24" s="24" t="inlineStr">
        <is>
          <t>The system buys effectively all of its water through Foothill Municipal Water District, which makes it deeply nested in a larger supply system; its role in governing that system is not documented.</t>
        </is>
      </c>
      <c r="D24" s="24" t="inlineStr">
        <is>
          <t>eAR zero approved groundwater and zero approved surface water sources of its own, one approved purchased surface water source (Foothill MWD treated connection), one approved emergency intertie; SDWIS primary source Surface Water Purchased.</t>
        </is>
      </c>
      <c r="E24" s="46" t="inlineStr">
        <is>
          <t>[E][C]</t>
        </is>
      </c>
    </row>
    <row r="25" ht="96" customHeight="1">
      <c r="A25" s="3" t="inlineStr">
        <is>
          <t>What the record shows: Physical nesting is documented as clearly as anywhere in this cohort: the company reports no source of its own and one purchased connection, so the larger system is not merely one of its supplies, it is its supply. What is not documented is any governance role in the wholesaler, so the tier is PARTIAL rather than met.</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Las Flores Water Company</t>
        </is>
      </c>
    </row>
    <row r="2">
      <c r="A2" s="2" t="inlineStr">
        <is>
          <t>Operational metrics - plant per acre, density, terrain</t>
        </is>
      </c>
    </row>
    <row r="3">
      <c r="A3" s="2" t="inlineStr">
        <is>
          <t>Entity ID: cawc_0028   |   Fiscal year ends December 31.</t>
        </is>
      </c>
    </row>
    <row r="5">
      <c r="A5" s="6" t="inlineStr">
        <is>
          <t>Plant assets per acre</t>
        </is>
      </c>
      <c r="B5" s="7" t="n"/>
      <c r="C5" s="7" t="n"/>
    </row>
    <row r="6">
      <c r="A6" s="21" t="inlineStr">
        <is>
          <t>Service-area acres</t>
        </is>
      </c>
      <c r="B6" s="47" t="n">
        <v>491.9</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48" t="inlineStr">
        <is>
          <t>FY2020</t>
        </is>
      </c>
      <c r="B8" s="9" t="n">
        <v>9791.977999999999</v>
      </c>
      <c r="C8" s="9" t="n">
        <v>4555.9748</v>
      </c>
    </row>
    <row r="9">
      <c r="A9" s="48" t="inlineStr">
        <is>
          <t>FY2021</t>
        </is>
      </c>
      <c r="B9" s="9" t="n">
        <v>10104.0415</v>
      </c>
      <c r="C9" s="9" t="n">
        <v>4504.5883</v>
      </c>
    </row>
    <row r="10">
      <c r="A10" s="48" t="inlineStr">
        <is>
          <t>FY2022</t>
        </is>
      </c>
      <c r="B10" s="9" t="n">
        <v>10399.8435</v>
      </c>
      <c r="C10" s="9" t="n">
        <v>4428.7233</v>
      </c>
    </row>
    <row r="11">
      <c r="A11" s="48" t="inlineStr">
        <is>
          <t>FY2023</t>
        </is>
      </c>
      <c r="B11" s="9" t="n">
        <v>10432.1671</v>
      </c>
      <c r="C11" s="9" t="n">
        <v>4164.7144</v>
      </c>
    </row>
    <row r="12">
      <c r="A12" s="48" t="inlineStr">
        <is>
          <t>FY2024</t>
        </is>
      </c>
      <c r="B12" s="9" t="n">
        <v>10964.1167</v>
      </c>
      <c r="C12" s="9" t="n">
        <v>4310.8782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1" t="inlineStr">
        <is>
          <t>Connections per acre</t>
        </is>
      </c>
      <c r="B19" s="20" t="n">
        <v>1.36</v>
      </c>
      <c r="C19" s="23" t="inlineStr">
        <is>
          <t>670 connections / 491.9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Las Flores Water Company</t>
        </is>
      </c>
    </row>
    <row r="2">
      <c r="A2" s="2" t="inlineStr">
        <is>
          <t>Supply and weather indicators (DWR water year)</t>
        </is>
      </c>
    </row>
    <row r="3">
      <c r="A3" s="2" t="inlineStr">
        <is>
          <t>Entity ID: cawc_0028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46" t="inlineStr">
        <is>
          <t>Dry</t>
        </is>
      </c>
      <c r="C8" s="46" t="inlineStr">
        <is>
          <t>Critical</t>
        </is>
      </c>
      <c r="D8" s="46" t="inlineStr">
        <is>
          <t>Critical</t>
        </is>
      </c>
      <c r="E8" s="46" t="inlineStr">
        <is>
          <t>Wet</t>
        </is>
      </c>
      <c r="F8" s="46" t="inlineStr">
        <is>
          <t>Above Normal</t>
        </is>
      </c>
    </row>
    <row r="9">
      <c r="A9" s="8" t="inlineStr">
        <is>
          <t>Peak drought, Los Angeles County</t>
        </is>
      </c>
      <c r="B9" s="46" t="inlineStr">
        <is>
          <t>D1</t>
        </is>
      </c>
      <c r="C9" s="46" t="inlineStr">
        <is>
          <t>D4</t>
        </is>
      </c>
      <c r="D9" s="46" t="inlineStr">
        <is>
          <t>D4</t>
        </is>
      </c>
      <c r="E9" s="46" t="inlineStr">
        <is>
          <t>D4</t>
        </is>
      </c>
      <c r="F9" s="46" t="inlineStr">
        <is>
          <t>None (no D0-D4 during the fiscal year)</t>
        </is>
      </c>
    </row>
    <row r="10">
      <c r="A10" s="8" t="inlineStr">
        <is>
          <t>Precip, percent of normal (8-Station Index)</t>
        </is>
      </c>
      <c r="B10" s="46" t="inlineStr">
        <is>
          <t>63</t>
        </is>
      </c>
      <c r="C10" s="46" t="inlineStr">
        <is>
          <t>48</t>
        </is>
      </c>
      <c r="D10" s="46" t="inlineStr">
        <is>
          <t>86</t>
        </is>
      </c>
      <c r="E10" s="46" t="inlineStr">
        <is>
          <t>133</t>
        </is>
      </c>
      <c r="F10" s="46" t="inlineStr">
        <is>
          <t>96</t>
        </is>
      </c>
    </row>
    <row r="11">
      <c r="A11" s="8" t="inlineStr">
        <is>
          <t>Snowpack, April 1 percent of average</t>
        </is>
      </c>
      <c r="B11" s="46" t="inlineStr">
        <is>
          <t>53%</t>
        </is>
      </c>
      <c r="C11" s="46" t="inlineStr">
        <is>
          <t>59%</t>
        </is>
      </c>
      <c r="D11" s="46" t="inlineStr">
        <is>
          <t>38%</t>
        </is>
      </c>
      <c r="E11" s="46" t="inlineStr">
        <is>
          <t>237%</t>
        </is>
      </c>
      <c r="F11" s="46" t="inlineStr">
        <is>
          <t>110%</t>
        </is>
      </c>
    </row>
    <row r="12">
      <c r="A12" s="8" t="inlineStr">
        <is>
          <t>State Water Project allocation</t>
        </is>
      </c>
      <c r="B12" s="46" t="inlineStr">
        <is>
          <t>20%</t>
        </is>
      </c>
      <c r="C12" s="46" t="inlineStr">
        <is>
          <t>5%</t>
        </is>
      </c>
      <c r="D12" s="46" t="inlineStr">
        <is>
          <t>5%</t>
        </is>
      </c>
      <c r="E12" s="46" t="inlineStr">
        <is>
          <t>100%</t>
        </is>
      </c>
      <c r="F12" s="46"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Las Flores Water Company</t>
        </is>
      </c>
    </row>
    <row r="2">
      <c r="A2" s="2" t="inlineStr">
        <is>
          <t>How this was built - forensic lineage</t>
        </is>
      </c>
    </row>
    <row r="3">
      <c r="A3" s="2" t="inlineStr">
        <is>
          <t>Entity ID: cawc_0028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1" t="inlineStr">
        <is>
          <t>Sources checked</t>
        </is>
      </c>
      <c r="B12" s="23" t="inlineStr">
        <is>
          <t>Form 990 Part VIII line 2 (program-service revenue); State Water Board eAR Section 8b (water-rate revenue B1.1/B1.2); eAR Section 8b filer comment (WRRevenueComments)</t>
        </is>
      </c>
    </row>
    <row r="13" ht="72" customHeight="1">
      <c r="A13" s="21" t="inlineStr">
        <is>
          <t>What was found</t>
        </is>
      </c>
      <c r="B13" s="23" t="inlineStr">
        <is>
          <t>A period-aligned residual cannot be computed for this filer, so the metric is rendered IMPOSSIBLE rather than guessed.</t>
        </is>
      </c>
    </row>
    <row r="14" ht="72" customHeight="1">
      <c r="A14" s="21" t="inlineStr">
        <is>
          <t>Caveat</t>
        </is>
      </c>
      <c r="B14" s="23" t="inlineStr">
        <is>
          <t>Not derivable. The eAR Section 8b is the calendar year 2023 while the Form 990 fiscal year ends December 31, 2023; the two period ends are not aligned, so a period-aligned residual cannot be computed.</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Las Flores Water Company</t>
        </is>
      </c>
    </row>
    <row r="2">
      <c r="A2" s="2" t="inlineStr">
        <is>
          <t>Water Operations (sourced outside the financial filings)</t>
        </is>
      </c>
    </row>
    <row r="3">
      <c r="A3" s="2" t="inlineStr">
        <is>
          <t>Entity ID: cawc_0028   |   Fiscal year ends December 31.</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24" t="inlineStr">
        <is>
          <t>Potable (community drinking water)</t>
        </is>
      </c>
      <c r="C8" s="8" t="inlineStr">
        <is>
          <t>SDWIS Drinking Water Watch (State Water Board)</t>
        </is>
      </c>
      <c r="D8" s="46" t="n">
        <v>2024</v>
      </c>
      <c r="E8" s="8" t="inlineStr">
        <is>
          <t>high</t>
        </is>
      </c>
      <c r="F8" s="24" t="inlineStr">
        <is>
          <t>LAS FLORES WATER CO.: State Water System Type = Community.</t>
        </is>
      </c>
    </row>
    <row r="9" ht="42" customHeight="1">
      <c r="A9" s="8" t="inlineStr">
        <is>
          <t>Source mix</t>
        </is>
      </c>
      <c r="B9" s="24" t="inlineStr">
        <is>
          <t>Primary source: purchased treated surface water from a wholesale supplier (SDWIS Primary Water Source Type: Surface Water Purchased). The eAR agrees and is more specific: for reporting year 2024 the system reports zero approved groundwater sources and zero approved surface water sources of its own, against one approved purchased surface water source, a treated connection from Foothill Municipal Water District, and one approved emergency intertie. No acre-foot volume by source is stated by either source, and the company's own 2024 Consumer Confidence Report is published as page images with no text layer, so none is transcribed from it.</t>
        </is>
      </c>
      <c r="C9" s="8" t="inlineStr">
        <is>
          <t>SDWIS Drinking Water Watch (State Water Board)</t>
        </is>
      </c>
      <c r="D9" s="46" t="n">
        <v>2024</v>
      </c>
      <c r="E9" s="8" t="inlineStr">
        <is>
          <t>high</t>
        </is>
      </c>
      <c r="F9" s="24" t="inlineStr">
        <is>
          <t>LAS FLORES WATER CO.: Primary Water Source Type = Surface Water Purchased.  [cross-source: SDWIS and the eAR agree that this system holds no approved source of its own; that is corroboration, not a merge.]</t>
        </is>
      </c>
    </row>
    <row r="10" ht="42" customHeight="1">
      <c r="A10" s="8" t="inlineStr">
        <is>
          <t>Service connections (total)</t>
        </is>
      </c>
      <c r="B10" s="24" t="inlineStr">
        <is>
          <t>1,479 connections</t>
        </is>
      </c>
      <c r="C10" s="8" t="inlineStr">
        <is>
          <t>SDWIS Drinking Water Watch (State Water Board)</t>
        </is>
      </c>
      <c r="D10" s="46" t="n">
        <v>2024</v>
      </c>
      <c r="E10" s="8" t="inlineStr">
        <is>
          <t>high</t>
        </is>
      </c>
      <c r="F10" s="24" t="inlineStr">
        <is>
          <t>LAS FLORES WATER CO.: Total Number of Service Connections = 1,479.  [cross-source: SDWIS and the eAR reporting year 2024 report the same 1,479, which is not true of every system in this cohort.]</t>
        </is>
      </c>
    </row>
    <row r="11" ht="42" customHeight="1">
      <c r="A11" s="8" t="inlineStr">
        <is>
          <t>Connections by class</t>
        </is>
      </c>
      <c r="B11" s="24" t="inlineStr">
        <is>
          <t>Service connections by class (eAR Section 4, reporting year 2024): Single family 1,469; Multi family 6; Commercial and institutional 2; Landscape irrigation 2; Active total 1,479. Industrial and agricultural are not reported by this filer.</t>
        </is>
      </c>
      <c r="C11" s="8" t="inlineStr">
        <is>
          <t>ear</t>
        </is>
      </c>
      <c r="D11" s="46" t="n">
        <v>2024</v>
      </c>
      <c r="E11" s="8" t="inlineStr">
        <is>
          <t>high</t>
        </is>
      </c>
      <c r="F11" s="24" t="inlineStr">
        <is>
          <t>eAR Section 4: single family 1,469; multi family 6; commercial or institutional 2; landscape irrigation 2.  [cross-source: Not comparable line for line with the SDWIS by-type snapshot carried for companies onboarded before 2026-08-26.]</t>
        </is>
      </c>
    </row>
    <row r="12" ht="42" customHeight="1">
      <c r="A12" s="8" t="inlineStr">
        <is>
          <t>Population served</t>
        </is>
      </c>
      <c r="B12" s="24" t="inlineStr">
        <is>
          <t>4,847 residents</t>
        </is>
      </c>
      <c r="C12" s="8" t="inlineStr">
        <is>
          <t>SDWIS Drinking Water Watch (State Water Board)</t>
        </is>
      </c>
      <c r="D12" s="46" t="n">
        <v>2024</v>
      </c>
      <c r="E12" s="8" t="inlineStr">
        <is>
          <t>high</t>
        </is>
      </c>
      <c r="F12" s="24" t="inlineStr">
        <is>
          <t>LAS FLORES WATER CO.: Total Population = 4,847.</t>
        </is>
      </c>
    </row>
    <row r="14">
      <c r="A14" s="6" t="inlineStr">
        <is>
          <t>Not reported (source still needed)</t>
        </is>
      </c>
      <c r="B14" s="7" t="n"/>
      <c r="C14" s="7" t="n"/>
      <c r="D14" s="7" t="n"/>
      <c r="E14" s="7" t="n"/>
      <c r="F14" s="7" t="n"/>
    </row>
    <row r="15" ht="30" customHeight="1">
      <c r="A15" s="8" t="inlineStr">
        <is>
          <t>Annual volume delivered (acre-feet)</t>
        </is>
      </c>
      <c r="B15" s="23" t="inlineStr">
        <is>
          <t>not reported - needs annual volume in acre-feet (State Water Board eAR Section 6 or company production records); the CCR states only a percentage mix</t>
        </is>
      </c>
      <c r="C15" s="44" t="n"/>
      <c r="D15" s="44" t="n"/>
      <c r="E15" s="44" t="n"/>
      <c r="F15" s="44" t="n"/>
    </row>
    <row r="16" ht="30" customHeight="1">
      <c r="A16" s="8" t="inlineStr">
        <is>
          <t>Customer classes served</t>
        </is>
      </c>
      <c r="B16" s="23" t="inlineStr">
        <is>
          <t>not reported - needs the State Water Board eAR or the system CCR</t>
        </is>
      </c>
      <c r="C16" s="44" t="n"/>
      <c r="D16" s="44" t="n"/>
      <c r="E16" s="44" t="n"/>
      <c r="F16" s="44" t="n"/>
    </row>
    <row r="17" ht="30" customHeight="1">
      <c r="A17" s="8" t="inlineStr">
        <is>
          <t>Treatment and water quality</t>
        </is>
      </c>
      <c r="B17" s="23" t="inlineStr">
        <is>
          <t>not reported - needs the State Water Board eAR or the system CCR</t>
        </is>
      </c>
      <c r="C17" s="44" t="n"/>
      <c r="D17" s="44" t="n"/>
      <c r="E17" s="44" t="n"/>
      <c r="F17" s="44" t="n"/>
    </row>
  </sheetData>
  <mergeCells count="4">
    <mergeCell ref="A3:F3"/>
    <mergeCell ref="A2:F2"/>
    <mergeCell ref="A1:F1"/>
    <mergeCell ref="A5:F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2"/>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Las Flores Water Company</t>
        </is>
      </c>
    </row>
    <row r="2">
      <c r="A2" s="2" t="inlineStr">
        <is>
          <t>Anomaly Flags (automated; kept separate from the clean statements)</t>
        </is>
      </c>
    </row>
    <row r="3">
      <c r="A3" s="2" t="inlineStr">
        <is>
          <t>Entity ID: cawc_0028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total expenses swing</t>
        </is>
      </c>
      <c r="B7" s="7" t="n"/>
    </row>
    <row r="8">
      <c r="A8" s="21" t="inlineStr">
        <is>
          <t>Affected figure</t>
        </is>
      </c>
      <c r="B8" s="23" t="inlineStr">
        <is>
          <t>Total expenses FY2024</t>
        </is>
      </c>
    </row>
    <row r="9">
      <c r="A9" s="21" t="inlineStr">
        <is>
          <t>Confidence</t>
        </is>
      </c>
      <c r="B9" s="23" t="inlineStr">
        <is>
          <t>high</t>
        </is>
      </c>
    </row>
    <row r="10" ht="72" customHeight="1">
      <c r="A10" s="21" t="inlineStr">
        <is>
          <t>What happened (filed, sourced)</t>
        </is>
      </c>
      <c r="B10" s="23" t="inlineStr">
        <is>
          <t>FY2024 total expenses rose to $2,629,920 from $647,062 in FY2023, a 306 percent move ($1,982,858 in absolute terms). Carried as filed and flagged as a documented anomaly, not smoothed.</t>
        </is>
      </c>
    </row>
    <row r="11" ht="22" customHeight="1">
      <c r="A11" s="21" t="inlineStr">
        <is>
          <t>Source lines</t>
        </is>
      </c>
      <c r="B11" s="23" t="inlineStr">
        <is>
          <t>- total expenses: $647,062 FY2023, $2,629,920 FY2024</t>
        </is>
      </c>
    </row>
    <row r="12" ht="72" customHeight="1">
      <c r="A12" s="21" t="inlineStr">
        <is>
          <t>Confidence reasoning</t>
        </is>
      </c>
      <c r="B12" s="23" t="inlineStr">
        <is>
          <t>A year-over-year move in a filed headline total that exceeds both the percentage and the dollar threshold; carried as filed.</t>
        </is>
      </c>
    </row>
    <row r="13">
      <c r="A13" s="21" t="inlineStr">
        <is>
          <t>Why (not stated in the filing)</t>
        </is>
      </c>
      <c r="B13" s="23" t="inlineStr">
        <is>
          <t>The filing does not state a reason.</t>
        </is>
      </c>
    </row>
    <row r="14" ht="60" customHeight="1">
      <c r="A14" s="21" t="inlineStr">
        <is>
          <t>Possible explanation (guess)</t>
        </is>
      </c>
      <c r="B14" s="49" t="inlineStr">
        <is>
          <t>Possible explanation, not stated in filing: a large one-year move in total expenses may reflect a one-time item or a change in how it was recorded. This is an educated guess, not something the filing actually says.</t>
        </is>
      </c>
    </row>
    <row r="16">
      <c r="A16" s="6" t="inlineStr">
        <is>
          <t>Flag: FY2024 total revenue swing</t>
        </is>
      </c>
      <c r="B16" s="7" t="n"/>
    </row>
    <row r="17">
      <c r="A17" s="21" t="inlineStr">
        <is>
          <t>Affected figure</t>
        </is>
      </c>
      <c r="B17" s="23" t="inlineStr">
        <is>
          <t>Operating revenue FY2024</t>
        </is>
      </c>
    </row>
    <row r="18">
      <c r="A18" s="21" t="inlineStr">
        <is>
          <t>Confidence</t>
        </is>
      </c>
      <c r="B18" s="23" t="inlineStr">
        <is>
          <t>high</t>
        </is>
      </c>
    </row>
    <row r="19" ht="72" customHeight="1">
      <c r="A19" s="21" t="inlineStr">
        <is>
          <t>What happened (filed, sourced)</t>
        </is>
      </c>
      <c r="B19" s="23" t="inlineStr">
        <is>
          <t>FY2024 total revenue rose to $1,804,118 from $686,016 in FY2023, a 163 percent move ($1,118,102 in absolute terms). Carried as filed and flagged as a documented anomaly, not smoothed.</t>
        </is>
      </c>
    </row>
    <row r="20" ht="22" customHeight="1">
      <c r="A20" s="21" t="inlineStr">
        <is>
          <t>Source lines</t>
        </is>
      </c>
      <c r="B20" s="23" t="inlineStr">
        <is>
          <t>- total revenue: $686,016 FY2023, $1,804,118 FY2024</t>
        </is>
      </c>
    </row>
    <row r="21" ht="72" customHeight="1">
      <c r="A21" s="21" t="inlineStr">
        <is>
          <t>Confidence reasoning</t>
        </is>
      </c>
      <c r="B21" s="23" t="inlineStr">
        <is>
          <t>A year-over-year move in a filed headline total that exceeds both the percentage and the dollar threshold; carried as filed.</t>
        </is>
      </c>
    </row>
    <row r="22">
      <c r="A22" s="21" t="inlineStr">
        <is>
          <t>Why (not stated in the filing)</t>
        </is>
      </c>
      <c r="B22" s="23" t="inlineStr">
        <is>
          <t>The filing does not state a reason.</t>
        </is>
      </c>
    </row>
    <row r="23" ht="60" customHeight="1">
      <c r="A23" s="21" t="inlineStr">
        <is>
          <t>Possible explanation (guess)</t>
        </is>
      </c>
      <c r="B23" s="49" t="inlineStr">
        <is>
          <t>Possible explanation, not stated in filing: a large one-year move in total revenue may reflect a one-time item or a change in how it was recorded. This is an educated guess, not something the filing actually says.</t>
        </is>
      </c>
    </row>
    <row r="25">
      <c r="A25" s="6" t="inlineStr">
        <is>
          <t>Flag: FY2024 net assets do not sum to the lines we extract</t>
        </is>
      </c>
      <c r="B25" s="7" t="n"/>
    </row>
    <row r="26">
      <c r="A26" s="21" t="inlineStr">
        <is>
          <t>Affected figure</t>
        </is>
      </c>
      <c r="B26" s="23" t="inlineStr">
        <is>
          <t>Net assets FY2024</t>
        </is>
      </c>
    </row>
    <row r="27">
      <c r="A27" s="21" t="inlineStr">
        <is>
          <t>Confidence</t>
        </is>
      </c>
      <c r="B27" s="23" t="inlineStr">
        <is>
          <t>medium</t>
        </is>
      </c>
    </row>
    <row r="28" ht="72" customHeight="1">
      <c r="A28" s="21" t="inlineStr">
        <is>
          <t>What happened (filed, sourced)</t>
        </is>
      </c>
      <c r="B28" s="23" t="inlineStr">
        <is>
          <t>FY2024 net assets are carried exactly as filed at $2,772,106. The lines we extracted do not sum to that total: the ending net assets it reports (Form 990 Part XI line 10) should equal the beginning net assets (line 4) plus revenue less expenses (line 3) plus other changes (lines 5-9), which computes to $2,428,313 (a difference of $343,793 against the $2,772,106 on the form). This may mean a line on the form that we do not yet read, rather than an error by the company. The filed figure is kept and the difference is flagged, not reconciled.</t>
        </is>
      </c>
    </row>
    <row r="29" ht="54" customHeight="1">
      <c r="A29" s="21" t="inlineStr">
        <is>
          <t>Source lines</t>
        </is>
      </c>
      <c r="B29" s="23" t="inlineStr">
        <is>
          <t>- Net assets, end of year (as filed): $2,772,106 (Form 990 Part XI line 10 / Part X line 32 (net assets, end of year))
- Net assets, end of year (recomputed from the lines we extract): $2,428,313
- Difference (as filed less our computed sum): $343,793</t>
        </is>
      </c>
    </row>
    <row r="30" ht="72" customHeight="1">
      <c r="A30" s="21" t="inlineStr">
        <is>
          <t>Confidence reasoning</t>
        </is>
      </c>
      <c r="B30" s="23" t="inlineStr">
        <is>
          <t>The net-assets figure is a direct filed line item, carried exactly as filed; confidence is held to medium (not high) because the lines we extract do not sum to the total on the form, so the figure is flagged rather than presented as clean. That can mean a line we do not read as easily as an inconsistency in the filing, and this project has found the former three times. Nothing is reconciled.</t>
        </is>
      </c>
    </row>
    <row r="31">
      <c r="A31" s="21" t="inlineStr">
        <is>
          <t>Why (not stated in the filing)</t>
        </is>
      </c>
      <c r="B31" s="23" t="inlineStr">
        <is>
          <t>The filing does not state a reason.</t>
        </is>
      </c>
    </row>
    <row r="32" ht="60" customHeight="1">
      <c r="A32" s="21" t="inlineStr">
        <is>
          <t>Possible explanation (guess)</t>
        </is>
      </c>
      <c r="B32" s="49" t="inlineStr">
        <is>
          <t>Possible explanation, not stated in filing: an ending net-worth figure that does not equal the beginning balance plus the year's surplus or deficit usually reflects a prior-year adjustment, a reclassification between balance-sheet lines, or a rounding or transcription difference on the filed form.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9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Las Flores Water Company</t>
        </is>
      </c>
    </row>
    <row r="2">
      <c r="A2" s="2" t="inlineStr">
        <is>
          <t>Sources &amp; audit - full provenance and tie-outs (kept off the statements so they read clean)</t>
        </is>
      </c>
    </row>
    <row r="3">
      <c r="A3" s="2" t="inlineStr">
        <is>
          <t>Entity ID: cawc_0028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6" t="inlineStr">
        <is>
          <t>FY2020</t>
        </is>
      </c>
      <c r="B10" s="8" t="inlineStr">
        <is>
          <t>2020-12-31</t>
        </is>
      </c>
      <c r="C10" s="8" t="inlineStr">
        <is>
          <t>990</t>
        </is>
      </c>
      <c r="D10" s="8" t="inlineStr">
        <is>
          <t>high</t>
        </is>
      </c>
      <c r="E10" s="8" t="inlineStr">
        <is>
          <t>e3a41830-5d81-4b19-be5d-e4b819688ba7</t>
        </is>
      </c>
      <c r="F10" s="8" t="inlineStr">
        <is>
          <t>202131629349301523</t>
        </is>
      </c>
      <c r="G10" s="8" t="inlineStr">
        <is>
          <t>claude-opus-5</t>
        </is>
      </c>
      <c r="H10" s="8" t="inlineStr">
        <is>
          <t>2026-09-14T20:40:24+00:00</t>
        </is>
      </c>
      <c r="I10" s="8" t="inlineStr">
        <is>
          <t>https://apps.irs.gov/pub/epostcard/990/xml/2021/2021_TEOS_XML_01A.zip#202131629349301523_public.xml</t>
        </is>
      </c>
    </row>
    <row r="11">
      <c r="A11" s="46" t="inlineStr">
        <is>
          <t>FY2021</t>
        </is>
      </c>
      <c r="B11" s="8" t="inlineStr">
        <is>
          <t>2021-12-31</t>
        </is>
      </c>
      <c r="C11" s="8" t="inlineStr">
        <is>
          <t>990</t>
        </is>
      </c>
      <c r="D11" s="8" t="inlineStr">
        <is>
          <t>high</t>
        </is>
      </c>
      <c r="E11" s="8" t="inlineStr">
        <is>
          <t>21b7efe7-a035-4ea5-b208-58fcdfa3af21</t>
        </is>
      </c>
      <c r="F11" s="8" t="inlineStr">
        <is>
          <t>202241809349300029</t>
        </is>
      </c>
      <c r="G11" s="8" t="inlineStr">
        <is>
          <t>claude-opus-5</t>
        </is>
      </c>
      <c r="H11" s="8" t="inlineStr">
        <is>
          <t>2026-09-14T20:40:24+00:00</t>
        </is>
      </c>
      <c r="I11" s="8" t="inlineStr">
        <is>
          <t>https://apps.irs.gov/pub/epostcard/990/xml/2022/2022_TEOS_XML_01A.zip#202241809349300029_public.xml</t>
        </is>
      </c>
    </row>
    <row r="12">
      <c r="A12" s="46" t="inlineStr">
        <is>
          <t>FY2022</t>
        </is>
      </c>
      <c r="B12" s="8" t="inlineStr">
        <is>
          <t>2022-12-31</t>
        </is>
      </c>
      <c r="C12" s="8" t="inlineStr">
        <is>
          <t>990</t>
        </is>
      </c>
      <c r="D12" s="8" t="inlineStr">
        <is>
          <t>high</t>
        </is>
      </c>
      <c r="E12" s="8" t="inlineStr">
        <is>
          <t>1fa06a07-0628-47e7-9543-39d6c1d5e584</t>
        </is>
      </c>
      <c r="F12" s="8" t="inlineStr">
        <is>
          <t>202332499349300418</t>
        </is>
      </c>
      <c r="G12" s="8" t="inlineStr">
        <is>
          <t>claude-opus-5</t>
        </is>
      </c>
      <c r="H12" s="8" t="inlineStr">
        <is>
          <t>2026-09-14T20:40:24+00:00</t>
        </is>
      </c>
      <c r="I12" s="8" t="inlineStr">
        <is>
          <t>https://apps.irs.gov/pub/epostcard/990/xml/2023/2023_TEOS_XML_09A.zip#202332499349300418_public.xml</t>
        </is>
      </c>
    </row>
    <row r="13">
      <c r="A13" s="46" t="inlineStr">
        <is>
          <t>FY2023</t>
        </is>
      </c>
      <c r="B13" s="8" t="inlineStr">
        <is>
          <t>2023-12-31</t>
        </is>
      </c>
      <c r="C13" s="8" t="inlineStr">
        <is>
          <t>990</t>
        </is>
      </c>
      <c r="D13" s="8" t="inlineStr">
        <is>
          <t>high</t>
        </is>
      </c>
      <c r="E13" s="8" t="inlineStr">
        <is>
          <t>ed048985-ec9e-47b8-9331-2d25eadf3a42</t>
        </is>
      </c>
      <c r="F13" s="8" t="inlineStr">
        <is>
          <t>202412159349301201</t>
        </is>
      </c>
      <c r="G13" s="8" t="inlineStr">
        <is>
          <t>claude-opus-5</t>
        </is>
      </c>
      <c r="H13" s="8" t="inlineStr">
        <is>
          <t>2026-09-14T20:40:24+00:00</t>
        </is>
      </c>
      <c r="I13" s="8" t="inlineStr">
        <is>
          <t>https://apps.irs.gov/pub/epostcard/990/xml/2024/2024_TEOS_XML_08A.zip#202412159349301201_public.xml</t>
        </is>
      </c>
    </row>
    <row r="14">
      <c r="A14" s="46" t="inlineStr">
        <is>
          <t>FY2024</t>
        </is>
      </c>
      <c r="B14" s="8" t="inlineStr">
        <is>
          <t>2024-12-31</t>
        </is>
      </c>
      <c r="C14" s="8" t="inlineStr">
        <is>
          <t>990</t>
        </is>
      </c>
      <c r="D14" s="8" t="inlineStr">
        <is>
          <t>medium</t>
        </is>
      </c>
      <c r="E14" s="8" t="inlineStr">
        <is>
          <t>6d6b3cf5-cc55-446a-8159-b32fe2ecd022</t>
        </is>
      </c>
      <c r="F14" s="8" t="inlineStr">
        <is>
          <t>202503069349300600</t>
        </is>
      </c>
      <c r="G14" s="8" t="inlineStr">
        <is>
          <t>claude-opus-5</t>
        </is>
      </c>
      <c r="H14" s="8" t="inlineStr">
        <is>
          <t>2026-09-14T20:40:24+00:00</t>
        </is>
      </c>
      <c r="I14" s="8" t="inlineStr">
        <is>
          <t>https://apps.irs.gov/pub/epostcard/990/xml/2025/2025_TEOS_XML_11A.zip#202503069349300600_public.xml</t>
        </is>
      </c>
    </row>
    <row r="16">
      <c r="A16" s="45"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2023684</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2020897</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1878158</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1734237</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2143394</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38898</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34637</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38</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55851</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4516</v>
      </c>
    </row>
    <row r="28">
      <c r="A28" s="8" t="inlineStr">
        <is>
          <t>Revenue (detail)</t>
        </is>
      </c>
      <c r="B28" s="8" t="inlineStr">
        <is>
          <t>F8</t>
        </is>
      </c>
      <c r="C28" s="8" t="inlineStr">
        <is>
          <t>2g. Total program service revenue</t>
        </is>
      </c>
      <c r="D28" s="8" t="inlineStr">
        <is>
          <t>2g</t>
        </is>
      </c>
      <c r="E28" s="8" t="inlineStr">
        <is>
          <t>part_viii_revenue.total_program_service_revenue</t>
        </is>
      </c>
      <c r="F28" s="8" t="inlineStr">
        <is>
          <t>high</t>
        </is>
      </c>
      <c r="G28" s="9" t="n">
        <v>2143394</v>
      </c>
    </row>
    <row r="29">
      <c r="A29" s="8" t="inlineStr">
        <is>
          <t>Revenue (detail)</t>
        </is>
      </c>
      <c r="B29" s="8" t="inlineStr">
        <is>
          <t>B9</t>
        </is>
      </c>
      <c r="C29" s="8" t="inlineStr">
        <is>
          <t>3. Investment income</t>
        </is>
      </c>
      <c r="D29" s="8" t="inlineStr">
        <is>
          <t>3</t>
        </is>
      </c>
      <c r="E29" s="8" t="inlineStr">
        <is>
          <t>part_viii_revenue.investment_income</t>
        </is>
      </c>
      <c r="F29" s="8" t="inlineStr">
        <is>
          <t>high</t>
        </is>
      </c>
      <c r="G29" s="9" t="n">
        <v>5641</v>
      </c>
    </row>
    <row r="30">
      <c r="A30" s="8" t="inlineStr">
        <is>
          <t>Revenue (detail)</t>
        </is>
      </c>
      <c r="B30" s="8" t="inlineStr">
        <is>
          <t>C9</t>
        </is>
      </c>
      <c r="C30" s="8" t="inlineStr">
        <is>
          <t>3. Investment income</t>
        </is>
      </c>
      <c r="D30" s="8" t="inlineStr">
        <is>
          <t>3</t>
        </is>
      </c>
      <c r="E30" s="8" t="inlineStr">
        <is>
          <t>part_viii_revenue.investment_income</t>
        </is>
      </c>
      <c r="F30" s="8" t="inlineStr">
        <is>
          <t>high</t>
        </is>
      </c>
      <c r="G30" s="9" t="n">
        <v>480</v>
      </c>
    </row>
    <row r="31">
      <c r="A31" s="8" t="inlineStr">
        <is>
          <t>Revenue (detail)</t>
        </is>
      </c>
      <c r="B31" s="8" t="inlineStr">
        <is>
          <t>D9</t>
        </is>
      </c>
      <c r="C31" s="8" t="inlineStr">
        <is>
          <t>3. Investment income</t>
        </is>
      </c>
      <c r="D31" s="8" t="inlineStr">
        <is>
          <t>3</t>
        </is>
      </c>
      <c r="E31" s="8" t="inlineStr">
        <is>
          <t>part_viii_revenue.investment_income</t>
        </is>
      </c>
      <c r="F31" s="8" t="inlineStr">
        <is>
          <t>high</t>
        </is>
      </c>
      <c r="G31" s="9" t="n">
        <v>38</v>
      </c>
    </row>
    <row r="32">
      <c r="A32" s="8" t="inlineStr">
        <is>
          <t>Revenue (detail)</t>
        </is>
      </c>
      <c r="B32" s="8" t="inlineStr">
        <is>
          <t>E9</t>
        </is>
      </c>
      <c r="C32" s="8" t="inlineStr">
        <is>
          <t>3. Investment income</t>
        </is>
      </c>
      <c r="D32" s="8" t="inlineStr">
        <is>
          <t>3</t>
        </is>
      </c>
      <c r="E32" s="8" t="inlineStr">
        <is>
          <t>part_viii_revenue.investment_income</t>
        </is>
      </c>
      <c r="F32" s="8" t="inlineStr">
        <is>
          <t>high</t>
        </is>
      </c>
      <c r="G32" s="9" t="n">
        <v>241</v>
      </c>
    </row>
    <row r="33">
      <c r="A33" s="8" t="inlineStr">
        <is>
          <t>Revenue (detail)</t>
        </is>
      </c>
      <c r="B33" s="8" t="inlineStr">
        <is>
          <t>F9</t>
        </is>
      </c>
      <c r="C33" s="8" t="inlineStr">
        <is>
          <t>3. Investment income</t>
        </is>
      </c>
      <c r="D33" s="8" t="inlineStr">
        <is>
          <t>3</t>
        </is>
      </c>
      <c r="E33" s="8" t="inlineStr">
        <is>
          <t>part_viii_revenue.investment_income</t>
        </is>
      </c>
      <c r="F33" s="8" t="inlineStr">
        <is>
          <t>high</t>
        </is>
      </c>
      <c r="G33" s="9" t="n">
        <v>4516</v>
      </c>
    </row>
    <row r="34">
      <c r="A34" s="8" t="inlineStr">
        <is>
          <t>Operating expenses (detail)</t>
        </is>
      </c>
      <c r="B34" s="8" t="inlineStr">
        <is>
          <t>B7</t>
        </is>
      </c>
      <c r="C34" s="8" t="inlineStr">
        <is>
          <t>5. Compensation of current officers, directors, trustees</t>
        </is>
      </c>
      <c r="D34" s="8" t="inlineStr">
        <is>
          <t>5</t>
        </is>
      </c>
      <c r="E34" s="8" t="inlineStr">
        <is>
          <t>part_ix_expenses.comp_current_officers</t>
        </is>
      </c>
      <c r="F34" s="8" t="inlineStr">
        <is>
          <t>high</t>
        </is>
      </c>
      <c r="G34" s="9" t="n">
        <v>2475</v>
      </c>
    </row>
    <row r="35">
      <c r="A35" s="8" t="inlineStr">
        <is>
          <t>Operating expenses (detail)</t>
        </is>
      </c>
      <c r="B35" s="8" t="inlineStr">
        <is>
          <t>C7</t>
        </is>
      </c>
      <c r="C35" s="8" t="inlineStr">
        <is>
          <t>5. Compensation of current officers, directors, trustees</t>
        </is>
      </c>
      <c r="D35" s="8" t="inlineStr">
        <is>
          <t>5</t>
        </is>
      </c>
      <c r="E35" s="8" t="inlineStr">
        <is>
          <t>part_ix_expenses.comp_current_officers</t>
        </is>
      </c>
      <c r="F35" s="8" t="inlineStr">
        <is>
          <t>high</t>
        </is>
      </c>
      <c r="G35" s="9" t="n">
        <v>1800</v>
      </c>
    </row>
    <row r="36">
      <c r="A36" s="8" t="inlineStr">
        <is>
          <t>Operating expenses (detail)</t>
        </is>
      </c>
      <c r="B36" s="8" t="inlineStr">
        <is>
          <t>B8</t>
        </is>
      </c>
      <c r="C36" s="8" t="inlineStr">
        <is>
          <t>6. Compensation to disqualified persons</t>
        </is>
      </c>
      <c r="D36" s="8" t="inlineStr">
        <is>
          <t>6</t>
        </is>
      </c>
      <c r="E36" s="8" t="inlineStr">
        <is>
          <t>part_ix_expenses.comp_disqualified_persons</t>
        </is>
      </c>
      <c r="F36" s="8" t="inlineStr">
        <is>
          <t>high</t>
        </is>
      </c>
      <c r="G36" s="9" t="n">
        <v>233214</v>
      </c>
    </row>
    <row r="37">
      <c r="A37" s="8" t="inlineStr">
        <is>
          <t>Operating expenses (detail)</t>
        </is>
      </c>
      <c r="B37" s="8" t="inlineStr">
        <is>
          <t>C8</t>
        </is>
      </c>
      <c r="C37" s="8" t="inlineStr">
        <is>
          <t>6. Compensation to disqualified persons</t>
        </is>
      </c>
      <c r="D37" s="8" t="inlineStr">
        <is>
          <t>6</t>
        </is>
      </c>
      <c r="E37" s="8" t="inlineStr">
        <is>
          <t>part_ix_expenses.comp_disqualified_persons</t>
        </is>
      </c>
      <c r="F37" s="8" t="inlineStr">
        <is>
          <t>high</t>
        </is>
      </c>
      <c r="G37" s="9" t="n">
        <v>261029</v>
      </c>
    </row>
    <row r="38">
      <c r="A38" s="8" t="inlineStr">
        <is>
          <t>Operating expenses (detail)</t>
        </is>
      </c>
      <c r="B38" s="8" t="inlineStr">
        <is>
          <t>D9</t>
        </is>
      </c>
      <c r="C38" s="8" t="inlineStr">
        <is>
          <t>7. Other salaries and wages</t>
        </is>
      </c>
      <c r="D38" s="8" t="inlineStr">
        <is>
          <t>7</t>
        </is>
      </c>
      <c r="E38" s="8" t="inlineStr">
        <is>
          <t>part_ix_expenses.other_salaries_and_wages</t>
        </is>
      </c>
      <c r="F38" s="8" t="inlineStr">
        <is>
          <t>high</t>
        </is>
      </c>
      <c r="G38" s="9" t="n">
        <v>261345</v>
      </c>
    </row>
    <row r="39">
      <c r="A39" s="8" t="inlineStr">
        <is>
          <t>Operating expenses (detail)</t>
        </is>
      </c>
      <c r="B39" s="8" t="inlineStr">
        <is>
          <t>E9</t>
        </is>
      </c>
      <c r="C39" s="8" t="inlineStr">
        <is>
          <t>7. Other salaries and wages</t>
        </is>
      </c>
      <c r="D39" s="8" t="inlineStr">
        <is>
          <t>7</t>
        </is>
      </c>
      <c r="E39" s="8" t="inlineStr">
        <is>
          <t>part_ix_expenses.other_salaries_and_wages</t>
        </is>
      </c>
      <c r="F39" s="8" t="inlineStr">
        <is>
          <t>high</t>
        </is>
      </c>
      <c r="G39" s="9" t="n">
        <v>302579</v>
      </c>
    </row>
    <row r="40">
      <c r="A40" s="8" t="inlineStr">
        <is>
          <t>Operating expenses (detail)</t>
        </is>
      </c>
      <c r="B40" s="8" t="inlineStr">
        <is>
          <t>F9</t>
        </is>
      </c>
      <c r="C40" s="8" t="inlineStr">
        <is>
          <t>7. Other salaries and wages</t>
        </is>
      </c>
      <c r="D40" s="8" t="inlineStr">
        <is>
          <t>7</t>
        </is>
      </c>
      <c r="E40" s="8" t="inlineStr">
        <is>
          <t>part_ix_expenses.other_salaries_and_wages</t>
        </is>
      </c>
      <c r="F40" s="8" t="inlineStr">
        <is>
          <t>high</t>
        </is>
      </c>
      <c r="G40" s="9" t="n">
        <v>327718</v>
      </c>
    </row>
    <row r="41">
      <c r="A41" s="8" t="inlineStr">
        <is>
          <t>Operating expenses (detail)</t>
        </is>
      </c>
      <c r="B41" s="8" t="inlineStr">
        <is>
          <t>B10</t>
        </is>
      </c>
      <c r="C41" s="8" t="inlineStr">
        <is>
          <t>8. Pension plan accruals and contributions</t>
        </is>
      </c>
      <c r="D41" s="8" t="inlineStr">
        <is>
          <t>8</t>
        </is>
      </c>
      <c r="E41" s="8" t="inlineStr">
        <is>
          <t>part_ix_expenses.pension_plan_contributions</t>
        </is>
      </c>
      <c r="F41" s="8" t="inlineStr">
        <is>
          <t>high</t>
        </is>
      </c>
      <c r="G41" s="9" t="n">
        <v>22491</v>
      </c>
    </row>
    <row r="42">
      <c r="A42" s="8" t="inlineStr">
        <is>
          <t>Operating expenses (detail)</t>
        </is>
      </c>
      <c r="B42" s="8" t="inlineStr">
        <is>
          <t>C10</t>
        </is>
      </c>
      <c r="C42" s="8" t="inlineStr">
        <is>
          <t>8. Pension plan accruals and contributions</t>
        </is>
      </c>
      <c r="D42" s="8" t="inlineStr">
        <is>
          <t>8</t>
        </is>
      </c>
      <c r="E42" s="8" t="inlineStr">
        <is>
          <t>part_ix_expenses.pension_plan_contributions</t>
        </is>
      </c>
      <c r="F42" s="8" t="inlineStr">
        <is>
          <t>high</t>
        </is>
      </c>
      <c r="G42" s="9" t="n">
        <v>23257</v>
      </c>
    </row>
    <row r="43">
      <c r="A43" s="8" t="inlineStr">
        <is>
          <t>Operating expenses (detail)</t>
        </is>
      </c>
      <c r="B43" s="8" t="inlineStr">
        <is>
          <t>D10</t>
        </is>
      </c>
      <c r="C43" s="8" t="inlineStr">
        <is>
          <t>8. Pension plan accruals and contributions</t>
        </is>
      </c>
      <c r="D43" s="8" t="inlineStr">
        <is>
          <t>8</t>
        </is>
      </c>
      <c r="E43" s="8" t="inlineStr">
        <is>
          <t>part_ix_expenses.pension_plan_contributions</t>
        </is>
      </c>
      <c r="F43" s="8" t="inlineStr">
        <is>
          <t>high</t>
        </is>
      </c>
      <c r="G43" s="9" t="n">
        <v>19996</v>
      </c>
    </row>
    <row r="44">
      <c r="A44" s="8" t="inlineStr">
        <is>
          <t>Operating expenses (detail)</t>
        </is>
      </c>
      <c r="B44" s="8" t="inlineStr">
        <is>
          <t>E10</t>
        </is>
      </c>
      <c r="C44" s="8" t="inlineStr">
        <is>
          <t>8. Pension plan accruals and contributions</t>
        </is>
      </c>
      <c r="D44" s="8" t="inlineStr">
        <is>
          <t>8</t>
        </is>
      </c>
      <c r="E44" s="8" t="inlineStr">
        <is>
          <t>part_ix_expenses.pension_plan_contributions</t>
        </is>
      </c>
      <c r="F44" s="8" t="inlineStr">
        <is>
          <t>high</t>
        </is>
      </c>
      <c r="G44" s="9" t="n">
        <v>21065</v>
      </c>
    </row>
    <row r="45">
      <c r="A45" s="8" t="inlineStr">
        <is>
          <t>Operating expenses (detail)</t>
        </is>
      </c>
      <c r="B45" s="8" t="inlineStr">
        <is>
          <t>F10</t>
        </is>
      </c>
      <c r="C45" s="8" t="inlineStr">
        <is>
          <t>8. Pension plan accruals and contributions</t>
        </is>
      </c>
      <c r="D45" s="8" t="inlineStr">
        <is>
          <t>8</t>
        </is>
      </c>
      <c r="E45" s="8" t="inlineStr">
        <is>
          <t>part_ix_expenses.pension_plan_contributions</t>
        </is>
      </c>
      <c r="F45" s="8" t="inlineStr">
        <is>
          <t>high</t>
        </is>
      </c>
      <c r="G45" s="9" t="n">
        <v>27096</v>
      </c>
    </row>
    <row r="46">
      <c r="A46" s="8" t="inlineStr">
        <is>
          <t>Operating expenses (detail)</t>
        </is>
      </c>
      <c r="B46" s="8" t="inlineStr">
        <is>
          <t>B11</t>
        </is>
      </c>
      <c r="C46" s="8" t="inlineStr">
        <is>
          <t>10. Payroll taxes</t>
        </is>
      </c>
      <c r="D46" s="8" t="inlineStr">
        <is>
          <t>10</t>
        </is>
      </c>
      <c r="E46" s="8" t="inlineStr">
        <is>
          <t>part_ix_expenses.payroll_taxes</t>
        </is>
      </c>
      <c r="F46" s="8" t="inlineStr">
        <is>
          <t>high</t>
        </is>
      </c>
      <c r="G46" s="9" t="n">
        <v>34442</v>
      </c>
    </row>
    <row r="47">
      <c r="A47" s="8" t="inlineStr">
        <is>
          <t>Operating expenses (detail)</t>
        </is>
      </c>
      <c r="B47" s="8" t="inlineStr">
        <is>
          <t>C11</t>
        </is>
      </c>
      <c r="C47" s="8" t="inlineStr">
        <is>
          <t>10. Payroll taxes</t>
        </is>
      </c>
      <c r="D47" s="8" t="inlineStr">
        <is>
          <t>10</t>
        </is>
      </c>
      <c r="E47" s="8" t="inlineStr">
        <is>
          <t>part_ix_expenses.payroll_taxes</t>
        </is>
      </c>
      <c r="F47" s="8" t="inlineStr">
        <is>
          <t>high</t>
        </is>
      </c>
      <c r="G47" s="9" t="n">
        <v>20910</v>
      </c>
    </row>
    <row r="48">
      <c r="A48" s="8" t="inlineStr">
        <is>
          <t>Operating expenses (detail)</t>
        </is>
      </c>
      <c r="B48" s="8" t="inlineStr">
        <is>
          <t>D11</t>
        </is>
      </c>
      <c r="C48" s="8" t="inlineStr">
        <is>
          <t>10. Payroll taxes</t>
        </is>
      </c>
      <c r="D48" s="8" t="inlineStr">
        <is>
          <t>10</t>
        </is>
      </c>
      <c r="E48" s="8" t="inlineStr">
        <is>
          <t>part_ix_expenses.payroll_taxes</t>
        </is>
      </c>
      <c r="F48" s="8" t="inlineStr">
        <is>
          <t>high</t>
        </is>
      </c>
      <c r="G48" s="9" t="n">
        <v>19110</v>
      </c>
    </row>
    <row r="49">
      <c r="A49" s="8" t="inlineStr">
        <is>
          <t>Operating expenses (detail)</t>
        </is>
      </c>
      <c r="B49" s="8" t="inlineStr">
        <is>
          <t>E11</t>
        </is>
      </c>
      <c r="C49" s="8" t="inlineStr">
        <is>
          <t>10. Payroll taxes</t>
        </is>
      </c>
      <c r="D49" s="8" t="inlineStr">
        <is>
          <t>10</t>
        </is>
      </c>
      <c r="E49" s="8" t="inlineStr">
        <is>
          <t>part_ix_expenses.payroll_taxes</t>
        </is>
      </c>
      <c r="F49" s="8" t="inlineStr">
        <is>
          <t>high</t>
        </is>
      </c>
      <c r="G49" s="9" t="n">
        <v>12704</v>
      </c>
    </row>
    <row r="50">
      <c r="A50" s="8" t="inlineStr">
        <is>
          <t>Operating expenses (detail)</t>
        </is>
      </c>
      <c r="B50" s="8" t="inlineStr">
        <is>
          <t>F11</t>
        </is>
      </c>
      <c r="C50" s="8" t="inlineStr">
        <is>
          <t>10. Payroll taxes</t>
        </is>
      </c>
      <c r="D50" s="8" t="inlineStr">
        <is>
          <t>10</t>
        </is>
      </c>
      <c r="E50" s="8" t="inlineStr">
        <is>
          <t>part_ix_expenses.payroll_taxes</t>
        </is>
      </c>
      <c r="F50" s="8" t="inlineStr">
        <is>
          <t>high</t>
        </is>
      </c>
      <c r="G50" s="9" t="n">
        <v>34539</v>
      </c>
    </row>
    <row r="51">
      <c r="A51" s="8" t="inlineStr">
        <is>
          <t>Operating expenses (detail)</t>
        </is>
      </c>
      <c r="B51" s="8" t="inlineStr">
        <is>
          <t>B12</t>
        </is>
      </c>
      <c r="C51" s="8" t="inlineStr">
        <is>
          <t>11g. Fees for services: other</t>
        </is>
      </c>
      <c r="D51" s="8" t="inlineStr">
        <is>
          <t>11g</t>
        </is>
      </c>
      <c r="E51" s="8" t="inlineStr">
        <is>
          <t>part_ix_expenses.fees_other</t>
        </is>
      </c>
      <c r="F51" s="8" t="inlineStr">
        <is>
          <t>high</t>
        </is>
      </c>
      <c r="G51" s="9" t="n">
        <v>15785</v>
      </c>
    </row>
    <row r="52">
      <c r="A52" s="8" t="inlineStr">
        <is>
          <t>Operating expenses (detail)</t>
        </is>
      </c>
      <c r="B52" s="8" t="inlineStr">
        <is>
          <t>C12</t>
        </is>
      </c>
      <c r="C52" s="8" t="inlineStr">
        <is>
          <t>11g. Fees for services: other</t>
        </is>
      </c>
      <c r="D52" s="8" t="inlineStr">
        <is>
          <t>11g</t>
        </is>
      </c>
      <c r="E52" s="8" t="inlineStr">
        <is>
          <t>part_ix_expenses.fees_other</t>
        </is>
      </c>
      <c r="F52" s="8" t="inlineStr">
        <is>
          <t>high</t>
        </is>
      </c>
      <c r="G52" s="9" t="n">
        <v>36869</v>
      </c>
    </row>
    <row r="53">
      <c r="A53" s="8" t="inlineStr">
        <is>
          <t>Operating expenses (detail)</t>
        </is>
      </c>
      <c r="B53" s="8" t="inlineStr">
        <is>
          <t>D12</t>
        </is>
      </c>
      <c r="C53" s="8" t="inlineStr">
        <is>
          <t>11g. Fees for services: other</t>
        </is>
      </c>
      <c r="D53" s="8" t="inlineStr">
        <is>
          <t>11g</t>
        </is>
      </c>
      <c r="E53" s="8" t="inlineStr">
        <is>
          <t>part_ix_expenses.fees_other</t>
        </is>
      </c>
      <c r="F53" s="8" t="inlineStr">
        <is>
          <t>high</t>
        </is>
      </c>
      <c r="G53" s="9" t="n">
        <v>60670</v>
      </c>
    </row>
    <row r="54">
      <c r="A54" s="8" t="inlineStr">
        <is>
          <t>Operating expenses (detail)</t>
        </is>
      </c>
      <c r="B54" s="8" t="inlineStr">
        <is>
          <t>E12</t>
        </is>
      </c>
      <c r="C54" s="8" t="inlineStr">
        <is>
          <t>11g. Fees for services: other</t>
        </is>
      </c>
      <c r="D54" s="8" t="inlineStr">
        <is>
          <t>11g</t>
        </is>
      </c>
      <c r="E54" s="8" t="inlineStr">
        <is>
          <t>part_ix_expenses.fees_other</t>
        </is>
      </c>
      <c r="F54" s="8" t="inlineStr">
        <is>
          <t>high</t>
        </is>
      </c>
      <c r="G54" s="9" t="n">
        <v>15640</v>
      </c>
    </row>
    <row r="55">
      <c r="A55" s="8" t="inlineStr">
        <is>
          <t>Operating expenses (detail)</t>
        </is>
      </c>
      <c r="B55" s="8" t="inlineStr">
        <is>
          <t>F12</t>
        </is>
      </c>
      <c r="C55" s="8" t="inlineStr">
        <is>
          <t>11g. Fees for services: other</t>
        </is>
      </c>
      <c r="D55" s="8" t="inlineStr">
        <is>
          <t>11g</t>
        </is>
      </c>
      <c r="E55" s="8" t="inlineStr">
        <is>
          <t>part_ix_expenses.fees_other</t>
        </is>
      </c>
      <c r="F55" s="8" t="inlineStr">
        <is>
          <t>high</t>
        </is>
      </c>
      <c r="G55" s="9" t="n">
        <v>171293</v>
      </c>
    </row>
    <row r="56">
      <c r="A56" s="8" t="inlineStr">
        <is>
          <t>Operating expenses (detail)</t>
        </is>
      </c>
      <c r="B56" s="8" t="inlineStr">
        <is>
          <t>B13</t>
        </is>
      </c>
      <c r="C56" s="8" t="inlineStr">
        <is>
          <t>13. Office expenses</t>
        </is>
      </c>
      <c r="D56" s="8" t="inlineStr">
        <is>
          <t>13</t>
        </is>
      </c>
      <c r="E56" s="8" t="inlineStr">
        <is>
          <t>part_ix_expenses.office_expenses</t>
        </is>
      </c>
      <c r="F56" s="8" t="inlineStr">
        <is>
          <t>high</t>
        </is>
      </c>
      <c r="G56" s="9" t="n">
        <v>8351</v>
      </c>
    </row>
    <row r="57">
      <c r="A57" s="8" t="inlineStr">
        <is>
          <t>Operating expenses (detail)</t>
        </is>
      </c>
      <c r="B57" s="8" t="inlineStr">
        <is>
          <t>C13</t>
        </is>
      </c>
      <c r="C57" s="8" t="inlineStr">
        <is>
          <t>13. Office expenses</t>
        </is>
      </c>
      <c r="D57" s="8" t="inlineStr">
        <is>
          <t>13</t>
        </is>
      </c>
      <c r="E57" s="8" t="inlineStr">
        <is>
          <t>part_ix_expenses.office_expenses</t>
        </is>
      </c>
      <c r="F57" s="8" t="inlineStr">
        <is>
          <t>high</t>
        </is>
      </c>
      <c r="G57" s="9" t="n">
        <v>47943</v>
      </c>
    </row>
    <row r="58">
      <c r="A58" s="8" t="inlineStr">
        <is>
          <t>Operating expenses (detail)</t>
        </is>
      </c>
      <c r="B58" s="8" t="inlineStr">
        <is>
          <t>D13</t>
        </is>
      </c>
      <c r="C58" s="8" t="inlineStr">
        <is>
          <t>13. Office expenses</t>
        </is>
      </c>
      <c r="D58" s="8" t="inlineStr">
        <is>
          <t>13</t>
        </is>
      </c>
      <c r="E58" s="8" t="inlineStr">
        <is>
          <t>part_ix_expenses.office_expenses</t>
        </is>
      </c>
      <c r="F58" s="8" t="inlineStr">
        <is>
          <t>high</t>
        </is>
      </c>
      <c r="G58" s="9" t="n">
        <v>9672</v>
      </c>
    </row>
    <row r="59">
      <c r="A59" s="8" t="inlineStr">
        <is>
          <t>Operating expenses (detail)</t>
        </is>
      </c>
      <c r="B59" s="8" t="inlineStr">
        <is>
          <t>E13</t>
        </is>
      </c>
      <c r="C59" s="8" t="inlineStr">
        <is>
          <t>13. Office expenses</t>
        </is>
      </c>
      <c r="D59" s="8" t="inlineStr">
        <is>
          <t>13</t>
        </is>
      </c>
      <c r="E59" s="8" t="inlineStr">
        <is>
          <t>part_ix_expenses.office_expenses</t>
        </is>
      </c>
      <c r="F59" s="8" t="inlineStr">
        <is>
          <t>high</t>
        </is>
      </c>
      <c r="G59" s="9" t="n">
        <v>9579</v>
      </c>
    </row>
    <row r="60">
      <c r="A60" s="8" t="inlineStr">
        <is>
          <t>Operating expenses (detail)</t>
        </is>
      </c>
      <c r="B60" s="8" t="inlineStr">
        <is>
          <t>F13</t>
        </is>
      </c>
      <c r="C60" s="8" t="inlineStr">
        <is>
          <t>13. Office expenses</t>
        </is>
      </c>
      <c r="D60" s="8" t="inlineStr">
        <is>
          <t>13</t>
        </is>
      </c>
      <c r="E60" s="8" t="inlineStr">
        <is>
          <t>part_ix_expenses.office_expenses</t>
        </is>
      </c>
      <c r="F60" s="8" t="inlineStr">
        <is>
          <t>high</t>
        </is>
      </c>
      <c r="G60" s="9" t="n">
        <v>9827</v>
      </c>
    </row>
    <row r="61">
      <c r="A61" s="8" t="inlineStr">
        <is>
          <t>Operating expenses (detail)</t>
        </is>
      </c>
      <c r="B61" s="8" t="inlineStr">
        <is>
          <t>D14</t>
        </is>
      </c>
      <c r="C61" s="8" t="inlineStr">
        <is>
          <t>16. Occupancy</t>
        </is>
      </c>
      <c r="D61" s="8" t="inlineStr">
        <is>
          <t>16</t>
        </is>
      </c>
      <c r="E61" s="8" t="inlineStr">
        <is>
          <t>part_ix_expenses.occupancy</t>
        </is>
      </c>
      <c r="F61" s="8" t="inlineStr">
        <is>
          <t>high</t>
        </is>
      </c>
      <c r="G61" s="9" t="n">
        <v>28216</v>
      </c>
    </row>
    <row r="62">
      <c r="A62" s="8" t="inlineStr">
        <is>
          <t>Operating expenses (detail)</t>
        </is>
      </c>
      <c r="B62" s="8" t="inlineStr">
        <is>
          <t>E14</t>
        </is>
      </c>
      <c r="C62" s="8" t="inlineStr">
        <is>
          <t>16. Occupancy</t>
        </is>
      </c>
      <c r="D62" s="8" t="inlineStr">
        <is>
          <t>16</t>
        </is>
      </c>
      <c r="E62" s="8" t="inlineStr">
        <is>
          <t>part_ix_expenses.occupancy</t>
        </is>
      </c>
      <c r="F62" s="8" t="inlineStr">
        <is>
          <t>high</t>
        </is>
      </c>
      <c r="G62" s="9" t="n">
        <v>29016</v>
      </c>
    </row>
    <row r="63">
      <c r="A63" s="8" t="inlineStr">
        <is>
          <t>Operating expenses (detail)</t>
        </is>
      </c>
      <c r="B63" s="8" t="inlineStr">
        <is>
          <t>F14</t>
        </is>
      </c>
      <c r="C63" s="8" t="inlineStr">
        <is>
          <t>16. Occupancy</t>
        </is>
      </c>
      <c r="D63" s="8" t="inlineStr">
        <is>
          <t>16</t>
        </is>
      </c>
      <c r="E63" s="8" t="inlineStr">
        <is>
          <t>part_ix_expenses.occupancy</t>
        </is>
      </c>
      <c r="F63" s="8" t="inlineStr">
        <is>
          <t>high</t>
        </is>
      </c>
      <c r="G63" s="9" t="n">
        <v>9460</v>
      </c>
    </row>
    <row r="64">
      <c r="A64" s="8" t="inlineStr">
        <is>
          <t>Operating expenses (detail)</t>
        </is>
      </c>
      <c r="B64" s="8" t="inlineStr">
        <is>
          <t>B15</t>
        </is>
      </c>
      <c r="C64" s="8" t="inlineStr">
        <is>
          <t>20. Interest</t>
        </is>
      </c>
      <c r="D64" s="8" t="inlineStr">
        <is>
          <t>20</t>
        </is>
      </c>
      <c r="E64" s="8" t="inlineStr">
        <is>
          <t>part_ix_expenses.interest</t>
        </is>
      </c>
      <c r="F64" s="8" t="inlineStr">
        <is>
          <t>high</t>
        </is>
      </c>
      <c r="G64" s="9" t="n">
        <v>14994</v>
      </c>
    </row>
    <row r="65">
      <c r="A65" s="8" t="inlineStr">
        <is>
          <t>Operating expenses (detail)</t>
        </is>
      </c>
      <c r="B65" s="8" t="inlineStr">
        <is>
          <t>C15</t>
        </is>
      </c>
      <c r="C65" s="8" t="inlineStr">
        <is>
          <t>20. Interest</t>
        </is>
      </c>
      <c r="D65" s="8" t="inlineStr">
        <is>
          <t>20</t>
        </is>
      </c>
      <c r="E65" s="8" t="inlineStr">
        <is>
          <t>part_ix_expenses.interest</t>
        </is>
      </c>
      <c r="F65" s="8" t="inlineStr">
        <is>
          <t>high</t>
        </is>
      </c>
      <c r="G65" s="9" t="n">
        <v>12844</v>
      </c>
    </row>
    <row r="66">
      <c r="A66" s="8" t="inlineStr">
        <is>
          <t>Operating expenses (detail)</t>
        </is>
      </c>
      <c r="B66" s="8" t="inlineStr">
        <is>
          <t>D15</t>
        </is>
      </c>
      <c r="C66" s="8" t="inlineStr">
        <is>
          <t>20. Interest</t>
        </is>
      </c>
      <c r="D66" s="8" t="inlineStr">
        <is>
          <t>20</t>
        </is>
      </c>
      <c r="E66" s="8" t="inlineStr">
        <is>
          <t>part_ix_expenses.interest</t>
        </is>
      </c>
      <c r="F66" s="8" t="inlineStr">
        <is>
          <t>high</t>
        </is>
      </c>
      <c r="G66" s="9" t="n">
        <v>10619</v>
      </c>
    </row>
    <row r="67">
      <c r="A67" s="8" t="inlineStr">
        <is>
          <t>Operating expenses (detail)</t>
        </is>
      </c>
      <c r="B67" s="8" t="inlineStr">
        <is>
          <t>E15</t>
        </is>
      </c>
      <c r="C67" s="8" t="inlineStr">
        <is>
          <t>20. Interest</t>
        </is>
      </c>
      <c r="D67" s="8" t="inlineStr">
        <is>
          <t>20</t>
        </is>
      </c>
      <c r="E67" s="8" t="inlineStr">
        <is>
          <t>part_ix_expenses.interest</t>
        </is>
      </c>
      <c r="F67" s="8" t="inlineStr">
        <is>
          <t>high</t>
        </is>
      </c>
      <c r="G67" s="9" t="n">
        <v>8058</v>
      </c>
    </row>
    <row r="68">
      <c r="A68" s="8" t="inlineStr">
        <is>
          <t>Operating expenses (detail)</t>
        </is>
      </c>
      <c r="B68" s="8" t="inlineStr">
        <is>
          <t>F15</t>
        </is>
      </c>
      <c r="C68" s="8" t="inlineStr">
        <is>
          <t>20. Interest</t>
        </is>
      </c>
      <c r="D68" s="8" t="inlineStr">
        <is>
          <t>20</t>
        </is>
      </c>
      <c r="E68" s="8" t="inlineStr">
        <is>
          <t>part_ix_expenses.interest</t>
        </is>
      </c>
      <c r="F68" s="8" t="inlineStr">
        <is>
          <t>high</t>
        </is>
      </c>
      <c r="G68" s="9" t="n">
        <v>5442</v>
      </c>
    </row>
    <row r="69">
      <c r="A69" s="8" t="inlineStr">
        <is>
          <t>Operating expenses (detail)</t>
        </is>
      </c>
      <c r="B69" s="8" t="inlineStr">
        <is>
          <t>B16</t>
        </is>
      </c>
      <c r="C69" s="8" t="inlineStr">
        <is>
          <t>22. Depreciation, depletion, and amortization</t>
        </is>
      </c>
      <c r="D69" s="8" t="inlineStr">
        <is>
          <t>22</t>
        </is>
      </c>
      <c r="E69" s="8" t="inlineStr">
        <is>
          <t>part_ix_expenses.depreciation</t>
        </is>
      </c>
      <c r="F69" s="8" t="inlineStr">
        <is>
          <t>high</t>
        </is>
      </c>
      <c r="G69" s="9" t="n">
        <v>35458</v>
      </c>
    </row>
    <row r="70">
      <c r="A70" s="8" t="inlineStr">
        <is>
          <t>Operating expenses (detail)</t>
        </is>
      </c>
      <c r="B70" s="8" t="inlineStr">
        <is>
          <t>C16</t>
        </is>
      </c>
      <c r="C70" s="8" t="inlineStr">
        <is>
          <t>22. Depreciation, depletion, and amortization</t>
        </is>
      </c>
      <c r="D70" s="8" t="inlineStr">
        <is>
          <t>22</t>
        </is>
      </c>
      <c r="E70" s="8" t="inlineStr">
        <is>
          <t>part_ix_expenses.depreciation</t>
        </is>
      </c>
      <c r="F70" s="8" t="inlineStr">
        <is>
          <t>high</t>
        </is>
      </c>
      <c r="G70" s="9" t="n">
        <v>34249</v>
      </c>
    </row>
    <row r="71">
      <c r="A71" s="8" t="inlineStr">
        <is>
          <t>Operating expenses (detail)</t>
        </is>
      </c>
      <c r="B71" s="8" t="inlineStr">
        <is>
          <t>B17</t>
        </is>
      </c>
      <c r="C71" s="8" t="inlineStr">
        <is>
          <t>23. Insurance</t>
        </is>
      </c>
      <c r="D71" s="8" t="inlineStr">
        <is>
          <t>23</t>
        </is>
      </c>
      <c r="E71" s="8" t="inlineStr">
        <is>
          <t>part_ix_expenses.insurance</t>
        </is>
      </c>
      <c r="F71" s="8" t="inlineStr">
        <is>
          <t>high</t>
        </is>
      </c>
      <c r="G71" s="9" t="n">
        <v>126313</v>
      </c>
    </row>
    <row r="72">
      <c r="A72" s="8" t="inlineStr">
        <is>
          <t>Operating expenses (detail)</t>
        </is>
      </c>
      <c r="B72" s="8" t="inlineStr">
        <is>
          <t>C17</t>
        </is>
      </c>
      <c r="C72" s="8" t="inlineStr">
        <is>
          <t>23. Insurance</t>
        </is>
      </c>
      <c r="D72" s="8" t="inlineStr">
        <is>
          <t>23</t>
        </is>
      </c>
      <c r="E72" s="8" t="inlineStr">
        <is>
          <t>part_ix_expenses.insurance</t>
        </is>
      </c>
      <c r="F72" s="8" t="inlineStr">
        <is>
          <t>high</t>
        </is>
      </c>
      <c r="G72" s="9" t="n">
        <v>144216</v>
      </c>
    </row>
    <row r="73">
      <c r="A73" s="8" t="inlineStr">
        <is>
          <t>Operating expenses (detail)</t>
        </is>
      </c>
      <c r="B73" s="8" t="inlineStr">
        <is>
          <t>D17</t>
        </is>
      </c>
      <c r="C73" s="8" t="inlineStr">
        <is>
          <t>23. Insurance</t>
        </is>
      </c>
      <c r="D73" s="8" t="inlineStr">
        <is>
          <t>23</t>
        </is>
      </c>
      <c r="E73" s="8" t="inlineStr">
        <is>
          <t>part_ix_expenses.insurance</t>
        </is>
      </c>
      <c r="F73" s="8" t="inlineStr">
        <is>
          <t>high</t>
        </is>
      </c>
      <c r="G73" s="9" t="n">
        <v>142943</v>
      </c>
    </row>
    <row r="74">
      <c r="A74" s="8" t="inlineStr">
        <is>
          <t>Operating expenses (detail)</t>
        </is>
      </c>
      <c r="B74" s="8" t="inlineStr">
        <is>
          <t>E17</t>
        </is>
      </c>
      <c r="C74" s="8" t="inlineStr">
        <is>
          <t>23. Insurance</t>
        </is>
      </c>
      <c r="D74" s="8" t="inlineStr">
        <is>
          <t>23</t>
        </is>
      </c>
      <c r="E74" s="8" t="inlineStr">
        <is>
          <t>part_ix_expenses.insurance</t>
        </is>
      </c>
      <c r="F74" s="8" t="inlineStr">
        <is>
          <t>high</t>
        </is>
      </c>
      <c r="G74" s="9" t="n">
        <v>148442</v>
      </c>
    </row>
    <row r="75">
      <c r="A75" s="8" t="inlineStr">
        <is>
          <t>Operating expenses (detail)</t>
        </is>
      </c>
      <c r="B75" s="8" t="inlineStr">
        <is>
          <t>F17</t>
        </is>
      </c>
      <c r="C75" s="8" t="inlineStr">
        <is>
          <t>23. Insurance</t>
        </is>
      </c>
      <c r="D75" s="8" t="inlineStr">
        <is>
          <t>23</t>
        </is>
      </c>
      <c r="E75" s="8" t="inlineStr">
        <is>
          <t>part_ix_expenses.insurance</t>
        </is>
      </c>
      <c r="F75" s="8" t="inlineStr">
        <is>
          <t>high</t>
        </is>
      </c>
      <c r="G75" s="9" t="n">
        <v>164891</v>
      </c>
    </row>
    <row r="76">
      <c r="A76" s="8" t="inlineStr">
        <is>
          <t>Balance sheet (detail)</t>
        </is>
      </c>
      <c r="B76" s="8" t="inlineStr">
        <is>
          <t>B7</t>
        </is>
      </c>
      <c r="C76" s="8" t="inlineStr">
        <is>
          <t>1. Cash - non-interest-bearing</t>
        </is>
      </c>
      <c r="D76" s="8" t="inlineStr">
        <is>
          <t>1E</t>
        </is>
      </c>
      <c r="E76" s="8" t="inlineStr">
        <is>
          <t>part_x_balance_sheet.cash_noninterest_eoy</t>
        </is>
      </c>
      <c r="F76" s="8" t="inlineStr">
        <is>
          <t>high</t>
        </is>
      </c>
      <c r="G76" s="9" t="n">
        <v>1164839</v>
      </c>
    </row>
    <row r="77">
      <c r="A77" s="8" t="inlineStr">
        <is>
          <t>Balance sheet (detail)</t>
        </is>
      </c>
      <c r="B77" s="8" t="inlineStr">
        <is>
          <t>C7</t>
        </is>
      </c>
      <c r="C77" s="8" t="inlineStr">
        <is>
          <t>1. Cash - non-interest-bearing</t>
        </is>
      </c>
      <c r="D77" s="8" t="inlineStr">
        <is>
          <t>1E</t>
        </is>
      </c>
      <c r="E77" s="8" t="inlineStr">
        <is>
          <t>part_x_balance_sheet.cash_noninterest_eoy</t>
        </is>
      </c>
      <c r="F77" s="8" t="inlineStr">
        <is>
          <t>high</t>
        </is>
      </c>
      <c r="G77" s="9" t="n">
        <v>1310794</v>
      </c>
    </row>
    <row r="78">
      <c r="A78" s="8" t="inlineStr">
        <is>
          <t>Balance sheet (detail)</t>
        </is>
      </c>
      <c r="B78" s="8" t="inlineStr">
        <is>
          <t>D7</t>
        </is>
      </c>
      <c r="C78" s="8" t="inlineStr">
        <is>
          <t>1. Cash - non-interest-bearing</t>
        </is>
      </c>
      <c r="D78" s="8" t="inlineStr">
        <is>
          <t>1E</t>
        </is>
      </c>
      <c r="E78" s="8" t="inlineStr">
        <is>
          <t>part_x_balance_sheet.cash_noninterest_eoy</t>
        </is>
      </c>
      <c r="F78" s="8" t="inlineStr">
        <is>
          <t>high</t>
        </is>
      </c>
      <c r="G78" s="9" t="n">
        <v>1135670</v>
      </c>
    </row>
    <row r="79">
      <c r="A79" s="8" t="inlineStr">
        <is>
          <t>Balance sheet (detail)</t>
        </is>
      </c>
      <c r="B79" s="8" t="inlineStr">
        <is>
          <t>E7</t>
        </is>
      </c>
      <c r="C79" s="8" t="inlineStr">
        <is>
          <t>1. Cash - non-interest-bearing</t>
        </is>
      </c>
      <c r="D79" s="8" t="inlineStr">
        <is>
          <t>1E</t>
        </is>
      </c>
      <c r="E79" s="8" t="inlineStr">
        <is>
          <t>part_x_balance_sheet.cash_noninterest_eoy</t>
        </is>
      </c>
      <c r="F79" s="8" t="inlineStr">
        <is>
          <t>high</t>
        </is>
      </c>
      <c r="G79" s="9" t="n">
        <v>1162140</v>
      </c>
    </row>
    <row r="80">
      <c r="A80" s="8" t="inlineStr">
        <is>
          <t>Balance sheet (detail)</t>
        </is>
      </c>
      <c r="B80" s="8" t="inlineStr">
        <is>
          <t>F7</t>
        </is>
      </c>
      <c r="C80" s="8" t="inlineStr">
        <is>
          <t>1. Cash - non-interest-bearing</t>
        </is>
      </c>
      <c r="D80" s="8" t="inlineStr">
        <is>
          <t>1E</t>
        </is>
      </c>
      <c r="E80" s="8" t="inlineStr">
        <is>
          <t>part_x_balance_sheet.cash_noninterest_eoy</t>
        </is>
      </c>
      <c r="F80" s="8" t="inlineStr">
        <is>
          <t>high</t>
        </is>
      </c>
      <c r="G80" s="9" t="n">
        <v>870462</v>
      </c>
    </row>
    <row r="81">
      <c r="A81" s="8" t="inlineStr">
        <is>
          <t>Balance sheet (detail)</t>
        </is>
      </c>
      <c r="B81" s="8" t="inlineStr">
        <is>
          <t>B8</t>
        </is>
      </c>
      <c r="C81" s="8" t="inlineStr">
        <is>
          <t>4. Accounts receivable, net</t>
        </is>
      </c>
      <c r="D81" s="8" t="inlineStr">
        <is>
          <t>4E</t>
        </is>
      </c>
      <c r="E81" s="8" t="inlineStr">
        <is>
          <t>part_x_balance_sheet.accounts_receivable_eoy</t>
        </is>
      </c>
      <c r="F81" s="8" t="inlineStr">
        <is>
          <t>high</t>
        </is>
      </c>
      <c r="G81" s="9" t="n">
        <v>191583</v>
      </c>
    </row>
    <row r="82">
      <c r="A82" s="8" t="inlineStr">
        <is>
          <t>Balance sheet (detail)</t>
        </is>
      </c>
      <c r="B82" s="8" t="inlineStr">
        <is>
          <t>C8</t>
        </is>
      </c>
      <c r="C82" s="8" t="inlineStr">
        <is>
          <t>4. Accounts receivable, net</t>
        </is>
      </c>
      <c r="D82" s="8" t="inlineStr">
        <is>
          <t>4E</t>
        </is>
      </c>
      <c r="E82" s="8" t="inlineStr">
        <is>
          <t>part_x_balance_sheet.accounts_receivable_eoy</t>
        </is>
      </c>
      <c r="F82" s="8" t="inlineStr">
        <is>
          <t>high</t>
        </is>
      </c>
      <c r="G82" s="9" t="n">
        <v>191723</v>
      </c>
    </row>
    <row r="83">
      <c r="A83" s="8" t="inlineStr">
        <is>
          <t>Balance sheet (detail)</t>
        </is>
      </c>
      <c r="B83" s="8" t="inlineStr">
        <is>
          <t>D8</t>
        </is>
      </c>
      <c r="C83" s="8" t="inlineStr">
        <is>
          <t>4. Accounts receivable, net</t>
        </is>
      </c>
      <c r="D83" s="8" t="inlineStr">
        <is>
          <t>4E</t>
        </is>
      </c>
      <c r="E83" s="8" t="inlineStr">
        <is>
          <t>part_x_balance_sheet.accounts_receivable_eoy</t>
        </is>
      </c>
      <c r="F83" s="8" t="inlineStr">
        <is>
          <t>high</t>
        </is>
      </c>
      <c r="G83" s="9" t="n">
        <v>170902</v>
      </c>
    </row>
    <row r="84">
      <c r="A84" s="8" t="inlineStr">
        <is>
          <t>Balance sheet (detail)</t>
        </is>
      </c>
      <c r="B84" s="8" t="inlineStr">
        <is>
          <t>E8</t>
        </is>
      </c>
      <c r="C84" s="8" t="inlineStr">
        <is>
          <t>4. Accounts receivable, net</t>
        </is>
      </c>
      <c r="D84" s="8" t="inlineStr">
        <is>
          <t>4E</t>
        </is>
      </c>
      <c r="E84" s="8" t="inlineStr">
        <is>
          <t>part_x_balance_sheet.accounts_receivable_eoy</t>
        </is>
      </c>
      <c r="F84" s="8" t="inlineStr">
        <is>
          <t>high</t>
        </is>
      </c>
      <c r="G84" s="9" t="n">
        <v>188316</v>
      </c>
    </row>
    <row r="85">
      <c r="A85" s="8" t="inlineStr">
        <is>
          <t>Balance sheet (detail)</t>
        </is>
      </c>
      <c r="B85" s="8" t="inlineStr">
        <is>
          <t>F8</t>
        </is>
      </c>
      <c r="C85" s="8" t="inlineStr">
        <is>
          <t>4. Accounts receivable, net</t>
        </is>
      </c>
      <c r="D85" s="8" t="inlineStr">
        <is>
          <t>4E</t>
        </is>
      </c>
      <c r="E85" s="8" t="inlineStr">
        <is>
          <t>part_x_balance_sheet.accounts_receivable_eoy</t>
        </is>
      </c>
      <c r="F85" s="8" t="inlineStr">
        <is>
          <t>high</t>
        </is>
      </c>
      <c r="G85" s="9" t="n">
        <v>243983</v>
      </c>
    </row>
    <row r="86">
      <c r="A86" s="8" t="inlineStr">
        <is>
          <t>Balance sheet (detail)</t>
        </is>
      </c>
      <c r="B86" s="8" t="inlineStr">
        <is>
          <t>B9</t>
        </is>
      </c>
      <c r="C86" s="8" t="inlineStr">
        <is>
          <t>8. Inventories for sale or use</t>
        </is>
      </c>
      <c r="D86" s="8" t="inlineStr">
        <is>
          <t>8E</t>
        </is>
      </c>
      <c r="E86" s="8" t="inlineStr">
        <is>
          <t>part_x_balance_sheet.inventories_eoy</t>
        </is>
      </c>
      <c r="F86" s="8" t="inlineStr">
        <is>
          <t>high</t>
        </is>
      </c>
      <c r="G86" s="9" t="n">
        <v>30711</v>
      </c>
    </row>
    <row r="87">
      <c r="A87" s="8" t="inlineStr">
        <is>
          <t>Balance sheet (detail)</t>
        </is>
      </c>
      <c r="B87" s="8" t="inlineStr">
        <is>
          <t>C9</t>
        </is>
      </c>
      <c r="C87" s="8" t="inlineStr">
        <is>
          <t>8. Inventories for sale or use</t>
        </is>
      </c>
      <c r="D87" s="8" t="inlineStr">
        <is>
          <t>8E</t>
        </is>
      </c>
      <c r="E87" s="8" t="inlineStr">
        <is>
          <t>part_x_balance_sheet.inventories_eoy</t>
        </is>
      </c>
      <c r="F87" s="8" t="inlineStr">
        <is>
          <t>high</t>
        </is>
      </c>
      <c r="G87" s="9" t="n">
        <v>36240</v>
      </c>
    </row>
    <row r="88">
      <c r="A88" s="8" t="inlineStr">
        <is>
          <t>Balance sheet (detail)</t>
        </is>
      </c>
      <c r="B88" s="8" t="inlineStr">
        <is>
          <t>D9</t>
        </is>
      </c>
      <c r="C88" s="8" t="inlineStr">
        <is>
          <t>8. Inventories for sale or use</t>
        </is>
      </c>
      <c r="D88" s="8" t="inlineStr">
        <is>
          <t>8E</t>
        </is>
      </c>
      <c r="E88" s="8" t="inlineStr">
        <is>
          <t>part_x_balance_sheet.inventories_eoy</t>
        </is>
      </c>
      <c r="F88" s="8" t="inlineStr">
        <is>
          <t>high</t>
        </is>
      </c>
      <c r="G88" s="9" t="n">
        <v>26378</v>
      </c>
    </row>
    <row r="89">
      <c r="A89" s="8" t="inlineStr">
        <is>
          <t>Balance sheet (detail)</t>
        </is>
      </c>
      <c r="B89" s="8" t="inlineStr">
        <is>
          <t>E9</t>
        </is>
      </c>
      <c r="C89" s="8" t="inlineStr">
        <is>
          <t>8. Inventories for sale or use</t>
        </is>
      </c>
      <c r="D89" s="8" t="inlineStr">
        <is>
          <t>8E</t>
        </is>
      </c>
      <c r="E89" s="8" t="inlineStr">
        <is>
          <t>part_x_balance_sheet.inventories_eoy</t>
        </is>
      </c>
      <c r="F89" s="8" t="inlineStr">
        <is>
          <t>high</t>
        </is>
      </c>
      <c r="G89" s="9" t="n">
        <v>24087</v>
      </c>
    </row>
    <row r="90">
      <c r="A90" s="8" t="inlineStr">
        <is>
          <t>Balance sheet (detail)</t>
        </is>
      </c>
      <c r="B90" s="8" t="inlineStr">
        <is>
          <t>F9</t>
        </is>
      </c>
      <c r="C90" s="8" t="inlineStr">
        <is>
          <t>8. Inventories for sale or use</t>
        </is>
      </c>
      <c r="D90" s="8" t="inlineStr">
        <is>
          <t>8E</t>
        </is>
      </c>
      <c r="E90" s="8" t="inlineStr">
        <is>
          <t>part_x_balance_sheet.inventories_eoy</t>
        </is>
      </c>
      <c r="F90" s="8" t="inlineStr">
        <is>
          <t>high</t>
        </is>
      </c>
      <c r="G90" s="9" t="n">
        <v>24087</v>
      </c>
    </row>
    <row r="91">
      <c r="A91" s="8" t="inlineStr">
        <is>
          <t>Balance sheet (detail)</t>
        </is>
      </c>
      <c r="B91" s="8" t="inlineStr">
        <is>
          <t>B10</t>
        </is>
      </c>
      <c r="C91" s="8" t="inlineStr">
        <is>
          <t>9. Prepaid expenses and deferred charges</t>
        </is>
      </c>
      <c r="D91" s="8" t="inlineStr">
        <is>
          <t>9E</t>
        </is>
      </c>
      <c r="E91" s="8" t="inlineStr">
        <is>
          <t>part_x_balance_sheet.prepaid_expenses_eoy</t>
        </is>
      </c>
      <c r="F91" s="8" t="inlineStr">
        <is>
          <t>high</t>
        </is>
      </c>
      <c r="G91" s="9" t="n">
        <v>8832</v>
      </c>
    </row>
    <row r="92">
      <c r="A92" s="8" t="inlineStr">
        <is>
          <t>Balance sheet (detail)</t>
        </is>
      </c>
      <c r="B92" s="8" t="inlineStr">
        <is>
          <t>C10</t>
        </is>
      </c>
      <c r="C92" s="8" t="inlineStr">
        <is>
          <t>9. Prepaid expenses and deferred charges</t>
        </is>
      </c>
      <c r="D92" s="8" t="inlineStr">
        <is>
          <t>9E</t>
        </is>
      </c>
      <c r="E92" s="8" t="inlineStr">
        <is>
          <t>part_x_balance_sheet.prepaid_expenses_eoy</t>
        </is>
      </c>
      <c r="F92" s="8" t="inlineStr">
        <is>
          <t>high</t>
        </is>
      </c>
      <c r="G92" s="9" t="n">
        <v>10270</v>
      </c>
    </row>
    <row r="93">
      <c r="A93" s="8" t="inlineStr">
        <is>
          <t>Balance sheet (detail)</t>
        </is>
      </c>
      <c r="B93" s="8" t="inlineStr">
        <is>
          <t>D10</t>
        </is>
      </c>
      <c r="C93" s="8" t="inlineStr">
        <is>
          <t>9. Prepaid expenses and deferred charges</t>
        </is>
      </c>
      <c r="D93" s="8" t="inlineStr">
        <is>
          <t>9E</t>
        </is>
      </c>
      <c r="E93" s="8" t="inlineStr">
        <is>
          <t>part_x_balance_sheet.prepaid_expenses_eoy</t>
        </is>
      </c>
      <c r="F93" s="8" t="inlineStr">
        <is>
          <t>high</t>
        </is>
      </c>
      <c r="G93" s="9" t="n">
        <v>11524</v>
      </c>
    </row>
    <row r="94">
      <c r="A94" s="8" t="inlineStr">
        <is>
          <t>Balance sheet (detail)</t>
        </is>
      </c>
      <c r="B94" s="8" t="inlineStr">
        <is>
          <t>E10</t>
        </is>
      </c>
      <c r="C94" s="8" t="inlineStr">
        <is>
          <t>9. Prepaid expenses and deferred charges</t>
        </is>
      </c>
      <c r="D94" s="8" t="inlineStr">
        <is>
          <t>9E</t>
        </is>
      </c>
      <c r="E94" s="8" t="inlineStr">
        <is>
          <t>part_x_balance_sheet.prepaid_expenses_eoy</t>
        </is>
      </c>
      <c r="F94" s="8" t="inlineStr">
        <is>
          <t>high</t>
        </is>
      </c>
      <c r="G94" s="9" t="n">
        <v>12797</v>
      </c>
    </row>
    <row r="95">
      <c r="A95" s="8" t="inlineStr">
        <is>
          <t>Balance sheet (detail)</t>
        </is>
      </c>
      <c r="B95" s="8" t="inlineStr">
        <is>
          <t>F10</t>
        </is>
      </c>
      <c r="C95" s="8" t="inlineStr">
        <is>
          <t>9. Prepaid expenses and deferred charges</t>
        </is>
      </c>
      <c r="D95" s="8" t="inlineStr">
        <is>
          <t>9E</t>
        </is>
      </c>
      <c r="E95" s="8" t="inlineStr">
        <is>
          <t>part_x_balance_sheet.prepaid_expenses_eoy</t>
        </is>
      </c>
      <c r="F95" s="8" t="inlineStr">
        <is>
          <t>high</t>
        </is>
      </c>
      <c r="G95" s="9" t="n">
        <v>11128</v>
      </c>
    </row>
    <row r="96">
      <c r="A96" s="8" t="inlineStr">
        <is>
          <t>Balance sheet (detail)</t>
        </is>
      </c>
      <c r="B96" s="8" t="inlineStr">
        <is>
          <t>B11</t>
        </is>
      </c>
      <c r="C96" s="8" t="inlineStr">
        <is>
          <t>10c. Land, buildings, and equipment, net</t>
        </is>
      </c>
      <c r="D96" s="8" t="inlineStr">
        <is>
          <t>10cE</t>
        </is>
      </c>
      <c r="E96" s="8" t="inlineStr">
        <is>
          <t>part_x_balance_sheet.land_bldg_equip_net_eoy</t>
        </is>
      </c>
      <c r="F96" s="8" t="inlineStr">
        <is>
          <t>high</t>
        </is>
      </c>
      <c r="G96" s="9" t="n">
        <v>2241084</v>
      </c>
    </row>
    <row r="97">
      <c r="A97" s="8" t="inlineStr">
        <is>
          <t>Balance sheet (detail)</t>
        </is>
      </c>
      <c r="B97" s="8" t="inlineStr">
        <is>
          <t>C11</t>
        </is>
      </c>
      <c r="C97" s="8" t="inlineStr">
        <is>
          <t>10c. Land, buildings, and equipment, net</t>
        </is>
      </c>
      <c r="D97" s="8" t="inlineStr">
        <is>
          <t>10cE</t>
        </is>
      </c>
      <c r="E97" s="8" t="inlineStr">
        <is>
          <t>part_x_balance_sheet.land_bldg_equip_net_eoy</t>
        </is>
      </c>
      <c r="F97" s="8" t="inlineStr">
        <is>
          <t>high</t>
        </is>
      </c>
      <c r="G97" s="9" t="n">
        <v>2215807</v>
      </c>
    </row>
    <row r="98">
      <c r="A98" s="8" t="inlineStr">
        <is>
          <t>Balance sheet (detail)</t>
        </is>
      </c>
      <c r="B98" s="8" t="inlineStr">
        <is>
          <t>D11</t>
        </is>
      </c>
      <c r="C98" s="8" t="inlineStr">
        <is>
          <t>10c. Land, buildings, and equipment, net</t>
        </is>
      </c>
      <c r="D98" s="8" t="inlineStr">
        <is>
          <t>10cE</t>
        </is>
      </c>
      <c r="E98" s="8" t="inlineStr">
        <is>
          <t>part_x_balance_sheet.land_bldg_equip_net_eoy</t>
        </is>
      </c>
      <c r="F98" s="8" t="inlineStr">
        <is>
          <t>high</t>
        </is>
      </c>
      <c r="G98" s="9" t="n">
        <v>2178489</v>
      </c>
    </row>
    <row r="99">
      <c r="A99" s="8" t="inlineStr">
        <is>
          <t>Balance sheet (detail)</t>
        </is>
      </c>
      <c r="B99" s="8" t="inlineStr">
        <is>
          <t>E11</t>
        </is>
      </c>
      <c r="C99" s="8" t="inlineStr">
        <is>
          <t>10c. Land, buildings, and equipment, net</t>
        </is>
      </c>
      <c r="D99" s="8" t="inlineStr">
        <is>
          <t>10cE</t>
        </is>
      </c>
      <c r="E99" s="8" t="inlineStr">
        <is>
          <t>part_x_balance_sheet.land_bldg_equip_net_eoy</t>
        </is>
      </c>
      <c r="F99" s="8" t="inlineStr">
        <is>
          <t>high</t>
        </is>
      </c>
      <c r="G99" s="9" t="n">
        <v>2048623</v>
      </c>
    </row>
    <row r="100">
      <c r="A100" s="8" t="inlineStr">
        <is>
          <t>Balance sheet (detail)</t>
        </is>
      </c>
      <c r="B100" s="8" t="inlineStr">
        <is>
          <t>F11</t>
        </is>
      </c>
      <c r="C100" s="8" t="inlineStr">
        <is>
          <t>10c. Land, buildings, and equipment, net</t>
        </is>
      </c>
      <c r="D100" s="8" t="inlineStr">
        <is>
          <t>10cE</t>
        </is>
      </c>
      <c r="E100" s="8" t="inlineStr">
        <is>
          <t>part_x_balance_sheet.land_bldg_equip_net_eoy</t>
        </is>
      </c>
      <c r="F100" s="8" t="inlineStr">
        <is>
          <t>high</t>
        </is>
      </c>
      <c r="G100" s="9" t="n">
        <v>2120521</v>
      </c>
    </row>
    <row r="101">
      <c r="A101" s="8" t="inlineStr">
        <is>
          <t>Balance sheet (detail)</t>
        </is>
      </c>
      <c r="B101" s="8" t="inlineStr">
        <is>
          <t>B12</t>
        </is>
      </c>
      <c r="C101" s="8" t="inlineStr">
        <is>
          <t>15. Other assets</t>
        </is>
      </c>
      <c r="D101" s="8" t="inlineStr">
        <is>
          <t>15E</t>
        </is>
      </c>
      <c r="E101" s="8" t="inlineStr">
        <is>
          <t>part_x_balance_sheet.other_assets_eoy</t>
        </is>
      </c>
      <c r="F101" s="8" t="inlineStr">
        <is>
          <t>high</t>
        </is>
      </c>
      <c r="G101" s="9" t="n">
        <v>1000</v>
      </c>
    </row>
    <row r="102">
      <c r="A102" s="8" t="inlineStr">
        <is>
          <t>Balance sheet (detail)</t>
        </is>
      </c>
      <c r="B102" s="8" t="inlineStr">
        <is>
          <t>C12</t>
        </is>
      </c>
      <c r="C102" s="8" t="inlineStr">
        <is>
          <t>15. Other assets</t>
        </is>
      </c>
      <c r="D102" s="8" t="inlineStr">
        <is>
          <t>15E</t>
        </is>
      </c>
      <c r="E102" s="8" t="inlineStr">
        <is>
          <t>part_x_balance_sheet.other_assets_eoy</t>
        </is>
      </c>
      <c r="F102" s="8" t="inlineStr">
        <is>
          <t>high</t>
        </is>
      </c>
      <c r="G102" s="9" t="n">
        <v>1000</v>
      </c>
    </row>
    <row r="103">
      <c r="A103" s="8" t="inlineStr">
        <is>
          <t>Balance sheet (detail)</t>
        </is>
      </c>
      <c r="B103" s="8" t="inlineStr">
        <is>
          <t>D12</t>
        </is>
      </c>
      <c r="C103" s="8" t="inlineStr">
        <is>
          <t>15. Other assets</t>
        </is>
      </c>
      <c r="D103" s="8" t="inlineStr">
        <is>
          <t>15E</t>
        </is>
      </c>
      <c r="E103" s="8" t="inlineStr">
        <is>
          <t>part_x_balance_sheet.other_assets_eoy</t>
        </is>
      </c>
      <c r="F103" s="8" t="inlineStr">
        <is>
          <t>high</t>
        </is>
      </c>
      <c r="G103" s="9" t="n">
        <v>1000</v>
      </c>
    </row>
    <row r="104">
      <c r="A104" s="8" t="inlineStr">
        <is>
          <t>Balance sheet (detail)</t>
        </is>
      </c>
      <c r="B104" s="8" t="inlineStr">
        <is>
          <t>E12</t>
        </is>
      </c>
      <c r="C104" s="8" t="inlineStr">
        <is>
          <t>15. Other assets</t>
        </is>
      </c>
      <c r="D104" s="8" t="inlineStr">
        <is>
          <t>15E</t>
        </is>
      </c>
      <c r="E104" s="8" t="inlineStr">
        <is>
          <t>part_x_balance_sheet.other_assets_eoy</t>
        </is>
      </c>
      <c r="F104" s="8" t="inlineStr">
        <is>
          <t>high</t>
        </is>
      </c>
      <c r="G104" s="9" t="n">
        <v>1000</v>
      </c>
    </row>
    <row r="105">
      <c r="A105" s="8" t="inlineStr">
        <is>
          <t>Balance sheet (detail)</t>
        </is>
      </c>
      <c r="B105" s="8" t="inlineStr">
        <is>
          <t>F12</t>
        </is>
      </c>
      <c r="C105" s="8" t="inlineStr">
        <is>
          <t>15. Other assets</t>
        </is>
      </c>
      <c r="D105" s="8" t="inlineStr">
        <is>
          <t>15E</t>
        </is>
      </c>
      <c r="E105" s="8" t="inlineStr">
        <is>
          <t>part_x_balance_sheet.other_assets_eoy</t>
        </is>
      </c>
      <c r="F105" s="8" t="inlineStr">
        <is>
          <t>high</t>
        </is>
      </c>
      <c r="G105" s="9" t="n">
        <v>1000</v>
      </c>
    </row>
    <row r="106">
      <c r="A106" s="8" t="inlineStr">
        <is>
          <t>Balance sheet (detail)</t>
        </is>
      </c>
      <c r="B106" s="8" t="inlineStr">
        <is>
          <t>B16</t>
        </is>
      </c>
      <c r="C106" s="8" t="inlineStr">
        <is>
          <t>17. Accounts payable and accrued expenses</t>
        </is>
      </c>
      <c r="D106" s="8" t="inlineStr">
        <is>
          <t>17E</t>
        </is>
      </c>
      <c r="E106" s="8" t="inlineStr">
        <is>
          <t>part_x_balance_sheet.accounts_payable_eoy</t>
        </is>
      </c>
      <c r="F106" s="8" t="inlineStr">
        <is>
          <t>high</t>
        </is>
      </c>
      <c r="G106" s="9" t="n">
        <v>113577</v>
      </c>
    </row>
    <row r="107">
      <c r="A107" s="8" t="inlineStr">
        <is>
          <t>Balance sheet (detail)</t>
        </is>
      </c>
      <c r="B107" s="8" t="inlineStr">
        <is>
          <t>C16</t>
        </is>
      </c>
      <c r="C107" s="8" t="inlineStr">
        <is>
          <t>17. Accounts payable and accrued expenses</t>
        </is>
      </c>
      <c r="D107" s="8" t="inlineStr">
        <is>
          <t>17E</t>
        </is>
      </c>
      <c r="E107" s="8" t="inlineStr">
        <is>
          <t>part_x_balance_sheet.accounts_payable_eoy</t>
        </is>
      </c>
      <c r="F107" s="8" t="inlineStr">
        <is>
          <t>high</t>
        </is>
      </c>
      <c r="G107" s="9" t="n">
        <v>112122</v>
      </c>
    </row>
    <row r="108">
      <c r="A108" s="8" t="inlineStr">
        <is>
          <t>Balance sheet (detail)</t>
        </is>
      </c>
      <c r="B108" s="8" t="inlineStr">
        <is>
          <t>D16</t>
        </is>
      </c>
      <c r="C108" s="8" t="inlineStr">
        <is>
          <t>17. Accounts payable and accrued expenses</t>
        </is>
      </c>
      <c r="D108" s="8" t="inlineStr">
        <is>
          <t>17E</t>
        </is>
      </c>
      <c r="E108" s="8" t="inlineStr">
        <is>
          <t>part_x_balance_sheet.accounts_payable_eoy</t>
        </is>
      </c>
      <c r="F108" s="8" t="inlineStr">
        <is>
          <t>high</t>
        </is>
      </c>
      <c r="G108" s="9" t="n">
        <v>124210</v>
      </c>
    </row>
    <row r="109">
      <c r="A109" s="8" t="inlineStr">
        <is>
          <t>Balance sheet (detail)</t>
        </is>
      </c>
      <c r="B109" s="8" t="inlineStr">
        <is>
          <t>E16</t>
        </is>
      </c>
      <c r="C109" s="8" t="inlineStr">
        <is>
          <t>17. Accounts payable and accrued expenses</t>
        </is>
      </c>
      <c r="D109" s="8" t="inlineStr">
        <is>
          <t>17E</t>
        </is>
      </c>
      <c r="E109" s="8" t="inlineStr">
        <is>
          <t>part_x_balance_sheet.accounts_payable_eoy</t>
        </is>
      </c>
      <c r="F109" s="8" t="inlineStr">
        <is>
          <t>high</t>
        </is>
      </c>
      <c r="G109" s="9" t="n">
        <v>49672</v>
      </c>
    </row>
    <row r="110">
      <c r="A110" s="8" t="inlineStr">
        <is>
          <t>Balance sheet (detail)</t>
        </is>
      </c>
      <c r="B110" s="8" t="inlineStr">
        <is>
          <t>F16</t>
        </is>
      </c>
      <c r="C110" s="8" t="inlineStr">
        <is>
          <t>17. Accounts payable and accrued expenses</t>
        </is>
      </c>
      <c r="D110" s="8" t="inlineStr">
        <is>
          <t>17E</t>
        </is>
      </c>
      <c r="E110" s="8" t="inlineStr">
        <is>
          <t>part_x_balance_sheet.accounts_payable_eoy</t>
        </is>
      </c>
      <c r="F110" s="8" t="inlineStr">
        <is>
          <t>high</t>
        </is>
      </c>
      <c r="G110" s="9" t="n">
        <v>40046</v>
      </c>
    </row>
    <row r="111">
      <c r="A111" s="8" t="inlineStr">
        <is>
          <t>Balance sheet (detail)</t>
        </is>
      </c>
      <c r="B111" s="8" t="inlineStr">
        <is>
          <t>B17</t>
        </is>
      </c>
      <c r="C111" s="8" t="inlineStr">
        <is>
          <t>23. Secured mortgages and notes payable</t>
        </is>
      </c>
      <c r="D111" s="8" t="inlineStr">
        <is>
          <t>23E</t>
        </is>
      </c>
      <c r="E111" s="8" t="inlineStr">
        <is>
          <t>part_x_balance_sheet.mortgages_secured_notes_eoy</t>
        </is>
      </c>
      <c r="F111" s="8" t="inlineStr">
        <is>
          <t>high</t>
        </is>
      </c>
      <c r="G111" s="9" t="n">
        <v>280030</v>
      </c>
    </row>
    <row r="112">
      <c r="A112" s="8" t="inlineStr">
        <is>
          <t>Balance sheet (detail)</t>
        </is>
      </c>
      <c r="B112" s="8" t="inlineStr">
        <is>
          <t>C17</t>
        </is>
      </c>
      <c r="C112" s="8" t="inlineStr">
        <is>
          <t>23. Secured mortgages and notes payable</t>
        </is>
      </c>
      <c r="D112" s="8" t="inlineStr">
        <is>
          <t>23E</t>
        </is>
      </c>
      <c r="E112" s="8" t="inlineStr">
        <is>
          <t>part_x_balance_sheet.mortgages_secured_notes_eoy</t>
        </is>
      </c>
      <c r="F112" s="8" t="inlineStr">
        <is>
          <t>high</t>
        </is>
      </c>
      <c r="G112" s="9" t="n">
        <v>233458</v>
      </c>
    </row>
    <row r="113">
      <c r="A113" s="8" t="inlineStr">
        <is>
          <t>Balance sheet (detail)</t>
        </is>
      </c>
      <c r="B113" s="8" t="inlineStr">
        <is>
          <t>D17</t>
        </is>
      </c>
      <c r="C113" s="8" t="inlineStr">
        <is>
          <t>23. Secured mortgages and notes payable</t>
        </is>
      </c>
      <c r="D113" s="8" t="inlineStr">
        <is>
          <t>23E</t>
        </is>
      </c>
      <c r="E113" s="8" t="inlineStr">
        <is>
          <t>part_x_balance_sheet.mortgages_secured_notes_eoy</t>
        </is>
      </c>
      <c r="F113" s="8" t="inlineStr">
        <is>
          <t>high</t>
        </is>
      </c>
      <c r="G113" s="9" t="n">
        <v>184592</v>
      </c>
    </row>
    <row r="114">
      <c r="A114" s="8" t="inlineStr">
        <is>
          <t>Balance sheet (detail)</t>
        </is>
      </c>
      <c r="B114" s="8" t="inlineStr">
        <is>
          <t>E17</t>
        </is>
      </c>
      <c r="C114" s="8" t="inlineStr">
        <is>
          <t>23. Secured mortgages and notes payable</t>
        </is>
      </c>
      <c r="D114" s="8" t="inlineStr">
        <is>
          <t>23E</t>
        </is>
      </c>
      <c r="E114" s="8" t="inlineStr">
        <is>
          <t>part_x_balance_sheet.mortgages_secured_notes_eoy</t>
        </is>
      </c>
      <c r="F114" s="8" t="inlineStr">
        <is>
          <t>high</t>
        </is>
      </c>
      <c r="G114" s="9" t="n">
        <v>133176</v>
      </c>
    </row>
    <row r="115">
      <c r="A115" s="8" t="inlineStr">
        <is>
          <t>Balance sheet (detail)</t>
        </is>
      </c>
      <c r="B115" s="8" t="inlineStr">
        <is>
          <t>F17</t>
        </is>
      </c>
      <c r="C115" s="8" t="inlineStr">
        <is>
          <t>23. Secured mortgages and notes payable</t>
        </is>
      </c>
      <c r="D115" s="8" t="inlineStr">
        <is>
          <t>23E</t>
        </is>
      </c>
      <c r="E115" s="8" t="inlineStr">
        <is>
          <t>part_x_balance_sheet.mortgages_secured_notes_eoy</t>
        </is>
      </c>
      <c r="F115" s="8" t="inlineStr">
        <is>
          <t>high</t>
        </is>
      </c>
      <c r="G115" s="9" t="n">
        <v>79201</v>
      </c>
    </row>
    <row r="116">
      <c r="A116" s="8" t="inlineStr">
        <is>
          <t>Balance sheet (detail)</t>
        </is>
      </c>
      <c r="B116" s="8" t="inlineStr">
        <is>
          <t>F18</t>
        </is>
      </c>
      <c r="C116" s="8" t="inlineStr">
        <is>
          <t>25. Other liabilities</t>
        </is>
      </c>
      <c r="D116" s="8" t="inlineStr">
        <is>
          <t>25E</t>
        </is>
      </c>
      <c r="E116" s="8" t="inlineStr">
        <is>
          <t>part_x_balance_sheet.other_liabilities_eoy</t>
        </is>
      </c>
      <c r="F116" s="8" t="inlineStr">
        <is>
          <t>high</t>
        </is>
      </c>
      <c r="G116" s="9" t="n">
        <v>379828</v>
      </c>
    </row>
    <row r="117">
      <c r="A117" s="8" t="inlineStr">
        <is>
          <t>Balance sheet (detail)</t>
        </is>
      </c>
      <c r="B117" s="8" t="inlineStr">
        <is>
          <t>B22</t>
        </is>
      </c>
      <c r="C117" s="8" t="inlineStr">
        <is>
          <t>29. Capital stock or trust principal</t>
        </is>
      </c>
      <c r="D117" s="8" t="inlineStr">
        <is>
          <t>29E</t>
        </is>
      </c>
      <c r="E117" s="8" t="inlineStr">
        <is>
          <t>part_x_balance_sheet.cap_stock_eoy</t>
        </is>
      </c>
      <c r="F117" s="8" t="inlineStr">
        <is>
          <t>high</t>
        </is>
      </c>
      <c r="G117" s="9" t="n">
        <v>366675</v>
      </c>
    </row>
    <row r="118">
      <c r="A118" s="8" t="inlineStr">
        <is>
          <t>Balance sheet (detail)</t>
        </is>
      </c>
      <c r="B118" s="8" t="inlineStr">
        <is>
          <t>C22</t>
        </is>
      </c>
      <c r="C118" s="8" t="inlineStr">
        <is>
          <t>29. Capital stock or trust principal</t>
        </is>
      </c>
      <c r="D118" s="8" t="inlineStr">
        <is>
          <t>29E</t>
        </is>
      </c>
      <c r="E118" s="8" t="inlineStr">
        <is>
          <t>part_x_balance_sheet.cap_stock_eoy</t>
        </is>
      </c>
      <c r="F118" s="8" t="inlineStr">
        <is>
          <t>high</t>
        </is>
      </c>
      <c r="G118" s="9" t="n">
        <v>366675</v>
      </c>
    </row>
    <row r="119">
      <c r="A119" s="8" t="inlineStr">
        <is>
          <t>Balance sheet (detail)</t>
        </is>
      </c>
      <c r="B119" s="8" t="inlineStr">
        <is>
          <t>D22</t>
        </is>
      </c>
      <c r="C119" s="8" t="inlineStr">
        <is>
          <t>29. Capital stock or trust principal</t>
        </is>
      </c>
      <c r="D119" s="8" t="inlineStr">
        <is>
          <t>29E</t>
        </is>
      </c>
      <c r="E119" s="8" t="inlineStr">
        <is>
          <t>part_x_balance_sheet.cap_stock_eoy</t>
        </is>
      </c>
      <c r="F119" s="8" t="inlineStr">
        <is>
          <t>high</t>
        </is>
      </c>
      <c r="G119" s="9" t="n">
        <v>366675</v>
      </c>
    </row>
    <row r="120">
      <c r="A120" s="8" t="inlineStr">
        <is>
          <t>Balance sheet (detail)</t>
        </is>
      </c>
      <c r="B120" s="8" t="inlineStr">
        <is>
          <t>E22</t>
        </is>
      </c>
      <c r="C120" s="8" t="inlineStr">
        <is>
          <t>29. Capital stock or trust principal</t>
        </is>
      </c>
      <c r="D120" s="8" t="inlineStr">
        <is>
          <t>29E</t>
        </is>
      </c>
      <c r="E120" s="8" t="inlineStr">
        <is>
          <t>part_x_balance_sheet.cap_stock_eoy</t>
        </is>
      </c>
      <c r="F120" s="8" t="inlineStr">
        <is>
          <t>high</t>
        </is>
      </c>
      <c r="G120" s="9" t="n">
        <v>366675</v>
      </c>
    </row>
    <row r="121">
      <c r="A121" s="8" t="inlineStr">
        <is>
          <t>Balance sheet (detail)</t>
        </is>
      </c>
      <c r="B121" s="8" t="inlineStr">
        <is>
          <t>F22</t>
        </is>
      </c>
      <c r="C121" s="8" t="inlineStr">
        <is>
          <t>29. Capital stock or trust principal</t>
        </is>
      </c>
      <c r="D121" s="8" t="inlineStr">
        <is>
          <t>29E</t>
        </is>
      </c>
      <c r="E121" s="8" t="inlineStr">
        <is>
          <t>part_x_balance_sheet.cap_stock_eoy</t>
        </is>
      </c>
      <c r="F121" s="8" t="inlineStr">
        <is>
          <t>high</t>
        </is>
      </c>
      <c r="G121" s="9" t="n">
        <v>366675</v>
      </c>
    </row>
    <row r="122">
      <c r="A122" s="8" t="inlineStr">
        <is>
          <t>Balance sheet (detail)</t>
        </is>
      </c>
      <c r="B122" s="8" t="inlineStr">
        <is>
          <t>B23</t>
        </is>
      </c>
      <c r="C122" s="8" t="inlineStr">
        <is>
          <t>30. Paid-in or capital surplus</t>
        </is>
      </c>
      <c r="D122" s="8" t="inlineStr">
        <is>
          <t>30E</t>
        </is>
      </c>
      <c r="E122" s="8" t="inlineStr">
        <is>
          <t>part_x_balance_sheet.paid_in_capital_eoy</t>
        </is>
      </c>
      <c r="F122" s="8" t="inlineStr">
        <is>
          <t>high</t>
        </is>
      </c>
      <c r="G122" s="9" t="n">
        <v>240002</v>
      </c>
    </row>
    <row r="123">
      <c r="A123" s="8" t="inlineStr">
        <is>
          <t>Balance sheet (detail)</t>
        </is>
      </c>
      <c r="B123" s="8" t="inlineStr">
        <is>
          <t>C23</t>
        </is>
      </c>
      <c r="C123" s="8" t="inlineStr">
        <is>
          <t>30. Paid-in or capital surplus</t>
        </is>
      </c>
      <c r="D123" s="8" t="inlineStr">
        <is>
          <t>30E</t>
        </is>
      </c>
      <c r="E123" s="8" t="inlineStr">
        <is>
          <t>part_x_balance_sheet.paid_in_capital_eoy</t>
        </is>
      </c>
      <c r="F123" s="8" t="inlineStr">
        <is>
          <t>high</t>
        </is>
      </c>
      <c r="G123" s="9" t="n">
        <v>240002</v>
      </c>
    </row>
    <row r="124">
      <c r="A124" s="8" t="inlineStr">
        <is>
          <t>Balance sheet (detail)</t>
        </is>
      </c>
      <c r="B124" s="8" t="inlineStr">
        <is>
          <t>D23</t>
        </is>
      </c>
      <c r="C124" s="8" t="inlineStr">
        <is>
          <t>30. Paid-in or capital surplus</t>
        </is>
      </c>
      <c r="D124" s="8" t="inlineStr">
        <is>
          <t>30E</t>
        </is>
      </c>
      <c r="E124" s="8" t="inlineStr">
        <is>
          <t>part_x_balance_sheet.paid_in_capital_eoy</t>
        </is>
      </c>
      <c r="F124" s="8" t="inlineStr">
        <is>
          <t>high</t>
        </is>
      </c>
      <c r="G124" s="9" t="n">
        <v>240002</v>
      </c>
    </row>
    <row r="125">
      <c r="A125" s="8" t="inlineStr">
        <is>
          <t>Balance sheet (detail)</t>
        </is>
      </c>
      <c r="B125" s="8" t="inlineStr">
        <is>
          <t>E23</t>
        </is>
      </c>
      <c r="C125" s="8" t="inlineStr">
        <is>
          <t>30. Paid-in or capital surplus</t>
        </is>
      </c>
      <c r="D125" s="8" t="inlineStr">
        <is>
          <t>30E</t>
        </is>
      </c>
      <c r="E125" s="8" t="inlineStr">
        <is>
          <t>part_x_balance_sheet.paid_in_capital_eoy</t>
        </is>
      </c>
      <c r="F125" s="8" t="inlineStr">
        <is>
          <t>high</t>
        </is>
      </c>
      <c r="G125" s="9" t="n">
        <v>240002</v>
      </c>
    </row>
    <row r="126">
      <c r="A126" s="8" t="inlineStr">
        <is>
          <t>Balance sheet (detail)</t>
        </is>
      </c>
      <c r="B126" s="8" t="inlineStr">
        <is>
          <t>F23</t>
        </is>
      </c>
      <c r="C126" s="8" t="inlineStr">
        <is>
          <t>30. Paid-in or capital surplus</t>
        </is>
      </c>
      <c r="D126" s="8" t="inlineStr">
        <is>
          <t>30E</t>
        </is>
      </c>
      <c r="E126" s="8" t="inlineStr">
        <is>
          <t>part_x_balance_sheet.paid_in_capital_eoy</t>
        </is>
      </c>
      <c r="F126" s="8" t="inlineStr">
        <is>
          <t>high</t>
        </is>
      </c>
      <c r="G126" s="9" t="n">
        <v>240002</v>
      </c>
    </row>
    <row r="127">
      <c r="A127" s="8" t="inlineStr">
        <is>
          <t>Balance sheet (detail)</t>
        </is>
      </c>
      <c r="B127" s="8" t="inlineStr">
        <is>
          <t>B24</t>
        </is>
      </c>
      <c r="C127" s="8" t="inlineStr">
        <is>
          <t>31. Retained earnings / accumulated funds</t>
        </is>
      </c>
      <c r="D127" s="8" t="inlineStr">
        <is>
          <t>31E</t>
        </is>
      </c>
      <c r="E127" s="8" t="inlineStr">
        <is>
          <t>part_x_balance_sheet.retained_earnings_eoy</t>
        </is>
      </c>
      <c r="F127" s="8" t="inlineStr">
        <is>
          <t>high</t>
        </is>
      </c>
      <c r="G127" s="9" t="n">
        <v>2637765</v>
      </c>
    </row>
    <row r="128">
      <c r="A128" s="8" t="inlineStr">
        <is>
          <t>Balance sheet (detail)</t>
        </is>
      </c>
      <c r="B128" s="8" t="inlineStr">
        <is>
          <t>C24</t>
        </is>
      </c>
      <c r="C128" s="8" t="inlineStr">
        <is>
          <t>31. Retained earnings / accumulated funds</t>
        </is>
      </c>
      <c r="D128" s="8" t="inlineStr">
        <is>
          <t>31E</t>
        </is>
      </c>
      <c r="E128" s="8" t="inlineStr">
        <is>
          <t>part_x_balance_sheet.retained_earnings_eoy</t>
        </is>
      </c>
      <c r="F128" s="8" t="inlineStr">
        <is>
          <t>high</t>
        </is>
      </c>
      <c r="G128" s="9" t="n">
        <v>2813577</v>
      </c>
    </row>
    <row r="129">
      <c r="A129" s="8" t="inlineStr">
        <is>
          <t>Balance sheet (detail)</t>
        </is>
      </c>
      <c r="B129" s="8" t="inlineStr">
        <is>
          <t>D24</t>
        </is>
      </c>
      <c r="C129" s="8" t="inlineStr">
        <is>
          <t>31. Retained earnings / accumulated funds</t>
        </is>
      </c>
      <c r="D129" s="8" t="inlineStr">
        <is>
          <t>31E</t>
        </is>
      </c>
      <c r="E129" s="8" t="inlineStr">
        <is>
          <t>part_x_balance_sheet.retained_earnings_eoy</t>
        </is>
      </c>
      <c r="F129" s="8" t="inlineStr">
        <is>
          <t>high</t>
        </is>
      </c>
      <c r="G129" s="9" t="n">
        <v>2608484</v>
      </c>
    </row>
    <row r="130">
      <c r="A130" s="8" t="inlineStr">
        <is>
          <t>Balance sheet (detail)</t>
        </is>
      </c>
      <c r="B130" s="8" t="inlineStr">
        <is>
          <t>E24</t>
        </is>
      </c>
      <c r="C130" s="8" t="inlineStr">
        <is>
          <t>31. Retained earnings / accumulated funds</t>
        </is>
      </c>
      <c r="D130" s="8" t="inlineStr">
        <is>
          <t>31E</t>
        </is>
      </c>
      <c r="E130" s="8" t="inlineStr">
        <is>
          <t>part_x_balance_sheet.retained_earnings_eoy</t>
        </is>
      </c>
      <c r="F130" s="8" t="inlineStr">
        <is>
          <t>high</t>
        </is>
      </c>
      <c r="G130" s="9" t="n">
        <v>2647438</v>
      </c>
    </row>
    <row r="131">
      <c r="A131" s="8" t="inlineStr">
        <is>
          <t>Balance sheet (detail)</t>
        </is>
      </c>
      <c r="B131" s="8" t="inlineStr">
        <is>
          <t>F24</t>
        </is>
      </c>
      <c r="C131" s="8" t="inlineStr">
        <is>
          <t>31. Retained earnings / accumulated funds</t>
        </is>
      </c>
      <c r="D131" s="8" t="inlineStr">
        <is>
          <t>31E</t>
        </is>
      </c>
      <c r="E131" s="8" t="inlineStr">
        <is>
          <t>part_x_balance_sheet.retained_earnings_eoy</t>
        </is>
      </c>
      <c r="F131" s="8" t="inlineStr">
        <is>
          <t>high</t>
        </is>
      </c>
      <c r="G131" s="9" t="n">
        <v>2165429</v>
      </c>
    </row>
    <row r="132">
      <c r="A132" s="8" t="inlineStr">
        <is>
          <t>Net-assets reconciliation</t>
        </is>
      </c>
      <c r="B132" s="8" t="inlineStr">
        <is>
          <t>B7</t>
        </is>
      </c>
      <c r="C132" s="8" t="inlineStr">
        <is>
          <t>4. Net assets, beginning of year</t>
        </is>
      </c>
      <c r="D132" s="8" t="inlineStr">
        <is>
          <t>Part XI line 4</t>
        </is>
      </c>
      <c r="E132" s="8" t="inlineStr">
        <is>
          <t>part_xi_reconciliation.net_assets_boy</t>
        </is>
      </c>
      <c r="F132" s="8" t="inlineStr">
        <is>
          <t>high</t>
        </is>
      </c>
      <c r="G132" s="9" t="n">
        <v>3005652</v>
      </c>
    </row>
    <row r="133">
      <c r="A133" s="8" t="inlineStr">
        <is>
          <t>Net-assets reconciliation</t>
        </is>
      </c>
      <c r="B133" s="8" t="inlineStr">
        <is>
          <t>C7</t>
        </is>
      </c>
      <c r="C133" s="8" t="inlineStr">
        <is>
          <t>4. Net assets, beginning of year</t>
        </is>
      </c>
      <c r="D133" s="8" t="inlineStr">
        <is>
          <t>Part XI line 4</t>
        </is>
      </c>
      <c r="E133" s="8" t="inlineStr">
        <is>
          <t>part_xi_reconciliation.net_assets_boy</t>
        </is>
      </c>
      <c r="F133" s="8" t="inlineStr">
        <is>
          <t>high</t>
        </is>
      </c>
      <c r="G133" s="9" t="n">
        <v>3244442</v>
      </c>
    </row>
    <row r="134">
      <c r="A134" s="8" t="inlineStr">
        <is>
          <t>Net-assets reconciliation</t>
        </is>
      </c>
      <c r="B134" s="8" t="inlineStr">
        <is>
          <t>D7</t>
        </is>
      </c>
      <c r="C134" s="8" t="inlineStr">
        <is>
          <t>4. Net assets, beginning of year</t>
        </is>
      </c>
      <c r="D134" s="8" t="inlineStr">
        <is>
          <t>Part XI line 4</t>
        </is>
      </c>
      <c r="E134" s="8" t="inlineStr">
        <is>
          <t>part_xi_reconciliation.net_assets_boy</t>
        </is>
      </c>
      <c r="F134" s="8" t="inlineStr">
        <is>
          <t>high</t>
        </is>
      </c>
      <c r="G134" s="9" t="n">
        <v>3420254</v>
      </c>
    </row>
    <row r="135">
      <c r="A135" s="8" t="inlineStr">
        <is>
          <t>Net-assets reconciliation</t>
        </is>
      </c>
      <c r="B135" s="8" t="inlineStr">
        <is>
          <t>E7</t>
        </is>
      </c>
      <c r="C135" s="8" t="inlineStr">
        <is>
          <t>4. Net assets, beginning of year</t>
        </is>
      </c>
      <c r="D135" s="8" t="inlineStr">
        <is>
          <t>Part XI line 4</t>
        </is>
      </c>
      <c r="E135" s="8" t="inlineStr">
        <is>
          <t>part_xi_reconciliation.net_assets_boy</t>
        </is>
      </c>
      <c r="F135" s="8" t="inlineStr">
        <is>
          <t>high</t>
        </is>
      </c>
      <c r="G135" s="9" t="n">
        <v>3215161</v>
      </c>
    </row>
    <row r="136">
      <c r="A136" s="8" t="inlineStr">
        <is>
          <t>Net-assets reconciliation</t>
        </is>
      </c>
      <c r="B136" s="8" t="inlineStr">
        <is>
          <t>F7</t>
        </is>
      </c>
      <c r="C136" s="8" t="inlineStr">
        <is>
          <t>4. Net assets, beginning of year</t>
        </is>
      </c>
      <c r="D136" s="8" t="inlineStr">
        <is>
          <t>Part XI line 4</t>
        </is>
      </c>
      <c r="E136" s="8" t="inlineStr">
        <is>
          <t>part_xi_reconciliation.net_assets_boy</t>
        </is>
      </c>
      <c r="F136" s="8" t="inlineStr">
        <is>
          <t>high</t>
        </is>
      </c>
      <c r="G136" s="9" t="n">
        <v>3254115</v>
      </c>
    </row>
    <row r="137">
      <c r="A137" s="8" t="inlineStr">
        <is>
          <t>Net-assets reconciliation</t>
        </is>
      </c>
      <c r="B137" s="8" t="inlineStr">
        <is>
          <t>B8</t>
        </is>
      </c>
      <c r="C137" s="8" t="inlineStr">
        <is>
          <t>3. Revenue less expenses</t>
        </is>
      </c>
      <c r="D137" s="8" t="inlineStr">
        <is>
          <t>Part XI line 3</t>
        </is>
      </c>
      <c r="E137" s="8" t="inlineStr">
        <is>
          <t>part_xi_reconciliation.reconciliation_revenue_expenses</t>
        </is>
      </c>
      <c r="F137" s="8" t="inlineStr">
        <is>
          <t>high</t>
        </is>
      </c>
      <c r="G137" s="9" t="n">
        <v>238790</v>
      </c>
    </row>
    <row r="138">
      <c r="A138" s="8" t="inlineStr">
        <is>
          <t>Net-assets reconciliation</t>
        </is>
      </c>
      <c r="B138" s="8" t="inlineStr">
        <is>
          <t>C8</t>
        </is>
      </c>
      <c r="C138" s="8" t="inlineStr">
        <is>
          <t>3. Revenue less expenses</t>
        </is>
      </c>
      <c r="D138" s="8" t="inlineStr">
        <is>
          <t>Part XI line 3</t>
        </is>
      </c>
      <c r="E138" s="8" t="inlineStr">
        <is>
          <t>part_xi_reconciliation.reconciliation_revenue_expenses</t>
        </is>
      </c>
      <c r="F138" s="8" t="inlineStr">
        <is>
          <t>high</t>
        </is>
      </c>
      <c r="G138" s="9" t="n">
        <v>175812</v>
      </c>
    </row>
    <row r="139">
      <c r="A139" s="8" t="inlineStr">
        <is>
          <t>Net-assets reconciliation</t>
        </is>
      </c>
      <c r="B139" s="8" t="inlineStr">
        <is>
          <t>D8</t>
        </is>
      </c>
      <c r="C139" s="8" t="inlineStr">
        <is>
          <t>3. Revenue less expenses</t>
        </is>
      </c>
      <c r="D139" s="8" t="inlineStr">
        <is>
          <t>Part XI line 3</t>
        </is>
      </c>
      <c r="E139" s="8" t="inlineStr">
        <is>
          <t>part_xi_reconciliation.reconciliation_revenue_expenses</t>
        </is>
      </c>
      <c r="F139" s="8" t="inlineStr">
        <is>
          <t>high</t>
        </is>
      </c>
      <c r="G139" s="9" t="n">
        <v>-205093</v>
      </c>
    </row>
    <row r="140">
      <c r="A140" s="8" t="inlineStr">
        <is>
          <t>Net-assets reconciliation</t>
        </is>
      </c>
      <c r="B140" s="8" t="inlineStr">
        <is>
          <t>E8</t>
        </is>
      </c>
      <c r="C140" s="8" t="inlineStr">
        <is>
          <t>3. Revenue less expenses</t>
        </is>
      </c>
      <c r="D140" s="8" t="inlineStr">
        <is>
          <t>Part XI line 3</t>
        </is>
      </c>
      <c r="E140" s="8" t="inlineStr">
        <is>
          <t>part_xi_reconciliation.reconciliation_revenue_expenses</t>
        </is>
      </c>
      <c r="F140" s="8" t="inlineStr">
        <is>
          <t>high</t>
        </is>
      </c>
      <c r="G140" s="9" t="n">
        <v>38954</v>
      </c>
    </row>
    <row r="141">
      <c r="A141" s="8" t="inlineStr">
        <is>
          <t>Net-assets reconciliation</t>
        </is>
      </c>
      <c r="B141" s="8" t="inlineStr">
        <is>
          <t>F8</t>
        </is>
      </c>
      <c r="C141" s="8" t="inlineStr">
        <is>
          <t>3. Revenue less expenses</t>
        </is>
      </c>
      <c r="D141" s="8" t="inlineStr">
        <is>
          <t>Part XI line 3</t>
        </is>
      </c>
      <c r="E141" s="8" t="inlineStr">
        <is>
          <t>part_xi_reconciliation.reconciliation_revenue_expenses</t>
        </is>
      </c>
      <c r="F141" s="8" t="inlineStr">
        <is>
          <t>high</t>
        </is>
      </c>
      <c r="G141" s="9" t="n">
        <v>-825802</v>
      </c>
    </row>
    <row r="142">
      <c r="A142" s="8" t="inlineStr">
        <is>
          <t>Net-assets reconciliation</t>
        </is>
      </c>
      <c r="B142" s="8" t="inlineStr">
        <is>
          <t>B10</t>
        </is>
      </c>
      <c r="C142" s="8" t="inlineStr">
        <is>
          <t>9. Other changes in net assets</t>
        </is>
      </c>
      <c r="D142" s="8" t="inlineStr">
        <is>
          <t>Part XI line 9</t>
        </is>
      </c>
      <c r="E142" s="8" t="inlineStr">
        <is>
          <t>part_xi_reconciliation.other_changes_net_assets</t>
        </is>
      </c>
      <c r="F142" s="8" t="inlineStr">
        <is>
          <t>high</t>
        </is>
      </c>
      <c r="G142" s="9" t="n">
        <v>0</v>
      </c>
    </row>
    <row r="143">
      <c r="A143" s="8" t="inlineStr">
        <is>
          <t>Net-assets reconciliation</t>
        </is>
      </c>
      <c r="B143" s="8" t="inlineStr">
        <is>
          <t>C10</t>
        </is>
      </c>
      <c r="C143" s="8" t="inlineStr">
        <is>
          <t>9. Other changes in net assets</t>
        </is>
      </c>
      <c r="D143" s="8" t="inlineStr">
        <is>
          <t>Part XI line 9</t>
        </is>
      </c>
      <c r="E143" s="8" t="inlineStr">
        <is>
          <t>part_xi_reconciliation.other_changes_net_assets</t>
        </is>
      </c>
      <c r="F143" s="8" t="inlineStr">
        <is>
          <t>high</t>
        </is>
      </c>
      <c r="G143" s="9" t="n">
        <v>0</v>
      </c>
    </row>
    <row r="144">
      <c r="A144" s="8" t="inlineStr">
        <is>
          <t>Net-assets reconciliation</t>
        </is>
      </c>
      <c r="B144" s="8" t="inlineStr">
        <is>
          <t>D10</t>
        </is>
      </c>
      <c r="C144" s="8" t="inlineStr">
        <is>
          <t>9. Other changes in net assets</t>
        </is>
      </c>
      <c r="D144" s="8" t="inlineStr">
        <is>
          <t>Part XI line 9</t>
        </is>
      </c>
      <c r="E144" s="8" t="inlineStr">
        <is>
          <t>part_xi_reconciliation.other_changes_net_assets</t>
        </is>
      </c>
      <c r="F144" s="8" t="inlineStr">
        <is>
          <t>high</t>
        </is>
      </c>
      <c r="G144" s="9" t="n">
        <v>0</v>
      </c>
    </row>
    <row r="145">
      <c r="A145" s="8" t="inlineStr">
        <is>
          <t>Net-assets reconciliation</t>
        </is>
      </c>
      <c r="B145" s="8" t="inlineStr">
        <is>
          <t>E10</t>
        </is>
      </c>
      <c r="C145" s="8" t="inlineStr">
        <is>
          <t>9. Other changes in net assets</t>
        </is>
      </c>
      <c r="D145" s="8" t="inlineStr">
        <is>
          <t>Part XI line 9</t>
        </is>
      </c>
      <c r="E145" s="8" t="inlineStr">
        <is>
          <t>part_xi_reconciliation.other_changes_net_assets</t>
        </is>
      </c>
      <c r="F145" s="8" t="inlineStr">
        <is>
          <t>high</t>
        </is>
      </c>
      <c r="G145" s="9" t="n">
        <v>0</v>
      </c>
    </row>
    <row r="146">
      <c r="A146" s="8" t="inlineStr">
        <is>
          <t>Net-assets reconciliation</t>
        </is>
      </c>
      <c r="B146" s="8" t="inlineStr">
        <is>
          <t>F10</t>
        </is>
      </c>
      <c r="C146" s="8" t="inlineStr">
        <is>
          <t>9. Other changes in net assets</t>
        </is>
      </c>
      <c r="D146" s="8" t="inlineStr">
        <is>
          <t>Part XI line 9</t>
        </is>
      </c>
      <c r="E146" s="8" t="inlineStr">
        <is>
          <t>part_xi_reconciliation.other_changes_net_assets</t>
        </is>
      </c>
      <c r="F146" s="8" t="inlineStr">
        <is>
          <t>high</t>
        </is>
      </c>
      <c r="G146" s="9" t="n">
        <v>0</v>
      </c>
    </row>
    <row r="148">
      <c r="A148" s="45" t="inlineStr">
        <is>
          <t>C. Tie-out checks (filed vs computed; any nonzero variance is flagged red)</t>
        </is>
      </c>
      <c r="B148" s="7" t="n"/>
      <c r="C148" s="7" t="n"/>
      <c r="D148" s="7" t="n"/>
      <c r="E148" s="7" t="n"/>
      <c r="F148" s="7" t="n"/>
      <c r="G148" s="7" t="n"/>
      <c r="H148" s="7" t="n"/>
      <c r="I148" s="7" t="n"/>
      <c r="J148" s="7" t="n"/>
      <c r="K148" s="7" t="n"/>
    </row>
    <row r="149">
      <c r="A149" s="5" t="inlineStr">
        <is>
          <t>Tab</t>
        </is>
      </c>
      <c r="B149" s="5" t="inlineStr">
        <is>
          <t>Check</t>
        </is>
      </c>
      <c r="C149" s="5" t="inlineStr">
        <is>
          <t>Fiscal year</t>
        </is>
      </c>
      <c r="D149" s="5" t="inlineStr">
        <is>
          <t>Filed</t>
        </is>
      </c>
      <c r="E149" s="5" t="inlineStr">
        <is>
          <t>Computed</t>
        </is>
      </c>
      <c r="F149" s="5" t="inlineStr">
        <is>
          <t>Variance (computed - filed)</t>
        </is>
      </c>
    </row>
    <row r="150">
      <c r="A150" s="48" t="inlineStr">
        <is>
          <t>Revenue (detail)</t>
        </is>
      </c>
      <c r="B150" s="48" t="inlineStr">
        <is>
          <t>12. Total revenue</t>
        </is>
      </c>
      <c r="C150" s="48" t="inlineStr">
        <is>
          <t>FY2020</t>
        </is>
      </c>
      <c r="D150" s="9" t="n">
        <v>825066</v>
      </c>
      <c r="E150" s="9">
        <f>'Revenue (detail)'!B13</f>
        <v/>
      </c>
      <c r="F150" s="9">
        <f>E150-D150</f>
        <v/>
      </c>
    </row>
    <row r="151">
      <c r="A151" s="48" t="inlineStr">
        <is>
          <t>Revenue (detail)</t>
        </is>
      </c>
      <c r="B151" s="48" t="inlineStr">
        <is>
          <t>12. Total revenue</t>
        </is>
      </c>
      <c r="C151" s="48" t="inlineStr">
        <is>
          <t>FY2021</t>
        </is>
      </c>
      <c r="D151" s="9" t="n">
        <v>794539</v>
      </c>
      <c r="E151" s="9">
        <f>'Revenue (detail)'!C13</f>
        <v/>
      </c>
      <c r="F151" s="9">
        <f>E151-D151</f>
        <v/>
      </c>
    </row>
    <row r="152">
      <c r="A152" s="48" t="inlineStr">
        <is>
          <t>Revenue (detail)</t>
        </is>
      </c>
      <c r="B152" s="48" t="inlineStr">
        <is>
          <t>12. Total revenue</t>
        </is>
      </c>
      <c r="C152" s="48" t="inlineStr">
        <is>
          <t>FY2022</t>
        </is>
      </c>
      <c r="D152" s="9" t="n">
        <v>428697</v>
      </c>
      <c r="E152" s="9">
        <f>'Revenue (detail)'!D13</f>
        <v/>
      </c>
      <c r="F152" s="9">
        <f>E152-D152</f>
        <v/>
      </c>
    </row>
    <row r="153">
      <c r="A153" s="48" t="inlineStr">
        <is>
          <t>Revenue (detail)</t>
        </is>
      </c>
      <c r="B153" s="48" t="inlineStr">
        <is>
          <t>12. Total revenue</t>
        </is>
      </c>
      <c r="C153" s="48" t="inlineStr">
        <is>
          <t>FY2023</t>
        </is>
      </c>
      <c r="D153" s="9" t="n">
        <v>686016</v>
      </c>
      <c r="E153" s="9">
        <f>'Revenue (detail)'!E13</f>
        <v/>
      </c>
      <c r="F153" s="9">
        <f>E153-D153</f>
        <v/>
      </c>
    </row>
    <row r="154">
      <c r="A154" s="48" t="inlineStr">
        <is>
          <t>Revenue (detail)</t>
        </is>
      </c>
      <c r="B154" s="48" t="inlineStr">
        <is>
          <t>12. Total revenue</t>
        </is>
      </c>
      <c r="C154" s="48" t="inlineStr">
        <is>
          <t>FY2024</t>
        </is>
      </c>
      <c r="D154" s="9" t="n">
        <v>1804118</v>
      </c>
      <c r="E154" s="9">
        <f>'Revenue (detail)'!F13</f>
        <v/>
      </c>
      <c r="F154" s="9">
        <f>E154-D154</f>
        <v/>
      </c>
    </row>
    <row r="155">
      <c r="A155" s="48" t="inlineStr">
        <is>
          <t>Revenue (detail)</t>
        </is>
      </c>
      <c r="B155" s="48" t="inlineStr">
        <is>
          <t>2g program service revenue = sum of lines 2a-2f (FY2024)</t>
        </is>
      </c>
      <c r="C155" s="48" t="inlineStr">
        <is>
          <t>FY2024</t>
        </is>
      </c>
      <c r="D155" s="9" t="n">
        <v>2143394</v>
      </c>
      <c r="E155" s="9">
        <f>SUM('Revenue (detail)'!C17:C17)</f>
        <v/>
      </c>
      <c r="F155" s="9">
        <f>E155-D155</f>
        <v/>
      </c>
    </row>
    <row r="156">
      <c r="A156" s="48" t="inlineStr">
        <is>
          <t>Operating expenses (detail)</t>
        </is>
      </c>
      <c r="B156" s="48" t="inlineStr">
        <is>
          <t>25. Total functional expenses</t>
        </is>
      </c>
      <c r="C156" s="48" t="inlineStr">
        <is>
          <t>FY2020</t>
        </is>
      </c>
      <c r="D156" s="9" t="n">
        <v>586276</v>
      </c>
      <c r="E156" s="9">
        <f>'Operating expenses (detail)'!B27</f>
        <v/>
      </c>
      <c r="F156" s="9">
        <f>E156-D156</f>
        <v/>
      </c>
    </row>
    <row r="157">
      <c r="A157" s="48" t="inlineStr">
        <is>
          <t>Operating expenses (detail)</t>
        </is>
      </c>
      <c r="B157" s="48" t="inlineStr">
        <is>
          <t>25. Total functional expenses</t>
        </is>
      </c>
      <c r="C157" s="48" t="inlineStr">
        <is>
          <t>FY2021</t>
        </is>
      </c>
      <c r="D157" s="9" t="n">
        <v>618727</v>
      </c>
      <c r="E157" s="9">
        <f>'Operating expenses (detail)'!C27</f>
        <v/>
      </c>
      <c r="F157" s="9">
        <f>E157-D157</f>
        <v/>
      </c>
    </row>
    <row r="158">
      <c r="A158" s="48" t="inlineStr">
        <is>
          <t>Operating expenses (detail)</t>
        </is>
      </c>
      <c r="B158" s="48" t="inlineStr">
        <is>
          <t>25. Total functional expenses</t>
        </is>
      </c>
      <c r="C158" s="48" t="inlineStr">
        <is>
          <t>FY2022</t>
        </is>
      </c>
      <c r="D158" s="9" t="n">
        <v>633790</v>
      </c>
      <c r="E158" s="9">
        <f>'Operating expenses (detail)'!D27</f>
        <v/>
      </c>
      <c r="F158" s="9">
        <f>E158-D158</f>
        <v/>
      </c>
    </row>
    <row r="159">
      <c r="A159" s="48" t="inlineStr">
        <is>
          <t>Operating expenses (detail)</t>
        </is>
      </c>
      <c r="B159" s="48" t="inlineStr">
        <is>
          <t>25. Total functional expenses</t>
        </is>
      </c>
      <c r="C159" s="48" t="inlineStr">
        <is>
          <t>FY2023</t>
        </is>
      </c>
      <c r="D159" s="9" t="n">
        <v>647062</v>
      </c>
      <c r="E159" s="9">
        <f>'Operating expenses (detail)'!E27</f>
        <v/>
      </c>
      <c r="F159" s="9">
        <f>E159-D159</f>
        <v/>
      </c>
    </row>
    <row r="160">
      <c r="A160" s="48" t="inlineStr">
        <is>
          <t>Operating expenses (detail)</t>
        </is>
      </c>
      <c r="B160" s="48" t="inlineStr">
        <is>
          <t>25. Total functional expenses</t>
        </is>
      </c>
      <c r="C160" s="48" t="inlineStr">
        <is>
          <t>FY2024</t>
        </is>
      </c>
      <c r="D160" s="9" t="n">
        <v>2629920</v>
      </c>
      <c r="E160" s="9">
        <f>'Operating expenses (detail)'!F27</f>
        <v/>
      </c>
      <c r="F160" s="9">
        <f>E160-D160</f>
        <v/>
      </c>
    </row>
    <row r="161">
      <c r="A161" s="48" t="inlineStr">
        <is>
          <t>Balance sheet (detail)</t>
        </is>
      </c>
      <c r="B161" s="48" t="inlineStr">
        <is>
          <t>16. Total assets</t>
        </is>
      </c>
      <c r="C161" s="48" t="inlineStr">
        <is>
          <t>FY2020</t>
        </is>
      </c>
      <c r="D161" s="9" t="n">
        <v>3638049</v>
      </c>
      <c r="E161" s="9">
        <f>'Balance sheet (detail)'!B13</f>
        <v/>
      </c>
      <c r="F161" s="9">
        <f>E161-D161</f>
        <v/>
      </c>
    </row>
    <row r="162">
      <c r="A162" s="48" t="inlineStr">
        <is>
          <t>Balance sheet (detail)</t>
        </is>
      </c>
      <c r="B162" s="48" t="inlineStr">
        <is>
          <t>16. Total assets</t>
        </is>
      </c>
      <c r="C162" s="48" t="inlineStr">
        <is>
          <t>FY2021</t>
        </is>
      </c>
      <c r="D162" s="9" t="n">
        <v>3765834</v>
      </c>
      <c r="E162" s="9">
        <f>'Balance sheet (detail)'!C13</f>
        <v/>
      </c>
      <c r="F162" s="9">
        <f>E162-D162</f>
        <v/>
      </c>
    </row>
    <row r="163">
      <c r="A163" s="48" t="inlineStr">
        <is>
          <t>Balance sheet (detail)</t>
        </is>
      </c>
      <c r="B163" s="48" t="inlineStr">
        <is>
          <t>16. Total assets</t>
        </is>
      </c>
      <c r="C163" s="48" t="inlineStr">
        <is>
          <t>FY2022</t>
        </is>
      </c>
      <c r="D163" s="9" t="n">
        <v>3523963</v>
      </c>
      <c r="E163" s="9">
        <f>'Balance sheet (detail)'!D13</f>
        <v/>
      </c>
      <c r="F163" s="9">
        <f>E163-D163</f>
        <v/>
      </c>
    </row>
    <row r="164">
      <c r="A164" s="48" t="inlineStr">
        <is>
          <t>Balance sheet (detail)</t>
        </is>
      </c>
      <c r="B164" s="48" t="inlineStr">
        <is>
          <t>16. Total assets</t>
        </is>
      </c>
      <c r="C164" s="48" t="inlineStr">
        <is>
          <t>FY2023</t>
        </is>
      </c>
      <c r="D164" s="9" t="n">
        <v>3436963</v>
      </c>
      <c r="E164" s="9">
        <f>'Balance sheet (detail)'!E13</f>
        <v/>
      </c>
      <c r="F164" s="9">
        <f>E164-D164</f>
        <v/>
      </c>
    </row>
    <row r="165">
      <c r="A165" s="48" t="inlineStr">
        <is>
          <t>Balance sheet (detail)</t>
        </is>
      </c>
      <c r="B165" s="48" t="inlineStr">
        <is>
          <t>16. Total assets</t>
        </is>
      </c>
      <c r="C165" s="48" t="inlineStr">
        <is>
          <t>FY2024</t>
        </is>
      </c>
      <c r="D165" s="9" t="n">
        <v>3271181</v>
      </c>
      <c r="E165" s="9">
        <f>'Balance sheet (detail)'!F13</f>
        <v/>
      </c>
      <c r="F165" s="9">
        <f>E165-D165</f>
        <v/>
      </c>
    </row>
    <row r="166">
      <c r="A166" s="48" t="inlineStr">
        <is>
          <t>Balance sheet (detail)</t>
        </is>
      </c>
      <c r="B166" s="48" t="inlineStr">
        <is>
          <t>26. Total liabilities</t>
        </is>
      </c>
      <c r="C166" s="48" t="inlineStr">
        <is>
          <t>FY2020</t>
        </is>
      </c>
      <c r="D166" s="9" t="n">
        <v>393607</v>
      </c>
      <c r="E166" s="9">
        <f>'Balance sheet (detail)'!B19</f>
        <v/>
      </c>
      <c r="F166" s="9">
        <f>E166-D166</f>
        <v/>
      </c>
    </row>
    <row r="167">
      <c r="A167" s="48" t="inlineStr">
        <is>
          <t>Balance sheet (detail)</t>
        </is>
      </c>
      <c r="B167" s="48" t="inlineStr">
        <is>
          <t>26. Total liabilities</t>
        </is>
      </c>
      <c r="C167" s="48" t="inlineStr">
        <is>
          <t>FY2021</t>
        </is>
      </c>
      <c r="D167" s="9" t="n">
        <v>345580</v>
      </c>
      <c r="E167" s="9">
        <f>'Balance sheet (detail)'!C19</f>
        <v/>
      </c>
      <c r="F167" s="9">
        <f>E167-D167</f>
        <v/>
      </c>
    </row>
    <row r="168">
      <c r="A168" s="48" t="inlineStr">
        <is>
          <t>Balance sheet (detail)</t>
        </is>
      </c>
      <c r="B168" s="48" t="inlineStr">
        <is>
          <t>26. Total liabilities</t>
        </is>
      </c>
      <c r="C168" s="48" t="inlineStr">
        <is>
          <t>FY2022</t>
        </is>
      </c>
      <c r="D168" s="9" t="n">
        <v>308802</v>
      </c>
      <c r="E168" s="9">
        <f>'Balance sheet (detail)'!D19</f>
        <v/>
      </c>
      <c r="F168" s="9">
        <f>E168-D168</f>
        <v/>
      </c>
    </row>
    <row r="169">
      <c r="A169" s="48" t="inlineStr">
        <is>
          <t>Balance sheet (detail)</t>
        </is>
      </c>
      <c r="B169" s="48" t="inlineStr">
        <is>
          <t>26. Total liabilities</t>
        </is>
      </c>
      <c r="C169" s="48" t="inlineStr">
        <is>
          <t>FY2023</t>
        </is>
      </c>
      <c r="D169" s="9" t="n">
        <v>182848</v>
      </c>
      <c r="E169" s="9">
        <f>'Balance sheet (detail)'!E19</f>
        <v/>
      </c>
      <c r="F169" s="9">
        <f>E169-D169</f>
        <v/>
      </c>
    </row>
    <row r="170">
      <c r="A170" s="48" t="inlineStr">
        <is>
          <t>Balance sheet (detail)</t>
        </is>
      </c>
      <c r="B170" s="48" t="inlineStr">
        <is>
          <t>26. Total liabilities</t>
        </is>
      </c>
      <c r="C170" s="48" t="inlineStr">
        <is>
          <t>FY2024</t>
        </is>
      </c>
      <c r="D170" s="9" t="n">
        <v>499075</v>
      </c>
      <c r="E170" s="9">
        <f>'Balance sheet (detail)'!F19</f>
        <v/>
      </c>
      <c r="F170" s="9">
        <f>E170-D170</f>
        <v/>
      </c>
    </row>
    <row r="171">
      <c r="A171" s="48" t="inlineStr">
        <is>
          <t>Balance sheet (detail)</t>
        </is>
      </c>
      <c r="B171" s="48" t="inlineStr">
        <is>
          <t>32. Total net assets / fund balances</t>
        </is>
      </c>
      <c r="C171" s="48" t="inlineStr">
        <is>
          <t>FY2020</t>
        </is>
      </c>
      <c r="D171" s="9" t="n">
        <v>3244442</v>
      </c>
      <c r="E171" s="9">
        <f>'Balance sheet (detail)'!B25</f>
        <v/>
      </c>
      <c r="F171" s="9">
        <f>E171-D171</f>
        <v/>
      </c>
    </row>
    <row r="172">
      <c r="A172" s="48" t="inlineStr">
        <is>
          <t>Balance sheet (detail)</t>
        </is>
      </c>
      <c r="B172" s="48" t="inlineStr">
        <is>
          <t>32. Total net assets / fund balances</t>
        </is>
      </c>
      <c r="C172" s="48" t="inlineStr">
        <is>
          <t>FY2021</t>
        </is>
      </c>
      <c r="D172" s="9" t="n">
        <v>3420254</v>
      </c>
      <c r="E172" s="9">
        <f>'Balance sheet (detail)'!C25</f>
        <v/>
      </c>
      <c r="F172" s="9">
        <f>E172-D172</f>
        <v/>
      </c>
    </row>
    <row r="173">
      <c r="A173" s="48" t="inlineStr">
        <is>
          <t>Balance sheet (detail)</t>
        </is>
      </c>
      <c r="B173" s="48" t="inlineStr">
        <is>
          <t>32. Total net assets / fund balances</t>
        </is>
      </c>
      <c r="C173" s="48" t="inlineStr">
        <is>
          <t>FY2022</t>
        </is>
      </c>
      <c r="D173" s="9" t="n">
        <v>3215161</v>
      </c>
      <c r="E173" s="9">
        <f>'Balance sheet (detail)'!D25</f>
        <v/>
      </c>
      <c r="F173" s="9">
        <f>E173-D173</f>
        <v/>
      </c>
    </row>
    <row r="174">
      <c r="A174" s="48" t="inlineStr">
        <is>
          <t>Balance sheet (detail)</t>
        </is>
      </c>
      <c r="B174" s="48" t="inlineStr">
        <is>
          <t>32. Total net assets / fund balances</t>
        </is>
      </c>
      <c r="C174" s="48" t="inlineStr">
        <is>
          <t>FY2023</t>
        </is>
      </c>
      <c r="D174" s="9" t="n">
        <v>3254115</v>
      </c>
      <c r="E174" s="9">
        <f>'Balance sheet (detail)'!E25</f>
        <v/>
      </c>
      <c r="F174" s="9">
        <f>E174-D174</f>
        <v/>
      </c>
    </row>
    <row r="175">
      <c r="A175" s="48" t="inlineStr">
        <is>
          <t>Balance sheet (detail)</t>
        </is>
      </c>
      <c r="B175" s="48" t="inlineStr">
        <is>
          <t>32. Total net assets / fund balances</t>
        </is>
      </c>
      <c r="C175" s="48" t="inlineStr">
        <is>
          <t>FY2024</t>
        </is>
      </c>
      <c r="D175" s="9" t="n">
        <v>2772106</v>
      </c>
      <c r="E175" s="9">
        <f>'Balance sheet (detail)'!F25</f>
        <v/>
      </c>
      <c r="F175" s="9">
        <f>E175-D175</f>
        <v/>
      </c>
    </row>
    <row r="176">
      <c r="A176" s="48" t="inlineStr">
        <is>
          <t>Balance sheet (detail)</t>
        </is>
      </c>
      <c r="B176" s="48" t="inlineStr">
        <is>
          <t>Balance sheet identity: line 16 = line 26 + line 32 (EOY)</t>
        </is>
      </c>
      <c r="C176" s="48" t="inlineStr">
        <is>
          <t>FY2020</t>
        </is>
      </c>
      <c r="D176" s="9">
        <f>'Balance sheet (detail)'!B13</f>
        <v/>
      </c>
      <c r="E176" s="9">
        <f>SUM('Balance sheet (detail)'!B19,'Balance sheet (detail)'!B25)</f>
        <v/>
      </c>
      <c r="F176" s="9">
        <f>E176-D176</f>
        <v/>
      </c>
    </row>
    <row r="177">
      <c r="A177" s="48" t="inlineStr">
        <is>
          <t>Balance sheet (detail)</t>
        </is>
      </c>
      <c r="B177" s="48" t="inlineStr">
        <is>
          <t>Balance sheet identity: line 16 = line 26 + line 32 (EOY)</t>
        </is>
      </c>
      <c r="C177" s="48" t="inlineStr">
        <is>
          <t>FY2021</t>
        </is>
      </c>
      <c r="D177" s="9">
        <f>'Balance sheet (detail)'!C13</f>
        <v/>
      </c>
      <c r="E177" s="9">
        <f>SUM('Balance sheet (detail)'!C19,'Balance sheet (detail)'!C25)</f>
        <v/>
      </c>
      <c r="F177" s="9">
        <f>E177-D177</f>
        <v/>
      </c>
    </row>
    <row r="178">
      <c r="A178" s="48" t="inlineStr">
        <is>
          <t>Balance sheet (detail)</t>
        </is>
      </c>
      <c r="B178" s="48" t="inlineStr">
        <is>
          <t>Balance sheet identity: line 16 = line 26 + line 32 (EOY)</t>
        </is>
      </c>
      <c r="C178" s="48" t="inlineStr">
        <is>
          <t>FY2022</t>
        </is>
      </c>
      <c r="D178" s="9">
        <f>'Balance sheet (detail)'!D13</f>
        <v/>
      </c>
      <c r="E178" s="9">
        <f>SUM('Balance sheet (detail)'!D19,'Balance sheet (detail)'!D25)</f>
        <v/>
      </c>
      <c r="F178" s="9">
        <f>E178-D178</f>
        <v/>
      </c>
    </row>
    <row r="179">
      <c r="A179" s="48" t="inlineStr">
        <is>
          <t>Balance sheet (detail)</t>
        </is>
      </c>
      <c r="B179" s="48" t="inlineStr">
        <is>
          <t>Balance sheet identity: line 16 = line 26 + line 32 (EOY)</t>
        </is>
      </c>
      <c r="C179" s="48" t="inlineStr">
        <is>
          <t>FY2023</t>
        </is>
      </c>
      <c r="D179" s="9">
        <f>'Balance sheet (detail)'!E13</f>
        <v/>
      </c>
      <c r="E179" s="9">
        <f>SUM('Balance sheet (detail)'!E19,'Balance sheet (detail)'!E25)</f>
        <v/>
      </c>
      <c r="F179" s="9">
        <f>E179-D179</f>
        <v/>
      </c>
    </row>
    <row r="180">
      <c r="A180" s="48" t="inlineStr">
        <is>
          <t>Balance sheet (detail)</t>
        </is>
      </c>
      <c r="B180" s="48" t="inlineStr">
        <is>
          <t>Balance sheet identity: line 16 = line 26 + line 32 (EOY)</t>
        </is>
      </c>
      <c r="C180" s="48" t="inlineStr">
        <is>
          <t>FY2024</t>
        </is>
      </c>
      <c r="D180" s="9">
        <f>'Balance sheet (detail)'!F13</f>
        <v/>
      </c>
      <c r="E180" s="9">
        <f>SUM('Balance sheet (detail)'!F19,'Balance sheet (detail)'!F25)</f>
        <v/>
      </c>
      <c r="F180" s="9">
        <f>E180-D180</f>
        <v/>
      </c>
    </row>
    <row r="181">
      <c r="A181" s="48" t="inlineStr">
        <is>
          <t>Net-assets reconciliation</t>
        </is>
      </c>
      <c r="B181" s="48" t="inlineStr">
        <is>
          <t>10. Net assets, end of year</t>
        </is>
      </c>
      <c r="C181" s="48" t="inlineStr">
        <is>
          <t>FY2020</t>
        </is>
      </c>
      <c r="D181" s="9" t="n">
        <v>3244442</v>
      </c>
      <c r="E181" s="9">
        <f>'Net-assets reconciliation'!B11</f>
        <v/>
      </c>
      <c r="F181" s="9">
        <f>E181-D181</f>
        <v/>
      </c>
    </row>
    <row r="182">
      <c r="A182" s="48" t="inlineStr">
        <is>
          <t>Net-assets reconciliation</t>
        </is>
      </c>
      <c r="B182" s="48" t="inlineStr">
        <is>
          <t>10. Net assets, end of year</t>
        </is>
      </c>
      <c r="C182" s="48" t="inlineStr">
        <is>
          <t>FY2021</t>
        </is>
      </c>
      <c r="D182" s="9" t="n">
        <v>3420254</v>
      </c>
      <c r="E182" s="9">
        <f>'Net-assets reconciliation'!C11</f>
        <v/>
      </c>
      <c r="F182" s="9">
        <f>E182-D182</f>
        <v/>
      </c>
    </row>
    <row r="183">
      <c r="A183" s="48" t="inlineStr">
        <is>
          <t>Net-assets reconciliation</t>
        </is>
      </c>
      <c r="B183" s="48" t="inlineStr">
        <is>
          <t>10. Net assets, end of year</t>
        </is>
      </c>
      <c r="C183" s="48" t="inlineStr">
        <is>
          <t>FY2022</t>
        </is>
      </c>
      <c r="D183" s="9" t="n">
        <v>3215161</v>
      </c>
      <c r="E183" s="9">
        <f>'Net-assets reconciliation'!D11</f>
        <v/>
      </c>
      <c r="F183" s="9">
        <f>E183-D183</f>
        <v/>
      </c>
    </row>
    <row r="184">
      <c r="A184" s="48" t="inlineStr">
        <is>
          <t>Net-assets reconciliation</t>
        </is>
      </c>
      <c r="B184" s="48" t="inlineStr">
        <is>
          <t>10. Net assets, end of year</t>
        </is>
      </c>
      <c r="C184" s="48" t="inlineStr">
        <is>
          <t>FY2023</t>
        </is>
      </c>
      <c r="D184" s="9" t="n">
        <v>3254115</v>
      </c>
      <c r="E184" s="9">
        <f>'Net-assets reconciliation'!E11</f>
        <v/>
      </c>
      <c r="F184" s="9">
        <f>E184-D184</f>
        <v/>
      </c>
    </row>
    <row r="185">
      <c r="A185" s="48" t="inlineStr">
        <is>
          <t>Net-assets reconciliation</t>
        </is>
      </c>
      <c r="B185" s="48" t="inlineStr">
        <is>
          <t>10. Net assets, end of year</t>
        </is>
      </c>
      <c r="C185" s="48" t="inlineStr">
        <is>
          <t>FY2024</t>
        </is>
      </c>
      <c r="D185" s="9" t="n">
        <v>2772106</v>
      </c>
      <c r="E185" s="9">
        <f>'Net-assets reconciliation'!F11</f>
        <v/>
      </c>
      <c r="F185" s="9">
        <f>E185-D185</f>
        <v/>
      </c>
    </row>
    <row r="187">
      <c r="A187" s="45" t="inlineStr">
        <is>
          <t>D. Preparer / auditor trail (one row per fiscal year, as filed)</t>
        </is>
      </c>
      <c r="B187" s="7" t="n"/>
      <c r="C187" s="7" t="n"/>
      <c r="D187" s="7" t="n"/>
      <c r="E187" s="7" t="n"/>
      <c r="F187" s="7" t="n"/>
      <c r="G187" s="7" t="n"/>
      <c r="H187" s="7" t="n"/>
      <c r="I187" s="7" t="n"/>
      <c r="J187" s="7" t="n"/>
      <c r="K187" s="7" t="n"/>
    </row>
    <row r="188">
      <c r="A188" s="5" t="inlineStr">
        <is>
          <t>Fiscal year</t>
        </is>
      </c>
      <c r="B188" s="5" t="inlineStr">
        <is>
          <t>Paid preparer</t>
        </is>
      </c>
      <c r="C188" s="5" t="inlineStr">
        <is>
          <t>Preparer firm</t>
        </is>
      </c>
      <c r="D188" s="5" t="inlineStr">
        <is>
          <t>Independent auditor</t>
        </is>
      </c>
      <c r="E188" s="5" t="inlineStr">
        <is>
          <t>Citation</t>
        </is>
      </c>
    </row>
    <row r="189" ht="42" customHeight="1">
      <c r="A189" s="46" t="inlineStr">
        <is>
          <t>FY2020</t>
        </is>
      </c>
      <c r="B189" s="8" t="inlineStr">
        <is>
          <t>Gail N Egan</t>
        </is>
      </c>
      <c r="C189" s="8" t="inlineStr">
        <is>
          <t>EGAN CPAs LP</t>
        </is>
      </c>
      <c r="D189" s="50" t="inlineStr">
        <is>
          <t>not reported</t>
        </is>
      </c>
      <c r="E189" s="24" t="inlineStr">
        <is>
          <t>Form 990 Return Header, Paid Preparer block (return_header.preparer_person_name / preparer_firm_name); auditor: Part XII line 2 reports audited financial statements but does not name the firm.</t>
        </is>
      </c>
    </row>
    <row r="190" ht="42" customHeight="1">
      <c r="A190" s="46" t="inlineStr">
        <is>
          <t>FY2021</t>
        </is>
      </c>
      <c r="B190" s="8" t="inlineStr">
        <is>
          <t>Gail N Egan</t>
        </is>
      </c>
      <c r="C190" s="8" t="inlineStr">
        <is>
          <t>EGAN CPAs LP</t>
        </is>
      </c>
      <c r="D190" s="50" t="inlineStr">
        <is>
          <t>not reported</t>
        </is>
      </c>
      <c r="E190" s="24" t="inlineStr">
        <is>
          <t>Form 990 Return Header, Paid Preparer block (return_header.preparer_person_name / preparer_firm_name); auditor: Part XII line 2 reports audited financial statements but does not name the firm.</t>
        </is>
      </c>
    </row>
    <row r="191" ht="42" customHeight="1">
      <c r="A191" s="46" t="inlineStr">
        <is>
          <t>FY2022</t>
        </is>
      </c>
      <c r="B191" s="8" t="inlineStr">
        <is>
          <t>Gail N Egan</t>
        </is>
      </c>
      <c r="C191" s="8" t="inlineStr">
        <is>
          <t>EGAN CPAs LP</t>
        </is>
      </c>
      <c r="D191" s="50" t="inlineStr">
        <is>
          <t>not reported</t>
        </is>
      </c>
      <c r="E191" s="24" t="inlineStr">
        <is>
          <t>Form 990 Return Header, Paid Preparer block (return_header.preparer_person_name / preparer_firm_name); auditor: Part XII line 2 reports audited financial statements but does not name the firm.</t>
        </is>
      </c>
    </row>
    <row r="192" ht="42" customHeight="1">
      <c r="A192" s="46" t="inlineStr">
        <is>
          <t>FY2023</t>
        </is>
      </c>
      <c r="B192" s="8" t="inlineStr">
        <is>
          <t>Gail N Egan</t>
        </is>
      </c>
      <c r="C192" s="8" t="inlineStr">
        <is>
          <t>EGAN CPAs LP</t>
        </is>
      </c>
      <c r="D192" s="50" t="inlineStr">
        <is>
          <t>not reported</t>
        </is>
      </c>
      <c r="E192" s="24" t="inlineStr">
        <is>
          <t>Form 990 Return Header, Paid Preparer block (return_header.preparer_person_name / preparer_firm_name); auditor: Part XII line 2 reports audited financial statements but does not name the firm.</t>
        </is>
      </c>
    </row>
    <row r="193" ht="42" customHeight="1">
      <c r="A193" s="46" t="inlineStr">
        <is>
          <t>FY2024</t>
        </is>
      </c>
      <c r="B193" s="8" t="inlineStr">
        <is>
          <t>Gail N Egan</t>
        </is>
      </c>
      <c r="C193" s="8" t="inlineStr">
        <is>
          <t>EGAN CPAs LP</t>
        </is>
      </c>
      <c r="D193" s="50" t="inlineStr">
        <is>
          <t>not reported</t>
        </is>
      </c>
      <c r="E193" s="24" t="inlineStr">
        <is>
          <t>Form 990 Return Header, Paid Preparer block (return_header.preparer_person_name / preparer_firm_name); auditor: Part XII line 2 reports audited financial statements but does not name the firm.</t>
        </is>
      </c>
    </row>
    <row r="195" ht="42" customHeight="1">
      <c r="A19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95:K195"/>
    <mergeCell ref="A2:K2"/>
    <mergeCell ref="A5:K5"/>
    <mergeCell ref="A1:K1"/>
  </mergeCells>
  <conditionalFormatting sqref="F150:F185">
    <cfRule type="cellIs" priority="1" operator="notEqual" dxfId="0">
      <formula>0</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