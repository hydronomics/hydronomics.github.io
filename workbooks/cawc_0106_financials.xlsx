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43.0 in / 50 in seasonal normal; statewide SWP-supply index, not local precipitation</t>
      </text>
    </comment>
    <comment ref="C10" authorId="0" shapeId="0">
      <text>
        <t>water-year cumulative 66.6 in / 50 in seasonal normal; statewide SWP-supply index, not local precipitation</t>
      </text>
    </comment>
    <comment ref="D10" authorId="0" shapeId="0">
      <text>
        <t>water-year cumulative 48.2 in / 50 in seasonal normal; statewide SWP-supply index, not local precipitation</t>
      </text>
    </comment>
    <comment ref="E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Hat Creek Highlands Mutual Water Co</t>
        </is>
      </c>
    </row>
    <row r="2">
      <c r="A2" s="2" t="inlineStr">
        <is>
          <t>Financial Summary - multi-year overview (USD)</t>
        </is>
      </c>
    </row>
    <row r="3">
      <c r="A3" s="2" t="inlineStr">
        <is>
          <t>Entity ID: cawc_0106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FY2022</t>
        </is>
      </c>
      <c r="C8" s="5" t="inlineStr">
        <is>
          <t>FY2023</t>
        </is>
      </c>
      <c r="D8" s="5" t="inlineStr">
        <is>
          <t>FY2024</t>
        </is>
      </c>
      <c r="E8" s="5" t="inlineStr">
        <is>
          <t>FY2025</t>
        </is>
      </c>
    </row>
    <row r="9">
      <c r="A9" s="6" t="inlineStr">
        <is>
          <t>Operating results (USD)</t>
        </is>
      </c>
      <c r="B9" s="7" t="n"/>
      <c r="C9" s="7" t="n"/>
      <c r="D9" s="7" t="n"/>
      <c r="E9" s="7" t="n"/>
    </row>
    <row r="10">
      <c r="A10" s="8" t="inlineStr">
        <is>
          <t xml:space="preserve">    Total revenue</t>
        </is>
      </c>
      <c r="B10" s="9" t="n">
        <v>77965</v>
      </c>
      <c r="C10" s="9" t="n">
        <v>80031</v>
      </c>
      <c r="D10" s="9" t="n">
        <v>0</v>
      </c>
      <c r="E10" s="9" t="n">
        <v>90319</v>
      </c>
    </row>
    <row r="11">
      <c r="A11" s="8" t="inlineStr">
        <is>
          <t xml:space="preserve">    Total expenses</t>
        </is>
      </c>
      <c r="B11" s="9" t="n">
        <v>62140</v>
      </c>
      <c r="C11" s="9" t="n">
        <v>87583</v>
      </c>
      <c r="D11" s="9" t="n">
        <v>15063</v>
      </c>
      <c r="E11" s="9" t="n">
        <v>91248</v>
      </c>
    </row>
    <row r="12">
      <c r="A12" s="10" t="inlineStr">
        <is>
          <t xml:space="preserve">    Net income</t>
        </is>
      </c>
      <c r="B12" s="11" t="n">
        <v>15825</v>
      </c>
      <c r="C12" s="11" t="n">
        <v>-7552</v>
      </c>
      <c r="D12" s="11" t="n">
        <v>-15063</v>
      </c>
      <c r="E12" s="11" t="n">
        <v>-929</v>
      </c>
    </row>
    <row r="14">
      <c r="A14" s="6" t="inlineStr">
        <is>
          <t>Financial position (USD, end of year)</t>
        </is>
      </c>
      <c r="B14" s="7" t="n"/>
      <c r="C14" s="7" t="n"/>
      <c r="D14" s="7" t="n"/>
      <c r="E14" s="7" t="n"/>
    </row>
    <row r="15">
      <c r="A15" s="8" t="inlineStr">
        <is>
          <t xml:space="preserve">    Total assets</t>
        </is>
      </c>
      <c r="B15" s="9" t="n">
        <v>392066</v>
      </c>
      <c r="C15" s="9" t="n">
        <v>371086</v>
      </c>
      <c r="D15" s="9" t="n">
        <v>356585</v>
      </c>
      <c r="E15" s="9" t="n">
        <v>367030</v>
      </c>
    </row>
    <row r="16">
      <c r="A16" s="8" t="inlineStr">
        <is>
          <t xml:space="preserve">    Total liabilities</t>
        </is>
      </c>
      <c r="B16" s="9" t="n">
        <v>17440</v>
      </c>
      <c r="C16" s="9" t="n">
        <v>4012</v>
      </c>
      <c r="D16" s="9" t="n">
        <v>4574</v>
      </c>
      <c r="E16" s="9" t="n">
        <v>15948</v>
      </c>
    </row>
    <row r="17">
      <c r="A17" s="10" t="inlineStr">
        <is>
          <t xml:space="preserve">    Net assets</t>
        </is>
      </c>
      <c r="B17" s="11" t="n">
        <v>374626</v>
      </c>
      <c r="C17" s="11" t="n">
        <v>367074</v>
      </c>
      <c r="D17" s="11" t="n">
        <v>352011</v>
      </c>
      <c r="E17" s="11" t="n">
        <v>351082</v>
      </c>
    </row>
    <row r="19">
      <c r="A19" s="6" t="inlineStr">
        <is>
          <t>Headline ratios</t>
        </is>
      </c>
      <c r="B19" s="7" t="n"/>
      <c r="C19" s="7" t="n"/>
      <c r="D19" s="7" t="n"/>
      <c r="E19" s="7" t="n"/>
    </row>
    <row r="20">
      <c r="A20" s="8" t="inlineStr">
        <is>
          <t xml:space="preserve">    Operating margin</t>
        </is>
      </c>
      <c r="B20" s="12" t="n">
        <v>0.2029756942217662</v>
      </c>
      <c r="C20" s="12" t="n">
        <v>-0.09436343416925941</v>
      </c>
      <c r="D20" s="12" t="n"/>
      <c r="E20" s="12" t="n">
        <v>-0.01028576489996568</v>
      </c>
    </row>
    <row r="21">
      <c r="A21" s="8" t="inlineStr">
        <is>
          <t xml:space="preserve">    Revenue growth (YoY)</t>
        </is>
      </c>
      <c r="B21" s="12" t="n">
        <v>0</v>
      </c>
      <c r="C21" s="12" t="n">
        <v>0.0264990700955557</v>
      </c>
      <c r="D21" s="12" t="n">
        <v>-1</v>
      </c>
      <c r="E21" s="12" t="n">
        <v>-0.01114553795285591</v>
      </c>
    </row>
    <row r="22">
      <c r="A22" s="8" t="inlineStr">
        <is>
          <t xml:space="preserve">    Return on assets</t>
        </is>
      </c>
      <c r="B22" s="12" t="n">
        <v>0.0403631021307637</v>
      </c>
      <c r="C22" s="12" t="n">
        <v>-0.02035107764776898</v>
      </c>
      <c r="D22" s="12" t="n">
        <v>-0.04224238260162374</v>
      </c>
      <c r="E22" s="12" t="n">
        <v>-0.002531128245647495</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Hat Creek Highlands Mutual Water Co</t>
        </is>
      </c>
    </row>
    <row r="2">
      <c r="A2" s="2" t="inlineStr">
        <is>
          <t>Financial Statements - income statement, balance sheet, cash flow, member income test (USD)</t>
        </is>
      </c>
    </row>
    <row r="3">
      <c r="A3" s="2" t="inlineStr">
        <is>
          <t>Entity ID: cawc_0106   |   Fiscal year ends August 31.</t>
        </is>
      </c>
    </row>
    <row r="5">
      <c r="A5" s="6" t="inlineStr">
        <is>
          <t>INCOME STATEMENT - as reported (USD)</t>
        </is>
      </c>
      <c r="B5" s="7" t="n"/>
      <c r="C5" s="7" t="n"/>
      <c r="D5" s="7" t="n"/>
      <c r="E5" s="7" t="n"/>
    </row>
    <row r="6">
      <c r="A6" s="4" t="inlineStr">
        <is>
          <t>Line item</t>
        </is>
      </c>
      <c r="B6" s="5" t="inlineStr">
        <is>
          <t>FY2022</t>
        </is>
      </c>
      <c r="C6" s="5" t="inlineStr">
        <is>
          <t>FY2023</t>
        </is>
      </c>
      <c r="D6" s="5" t="inlineStr">
        <is>
          <t>FY2024</t>
        </is>
      </c>
      <c r="E6" s="5" t="inlineStr">
        <is>
          <t>FY2025</t>
        </is>
      </c>
    </row>
    <row r="7">
      <c r="A7" s="6" t="inlineStr">
        <is>
          <t>Revenue</t>
        </is>
      </c>
      <c r="B7" s="7" t="n"/>
      <c r="C7" s="7" t="n"/>
      <c r="D7" s="7" t="n"/>
      <c r="E7" s="7" t="n"/>
    </row>
    <row r="8">
      <c r="A8" s="8" t="inlineStr">
        <is>
          <t xml:space="preserve">    Program service revenue</t>
        </is>
      </c>
      <c r="B8" s="9" t="n"/>
      <c r="C8" s="9" t="n">
        <v>80031</v>
      </c>
      <c r="D8" s="9" t="n"/>
      <c r="E8" s="9" t="n">
        <v>90319</v>
      </c>
    </row>
    <row r="9">
      <c r="A9" s="8" t="inlineStr">
        <is>
          <t xml:space="preserve">    Investment income</t>
        </is>
      </c>
      <c r="B9" s="9" t="n"/>
      <c r="C9" s="9" t="n"/>
      <c r="D9" s="9" t="n"/>
      <c r="E9" s="9" t="n"/>
    </row>
    <row r="10">
      <c r="A10" s="8" t="inlineStr">
        <is>
          <t xml:space="preserve">    Net rental income</t>
        </is>
      </c>
      <c r="B10" s="9" t="n"/>
      <c r="C10" s="9" t="n"/>
      <c r="D10" s="9" t="n"/>
      <c r="E10" s="9" t="n"/>
    </row>
    <row r="11">
      <c r="A11" s="8" t="inlineStr">
        <is>
          <t xml:space="preserve">    Net gain/(loss) on investment sales</t>
        </is>
      </c>
      <c r="B11" s="9" t="n"/>
      <c r="C11" s="9" t="n"/>
      <c r="D11" s="9" t="n"/>
      <c r="E11" s="9" t="n"/>
    </row>
    <row r="12">
      <c r="A12" s="8" t="inlineStr">
        <is>
          <t xml:space="preserve">    Other revenue</t>
        </is>
      </c>
      <c r="B12" s="9" t="n"/>
      <c r="C12" s="9" t="n"/>
      <c r="D12" s="9" t="n"/>
      <c r="E12" s="9" t="n"/>
    </row>
    <row r="13">
      <c r="A13" s="8" t="inlineStr">
        <is>
          <t xml:space="preserve">    Contributions &amp; grants</t>
        </is>
      </c>
      <c r="B13" s="9" t="n">
        <v>77965</v>
      </c>
      <c r="C13" s="9" t="n"/>
      <c r="D13" s="9" t="n"/>
      <c r="E13" s="9" t="n"/>
    </row>
    <row r="14">
      <c r="A14" s="10" t="inlineStr">
        <is>
          <t>Total revenue</t>
        </is>
      </c>
      <c r="B14" s="11" t="n">
        <v>77965</v>
      </c>
      <c r="C14" s="11" t="n">
        <v>80031</v>
      </c>
      <c r="D14" s="11" t="n">
        <v>0</v>
      </c>
      <c r="E14" s="11" t="n">
        <v>90319</v>
      </c>
    </row>
    <row r="16">
      <c r="A16" s="6" t="inlineStr">
        <is>
          <t>Expenses</t>
        </is>
      </c>
      <c r="B16" s="7" t="n"/>
      <c r="C16" s="7" t="n"/>
      <c r="D16" s="7" t="n"/>
      <c r="E16" s="7" t="n"/>
    </row>
    <row r="17">
      <c r="A17" s="8" t="inlineStr">
        <is>
          <t xml:space="preserve">    Depreciation</t>
        </is>
      </c>
      <c r="B17" s="9" t="n"/>
      <c r="C17" s="9" t="n"/>
      <c r="D17" s="9" t="n"/>
      <c r="E17" s="9" t="n"/>
    </row>
    <row r="18">
      <c r="A18" s="8" t="inlineStr">
        <is>
          <t xml:space="preserve">    Interest expense</t>
        </is>
      </c>
      <c r="B18" s="9" t="n">
        <v>1475</v>
      </c>
      <c r="C18" s="9" t="n">
        <v>610</v>
      </c>
      <c r="D18" s="9" t="n"/>
      <c r="E18" s="9" t="n"/>
    </row>
    <row r="19">
      <c r="A19" s="10" t="inlineStr">
        <is>
          <t>Total expenses</t>
        </is>
      </c>
      <c r="B19" s="11" t="n">
        <v>62140</v>
      </c>
      <c r="C19" s="11" t="n">
        <v>87583</v>
      </c>
      <c r="D19" s="11" t="n">
        <v>15063</v>
      </c>
      <c r="E19" s="11" t="n">
        <v>91248</v>
      </c>
    </row>
    <row r="21">
      <c r="A21" s="10" t="inlineStr">
        <is>
          <t>Net income</t>
        </is>
      </c>
      <c r="B21" s="11" t="n">
        <v>15825</v>
      </c>
      <c r="C21" s="11" t="n">
        <v>-7552</v>
      </c>
      <c r="D21" s="11" t="n">
        <v>-15063</v>
      </c>
      <c r="E21" s="11" t="n">
        <v>-929</v>
      </c>
    </row>
    <row r="24">
      <c r="A24" s="6" t="inlineStr">
        <is>
          <t>BALANCE SHEET - as reported (USD, end of year)</t>
        </is>
      </c>
      <c r="B24" s="7" t="n"/>
      <c r="C24" s="7" t="n"/>
      <c r="D24" s="7" t="n"/>
      <c r="E24" s="7" t="n"/>
    </row>
    <row r="25">
      <c r="A25" s="4" t="inlineStr">
        <is>
          <t>Line item</t>
        </is>
      </c>
      <c r="B25" s="5" t="inlineStr">
        <is>
          <t>FY2022</t>
        </is>
      </c>
      <c r="C25" s="5" t="inlineStr">
        <is>
          <t>FY2023</t>
        </is>
      </c>
      <c r="D25" s="5" t="inlineStr">
        <is>
          <t>FY2024</t>
        </is>
      </c>
      <c r="E25" s="5" t="inlineStr">
        <is>
          <t>FY2025</t>
        </is>
      </c>
    </row>
    <row r="26">
      <c r="A26" s="6" t="inlineStr">
        <is>
          <t>Assets</t>
        </is>
      </c>
      <c r="B26" s="7" t="n"/>
      <c r="C26" s="7" t="n"/>
      <c r="D26" s="7" t="n"/>
      <c r="E26" s="7" t="n"/>
    </row>
    <row r="27">
      <c r="A27" s="8" t="inlineStr">
        <is>
          <t xml:space="preserve">    Cash</t>
        </is>
      </c>
      <c r="B27" s="9" t="n">
        <v>15594</v>
      </c>
      <c r="C27" s="9" t="n">
        <v>4578</v>
      </c>
      <c r="D27" s="9" t="n"/>
      <c r="E27" s="9" t="n"/>
    </row>
    <row r="28">
      <c r="A28" s="8" t="inlineStr">
        <is>
          <t xml:space="preserve">    Savings &amp; temporary investments</t>
        </is>
      </c>
      <c r="B28" s="9" t="n">
        <v>12722</v>
      </c>
      <c r="C28" s="9" t="n">
        <v>12722</v>
      </c>
      <c r="D28" s="9" t="n">
        <v>9148</v>
      </c>
      <c r="E28" s="9" t="n">
        <v>12721</v>
      </c>
    </row>
    <row r="29">
      <c r="A29" s="8" t="inlineStr">
        <is>
          <t xml:space="preserve">    Accounts receivable</t>
        </is>
      </c>
      <c r="B29" s="9" t="n">
        <v>5075</v>
      </c>
      <c r="C29" s="9" t="n">
        <v>6349</v>
      </c>
      <c r="D29" s="9" t="n"/>
      <c r="E29" s="9" t="n">
        <v>10517</v>
      </c>
    </row>
    <row r="30">
      <c r="A30" s="8" t="inlineStr">
        <is>
          <t xml:space="preserve">    Inventories</t>
        </is>
      </c>
      <c r="B30" s="9" t="n"/>
      <c r="C30" s="9" t="n"/>
      <c r="D30" s="9" t="n"/>
      <c r="E30" s="9" t="n"/>
    </row>
    <row r="31">
      <c r="A31" s="8" t="inlineStr">
        <is>
          <t xml:space="preserve">    Prepaid expenses</t>
        </is>
      </c>
      <c r="B31" s="9" t="n"/>
      <c r="C31" s="9" t="n"/>
      <c r="D31" s="9" t="n"/>
      <c r="E31" s="9" t="n"/>
    </row>
    <row r="32">
      <c r="A32" s="8" t="inlineStr">
        <is>
          <t xml:space="preserve">    Property, plant &amp; equipment (gross)</t>
        </is>
      </c>
      <c r="B32" s="9" t="n">
        <v>514396</v>
      </c>
      <c r="C32" s="9" t="n">
        <v>514396</v>
      </c>
      <c r="D32" s="9" t="n">
        <v>514396</v>
      </c>
      <c r="E32" s="9" t="n">
        <v>514396</v>
      </c>
    </row>
    <row r="33">
      <c r="A33" s="8" t="inlineStr">
        <is>
          <t xml:space="preserve">    Less: accumulated depreciation</t>
        </is>
      </c>
      <c r="B33" s="9" t="n">
        <v>-155721</v>
      </c>
      <c r="C33" s="9" t="n">
        <v>-166959</v>
      </c>
      <c r="D33" s="9" t="n">
        <v>-166959</v>
      </c>
      <c r="E33" s="9" t="n">
        <v>-170604</v>
      </c>
    </row>
    <row r="34">
      <c r="A34" s="10" t="inlineStr">
        <is>
          <t xml:space="preserve">    Net property, plant &amp; equipment</t>
        </is>
      </c>
      <c r="B34" s="11" t="n">
        <v>358675</v>
      </c>
      <c r="C34" s="11" t="n">
        <v>347437</v>
      </c>
      <c r="D34" s="11" t="n">
        <v>347437</v>
      </c>
      <c r="E34" s="11" t="n">
        <v>343792</v>
      </c>
    </row>
    <row r="35">
      <c r="A35" s="10" t="inlineStr">
        <is>
          <t>Total assets</t>
        </is>
      </c>
      <c r="B35" s="11" t="n">
        <v>392066</v>
      </c>
      <c r="C35" s="11" t="n">
        <v>371086</v>
      </c>
      <c r="D35" s="11" t="n">
        <v>356585</v>
      </c>
      <c r="E35" s="11" t="n">
        <v>367030</v>
      </c>
    </row>
    <row r="37">
      <c r="A37" s="6" t="inlineStr">
        <is>
          <t>Liabilities</t>
        </is>
      </c>
      <c r="B37" s="7" t="n"/>
      <c r="C37" s="7" t="n"/>
      <c r="D37" s="7" t="n"/>
      <c r="E37" s="7" t="n"/>
    </row>
    <row r="38">
      <c r="A38" s="8" t="inlineStr">
        <is>
          <t xml:space="preserve">    Accounts payable</t>
        </is>
      </c>
      <c r="B38" s="9" t="n">
        <v>6177</v>
      </c>
      <c r="C38" s="9" t="n">
        <v>1995</v>
      </c>
      <c r="D38" s="9" t="n">
        <v>4574</v>
      </c>
      <c r="E38" s="9" t="n">
        <v>15948</v>
      </c>
    </row>
    <row r="39">
      <c r="A39" s="8" t="inlineStr">
        <is>
          <t xml:space="preserve">    Mortgages &amp; notes payable</t>
        </is>
      </c>
      <c r="B39" s="9" t="n">
        <v>11263</v>
      </c>
      <c r="C39" s="9" t="n">
        <v>2017</v>
      </c>
      <c r="D39" s="9" t="n"/>
      <c r="E39" s="9" t="n"/>
    </row>
    <row r="40">
      <c r="A40" s="10" t="inlineStr">
        <is>
          <t>Total liabilities</t>
        </is>
      </c>
      <c r="B40" s="11" t="n">
        <v>17440</v>
      </c>
      <c r="C40" s="11" t="n">
        <v>4012</v>
      </c>
      <c r="D40" s="11" t="n">
        <v>4574</v>
      </c>
      <c r="E40" s="11" t="n">
        <v>15948</v>
      </c>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v>374626</v>
      </c>
      <c r="C45" s="9" t="n">
        <v>367074</v>
      </c>
      <c r="D45" s="9" t="n">
        <v>352011</v>
      </c>
      <c r="E45" s="9" t="n">
        <v>351082</v>
      </c>
    </row>
    <row r="46">
      <c r="A46" s="10" t="inlineStr">
        <is>
          <t>Net assets</t>
        </is>
      </c>
      <c r="B46" s="11" t="n">
        <v>374626</v>
      </c>
      <c r="C46" s="11" t="n">
        <v>367074</v>
      </c>
      <c r="D46" s="11" t="n">
        <v>352011</v>
      </c>
      <c r="E46" s="11" t="n">
        <v>351082</v>
      </c>
    </row>
    <row r="49">
      <c r="A49" s="6" t="inlineStr">
        <is>
          <t>CASH FLOW - derived proxy (USD)</t>
        </is>
      </c>
      <c r="B49" s="7" t="n"/>
      <c r="C49" s="7" t="n"/>
      <c r="D49" s="7" t="n"/>
      <c r="E49" s="7" t="n"/>
    </row>
    <row r="50">
      <c r="A50" s="4" t="inlineStr">
        <is>
          <t>Proxy line</t>
        </is>
      </c>
      <c r="B50" s="5" t="inlineStr">
        <is>
          <t>FY2022</t>
        </is>
      </c>
      <c r="C50" s="5" t="inlineStr">
        <is>
          <t>FY2023</t>
        </is>
      </c>
      <c r="D50" s="5" t="inlineStr">
        <is>
          <t>FY2024</t>
        </is>
      </c>
      <c r="E50" s="5" t="inlineStr">
        <is>
          <t>FY2025</t>
        </is>
      </c>
    </row>
    <row r="51">
      <c r="A51" s="6" t="inlineStr">
        <is>
          <t>Operating</t>
        </is>
      </c>
      <c r="B51" s="7" t="n"/>
      <c r="C51" s="7" t="n"/>
      <c r="D51" s="7" t="n"/>
      <c r="E51" s="7" t="n"/>
    </row>
    <row r="52">
      <c r="A52" s="8" t="inlineStr">
        <is>
          <t xml:space="preserve">    Net income</t>
        </is>
      </c>
      <c r="B52" s="9" t="n">
        <v>15825</v>
      </c>
      <c r="C52" s="9" t="n">
        <v>-7552</v>
      </c>
      <c r="D52" s="9" t="n">
        <v>-15063</v>
      </c>
      <c r="E52" s="9" t="n">
        <v>-929</v>
      </c>
    </row>
    <row r="53">
      <c r="A53" s="8" t="inlineStr">
        <is>
          <t xml:space="preserve">    + Depreciation (reported)</t>
        </is>
      </c>
      <c r="B53" s="9" t="n"/>
      <c r="C53" s="9" t="n"/>
      <c r="D53" s="9" t="n"/>
      <c r="E53" s="9" t="n"/>
    </row>
    <row r="54">
      <c r="A54" s="8" t="inlineStr">
        <is>
          <t xml:space="preserve">    − Δ Accounts receivable</t>
        </is>
      </c>
      <c r="B54" s="9" t="n"/>
      <c r="C54" s="9" t="n">
        <v>-1274</v>
      </c>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v>-4182</v>
      </c>
      <c r="D57" s="9" t="n">
        <v>2579</v>
      </c>
      <c r="E57" s="9" t="n">
        <v>11374</v>
      </c>
    </row>
    <row r="58">
      <c r="A58" s="10" t="inlineStr">
        <is>
          <t xml:space="preserve">    Operating cash flow proxy</t>
        </is>
      </c>
      <c r="B58" s="11" t="n"/>
      <c r="C58" s="11" t="n">
        <v>-13008</v>
      </c>
      <c r="D58" s="11" t="n">
        <v>-12484</v>
      </c>
      <c r="E58" s="11" t="n">
        <v>10445</v>
      </c>
    </row>
    <row r="60">
      <c r="A60" s="6" t="inlineStr">
        <is>
          <t>Investing</t>
        </is>
      </c>
      <c r="B60" s="7" t="n"/>
      <c r="C60" s="7" t="n"/>
      <c r="D60" s="7" t="n"/>
      <c r="E60" s="7" t="n"/>
    </row>
    <row r="61">
      <c r="A61" s="8" t="inlineStr">
        <is>
          <t xml:space="preserve">    − Δ PP&amp;E gross (capex proxy)</t>
        </is>
      </c>
      <c r="B61" s="9" t="n"/>
      <c r="C61" s="9" t="n">
        <v>0</v>
      </c>
      <c r="D61" s="9" t="n">
        <v>0</v>
      </c>
      <c r="E61" s="9" t="n">
        <v>0</v>
      </c>
    </row>
    <row r="63">
      <c r="A63" s="6" t="inlineStr">
        <is>
          <t>Financing</t>
        </is>
      </c>
      <c r="B63" s="7" t="n"/>
      <c r="C63" s="7" t="n"/>
      <c r="D63" s="7" t="n"/>
      <c r="E63" s="7" t="n"/>
    </row>
    <row r="64">
      <c r="A64" s="8" t="inlineStr">
        <is>
          <t xml:space="preserve">    Δ Mortgages &amp; notes payable</t>
        </is>
      </c>
      <c r="B64" s="9" t="n"/>
      <c r="C64" s="9" t="n">
        <v>-9246</v>
      </c>
      <c r="D64" s="9" t="n"/>
      <c r="E64" s="9" t="n"/>
    </row>
    <row r="66">
      <c r="A66" s="6" t="inlineStr">
        <is>
          <t>Reconciliation</t>
        </is>
      </c>
      <c r="B66" s="7" t="n"/>
      <c r="C66" s="7" t="n"/>
      <c r="D66" s="7" t="n"/>
      <c r="E66" s="7" t="n"/>
    </row>
    <row r="67">
      <c r="A67" s="10" t="inlineStr">
        <is>
          <t xml:space="preserve">    Δ Cash + temp. investments (actual)</t>
        </is>
      </c>
      <c r="B67" s="11" t="n"/>
      <c r="C67" s="11" t="n">
        <v>-11016</v>
      </c>
      <c r="D67" s="11" t="n">
        <v>-8152</v>
      </c>
      <c r="E67" s="11" t="n">
        <v>3573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FY2022</t>
        </is>
      </c>
      <c r="C72" s="5" t="inlineStr">
        <is>
          <t>FY2023</t>
        </is>
      </c>
      <c r="D72" s="5" t="inlineStr">
        <is>
          <t>FY2024</t>
        </is>
      </c>
      <c r="E72" s="5" t="inlineStr">
        <is>
          <t>FY2025</t>
        </is>
      </c>
    </row>
    <row r="73">
      <c r="A73" s="8" t="inlineStr">
        <is>
          <t xml:space="preserve">    11a. Gross income from members or shareholders</t>
        </is>
      </c>
      <c r="B73" s="9" t="n">
        <v>77965</v>
      </c>
      <c r="C73" s="9" t="n">
        <v>80031</v>
      </c>
      <c r="D73" s="9" t="n">
        <v>77200</v>
      </c>
      <c r="E73" s="9" t="n">
        <v>92379</v>
      </c>
    </row>
    <row r="74">
      <c r="A74" s="8" t="inlineStr">
        <is>
          <t xml:space="preserve">    11b. Gross income from other sources</t>
        </is>
      </c>
      <c r="B74" s="9" t="n">
        <v>0</v>
      </c>
      <c r="C74" s="9" t="n">
        <v>0</v>
      </c>
      <c r="D74" s="9" t="n">
        <v>89614</v>
      </c>
      <c r="E74" s="9" t="n">
        <v>0</v>
      </c>
    </row>
    <row r="75">
      <c r="A75" s="14" t="inlineStr">
        <is>
          <t>Total gross income (11a + 11b)</t>
        </is>
      </c>
      <c r="B75" s="15">
        <f>SUM(B73,B74)</f>
        <v/>
      </c>
      <c r="C75" s="15">
        <f>SUM(C73,C74)</f>
        <v/>
      </c>
      <c r="D75" s="15">
        <f>SUM(D73,D74)</f>
        <v/>
      </c>
      <c r="E75" s="15">
        <f>SUM(E73,E74)</f>
        <v/>
      </c>
    </row>
    <row r="76">
      <c r="A76" s="14" t="inlineStr">
        <is>
          <t>Member income share (11a / total)</t>
        </is>
      </c>
      <c r="B76" s="16">
        <f>IF(B75=0,"",B73/B75)</f>
        <v/>
      </c>
      <c r="C76" s="16">
        <f>IF(C75=0,"",C73/C75)</f>
        <v/>
      </c>
      <c r="D76" s="16">
        <f>IF(D75=0,"",D73/D75)</f>
        <v/>
      </c>
      <c r="E76" s="16">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Hat Creek Highlands Mutual Water Co</t>
        </is>
      </c>
    </row>
    <row r="2">
      <c r="A2" s="2" t="inlineStr">
        <is>
          <t>Balance Sheet - as reported (USD, end of year)</t>
        </is>
      </c>
    </row>
    <row r="3">
      <c r="A3" s="2" t="inlineStr">
        <is>
          <t>Entity ID: cawc_0106   |   Fiscal year ends August 31.</t>
        </is>
      </c>
    </row>
    <row r="5">
      <c r="A5" s="4" t="inlineStr">
        <is>
          <t>Line item</t>
        </is>
      </c>
      <c r="B5" s="5" t="inlineStr">
        <is>
          <t>FY2022</t>
        </is>
      </c>
      <c r="C5" s="5" t="inlineStr">
        <is>
          <t>FY2023</t>
        </is>
      </c>
      <c r="D5" s="5" t="inlineStr">
        <is>
          <t>FY2024</t>
        </is>
      </c>
      <c r="E5" s="5" t="inlineStr">
        <is>
          <t>FY2025</t>
        </is>
      </c>
    </row>
    <row r="6">
      <c r="A6" s="6" t="inlineStr">
        <is>
          <t>Assets</t>
        </is>
      </c>
      <c r="B6" s="7" t="n"/>
      <c r="C6" s="7" t="n"/>
      <c r="D6" s="7" t="n"/>
      <c r="E6" s="7" t="n"/>
    </row>
    <row r="7">
      <c r="A7" s="8" t="inlineStr">
        <is>
          <t xml:space="preserve">    Cash</t>
        </is>
      </c>
      <c r="B7" s="9" t="n">
        <v>15594</v>
      </c>
      <c r="C7" s="9" t="n">
        <v>4578</v>
      </c>
      <c r="D7" s="9" t="n"/>
      <c r="E7" s="9" t="n"/>
    </row>
    <row r="8">
      <c r="A8" s="8" t="inlineStr">
        <is>
          <t xml:space="preserve">    Savings &amp; temporary investments</t>
        </is>
      </c>
      <c r="B8" s="9" t="n">
        <v>12722</v>
      </c>
      <c r="C8" s="9" t="n">
        <v>12722</v>
      </c>
      <c r="D8" s="9" t="n">
        <v>9148</v>
      </c>
      <c r="E8" s="9" t="n">
        <v>12721</v>
      </c>
    </row>
    <row r="9">
      <c r="A9" s="8" t="inlineStr">
        <is>
          <t xml:space="preserve">    Accounts receivable</t>
        </is>
      </c>
      <c r="B9" s="9" t="n">
        <v>5075</v>
      </c>
      <c r="C9" s="9" t="n">
        <v>6349</v>
      </c>
      <c r="D9" s="9" t="n"/>
      <c r="E9" s="9" t="n">
        <v>10517</v>
      </c>
    </row>
    <row r="10">
      <c r="A10" s="8" t="inlineStr">
        <is>
          <t xml:space="preserve">    Inventories</t>
        </is>
      </c>
      <c r="B10" s="9" t="n"/>
      <c r="C10" s="9" t="n"/>
      <c r="D10" s="9" t="n"/>
      <c r="E10" s="9" t="n"/>
    </row>
    <row r="11">
      <c r="A11" s="8" t="inlineStr">
        <is>
          <t xml:space="preserve">    Prepaid expenses</t>
        </is>
      </c>
      <c r="B11" s="9" t="n"/>
      <c r="C11" s="9" t="n"/>
      <c r="D11" s="9" t="n"/>
      <c r="E11" s="9" t="n"/>
    </row>
    <row r="12">
      <c r="A12" s="8" t="inlineStr">
        <is>
          <t xml:space="preserve">    Property, plant &amp; equipment (gross)</t>
        </is>
      </c>
      <c r="B12" s="9" t="n">
        <v>514396</v>
      </c>
      <c r="C12" s="9" t="n">
        <v>514396</v>
      </c>
      <c r="D12" s="9" t="n">
        <v>514396</v>
      </c>
      <c r="E12" s="9" t="n">
        <v>514396</v>
      </c>
    </row>
    <row r="13">
      <c r="A13" s="8" t="inlineStr">
        <is>
          <t xml:space="preserve">    Less: accumulated depreciation</t>
        </is>
      </c>
      <c r="B13" s="9" t="n">
        <v>-155721</v>
      </c>
      <c r="C13" s="9" t="n">
        <v>-166959</v>
      </c>
      <c r="D13" s="9" t="n">
        <v>-166959</v>
      </c>
      <c r="E13" s="9" t="n">
        <v>-170604</v>
      </c>
    </row>
    <row r="14">
      <c r="A14" s="10" t="inlineStr">
        <is>
          <t xml:space="preserve">    Net property, plant &amp; equipment</t>
        </is>
      </c>
      <c r="B14" s="11" t="n">
        <v>358675</v>
      </c>
      <c r="C14" s="11" t="n">
        <v>347437</v>
      </c>
      <c r="D14" s="11" t="n">
        <v>347437</v>
      </c>
      <c r="E14" s="11" t="n">
        <v>343792</v>
      </c>
    </row>
    <row r="15">
      <c r="A15" s="10" t="inlineStr">
        <is>
          <t>Total assets</t>
        </is>
      </c>
      <c r="B15" s="11" t="n">
        <v>392066</v>
      </c>
      <c r="C15" s="11" t="n">
        <v>371086</v>
      </c>
      <c r="D15" s="11" t="n">
        <v>356585</v>
      </c>
      <c r="E15" s="11" t="n">
        <v>367030</v>
      </c>
    </row>
    <row r="17">
      <c r="A17" s="6" t="inlineStr">
        <is>
          <t>Liabilities</t>
        </is>
      </c>
      <c r="B17" s="7" t="n"/>
      <c r="C17" s="7" t="n"/>
      <c r="D17" s="7" t="n"/>
      <c r="E17" s="7" t="n"/>
    </row>
    <row r="18">
      <c r="A18" s="8" t="inlineStr">
        <is>
          <t xml:space="preserve">    Accounts payable</t>
        </is>
      </c>
      <c r="B18" s="9" t="n">
        <v>6177</v>
      </c>
      <c r="C18" s="9" t="n">
        <v>1995</v>
      </c>
      <c r="D18" s="9" t="n">
        <v>4574</v>
      </c>
      <c r="E18" s="9" t="n">
        <v>15948</v>
      </c>
    </row>
    <row r="19">
      <c r="A19" s="8" t="inlineStr">
        <is>
          <t xml:space="preserve">    Mortgages &amp; notes payable</t>
        </is>
      </c>
      <c r="B19" s="9" t="n">
        <v>11263</v>
      </c>
      <c r="C19" s="9" t="n">
        <v>2017</v>
      </c>
      <c r="D19" s="9" t="n"/>
      <c r="E19" s="9" t="n"/>
    </row>
    <row r="20">
      <c r="A20" s="10" t="inlineStr">
        <is>
          <t>Total liabilities</t>
        </is>
      </c>
      <c r="B20" s="11" t="n">
        <v>17440</v>
      </c>
      <c r="C20" s="11" t="n">
        <v>4012</v>
      </c>
      <c r="D20" s="11" t="n">
        <v>4574</v>
      </c>
      <c r="E20" s="11" t="n">
        <v>15948</v>
      </c>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v>374626</v>
      </c>
      <c r="C25" s="9" t="n">
        <v>367074</v>
      </c>
      <c r="D25" s="9" t="n">
        <v>352011</v>
      </c>
      <c r="E25" s="9" t="n">
        <v>351082</v>
      </c>
    </row>
    <row r="26">
      <c r="A26" s="10" t="inlineStr">
        <is>
          <t>Net assets</t>
        </is>
      </c>
      <c r="B26" s="11" t="n">
        <v>374626</v>
      </c>
      <c r="C26" s="11" t="n">
        <v>367074</v>
      </c>
      <c r="D26" s="11" t="n">
        <v>352011</v>
      </c>
      <c r="E26" s="11" t="n">
        <v>351082</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Hat Creek Highlands Mutual Water Co</t>
        </is>
      </c>
    </row>
    <row r="2">
      <c r="A2" s="2" t="inlineStr">
        <is>
          <t>Officers, Directors &amp; Contractors - Form 990 Part VII (FY2025; USD)</t>
        </is>
      </c>
    </row>
    <row r="3">
      <c r="A3" s="2" t="inlineStr">
        <is>
          <t>Entity ID: cawc_0106   |   Fiscal year ends August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JANICE BUCKLE</t>
        </is>
      </c>
      <c r="B7" s="8" t="n"/>
      <c r="C7" s="9" t="n">
        <v>0</v>
      </c>
      <c r="D7" s="9" t="n">
        <v>0</v>
      </c>
      <c r="E7" s="9" t="n">
        <v>0</v>
      </c>
      <c r="F7" s="9" t="n">
        <v>0</v>
      </c>
    </row>
    <row r="8">
      <c r="A8" s="8" t="inlineStr">
        <is>
          <t>CONNIE ANDERSON</t>
        </is>
      </c>
      <c r="B8" s="8" t="n"/>
      <c r="C8" s="9" t="n">
        <v>0</v>
      </c>
      <c r="D8" s="9" t="n">
        <v>0</v>
      </c>
      <c r="E8" s="9" t="n">
        <v>0</v>
      </c>
      <c r="F8" s="9" t="n">
        <v>0</v>
      </c>
    </row>
    <row r="9">
      <c r="A9" s="8" t="inlineStr">
        <is>
          <t>ASTRID CEBOLLERO</t>
        </is>
      </c>
      <c r="B9" s="8" t="n"/>
      <c r="C9" s="9" t="n">
        <v>0</v>
      </c>
      <c r="D9" s="9" t="n">
        <v>0</v>
      </c>
      <c r="E9" s="9" t="n">
        <v>0</v>
      </c>
      <c r="F9" s="9" t="n">
        <v>0</v>
      </c>
    </row>
    <row r="10">
      <c r="A10" s="8" t="inlineStr">
        <is>
          <t>IAN SEARS</t>
        </is>
      </c>
      <c r="B10" s="8" t="inlineStr">
        <is>
          <t>CHAIR</t>
        </is>
      </c>
      <c r="C10" s="9" t="n">
        <v>0</v>
      </c>
      <c r="D10" s="9" t="n">
        <v>0</v>
      </c>
      <c r="E10" s="9" t="n">
        <v>0</v>
      </c>
      <c r="F10" s="9" t="n">
        <v>0</v>
      </c>
    </row>
    <row r="11">
      <c r="A11" s="8" t="inlineStr">
        <is>
          <t>ALAN TOCHTERMAN</t>
        </is>
      </c>
      <c r="B11" s="8" t="inlineStr">
        <is>
          <t>TREASURER</t>
        </is>
      </c>
      <c r="C11" s="9" t="n">
        <v>0</v>
      </c>
      <c r="D11" s="9" t="n">
        <v>0</v>
      </c>
      <c r="E11" s="9" t="n">
        <v>0</v>
      </c>
      <c r="F11" s="9" t="n">
        <v>0</v>
      </c>
    </row>
    <row r="12">
      <c r="A12" s="8" t="inlineStr">
        <is>
          <t>ROXANNE BULLOCK</t>
        </is>
      </c>
      <c r="B12" s="8" t="inlineStr">
        <is>
          <t>SECRETARY</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Hat Creek Highlands Mutual Water Co</t>
        </is>
      </c>
    </row>
    <row r="2">
      <c r="A2" s="2" t="inlineStr">
        <is>
          <t>Revenue - Form 990 Part VIII (USD)</t>
        </is>
      </c>
    </row>
    <row r="3">
      <c r="A3" s="2" t="inlineStr">
        <is>
          <t>Entity ID: cawc_0106   |   Fiscal year ends August 31.</t>
        </is>
      </c>
    </row>
    <row r="5">
      <c r="A5" s="4" t="inlineStr">
        <is>
          <t>Part VIII line</t>
        </is>
      </c>
      <c r="B5" s="5" t="inlineStr">
        <is>
          <t>FY2022</t>
        </is>
      </c>
      <c r="C5" s="5" t="inlineStr">
        <is>
          <t>FY2023</t>
        </is>
      </c>
      <c r="D5" s="5" t="inlineStr">
        <is>
          <t>FY2024</t>
        </is>
      </c>
      <c r="E5" s="5" t="inlineStr">
        <is>
          <t>FY2025</t>
        </is>
      </c>
    </row>
    <row r="6">
      <c r="A6" s="6" t="inlineStr">
        <is>
          <t>Revenue by category</t>
        </is>
      </c>
      <c r="B6" s="7" t="n"/>
      <c r="C6" s="7" t="n"/>
      <c r="D6" s="7" t="n"/>
      <c r="E6" s="7" t="n"/>
    </row>
    <row r="7">
      <c r="A7" s="8" t="inlineStr">
        <is>
          <t xml:space="preserve">    1h. Total contributions, gifts, grants</t>
        </is>
      </c>
      <c r="B7" s="9" t="n">
        <v>77965</v>
      </c>
      <c r="C7" s="17" t="inlineStr">
        <is>
          <t>not reported</t>
        </is>
      </c>
      <c r="D7" s="17" t="inlineStr">
        <is>
          <t>not reported</t>
        </is>
      </c>
      <c r="E7" s="17" t="inlineStr">
        <is>
          <t>not reported</t>
        </is>
      </c>
    </row>
    <row r="8">
      <c r="A8" s="8" t="inlineStr">
        <is>
          <t xml:space="preserve">    2g. Total program service revenue</t>
        </is>
      </c>
      <c r="B8" s="17" t="inlineStr">
        <is>
          <t>not reported</t>
        </is>
      </c>
      <c r="C8" s="9" t="n">
        <v>80031</v>
      </c>
      <c r="D8" s="17" t="inlineStr">
        <is>
          <t>not reported</t>
        </is>
      </c>
      <c r="E8" s="9" t="n">
        <v>90319</v>
      </c>
    </row>
    <row r="9">
      <c r="A9" s="8" t="inlineStr">
        <is>
          <t xml:space="preserve">    3. Investment income</t>
        </is>
      </c>
      <c r="B9" s="17" t="inlineStr">
        <is>
          <t>not reported</t>
        </is>
      </c>
      <c r="C9" s="17" t="inlineStr">
        <is>
          <t>not reported</t>
        </is>
      </c>
      <c r="D9" s="17" t="inlineStr">
        <is>
          <t>not reported</t>
        </is>
      </c>
      <c r="E9" s="17" t="inlineStr">
        <is>
          <t>not reported</t>
        </is>
      </c>
    </row>
    <row r="10">
      <c r="A10" s="8" t="inlineStr">
        <is>
          <t xml:space="preserve">    6d. Net rental income</t>
        </is>
      </c>
      <c r="B10" s="17" t="inlineStr">
        <is>
          <t>not reported</t>
        </is>
      </c>
      <c r="C10" s="17" t="inlineStr">
        <is>
          <t>not reported</t>
        </is>
      </c>
      <c r="D10" s="17" t="inlineStr">
        <is>
          <t>not reported</t>
        </is>
      </c>
      <c r="E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row>
    <row r="13">
      <c r="A13" s="10" t="inlineStr">
        <is>
          <t>12. Total revenue</t>
        </is>
      </c>
      <c r="B13" s="11">
        <f>SUM(B7:B12)</f>
        <v/>
      </c>
      <c r="C13" s="11">
        <f>SUM(C7:C12)</f>
        <v/>
      </c>
      <c r="D13" s="11">
        <f>SUM(D7:D12)</f>
        <v/>
      </c>
      <c r="E13" s="11">
        <f>SUM(E7:E12)</f>
        <v/>
      </c>
    </row>
    <row r="15">
      <c r="A15" s="6" t="inlineStr">
        <is>
          <t>Program service revenue detail - FY2025 (lines 2a-2f)</t>
        </is>
      </c>
      <c r="B15" s="7" t="n"/>
      <c r="C15" s="7" t="n"/>
      <c r="D15" s="7" t="n"/>
      <c r="E15" s="7" t="n"/>
    </row>
    <row r="16">
      <c r="A16" s="5" t="inlineStr">
        <is>
          <t>Description</t>
        </is>
      </c>
      <c r="B16" s="5" t="inlineStr">
        <is>
          <t>Business code</t>
        </is>
      </c>
      <c r="C16" s="5" t="inlineStr">
        <is>
          <t>Total revenue</t>
        </is>
      </c>
    </row>
    <row r="17">
      <c r="A17" s="8" t="inlineStr">
        <is>
          <t>WATER SERVICE</t>
        </is>
      </c>
      <c r="B17" s="8" t="inlineStr">
        <is>
          <t>221000</t>
        </is>
      </c>
      <c r="C17" s="9" t="n">
        <v>90319</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E1"/>
    <mergeCell ref="A18:E18"/>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Hat Creek Highlands Mutual Water Co</t>
        </is>
      </c>
    </row>
    <row r="2">
      <c r="A2" s="2" t="inlineStr">
        <is>
          <t>Statement of Functional Expenses - Form 990 Part IX (USD)</t>
        </is>
      </c>
    </row>
    <row r="3">
      <c r="A3" s="2" t="inlineStr">
        <is>
          <t>Entity ID: cawc_0106   |   Fiscal year ends August 31.</t>
        </is>
      </c>
    </row>
    <row r="5">
      <c r="A5" s="4" t="inlineStr">
        <is>
          <t>Part IX line (column A Total)</t>
        </is>
      </c>
      <c r="B5" s="5" t="inlineStr">
        <is>
          <t>FY2022</t>
        </is>
      </c>
      <c r="C5" s="5" t="inlineStr">
        <is>
          <t>FY2023</t>
        </is>
      </c>
      <c r="D5" s="5" t="inlineStr">
        <is>
          <t>FY2024</t>
        </is>
      </c>
      <c r="E5" s="5" t="inlineStr">
        <is>
          <t>FY2025</t>
        </is>
      </c>
    </row>
    <row r="6">
      <c r="A6" s="6" t="inlineStr">
        <is>
          <t>Functional expenses, column A Total - by year</t>
        </is>
      </c>
      <c r="B6" s="7" t="n"/>
      <c r="C6" s="7" t="n"/>
      <c r="D6" s="7" t="n"/>
      <c r="E6" s="7" t="n"/>
    </row>
    <row r="7">
      <c r="A7" s="8" t="inlineStr">
        <is>
          <t xml:space="preserve">    7. Other salaries and wages</t>
        </is>
      </c>
      <c r="B7" s="17" t="inlineStr">
        <is>
          <t>not reported</t>
        </is>
      </c>
      <c r="C7" s="9" t="n">
        <v>10370</v>
      </c>
      <c r="D7" s="17" t="inlineStr">
        <is>
          <t>not reported</t>
        </is>
      </c>
      <c r="E7" s="9" t="n">
        <v>27540</v>
      </c>
    </row>
    <row r="8">
      <c r="A8" s="8" t="inlineStr">
        <is>
          <t xml:space="preserve">    10. Payroll taxes</t>
        </is>
      </c>
      <c r="B8" s="17" t="inlineStr">
        <is>
          <t>not reported</t>
        </is>
      </c>
      <c r="C8" s="9" t="n">
        <v>1047</v>
      </c>
      <c r="D8" s="17" t="inlineStr">
        <is>
          <t>not reported</t>
        </is>
      </c>
      <c r="E8" s="9" t="n">
        <v>2373</v>
      </c>
    </row>
    <row r="9">
      <c r="A9" s="8" t="inlineStr">
        <is>
          <t xml:space="preserve">    11b. Fees for services: legal</t>
        </is>
      </c>
      <c r="B9" s="17" t="inlineStr">
        <is>
          <t>not reported</t>
        </is>
      </c>
      <c r="C9" s="9" t="n">
        <v>850</v>
      </c>
      <c r="D9" s="17" t="inlineStr">
        <is>
          <t>not reported</t>
        </is>
      </c>
      <c r="E9" s="17" t="inlineStr">
        <is>
          <t>not reported</t>
        </is>
      </c>
    </row>
    <row r="10">
      <c r="A10" s="8" t="inlineStr">
        <is>
          <t xml:space="preserve">    11c. Fees for services: accounting</t>
        </is>
      </c>
      <c r="B10" s="17" t="inlineStr">
        <is>
          <t>not reported</t>
        </is>
      </c>
      <c r="C10" s="9" t="n">
        <v>9850</v>
      </c>
      <c r="D10" s="17" t="inlineStr">
        <is>
          <t>not reported</t>
        </is>
      </c>
      <c r="E10" s="9" t="n">
        <v>8000</v>
      </c>
    </row>
    <row r="11">
      <c r="A11" s="8" t="inlineStr">
        <is>
          <t xml:space="preserve">    20. Interest</t>
        </is>
      </c>
      <c r="B11" s="9" t="n">
        <v>1475</v>
      </c>
      <c r="C11" s="9" t="n">
        <v>610</v>
      </c>
      <c r="D11" s="17" t="inlineStr">
        <is>
          <t>not reported</t>
        </is>
      </c>
      <c r="E11" s="17" t="inlineStr">
        <is>
          <t>not reported</t>
        </is>
      </c>
    </row>
    <row r="12">
      <c r="A12" s="8" t="inlineStr">
        <is>
          <t xml:space="preserve">    23. Insurance</t>
        </is>
      </c>
      <c r="B12" s="9" t="n">
        <v>3408</v>
      </c>
      <c r="C12" s="9" t="n">
        <v>3736</v>
      </c>
      <c r="D12" s="17" t="inlineStr">
        <is>
          <t>not reported</t>
        </is>
      </c>
      <c r="E12" s="9" t="n">
        <v>4372</v>
      </c>
    </row>
    <row r="13">
      <c r="A13" s="8" t="inlineStr">
        <is>
          <t xml:space="preserve">    24. CPA REVIEW</t>
        </is>
      </c>
      <c r="B13" s="9" t="n">
        <v>3500</v>
      </c>
      <c r="C13" s="17" t="inlineStr">
        <is>
          <t>not reported</t>
        </is>
      </c>
      <c r="D13" s="17" t="inlineStr">
        <is>
          <t>not reported</t>
        </is>
      </c>
      <c r="E13" s="17" t="inlineStr">
        <is>
          <t>not reported</t>
        </is>
      </c>
    </row>
    <row r="14">
      <c r="A14" s="8" t="inlineStr">
        <is>
          <t xml:space="preserve">    24. BANK FEES</t>
        </is>
      </c>
      <c r="B14" s="9" t="n">
        <v>20</v>
      </c>
      <c r="C14" s="9" t="n">
        <v>10</v>
      </c>
      <c r="D14" s="9" t="n">
        <v>8</v>
      </c>
      <c r="E14" s="17" t="inlineStr">
        <is>
          <t>not reported</t>
        </is>
      </c>
    </row>
    <row r="15">
      <c r="A15" s="8" t="inlineStr">
        <is>
          <t xml:space="preserve">    24. R&amp;M</t>
        </is>
      </c>
      <c r="B15" s="9" t="n">
        <v>19694</v>
      </c>
      <c r="C15" s="9" t="n">
        <v>13750</v>
      </c>
      <c r="D15" s="17" t="inlineStr">
        <is>
          <t>not reported</t>
        </is>
      </c>
      <c r="E15" s="17" t="inlineStr">
        <is>
          <t>not reported</t>
        </is>
      </c>
    </row>
    <row r="16">
      <c r="A16" s="8" t="inlineStr">
        <is>
          <t xml:space="preserve">    24. BOOKKEEPING</t>
        </is>
      </c>
      <c r="B16" s="9" t="n">
        <v>4800</v>
      </c>
      <c r="C16" s="17" t="inlineStr">
        <is>
          <t>not reported</t>
        </is>
      </c>
      <c r="D16" s="17" t="inlineStr">
        <is>
          <t>not reported</t>
        </is>
      </c>
      <c r="E16" s="17" t="inlineStr">
        <is>
          <t>not reported</t>
        </is>
      </c>
    </row>
    <row r="17">
      <c r="A17" s="8" t="inlineStr">
        <is>
          <t xml:space="preserve">    24. MILEAGE</t>
        </is>
      </c>
      <c r="B17" s="17" t="inlineStr">
        <is>
          <t>not reported</t>
        </is>
      </c>
      <c r="C17" s="9" t="n">
        <v>19281</v>
      </c>
      <c r="D17" s="9" t="n">
        <v>15055</v>
      </c>
      <c r="E17" s="9" t="n">
        <v>16820</v>
      </c>
    </row>
    <row r="18">
      <c r="A18" s="8" t="inlineStr">
        <is>
          <t xml:space="preserve">    24. BOTTLED WATER</t>
        </is>
      </c>
      <c r="B18" s="17" t="inlineStr">
        <is>
          <t>not reported</t>
        </is>
      </c>
      <c r="C18" s="9" t="n">
        <v>2857</v>
      </c>
      <c r="D18" s="17" t="inlineStr">
        <is>
          <t>not reported</t>
        </is>
      </c>
      <c r="E18" s="17" t="inlineStr">
        <is>
          <t>not reported</t>
        </is>
      </c>
    </row>
    <row r="19">
      <c r="A19" s="8" t="inlineStr">
        <is>
          <t xml:space="preserve">    24. UTILITIES</t>
        </is>
      </c>
      <c r="B19" s="17" t="inlineStr">
        <is>
          <t>not reported</t>
        </is>
      </c>
      <c r="C19" s="17" t="inlineStr">
        <is>
          <t>not reported</t>
        </is>
      </c>
      <c r="D19" s="17" t="inlineStr">
        <is>
          <t>not reported</t>
        </is>
      </c>
      <c r="E19" s="9" t="n">
        <v>14604</v>
      </c>
    </row>
    <row r="20">
      <c r="A20" s="8" t="inlineStr">
        <is>
          <t xml:space="preserve">    24. TAXES</t>
        </is>
      </c>
      <c r="B20" s="17" t="inlineStr">
        <is>
          <t>not reported</t>
        </is>
      </c>
      <c r="C20" s="17" t="inlineStr">
        <is>
          <t>not reported</t>
        </is>
      </c>
      <c r="D20" s="17" t="inlineStr">
        <is>
          <t>not reported</t>
        </is>
      </c>
      <c r="E20" s="9" t="n">
        <v>446</v>
      </c>
    </row>
    <row r="21">
      <c r="A21" s="8" t="inlineStr">
        <is>
          <t xml:space="preserve">    24e. All other expenses</t>
        </is>
      </c>
      <c r="B21" s="9" t="n">
        <v>29243</v>
      </c>
      <c r="C21" s="9" t="n">
        <v>25222</v>
      </c>
      <c r="D21" s="17" t="inlineStr">
        <is>
          <t>not reported</t>
        </is>
      </c>
      <c r="E21" s="9" t="n">
        <v>17093</v>
      </c>
    </row>
    <row r="22">
      <c r="A22" s="10" t="inlineStr">
        <is>
          <t>25. Total functional expenses</t>
        </is>
      </c>
      <c r="B22" s="11">
        <f>SUM(B7:B21)</f>
        <v/>
      </c>
      <c r="C22" s="11">
        <f>SUM(C7:C21)</f>
        <v/>
      </c>
      <c r="D22" s="11">
        <f>SUM(D7:D21)</f>
        <v/>
      </c>
      <c r="E22" s="11">
        <f>SUM(E7:E21)</f>
        <v/>
      </c>
    </row>
    <row r="24">
      <c r="A24" s="6" t="inlineStr">
        <is>
          <t>Functional column split - FY2025 (col A = B + C + D)</t>
        </is>
      </c>
      <c r="B24" s="7" t="n"/>
      <c r="C24" s="7" t="n"/>
      <c r="D24" s="7" t="n"/>
      <c r="E24" s="7" t="n"/>
    </row>
    <row r="25">
      <c r="A25" s="5" t="inlineStr">
        <is>
          <t>Part IX line</t>
        </is>
      </c>
      <c r="B25" s="5" t="inlineStr">
        <is>
          <t>A. Total</t>
        </is>
      </c>
      <c r="C25" s="5" t="inlineStr">
        <is>
          <t>B. Program services</t>
        </is>
      </c>
      <c r="D25" s="5" t="inlineStr">
        <is>
          <t>C. Management &amp; general</t>
        </is>
      </c>
      <c r="E25" s="5" t="inlineStr">
        <is>
          <t>D. Fundraising</t>
        </is>
      </c>
    </row>
    <row r="26">
      <c r="A26" s="18" t="inlineStr">
        <is>
          <t>7. Other salaries and wages</t>
        </is>
      </c>
      <c r="B26" s="9" t="n">
        <v>27540</v>
      </c>
      <c r="C26" s="9" t="n"/>
      <c r="D26" s="9" t="n">
        <v>27540</v>
      </c>
      <c r="E26" s="9" t="n"/>
    </row>
    <row r="27">
      <c r="A27" s="18" t="inlineStr">
        <is>
          <t>10. Payroll taxes</t>
        </is>
      </c>
      <c r="B27" s="9" t="n">
        <v>2373</v>
      </c>
      <c r="C27" s="9" t="n"/>
      <c r="D27" s="9" t="n">
        <v>2373</v>
      </c>
      <c r="E27" s="9" t="n"/>
    </row>
    <row r="28">
      <c r="A28" s="18" t="inlineStr">
        <is>
          <t>11c. Fees for services: accounting</t>
        </is>
      </c>
      <c r="B28" s="9" t="n">
        <v>8000</v>
      </c>
      <c r="C28" s="9" t="n"/>
      <c r="D28" s="9" t="n">
        <v>8000</v>
      </c>
      <c r="E28" s="9" t="n"/>
    </row>
    <row r="29">
      <c r="A29" s="18" t="inlineStr">
        <is>
          <t>23. Insurance</t>
        </is>
      </c>
      <c r="B29" s="9" t="n">
        <v>4372</v>
      </c>
      <c r="C29" s="9" t="n"/>
      <c r="D29" s="9" t="n">
        <v>4372</v>
      </c>
      <c r="E29" s="9" t="n"/>
    </row>
    <row r="30">
      <c r="A30" s="10" t="inlineStr">
        <is>
          <t>25. Total (filed col A / B / C / D)</t>
        </is>
      </c>
      <c r="B30" s="11" t="n">
        <v>91248</v>
      </c>
      <c r="C30" s="11" t="n">
        <v>0</v>
      </c>
      <c r="D30" s="11" t="n">
        <v>91248</v>
      </c>
      <c r="E30" s="11" t="n">
        <v>0</v>
      </c>
    </row>
    <row r="32" ht="42" customHeight="1">
      <c r="A3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E2"/>
    <mergeCell ref="A1:E1"/>
    <mergeCell ref="A32:E32"/>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Hat Creek Highlands Mutual Water Co</t>
        </is>
      </c>
    </row>
    <row r="2">
      <c r="A2" s="2" t="inlineStr">
        <is>
          <t>Balance Sheet - Form 990 Part X (end of year, USD)</t>
        </is>
      </c>
    </row>
    <row r="3">
      <c r="A3" s="2" t="inlineStr">
        <is>
          <t>Entity ID: cawc_0106   |   Fiscal year ends August 31.</t>
        </is>
      </c>
    </row>
    <row r="5">
      <c r="A5" s="4" t="inlineStr">
        <is>
          <t>Part X line (column B, EOY)</t>
        </is>
      </c>
      <c r="B5" s="5" t="inlineStr">
        <is>
          <t>FY2022</t>
        </is>
      </c>
      <c r="C5" s="5" t="inlineStr">
        <is>
          <t>FY2023</t>
        </is>
      </c>
      <c r="D5" s="5" t="inlineStr">
        <is>
          <t>FY2024</t>
        </is>
      </c>
      <c r="E5" s="5" t="inlineStr">
        <is>
          <t>FY2025</t>
        </is>
      </c>
    </row>
    <row r="6">
      <c r="A6" s="6" t="inlineStr">
        <is>
          <t>Assets</t>
        </is>
      </c>
      <c r="B6" s="7" t="n"/>
      <c r="C6" s="7" t="n"/>
      <c r="D6" s="7" t="n"/>
      <c r="E6" s="7" t="n"/>
    </row>
    <row r="7">
      <c r="A7" s="8" t="inlineStr">
        <is>
          <t xml:space="preserve">    1. Cash - non-interest-bearing</t>
        </is>
      </c>
      <c r="B7" s="9" t="n">
        <v>15594</v>
      </c>
      <c r="C7" s="9" t="n">
        <v>4578</v>
      </c>
      <c r="D7" s="17" t="inlineStr">
        <is>
          <t>not reported</t>
        </is>
      </c>
      <c r="E7" s="17" t="inlineStr">
        <is>
          <t>not reported</t>
        </is>
      </c>
    </row>
    <row r="8">
      <c r="A8" s="8" t="inlineStr">
        <is>
          <t xml:space="preserve">    2. Savings and temporary cash investments</t>
        </is>
      </c>
      <c r="B8" s="9" t="n">
        <v>12722</v>
      </c>
      <c r="C8" s="9" t="n">
        <v>12722</v>
      </c>
      <c r="D8" s="9" t="n">
        <v>9148</v>
      </c>
      <c r="E8" s="9" t="n">
        <v>12721</v>
      </c>
    </row>
    <row r="9">
      <c r="A9" s="8" t="inlineStr">
        <is>
          <t xml:space="preserve">    4. Accounts receivable, net</t>
        </is>
      </c>
      <c r="B9" s="9" t="n">
        <v>5075</v>
      </c>
      <c r="C9" s="9" t="n">
        <v>6349</v>
      </c>
      <c r="D9" s="17" t="inlineStr">
        <is>
          <t>not reported</t>
        </is>
      </c>
      <c r="E9" s="9" t="n">
        <v>10517</v>
      </c>
    </row>
    <row r="10">
      <c r="A10" s="8" t="inlineStr">
        <is>
          <t xml:space="preserve">    10c. Land, buildings, and equipment, net</t>
        </is>
      </c>
      <c r="B10" s="9" t="n">
        <v>358675</v>
      </c>
      <c r="C10" s="9" t="n">
        <v>347437</v>
      </c>
      <c r="D10" s="9" t="n">
        <v>347437</v>
      </c>
      <c r="E10" s="9" t="n">
        <v>343792</v>
      </c>
    </row>
    <row r="11">
      <c r="A11" s="10" t="inlineStr">
        <is>
          <t>16. Total assets</t>
        </is>
      </c>
      <c r="B11" s="11">
        <f>SUM(B7:B10)</f>
        <v/>
      </c>
      <c r="C11" s="11">
        <f>SUM(C7:C10)</f>
        <v/>
      </c>
      <c r="D11" s="11">
        <f>SUM(D7:D10)</f>
        <v/>
      </c>
      <c r="E11" s="11">
        <f>SUM(E7:E10)</f>
        <v/>
      </c>
    </row>
    <row r="13">
      <c r="A13" s="6" t="inlineStr">
        <is>
          <t>Liabilities</t>
        </is>
      </c>
      <c r="B13" s="7" t="n"/>
      <c r="C13" s="7" t="n"/>
      <c r="D13" s="7" t="n"/>
      <c r="E13" s="7" t="n"/>
    </row>
    <row r="14">
      <c r="A14" s="8" t="inlineStr">
        <is>
          <t xml:space="preserve">    17. Accounts payable and accrued expenses</t>
        </is>
      </c>
      <c r="B14" s="9" t="n">
        <v>6177</v>
      </c>
      <c r="C14" s="9" t="n">
        <v>1995</v>
      </c>
      <c r="D14" s="9" t="n">
        <v>4574</v>
      </c>
      <c r="E14" s="9" t="n">
        <v>15948</v>
      </c>
    </row>
    <row r="15">
      <c r="A15" s="8" t="inlineStr">
        <is>
          <t xml:space="preserve">    23. Secured mortgages and notes payable</t>
        </is>
      </c>
      <c r="B15" s="9" t="n">
        <v>11263</v>
      </c>
      <c r="C15" s="9" t="n">
        <v>2017</v>
      </c>
      <c r="D15" s="17" t="inlineStr">
        <is>
          <t>not reported</t>
        </is>
      </c>
      <c r="E15" s="17" t="inlineStr">
        <is>
          <t>not reported</t>
        </is>
      </c>
    </row>
    <row r="16">
      <c r="A16" s="10" t="inlineStr">
        <is>
          <t>26. Total liabilities</t>
        </is>
      </c>
      <c r="B16" s="11">
        <f>SUM(B14:B15)</f>
        <v/>
      </c>
      <c r="C16" s="11">
        <f>SUM(C14:C15)</f>
        <v/>
      </c>
      <c r="D16" s="11">
        <f>SUM(D14:D15)</f>
        <v/>
      </c>
      <c r="E16" s="11">
        <f>SUM(E14:E15)</f>
        <v/>
      </c>
    </row>
    <row r="18">
      <c r="A18" s="6" t="inlineStr">
        <is>
          <t>Net assets / fund balances</t>
        </is>
      </c>
      <c r="B18" s="7" t="n"/>
      <c r="C18" s="7" t="n"/>
      <c r="D18" s="7" t="n"/>
      <c r="E18" s="7" t="n"/>
    </row>
    <row r="19">
      <c r="A19" s="8" t="inlineStr">
        <is>
          <t xml:space="preserve">    31. Retained earnings / accumulated funds</t>
        </is>
      </c>
      <c r="B19" s="9" t="n">
        <v>374626</v>
      </c>
      <c r="C19" s="9" t="n">
        <v>367074</v>
      </c>
      <c r="D19" s="9" t="n">
        <v>352011</v>
      </c>
      <c r="E19" s="9" t="n">
        <v>351082</v>
      </c>
    </row>
    <row r="20">
      <c r="A20" s="10" t="inlineStr">
        <is>
          <t>32. Total net assets / fund balances</t>
        </is>
      </c>
      <c r="B20" s="11">
        <f>SUM(B19:B19)</f>
        <v/>
      </c>
      <c r="C20" s="11">
        <f>SUM(C19:C19)</f>
        <v/>
      </c>
      <c r="D20" s="11">
        <f>SUM(D19:D19)</f>
        <v/>
      </c>
      <c r="E20" s="11">
        <f>SUM(E19:E19)</f>
        <v/>
      </c>
    </row>
    <row r="22" ht="42" customHeight="1">
      <c r="A2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22:E22"/>
    <mergeCell ref="A1:E1"/>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Hat Creek Highlands Mutual Water Co</t>
        </is>
      </c>
    </row>
    <row r="2">
      <c r="A2" s="2" t="inlineStr">
        <is>
          <t>Reconciliation of Net Assets - Form 990 Part XI (USD)</t>
        </is>
      </c>
    </row>
    <row r="3">
      <c r="A3" s="2" t="inlineStr">
        <is>
          <t>Entity ID: cawc_0106   |   Fiscal year ends August 31.</t>
        </is>
      </c>
    </row>
    <row r="5">
      <c r="A5" s="4" t="inlineStr">
        <is>
          <t>Part XI line</t>
        </is>
      </c>
      <c r="B5" s="5" t="inlineStr">
        <is>
          <t>FY2022</t>
        </is>
      </c>
      <c r="C5" s="5" t="inlineStr">
        <is>
          <t>FY2023</t>
        </is>
      </c>
      <c r="D5" s="5" t="inlineStr">
        <is>
          <t>FY2024</t>
        </is>
      </c>
      <c r="E5" s="5" t="inlineStr">
        <is>
          <t>FY2025</t>
        </is>
      </c>
    </row>
    <row r="6">
      <c r="A6" s="6" t="inlineStr">
        <is>
          <t>Reconciliation</t>
        </is>
      </c>
      <c r="B6" s="7" t="n"/>
      <c r="C6" s="7" t="n"/>
      <c r="D6" s="7" t="n"/>
      <c r="E6" s="7" t="n"/>
    </row>
    <row r="7">
      <c r="A7" s="8" t="inlineStr">
        <is>
          <t xml:space="preserve">    4. Net assets, beginning of year</t>
        </is>
      </c>
      <c r="B7" s="9" t="n">
        <v>358801</v>
      </c>
      <c r="C7" s="9" t="n">
        <v>374626</v>
      </c>
      <c r="D7" s="9" t="n">
        <v>367074</v>
      </c>
      <c r="E7" s="9" t="n">
        <v>352011</v>
      </c>
    </row>
    <row r="8">
      <c r="A8" s="8" t="inlineStr">
        <is>
          <t xml:space="preserve">    3. Revenue less expenses</t>
        </is>
      </c>
      <c r="B8" s="9" t="n">
        <v>15825</v>
      </c>
      <c r="C8" s="9" t="n">
        <v>-7552</v>
      </c>
      <c r="D8" s="9" t="n">
        <v>-15063</v>
      </c>
      <c r="E8" s="9" t="n">
        <v>-929</v>
      </c>
    </row>
    <row r="9">
      <c r="A9" s="8" t="inlineStr">
        <is>
          <t xml:space="preserve">    8. Prior period adjustments</t>
        </is>
      </c>
      <c r="B9" s="17" t="inlineStr">
        <is>
          <t>not reported</t>
        </is>
      </c>
      <c r="C9" s="17" t="inlineStr">
        <is>
          <t>not reported</t>
        </is>
      </c>
      <c r="D9" s="17" t="inlineStr">
        <is>
          <t>not reported</t>
        </is>
      </c>
      <c r="E9" s="17" t="inlineStr">
        <is>
          <t>not reported</t>
        </is>
      </c>
    </row>
    <row r="10">
      <c r="A10" s="8" t="inlineStr">
        <is>
          <t xml:space="preserve">    9. Other changes in net assets</t>
        </is>
      </c>
      <c r="B10" s="9" t="n">
        <v>0</v>
      </c>
      <c r="C10" s="9" t="n">
        <v>0</v>
      </c>
      <c r="D10" s="9" t="n">
        <v>0</v>
      </c>
      <c r="E10" s="9" t="n">
        <v>0</v>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Hat Creek Highlands Mutual Water Co</t>
        </is>
      </c>
    </row>
    <row r="2">
      <c r="A2" s="2" t="inlineStr">
        <is>
          <t>Cash Flow Proxies - derived (USD)</t>
        </is>
      </c>
    </row>
    <row r="3">
      <c r="A3" s="2" t="inlineStr">
        <is>
          <t>Entity ID: cawc_0106   |   Fiscal year ends August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FY2022</t>
        </is>
      </c>
      <c r="C7" s="5" t="inlineStr">
        <is>
          <t>FY2023</t>
        </is>
      </c>
      <c r="D7" s="5" t="inlineStr">
        <is>
          <t>FY2024</t>
        </is>
      </c>
      <c r="E7" s="5" t="inlineStr">
        <is>
          <t>FY2025</t>
        </is>
      </c>
    </row>
    <row r="8">
      <c r="A8" s="6" t="inlineStr">
        <is>
          <t>Operating</t>
        </is>
      </c>
      <c r="B8" s="7" t="n"/>
      <c r="C8" s="7" t="n"/>
      <c r="D8" s="7" t="n"/>
      <c r="E8" s="7" t="n"/>
    </row>
    <row r="9">
      <c r="A9" s="8" t="inlineStr">
        <is>
          <t xml:space="preserve">    Net income</t>
        </is>
      </c>
      <c r="B9" s="9" t="n">
        <v>15825</v>
      </c>
      <c r="C9" s="9" t="n">
        <v>-7552</v>
      </c>
      <c r="D9" s="9" t="n">
        <v>-15063</v>
      </c>
      <c r="E9" s="9" t="n">
        <v>-929</v>
      </c>
    </row>
    <row r="10">
      <c r="A10" s="8" t="inlineStr">
        <is>
          <t xml:space="preserve">    + Depreciation (reported)</t>
        </is>
      </c>
      <c r="B10" s="9" t="n"/>
      <c r="C10" s="9" t="n"/>
      <c r="D10" s="9" t="n"/>
      <c r="E10" s="9" t="n"/>
    </row>
    <row r="11">
      <c r="A11" s="8" t="inlineStr">
        <is>
          <t xml:space="preserve">    − Δ Accounts receivable</t>
        </is>
      </c>
      <c r="B11" s="9" t="n"/>
      <c r="C11" s="9" t="n">
        <v>-1274</v>
      </c>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v>-4182</v>
      </c>
      <c r="D14" s="9" t="n">
        <v>2579</v>
      </c>
      <c r="E14" s="9" t="n">
        <v>11374</v>
      </c>
    </row>
    <row r="15">
      <c r="A15" s="10" t="inlineStr">
        <is>
          <t xml:space="preserve">    Operating cash flow proxy</t>
        </is>
      </c>
      <c r="B15" s="11" t="n"/>
      <c r="C15" s="11" t="n">
        <v>-13008</v>
      </c>
      <c r="D15" s="11" t="n">
        <v>-12484</v>
      </c>
      <c r="E15" s="11" t="n">
        <v>10445</v>
      </c>
    </row>
    <row r="17">
      <c r="A17" s="6" t="inlineStr">
        <is>
          <t>Investing</t>
        </is>
      </c>
      <c r="B17" s="7" t="n"/>
      <c r="C17" s="7" t="n"/>
      <c r="D17" s="7" t="n"/>
      <c r="E17" s="7" t="n"/>
    </row>
    <row r="18">
      <c r="A18" s="8" t="inlineStr">
        <is>
          <t xml:space="preserve">    − Δ PP&amp;E gross (capex proxy)</t>
        </is>
      </c>
      <c r="B18" s="9" t="n"/>
      <c r="C18" s="9" t="n">
        <v>0</v>
      </c>
      <c r="D18" s="9" t="n">
        <v>0</v>
      </c>
      <c r="E18" s="9" t="n">
        <v>0</v>
      </c>
    </row>
    <row r="20">
      <c r="A20" s="6" t="inlineStr">
        <is>
          <t>Financing</t>
        </is>
      </c>
      <c r="B20" s="7" t="n"/>
      <c r="C20" s="7" t="n"/>
      <c r="D20" s="7" t="n"/>
      <c r="E20" s="7" t="n"/>
    </row>
    <row r="21">
      <c r="A21" s="8" t="inlineStr">
        <is>
          <t xml:space="preserve">    Δ Mortgages &amp; notes payable</t>
        </is>
      </c>
      <c r="B21" s="9" t="n"/>
      <c r="C21" s="9" t="n">
        <v>-9246</v>
      </c>
      <c r="D21" s="9" t="n"/>
      <c r="E21" s="9" t="n"/>
    </row>
    <row r="23">
      <c r="A23" s="6" t="inlineStr">
        <is>
          <t>Reconciliation</t>
        </is>
      </c>
      <c r="B23" s="7" t="n"/>
      <c r="C23" s="7" t="n"/>
      <c r="D23" s="7" t="n"/>
      <c r="E23" s="7" t="n"/>
    </row>
    <row r="24">
      <c r="A24" s="10" t="inlineStr">
        <is>
          <t xml:space="preserve">    Δ Cash + temp. investments (actual)</t>
        </is>
      </c>
      <c r="B24" s="11" t="n"/>
      <c r="C24" s="11" t="n">
        <v>-11016</v>
      </c>
      <c r="D24" s="11" t="n">
        <v>-8152</v>
      </c>
      <c r="E24" s="11" t="n">
        <v>3573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Hat Creek Highlands Mutual Water Co</t>
        </is>
      </c>
    </row>
    <row r="2">
      <c r="A2" s="2" t="inlineStr">
        <is>
          <t>Financial Ratios</t>
        </is>
      </c>
    </row>
    <row r="3">
      <c r="A3" s="2" t="inlineStr">
        <is>
          <t>Entity ID: cawc_0106   |   Fiscal year ends August 31.</t>
        </is>
      </c>
    </row>
    <row r="5">
      <c r="A5" s="4" t="inlineStr">
        <is>
          <t>Ratio</t>
        </is>
      </c>
      <c r="B5" s="5" t="inlineStr">
        <is>
          <t>FY2022</t>
        </is>
      </c>
      <c r="C5" s="5" t="inlineStr">
        <is>
          <t>FY2023</t>
        </is>
      </c>
      <c r="D5" s="5" t="inlineStr">
        <is>
          <t>FY2024</t>
        </is>
      </c>
      <c r="E5" s="5" t="inlineStr">
        <is>
          <t>FY2025</t>
        </is>
      </c>
    </row>
    <row r="6">
      <c r="A6" s="6" t="inlineStr">
        <is>
          <t>Profitability (computed upstream)</t>
        </is>
      </c>
      <c r="B6" s="7" t="n"/>
      <c r="C6" s="7" t="n"/>
      <c r="D6" s="7" t="n"/>
      <c r="E6" s="7" t="n"/>
    </row>
    <row r="7">
      <c r="A7" s="8" t="inlineStr">
        <is>
          <t xml:space="preserve">    Operating margin (NI / revenue)</t>
        </is>
      </c>
      <c r="B7" s="12" t="n">
        <v>0.2029756942217662</v>
      </c>
      <c r="C7" s="12" t="n">
        <v>-0.09436343416925941</v>
      </c>
      <c r="D7" s="12" t="n"/>
      <c r="E7" s="12" t="n">
        <v>-0.01028576489996568</v>
      </c>
    </row>
    <row r="8">
      <c r="A8" s="8" t="inlineStr">
        <is>
          <t xml:space="preserve">    Expense ratio (expenses / revenue)</t>
        </is>
      </c>
      <c r="B8" s="12" t="n">
        <v>0.7970243057782338</v>
      </c>
      <c r="C8" s="12" t="n">
        <v>1.094363434169259</v>
      </c>
      <c r="D8" s="12" t="n"/>
      <c r="E8" s="12" t="n">
        <v>1.010285764899966</v>
      </c>
    </row>
    <row r="9">
      <c r="A9" s="8" t="inlineStr">
        <is>
          <t xml:space="preserve">    Return on assets (NI / assets)</t>
        </is>
      </c>
      <c r="B9" s="12" t="n">
        <v>0.0403631021307637</v>
      </c>
      <c r="C9" s="12" t="n">
        <v>-0.02035107764776898</v>
      </c>
      <c r="D9" s="12" t="n">
        <v>-0.04224238260162374</v>
      </c>
      <c r="E9" s="12" t="n">
        <v>-0.002531128245647495</v>
      </c>
    </row>
    <row r="10">
      <c r="A10" s="8" t="inlineStr">
        <is>
          <t xml:space="preserve">    Revenue growth (YoY)</t>
        </is>
      </c>
      <c r="B10" s="12" t="n">
        <v>0</v>
      </c>
      <c r="C10" s="12" t="n">
        <v>0.0264990700955557</v>
      </c>
      <c r="D10" s="12" t="n">
        <v>-1</v>
      </c>
      <c r="E10" s="12" t="n">
        <v>-0.01114553795285591</v>
      </c>
    </row>
    <row r="12">
      <c r="A12" s="6" t="inlineStr">
        <is>
          <t>Leverage &amp; solvency</t>
        </is>
      </c>
      <c r="B12" s="7" t="n"/>
      <c r="C12" s="7" t="n"/>
      <c r="D12" s="7" t="n"/>
      <c r="E12" s="7" t="n"/>
    </row>
    <row r="13">
      <c r="A13" s="8" t="inlineStr">
        <is>
          <t xml:space="preserve">    Debt-to-assets (liab. / assets)</t>
        </is>
      </c>
      <c r="B13" s="12" t="n">
        <v>0.04448230655042774</v>
      </c>
      <c r="C13" s="12" t="n">
        <v>0.01081151000037727</v>
      </c>
      <c r="D13" s="12" t="n">
        <v>0.01282723614285514</v>
      </c>
      <c r="E13" s="12" t="n">
        <v>0.04345148897910252</v>
      </c>
    </row>
    <row r="14">
      <c r="A14" s="8" t="inlineStr">
        <is>
          <t xml:space="preserve">    Equity ratio (net assets / assets)</t>
        </is>
      </c>
      <c r="B14" s="12" t="n">
        <v>0.9555176934495723</v>
      </c>
      <c r="C14" s="12" t="n">
        <v>0.9891884899996227</v>
      </c>
      <c r="D14" s="12" t="n">
        <v>0.9871727638571448</v>
      </c>
      <c r="E14" s="12" t="n">
        <v>0.9565485110208974</v>
      </c>
    </row>
    <row r="16">
      <c r="A16" s="6" t="inlineStr">
        <is>
          <t>Liquidity &amp; asset profile (derived here)</t>
        </is>
      </c>
      <c r="B16" s="7" t="n"/>
      <c r="C16" s="7" t="n"/>
      <c r="D16" s="7" t="n"/>
      <c r="E16" s="7" t="n"/>
    </row>
    <row r="17">
      <c r="A17" s="8" t="inlineStr">
        <is>
          <t xml:space="preserve">    Current ratio (current assets / AP)</t>
        </is>
      </c>
      <c r="B17" s="19" t="n">
        <v>5.405698559171118</v>
      </c>
      <c r="C17" s="19" t="n">
        <v>11.85413533834586</v>
      </c>
      <c r="D17" s="19" t="n">
        <v>2</v>
      </c>
      <c r="E17" s="19" t="n">
        <v>1.457110609480813</v>
      </c>
    </row>
    <row r="18">
      <c r="A18" s="8" t="inlineStr">
        <is>
          <t xml:space="preserve">    Cash ratio ((cash+temp inv.) / total liab.)</t>
        </is>
      </c>
      <c r="B18" s="19" t="n">
        <v>1.623623853211009</v>
      </c>
      <c r="C18" s="19" t="n">
        <v>4.312063808574277</v>
      </c>
      <c r="D18" s="19" t="n">
        <v>2</v>
      </c>
      <c r="E18" s="19" t="n">
        <v>0.7976548783546527</v>
      </c>
    </row>
    <row r="19">
      <c r="A19" s="8" t="inlineStr">
        <is>
          <t xml:space="preserve">    Asset age proxy (accum. deprec. / gross PP&amp;E)</t>
        </is>
      </c>
      <c r="B19" s="12" t="n">
        <v>0.3027259154425773</v>
      </c>
      <c r="C19" s="12" t="n">
        <v>0.3245728971453899</v>
      </c>
      <c r="D19" s="12" t="n">
        <v>0.3245728971453899</v>
      </c>
      <c r="E19" s="12" t="n">
        <v>0.3316588775962488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Hat Creek Highlands Mutual Water Co</t>
        </is>
      </c>
    </row>
    <row r="2">
      <c r="A2" s="2" t="inlineStr">
        <is>
          <t>Unit economics - per-customer revenue by category (USD)</t>
        </is>
      </c>
    </row>
    <row r="3">
      <c r="A3" s="2" t="inlineStr">
        <is>
          <t>Entity ID: cawc_0106   |   Fiscal year ends August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Hat Creek Highlands Mutual Water Co</t>
        </is>
      </c>
    </row>
    <row r="2">
      <c r="A2" s="2" t="inlineStr">
        <is>
          <t>Rate structure and representative bill - eAR Section 8a</t>
        </is>
      </c>
    </row>
    <row r="3">
      <c r="A3" s="2" t="inlineStr">
        <is>
          <t>Entity ID: cawc_0106   |   Fiscal year ends August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Hat Creek Highlands Mutual Water Co</t>
        </is>
      </c>
    </row>
    <row r="2">
      <c r="A2" s="2" t="inlineStr">
        <is>
          <t>Operational metrics - plant per acre, density, terrain</t>
        </is>
      </c>
    </row>
    <row r="3">
      <c r="A3" s="2" t="inlineStr">
        <is>
          <t>Entity ID: cawc_0106   |   Fiscal year ends August 31.</t>
        </is>
      </c>
    </row>
    <row r="5">
      <c r="A5" s="6" t="inlineStr">
        <is>
          <t>Plant assets per acre</t>
        </is>
      </c>
      <c r="B5" s="7" t="n"/>
      <c r="C5" s="7" t="n"/>
    </row>
    <row r="6">
      <c r="A6" s="20" t="inlineStr">
        <is>
          <t>Service-area acres</t>
        </is>
      </c>
      <c r="B6" s="26" t="n">
        <v>177.1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FY2022</t>
        </is>
      </c>
      <c r="B8" s="9" t="n">
        <v>2904.5511</v>
      </c>
      <c r="C8" s="9" t="n">
        <v>2025.2682</v>
      </c>
    </row>
    <row r="9">
      <c r="A9" s="18" t="inlineStr">
        <is>
          <t>FY2023</t>
        </is>
      </c>
      <c r="B9" s="9" t="n">
        <v>2904.5511</v>
      </c>
      <c r="C9" s="9" t="n">
        <v>1961.8125</v>
      </c>
    </row>
    <row r="10">
      <c r="A10" s="18" t="inlineStr">
        <is>
          <t>FY2024</t>
        </is>
      </c>
      <c r="B10" s="9" t="n">
        <v>2904.5511</v>
      </c>
      <c r="C10" s="9" t="n">
        <v>1961.8125</v>
      </c>
    </row>
    <row r="11">
      <c r="A11" s="18" t="inlineStr">
        <is>
          <t>FY2025</t>
        </is>
      </c>
      <c r="B11" s="9" t="n">
        <v>2904.5511</v>
      </c>
      <c r="C11" s="9" t="n">
        <v>1941.2309</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20" t="inlineStr">
        <is>
          <t>Connections per acre</t>
        </is>
      </c>
      <c r="B18" s="19" t="n">
        <v>0.28</v>
      </c>
      <c r="C18" s="22" t="inlineStr">
        <is>
          <t>50 connections / 177.1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Hat Creek Highlands Mutual Water Co</t>
        </is>
      </c>
    </row>
    <row r="2">
      <c r="A2" s="2" t="inlineStr">
        <is>
          <t>Supply and weather indicators (DWR water year)</t>
        </is>
      </c>
    </row>
    <row r="3">
      <c r="A3" s="2" t="inlineStr">
        <is>
          <t>Entity ID: cawc_0106   |   Fiscal year ends August 31.</t>
        </is>
      </c>
    </row>
    <row r="5" ht="111" customHeight="1">
      <c r="A5" s="3" t="inlineStr">
        <is>
          <t>Reporting calendar: Different reporting periods. The DWR water year runs October 1 to September 30; this system's fiscal year ends August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WY2022</t>
        </is>
      </c>
      <c r="C7" s="5" t="inlineStr">
        <is>
          <t>WY2023</t>
        </is>
      </c>
      <c r="D7" s="5" t="inlineStr">
        <is>
          <t>WY2024</t>
        </is>
      </c>
      <c r="E7" s="5" t="inlineStr">
        <is>
          <t>WY2025</t>
        </is>
      </c>
    </row>
    <row r="8">
      <c r="A8" s="8" t="inlineStr">
        <is>
          <t>Water-year type (Sacramento Valley)</t>
        </is>
      </c>
      <c r="B8" s="27" t="inlineStr">
        <is>
          <t>Critical</t>
        </is>
      </c>
      <c r="C8" s="27" t="inlineStr">
        <is>
          <t>Wet</t>
        </is>
      </c>
      <c r="D8" s="27" t="inlineStr">
        <is>
          <t>Above Normal</t>
        </is>
      </c>
      <c r="E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row>
    <row r="10">
      <c r="A10" s="8" t="inlineStr">
        <is>
          <t>Precip, percent of normal (8-Station Index)</t>
        </is>
      </c>
      <c r="B10" s="27" t="inlineStr">
        <is>
          <t>86</t>
        </is>
      </c>
      <c r="C10" s="27" t="inlineStr">
        <is>
          <t>133</t>
        </is>
      </c>
      <c r="D10" s="27" t="inlineStr">
        <is>
          <t>96</t>
        </is>
      </c>
      <c r="E10" s="27" t="inlineStr">
        <is>
          <t>113</t>
        </is>
      </c>
    </row>
    <row r="11">
      <c r="A11" s="8" t="inlineStr">
        <is>
          <t>Snowpack, April 1 percent of average</t>
        </is>
      </c>
      <c r="B11" s="27" t="inlineStr">
        <is>
          <t>38%</t>
        </is>
      </c>
      <c r="C11" s="27" t="inlineStr">
        <is>
          <t>237%</t>
        </is>
      </c>
      <c r="D11" s="27" t="inlineStr">
        <is>
          <t>110%</t>
        </is>
      </c>
      <c r="E11" s="27" t="inlineStr">
        <is>
          <t>96%</t>
        </is>
      </c>
    </row>
    <row r="12">
      <c r="A12" s="8" t="inlineStr">
        <is>
          <t>State Water Project allocation</t>
        </is>
      </c>
      <c r="B12" s="27" t="inlineStr">
        <is>
          <t>5%</t>
        </is>
      </c>
      <c r="C12" s="27" t="inlineStr">
        <is>
          <t>100%</t>
        </is>
      </c>
      <c r="D12" s="27" t="inlineStr">
        <is>
          <t>40%</t>
        </is>
      </c>
      <c r="E12" s="27" t="inlineStr">
        <is>
          <t>50%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Hat Creek Highlands Mutual Water Co</t>
        </is>
      </c>
    </row>
    <row r="2">
      <c r="A2" s="2" t="inlineStr">
        <is>
          <t>How this was built - forensic lineage</t>
        </is>
      </c>
    </row>
    <row r="3">
      <c r="A3" s="2" t="inlineStr">
        <is>
          <t>Entity ID: cawc_0106   |   Fiscal year ends August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1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Hat Creek Highlands Mutual Water Co</t>
        </is>
      </c>
    </row>
    <row r="2">
      <c r="A2" s="2" t="inlineStr">
        <is>
          <t>Sources &amp; audit - full provenance and tie-outs (kept off the statements so they read clean)</t>
        </is>
      </c>
    </row>
    <row r="3">
      <c r="A3" s="2" t="inlineStr">
        <is>
          <t>Entity ID: cawc_0106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FY2022</t>
        </is>
      </c>
      <c r="B10" s="8" t="inlineStr">
        <is>
          <t>2022-08-31</t>
        </is>
      </c>
      <c r="C10" s="8" t="inlineStr">
        <is>
          <t>990</t>
        </is>
      </c>
      <c r="D10" s="8" t="inlineStr">
        <is>
          <t>high</t>
        </is>
      </c>
      <c r="E10" s="8" t="inlineStr">
        <is>
          <t>e5eb61bc-c701-43a6-8b4b-df583d963e78</t>
        </is>
      </c>
      <c r="F10" s="8" t="inlineStr">
        <is>
          <t>202341539349300649</t>
        </is>
      </c>
      <c r="G10" s="8" t="inlineStr">
        <is>
          <t>claude-opus-5</t>
        </is>
      </c>
      <c r="H10" s="8" t="inlineStr">
        <is>
          <t>2026-09-23T06:31:51+00:00</t>
        </is>
      </c>
      <c r="I10" s="8" t="inlineStr">
        <is>
          <t>https://apps.irs.gov/pub/epostcard/990/xml/2023/2023_TEOS_XML_06A.zip#202341539349300649_public.xml</t>
        </is>
      </c>
    </row>
    <row r="11">
      <c r="A11" s="27" t="inlineStr">
        <is>
          <t>FY2023</t>
        </is>
      </c>
      <c r="B11" s="8" t="inlineStr">
        <is>
          <t>2023-08-31</t>
        </is>
      </c>
      <c r="C11" s="8" t="inlineStr">
        <is>
          <t>990</t>
        </is>
      </c>
      <c r="D11" s="8" t="inlineStr">
        <is>
          <t>high</t>
        </is>
      </c>
      <c r="E11" s="8" t="inlineStr">
        <is>
          <t>b4700da2-c1fc-4810-a02c-11d96c0beaf1</t>
        </is>
      </c>
      <c r="F11" s="8" t="inlineStr">
        <is>
          <t>202433179349304853</t>
        </is>
      </c>
      <c r="G11" s="8" t="inlineStr">
        <is>
          <t>claude-opus-5</t>
        </is>
      </c>
      <c r="H11" s="8" t="inlineStr">
        <is>
          <t>2026-09-23T06:31:51+00:00</t>
        </is>
      </c>
      <c r="I11" s="8" t="inlineStr">
        <is>
          <t>https://apps.irs.gov/pub/epostcard/990/xml/2024/2024_TEOS_XML_11A.zip#202433179349304853_public.xml</t>
        </is>
      </c>
    </row>
    <row r="12">
      <c r="A12" s="27" t="inlineStr">
        <is>
          <t>FY2024</t>
        </is>
      </c>
      <c r="B12" s="8" t="inlineStr">
        <is>
          <t>2024-08-31</t>
        </is>
      </c>
      <c r="C12" s="8" t="inlineStr">
        <is>
          <t>990</t>
        </is>
      </c>
      <c r="D12" s="8" t="inlineStr">
        <is>
          <t>high</t>
        </is>
      </c>
      <c r="E12" s="8" t="inlineStr">
        <is>
          <t>8bf1675a-6a55-4c29-b378-28dae9cda388</t>
        </is>
      </c>
      <c r="F12" s="8" t="inlineStr">
        <is>
          <t>202521959349301652</t>
        </is>
      </c>
      <c r="G12" s="8" t="inlineStr">
        <is>
          <t>claude-opus-5</t>
        </is>
      </c>
      <c r="H12" s="8" t="inlineStr">
        <is>
          <t>2026-09-23T06:31:51+00:00</t>
        </is>
      </c>
      <c r="I12" s="8" t="inlineStr">
        <is>
          <t>https://apps.irs.gov/pub/epostcard/990/xml/2025/2025_TEOS_XML_07A.zip#202521959349301652_public.xml</t>
        </is>
      </c>
    </row>
    <row r="13">
      <c r="A13" s="27" t="inlineStr">
        <is>
          <t>FY2025</t>
        </is>
      </c>
      <c r="B13" s="8" t="inlineStr">
        <is>
          <t>2025-08-31</t>
        </is>
      </c>
      <c r="C13" s="8" t="inlineStr">
        <is>
          <t>990</t>
        </is>
      </c>
      <c r="D13" s="8" t="inlineStr">
        <is>
          <t>high</t>
        </is>
      </c>
      <c r="E13" s="8" t="inlineStr">
        <is>
          <t>6c53b6a6-fe0c-4e03-b998-636f5761222e</t>
        </is>
      </c>
      <c r="F13" s="8" t="inlineStr">
        <is>
          <t>202620479349301797</t>
        </is>
      </c>
      <c r="G13" s="8" t="inlineStr">
        <is>
          <t>claude-opus-5</t>
        </is>
      </c>
      <c r="H13" s="8" t="inlineStr">
        <is>
          <t>2026-09-23T06:31:51+00:00</t>
        </is>
      </c>
      <c r="I13" s="8" t="inlineStr">
        <is>
          <t>https://apps.irs.gov/pub/epostcard/990/xml/2026/2026_TEOS_XML_02A.zip#202620479349301797_public.xml</t>
        </is>
      </c>
    </row>
    <row r="15">
      <c r="A15" s="29"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B73</t>
        </is>
      </c>
      <c r="C17" s="8" t="inlineStr">
        <is>
          <t>11a. Gross income from members or shareholders</t>
        </is>
      </c>
      <c r="D17" s="8" t="inlineStr">
        <is>
          <t>11a</t>
        </is>
      </c>
      <c r="E17" s="8" t="inlineStr">
        <is>
          <t>part_v_other_irs_filings.members_and_shareholders_gross_income</t>
        </is>
      </c>
      <c r="F17" s="8" t="inlineStr">
        <is>
          <t>high</t>
        </is>
      </c>
      <c r="G17" s="9" t="n">
        <v>77965</v>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80031</v>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77200</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92379</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0</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0</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89614</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0</v>
      </c>
    </row>
    <row r="25">
      <c r="A25" s="8" t="inlineStr">
        <is>
          <t>Revenue (detail)</t>
        </is>
      </c>
      <c r="B25" s="8" t="inlineStr">
        <is>
          <t>B7</t>
        </is>
      </c>
      <c r="C25" s="8" t="inlineStr">
        <is>
          <t>1h. Total contributions, gifts, grants</t>
        </is>
      </c>
      <c r="D25" s="8" t="inlineStr">
        <is>
          <t>1h</t>
        </is>
      </c>
      <c r="E25" s="8" t="inlineStr">
        <is>
          <t>part_viii_revenue.total_contributions</t>
        </is>
      </c>
      <c r="F25" s="8" t="inlineStr">
        <is>
          <t>high</t>
        </is>
      </c>
      <c r="G25" s="9" t="n">
        <v>77965</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80031</v>
      </c>
    </row>
    <row r="27">
      <c r="A27" s="8" t="inlineStr">
        <is>
          <t>Revenue (detail)</t>
        </is>
      </c>
      <c r="B27" s="8" t="inlineStr">
        <is>
          <t>E8</t>
        </is>
      </c>
      <c r="C27" s="8" t="inlineStr">
        <is>
          <t>2g. Total program service revenue</t>
        </is>
      </c>
      <c r="D27" s="8" t="inlineStr">
        <is>
          <t>2g</t>
        </is>
      </c>
      <c r="E27" s="8" t="inlineStr">
        <is>
          <t>part_viii_revenue.total_program_service_revenue</t>
        </is>
      </c>
      <c r="F27" s="8" t="inlineStr">
        <is>
          <t>high</t>
        </is>
      </c>
      <c r="G27" s="9" t="n">
        <v>90319</v>
      </c>
    </row>
    <row r="28">
      <c r="A28" s="8" t="inlineStr">
        <is>
          <t>Operating expenses (detail)</t>
        </is>
      </c>
      <c r="B28" s="8" t="inlineStr">
        <is>
          <t>C7</t>
        </is>
      </c>
      <c r="C28" s="8" t="inlineStr">
        <is>
          <t>7. Other salaries and wages</t>
        </is>
      </c>
      <c r="D28" s="8" t="inlineStr">
        <is>
          <t>7</t>
        </is>
      </c>
      <c r="E28" s="8" t="inlineStr">
        <is>
          <t>part_ix_expenses.other_salaries_and_wages</t>
        </is>
      </c>
      <c r="F28" s="8" t="inlineStr">
        <is>
          <t>high</t>
        </is>
      </c>
      <c r="G28" s="9" t="n">
        <v>10370</v>
      </c>
    </row>
    <row r="29">
      <c r="A29" s="8" t="inlineStr">
        <is>
          <t>Operating expenses (detail)</t>
        </is>
      </c>
      <c r="B29" s="8" t="inlineStr">
        <is>
          <t>E7</t>
        </is>
      </c>
      <c r="C29" s="8" t="inlineStr">
        <is>
          <t>7. Other salaries and wages</t>
        </is>
      </c>
      <c r="D29" s="8" t="inlineStr">
        <is>
          <t>7</t>
        </is>
      </c>
      <c r="E29" s="8" t="inlineStr">
        <is>
          <t>part_ix_expenses.other_salaries_and_wages</t>
        </is>
      </c>
      <c r="F29" s="8" t="inlineStr">
        <is>
          <t>high</t>
        </is>
      </c>
      <c r="G29" s="9" t="n">
        <v>27540</v>
      </c>
    </row>
    <row r="30">
      <c r="A30" s="8" t="inlineStr">
        <is>
          <t>Operating expenses (detail)</t>
        </is>
      </c>
      <c r="B30" s="8" t="inlineStr">
        <is>
          <t>C8</t>
        </is>
      </c>
      <c r="C30" s="8" t="inlineStr">
        <is>
          <t>10. Payroll taxes</t>
        </is>
      </c>
      <c r="D30" s="8" t="inlineStr">
        <is>
          <t>10</t>
        </is>
      </c>
      <c r="E30" s="8" t="inlineStr">
        <is>
          <t>part_ix_expenses.payroll_taxes</t>
        </is>
      </c>
      <c r="F30" s="8" t="inlineStr">
        <is>
          <t>high</t>
        </is>
      </c>
      <c r="G30" s="9" t="n">
        <v>1047</v>
      </c>
    </row>
    <row r="31">
      <c r="A31" s="8" t="inlineStr">
        <is>
          <t>Operating expenses (detail)</t>
        </is>
      </c>
      <c r="B31" s="8" t="inlineStr">
        <is>
          <t>E8</t>
        </is>
      </c>
      <c r="C31" s="8" t="inlineStr">
        <is>
          <t>10. Payroll taxes</t>
        </is>
      </c>
      <c r="D31" s="8" t="inlineStr">
        <is>
          <t>10</t>
        </is>
      </c>
      <c r="E31" s="8" t="inlineStr">
        <is>
          <t>part_ix_expenses.payroll_taxes</t>
        </is>
      </c>
      <c r="F31" s="8" t="inlineStr">
        <is>
          <t>high</t>
        </is>
      </c>
      <c r="G31" s="9" t="n">
        <v>2373</v>
      </c>
    </row>
    <row r="32">
      <c r="A32" s="8" t="inlineStr">
        <is>
          <t>Operating expenses (detail)</t>
        </is>
      </c>
      <c r="B32" s="8" t="inlineStr">
        <is>
          <t>C9</t>
        </is>
      </c>
      <c r="C32" s="8" t="inlineStr">
        <is>
          <t>11b. Fees for services: legal</t>
        </is>
      </c>
      <c r="D32" s="8" t="inlineStr">
        <is>
          <t>11b</t>
        </is>
      </c>
      <c r="E32" s="8" t="inlineStr">
        <is>
          <t>part_ix_expenses.fees_legal</t>
        </is>
      </c>
      <c r="F32" s="8" t="inlineStr">
        <is>
          <t>high</t>
        </is>
      </c>
      <c r="G32" s="9" t="n">
        <v>850</v>
      </c>
    </row>
    <row r="33">
      <c r="A33" s="8" t="inlineStr">
        <is>
          <t>Operating expenses (detail)</t>
        </is>
      </c>
      <c r="B33" s="8" t="inlineStr">
        <is>
          <t>C10</t>
        </is>
      </c>
      <c r="C33" s="8" t="inlineStr">
        <is>
          <t>11c. Fees for services: accounting</t>
        </is>
      </c>
      <c r="D33" s="8" t="inlineStr">
        <is>
          <t>11c</t>
        </is>
      </c>
      <c r="E33" s="8" t="inlineStr">
        <is>
          <t>part_ix_expenses.fees_accounting</t>
        </is>
      </c>
      <c r="F33" s="8" t="inlineStr">
        <is>
          <t>high</t>
        </is>
      </c>
      <c r="G33" s="9" t="n">
        <v>9850</v>
      </c>
    </row>
    <row r="34">
      <c r="A34" s="8" t="inlineStr">
        <is>
          <t>Operating expenses (detail)</t>
        </is>
      </c>
      <c r="B34" s="8" t="inlineStr">
        <is>
          <t>E10</t>
        </is>
      </c>
      <c r="C34" s="8" t="inlineStr">
        <is>
          <t>11c. Fees for services: accounting</t>
        </is>
      </c>
      <c r="D34" s="8" t="inlineStr">
        <is>
          <t>11c</t>
        </is>
      </c>
      <c r="E34" s="8" t="inlineStr">
        <is>
          <t>part_ix_expenses.fees_accounting</t>
        </is>
      </c>
      <c r="F34" s="8" t="inlineStr">
        <is>
          <t>high</t>
        </is>
      </c>
      <c r="G34" s="9" t="n">
        <v>8000</v>
      </c>
    </row>
    <row r="35">
      <c r="A35" s="8" t="inlineStr">
        <is>
          <t>Operating expenses (detail)</t>
        </is>
      </c>
      <c r="B35" s="8" t="inlineStr">
        <is>
          <t>B11</t>
        </is>
      </c>
      <c r="C35" s="8" t="inlineStr">
        <is>
          <t>20. Interest</t>
        </is>
      </c>
      <c r="D35" s="8" t="inlineStr">
        <is>
          <t>20</t>
        </is>
      </c>
      <c r="E35" s="8" t="inlineStr">
        <is>
          <t>part_ix_expenses.interest</t>
        </is>
      </c>
      <c r="F35" s="8" t="inlineStr">
        <is>
          <t>high</t>
        </is>
      </c>
      <c r="G35" s="9" t="n">
        <v>1475</v>
      </c>
    </row>
    <row r="36">
      <c r="A36" s="8" t="inlineStr">
        <is>
          <t>Operating expenses (detail)</t>
        </is>
      </c>
      <c r="B36" s="8" t="inlineStr">
        <is>
          <t>C11</t>
        </is>
      </c>
      <c r="C36" s="8" t="inlineStr">
        <is>
          <t>20. Interest</t>
        </is>
      </c>
      <c r="D36" s="8" t="inlineStr">
        <is>
          <t>20</t>
        </is>
      </c>
      <c r="E36" s="8" t="inlineStr">
        <is>
          <t>part_ix_expenses.interest</t>
        </is>
      </c>
      <c r="F36" s="8" t="inlineStr">
        <is>
          <t>high</t>
        </is>
      </c>
      <c r="G36" s="9" t="n">
        <v>610</v>
      </c>
    </row>
    <row r="37">
      <c r="A37" s="8" t="inlineStr">
        <is>
          <t>Operating expenses (detail)</t>
        </is>
      </c>
      <c r="B37" s="8" t="inlineStr">
        <is>
          <t>B12</t>
        </is>
      </c>
      <c r="C37" s="8" t="inlineStr">
        <is>
          <t>23. Insurance</t>
        </is>
      </c>
      <c r="D37" s="8" t="inlineStr">
        <is>
          <t>23</t>
        </is>
      </c>
      <c r="E37" s="8" t="inlineStr">
        <is>
          <t>part_ix_expenses.insurance</t>
        </is>
      </c>
      <c r="F37" s="8" t="inlineStr">
        <is>
          <t>high</t>
        </is>
      </c>
      <c r="G37" s="9" t="n">
        <v>3408</v>
      </c>
    </row>
    <row r="38">
      <c r="A38" s="8" t="inlineStr">
        <is>
          <t>Operating expenses (detail)</t>
        </is>
      </c>
      <c r="B38" s="8" t="inlineStr">
        <is>
          <t>C12</t>
        </is>
      </c>
      <c r="C38" s="8" t="inlineStr">
        <is>
          <t>23. Insurance</t>
        </is>
      </c>
      <c r="D38" s="8" t="inlineStr">
        <is>
          <t>23</t>
        </is>
      </c>
      <c r="E38" s="8" t="inlineStr">
        <is>
          <t>part_ix_expenses.insurance</t>
        </is>
      </c>
      <c r="F38" s="8" t="inlineStr">
        <is>
          <t>high</t>
        </is>
      </c>
      <c r="G38" s="9" t="n">
        <v>3736</v>
      </c>
    </row>
    <row r="39">
      <c r="A39" s="8" t="inlineStr">
        <is>
          <t>Operating expenses (detail)</t>
        </is>
      </c>
      <c r="B39" s="8" t="inlineStr">
        <is>
          <t>E12</t>
        </is>
      </c>
      <c r="C39" s="8" t="inlineStr">
        <is>
          <t>23. Insurance</t>
        </is>
      </c>
      <c r="D39" s="8" t="inlineStr">
        <is>
          <t>23</t>
        </is>
      </c>
      <c r="E39" s="8" t="inlineStr">
        <is>
          <t>part_ix_expenses.insurance</t>
        </is>
      </c>
      <c r="F39" s="8" t="inlineStr">
        <is>
          <t>high</t>
        </is>
      </c>
      <c r="G39" s="9" t="n">
        <v>4372</v>
      </c>
    </row>
    <row r="40">
      <c r="A40" s="8" t="inlineStr">
        <is>
          <t>Operating expenses (detail)</t>
        </is>
      </c>
      <c r="B40" s="8" t="inlineStr">
        <is>
          <t>B21</t>
        </is>
      </c>
      <c r="C40" s="8" t="inlineStr">
        <is>
          <t>24e. All other expenses</t>
        </is>
      </c>
      <c r="D40" s="8" t="inlineStr">
        <is>
          <t>24e</t>
        </is>
      </c>
      <c r="E40" s="8" t="inlineStr">
        <is>
          <t>part_ix_expenses.all_other_expenses</t>
        </is>
      </c>
      <c r="F40" s="8" t="inlineStr">
        <is>
          <t>high</t>
        </is>
      </c>
      <c r="G40" s="9" t="n">
        <v>29243</v>
      </c>
    </row>
    <row r="41">
      <c r="A41" s="8" t="inlineStr">
        <is>
          <t>Operating expenses (detail)</t>
        </is>
      </c>
      <c r="B41" s="8" t="inlineStr">
        <is>
          <t>C21</t>
        </is>
      </c>
      <c r="C41" s="8" t="inlineStr">
        <is>
          <t>24e. All other expenses</t>
        </is>
      </c>
      <c r="D41" s="8" t="inlineStr">
        <is>
          <t>24e</t>
        </is>
      </c>
      <c r="E41" s="8" t="inlineStr">
        <is>
          <t>part_ix_expenses.all_other_expenses</t>
        </is>
      </c>
      <c r="F41" s="8" t="inlineStr">
        <is>
          <t>high</t>
        </is>
      </c>
      <c r="G41" s="9" t="n">
        <v>25222</v>
      </c>
    </row>
    <row r="42">
      <c r="A42" s="8" t="inlineStr">
        <is>
          <t>Operating expenses (detail)</t>
        </is>
      </c>
      <c r="B42" s="8" t="inlineStr">
        <is>
          <t>E21</t>
        </is>
      </c>
      <c r="C42" s="8" t="inlineStr">
        <is>
          <t>24e. All other expenses</t>
        </is>
      </c>
      <c r="D42" s="8" t="inlineStr">
        <is>
          <t>24e</t>
        </is>
      </c>
      <c r="E42" s="8" t="inlineStr">
        <is>
          <t>part_ix_expenses.all_other_expenses</t>
        </is>
      </c>
      <c r="F42" s="8" t="inlineStr">
        <is>
          <t>high</t>
        </is>
      </c>
      <c r="G42" s="9" t="n">
        <v>17093</v>
      </c>
    </row>
    <row r="43">
      <c r="A43" s="8" t="inlineStr">
        <is>
          <t>Balance sheet (detail)</t>
        </is>
      </c>
      <c r="B43" s="8" t="inlineStr">
        <is>
          <t>B7</t>
        </is>
      </c>
      <c r="C43" s="8" t="inlineStr">
        <is>
          <t>1. Cash - non-interest-bearing</t>
        </is>
      </c>
      <c r="D43" s="8" t="inlineStr">
        <is>
          <t>1E</t>
        </is>
      </c>
      <c r="E43" s="8" t="inlineStr">
        <is>
          <t>part_x_balance_sheet.cash_noninterest_eoy</t>
        </is>
      </c>
      <c r="F43" s="8" t="inlineStr">
        <is>
          <t>high</t>
        </is>
      </c>
      <c r="G43" s="9" t="n">
        <v>15594</v>
      </c>
    </row>
    <row r="44">
      <c r="A44" s="8" t="inlineStr">
        <is>
          <t>Balance sheet (detail)</t>
        </is>
      </c>
      <c r="B44" s="8" t="inlineStr">
        <is>
          <t>C7</t>
        </is>
      </c>
      <c r="C44" s="8" t="inlineStr">
        <is>
          <t>1. Cash - non-interest-bearing</t>
        </is>
      </c>
      <c r="D44" s="8" t="inlineStr">
        <is>
          <t>1E</t>
        </is>
      </c>
      <c r="E44" s="8" t="inlineStr">
        <is>
          <t>part_x_balance_sheet.cash_noninterest_eoy</t>
        </is>
      </c>
      <c r="F44" s="8" t="inlineStr">
        <is>
          <t>high</t>
        </is>
      </c>
      <c r="G44" s="9" t="n">
        <v>4578</v>
      </c>
    </row>
    <row r="45">
      <c r="A45" s="8" t="inlineStr">
        <is>
          <t>Balance sheet (detail)</t>
        </is>
      </c>
      <c r="B45" s="8" t="inlineStr">
        <is>
          <t>B8</t>
        </is>
      </c>
      <c r="C45" s="8" t="inlineStr">
        <is>
          <t>2. Savings and temporary cash investments</t>
        </is>
      </c>
      <c r="D45" s="8" t="inlineStr">
        <is>
          <t>2E</t>
        </is>
      </c>
      <c r="E45" s="8" t="inlineStr">
        <is>
          <t>part_x_balance_sheet.savings_temp_invest_eoy</t>
        </is>
      </c>
      <c r="F45" s="8" t="inlineStr">
        <is>
          <t>high</t>
        </is>
      </c>
      <c r="G45" s="9" t="n">
        <v>12722</v>
      </c>
    </row>
    <row r="46">
      <c r="A46" s="8" t="inlineStr">
        <is>
          <t>Balance sheet (detail)</t>
        </is>
      </c>
      <c r="B46" s="8" t="inlineStr">
        <is>
          <t>C8</t>
        </is>
      </c>
      <c r="C46" s="8" t="inlineStr">
        <is>
          <t>2. Savings and temporary cash investments</t>
        </is>
      </c>
      <c r="D46" s="8" t="inlineStr">
        <is>
          <t>2E</t>
        </is>
      </c>
      <c r="E46" s="8" t="inlineStr">
        <is>
          <t>part_x_balance_sheet.savings_temp_invest_eoy</t>
        </is>
      </c>
      <c r="F46" s="8" t="inlineStr">
        <is>
          <t>high</t>
        </is>
      </c>
      <c r="G46" s="9" t="n">
        <v>12722</v>
      </c>
    </row>
    <row r="47">
      <c r="A47" s="8" t="inlineStr">
        <is>
          <t>Balance sheet (detail)</t>
        </is>
      </c>
      <c r="B47" s="8" t="inlineStr">
        <is>
          <t>D8</t>
        </is>
      </c>
      <c r="C47" s="8" t="inlineStr">
        <is>
          <t>2. Savings and temporary cash investments</t>
        </is>
      </c>
      <c r="D47" s="8" t="inlineStr">
        <is>
          <t>2E</t>
        </is>
      </c>
      <c r="E47" s="8" t="inlineStr">
        <is>
          <t>part_x_balance_sheet.savings_temp_invest_eoy</t>
        </is>
      </c>
      <c r="F47" s="8" t="inlineStr">
        <is>
          <t>high</t>
        </is>
      </c>
      <c r="G47" s="9" t="n">
        <v>9148</v>
      </c>
    </row>
    <row r="48">
      <c r="A48" s="8" t="inlineStr">
        <is>
          <t>Balance sheet (detail)</t>
        </is>
      </c>
      <c r="B48" s="8" t="inlineStr">
        <is>
          <t>E8</t>
        </is>
      </c>
      <c r="C48" s="8" t="inlineStr">
        <is>
          <t>2. Savings and temporary cash investments</t>
        </is>
      </c>
      <c r="D48" s="8" t="inlineStr">
        <is>
          <t>2E</t>
        </is>
      </c>
      <c r="E48" s="8" t="inlineStr">
        <is>
          <t>part_x_balance_sheet.savings_temp_invest_eoy</t>
        </is>
      </c>
      <c r="F48" s="8" t="inlineStr">
        <is>
          <t>high</t>
        </is>
      </c>
      <c r="G48" s="9" t="n">
        <v>12721</v>
      </c>
    </row>
    <row r="49">
      <c r="A49" s="8" t="inlineStr">
        <is>
          <t>Balance sheet (detail)</t>
        </is>
      </c>
      <c r="B49" s="8" t="inlineStr">
        <is>
          <t>B9</t>
        </is>
      </c>
      <c r="C49" s="8" t="inlineStr">
        <is>
          <t>4. Accounts receivable, net</t>
        </is>
      </c>
      <c r="D49" s="8" t="inlineStr">
        <is>
          <t>4E</t>
        </is>
      </c>
      <c r="E49" s="8" t="inlineStr">
        <is>
          <t>part_x_balance_sheet.accounts_receivable_eoy</t>
        </is>
      </c>
      <c r="F49" s="8" t="inlineStr">
        <is>
          <t>high</t>
        </is>
      </c>
      <c r="G49" s="9" t="n">
        <v>5075</v>
      </c>
    </row>
    <row r="50">
      <c r="A50" s="8" t="inlineStr">
        <is>
          <t>Balance sheet (detail)</t>
        </is>
      </c>
      <c r="B50" s="8" t="inlineStr">
        <is>
          <t>C9</t>
        </is>
      </c>
      <c r="C50" s="8" t="inlineStr">
        <is>
          <t>4. Accounts receivable, net</t>
        </is>
      </c>
      <c r="D50" s="8" t="inlineStr">
        <is>
          <t>4E</t>
        </is>
      </c>
      <c r="E50" s="8" t="inlineStr">
        <is>
          <t>part_x_balance_sheet.accounts_receivable_eoy</t>
        </is>
      </c>
      <c r="F50" s="8" t="inlineStr">
        <is>
          <t>high</t>
        </is>
      </c>
      <c r="G50" s="9" t="n">
        <v>6349</v>
      </c>
    </row>
    <row r="51">
      <c r="A51" s="8" t="inlineStr">
        <is>
          <t>Balance sheet (detail)</t>
        </is>
      </c>
      <c r="B51" s="8" t="inlineStr">
        <is>
          <t>E9</t>
        </is>
      </c>
      <c r="C51" s="8" t="inlineStr">
        <is>
          <t>4. Accounts receivable, net</t>
        </is>
      </c>
      <c r="D51" s="8" t="inlineStr">
        <is>
          <t>4E</t>
        </is>
      </c>
      <c r="E51" s="8" t="inlineStr">
        <is>
          <t>part_x_balance_sheet.accounts_receivable_eoy</t>
        </is>
      </c>
      <c r="F51" s="8" t="inlineStr">
        <is>
          <t>high</t>
        </is>
      </c>
      <c r="G51" s="9" t="n">
        <v>10517</v>
      </c>
    </row>
    <row r="52">
      <c r="A52" s="8" t="inlineStr">
        <is>
          <t>Balance sheet (detail)</t>
        </is>
      </c>
      <c r="B52" s="8" t="inlineStr">
        <is>
          <t>B10</t>
        </is>
      </c>
      <c r="C52" s="8" t="inlineStr">
        <is>
          <t>10c. Land, buildings, and equipment, net</t>
        </is>
      </c>
      <c r="D52" s="8" t="inlineStr">
        <is>
          <t>10cE</t>
        </is>
      </c>
      <c r="E52" s="8" t="inlineStr">
        <is>
          <t>part_x_balance_sheet.land_bldg_equip_net_eoy</t>
        </is>
      </c>
      <c r="F52" s="8" t="inlineStr">
        <is>
          <t>high</t>
        </is>
      </c>
      <c r="G52" s="9" t="n">
        <v>358675</v>
      </c>
    </row>
    <row r="53">
      <c r="A53" s="8" t="inlineStr">
        <is>
          <t>Balance sheet (detail)</t>
        </is>
      </c>
      <c r="B53" s="8" t="inlineStr">
        <is>
          <t>C10</t>
        </is>
      </c>
      <c r="C53" s="8" t="inlineStr">
        <is>
          <t>10c. Land, buildings, and equipment, net</t>
        </is>
      </c>
      <c r="D53" s="8" t="inlineStr">
        <is>
          <t>10cE</t>
        </is>
      </c>
      <c r="E53" s="8" t="inlineStr">
        <is>
          <t>part_x_balance_sheet.land_bldg_equip_net_eoy</t>
        </is>
      </c>
      <c r="F53" s="8" t="inlineStr">
        <is>
          <t>high</t>
        </is>
      </c>
      <c r="G53" s="9" t="n">
        <v>347437</v>
      </c>
    </row>
    <row r="54">
      <c r="A54" s="8" t="inlineStr">
        <is>
          <t>Balance sheet (detail)</t>
        </is>
      </c>
      <c r="B54" s="8" t="inlineStr">
        <is>
          <t>D10</t>
        </is>
      </c>
      <c r="C54" s="8" t="inlineStr">
        <is>
          <t>10c. Land, buildings, and equipment, net</t>
        </is>
      </c>
      <c r="D54" s="8" t="inlineStr">
        <is>
          <t>10cE</t>
        </is>
      </c>
      <c r="E54" s="8" t="inlineStr">
        <is>
          <t>part_x_balance_sheet.land_bldg_equip_net_eoy</t>
        </is>
      </c>
      <c r="F54" s="8" t="inlineStr">
        <is>
          <t>high</t>
        </is>
      </c>
      <c r="G54" s="9" t="n">
        <v>347437</v>
      </c>
    </row>
    <row r="55">
      <c r="A55" s="8" t="inlineStr">
        <is>
          <t>Balance sheet (detail)</t>
        </is>
      </c>
      <c r="B55" s="8" t="inlineStr">
        <is>
          <t>E10</t>
        </is>
      </c>
      <c r="C55" s="8" t="inlineStr">
        <is>
          <t>10c. Land, buildings, and equipment, net</t>
        </is>
      </c>
      <c r="D55" s="8" t="inlineStr">
        <is>
          <t>10cE</t>
        </is>
      </c>
      <c r="E55" s="8" t="inlineStr">
        <is>
          <t>part_x_balance_sheet.land_bldg_equip_net_eoy</t>
        </is>
      </c>
      <c r="F55" s="8" t="inlineStr">
        <is>
          <t>high</t>
        </is>
      </c>
      <c r="G55" s="9" t="n">
        <v>343792</v>
      </c>
    </row>
    <row r="56">
      <c r="A56" s="8" t="inlineStr">
        <is>
          <t>Balance sheet (detail)</t>
        </is>
      </c>
      <c r="B56" s="8" t="inlineStr">
        <is>
          <t>B14</t>
        </is>
      </c>
      <c r="C56" s="8" t="inlineStr">
        <is>
          <t>17. Accounts payable and accrued expenses</t>
        </is>
      </c>
      <c r="D56" s="8" t="inlineStr">
        <is>
          <t>17E</t>
        </is>
      </c>
      <c r="E56" s="8" t="inlineStr">
        <is>
          <t>part_x_balance_sheet.accounts_payable_eoy</t>
        </is>
      </c>
      <c r="F56" s="8" t="inlineStr">
        <is>
          <t>high</t>
        </is>
      </c>
      <c r="G56" s="9" t="n">
        <v>6177</v>
      </c>
    </row>
    <row r="57">
      <c r="A57" s="8" t="inlineStr">
        <is>
          <t>Balance sheet (detail)</t>
        </is>
      </c>
      <c r="B57" s="8" t="inlineStr">
        <is>
          <t>C14</t>
        </is>
      </c>
      <c r="C57" s="8" t="inlineStr">
        <is>
          <t>17. Accounts payable and accrued expenses</t>
        </is>
      </c>
      <c r="D57" s="8" t="inlineStr">
        <is>
          <t>17E</t>
        </is>
      </c>
      <c r="E57" s="8" t="inlineStr">
        <is>
          <t>part_x_balance_sheet.accounts_payable_eoy</t>
        </is>
      </c>
      <c r="F57" s="8" t="inlineStr">
        <is>
          <t>high</t>
        </is>
      </c>
      <c r="G57" s="9" t="n">
        <v>1995</v>
      </c>
    </row>
    <row r="58">
      <c r="A58" s="8" t="inlineStr">
        <is>
          <t>Balance sheet (detail)</t>
        </is>
      </c>
      <c r="B58" s="8" t="inlineStr">
        <is>
          <t>D14</t>
        </is>
      </c>
      <c r="C58" s="8" t="inlineStr">
        <is>
          <t>17. Accounts payable and accrued expenses</t>
        </is>
      </c>
      <c r="D58" s="8" t="inlineStr">
        <is>
          <t>17E</t>
        </is>
      </c>
      <c r="E58" s="8" t="inlineStr">
        <is>
          <t>part_x_balance_sheet.accounts_payable_eoy</t>
        </is>
      </c>
      <c r="F58" s="8" t="inlineStr">
        <is>
          <t>high</t>
        </is>
      </c>
      <c r="G58" s="9" t="n">
        <v>4574</v>
      </c>
    </row>
    <row r="59">
      <c r="A59" s="8" t="inlineStr">
        <is>
          <t>Balance sheet (detail)</t>
        </is>
      </c>
      <c r="B59" s="8" t="inlineStr">
        <is>
          <t>E14</t>
        </is>
      </c>
      <c r="C59" s="8" t="inlineStr">
        <is>
          <t>17. Accounts payable and accrued expenses</t>
        </is>
      </c>
      <c r="D59" s="8" t="inlineStr">
        <is>
          <t>17E</t>
        </is>
      </c>
      <c r="E59" s="8" t="inlineStr">
        <is>
          <t>part_x_balance_sheet.accounts_payable_eoy</t>
        </is>
      </c>
      <c r="F59" s="8" t="inlineStr">
        <is>
          <t>high</t>
        </is>
      </c>
      <c r="G59" s="9" t="n">
        <v>15948</v>
      </c>
    </row>
    <row r="60">
      <c r="A60" s="8" t="inlineStr">
        <is>
          <t>Balance sheet (detail)</t>
        </is>
      </c>
      <c r="B60" s="8" t="inlineStr">
        <is>
          <t>B15</t>
        </is>
      </c>
      <c r="C60" s="8" t="inlineStr">
        <is>
          <t>23. Secured mortgages and notes payable</t>
        </is>
      </c>
      <c r="D60" s="8" t="inlineStr">
        <is>
          <t>23E</t>
        </is>
      </c>
      <c r="E60" s="8" t="inlineStr">
        <is>
          <t>part_x_balance_sheet.mortgages_secured_notes_eoy</t>
        </is>
      </c>
      <c r="F60" s="8" t="inlineStr">
        <is>
          <t>high</t>
        </is>
      </c>
      <c r="G60" s="9" t="n">
        <v>11263</v>
      </c>
    </row>
    <row r="61">
      <c r="A61" s="8" t="inlineStr">
        <is>
          <t>Balance sheet (detail)</t>
        </is>
      </c>
      <c r="B61" s="8" t="inlineStr">
        <is>
          <t>C15</t>
        </is>
      </c>
      <c r="C61" s="8" t="inlineStr">
        <is>
          <t>23. Secured mortgages and notes payable</t>
        </is>
      </c>
      <c r="D61" s="8" t="inlineStr">
        <is>
          <t>23E</t>
        </is>
      </c>
      <c r="E61" s="8" t="inlineStr">
        <is>
          <t>part_x_balance_sheet.mortgages_secured_notes_eoy</t>
        </is>
      </c>
      <c r="F61" s="8" t="inlineStr">
        <is>
          <t>high</t>
        </is>
      </c>
      <c r="G61" s="9" t="n">
        <v>2017</v>
      </c>
    </row>
    <row r="62">
      <c r="A62" s="8" t="inlineStr">
        <is>
          <t>Balance sheet (detail)</t>
        </is>
      </c>
      <c r="B62" s="8" t="inlineStr">
        <is>
          <t>B19</t>
        </is>
      </c>
      <c r="C62" s="8" t="inlineStr">
        <is>
          <t>31. Retained earnings / accumulated funds</t>
        </is>
      </c>
      <c r="D62" s="8" t="inlineStr">
        <is>
          <t>31E</t>
        </is>
      </c>
      <c r="E62" s="8" t="inlineStr">
        <is>
          <t>part_x_balance_sheet.retained_earnings_eoy</t>
        </is>
      </c>
      <c r="F62" s="8" t="inlineStr">
        <is>
          <t>high</t>
        </is>
      </c>
      <c r="G62" s="9" t="n">
        <v>374626</v>
      </c>
    </row>
    <row r="63">
      <c r="A63" s="8" t="inlineStr">
        <is>
          <t>Balance sheet (detail)</t>
        </is>
      </c>
      <c r="B63" s="8" t="inlineStr">
        <is>
          <t>C19</t>
        </is>
      </c>
      <c r="C63" s="8" t="inlineStr">
        <is>
          <t>31. Retained earnings / accumulated funds</t>
        </is>
      </c>
      <c r="D63" s="8" t="inlineStr">
        <is>
          <t>31E</t>
        </is>
      </c>
      <c r="E63" s="8" t="inlineStr">
        <is>
          <t>part_x_balance_sheet.retained_earnings_eoy</t>
        </is>
      </c>
      <c r="F63" s="8" t="inlineStr">
        <is>
          <t>high</t>
        </is>
      </c>
      <c r="G63" s="9" t="n">
        <v>367074</v>
      </c>
    </row>
    <row r="64">
      <c r="A64" s="8" t="inlineStr">
        <is>
          <t>Balance sheet (detail)</t>
        </is>
      </c>
      <c r="B64" s="8" t="inlineStr">
        <is>
          <t>D19</t>
        </is>
      </c>
      <c r="C64" s="8" t="inlineStr">
        <is>
          <t>31. Retained earnings / accumulated funds</t>
        </is>
      </c>
      <c r="D64" s="8" t="inlineStr">
        <is>
          <t>31E</t>
        </is>
      </c>
      <c r="E64" s="8" t="inlineStr">
        <is>
          <t>part_x_balance_sheet.retained_earnings_eoy</t>
        </is>
      </c>
      <c r="F64" s="8" t="inlineStr">
        <is>
          <t>high</t>
        </is>
      </c>
      <c r="G64" s="9" t="n">
        <v>352011</v>
      </c>
    </row>
    <row r="65">
      <c r="A65" s="8" t="inlineStr">
        <is>
          <t>Balance sheet (detail)</t>
        </is>
      </c>
      <c r="B65" s="8" t="inlineStr">
        <is>
          <t>E19</t>
        </is>
      </c>
      <c r="C65" s="8" t="inlineStr">
        <is>
          <t>31. Retained earnings / accumulated funds</t>
        </is>
      </c>
      <c r="D65" s="8" t="inlineStr">
        <is>
          <t>31E</t>
        </is>
      </c>
      <c r="E65" s="8" t="inlineStr">
        <is>
          <t>part_x_balance_sheet.retained_earnings_eoy</t>
        </is>
      </c>
      <c r="F65" s="8" t="inlineStr">
        <is>
          <t>high</t>
        </is>
      </c>
      <c r="G65" s="9" t="n">
        <v>351082</v>
      </c>
    </row>
    <row r="66">
      <c r="A66" s="8" t="inlineStr">
        <is>
          <t>Net-assets reconciliation</t>
        </is>
      </c>
      <c r="B66" s="8" t="inlineStr">
        <is>
          <t>B7</t>
        </is>
      </c>
      <c r="C66" s="8" t="inlineStr">
        <is>
          <t>4. Net assets, beginning of year</t>
        </is>
      </c>
      <c r="D66" s="8" t="inlineStr">
        <is>
          <t>Part XI line 4</t>
        </is>
      </c>
      <c r="E66" s="8" t="inlineStr">
        <is>
          <t>part_xi_reconciliation.net_assets_boy</t>
        </is>
      </c>
      <c r="F66" s="8" t="inlineStr">
        <is>
          <t>high</t>
        </is>
      </c>
      <c r="G66" s="9" t="n">
        <v>358801</v>
      </c>
    </row>
    <row r="67">
      <c r="A67" s="8" t="inlineStr">
        <is>
          <t>Net-assets reconciliation</t>
        </is>
      </c>
      <c r="B67" s="8" t="inlineStr">
        <is>
          <t>C7</t>
        </is>
      </c>
      <c r="C67" s="8" t="inlineStr">
        <is>
          <t>4. Net assets, beginning of year</t>
        </is>
      </c>
      <c r="D67" s="8" t="inlineStr">
        <is>
          <t>Part XI line 4</t>
        </is>
      </c>
      <c r="E67" s="8" t="inlineStr">
        <is>
          <t>part_xi_reconciliation.net_assets_boy</t>
        </is>
      </c>
      <c r="F67" s="8" t="inlineStr">
        <is>
          <t>high</t>
        </is>
      </c>
      <c r="G67" s="9" t="n">
        <v>374626</v>
      </c>
    </row>
    <row r="68">
      <c r="A68" s="8" t="inlineStr">
        <is>
          <t>Net-assets reconciliation</t>
        </is>
      </c>
      <c r="B68" s="8" t="inlineStr">
        <is>
          <t>D7</t>
        </is>
      </c>
      <c r="C68" s="8" t="inlineStr">
        <is>
          <t>4. Net assets, beginning of year</t>
        </is>
      </c>
      <c r="D68" s="8" t="inlineStr">
        <is>
          <t>Part XI line 4</t>
        </is>
      </c>
      <c r="E68" s="8" t="inlineStr">
        <is>
          <t>part_xi_reconciliation.net_assets_boy</t>
        </is>
      </c>
      <c r="F68" s="8" t="inlineStr">
        <is>
          <t>high</t>
        </is>
      </c>
      <c r="G68" s="9" t="n">
        <v>367074</v>
      </c>
    </row>
    <row r="69">
      <c r="A69" s="8" t="inlineStr">
        <is>
          <t>Net-assets reconciliation</t>
        </is>
      </c>
      <c r="B69" s="8" t="inlineStr">
        <is>
          <t>E7</t>
        </is>
      </c>
      <c r="C69" s="8" t="inlineStr">
        <is>
          <t>4. Net assets, beginning of year</t>
        </is>
      </c>
      <c r="D69" s="8" t="inlineStr">
        <is>
          <t>Part XI line 4</t>
        </is>
      </c>
      <c r="E69" s="8" t="inlineStr">
        <is>
          <t>part_xi_reconciliation.net_assets_boy</t>
        </is>
      </c>
      <c r="F69" s="8" t="inlineStr">
        <is>
          <t>high</t>
        </is>
      </c>
      <c r="G69" s="9" t="n">
        <v>352011</v>
      </c>
    </row>
    <row r="70">
      <c r="A70" s="8" t="inlineStr">
        <is>
          <t>Net-assets reconciliation</t>
        </is>
      </c>
      <c r="B70" s="8" t="inlineStr">
        <is>
          <t>B8</t>
        </is>
      </c>
      <c r="C70" s="8" t="inlineStr">
        <is>
          <t>3. Revenue less expenses</t>
        </is>
      </c>
      <c r="D70" s="8" t="inlineStr">
        <is>
          <t>Part XI line 3</t>
        </is>
      </c>
      <c r="E70" s="8" t="inlineStr">
        <is>
          <t>part_xi_reconciliation.reconciliation_revenue_expenses</t>
        </is>
      </c>
      <c r="F70" s="8" t="inlineStr">
        <is>
          <t>high</t>
        </is>
      </c>
      <c r="G70" s="9" t="n">
        <v>15825</v>
      </c>
    </row>
    <row r="71">
      <c r="A71" s="8" t="inlineStr">
        <is>
          <t>Net-assets reconciliation</t>
        </is>
      </c>
      <c r="B71" s="8" t="inlineStr">
        <is>
          <t>C8</t>
        </is>
      </c>
      <c r="C71" s="8" t="inlineStr">
        <is>
          <t>3. Revenue less expenses</t>
        </is>
      </c>
      <c r="D71" s="8" t="inlineStr">
        <is>
          <t>Part XI line 3</t>
        </is>
      </c>
      <c r="E71" s="8" t="inlineStr">
        <is>
          <t>part_xi_reconciliation.reconciliation_revenue_expenses</t>
        </is>
      </c>
      <c r="F71" s="8" t="inlineStr">
        <is>
          <t>high</t>
        </is>
      </c>
      <c r="G71" s="9" t="n">
        <v>-7552</v>
      </c>
    </row>
    <row r="72">
      <c r="A72" s="8" t="inlineStr">
        <is>
          <t>Net-assets reconciliation</t>
        </is>
      </c>
      <c r="B72" s="8" t="inlineStr">
        <is>
          <t>D8</t>
        </is>
      </c>
      <c r="C72" s="8" t="inlineStr">
        <is>
          <t>3. Revenue less expenses</t>
        </is>
      </c>
      <c r="D72" s="8" t="inlineStr">
        <is>
          <t>Part XI line 3</t>
        </is>
      </c>
      <c r="E72" s="8" t="inlineStr">
        <is>
          <t>part_xi_reconciliation.reconciliation_revenue_expenses</t>
        </is>
      </c>
      <c r="F72" s="8" t="inlineStr">
        <is>
          <t>high</t>
        </is>
      </c>
      <c r="G72" s="9" t="n">
        <v>-15063</v>
      </c>
    </row>
    <row r="73">
      <c r="A73" s="8" t="inlineStr">
        <is>
          <t>Net-assets reconciliation</t>
        </is>
      </c>
      <c r="B73" s="8" t="inlineStr">
        <is>
          <t>E8</t>
        </is>
      </c>
      <c r="C73" s="8" t="inlineStr">
        <is>
          <t>3. Revenue less expenses</t>
        </is>
      </c>
      <c r="D73" s="8" t="inlineStr">
        <is>
          <t>Part XI line 3</t>
        </is>
      </c>
      <c r="E73" s="8" t="inlineStr">
        <is>
          <t>part_xi_reconciliation.reconciliation_revenue_expenses</t>
        </is>
      </c>
      <c r="F73" s="8" t="inlineStr">
        <is>
          <t>high</t>
        </is>
      </c>
      <c r="G73" s="9" t="n">
        <v>-929</v>
      </c>
    </row>
    <row r="74">
      <c r="A74" s="8" t="inlineStr">
        <is>
          <t>Net-assets reconciliation</t>
        </is>
      </c>
      <c r="B74" s="8" t="inlineStr">
        <is>
          <t>B10</t>
        </is>
      </c>
      <c r="C74" s="8" t="inlineStr">
        <is>
          <t>9. Other changes in net assets</t>
        </is>
      </c>
      <c r="D74" s="8" t="inlineStr">
        <is>
          <t>Part XI line 9</t>
        </is>
      </c>
      <c r="E74" s="8" t="inlineStr">
        <is>
          <t>part_xi_reconciliation.other_changes_net_assets</t>
        </is>
      </c>
      <c r="F74" s="8" t="inlineStr">
        <is>
          <t>high</t>
        </is>
      </c>
      <c r="G74" s="9" t="n">
        <v>0</v>
      </c>
    </row>
    <row r="75">
      <c r="A75" s="8" t="inlineStr">
        <is>
          <t>Net-assets reconciliation</t>
        </is>
      </c>
      <c r="B75" s="8" t="inlineStr">
        <is>
          <t>C10</t>
        </is>
      </c>
      <c r="C75" s="8" t="inlineStr">
        <is>
          <t>9. Other changes in net assets</t>
        </is>
      </c>
      <c r="D75" s="8" t="inlineStr">
        <is>
          <t>Part XI line 9</t>
        </is>
      </c>
      <c r="E75" s="8" t="inlineStr">
        <is>
          <t>part_xi_reconciliation.other_changes_net_assets</t>
        </is>
      </c>
      <c r="F75" s="8" t="inlineStr">
        <is>
          <t>high</t>
        </is>
      </c>
      <c r="G75" s="9" t="n">
        <v>0</v>
      </c>
    </row>
    <row r="76">
      <c r="A76" s="8" t="inlineStr">
        <is>
          <t>Net-assets reconciliation</t>
        </is>
      </c>
      <c r="B76" s="8" t="inlineStr">
        <is>
          <t>D10</t>
        </is>
      </c>
      <c r="C76" s="8" t="inlineStr">
        <is>
          <t>9. Other changes in net assets</t>
        </is>
      </c>
      <c r="D76" s="8" t="inlineStr">
        <is>
          <t>Part XI line 9</t>
        </is>
      </c>
      <c r="E76" s="8" t="inlineStr">
        <is>
          <t>part_xi_reconciliation.other_changes_net_assets</t>
        </is>
      </c>
      <c r="F76" s="8" t="inlineStr">
        <is>
          <t>high</t>
        </is>
      </c>
      <c r="G76" s="9" t="n">
        <v>0</v>
      </c>
    </row>
    <row r="77">
      <c r="A77" s="8" t="inlineStr">
        <is>
          <t>Net-assets reconciliation</t>
        </is>
      </c>
      <c r="B77" s="8" t="inlineStr">
        <is>
          <t>E10</t>
        </is>
      </c>
      <c r="C77" s="8" t="inlineStr">
        <is>
          <t>9. Other changes in net assets</t>
        </is>
      </c>
      <c r="D77" s="8" t="inlineStr">
        <is>
          <t>Part XI line 9</t>
        </is>
      </c>
      <c r="E77" s="8" t="inlineStr">
        <is>
          <t>part_xi_reconciliation.other_changes_net_assets</t>
        </is>
      </c>
      <c r="F77" s="8" t="inlineStr">
        <is>
          <t>high</t>
        </is>
      </c>
      <c r="G77" s="9" t="n">
        <v>0</v>
      </c>
    </row>
    <row r="79">
      <c r="A79" s="29" t="inlineStr">
        <is>
          <t>C. Tie-out checks (filed vs computed; any nonzero variance is flagged red)</t>
        </is>
      </c>
      <c r="B79" s="7" t="n"/>
      <c r="C79" s="7" t="n"/>
      <c r="D79" s="7" t="n"/>
      <c r="E79" s="7" t="n"/>
      <c r="F79" s="7" t="n"/>
      <c r="G79" s="7" t="n"/>
      <c r="H79" s="7" t="n"/>
      <c r="I79" s="7" t="n"/>
      <c r="J79" s="7" t="n"/>
      <c r="K79" s="7" t="n"/>
    </row>
    <row r="80">
      <c r="A80" s="5" t="inlineStr">
        <is>
          <t>Tab</t>
        </is>
      </c>
      <c r="B80" s="5" t="inlineStr">
        <is>
          <t>Check</t>
        </is>
      </c>
      <c r="C80" s="5" t="inlineStr">
        <is>
          <t>Fiscal year</t>
        </is>
      </c>
      <c r="D80" s="5" t="inlineStr">
        <is>
          <t>Filed</t>
        </is>
      </c>
      <c r="E80" s="5" t="inlineStr">
        <is>
          <t>Computed</t>
        </is>
      </c>
      <c r="F80" s="5" t="inlineStr">
        <is>
          <t>Variance (computed - filed)</t>
        </is>
      </c>
    </row>
    <row r="81">
      <c r="A81" s="18" t="inlineStr">
        <is>
          <t>Revenue (detail)</t>
        </is>
      </c>
      <c r="B81" s="18" t="inlineStr">
        <is>
          <t>12. Total revenue</t>
        </is>
      </c>
      <c r="C81" s="18" t="inlineStr">
        <is>
          <t>FY2022</t>
        </is>
      </c>
      <c r="D81" s="9" t="n">
        <v>77965</v>
      </c>
      <c r="E81" s="9">
        <f>'Revenue (detail)'!B13</f>
        <v/>
      </c>
      <c r="F81" s="9">
        <f>E81-D81</f>
        <v/>
      </c>
    </row>
    <row r="82">
      <c r="A82" s="18" t="inlineStr">
        <is>
          <t>Revenue (detail)</t>
        </is>
      </c>
      <c r="B82" s="18" t="inlineStr">
        <is>
          <t>12. Total revenue</t>
        </is>
      </c>
      <c r="C82" s="18" t="inlineStr">
        <is>
          <t>FY2023</t>
        </is>
      </c>
      <c r="D82" s="9" t="n">
        <v>80031</v>
      </c>
      <c r="E82" s="9">
        <f>'Revenue (detail)'!C13</f>
        <v/>
      </c>
      <c r="F82" s="9">
        <f>E82-D82</f>
        <v/>
      </c>
    </row>
    <row r="83">
      <c r="A83" s="18" t="inlineStr">
        <is>
          <t>Revenue (detail)</t>
        </is>
      </c>
      <c r="B83" s="18" t="inlineStr">
        <is>
          <t>12. Total revenue</t>
        </is>
      </c>
      <c r="C83" s="18" t="inlineStr">
        <is>
          <t>FY2024</t>
        </is>
      </c>
      <c r="D83" s="9" t="n">
        <v>0</v>
      </c>
      <c r="E83" s="9">
        <f>'Revenue (detail)'!D13</f>
        <v/>
      </c>
      <c r="F83" s="9">
        <f>E83-D83</f>
        <v/>
      </c>
    </row>
    <row r="84">
      <c r="A84" s="18" t="inlineStr">
        <is>
          <t>Revenue (detail)</t>
        </is>
      </c>
      <c r="B84" s="18" t="inlineStr">
        <is>
          <t>12. Total revenue</t>
        </is>
      </c>
      <c r="C84" s="18" t="inlineStr">
        <is>
          <t>FY2025</t>
        </is>
      </c>
      <c r="D84" s="9" t="n">
        <v>90319</v>
      </c>
      <c r="E84" s="9">
        <f>'Revenue (detail)'!E13</f>
        <v/>
      </c>
      <c r="F84" s="9">
        <f>E84-D84</f>
        <v/>
      </c>
    </row>
    <row r="85">
      <c r="A85" s="18" t="inlineStr">
        <is>
          <t>Revenue (detail)</t>
        </is>
      </c>
      <c r="B85" s="18" t="inlineStr">
        <is>
          <t>2g program service revenue = sum of lines 2a-2f (FY2025)</t>
        </is>
      </c>
      <c r="C85" s="18" t="inlineStr">
        <is>
          <t>FY2025</t>
        </is>
      </c>
      <c r="D85" s="9" t="n">
        <v>90319</v>
      </c>
      <c r="E85" s="9">
        <f>SUM('Revenue (detail)'!C17:C17)</f>
        <v/>
      </c>
      <c r="F85" s="9">
        <f>E85-D85</f>
        <v/>
      </c>
    </row>
    <row r="86">
      <c r="A86" s="18" t="inlineStr">
        <is>
          <t>Operating expenses (detail)</t>
        </is>
      </c>
      <c r="B86" s="18" t="inlineStr">
        <is>
          <t>25. Total functional expenses</t>
        </is>
      </c>
      <c r="C86" s="18" t="inlineStr">
        <is>
          <t>FY2022</t>
        </is>
      </c>
      <c r="D86" s="9" t="n">
        <v>62140</v>
      </c>
      <c r="E86" s="9">
        <f>'Operating expenses (detail)'!B22</f>
        <v/>
      </c>
      <c r="F86" s="9">
        <f>E86-D86</f>
        <v/>
      </c>
    </row>
    <row r="87">
      <c r="A87" s="18" t="inlineStr">
        <is>
          <t>Operating expenses (detail)</t>
        </is>
      </c>
      <c r="B87" s="18" t="inlineStr">
        <is>
          <t>25. Total functional expenses</t>
        </is>
      </c>
      <c r="C87" s="18" t="inlineStr">
        <is>
          <t>FY2023</t>
        </is>
      </c>
      <c r="D87" s="9" t="n">
        <v>87583</v>
      </c>
      <c r="E87" s="9">
        <f>'Operating expenses (detail)'!C22</f>
        <v/>
      </c>
      <c r="F87" s="9">
        <f>E87-D87</f>
        <v/>
      </c>
    </row>
    <row r="88">
      <c r="A88" s="18" t="inlineStr">
        <is>
          <t>Operating expenses (detail)</t>
        </is>
      </c>
      <c r="B88" s="18" t="inlineStr">
        <is>
          <t>25. Total functional expenses</t>
        </is>
      </c>
      <c r="C88" s="18" t="inlineStr">
        <is>
          <t>FY2024</t>
        </is>
      </c>
      <c r="D88" s="9" t="n">
        <v>15063</v>
      </c>
      <c r="E88" s="9">
        <f>'Operating expenses (detail)'!D22</f>
        <v/>
      </c>
      <c r="F88" s="9">
        <f>E88-D88</f>
        <v/>
      </c>
    </row>
    <row r="89">
      <c r="A89" s="18" t="inlineStr">
        <is>
          <t>Operating expenses (detail)</t>
        </is>
      </c>
      <c r="B89" s="18" t="inlineStr">
        <is>
          <t>25. Total functional expenses</t>
        </is>
      </c>
      <c r="C89" s="18" t="inlineStr">
        <is>
          <t>FY2025</t>
        </is>
      </c>
      <c r="D89" s="9" t="n">
        <v>91248</v>
      </c>
      <c r="E89" s="9">
        <f>'Operating expenses (detail)'!E22</f>
        <v/>
      </c>
      <c r="F89" s="9">
        <f>E89-D89</f>
        <v/>
      </c>
    </row>
    <row r="90">
      <c r="A90" s="18" t="inlineStr">
        <is>
          <t>Operating expenses (detail)</t>
        </is>
      </c>
      <c r="B90" s="18" t="inlineStr">
        <is>
          <t>Part IX column split: col A = B + C + D (FY2025)</t>
        </is>
      </c>
      <c r="C90" s="18" t="inlineStr">
        <is>
          <t>FY2025</t>
        </is>
      </c>
      <c r="D90" s="9">
        <f>'Operating expenses (detail)'!B30</f>
        <v/>
      </c>
      <c r="E90" s="9">
        <f>'Operating expenses (detail)'!C30+'Operating expenses (detail)'!D30+'Operating expenses (detail)'!E30</f>
        <v/>
      </c>
      <c r="F90" s="9">
        <f>E90-D90</f>
        <v/>
      </c>
    </row>
    <row r="91">
      <c r="A91" s="18" t="inlineStr">
        <is>
          <t>Balance sheet (detail)</t>
        </is>
      </c>
      <c r="B91" s="18" t="inlineStr">
        <is>
          <t>16. Total assets</t>
        </is>
      </c>
      <c r="C91" s="18" t="inlineStr">
        <is>
          <t>FY2022</t>
        </is>
      </c>
      <c r="D91" s="9" t="n">
        <v>392066</v>
      </c>
      <c r="E91" s="9">
        <f>'Balance sheet (detail)'!B11</f>
        <v/>
      </c>
      <c r="F91" s="9">
        <f>E91-D91</f>
        <v/>
      </c>
    </row>
    <row r="92">
      <c r="A92" s="18" t="inlineStr">
        <is>
          <t>Balance sheet (detail)</t>
        </is>
      </c>
      <c r="B92" s="18" t="inlineStr">
        <is>
          <t>16. Total assets</t>
        </is>
      </c>
      <c r="C92" s="18" t="inlineStr">
        <is>
          <t>FY2023</t>
        </is>
      </c>
      <c r="D92" s="9" t="n">
        <v>371086</v>
      </c>
      <c r="E92" s="9">
        <f>'Balance sheet (detail)'!C11</f>
        <v/>
      </c>
      <c r="F92" s="9">
        <f>E92-D92</f>
        <v/>
      </c>
    </row>
    <row r="93">
      <c r="A93" s="18" t="inlineStr">
        <is>
          <t>Balance sheet (detail)</t>
        </is>
      </c>
      <c r="B93" s="18" t="inlineStr">
        <is>
          <t>16. Total assets</t>
        </is>
      </c>
      <c r="C93" s="18" t="inlineStr">
        <is>
          <t>FY2024</t>
        </is>
      </c>
      <c r="D93" s="9" t="n">
        <v>356585</v>
      </c>
      <c r="E93" s="9">
        <f>'Balance sheet (detail)'!D11</f>
        <v/>
      </c>
      <c r="F93" s="9">
        <f>E93-D93</f>
        <v/>
      </c>
    </row>
    <row r="94">
      <c r="A94" s="18" t="inlineStr">
        <is>
          <t>Balance sheet (detail)</t>
        </is>
      </c>
      <c r="B94" s="18" t="inlineStr">
        <is>
          <t>16. Total assets</t>
        </is>
      </c>
      <c r="C94" s="18" t="inlineStr">
        <is>
          <t>FY2025</t>
        </is>
      </c>
      <c r="D94" s="9" t="n">
        <v>367030</v>
      </c>
      <c r="E94" s="9">
        <f>'Balance sheet (detail)'!E11</f>
        <v/>
      </c>
      <c r="F94" s="9">
        <f>E94-D94</f>
        <v/>
      </c>
    </row>
    <row r="95">
      <c r="A95" s="18" t="inlineStr">
        <is>
          <t>Balance sheet (detail)</t>
        </is>
      </c>
      <c r="B95" s="18" t="inlineStr">
        <is>
          <t>26. Total liabilities</t>
        </is>
      </c>
      <c r="C95" s="18" t="inlineStr">
        <is>
          <t>FY2022</t>
        </is>
      </c>
      <c r="D95" s="9" t="n">
        <v>17440</v>
      </c>
      <c r="E95" s="9">
        <f>'Balance sheet (detail)'!B16</f>
        <v/>
      </c>
      <c r="F95" s="9">
        <f>E95-D95</f>
        <v/>
      </c>
    </row>
    <row r="96">
      <c r="A96" s="18" t="inlineStr">
        <is>
          <t>Balance sheet (detail)</t>
        </is>
      </c>
      <c r="B96" s="18" t="inlineStr">
        <is>
          <t>26. Total liabilities</t>
        </is>
      </c>
      <c r="C96" s="18" t="inlineStr">
        <is>
          <t>FY2023</t>
        </is>
      </c>
      <c r="D96" s="9" t="n">
        <v>4012</v>
      </c>
      <c r="E96" s="9">
        <f>'Balance sheet (detail)'!C16</f>
        <v/>
      </c>
      <c r="F96" s="9">
        <f>E96-D96</f>
        <v/>
      </c>
    </row>
    <row r="97">
      <c r="A97" s="18" t="inlineStr">
        <is>
          <t>Balance sheet (detail)</t>
        </is>
      </c>
      <c r="B97" s="18" t="inlineStr">
        <is>
          <t>26. Total liabilities</t>
        </is>
      </c>
      <c r="C97" s="18" t="inlineStr">
        <is>
          <t>FY2024</t>
        </is>
      </c>
      <c r="D97" s="9" t="n">
        <v>4574</v>
      </c>
      <c r="E97" s="9">
        <f>'Balance sheet (detail)'!D16</f>
        <v/>
      </c>
      <c r="F97" s="9">
        <f>E97-D97</f>
        <v/>
      </c>
    </row>
    <row r="98">
      <c r="A98" s="18" t="inlineStr">
        <is>
          <t>Balance sheet (detail)</t>
        </is>
      </c>
      <c r="B98" s="18" t="inlineStr">
        <is>
          <t>26. Total liabilities</t>
        </is>
      </c>
      <c r="C98" s="18" t="inlineStr">
        <is>
          <t>FY2025</t>
        </is>
      </c>
      <c r="D98" s="9" t="n">
        <v>15948</v>
      </c>
      <c r="E98" s="9">
        <f>'Balance sheet (detail)'!E16</f>
        <v/>
      </c>
      <c r="F98" s="9">
        <f>E98-D98</f>
        <v/>
      </c>
    </row>
    <row r="99">
      <c r="A99" s="18" t="inlineStr">
        <is>
          <t>Balance sheet (detail)</t>
        </is>
      </c>
      <c r="B99" s="18" t="inlineStr">
        <is>
          <t>32. Total net assets / fund balances</t>
        </is>
      </c>
      <c r="C99" s="18" t="inlineStr">
        <is>
          <t>FY2022</t>
        </is>
      </c>
      <c r="D99" s="9" t="n">
        <v>374626</v>
      </c>
      <c r="E99" s="9">
        <f>'Balance sheet (detail)'!B20</f>
        <v/>
      </c>
      <c r="F99" s="9">
        <f>E99-D99</f>
        <v/>
      </c>
    </row>
    <row r="100">
      <c r="A100" s="18" t="inlineStr">
        <is>
          <t>Balance sheet (detail)</t>
        </is>
      </c>
      <c r="B100" s="18" t="inlineStr">
        <is>
          <t>32. Total net assets / fund balances</t>
        </is>
      </c>
      <c r="C100" s="18" t="inlineStr">
        <is>
          <t>FY2023</t>
        </is>
      </c>
      <c r="D100" s="9" t="n">
        <v>367074</v>
      </c>
      <c r="E100" s="9">
        <f>'Balance sheet (detail)'!C20</f>
        <v/>
      </c>
      <c r="F100" s="9">
        <f>E100-D100</f>
        <v/>
      </c>
    </row>
    <row r="101">
      <c r="A101" s="18" t="inlineStr">
        <is>
          <t>Balance sheet (detail)</t>
        </is>
      </c>
      <c r="B101" s="18" t="inlineStr">
        <is>
          <t>32. Total net assets / fund balances</t>
        </is>
      </c>
      <c r="C101" s="18" t="inlineStr">
        <is>
          <t>FY2024</t>
        </is>
      </c>
      <c r="D101" s="9" t="n">
        <v>352011</v>
      </c>
      <c r="E101" s="9">
        <f>'Balance sheet (detail)'!D20</f>
        <v/>
      </c>
      <c r="F101" s="9">
        <f>E101-D101</f>
        <v/>
      </c>
    </row>
    <row r="102">
      <c r="A102" s="18" t="inlineStr">
        <is>
          <t>Balance sheet (detail)</t>
        </is>
      </c>
      <c r="B102" s="18" t="inlineStr">
        <is>
          <t>32. Total net assets / fund balances</t>
        </is>
      </c>
      <c r="C102" s="18" t="inlineStr">
        <is>
          <t>FY2025</t>
        </is>
      </c>
      <c r="D102" s="9" t="n">
        <v>351082</v>
      </c>
      <c r="E102" s="9">
        <f>'Balance sheet (detail)'!E20</f>
        <v/>
      </c>
      <c r="F102" s="9">
        <f>E102-D102</f>
        <v/>
      </c>
    </row>
    <row r="103">
      <c r="A103" s="18" t="inlineStr">
        <is>
          <t>Balance sheet (detail)</t>
        </is>
      </c>
      <c r="B103" s="18" t="inlineStr">
        <is>
          <t>Balance sheet identity: line 16 = line 26 + line 32 (EOY)</t>
        </is>
      </c>
      <c r="C103" s="18" t="inlineStr">
        <is>
          <t>FY2022</t>
        </is>
      </c>
      <c r="D103" s="9">
        <f>'Balance sheet (detail)'!B11</f>
        <v/>
      </c>
      <c r="E103" s="9">
        <f>SUM('Balance sheet (detail)'!B16,'Balance sheet (detail)'!B20)</f>
        <v/>
      </c>
      <c r="F103" s="9">
        <f>E103-D103</f>
        <v/>
      </c>
    </row>
    <row r="104">
      <c r="A104" s="18" t="inlineStr">
        <is>
          <t>Balance sheet (detail)</t>
        </is>
      </c>
      <c r="B104" s="18" t="inlineStr">
        <is>
          <t>Balance sheet identity: line 16 = line 26 + line 32 (EOY)</t>
        </is>
      </c>
      <c r="C104" s="18" t="inlineStr">
        <is>
          <t>FY2023</t>
        </is>
      </c>
      <c r="D104" s="9">
        <f>'Balance sheet (detail)'!C11</f>
        <v/>
      </c>
      <c r="E104" s="9">
        <f>SUM('Balance sheet (detail)'!C16,'Balance sheet (detail)'!C20)</f>
        <v/>
      </c>
      <c r="F104" s="9">
        <f>E104-D104</f>
        <v/>
      </c>
    </row>
    <row r="105">
      <c r="A105" s="18" t="inlineStr">
        <is>
          <t>Balance sheet (detail)</t>
        </is>
      </c>
      <c r="B105" s="18" t="inlineStr">
        <is>
          <t>Balance sheet identity: line 16 = line 26 + line 32 (EOY)</t>
        </is>
      </c>
      <c r="C105" s="18" t="inlineStr">
        <is>
          <t>FY2024</t>
        </is>
      </c>
      <c r="D105" s="9">
        <f>'Balance sheet (detail)'!D11</f>
        <v/>
      </c>
      <c r="E105" s="9">
        <f>SUM('Balance sheet (detail)'!D16,'Balance sheet (detail)'!D20)</f>
        <v/>
      </c>
      <c r="F105" s="9">
        <f>E105-D105</f>
        <v/>
      </c>
    </row>
    <row r="106">
      <c r="A106" s="18" t="inlineStr">
        <is>
          <t>Balance sheet (detail)</t>
        </is>
      </c>
      <c r="B106" s="18" t="inlineStr">
        <is>
          <t>Balance sheet identity: line 16 = line 26 + line 32 (EOY)</t>
        </is>
      </c>
      <c r="C106" s="18" t="inlineStr">
        <is>
          <t>FY2025</t>
        </is>
      </c>
      <c r="D106" s="9">
        <f>'Balance sheet (detail)'!E11</f>
        <v/>
      </c>
      <c r="E106" s="9">
        <f>SUM('Balance sheet (detail)'!E16,'Balance sheet (detail)'!E20)</f>
        <v/>
      </c>
      <c r="F106" s="9">
        <f>E106-D106</f>
        <v/>
      </c>
    </row>
    <row r="107">
      <c r="A107" s="18" t="inlineStr">
        <is>
          <t>Net-assets reconciliation</t>
        </is>
      </c>
      <c r="B107" s="18" t="inlineStr">
        <is>
          <t>10. Net assets, end of year</t>
        </is>
      </c>
      <c r="C107" s="18" t="inlineStr">
        <is>
          <t>FY2022</t>
        </is>
      </c>
      <c r="D107" s="9" t="n">
        <v>374626</v>
      </c>
      <c r="E107" s="9">
        <f>'Net-assets reconciliation'!B11</f>
        <v/>
      </c>
      <c r="F107" s="9">
        <f>E107-D107</f>
        <v/>
      </c>
    </row>
    <row r="108">
      <c r="A108" s="18" t="inlineStr">
        <is>
          <t>Net-assets reconciliation</t>
        </is>
      </c>
      <c r="B108" s="18" t="inlineStr">
        <is>
          <t>10. Net assets, end of year</t>
        </is>
      </c>
      <c r="C108" s="18" t="inlineStr">
        <is>
          <t>FY2023</t>
        </is>
      </c>
      <c r="D108" s="9" t="n">
        <v>367074</v>
      </c>
      <c r="E108" s="9">
        <f>'Net-assets reconciliation'!C11</f>
        <v/>
      </c>
      <c r="F108" s="9">
        <f>E108-D108</f>
        <v/>
      </c>
    </row>
    <row r="109">
      <c r="A109" s="18" t="inlineStr">
        <is>
          <t>Net-assets reconciliation</t>
        </is>
      </c>
      <c r="B109" s="18" t="inlineStr">
        <is>
          <t>10. Net assets, end of year</t>
        </is>
      </c>
      <c r="C109" s="18" t="inlineStr">
        <is>
          <t>FY2024</t>
        </is>
      </c>
      <c r="D109" s="9" t="n">
        <v>352011</v>
      </c>
      <c r="E109" s="9">
        <f>'Net-assets reconciliation'!D11</f>
        <v/>
      </c>
      <c r="F109" s="9">
        <f>E109-D109</f>
        <v/>
      </c>
    </row>
    <row r="110">
      <c r="A110" s="18" t="inlineStr">
        <is>
          <t>Net-assets reconciliation</t>
        </is>
      </c>
      <c r="B110" s="18" t="inlineStr">
        <is>
          <t>10. Net assets, end of year</t>
        </is>
      </c>
      <c r="C110" s="18" t="inlineStr">
        <is>
          <t>FY2025</t>
        </is>
      </c>
      <c r="D110" s="9" t="n">
        <v>351082</v>
      </c>
      <c r="E110" s="9">
        <f>'Net-assets reconciliation'!E11</f>
        <v/>
      </c>
      <c r="F110" s="9">
        <f>E110-D110</f>
        <v/>
      </c>
    </row>
    <row r="112">
      <c r="A112" s="29" t="inlineStr">
        <is>
          <t>D. Preparer / auditor trail (one row per fiscal year, as filed)</t>
        </is>
      </c>
      <c r="B112" s="7" t="n"/>
      <c r="C112" s="7" t="n"/>
      <c r="D112" s="7" t="n"/>
      <c r="E112" s="7" t="n"/>
      <c r="F112" s="7" t="n"/>
      <c r="G112" s="7" t="n"/>
      <c r="H112" s="7" t="n"/>
      <c r="I112" s="7" t="n"/>
      <c r="J112" s="7" t="n"/>
      <c r="K112" s="7" t="n"/>
    </row>
    <row r="113">
      <c r="A113" s="5" t="inlineStr">
        <is>
          <t>Fiscal year</t>
        </is>
      </c>
      <c r="B113" s="5" t="inlineStr">
        <is>
          <t>Paid preparer</t>
        </is>
      </c>
      <c r="C113" s="5" t="inlineStr">
        <is>
          <t>Preparer firm</t>
        </is>
      </c>
      <c r="D113" s="5" t="inlineStr">
        <is>
          <t>Independent auditor</t>
        </is>
      </c>
      <c r="E113" s="5" t="inlineStr">
        <is>
          <t>Citation</t>
        </is>
      </c>
    </row>
    <row r="114" ht="42" customHeight="1">
      <c r="A114" s="27" t="inlineStr">
        <is>
          <t>FY2022</t>
        </is>
      </c>
      <c r="B114" s="8" t="inlineStr">
        <is>
          <t>Holly Ware</t>
        </is>
      </c>
      <c r="C114" s="8" t="inlineStr">
        <is>
          <t>Hollys Accounting &amp; Tax Service</t>
        </is>
      </c>
      <c r="D114" s="30" t="inlineStr">
        <is>
          <t>not reported</t>
        </is>
      </c>
      <c r="E114" s="21" t="inlineStr">
        <is>
          <t>Form 990 Return Header, Paid Preparer block (return_header.preparer_person_name / preparer_firm_name); auditor: Part XII line 2 reports audited financial statements but does not name the firm.</t>
        </is>
      </c>
    </row>
    <row r="115" ht="42" customHeight="1">
      <c r="A115" s="27" t="inlineStr">
        <is>
          <t>FY2023</t>
        </is>
      </c>
      <c r="B115" s="8" t="inlineStr">
        <is>
          <t>Holly Ware</t>
        </is>
      </c>
      <c r="C115" s="8" t="inlineStr">
        <is>
          <t>Hollys Accounting &amp; Tax Service</t>
        </is>
      </c>
      <c r="D115" s="30" t="inlineStr">
        <is>
          <t>not reported</t>
        </is>
      </c>
      <c r="E115" s="21" t="inlineStr">
        <is>
          <t>Form 990 Return Header, Paid Preparer block (return_header.preparer_person_name / preparer_firm_name); auditor: Part XII line 2 reports audited financial statements but does not name the firm.</t>
        </is>
      </c>
    </row>
    <row r="116" ht="42" customHeight="1">
      <c r="A116" s="27" t="inlineStr">
        <is>
          <t>FY2024</t>
        </is>
      </c>
      <c r="B116" s="8" t="inlineStr">
        <is>
          <t>Holly Ware</t>
        </is>
      </c>
      <c r="C116" s="8" t="inlineStr">
        <is>
          <t>Hollys Accounting &amp; Tax Service</t>
        </is>
      </c>
      <c r="D116" s="30" t="inlineStr">
        <is>
          <t>not reported</t>
        </is>
      </c>
      <c r="E116" s="21" t="inlineStr">
        <is>
          <t>Form 990 Return Header, Paid Preparer block (return_header.preparer_person_name / preparer_firm_name); auditor: Part XII line 2 reports audited financial statements but does not name the firm.</t>
        </is>
      </c>
    </row>
    <row r="117" ht="42" customHeight="1">
      <c r="A117" s="27" t="inlineStr">
        <is>
          <t>FY2025</t>
        </is>
      </c>
      <c r="B117" s="8" t="inlineStr">
        <is>
          <t>HOLLY WARE</t>
        </is>
      </c>
      <c r="C117" s="8" t="inlineStr">
        <is>
          <t>Hollys Accounting &amp; Tax Service</t>
        </is>
      </c>
      <c r="D117" s="30" t="inlineStr">
        <is>
          <t>not reported</t>
        </is>
      </c>
      <c r="E117" s="21" t="inlineStr">
        <is>
          <t>Form 990 Return Header, Paid Preparer block (return_header.preparer_person_name / preparer_firm_name); auditor: Part XII line 2 reports audited financial statements but does not name the firm.</t>
        </is>
      </c>
    </row>
    <row r="119" ht="42" customHeight="1">
      <c r="A11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19:K119"/>
    <mergeCell ref="A3:K3"/>
    <mergeCell ref="A2:K2"/>
    <mergeCell ref="A5:K5"/>
    <mergeCell ref="A1:K1"/>
  </mergeCells>
  <conditionalFormatting sqref="F81:F11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