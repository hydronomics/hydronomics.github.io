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Anomaly Flags" sheetId="17" state="visible" r:id="rId17"/>
    <sheet name="Sources &amp; audit" sheetId="18" state="visible" r:id="rId18"/>
    <sheet name="Provenance" sheetId="19" state="visible" r:id="rId19"/>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b val="1"/>
      <color rgb="001F3864"/>
      <sz val="10"/>
    </font>
    <font>
      <name val="Calibri"/>
      <i val="1"/>
      <color rgb="00A6A6A6"/>
      <sz val="10"/>
    </font>
    <font>
      <name val="Calibri"/>
      <i val="1"/>
      <color rgb="007F4F00"/>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DF2D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5" borderId="1" applyAlignment="1" pivotButton="0" quotePrefix="0" xfId="0">
      <alignment horizontal="left" vertical="center"/>
    </xf>
    <xf numFmtId="164" fontId="8" fillId="5" borderId="1" applyAlignment="1" pivotButton="0" quotePrefix="0" xfId="0">
      <alignment horizontal="right"/>
    </xf>
    <xf numFmtId="165" fontId="8" fillId="5" borderId="1" applyAlignment="1" pivotButton="0" quotePrefix="0" xfId="0">
      <alignment horizontal="right"/>
    </xf>
    <xf numFmtId="0" fontId="9" fillId="0" borderId="1" applyAlignment="1" pivotButton="0" quotePrefix="0" xfId="0">
      <alignment horizontal="right"/>
    </xf>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8"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pivotButton="0" quotePrefix="0" xfId="0"/>
    <xf numFmtId="0" fontId="6" fillId="0" borderId="1" applyAlignment="1" pivotButton="0" quotePrefix="0" xfId="0">
      <alignment horizontal="center" vertical="center"/>
    </xf>
    <xf numFmtId="0" fontId="9" fillId="0" borderId="1" applyAlignment="1" pivotButton="0" quotePrefix="0" xfId="0">
      <alignment horizontal="center" vertical="center"/>
    </xf>
    <xf numFmtId="0" fontId="10" fillId="6" borderId="1" applyAlignment="1" pivotButton="0" quotePrefix="0" xfId="0">
      <alignment horizontal="left" vertical="top" wrapText="1"/>
    </xf>
    <xf numFmtId="0" fontId="5" fillId="3" borderId="0" applyAlignment="1" pivotButton="0" quotePrefix="0" xfId="0">
      <alignment horizontal="left" vertical="center"/>
    </xf>
    <xf numFmtId="0" fontId="9"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E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s>
  <sheetData>
    <row r="1">
      <c r="A1" s="1" t="inlineStr">
        <is>
          <t>Lundy Mutual Water Co</t>
        </is>
      </c>
    </row>
    <row r="2">
      <c r="A2" s="2" t="inlineStr">
        <is>
          <t>Financial Summary - multi-year overview (USD)</t>
        </is>
      </c>
    </row>
    <row r="3">
      <c r="A3" s="2" t="inlineStr">
        <is>
          <t>Entity ID: cawc_0180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FY2021</t>
        </is>
      </c>
      <c r="C8" s="5" t="inlineStr">
        <is>
          <t>FY2022</t>
        </is>
      </c>
      <c r="D8" s="5" t="inlineStr">
        <is>
          <t>FY2023</t>
        </is>
      </c>
      <c r="E8" s="5" t="inlineStr">
        <is>
          <t>FY2024</t>
        </is>
      </c>
    </row>
    <row r="9">
      <c r="A9" s="6" t="inlineStr">
        <is>
          <t>Operating results (USD)</t>
        </is>
      </c>
      <c r="B9" s="7" t="n"/>
      <c r="C9" s="7" t="n"/>
      <c r="D9" s="7" t="n"/>
      <c r="E9" s="7" t="n"/>
    </row>
    <row r="10">
      <c r="A10" s="8" t="inlineStr">
        <is>
          <t xml:space="preserve">    Total revenue</t>
        </is>
      </c>
      <c r="B10" s="9" t="n">
        <v>81522</v>
      </c>
      <c r="C10" s="9" t="n">
        <v>81328</v>
      </c>
      <c r="D10" s="9" t="n">
        <v>76944</v>
      </c>
      <c r="E10" s="9" t="n">
        <v>107522</v>
      </c>
    </row>
    <row r="11">
      <c r="A11" s="8" t="inlineStr">
        <is>
          <t xml:space="preserve">    Total expenses</t>
        </is>
      </c>
      <c r="B11" s="9" t="n">
        <v>50826</v>
      </c>
      <c r="C11" s="9" t="n">
        <v>90696</v>
      </c>
      <c r="D11" s="9" t="n">
        <v>72245</v>
      </c>
      <c r="E11" s="9" t="n">
        <v>121879</v>
      </c>
    </row>
    <row r="12">
      <c r="A12" s="10" t="inlineStr">
        <is>
          <t xml:space="preserve">    Net income</t>
        </is>
      </c>
      <c r="B12" s="11" t="n">
        <v>30696</v>
      </c>
      <c r="C12" s="11" t="n">
        <v>-9368</v>
      </c>
      <c r="D12" s="11" t="n">
        <v>4699</v>
      </c>
      <c r="E12" s="11" t="n">
        <v>-14357</v>
      </c>
    </row>
    <row r="14">
      <c r="A14" s="6" t="inlineStr">
        <is>
          <t>Financial position (USD, end of year)</t>
        </is>
      </c>
      <c r="B14" s="7" t="n"/>
      <c r="C14" s="7" t="n"/>
      <c r="D14" s="7" t="n"/>
      <c r="E14" s="7" t="n"/>
    </row>
    <row r="15">
      <c r="A15" s="8" t="inlineStr">
        <is>
          <t xml:space="preserve">    Total assets</t>
        </is>
      </c>
      <c r="B15" s="9" t="n">
        <v>304221</v>
      </c>
      <c r="C15" s="9" t="n">
        <v>291135</v>
      </c>
      <c r="D15" s="9" t="n">
        <v>278527</v>
      </c>
      <c r="E15" s="9" t="n">
        <v>567259</v>
      </c>
    </row>
    <row r="16">
      <c r="A16" s="8" t="inlineStr">
        <is>
          <t xml:space="preserve">    Total liabilities</t>
        </is>
      </c>
      <c r="B16" s="9" t="n">
        <v>0</v>
      </c>
      <c r="C16" s="9" t="n">
        <v>20601</v>
      </c>
      <c r="D16" s="9" t="n">
        <v>3293</v>
      </c>
      <c r="E16" s="9" t="n">
        <v>306382</v>
      </c>
    </row>
    <row r="17">
      <c r="A17" s="10" t="inlineStr">
        <is>
          <t xml:space="preserve">    Net assets</t>
        </is>
      </c>
      <c r="B17" s="11" t="n">
        <v>304221</v>
      </c>
      <c r="C17" s="11" t="n">
        <v>270534</v>
      </c>
      <c r="D17" s="11" t="n">
        <v>275234</v>
      </c>
      <c r="E17" s="11" t="n">
        <v>260877</v>
      </c>
    </row>
    <row r="19">
      <c r="A19" s="6" t="inlineStr">
        <is>
          <t>Headline ratios</t>
        </is>
      </c>
      <c r="B19" s="7" t="n"/>
      <c r="C19" s="7" t="n"/>
      <c r="D19" s="7" t="n"/>
      <c r="E19" s="7" t="n"/>
    </row>
    <row r="20">
      <c r="A20" s="8" t="inlineStr">
        <is>
          <t xml:space="preserve">    Operating margin</t>
        </is>
      </c>
      <c r="B20" s="12" t="n">
        <v>0.3765363950835358</v>
      </c>
      <c r="C20" s="12" t="n">
        <v>-0.1151878811725359</v>
      </c>
      <c r="D20" s="12" t="n">
        <v>0.06107038885423165</v>
      </c>
      <c r="E20" s="12" t="n">
        <v>-0.1335261620877588</v>
      </c>
    </row>
    <row r="21">
      <c r="A21" s="8" t="inlineStr">
        <is>
          <t xml:space="preserve">    Revenue growth (YoY)</t>
        </is>
      </c>
      <c r="B21" s="12" t="n"/>
      <c r="C21" s="12" t="n"/>
      <c r="D21" s="12" t="n"/>
      <c r="E21" s="12" t="n">
        <v>0.3974059055936785</v>
      </c>
    </row>
    <row r="22">
      <c r="A22" s="8" t="inlineStr">
        <is>
          <t xml:space="preserve">    Return on assets</t>
        </is>
      </c>
      <c r="B22" s="12" t="n">
        <v>0.1009003323241985</v>
      </c>
      <c r="C22" s="12" t="n">
        <v>-0.03217751215072046</v>
      </c>
      <c r="D22" s="12" t="n">
        <v>0.01687089581979485</v>
      </c>
      <c r="E22" s="12" t="n">
        <v>-0.02530942655823883</v>
      </c>
    </row>
    <row r="24" ht="42" customHeight="1">
      <c r="A24" s="3" t="inlineStr">
        <is>
          <t>Figures as reported in source filings (full provenance on the Sources &amp; audit tab). Parentheses denote negatives; ratios are computed upstream in financials_annual.</t>
        </is>
      </c>
    </row>
  </sheetData>
  <mergeCells count="6">
    <mergeCell ref="A24:E24"/>
    <mergeCell ref="A2:E2"/>
    <mergeCell ref="A1:E1"/>
    <mergeCell ref="A5:E5"/>
    <mergeCell ref="A6:E6"/>
    <mergeCell ref="A3:E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s>
  <sheetData>
    <row r="1">
      <c r="A1" s="1" t="inlineStr">
        <is>
          <t>Lundy Mutual Water Co</t>
        </is>
      </c>
    </row>
    <row r="2">
      <c r="A2" s="2" t="inlineStr">
        <is>
          <t>Financial Statements - income statement, balance sheet, cash flow, member income test (USD)</t>
        </is>
      </c>
    </row>
    <row r="3">
      <c r="A3" s="2" t="inlineStr">
        <is>
          <t>Entity ID: cawc_0180   |   Fiscal year ends December 31.</t>
        </is>
      </c>
    </row>
    <row r="5">
      <c r="A5" s="6" t="inlineStr">
        <is>
          <t>INCOME STATEMENT - as reported (USD)</t>
        </is>
      </c>
      <c r="B5" s="7" t="n"/>
      <c r="C5" s="7" t="n"/>
      <c r="D5" s="7" t="n"/>
      <c r="E5" s="7" t="n"/>
    </row>
    <row r="6">
      <c r="A6" s="4" t="inlineStr">
        <is>
          <t>Line item</t>
        </is>
      </c>
      <c r="B6" s="5" t="inlineStr">
        <is>
          <t>FY2021</t>
        </is>
      </c>
      <c r="C6" s="5" t="inlineStr">
        <is>
          <t>FY2022</t>
        </is>
      </c>
      <c r="D6" s="5" t="inlineStr">
        <is>
          <t>FY2023</t>
        </is>
      </c>
      <c r="E6" s="5" t="inlineStr">
        <is>
          <t>FY2024</t>
        </is>
      </c>
    </row>
    <row r="7">
      <c r="A7" s="6" t="inlineStr">
        <is>
          <t>Revenue</t>
        </is>
      </c>
      <c r="B7" s="7" t="n"/>
      <c r="C7" s="7" t="n"/>
      <c r="D7" s="7" t="n"/>
      <c r="E7" s="7" t="n"/>
    </row>
    <row r="8">
      <c r="A8" s="8" t="inlineStr">
        <is>
          <t xml:space="preserve">    Program service revenue</t>
        </is>
      </c>
      <c r="B8" s="9" t="n"/>
      <c r="C8" s="9" t="n"/>
      <c r="D8" s="9" t="n"/>
      <c r="E8" s="9" t="n">
        <v>105951</v>
      </c>
    </row>
    <row r="9">
      <c r="A9" s="8" t="inlineStr">
        <is>
          <t xml:space="preserve">    Investment income</t>
        </is>
      </c>
      <c r="B9" s="9" t="n"/>
      <c r="C9" s="9" t="n"/>
      <c r="D9" s="9" t="n"/>
      <c r="E9" s="9" t="n">
        <v>1571</v>
      </c>
    </row>
    <row r="10">
      <c r="A10" s="8" t="inlineStr">
        <is>
          <t xml:space="preserve">    Net rental income</t>
        </is>
      </c>
      <c r="B10" s="9" t="n"/>
      <c r="C10" s="9" t="n"/>
      <c r="D10" s="9" t="n"/>
      <c r="E10" s="9" t="n"/>
    </row>
    <row r="11">
      <c r="A11" s="8" t="inlineStr">
        <is>
          <t xml:space="preserve">    Net gain/(loss) on investment sales</t>
        </is>
      </c>
      <c r="B11" s="9" t="n"/>
      <c r="C11" s="9" t="n"/>
      <c r="D11" s="9" t="n"/>
      <c r="E11" s="9" t="n"/>
    </row>
    <row r="12">
      <c r="A12" s="8" t="inlineStr">
        <is>
          <t xml:space="preserve">    Other revenue</t>
        </is>
      </c>
      <c r="B12" s="9" t="n"/>
      <c r="C12" s="9" t="n"/>
      <c r="D12" s="9" t="n"/>
      <c r="E12" s="9" t="n"/>
    </row>
    <row r="13">
      <c r="A13" s="8" t="inlineStr">
        <is>
          <t xml:space="preserve">    Contributions &amp; grants</t>
        </is>
      </c>
      <c r="B13" s="9" t="n"/>
      <c r="C13" s="9" t="n"/>
      <c r="D13" s="9" t="n"/>
      <c r="E13" s="9" t="n"/>
    </row>
    <row r="14">
      <c r="A14" s="10" t="inlineStr">
        <is>
          <t>Total revenue</t>
        </is>
      </c>
      <c r="B14" s="11" t="n"/>
      <c r="C14" s="11" t="n"/>
      <c r="D14" s="11" t="n"/>
      <c r="E14" s="11" t="n">
        <v>107522</v>
      </c>
    </row>
    <row r="16">
      <c r="A16" s="6" t="inlineStr">
        <is>
          <t>Expenses</t>
        </is>
      </c>
      <c r="B16" s="7" t="n"/>
      <c r="C16" s="7" t="n"/>
      <c r="D16" s="7" t="n"/>
      <c r="E16" s="7" t="n"/>
    </row>
    <row r="17">
      <c r="A17" s="8" t="inlineStr">
        <is>
          <t xml:space="preserve">    Depreciation</t>
        </is>
      </c>
      <c r="B17" s="9" t="n"/>
      <c r="C17" s="9" t="n"/>
      <c r="D17" s="9" t="n"/>
      <c r="E17" s="9" t="n">
        <v>11271</v>
      </c>
    </row>
    <row r="18">
      <c r="A18" s="8" t="inlineStr">
        <is>
          <t xml:space="preserve">    Interest expense</t>
        </is>
      </c>
      <c r="B18" s="9" t="n"/>
      <c r="C18" s="9" t="n"/>
      <c r="D18" s="9" t="n"/>
      <c r="E18" s="9" t="n"/>
    </row>
    <row r="19">
      <c r="A19" s="10" t="inlineStr">
        <is>
          <t>Total expenses</t>
        </is>
      </c>
      <c r="B19" s="11" t="n">
        <v>50826</v>
      </c>
      <c r="C19" s="11" t="n">
        <v>90696</v>
      </c>
      <c r="D19" s="11" t="n">
        <v>72245</v>
      </c>
      <c r="E19" s="11" t="n">
        <v>121879</v>
      </c>
    </row>
    <row r="21">
      <c r="A21" s="10" t="inlineStr">
        <is>
          <t>Net income</t>
        </is>
      </c>
      <c r="B21" s="11" t="n">
        <v>30696</v>
      </c>
      <c r="C21" s="11" t="n">
        <v>-9368</v>
      </c>
      <c r="D21" s="11" t="n">
        <v>4699</v>
      </c>
      <c r="E21" s="11" t="n">
        <v>-14357</v>
      </c>
    </row>
    <row r="24">
      <c r="A24" s="6" t="inlineStr">
        <is>
          <t>BALANCE SHEET - as reported (USD, end of year)</t>
        </is>
      </c>
      <c r="B24" s="7" t="n"/>
      <c r="C24" s="7" t="n"/>
      <c r="D24" s="7" t="n"/>
      <c r="E24" s="7" t="n"/>
    </row>
    <row r="25">
      <c r="A25" s="4" t="inlineStr">
        <is>
          <t>Line item</t>
        </is>
      </c>
      <c r="B25" s="5" t="inlineStr">
        <is>
          <t>FY2021</t>
        </is>
      </c>
      <c r="C25" s="5" t="inlineStr">
        <is>
          <t>FY2022</t>
        </is>
      </c>
      <c r="D25" s="5" t="inlineStr">
        <is>
          <t>FY2023</t>
        </is>
      </c>
      <c r="E25" s="5" t="inlineStr">
        <is>
          <t>FY2024</t>
        </is>
      </c>
    </row>
    <row r="26">
      <c r="A26" s="6" t="inlineStr">
        <is>
          <t>Assets</t>
        </is>
      </c>
      <c r="B26" s="7" t="n"/>
      <c r="C26" s="7" t="n"/>
      <c r="D26" s="7" t="n"/>
      <c r="E26" s="7" t="n"/>
    </row>
    <row r="27">
      <c r="A27" s="8" t="inlineStr">
        <is>
          <t xml:space="preserve">    Cash</t>
        </is>
      </c>
      <c r="B27" s="9" t="n">
        <v>246454</v>
      </c>
      <c r="C27" s="9" t="n">
        <v>248174</v>
      </c>
      <c r="D27" s="9" t="n">
        <v>241752</v>
      </c>
      <c r="E27" s="9" t="n">
        <v>540947</v>
      </c>
    </row>
    <row r="28">
      <c r="A28" s="8" t="inlineStr">
        <is>
          <t xml:space="preserve">    Savings &amp; temporary investments</t>
        </is>
      </c>
      <c r="B28" s="9" t="n"/>
      <c r="C28" s="9" t="n"/>
      <c r="D28" s="9" t="n"/>
      <c r="E28" s="9" t="n"/>
    </row>
    <row r="29">
      <c r="A29" s="8" t="inlineStr">
        <is>
          <t xml:space="preserve">    Accounts receivable</t>
        </is>
      </c>
      <c r="B29" s="9" t="n"/>
      <c r="C29" s="9" t="n"/>
      <c r="D29" s="9" t="n"/>
      <c r="E29" s="9" t="n">
        <v>3251</v>
      </c>
    </row>
    <row r="30">
      <c r="A30" s="8" t="inlineStr">
        <is>
          <t xml:space="preserve">    Inventories</t>
        </is>
      </c>
      <c r="B30" s="9" t="n"/>
      <c r="C30" s="9" t="n"/>
      <c r="D30" s="9" t="n"/>
      <c r="E30" s="9" t="n">
        <v>5402</v>
      </c>
    </row>
    <row r="31">
      <c r="A31" s="8" t="inlineStr">
        <is>
          <t xml:space="preserve">    Prepaid expenses</t>
        </is>
      </c>
      <c r="B31" s="9" t="n"/>
      <c r="C31" s="9" t="n"/>
      <c r="D31" s="9" t="n"/>
      <c r="E31" s="9" t="n"/>
    </row>
    <row r="32">
      <c r="A32" s="8" t="inlineStr">
        <is>
          <t xml:space="preserve">    Property, plant &amp; equipment (gross)</t>
        </is>
      </c>
      <c r="B32" s="9" t="n"/>
      <c r="C32" s="9" t="n"/>
      <c r="D32" s="9" t="n"/>
      <c r="E32" s="9" t="n">
        <v>329863</v>
      </c>
    </row>
    <row r="33">
      <c r="A33" s="8" t="inlineStr">
        <is>
          <t xml:space="preserve">    Less: accumulated depreciation</t>
        </is>
      </c>
      <c r="B33" s="9" t="n"/>
      <c r="C33" s="9" t="n"/>
      <c r="D33" s="9" t="n"/>
      <c r="E33" s="9" t="n">
        <v>-312204</v>
      </c>
    </row>
    <row r="34">
      <c r="A34" s="10" t="inlineStr">
        <is>
          <t xml:space="preserve">    Net property, plant &amp; equipment</t>
        </is>
      </c>
      <c r="B34" s="11" t="n">
        <v>46729</v>
      </c>
      <c r="C34" s="11" t="n">
        <v>33502</v>
      </c>
      <c r="D34" s="11" t="n">
        <v>8318</v>
      </c>
      <c r="E34" s="11" t="n">
        <v>17659</v>
      </c>
    </row>
    <row r="35">
      <c r="A35" s="10" t="inlineStr">
        <is>
          <t>Total assets</t>
        </is>
      </c>
      <c r="B35" s="11" t="n">
        <v>304221</v>
      </c>
      <c r="C35" s="11" t="n">
        <v>291135</v>
      </c>
      <c r="D35" s="11" t="n">
        <v>278527</v>
      </c>
      <c r="E35" s="11" t="n">
        <v>567259</v>
      </c>
    </row>
    <row r="37">
      <c r="A37" s="6" t="inlineStr">
        <is>
          <t>Liabilities</t>
        </is>
      </c>
      <c r="B37" s="7" t="n"/>
      <c r="C37" s="7" t="n"/>
      <c r="D37" s="7" t="n"/>
      <c r="E37" s="7" t="n"/>
    </row>
    <row r="38">
      <c r="A38" s="8" t="inlineStr">
        <is>
          <t xml:space="preserve">    Accounts payable</t>
        </is>
      </c>
      <c r="B38" s="9" t="n"/>
      <c r="C38" s="9" t="n"/>
      <c r="D38" s="9" t="n"/>
      <c r="E38" s="9" t="n">
        <v>15266</v>
      </c>
    </row>
    <row r="39">
      <c r="A39" s="8" t="inlineStr">
        <is>
          <t xml:space="preserve">    Mortgages &amp; notes payable</t>
        </is>
      </c>
      <c r="B39" s="9" t="n"/>
      <c r="C39" s="9" t="n"/>
      <c r="D39" s="9" t="n"/>
      <c r="E39" s="9" t="n"/>
    </row>
    <row r="40">
      <c r="A40" s="10" t="inlineStr">
        <is>
          <t>Total liabilities</t>
        </is>
      </c>
      <c r="B40" s="11" t="n">
        <v>0</v>
      </c>
      <c r="C40" s="11" t="n">
        <v>20601</v>
      </c>
      <c r="D40" s="11" t="n">
        <v>3293</v>
      </c>
      <c r="E40" s="11" t="n">
        <v>306382</v>
      </c>
    </row>
    <row r="42">
      <c r="A42" s="6" t="inlineStr">
        <is>
          <t>Net Assets / Equity</t>
        </is>
      </c>
      <c r="B42" s="7" t="n"/>
      <c r="C42" s="7" t="n"/>
      <c r="D42" s="7" t="n"/>
      <c r="E42" s="7" t="n"/>
    </row>
    <row r="43">
      <c r="A43" s="8" t="inlineStr">
        <is>
          <t xml:space="preserve">    Capital stock</t>
        </is>
      </c>
      <c r="B43" s="9" t="n"/>
      <c r="C43" s="9" t="n"/>
      <c r="D43" s="9" t="n"/>
      <c r="E43" s="9" t="n">
        <v>1210</v>
      </c>
    </row>
    <row r="44">
      <c r="A44" s="8" t="inlineStr">
        <is>
          <t xml:space="preserve">    Paid-in capital</t>
        </is>
      </c>
      <c r="B44" s="9" t="n"/>
      <c r="C44" s="9" t="n"/>
      <c r="D44" s="9" t="n"/>
      <c r="E44" s="9" t="n">
        <v>0</v>
      </c>
    </row>
    <row r="45">
      <c r="A45" s="8" t="inlineStr">
        <is>
          <t xml:space="preserve">    Retained earnings</t>
        </is>
      </c>
      <c r="B45" s="9" t="n"/>
      <c r="C45" s="9" t="n"/>
      <c r="D45" s="9" t="n"/>
      <c r="E45" s="9" t="n">
        <v>259667</v>
      </c>
    </row>
    <row r="46">
      <c r="A46" s="10" t="inlineStr">
        <is>
          <t>Net assets</t>
        </is>
      </c>
      <c r="B46" s="11" t="n">
        <v>304221</v>
      </c>
      <c r="C46" s="11" t="n">
        <v>270534</v>
      </c>
      <c r="D46" s="11" t="n">
        <v>275234</v>
      </c>
      <c r="E46" s="11" t="n">
        <v>260877</v>
      </c>
    </row>
    <row r="49">
      <c r="A49" s="6" t="inlineStr">
        <is>
          <t>CASH FLOW - derived proxy (USD)</t>
        </is>
      </c>
      <c r="B49" s="7" t="n"/>
      <c r="C49" s="7" t="n"/>
      <c r="D49" s="7" t="n"/>
      <c r="E49" s="7" t="n"/>
    </row>
    <row r="50">
      <c r="A50" s="4" t="inlineStr">
        <is>
          <t>Proxy line</t>
        </is>
      </c>
      <c r="B50" s="5" t="inlineStr">
        <is>
          <t>FY2021</t>
        </is>
      </c>
      <c r="C50" s="5" t="inlineStr">
        <is>
          <t>FY2022</t>
        </is>
      </c>
      <c r="D50" s="5" t="inlineStr">
        <is>
          <t>FY2023</t>
        </is>
      </c>
      <c r="E50" s="5" t="inlineStr">
        <is>
          <t>FY2024</t>
        </is>
      </c>
    </row>
    <row r="51">
      <c r="A51" s="6" t="inlineStr">
        <is>
          <t>Operating</t>
        </is>
      </c>
      <c r="B51" s="7" t="n"/>
      <c r="C51" s="7" t="n"/>
      <c r="D51" s="7" t="n"/>
      <c r="E51" s="7" t="n"/>
    </row>
    <row r="52">
      <c r="A52" s="8" t="inlineStr">
        <is>
          <t xml:space="preserve">    Net income</t>
        </is>
      </c>
      <c r="B52" s="9" t="n">
        <v>30696</v>
      </c>
      <c r="C52" s="9" t="n">
        <v>-9368</v>
      </c>
      <c r="D52" s="9" t="n">
        <v>4699</v>
      </c>
      <c r="E52" s="9" t="n">
        <v>-14357</v>
      </c>
    </row>
    <row r="53">
      <c r="A53" s="8" t="inlineStr">
        <is>
          <t xml:space="preserve">    + Depreciation (reported)</t>
        </is>
      </c>
      <c r="B53" s="9" t="n"/>
      <c r="C53" s="9" t="n"/>
      <c r="D53" s="9" t="n"/>
      <c r="E53" s="9" t="n">
        <v>11271</v>
      </c>
    </row>
    <row r="54">
      <c r="A54" s="8" t="inlineStr">
        <is>
          <t xml:space="preserve">    − Δ Accounts receivable</t>
        </is>
      </c>
      <c r="B54" s="9" t="n"/>
      <c r="C54" s="9" t="n"/>
      <c r="D54" s="9" t="n"/>
      <c r="E54" s="9" t="n"/>
    </row>
    <row r="55">
      <c r="A55" s="8" t="inlineStr">
        <is>
          <t xml:space="preserve">    − Δ Inventories</t>
        </is>
      </c>
      <c r="B55" s="9" t="n"/>
      <c r="C55" s="9" t="n"/>
      <c r="D55" s="9" t="n"/>
      <c r="E55" s="9" t="n"/>
    </row>
    <row r="56">
      <c r="A56" s="8" t="inlineStr">
        <is>
          <t xml:space="preserve">    − Δ Prepaid expenses</t>
        </is>
      </c>
      <c r="B56" s="9" t="n"/>
      <c r="C56" s="9" t="n"/>
      <c r="D56" s="9" t="n"/>
      <c r="E56" s="9" t="n"/>
    </row>
    <row r="57">
      <c r="A57" s="8" t="inlineStr">
        <is>
          <t xml:space="preserve">    + Δ Accounts payable</t>
        </is>
      </c>
      <c r="B57" s="9" t="n"/>
      <c r="C57" s="9" t="n"/>
      <c r="D57" s="9" t="n"/>
      <c r="E57" s="9" t="n"/>
    </row>
    <row r="58">
      <c r="A58" s="10" t="inlineStr">
        <is>
          <t xml:space="preserve">    Operating cash flow proxy</t>
        </is>
      </c>
      <c r="B58" s="11" t="n"/>
      <c r="C58" s="11" t="n">
        <v>-9368</v>
      </c>
      <c r="D58" s="11" t="n">
        <v>4699</v>
      </c>
      <c r="E58" s="11" t="n">
        <v>-3086</v>
      </c>
    </row>
    <row r="60">
      <c r="A60" s="6" t="inlineStr">
        <is>
          <t>Investing</t>
        </is>
      </c>
      <c r="B60" s="7" t="n"/>
      <c r="C60" s="7" t="n"/>
      <c r="D60" s="7" t="n"/>
      <c r="E60" s="7" t="n"/>
    </row>
    <row r="61">
      <c r="A61" s="8" t="inlineStr">
        <is>
          <t xml:space="preserve">    − Δ PP&amp;E gross (capex proxy)</t>
        </is>
      </c>
      <c r="B61" s="9" t="n"/>
      <c r="C61" s="9" t="n"/>
      <c r="D61" s="9" t="n"/>
      <c r="E61" s="9" t="n"/>
    </row>
    <row r="63">
      <c r="A63" s="6" t="inlineStr">
        <is>
          <t>Financing</t>
        </is>
      </c>
      <c r="B63" s="7" t="n"/>
      <c r="C63" s="7" t="n"/>
      <c r="D63" s="7" t="n"/>
      <c r="E63" s="7" t="n"/>
    </row>
    <row r="64">
      <c r="A64" s="8" t="inlineStr">
        <is>
          <t xml:space="preserve">    Δ Mortgages &amp; notes payable</t>
        </is>
      </c>
      <c r="B64" s="9" t="n"/>
      <c r="C64" s="9" t="n"/>
      <c r="D64" s="9" t="n"/>
      <c r="E64" s="9" t="n"/>
    </row>
    <row r="66">
      <c r="A66" s="6" t="inlineStr">
        <is>
          <t>Reconciliation</t>
        </is>
      </c>
      <c r="B66" s="7" t="n"/>
      <c r="C66" s="7" t="n"/>
      <c r="D66" s="7" t="n"/>
      <c r="E66" s="7" t="n"/>
    </row>
    <row r="67">
      <c r="A67" s="10" t="inlineStr">
        <is>
          <t xml:space="preserve">    Δ Cash + temp. investments (actual)</t>
        </is>
      </c>
      <c r="B67" s="11" t="n"/>
      <c r="C67" s="11" t="n">
        <v>1720</v>
      </c>
      <c r="D67" s="11" t="n">
        <v>-6422</v>
      </c>
      <c r="E67" s="11" t="n">
        <v>299195</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row>
    <row r="72">
      <c r="A72" s="4" t="inlineStr">
        <is>
          <t>Part V line 11</t>
        </is>
      </c>
      <c r="B72" s="5" t="inlineStr">
        <is>
          <t>FY2024</t>
        </is>
      </c>
    </row>
    <row r="73">
      <c r="A73" s="8" t="inlineStr">
        <is>
          <t xml:space="preserve">    11a. Gross income from members or shareholders</t>
        </is>
      </c>
      <c r="B73" s="9" t="n">
        <v>77544</v>
      </c>
    </row>
    <row r="74">
      <c r="A74" s="8" t="inlineStr">
        <is>
          <t xml:space="preserve">    11b. Gross income from other sources</t>
        </is>
      </c>
      <c r="B74" s="9" t="n">
        <v>29119</v>
      </c>
    </row>
    <row r="75">
      <c r="A75" s="14" t="inlineStr">
        <is>
          <t>Total gross income (11a + 11b)</t>
        </is>
      </c>
      <c r="B75" s="15">
        <f>SUM(B73,B74)</f>
        <v/>
      </c>
    </row>
    <row r="76">
      <c r="A76" s="14" t="inlineStr">
        <is>
          <t>Member income share (11a / total)</t>
        </is>
      </c>
      <c r="B76" s="16">
        <f>IF(B75=0,"",B73/B75)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69:E69"/>
    <mergeCell ref="A78:E78"/>
    <mergeCell ref="A2:E2"/>
    <mergeCell ref="A1:E1"/>
    <mergeCell ref="A3:E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s>
  <sheetData>
    <row r="1">
      <c r="A1" s="1" t="inlineStr">
        <is>
          <t>Lundy Mutual Water Co</t>
        </is>
      </c>
    </row>
    <row r="2">
      <c r="A2" s="2" t="inlineStr">
        <is>
          <t>Balance Sheet - as reported (USD, end of year)</t>
        </is>
      </c>
    </row>
    <row r="3">
      <c r="A3" s="2" t="inlineStr">
        <is>
          <t>Entity ID: cawc_0180   |   Fiscal year ends December 31.</t>
        </is>
      </c>
    </row>
    <row r="5">
      <c r="A5" s="4" t="inlineStr">
        <is>
          <t>Line item</t>
        </is>
      </c>
      <c r="B5" s="5" t="inlineStr">
        <is>
          <t>FY2021</t>
        </is>
      </c>
      <c r="C5" s="5" t="inlineStr">
        <is>
          <t>FY2022</t>
        </is>
      </c>
      <c r="D5" s="5" t="inlineStr">
        <is>
          <t>FY2023</t>
        </is>
      </c>
      <c r="E5" s="5" t="inlineStr">
        <is>
          <t>FY2024</t>
        </is>
      </c>
    </row>
    <row r="6">
      <c r="A6" s="6" t="inlineStr">
        <is>
          <t>Assets</t>
        </is>
      </c>
      <c r="B6" s="7" t="n"/>
      <c r="C6" s="7" t="n"/>
      <c r="D6" s="7" t="n"/>
      <c r="E6" s="7" t="n"/>
    </row>
    <row r="7">
      <c r="A7" s="8" t="inlineStr">
        <is>
          <t xml:space="preserve">    Cash</t>
        </is>
      </c>
      <c r="B7" s="9" t="n">
        <v>246454</v>
      </c>
      <c r="C7" s="9" t="n">
        <v>248174</v>
      </c>
      <c r="D7" s="9" t="n">
        <v>241752</v>
      </c>
      <c r="E7" s="9" t="n">
        <v>540947</v>
      </c>
    </row>
    <row r="8">
      <c r="A8" s="8" t="inlineStr">
        <is>
          <t xml:space="preserve">    Savings &amp; temporary investments</t>
        </is>
      </c>
      <c r="B8" s="9" t="n"/>
      <c r="C8" s="9" t="n"/>
      <c r="D8" s="9" t="n"/>
      <c r="E8" s="9" t="n"/>
    </row>
    <row r="9">
      <c r="A9" s="8" t="inlineStr">
        <is>
          <t xml:space="preserve">    Accounts receivable</t>
        </is>
      </c>
      <c r="B9" s="9" t="n"/>
      <c r="C9" s="9" t="n"/>
      <c r="D9" s="9" t="n"/>
      <c r="E9" s="9" t="n">
        <v>3251</v>
      </c>
    </row>
    <row r="10">
      <c r="A10" s="8" t="inlineStr">
        <is>
          <t xml:space="preserve">    Inventories</t>
        </is>
      </c>
      <c r="B10" s="9" t="n"/>
      <c r="C10" s="9" t="n"/>
      <c r="D10" s="9" t="n"/>
      <c r="E10" s="9" t="n">
        <v>5402</v>
      </c>
    </row>
    <row r="11">
      <c r="A11" s="8" t="inlineStr">
        <is>
          <t xml:space="preserve">    Prepaid expenses</t>
        </is>
      </c>
      <c r="B11" s="9" t="n"/>
      <c r="C11" s="9" t="n"/>
      <c r="D11" s="9" t="n"/>
      <c r="E11" s="9" t="n"/>
    </row>
    <row r="12">
      <c r="A12" s="8" t="inlineStr">
        <is>
          <t xml:space="preserve">    Property, plant &amp; equipment (gross)</t>
        </is>
      </c>
      <c r="B12" s="9" t="n"/>
      <c r="C12" s="9" t="n"/>
      <c r="D12" s="9" t="n"/>
      <c r="E12" s="9" t="n">
        <v>329863</v>
      </c>
    </row>
    <row r="13">
      <c r="A13" s="8" t="inlineStr">
        <is>
          <t xml:space="preserve">    Less: accumulated depreciation</t>
        </is>
      </c>
      <c r="B13" s="9" t="n"/>
      <c r="C13" s="9" t="n"/>
      <c r="D13" s="9" t="n"/>
      <c r="E13" s="9" t="n">
        <v>-312204</v>
      </c>
    </row>
    <row r="14">
      <c r="A14" s="10" t="inlineStr">
        <is>
          <t xml:space="preserve">    Net property, plant &amp; equipment</t>
        </is>
      </c>
      <c r="B14" s="11" t="n">
        <v>46729</v>
      </c>
      <c r="C14" s="11" t="n">
        <v>33502</v>
      </c>
      <c r="D14" s="11" t="n">
        <v>8318</v>
      </c>
      <c r="E14" s="11" t="n">
        <v>17659</v>
      </c>
    </row>
    <row r="15">
      <c r="A15" s="10" t="inlineStr">
        <is>
          <t>Total assets</t>
        </is>
      </c>
      <c r="B15" s="11" t="n">
        <v>304221</v>
      </c>
      <c r="C15" s="11" t="n">
        <v>291135</v>
      </c>
      <c r="D15" s="11" t="n">
        <v>278527</v>
      </c>
      <c r="E15" s="11" t="n">
        <v>567259</v>
      </c>
    </row>
    <row r="17">
      <c r="A17" s="6" t="inlineStr">
        <is>
          <t>Liabilities</t>
        </is>
      </c>
      <c r="B17" s="7" t="n"/>
      <c r="C17" s="7" t="n"/>
      <c r="D17" s="7" t="n"/>
      <c r="E17" s="7" t="n"/>
    </row>
    <row r="18">
      <c r="A18" s="8" t="inlineStr">
        <is>
          <t xml:space="preserve">    Accounts payable</t>
        </is>
      </c>
      <c r="B18" s="9" t="n"/>
      <c r="C18" s="9" t="n"/>
      <c r="D18" s="9" t="n"/>
      <c r="E18" s="9" t="n">
        <v>15266</v>
      </c>
    </row>
    <row r="19">
      <c r="A19" s="8" t="inlineStr">
        <is>
          <t xml:space="preserve">    Mortgages &amp; notes payable</t>
        </is>
      </c>
      <c r="B19" s="9" t="n"/>
      <c r="C19" s="9" t="n"/>
      <c r="D19" s="9" t="n"/>
      <c r="E19" s="9" t="n"/>
    </row>
    <row r="20">
      <c r="A20" s="10" t="inlineStr">
        <is>
          <t>Total liabilities</t>
        </is>
      </c>
      <c r="B20" s="11" t="n">
        <v>0</v>
      </c>
      <c r="C20" s="11" t="n">
        <v>20601</v>
      </c>
      <c r="D20" s="11" t="n">
        <v>3293</v>
      </c>
      <c r="E20" s="11" t="n">
        <v>306382</v>
      </c>
    </row>
    <row r="22">
      <c r="A22" s="6" t="inlineStr">
        <is>
          <t>Net Assets / Equity</t>
        </is>
      </c>
      <c r="B22" s="7" t="n"/>
      <c r="C22" s="7" t="n"/>
      <c r="D22" s="7" t="n"/>
      <c r="E22" s="7" t="n"/>
    </row>
    <row r="23">
      <c r="A23" s="8" t="inlineStr">
        <is>
          <t xml:space="preserve">    Capital stock</t>
        </is>
      </c>
      <c r="B23" s="9" t="n"/>
      <c r="C23" s="9" t="n"/>
      <c r="D23" s="9" t="n"/>
      <c r="E23" s="9" t="n">
        <v>1210</v>
      </c>
    </row>
    <row r="24">
      <c r="A24" s="8" t="inlineStr">
        <is>
          <t xml:space="preserve">    Paid-in capital</t>
        </is>
      </c>
      <c r="B24" s="9" t="n"/>
      <c r="C24" s="9" t="n"/>
      <c r="D24" s="9" t="n"/>
      <c r="E24" s="9" t="n">
        <v>0</v>
      </c>
    </row>
    <row r="25">
      <c r="A25" s="8" t="inlineStr">
        <is>
          <t xml:space="preserve">    Retained earnings</t>
        </is>
      </c>
      <c r="B25" s="9" t="n"/>
      <c r="C25" s="9" t="n"/>
      <c r="D25" s="9" t="n"/>
      <c r="E25" s="9" t="n">
        <v>259667</v>
      </c>
    </row>
    <row r="26">
      <c r="A26" s="10" t="inlineStr">
        <is>
          <t>Net assets</t>
        </is>
      </c>
      <c r="B26" s="11" t="n">
        <v>304221</v>
      </c>
      <c r="C26" s="11" t="n">
        <v>270534</v>
      </c>
      <c r="D26" s="11" t="n">
        <v>275234</v>
      </c>
      <c r="E26" s="11" t="n">
        <v>260877</v>
      </c>
    </row>
    <row r="28">
      <c r="A28" s="8" t="inlineStr">
        <is>
          <t>Balance check (assets − liab. − net assets)</t>
        </is>
      </c>
      <c r="B28" s="9" t="n">
        <v>0</v>
      </c>
      <c r="C28" s="9" t="n">
        <v>0</v>
      </c>
      <c r="D28" s="9" t="n">
        <v>0</v>
      </c>
      <c r="E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2:E2"/>
    <mergeCell ref="A1:E1"/>
    <mergeCell ref="A30:E30"/>
    <mergeCell ref="A3:E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Lundy Mutual Water Co</t>
        </is>
      </c>
    </row>
    <row r="2">
      <c r="A2" s="2" t="inlineStr">
        <is>
          <t>Officers, Directors &amp; Contractors - Form 990 Part VII (FY2024; USD)</t>
        </is>
      </c>
    </row>
    <row r="3">
      <c r="A3" s="2" t="inlineStr">
        <is>
          <t>Entity ID: cawc_0180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D DULEN</t>
        </is>
      </c>
      <c r="B7" s="8" t="inlineStr">
        <is>
          <t>DIR</t>
        </is>
      </c>
      <c r="C7" s="9" t="n">
        <v>0</v>
      </c>
      <c r="D7" s="9" t="n">
        <v>0</v>
      </c>
      <c r="E7" s="9" t="n">
        <v>0</v>
      </c>
      <c r="F7" s="9" t="n">
        <v>0</v>
      </c>
    </row>
    <row r="8">
      <c r="A8" s="8" t="inlineStr">
        <is>
          <t>K SEIBERLING</t>
        </is>
      </c>
      <c r="B8" s="8" t="inlineStr">
        <is>
          <t>VP</t>
        </is>
      </c>
      <c r="C8" s="9" t="n">
        <v>0</v>
      </c>
      <c r="D8" s="9" t="n">
        <v>0</v>
      </c>
      <c r="E8" s="9" t="n">
        <v>0</v>
      </c>
      <c r="F8" s="9" t="n">
        <v>0</v>
      </c>
    </row>
    <row r="9">
      <c r="A9" s="8" t="inlineStr">
        <is>
          <t>M VERBA</t>
        </is>
      </c>
      <c r="B9" s="8" t="inlineStr">
        <is>
          <t>TREAS</t>
        </is>
      </c>
      <c r="C9" s="9" t="n">
        <v>0</v>
      </c>
      <c r="D9" s="9" t="n">
        <v>0</v>
      </c>
      <c r="E9" s="9" t="n">
        <v>0</v>
      </c>
      <c r="F9" s="9" t="n">
        <v>0</v>
      </c>
    </row>
    <row r="10">
      <c r="A10" s="8" t="inlineStr">
        <is>
          <t>T DUBLINO</t>
        </is>
      </c>
      <c r="B10" s="8" t="inlineStr">
        <is>
          <t>PRES</t>
        </is>
      </c>
      <c r="C10" s="9" t="n">
        <v>0</v>
      </c>
      <c r="D10" s="9" t="n">
        <v>0</v>
      </c>
      <c r="E10" s="9" t="n">
        <v>0</v>
      </c>
      <c r="F10" s="9" t="n">
        <v>0</v>
      </c>
    </row>
    <row r="11">
      <c r="A11" s="8" t="inlineStr">
        <is>
          <t>D CARLE</t>
        </is>
      </c>
      <c r="B11" s="8" t="inlineStr">
        <is>
          <t>DIR</t>
        </is>
      </c>
      <c r="C11" s="9" t="n">
        <v>0</v>
      </c>
      <c r="D11" s="9" t="n">
        <v>0</v>
      </c>
      <c r="E11" s="9" t="n">
        <v>0</v>
      </c>
      <c r="F11" s="9" t="n">
        <v>0</v>
      </c>
    </row>
    <row r="13">
      <c r="A13" s="6" t="inlineStr">
        <is>
          <t>Section B - Independent contractors (over $100,000)</t>
        </is>
      </c>
      <c r="B13" s="7" t="n"/>
      <c r="C13" s="7" t="n"/>
      <c r="D13" s="7" t="n"/>
      <c r="E13" s="7" t="n"/>
      <c r="F13" s="7" t="n"/>
    </row>
    <row r="14">
      <c r="A14" s="5" t="inlineStr">
        <is>
          <t>Contractor</t>
        </is>
      </c>
      <c r="B14" s="5" t="inlineStr">
        <is>
          <t>Services</t>
        </is>
      </c>
      <c r="C14" s="5" t="inlineStr">
        <is>
          <t>Compensation</t>
        </is>
      </c>
    </row>
    <row r="16" ht="42" customHeight="1">
      <c r="A16"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6:F16"/>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s>
  <sheetData>
    <row r="1">
      <c r="A1" s="1" t="inlineStr">
        <is>
          <t>Lundy Mutual Water Co</t>
        </is>
      </c>
    </row>
    <row r="2">
      <c r="A2" s="2" t="inlineStr">
        <is>
          <t>Revenue - Form 990 Part VIII (USD)</t>
        </is>
      </c>
    </row>
    <row r="3">
      <c r="A3" s="2" t="inlineStr">
        <is>
          <t>Entity ID: cawc_0180   |   Fiscal year ends December 31.</t>
        </is>
      </c>
    </row>
    <row r="5">
      <c r="A5" s="4" t="inlineStr">
        <is>
          <t>Part VIII line</t>
        </is>
      </c>
      <c r="B5" s="5" t="inlineStr">
        <is>
          <t>FY2024</t>
        </is>
      </c>
    </row>
    <row r="6">
      <c r="A6" s="6" t="inlineStr">
        <is>
          <t>Revenue by category</t>
        </is>
      </c>
      <c r="B6" s="7" t="n"/>
    </row>
    <row r="7">
      <c r="A7" s="8" t="inlineStr">
        <is>
          <t xml:space="preserve">    1h. Total contributions, gifts, grants</t>
        </is>
      </c>
      <c r="B7" s="17" t="inlineStr">
        <is>
          <t>not reported</t>
        </is>
      </c>
    </row>
    <row r="8">
      <c r="A8" s="8" t="inlineStr">
        <is>
          <t xml:space="preserve">    2g. Total program service revenue</t>
        </is>
      </c>
      <c r="B8" s="9" t="n">
        <v>105951</v>
      </c>
    </row>
    <row r="9">
      <c r="A9" s="8" t="inlineStr">
        <is>
          <t xml:space="preserve">    3. Investment income</t>
        </is>
      </c>
      <c r="B9" s="9" t="n">
        <v>1571</v>
      </c>
    </row>
    <row r="10">
      <c r="A10" s="8" t="inlineStr">
        <is>
          <t xml:space="preserve">    6d. Net rental income</t>
        </is>
      </c>
      <c r="B10" s="17" t="inlineStr">
        <is>
          <t>not reported</t>
        </is>
      </c>
    </row>
    <row r="11">
      <c r="A11" s="8" t="inlineStr">
        <is>
          <t xml:space="preserve">    7d. Net gain/(loss) from investment sales</t>
        </is>
      </c>
      <c r="B11" s="17" t="inlineStr">
        <is>
          <t>not reported</t>
        </is>
      </c>
    </row>
    <row r="12">
      <c r="A12" s="8" t="inlineStr">
        <is>
          <t xml:space="preserve">    11e. Other revenue</t>
        </is>
      </c>
      <c r="B12" s="17" t="inlineStr">
        <is>
          <t>not reported</t>
        </is>
      </c>
    </row>
    <row r="13">
      <c r="A13" s="10" t="inlineStr">
        <is>
          <t>12. Total revenue</t>
        </is>
      </c>
      <c r="B13" s="11">
        <f>SUM(B7:B12)</f>
        <v/>
      </c>
    </row>
    <row r="15">
      <c r="A15" s="6" t="inlineStr">
        <is>
          <t>Program service revenue detail - FY2024 (lines 2a-2f)</t>
        </is>
      </c>
      <c r="B15" s="7" t="n"/>
    </row>
    <row r="16">
      <c r="A16" s="5" t="inlineStr">
        <is>
          <t>Description</t>
        </is>
      </c>
      <c r="B16" s="5" t="inlineStr">
        <is>
          <t>Business code</t>
        </is>
      </c>
      <c r="C16" s="5" t="inlineStr">
        <is>
          <t>Total revenue</t>
        </is>
      </c>
    </row>
    <row r="17">
      <c r="A17" s="8" t="inlineStr">
        <is>
          <t>WATER RELATED REVENUES</t>
        </is>
      </c>
      <c r="B17" s="8" t="inlineStr">
        <is>
          <t>221000</t>
        </is>
      </c>
      <c r="C17" s="9" t="n">
        <v>76232</v>
      </c>
    </row>
    <row r="18">
      <c r="A18" s="8" t="inlineStr">
        <is>
          <t>WATER GRABT</t>
        </is>
      </c>
      <c r="B18" s="8" t="inlineStr">
        <is>
          <t>221000</t>
        </is>
      </c>
      <c r="C18" s="9" t="n">
        <v>29119</v>
      </c>
    </row>
    <row r="19">
      <c r="A19" s="8" t="inlineStr">
        <is>
          <t>OTHER</t>
        </is>
      </c>
      <c r="B19" s="8" t="inlineStr">
        <is>
          <t>221000</t>
        </is>
      </c>
      <c r="C19" s="9" t="n">
        <v>600</v>
      </c>
    </row>
    <row r="20" ht="42" customHeight="1">
      <c r="A20"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20:B20"/>
    <mergeCell ref="A3:B3"/>
    <mergeCell ref="A2:B2"/>
    <mergeCell ref="A1:B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s>
  <sheetData>
    <row r="1">
      <c r="A1" s="1" t="inlineStr">
        <is>
          <t>Lundy Mutual Water Co</t>
        </is>
      </c>
    </row>
    <row r="2">
      <c r="A2" s="2" t="inlineStr">
        <is>
          <t>Statement of Functional Expenses - Form 990 Part IX (USD)</t>
        </is>
      </c>
    </row>
    <row r="3">
      <c r="A3" s="2" t="inlineStr">
        <is>
          <t>Entity ID: cawc_0180   |   Fiscal year ends December 31.</t>
        </is>
      </c>
    </row>
    <row r="5">
      <c r="A5" s="4" t="inlineStr">
        <is>
          <t>Part IX line (column A Total)</t>
        </is>
      </c>
      <c r="B5" s="5" t="inlineStr">
        <is>
          <t>FY2024</t>
        </is>
      </c>
    </row>
    <row r="6">
      <c r="A6" s="6" t="inlineStr">
        <is>
          <t>Functional expenses, column A Total - by year</t>
        </is>
      </c>
      <c r="B6" s="7" t="n"/>
    </row>
    <row r="7">
      <c r="A7" s="8" t="inlineStr">
        <is>
          <t xml:space="preserve">    7. Other salaries and wages</t>
        </is>
      </c>
      <c r="B7" s="9" t="n">
        <v>13711</v>
      </c>
    </row>
    <row r="8">
      <c r="A8" s="8" t="inlineStr">
        <is>
          <t xml:space="preserve">    11g. Fees for services: other</t>
        </is>
      </c>
      <c r="B8" s="9" t="n">
        <v>12580</v>
      </c>
    </row>
    <row r="9">
      <c r="A9" s="8" t="inlineStr">
        <is>
          <t xml:space="preserve">    13. Office expenses</t>
        </is>
      </c>
      <c r="B9" s="9" t="n">
        <v>1152</v>
      </c>
    </row>
    <row r="10">
      <c r="A10" s="8" t="inlineStr">
        <is>
          <t xml:space="preserve">    14. Information technology</t>
        </is>
      </c>
      <c r="B10" s="9" t="n">
        <v>1648</v>
      </c>
    </row>
    <row r="11">
      <c r="A11" s="8" t="inlineStr">
        <is>
          <t xml:space="preserve">    16. Occupancy</t>
        </is>
      </c>
      <c r="B11" s="9" t="n">
        <v>14451</v>
      </c>
    </row>
    <row r="12">
      <c r="A12" s="8" t="inlineStr">
        <is>
          <t xml:space="preserve">    17. Travel</t>
        </is>
      </c>
      <c r="B12" s="9" t="n">
        <v>952</v>
      </c>
    </row>
    <row r="13">
      <c r="A13" s="8" t="inlineStr">
        <is>
          <t xml:space="preserve">    22. Depreciation, depletion, and amortization</t>
        </is>
      </c>
      <c r="B13" s="9" t="n">
        <v>11271</v>
      </c>
    </row>
    <row r="14">
      <c r="A14" s="8" t="inlineStr">
        <is>
          <t xml:space="preserve">    23. Insurance</t>
        </is>
      </c>
      <c r="B14" s="9" t="n">
        <v>5073</v>
      </c>
    </row>
    <row r="15">
      <c r="A15" s="8" t="inlineStr">
        <is>
          <t xml:space="preserve">    24. WATER RELATED</t>
        </is>
      </c>
      <c r="B15" s="9" t="n">
        <v>31122</v>
      </c>
    </row>
    <row r="16">
      <c r="A16" s="8" t="inlineStr">
        <is>
          <t xml:space="preserve">    24. GRANT COST</t>
        </is>
      </c>
      <c r="B16" s="9" t="n">
        <v>29119</v>
      </c>
    </row>
    <row r="17">
      <c r="A17" s="8" t="inlineStr">
        <is>
          <t xml:space="preserve">    24. FRANCHISE TAX</t>
        </is>
      </c>
      <c r="B17" s="9" t="n">
        <v>800</v>
      </c>
    </row>
    <row r="18">
      <c r="A18" s="8" t="inlineStr">
        <is>
          <t xml:space="preserve">    24e. All other expenses</t>
        </is>
      </c>
      <c r="B18" s="17" t="inlineStr">
        <is>
          <t>not reported</t>
        </is>
      </c>
    </row>
    <row r="19">
      <c r="A19" s="10" t="inlineStr">
        <is>
          <t>25. Total functional expenses</t>
        </is>
      </c>
      <c r="B19" s="11">
        <f>SUM(B7:B18)</f>
        <v/>
      </c>
    </row>
    <row r="21">
      <c r="A21" s="6" t="inlineStr">
        <is>
          <t>Functional column split - FY2024</t>
        </is>
      </c>
      <c r="B21" s="7" t="n"/>
    </row>
    <row r="22" ht="42" customHeight="1">
      <c r="A22" s="3" t="inlineStr">
        <is>
          <t>Not reported. This filer reports only column A (Total) of Part IX; the program / management / fundraising split (columns B-D) is not filed, so it is left as not reported rather than shown empty or inferred.</t>
        </is>
      </c>
    </row>
    <row r="23" ht="42" customHeight="1">
      <c r="A23"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This filer reports only column A (Total); the program / management / fundraising split (columns B-D) is not reported. Lines this filer does not report are omitted rather than shown empty.</t>
        </is>
      </c>
    </row>
  </sheetData>
  <mergeCells count="5">
    <mergeCell ref="A2:B2"/>
    <mergeCell ref="A1:B1"/>
    <mergeCell ref="A23:B23"/>
    <mergeCell ref="A3:B3"/>
    <mergeCell ref="A22:B2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4"/>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s>
  <sheetData>
    <row r="1">
      <c r="A1" s="1" t="inlineStr">
        <is>
          <t>Lundy Mutual Water Co</t>
        </is>
      </c>
    </row>
    <row r="2">
      <c r="A2" s="2" t="inlineStr">
        <is>
          <t>Balance Sheet - Form 990 Part X (end of year, USD)</t>
        </is>
      </c>
    </row>
    <row r="3">
      <c r="A3" s="2" t="inlineStr">
        <is>
          <t>Entity ID: cawc_0180   |   Fiscal year ends December 31.</t>
        </is>
      </c>
    </row>
    <row r="5">
      <c r="A5" s="4" t="inlineStr">
        <is>
          <t>Part X line (column B, EOY)</t>
        </is>
      </c>
      <c r="B5" s="5" t="inlineStr">
        <is>
          <t>FY2024</t>
        </is>
      </c>
    </row>
    <row r="6">
      <c r="A6" s="6" t="inlineStr">
        <is>
          <t>Assets</t>
        </is>
      </c>
      <c r="B6" s="7" t="n"/>
    </row>
    <row r="7">
      <c r="A7" s="8" t="inlineStr">
        <is>
          <t xml:space="preserve">    1. Cash - non-interest-bearing</t>
        </is>
      </c>
      <c r="B7" s="9" t="n">
        <v>540947</v>
      </c>
    </row>
    <row r="8">
      <c r="A8" s="8" t="inlineStr">
        <is>
          <t xml:space="preserve">    4. Accounts receivable, net</t>
        </is>
      </c>
      <c r="B8" s="9" t="n">
        <v>3251</v>
      </c>
    </row>
    <row r="9">
      <c r="A9" s="8" t="inlineStr">
        <is>
          <t xml:space="preserve">    8. Inventories for sale or use</t>
        </is>
      </c>
      <c r="B9" s="9" t="n">
        <v>5402</v>
      </c>
    </row>
    <row r="10">
      <c r="A10" s="8" t="inlineStr">
        <is>
          <t xml:space="preserve">    10c. Land, buildings, and equipment, net</t>
        </is>
      </c>
      <c r="B10" s="9" t="n">
        <v>17659</v>
      </c>
    </row>
    <row r="11">
      <c r="A11" s="10" t="inlineStr">
        <is>
          <t>16. Total assets</t>
        </is>
      </c>
      <c r="B11" s="11">
        <f>SUM(B7:B10)</f>
        <v/>
      </c>
    </row>
    <row r="13">
      <c r="A13" s="6" t="inlineStr">
        <is>
          <t>Liabilities</t>
        </is>
      </c>
      <c r="B13" s="7" t="n"/>
    </row>
    <row r="14">
      <c r="A14" s="8" t="inlineStr">
        <is>
          <t xml:space="preserve">    17. Accounts payable and accrued expenses</t>
        </is>
      </c>
      <c r="B14" s="9" t="n">
        <v>15266</v>
      </c>
    </row>
    <row r="15">
      <c r="A15" s="8" t="inlineStr">
        <is>
          <t xml:space="preserve">    19. Deferred revenue</t>
        </is>
      </c>
      <c r="B15" s="9" t="n">
        <v>291116</v>
      </c>
    </row>
    <row r="16">
      <c r="A16" s="10" t="inlineStr">
        <is>
          <t>26. Total liabilities</t>
        </is>
      </c>
      <c r="B16" s="11">
        <f>SUM(B14:B15)</f>
        <v/>
      </c>
    </row>
    <row r="18">
      <c r="A18" s="6" t="inlineStr">
        <is>
          <t>Net assets / fund balances</t>
        </is>
      </c>
      <c r="B18" s="7" t="n"/>
    </row>
    <row r="19">
      <c r="A19" s="8" t="inlineStr">
        <is>
          <t xml:space="preserve">    29. Capital stock or trust principal</t>
        </is>
      </c>
      <c r="B19" s="9" t="n">
        <v>1210</v>
      </c>
    </row>
    <row r="20">
      <c r="A20" s="8" t="inlineStr">
        <is>
          <t xml:space="preserve">    30. Paid-in or capital surplus</t>
        </is>
      </c>
      <c r="B20" s="9" t="n">
        <v>0</v>
      </c>
    </row>
    <row r="21">
      <c r="A21" s="8" t="inlineStr">
        <is>
          <t xml:space="preserve">    31. Retained earnings / accumulated funds</t>
        </is>
      </c>
      <c r="B21" s="9" t="n">
        <v>259667</v>
      </c>
    </row>
    <row r="22">
      <c r="A22" s="10" t="inlineStr">
        <is>
          <t>32. Total net assets / fund balances</t>
        </is>
      </c>
      <c r="B22" s="11">
        <f>SUM(B19:B21)</f>
        <v/>
      </c>
    </row>
    <row r="24" ht="42" customHeight="1">
      <c r="A24"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B3"/>
    <mergeCell ref="A2:B2"/>
    <mergeCell ref="A1:B1"/>
    <mergeCell ref="A24:B2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s>
  <sheetData>
    <row r="1">
      <c r="A1" s="1" t="inlineStr">
        <is>
          <t>Lundy Mutual Water Co</t>
        </is>
      </c>
    </row>
    <row r="2">
      <c r="A2" s="2" t="inlineStr">
        <is>
          <t>Reconciliation of Net Assets - Form 990 Part XI (USD)</t>
        </is>
      </c>
    </row>
    <row r="3">
      <c r="A3" s="2" t="inlineStr">
        <is>
          <t>Entity ID: cawc_0180   |   Fiscal year ends December 31.</t>
        </is>
      </c>
    </row>
    <row r="5">
      <c r="A5" s="4" t="inlineStr">
        <is>
          <t>Part XI line</t>
        </is>
      </c>
      <c r="B5" s="5" t="inlineStr">
        <is>
          <t>FY2024</t>
        </is>
      </c>
    </row>
    <row r="6">
      <c r="A6" s="6" t="inlineStr">
        <is>
          <t>Reconciliation</t>
        </is>
      </c>
      <c r="B6" s="7" t="n"/>
    </row>
    <row r="7">
      <c r="A7" s="8" t="inlineStr">
        <is>
          <t xml:space="preserve">    4. Net assets, beginning of year</t>
        </is>
      </c>
      <c r="B7" s="9" t="n">
        <v>275234</v>
      </c>
    </row>
    <row r="8">
      <c r="A8" s="8" t="inlineStr">
        <is>
          <t xml:space="preserve">    3. Revenue less expenses</t>
        </is>
      </c>
      <c r="B8" s="9" t="n">
        <v>-14357</v>
      </c>
    </row>
    <row r="9">
      <c r="A9" s="8" t="inlineStr">
        <is>
          <t xml:space="preserve">    8. Prior period adjustments</t>
        </is>
      </c>
      <c r="B9" s="17" t="inlineStr">
        <is>
          <t>not reported</t>
        </is>
      </c>
    </row>
    <row r="10">
      <c r="A10" s="8" t="inlineStr">
        <is>
          <t xml:space="preserve">    9. Other changes in net assets</t>
        </is>
      </c>
      <c r="B10" s="9" t="n">
        <v>0</v>
      </c>
    </row>
    <row r="11">
      <c r="A11" s="10" t="inlineStr">
        <is>
          <t>10. Net assets, end of year</t>
        </is>
      </c>
      <c r="B11" s="11">
        <f>SUM(B7,B8,B9,B10)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B13"/>
    <mergeCell ref="A3:B3"/>
    <mergeCell ref="A2:B2"/>
    <mergeCell ref="A1:B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s>
  <sheetData>
    <row r="1">
      <c r="A1" s="1" t="inlineStr">
        <is>
          <t>Lundy Mutual Water Co</t>
        </is>
      </c>
    </row>
    <row r="2">
      <c r="A2" s="2" t="inlineStr">
        <is>
          <t>Cash Flow Proxies - derived (USD)</t>
        </is>
      </c>
    </row>
    <row r="3">
      <c r="A3" s="2" t="inlineStr">
        <is>
          <t>Entity ID: cawc_0180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FY2021</t>
        </is>
      </c>
      <c r="C7" s="5" t="inlineStr">
        <is>
          <t>FY2022</t>
        </is>
      </c>
      <c r="D7" s="5" t="inlineStr">
        <is>
          <t>FY2023</t>
        </is>
      </c>
      <c r="E7" s="5" t="inlineStr">
        <is>
          <t>FY2024</t>
        </is>
      </c>
    </row>
    <row r="8">
      <c r="A8" s="6" t="inlineStr">
        <is>
          <t>Operating</t>
        </is>
      </c>
      <c r="B8" s="7" t="n"/>
      <c r="C8" s="7" t="n"/>
      <c r="D8" s="7" t="n"/>
      <c r="E8" s="7" t="n"/>
    </row>
    <row r="9">
      <c r="A9" s="8" t="inlineStr">
        <is>
          <t xml:space="preserve">    Net income</t>
        </is>
      </c>
      <c r="B9" s="9" t="n">
        <v>30696</v>
      </c>
      <c r="C9" s="9" t="n">
        <v>-9368</v>
      </c>
      <c r="D9" s="9" t="n">
        <v>4699</v>
      </c>
      <c r="E9" s="9" t="n">
        <v>-14357</v>
      </c>
    </row>
    <row r="10">
      <c r="A10" s="8" t="inlineStr">
        <is>
          <t xml:space="preserve">    + Depreciation (reported)</t>
        </is>
      </c>
      <c r="B10" s="9" t="n"/>
      <c r="C10" s="9" t="n"/>
      <c r="D10" s="9" t="n"/>
      <c r="E10" s="9" t="n">
        <v>11271</v>
      </c>
    </row>
    <row r="11">
      <c r="A11" s="8" t="inlineStr">
        <is>
          <t xml:space="preserve">    − Δ Accounts receivable</t>
        </is>
      </c>
      <c r="B11" s="9" t="n"/>
      <c r="C11" s="9" t="n"/>
      <c r="D11" s="9" t="n"/>
      <c r="E11" s="9" t="n"/>
    </row>
    <row r="12">
      <c r="A12" s="8" t="inlineStr">
        <is>
          <t xml:space="preserve">    − Δ Inventories</t>
        </is>
      </c>
      <c r="B12" s="9" t="n"/>
      <c r="C12" s="9" t="n"/>
      <c r="D12" s="9" t="n"/>
      <c r="E12" s="9" t="n"/>
    </row>
    <row r="13">
      <c r="A13" s="8" t="inlineStr">
        <is>
          <t xml:space="preserve">    − Δ Prepaid expenses</t>
        </is>
      </c>
      <c r="B13" s="9" t="n"/>
      <c r="C13" s="9" t="n"/>
      <c r="D13" s="9" t="n"/>
      <c r="E13" s="9" t="n"/>
    </row>
    <row r="14">
      <c r="A14" s="8" t="inlineStr">
        <is>
          <t xml:space="preserve">    + Δ Accounts payable</t>
        </is>
      </c>
      <c r="B14" s="9" t="n"/>
      <c r="C14" s="9" t="n"/>
      <c r="D14" s="9" t="n"/>
      <c r="E14" s="9" t="n"/>
    </row>
    <row r="15">
      <c r="A15" s="10" t="inlineStr">
        <is>
          <t xml:space="preserve">    Operating cash flow proxy</t>
        </is>
      </c>
      <c r="B15" s="11" t="n"/>
      <c r="C15" s="11" t="n">
        <v>-9368</v>
      </c>
      <c r="D15" s="11" t="n">
        <v>4699</v>
      </c>
      <c r="E15" s="11" t="n">
        <v>-3086</v>
      </c>
    </row>
    <row r="17">
      <c r="A17" s="6" t="inlineStr">
        <is>
          <t>Investing</t>
        </is>
      </c>
      <c r="B17" s="7" t="n"/>
      <c r="C17" s="7" t="n"/>
      <c r="D17" s="7" t="n"/>
      <c r="E17" s="7" t="n"/>
    </row>
    <row r="18">
      <c r="A18" s="8" t="inlineStr">
        <is>
          <t xml:space="preserve">    − Δ PP&amp;E gross (capex proxy)</t>
        </is>
      </c>
      <c r="B18" s="9" t="n"/>
      <c r="C18" s="9" t="n"/>
      <c r="D18" s="9" t="n"/>
      <c r="E18" s="9" t="n"/>
    </row>
    <row r="20">
      <c r="A20" s="6" t="inlineStr">
        <is>
          <t>Financing</t>
        </is>
      </c>
      <c r="B20" s="7" t="n"/>
      <c r="C20" s="7" t="n"/>
      <c r="D20" s="7" t="n"/>
      <c r="E20" s="7" t="n"/>
    </row>
    <row r="21">
      <c r="A21" s="8" t="inlineStr">
        <is>
          <t xml:space="preserve">    Δ Mortgages &amp; notes payable</t>
        </is>
      </c>
      <c r="B21" s="9" t="n"/>
      <c r="C21" s="9" t="n"/>
      <c r="D21" s="9" t="n"/>
      <c r="E21" s="9" t="n"/>
    </row>
    <row r="23">
      <c r="A23" s="6" t="inlineStr">
        <is>
          <t>Reconciliation</t>
        </is>
      </c>
      <c r="B23" s="7" t="n"/>
      <c r="C23" s="7" t="n"/>
      <c r="D23" s="7" t="n"/>
      <c r="E23" s="7" t="n"/>
    </row>
    <row r="24">
      <c r="A24" s="10" t="inlineStr">
        <is>
          <t xml:space="preserve">    Δ Cash + temp. investments (actual)</t>
        </is>
      </c>
      <c r="B24" s="11" t="n"/>
      <c r="C24" s="11" t="n">
        <v>1720</v>
      </c>
      <c r="D24" s="11" t="n">
        <v>-6422</v>
      </c>
      <c r="E24" s="11" t="n">
        <v>299195</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6:E26"/>
    <mergeCell ref="A2:E2"/>
    <mergeCell ref="A1:E1"/>
    <mergeCell ref="A5:E5"/>
    <mergeCell ref="A3:E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s>
  <sheetData>
    <row r="1">
      <c r="A1" s="1" t="inlineStr">
        <is>
          <t>Lundy Mutual Water Co</t>
        </is>
      </c>
    </row>
    <row r="2">
      <c r="A2" s="2" t="inlineStr">
        <is>
          <t>Financial Ratios</t>
        </is>
      </c>
    </row>
    <row r="3">
      <c r="A3" s="2" t="inlineStr">
        <is>
          <t>Entity ID: cawc_0180   |   Fiscal year ends December 31.</t>
        </is>
      </c>
    </row>
    <row r="5">
      <c r="A5" s="4" t="inlineStr">
        <is>
          <t>Ratio</t>
        </is>
      </c>
      <c r="B5" s="5" t="inlineStr">
        <is>
          <t>FY2021</t>
        </is>
      </c>
      <c r="C5" s="5" t="inlineStr">
        <is>
          <t>FY2022</t>
        </is>
      </c>
      <c r="D5" s="5" t="inlineStr">
        <is>
          <t>FY2023</t>
        </is>
      </c>
      <c r="E5" s="5" t="inlineStr">
        <is>
          <t>FY2024</t>
        </is>
      </c>
    </row>
    <row r="6">
      <c r="A6" s="6" t="inlineStr">
        <is>
          <t>Profitability (computed upstream)</t>
        </is>
      </c>
      <c r="B6" s="7" t="n"/>
      <c r="C6" s="7" t="n"/>
      <c r="D6" s="7" t="n"/>
      <c r="E6" s="7" t="n"/>
    </row>
    <row r="7">
      <c r="A7" s="8" t="inlineStr">
        <is>
          <t xml:space="preserve">    Operating margin (NI / revenue)</t>
        </is>
      </c>
      <c r="B7" s="12" t="n">
        <v>0.3765363950835358</v>
      </c>
      <c r="C7" s="12" t="n">
        <v>-0.1151878811725359</v>
      </c>
      <c r="D7" s="12" t="n">
        <v>0.06107038885423165</v>
      </c>
      <c r="E7" s="12" t="n">
        <v>-0.1335261620877588</v>
      </c>
    </row>
    <row r="8">
      <c r="A8" s="8" t="inlineStr">
        <is>
          <t xml:space="preserve">    Expense ratio (expenses / revenue)</t>
        </is>
      </c>
      <c r="B8" s="12" t="n">
        <v>0.6234636049164642</v>
      </c>
      <c r="C8" s="12" t="n">
        <v>1.115187881172536</v>
      </c>
      <c r="D8" s="12" t="n">
        <v>0.9389296111457683</v>
      </c>
      <c r="E8" s="12" t="n">
        <v>1.133526162087759</v>
      </c>
    </row>
    <row r="9">
      <c r="A9" s="8" t="inlineStr">
        <is>
          <t xml:space="preserve">    Return on assets (NI / assets)</t>
        </is>
      </c>
      <c r="B9" s="12" t="n">
        <v>0.1009003323241985</v>
      </c>
      <c r="C9" s="12" t="n">
        <v>-0.03217751215072046</v>
      </c>
      <c r="D9" s="12" t="n">
        <v>0.01687089581979485</v>
      </c>
      <c r="E9" s="12" t="n">
        <v>-0.02530942655823883</v>
      </c>
    </row>
    <row r="10">
      <c r="A10" s="8" t="inlineStr">
        <is>
          <t xml:space="preserve">    Revenue growth (YoY)</t>
        </is>
      </c>
      <c r="B10" s="12" t="n"/>
      <c r="C10" s="12" t="n"/>
      <c r="D10" s="12" t="n"/>
      <c r="E10" s="12" t="n">
        <v>0.3974059055936785</v>
      </c>
    </row>
    <row r="12">
      <c r="A12" s="6" t="inlineStr">
        <is>
          <t>Leverage &amp; solvency</t>
        </is>
      </c>
      <c r="B12" s="7" t="n"/>
      <c r="C12" s="7" t="n"/>
      <c r="D12" s="7" t="n"/>
      <c r="E12" s="7" t="n"/>
    </row>
    <row r="13">
      <c r="A13" s="8" t="inlineStr">
        <is>
          <t xml:space="preserve">    Debt-to-assets (liab. / assets)</t>
        </is>
      </c>
      <c r="B13" s="12" t="n">
        <v>0</v>
      </c>
      <c r="C13" s="12" t="n">
        <v>0.0707609871709001</v>
      </c>
      <c r="D13" s="12" t="n">
        <v>0.01182291124379324</v>
      </c>
      <c r="E13" s="12" t="n">
        <v>0.5401095443174987</v>
      </c>
    </row>
    <row r="14">
      <c r="A14" s="8" t="inlineStr">
        <is>
          <t xml:space="preserve">    Equity ratio (net assets / assets)</t>
        </is>
      </c>
      <c r="B14" s="12" t="n">
        <v>1</v>
      </c>
      <c r="C14" s="12" t="n">
        <v>0.9292390128290999</v>
      </c>
      <c r="D14" s="12" t="n">
        <v>0.9881770887562068</v>
      </c>
      <c r="E14" s="12" t="n">
        <v>0.4598904556825013</v>
      </c>
    </row>
    <row r="16">
      <c r="A16" s="6" t="inlineStr">
        <is>
          <t>Liquidity &amp; asset profile (derived here)</t>
        </is>
      </c>
      <c r="B16" s="7" t="n"/>
      <c r="C16" s="7" t="n"/>
      <c r="D16" s="7" t="n"/>
      <c r="E16" s="7" t="n"/>
    </row>
    <row r="17">
      <c r="A17" s="8" t="inlineStr">
        <is>
          <t xml:space="preserve">    Current ratio (current assets / AP)</t>
        </is>
      </c>
      <c r="B17" s="18" t="n"/>
      <c r="C17" s="18" t="n"/>
      <c r="D17" s="18" t="n"/>
      <c r="E17" s="18" t="n">
        <v>36.00157212105332</v>
      </c>
    </row>
    <row r="18">
      <c r="A18" s="8" t="inlineStr">
        <is>
          <t xml:space="preserve">    Cash ratio ((cash+temp inv.) / total liab.)</t>
        </is>
      </c>
      <c r="B18" s="18" t="n"/>
      <c r="C18" s="18" t="n">
        <v>12.04669676229309</v>
      </c>
      <c r="D18" s="18" t="n">
        <v>73.41390829031279</v>
      </c>
      <c r="E18" s="18" t="n">
        <v>1.765596542877845</v>
      </c>
    </row>
    <row r="19">
      <c r="A19" s="8" t="inlineStr">
        <is>
          <t xml:space="preserve">    Asset age proxy (accum. deprec. / gross PP&amp;E)</t>
        </is>
      </c>
      <c r="B19" s="12" t="n"/>
      <c r="C19" s="12" t="n"/>
      <c r="D19" s="12" t="n"/>
      <c r="E19" s="12" t="n">
        <v>0.9464656539229923</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E2"/>
    <mergeCell ref="A21:E21"/>
    <mergeCell ref="A1:E1"/>
    <mergeCell ref="A3:E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Lundy Mutual Water Co</t>
        </is>
      </c>
    </row>
    <row r="2">
      <c r="A2" s="2" t="inlineStr">
        <is>
          <t>Unit economics - per-customer revenue by category (USD)</t>
        </is>
      </c>
    </row>
    <row r="3">
      <c r="A3" s="2" t="inlineStr">
        <is>
          <t>Entity ID: cawc_0180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19" t="inlineStr">
        <is>
          <t>Per-customer denominator (service connections)</t>
        </is>
      </c>
      <c r="B6" s="20" t="n"/>
      <c r="C6" s="21" t="inlineStr">
        <is>
          <t>State Water Board eAR Section 4</t>
        </is>
      </c>
    </row>
    <row r="7">
      <c r="A7" s="19" t="inlineStr">
        <is>
          <t>Total annual revenue (eAR Section 8b B1.8)</t>
        </is>
      </c>
      <c r="B7" s="20" t="n"/>
      <c r="C7" s="21" t="inlineStr">
        <is>
          <t>eAR Section 8b total annual revenue not reported for this system.</t>
        </is>
      </c>
    </row>
    <row r="8">
      <c r="A8" s="19" t="inlineStr">
        <is>
          <t>Primary source</t>
        </is>
      </c>
      <c r="B8" s="20" t="inlineStr"/>
      <c r="C8" s="21"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2" t="inlineStr">
        <is>
          <t>not reported</t>
        </is>
      </c>
      <c r="C12" s="23" t="inlineStr">
        <is>
          <t>not reported</t>
        </is>
      </c>
      <c r="D12" s="23" t="inlineStr">
        <is>
          <t>not reported</t>
        </is>
      </c>
      <c r="E12" s="23" t="inlineStr">
        <is>
          <t>not reported</t>
        </is>
      </c>
    </row>
    <row r="13">
      <c r="A13" s="8" t="inlineStr">
        <is>
          <t>Assessment revenue (990 program-service revenue not matched to eAR water-rate revenue)</t>
        </is>
      </c>
      <c r="B13" s="22" t="inlineStr">
        <is>
          <t>IMPOSSIBLE</t>
        </is>
      </c>
      <c r="C13" s="23" t="inlineStr">
        <is>
          <t>IMPOSSIBLE</t>
        </is>
      </c>
      <c r="D13" s="23" t="inlineStr">
        <is>
          <t>IMPOSSIBLE</t>
        </is>
      </c>
      <c r="E13" s="23" t="inlineStr">
        <is>
          <t>IMPOSSIBLE</t>
        </is>
      </c>
    </row>
    <row r="14">
      <c r="A14" s="8" t="inlineStr">
        <is>
          <t>Meter revenue</t>
        </is>
      </c>
      <c r="B14" s="22" t="inlineStr">
        <is>
          <t>not reported</t>
        </is>
      </c>
      <c r="C14" s="23" t="inlineStr">
        <is>
          <t>not reported</t>
        </is>
      </c>
      <c r="D14" s="23" t="inlineStr">
        <is>
          <t>not reported</t>
        </is>
      </c>
      <c r="E14" s="23" t="inlineStr">
        <is>
          <t>not reported</t>
        </is>
      </c>
    </row>
    <row r="15">
      <c r="A15" s="8" t="inlineStr">
        <is>
          <t>Overage or tiered penalty revenue</t>
        </is>
      </c>
      <c r="B15" s="22" t="inlineStr">
        <is>
          <t>not reported</t>
        </is>
      </c>
      <c r="C15" s="23" t="inlineStr">
        <is>
          <t>not reported</t>
        </is>
      </c>
      <c r="D15" s="23" t="inlineStr">
        <is>
          <t>not reported</t>
        </is>
      </c>
      <c r="E15" s="23"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Lundy Mutual Water Co</t>
        </is>
      </c>
    </row>
    <row r="2">
      <c r="A2" s="2" t="inlineStr">
        <is>
          <t>Rate structure and representative bill - eAR Section 8a</t>
        </is>
      </c>
    </row>
    <row r="3">
      <c r="A3" s="2" t="inlineStr">
        <is>
          <t>Entity ID: cawc_0180   |   Fiscal year ends December 31.</t>
        </is>
      </c>
    </row>
    <row r="5" ht="81" customHeight="1">
      <c r="A5" s="24"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8"/>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Lundy Mutual Water Co</t>
        </is>
      </c>
    </row>
    <row r="2">
      <c r="A2" s="2" t="inlineStr">
        <is>
          <t>Operational metrics - plant per acre, density, terrain</t>
        </is>
      </c>
    </row>
    <row r="3">
      <c r="A3" s="2" t="inlineStr">
        <is>
          <t>Entity ID: cawc_0180   |   Fiscal year ends December 31.</t>
        </is>
      </c>
    </row>
    <row r="5">
      <c r="A5" s="6" t="inlineStr">
        <is>
          <t>Plant assets per acre</t>
        </is>
      </c>
      <c r="B5" s="7" t="n"/>
      <c r="C5" s="7" t="n"/>
    </row>
    <row r="6">
      <c r="A6" s="19" t="inlineStr">
        <is>
          <t>Service-area acres</t>
        </is>
      </c>
      <c r="B6" s="25" t="n">
        <v>45</v>
      </c>
      <c r="C6" s="21" t="inlineStr">
        <is>
          <t>Geodesic area (WGS84 spherical excess) of the SABL service-area polygon.</t>
        </is>
      </c>
    </row>
    <row r="7">
      <c r="A7" s="5" t="inlineStr">
        <is>
          <t>Fiscal year</t>
        </is>
      </c>
      <c r="B7" s="5" t="inlineStr">
        <is>
          <t>Gross plant per acre (primary)</t>
        </is>
      </c>
      <c r="C7" s="5" t="inlineStr">
        <is>
          <t>Net plant per acre</t>
        </is>
      </c>
    </row>
    <row r="8">
      <c r="A8" s="26" t="inlineStr">
        <is>
          <t>FY2021</t>
        </is>
      </c>
      <c r="B8" s="9" t="n"/>
      <c r="C8" s="9" t="n">
        <v>1038.4222</v>
      </c>
    </row>
    <row r="9">
      <c r="A9" s="26" t="inlineStr">
        <is>
          <t>FY2022</t>
        </is>
      </c>
      <c r="B9" s="9" t="n"/>
      <c r="C9" s="9" t="n">
        <v>744.4888999999999</v>
      </c>
    </row>
    <row r="10">
      <c r="A10" s="26" t="inlineStr">
        <is>
          <t>FY2023</t>
        </is>
      </c>
      <c r="B10" s="9" t="n"/>
      <c r="C10" s="9" t="n">
        <v>184.8444</v>
      </c>
    </row>
    <row r="11">
      <c r="A11" s="26" t="inlineStr">
        <is>
          <t>FY2024</t>
        </is>
      </c>
      <c r="B11" s="9" t="n">
        <v>7330.2889</v>
      </c>
      <c r="C11" s="9" t="n">
        <v>392.4222</v>
      </c>
    </row>
    <row r="12" ht="156" customHeight="1">
      <c r="A12"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3" ht="81" customHeight="1">
      <c r="A13" s="3" t="inlineStr">
        <is>
          <t>Formula: gross plant per acre = Form 990 Part X line 10a (land, buildings, and equipment, gross) / SABL service-area acres; net plant per acre uses Part X line 10c (net)</t>
        </is>
      </c>
    </row>
    <row r="14" ht="66" customHeight="1">
      <c r="A14" s="3" t="inlineStr">
        <is>
          <t>Source lines: Form 990 Part X line 10a (gross) and line 10c (net); Geodesic area (WGS84 spherical excess) of the SABL service-area polygon.</t>
        </is>
      </c>
    </row>
    <row r="15" ht="96" customHeight="1">
      <c r="A15" s="3" t="inlineStr">
        <is>
          <t>Confidence: medium. This is worked out from filed figures (a ratio, or a year-to-year change), so it is one step removed from the raw numbers.. Filed gross/net plant over the measured SABL service-area acreage.</t>
        </is>
      </c>
    </row>
    <row r="17">
      <c r="A17" s="6" t="inlineStr">
        <is>
          <t>Connections per acre</t>
        </is>
      </c>
      <c r="B17" s="7" t="n"/>
      <c r="C17" s="7" t="n"/>
    </row>
    <row r="18">
      <c r="A18" s="19" t="inlineStr">
        <is>
          <t>Connections per acre</t>
        </is>
      </c>
      <c r="B18" s="18" t="n">
        <v>2.16</v>
      </c>
      <c r="C18" s="21" t="inlineStr">
        <is>
          <t>97 connections / 45.0 acres. CA State Water Board SABL SERVICE_CONNECTIONS; Geodesic area (WGS84 spherical excess) of the SABL service-area polygon.</t>
        </is>
      </c>
    </row>
  </sheetData>
  <mergeCells count="7">
    <mergeCell ref="A13:C13"/>
    <mergeCell ref="A1:C1"/>
    <mergeCell ref="A14:C14"/>
    <mergeCell ref="A3:C3"/>
    <mergeCell ref="A12:C12"/>
    <mergeCell ref="A2:C2"/>
    <mergeCell ref="A15:C15"/>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s>
  <sheetData>
    <row r="1">
      <c r="A1" s="1" t="inlineStr">
        <is>
          <t>Lundy Mutual Water Co</t>
        </is>
      </c>
    </row>
    <row r="2">
      <c r="A2" s="2" t="inlineStr">
        <is>
          <t>Supply and weather indicators (DWR water year)</t>
        </is>
      </c>
    </row>
    <row r="3">
      <c r="A3" s="2" t="inlineStr">
        <is>
          <t>Entity ID: cawc_0180   |   Fiscal year ends December 31.</t>
        </is>
      </c>
    </row>
    <row r="5" ht="12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row>
    <row r="8">
      <c r="A8" s="8" t="inlineStr">
        <is>
          <t>Water-year type (Sacramento Valley)</t>
        </is>
      </c>
      <c r="B8" s="27" t="inlineStr">
        <is>
          <t>Critical</t>
        </is>
      </c>
      <c r="C8" s="27" t="inlineStr">
        <is>
          <t>Critical</t>
        </is>
      </c>
      <c r="D8" s="27" t="inlineStr">
        <is>
          <t>Wet</t>
        </is>
      </c>
      <c r="E8" s="27" t="inlineStr">
        <is>
          <t>Above Normal</t>
        </is>
      </c>
    </row>
    <row r="9">
      <c r="A9" s="8" t="inlineStr">
        <is>
          <t>Peak drought, county County</t>
        </is>
      </c>
      <c r="B9" s="28" t="inlineStr">
        <is>
          <t>not reported</t>
        </is>
      </c>
      <c r="C9" s="28" t="inlineStr">
        <is>
          <t>not reported</t>
        </is>
      </c>
      <c r="D9" s="28" t="inlineStr">
        <is>
          <t>not reported</t>
        </is>
      </c>
      <c r="E9" s="28" t="inlineStr">
        <is>
          <t>not reported</t>
        </is>
      </c>
    </row>
    <row r="10">
      <c r="A10" s="8" t="inlineStr">
        <is>
          <t>Precip, percent of normal (8-Station Index)</t>
        </is>
      </c>
      <c r="B10" s="27" t="inlineStr">
        <is>
          <t>48</t>
        </is>
      </c>
      <c r="C10" s="27" t="inlineStr">
        <is>
          <t>86</t>
        </is>
      </c>
      <c r="D10" s="27" t="inlineStr">
        <is>
          <t>133</t>
        </is>
      </c>
      <c r="E10" s="27" t="inlineStr">
        <is>
          <t>96</t>
        </is>
      </c>
    </row>
    <row r="11">
      <c r="A11" s="8" t="inlineStr">
        <is>
          <t>Snowpack, April 1 percent of average</t>
        </is>
      </c>
      <c r="B11" s="27" t="inlineStr">
        <is>
          <t>59%</t>
        </is>
      </c>
      <c r="C11" s="27" t="inlineStr">
        <is>
          <t>38%</t>
        </is>
      </c>
      <c r="D11" s="27" t="inlineStr">
        <is>
          <t>237%</t>
        </is>
      </c>
      <c r="E11" s="27" t="inlineStr">
        <is>
          <t>110%</t>
        </is>
      </c>
    </row>
    <row r="12">
      <c r="A12" s="8" t="inlineStr">
        <is>
          <t>State Water Project allocation</t>
        </is>
      </c>
      <c r="B12" s="27" t="inlineStr">
        <is>
          <t>5%</t>
        </is>
      </c>
      <c r="C12" s="27" t="inlineStr">
        <is>
          <t>5%</t>
        </is>
      </c>
      <c r="D12" s="27" t="inlineStr">
        <is>
          <t>100%</t>
        </is>
      </c>
      <c r="E12" s="27" t="inlineStr">
        <is>
          <t>40%</t>
        </is>
      </c>
    </row>
  </sheetData>
  <mergeCells count="4">
    <mergeCell ref="A2:E2"/>
    <mergeCell ref="A1:E1"/>
    <mergeCell ref="A5:E5"/>
    <mergeCell ref="A3:E3"/>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Lundy Mutual Water Co</t>
        </is>
      </c>
    </row>
    <row r="2">
      <c r="A2" s="2" t="inlineStr">
        <is>
          <t>How this was built - forensic lineage</t>
        </is>
      </c>
    </row>
    <row r="3">
      <c r="A3" s="2" t="inlineStr">
        <is>
          <t>Entity ID: cawc_0180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19" t="inlineStr">
        <is>
          <t>Sources checked</t>
        </is>
      </c>
      <c r="B8" s="21" t="inlineStr">
        <is>
          <t>State Water Board eAR Section 8b (water-rate revenue B1.1/B1.2); State Water Board eAR Section 4 (connection count, same reporting year); audited financial statement (secondary cross-check, where published)</t>
        </is>
      </c>
    </row>
    <row r="9" ht="72" customHeight="1">
      <c r="A9" s="19" t="inlineStr">
        <is>
          <t>What was found</t>
        </is>
      </c>
      <c r="B9" s="21"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19" t="inlineStr">
        <is>
          <t>Sources checked</t>
        </is>
      </c>
      <c r="B12" s="21" t="inlineStr">
        <is>
          <t>Form 990 Part VIII line 2 (program-service revenue); State Water Board eAR Section 8b (water-rate revenue B1.1/B1.2); eAR Section 8b filer comment (WRRevenueComments)</t>
        </is>
      </c>
    </row>
    <row r="13" ht="72" customHeight="1">
      <c r="A13" s="19" t="inlineStr">
        <is>
          <t>What was found</t>
        </is>
      </c>
      <c r="B13" s="21" t="inlineStr">
        <is>
          <t>A period-aligned residual cannot be computed for this filer, so the metric is rendered IMPOSSIBLE rather than guessed.</t>
        </is>
      </c>
    </row>
    <row r="14" ht="72" customHeight="1">
      <c r="A14" s="19" t="inlineStr">
        <is>
          <t>Caveat</t>
        </is>
      </c>
      <c r="B14" s="21"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19" t="inlineStr">
        <is>
          <t>Sources checked</t>
        </is>
      </c>
      <c r="B17" s="21" t="inlineStr">
        <is>
          <t>State Water Board eAR Section 8a (rate prices); State Water Board eAR Section 8b (revenue lines); audited financial statement</t>
        </is>
      </c>
    </row>
    <row r="18" ht="72" customHeight="1">
      <c r="A18" s="19" t="inlineStr">
        <is>
          <t>What was found</t>
        </is>
      </c>
      <c r="B18" s="21" t="inlineStr">
        <is>
          <t>The rate price exists in Section 8a but no revenue or tier volume is reported, and the base charge is already inside water sales.</t>
        </is>
      </c>
    </row>
    <row r="19" ht="72" customHeight="1">
      <c r="A19" s="19" t="inlineStr">
        <is>
          <t>Caveat</t>
        </is>
      </c>
      <c r="B19" s="21"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19" t="inlineStr">
        <is>
          <t>Sources checked</t>
        </is>
      </c>
      <c r="B22" s="21" t="inlineStr">
        <is>
          <t>State Water Board eAR Section 8a (rate prices); State Water Board eAR Section 8b (revenue lines); audited financial statement</t>
        </is>
      </c>
    </row>
    <row r="23" ht="72" customHeight="1">
      <c r="A23" s="19" t="inlineStr">
        <is>
          <t>What was found</t>
        </is>
      </c>
      <c r="B23" s="21" t="inlineStr">
        <is>
          <t>The rate price exists in Section 8a but no revenue or tier volume is reported, and the base charge is already inside water sales.</t>
        </is>
      </c>
    </row>
    <row r="24" ht="72" customHeight="1">
      <c r="A24" s="19" t="inlineStr">
        <is>
          <t>Caveat</t>
        </is>
      </c>
      <c r="B24" s="21"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19" t="inlineStr">
        <is>
          <t>Sources checked</t>
        </is>
      </c>
      <c r="B27" s="21" t="inlineStr">
        <is>
          <t>eAR Section 8b B0.1 (WRFinancialReportingPeriod); eAR Section 8b B0.2 (WRFiscalYearStartDate)</t>
        </is>
      </c>
    </row>
    <row r="28" ht="72" customHeight="1">
      <c r="A28" s="19" t="inlineStr">
        <is>
          <t>What was found</t>
        </is>
      </c>
      <c r="B28" s="21"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19" t="inlineStr">
        <is>
          <t>Sources checked</t>
        </is>
      </c>
      <c r="B31" s="21" t="inlineStr">
        <is>
          <t>Form 990 (no member count stated); company website</t>
        </is>
      </c>
    </row>
    <row r="32" ht="72" customHeight="1">
      <c r="A32" s="19" t="inlineStr">
        <is>
          <t>What was found</t>
        </is>
      </c>
      <c r="B32" s="21"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19" t="inlineStr">
        <is>
          <t>Sources checked</t>
        </is>
      </c>
      <c r="B35" s="21" t="inlineStr">
        <is>
          <t>Form 990 (not in the filing); Consumer Confidence Report; eAR Section 6 (PRA-gated)</t>
        </is>
      </c>
    </row>
    <row r="36" ht="72" customHeight="1">
      <c r="A36" s="19" t="inlineStr">
        <is>
          <t>What was found</t>
        </is>
      </c>
      <c r="B36" s="21"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23"/>
  <sheetViews>
    <sheetView workbookViewId="0">
      <pane ySplit="4" topLeftCell="A5" activePane="bottomLeft" state="frozen"/>
      <selection pane="bottomLeft" activeCell="A1" sqref="A1"/>
    </sheetView>
  </sheetViews>
  <sheetFormatPr baseColWidth="8" defaultRowHeight="15"/>
  <cols>
    <col width="32" customWidth="1" min="1" max="1"/>
    <col width="96" customWidth="1" min="2" max="2"/>
  </cols>
  <sheetData>
    <row r="1">
      <c r="A1" s="1" t="inlineStr">
        <is>
          <t>Lundy Mutual Water Co</t>
        </is>
      </c>
    </row>
    <row r="2">
      <c r="A2" s="2" t="inlineStr">
        <is>
          <t>Anomaly Flags (automated; kept separate from the clean statements)</t>
        </is>
      </c>
    </row>
    <row r="3">
      <c r="A3" s="2" t="inlineStr">
        <is>
          <t>Entity ID: cawc_0180   |   Fiscal year ends December 31.</t>
        </is>
      </c>
    </row>
    <row r="5" ht="42" customHeight="1">
      <c r="A5" s="3" t="inlineStr">
        <is>
          <t>Material irregularities found automatically in the filed financials by the Hydronomics anomaly flagger. Each flag has two clearly separated layers. WHAT is mechanical, certain, and sourced: the exact filed lines, years, and amounts, carried as filed and never reconciled. WHY is attempted: the filing's own narrative is checked first, and when it states no reason a single best-guess hypothesis is shown, clearly labelled as a guess that is not in the filing and is not a verified figure.</t>
        </is>
      </c>
    </row>
    <row r="7">
      <c r="A7" s="6" t="inlineStr">
        <is>
          <t>Flag: FY2022 opening net assets differ from FY2021 closing</t>
        </is>
      </c>
      <c r="B7" s="7" t="n"/>
    </row>
    <row r="8">
      <c r="A8" s="19" t="inlineStr">
        <is>
          <t>Affected figure</t>
        </is>
      </c>
      <c r="B8" s="21" t="inlineStr">
        <is>
          <t>Net assets FY2022</t>
        </is>
      </c>
    </row>
    <row r="9">
      <c r="A9" s="19" t="inlineStr">
        <is>
          <t>Confidence</t>
        </is>
      </c>
      <c r="B9" s="21" t="inlineStr">
        <is>
          <t>high</t>
        </is>
      </c>
    </row>
    <row r="10" ht="72" customHeight="1">
      <c r="A10" s="19" t="inlineStr">
        <is>
          <t>What happened (filed, sourced)</t>
        </is>
      </c>
      <c r="B10" s="21" t="inlineStr">
        <is>
          <t>The company filed $279,902 as its beginning net assets for FY2022 and $304,221 as its ending net assets for FY2021, a difference of $-24,319. Both figures are carried exactly as each year's own filing reports them. Neither is adjusted to match the other.</t>
        </is>
      </c>
    </row>
    <row r="11" ht="54" customHeight="1">
      <c r="A11" s="19" t="inlineStr">
        <is>
          <t>Source lines</t>
        </is>
      </c>
      <c r="B11" s="21" t="inlineStr">
        <is>
          <t>- FY2022 net assets, beginning of year (as filed): $279,902
- FY2021 net assets, end of year (as filed): $304,221
- Difference: $-24,319</t>
        </is>
      </c>
    </row>
    <row r="12" ht="72" customHeight="1">
      <c r="A12" s="19" t="inlineStr">
        <is>
          <t>Confidence reasoning</t>
        </is>
      </c>
      <c r="B12" s="21" t="inlineStr">
        <is>
          <t>Both are direct filed line items read from two different returns, so the difference between them is high confidence as an observation. What caused it is not stated on either form.</t>
        </is>
      </c>
    </row>
    <row r="13">
      <c r="A13" s="19" t="inlineStr">
        <is>
          <t>Why (not stated in the filing)</t>
        </is>
      </c>
      <c r="B13" s="21" t="inlineStr">
        <is>
          <t>The filing does not state a reason.</t>
        </is>
      </c>
    </row>
    <row r="14" ht="60" customHeight="1">
      <c r="A14" s="19" t="inlineStr">
        <is>
          <t>Possible explanation (guess)</t>
        </is>
      </c>
      <c r="B14" s="29" t="inlineStr">
        <is>
          <t>Possible explanation, not stated in filing: a beginning balance that differs from the prior year's ending balance usually means the earlier year was restated, or a balance-sheet line was reclassified between the two filings. This is an educated guess, not something either filing says.</t>
        </is>
      </c>
    </row>
    <row r="16">
      <c r="A16" s="6" t="inlineStr">
        <is>
          <t>Flag: FY2023 opening net assets differ from FY2022 closing</t>
        </is>
      </c>
      <c r="B16" s="7" t="n"/>
    </row>
    <row r="17">
      <c r="A17" s="19" t="inlineStr">
        <is>
          <t>Affected figure</t>
        </is>
      </c>
      <c r="B17" s="21" t="inlineStr">
        <is>
          <t>Net assets FY2023</t>
        </is>
      </c>
    </row>
    <row r="18">
      <c r="A18" s="19" t="inlineStr">
        <is>
          <t>Confidence</t>
        </is>
      </c>
      <c r="B18" s="21" t="inlineStr">
        <is>
          <t>high</t>
        </is>
      </c>
    </row>
    <row r="19" ht="72" customHeight="1">
      <c r="A19" s="19" t="inlineStr">
        <is>
          <t>What happened (filed, sourced)</t>
        </is>
      </c>
      <c r="B19" s="21" t="inlineStr">
        <is>
          <t>The company filed $270,535 as its beginning net assets for FY2023 and $270,534 as its ending net assets for FY2022, a difference of $1. Both figures are carried exactly as each year's own filing reports them. Neither is adjusted to match the other.</t>
        </is>
      </c>
    </row>
    <row r="20" ht="54" customHeight="1">
      <c r="A20" s="19" t="inlineStr">
        <is>
          <t>Source lines</t>
        </is>
      </c>
      <c r="B20" s="21" t="inlineStr">
        <is>
          <t>- FY2023 net assets, beginning of year (as filed): $270,535
- FY2022 net assets, end of year (as filed): $270,534
- Difference: $1</t>
        </is>
      </c>
    </row>
    <row r="21" ht="72" customHeight="1">
      <c r="A21" s="19" t="inlineStr">
        <is>
          <t>Confidence reasoning</t>
        </is>
      </c>
      <c r="B21" s="21" t="inlineStr">
        <is>
          <t>Both are direct filed line items read from two different returns, so the difference between them is high confidence as an observation. What caused it is not stated on either form.</t>
        </is>
      </c>
    </row>
    <row r="22">
      <c r="A22" s="19" t="inlineStr">
        <is>
          <t>Why (not stated in the filing)</t>
        </is>
      </c>
      <c r="B22" s="21" t="inlineStr">
        <is>
          <t>The filing does not state a reason.</t>
        </is>
      </c>
    </row>
    <row r="23" ht="60" customHeight="1">
      <c r="A23" s="19" t="inlineStr">
        <is>
          <t>Possible explanation (guess)</t>
        </is>
      </c>
      <c r="B23" s="29" t="inlineStr">
        <is>
          <t>Possible explanation, not stated in filing: a beginning balance that differs from the prior year's ending balance usually means the earlier year was restated, or a balance-sheet line was reclassified between the two filings. This is an educated guess, not something either filing says.</t>
        </is>
      </c>
    </row>
  </sheetData>
  <mergeCells count="4">
    <mergeCell ref="A3:B3"/>
    <mergeCell ref="A2:B2"/>
    <mergeCell ref="A1:B1"/>
    <mergeCell ref="A5:B5"/>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57"/>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Lundy Mutual Water Co</t>
        </is>
      </c>
    </row>
    <row r="2">
      <c r="A2" s="2" t="inlineStr">
        <is>
          <t>Sources &amp; audit - full provenance and tie-outs (kept off the statements so they read clean)</t>
        </is>
      </c>
    </row>
    <row r="3">
      <c r="A3" s="2" t="inlineStr">
        <is>
          <t>Entity ID: cawc_0180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30"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7" t="inlineStr">
        <is>
          <t>FY2021</t>
        </is>
      </c>
      <c r="B10" s="8" t="inlineStr">
        <is>
          <t>2021-12-31</t>
        </is>
      </c>
      <c r="C10" s="8" t="inlineStr">
        <is>
          <t>990-EZ</t>
        </is>
      </c>
      <c r="D10" s="8" t="inlineStr">
        <is>
          <t>high</t>
        </is>
      </c>
      <c r="E10" s="8" t="inlineStr">
        <is>
          <t>1aad8a19-096c-4298-9f72-9f36bd1cefed</t>
        </is>
      </c>
      <c r="F10" s="8" t="inlineStr">
        <is>
          <t>202231309349200613</t>
        </is>
      </c>
      <c r="G10" s="8" t="inlineStr">
        <is>
          <t>claude-opus-5</t>
        </is>
      </c>
      <c r="H10" s="8" t="inlineStr">
        <is>
          <t>2026-10-06T04:29:14+00:00</t>
        </is>
      </c>
      <c r="I10" s="8" t="inlineStr">
        <is>
          <t>https://apps.irs.gov/pub/epostcard/990/xml/2022/2022_TEOS_XML_01A.zip#202231309349200613_public.xml</t>
        </is>
      </c>
    </row>
    <row r="11">
      <c r="A11" s="27" t="inlineStr">
        <is>
          <t>FY2022</t>
        </is>
      </c>
      <c r="B11" s="8" t="inlineStr">
        <is>
          <t>2022-12-31</t>
        </is>
      </c>
      <c r="C11" s="8" t="inlineStr">
        <is>
          <t>990-EZ</t>
        </is>
      </c>
      <c r="D11" s="8" t="inlineStr">
        <is>
          <t>high</t>
        </is>
      </c>
      <c r="E11" s="8" t="inlineStr">
        <is>
          <t>99aa9ab4-8bac-4b2c-80e9-790c755f860e</t>
        </is>
      </c>
      <c r="F11" s="8" t="inlineStr">
        <is>
          <t>202322129349200832</t>
        </is>
      </c>
      <c r="G11" s="8" t="inlineStr">
        <is>
          <t>claude-opus-5</t>
        </is>
      </c>
      <c r="H11" s="8" t="inlineStr">
        <is>
          <t>2026-10-06T04:29:15+00:00</t>
        </is>
      </c>
      <c r="I11" s="8" t="inlineStr">
        <is>
          <t>https://apps.irs.gov/pub/epostcard/990/xml/2023/2023_TEOS_XML_08A.zip#202322129349200832_public.xml</t>
        </is>
      </c>
    </row>
    <row r="12">
      <c r="A12" s="27" t="inlineStr">
        <is>
          <t>FY2023</t>
        </is>
      </c>
      <c r="B12" s="8" t="inlineStr">
        <is>
          <t>2023-12-31</t>
        </is>
      </c>
      <c r="C12" s="8" t="inlineStr">
        <is>
          <t>990-EZ</t>
        </is>
      </c>
      <c r="D12" s="8" t="inlineStr">
        <is>
          <t>high</t>
        </is>
      </c>
      <c r="E12" s="8" t="inlineStr">
        <is>
          <t>a5ed0426-dc15-4f35-845a-4a6d18bcfe90</t>
        </is>
      </c>
      <c r="F12" s="8" t="inlineStr">
        <is>
          <t>202422569349201507</t>
        </is>
      </c>
      <c r="G12" s="8" t="inlineStr">
        <is>
          <t>claude-opus-5</t>
        </is>
      </c>
      <c r="H12" s="8" t="inlineStr">
        <is>
          <t>2026-10-06T04:29:15+00:00</t>
        </is>
      </c>
      <c r="I12" s="8" t="inlineStr">
        <is>
          <t>https://apps.irs.gov/pub/epostcard/990/xml/2024/2024_TEOS_XML_09A.zip#202422569349201507_public.xml</t>
        </is>
      </c>
    </row>
    <row r="13">
      <c r="A13" s="27" t="inlineStr">
        <is>
          <t>FY2024</t>
        </is>
      </c>
      <c r="B13" s="8" t="inlineStr">
        <is>
          <t>2024-12-31</t>
        </is>
      </c>
      <c r="C13" s="8" t="inlineStr">
        <is>
          <t>990</t>
        </is>
      </c>
      <c r="D13" s="8" t="inlineStr">
        <is>
          <t>high</t>
        </is>
      </c>
      <c r="E13" s="8" t="inlineStr">
        <is>
          <t>2a61973d-5834-4571-862d-29996ed96463</t>
        </is>
      </c>
      <c r="F13" s="8" t="inlineStr">
        <is>
          <t>202502669349301400</t>
        </is>
      </c>
      <c r="G13" s="8" t="inlineStr">
        <is>
          <t>claude-opus-5</t>
        </is>
      </c>
      <c r="H13" s="8" t="inlineStr">
        <is>
          <t>2026-10-06T04:29:16+00:00</t>
        </is>
      </c>
      <c r="I13" s="8" t="inlineStr">
        <is>
          <t>https://apps.irs.gov/pub/epostcard/990/xml/2025/2025_TEOS_XML_09A.zip#202502669349301400_public.xml</t>
        </is>
      </c>
    </row>
    <row r="15">
      <c r="A15" s="30" t="inlineStr">
        <is>
          <t>B. Figure citations (every figure on the statement tabs, keyed by cell)</t>
        </is>
      </c>
      <c r="B15" s="7" t="n"/>
      <c r="C15" s="7" t="n"/>
      <c r="D15" s="7" t="n"/>
      <c r="E15" s="7" t="n"/>
      <c r="F15" s="7" t="n"/>
      <c r="G15" s="7" t="n"/>
      <c r="H15" s="7" t="n"/>
      <c r="I15" s="7" t="n"/>
      <c r="J15" s="7" t="n"/>
      <c r="K15" s="7" t="n"/>
    </row>
    <row r="16">
      <c r="A16" s="5" t="inlineStr">
        <is>
          <t>Tab</t>
        </is>
      </c>
      <c r="B16" s="5" t="inlineStr">
        <is>
          <t>Cell</t>
        </is>
      </c>
      <c r="C16" s="5" t="inlineStr">
        <is>
          <t>Line item</t>
        </is>
      </c>
      <c r="D16" s="5" t="inlineStr">
        <is>
          <t>Form 990 line</t>
        </is>
      </c>
      <c r="E16" s="5" t="inlineStr">
        <is>
          <t>Key path</t>
        </is>
      </c>
      <c r="F16" s="5" t="inlineStr">
        <is>
          <t>Confidence</t>
        </is>
      </c>
      <c r="G16" s="5" t="inlineStr">
        <is>
          <t>As filed</t>
        </is>
      </c>
    </row>
    <row r="17">
      <c r="A17" s="8" t="inlineStr">
        <is>
          <t>Financial Statements</t>
        </is>
      </c>
      <c r="B17" s="8" t="inlineStr">
        <is>
          <t>B73</t>
        </is>
      </c>
      <c r="C17" s="8" t="inlineStr">
        <is>
          <t>11a. Gross income from members or shareholders</t>
        </is>
      </c>
      <c r="D17" s="8" t="inlineStr">
        <is>
          <t>11a</t>
        </is>
      </c>
      <c r="E17" s="8" t="inlineStr">
        <is>
          <t>part_v_other_irs_filings.members_and_shareholders_gross_income</t>
        </is>
      </c>
      <c r="F17" s="8" t="inlineStr">
        <is>
          <t>high</t>
        </is>
      </c>
      <c r="G17" s="9" t="n">
        <v>77544</v>
      </c>
    </row>
    <row r="18">
      <c r="A18" s="8" t="inlineStr">
        <is>
          <t>Financial Statements</t>
        </is>
      </c>
      <c r="B18" s="8" t="inlineStr">
        <is>
          <t>B74</t>
        </is>
      </c>
      <c r="C18" s="8" t="inlineStr">
        <is>
          <t>11b. Gross income from other sources</t>
        </is>
      </c>
      <c r="D18" s="8" t="inlineStr">
        <is>
          <t>11b</t>
        </is>
      </c>
      <c r="E18" s="8" t="inlineStr">
        <is>
          <t>part_v_other_irs_filings.other_sources_gross_income</t>
        </is>
      </c>
      <c r="F18" s="8" t="inlineStr">
        <is>
          <t>high</t>
        </is>
      </c>
      <c r="G18" s="9" t="n">
        <v>29119</v>
      </c>
    </row>
    <row r="19">
      <c r="A19" s="8" t="inlineStr">
        <is>
          <t>Revenue (detail)</t>
        </is>
      </c>
      <c r="B19" s="8" t="inlineStr">
        <is>
          <t>B8</t>
        </is>
      </c>
      <c r="C19" s="8" t="inlineStr">
        <is>
          <t>2g. Total program service revenue</t>
        </is>
      </c>
      <c r="D19" s="8" t="inlineStr">
        <is>
          <t>2g</t>
        </is>
      </c>
      <c r="E19" s="8" t="inlineStr">
        <is>
          <t>part_viii_revenue.total_program_service_revenue</t>
        </is>
      </c>
      <c r="F19" s="8" t="inlineStr">
        <is>
          <t>high</t>
        </is>
      </c>
      <c r="G19" s="9" t="n">
        <v>105951</v>
      </c>
    </row>
    <row r="20">
      <c r="A20" s="8" t="inlineStr">
        <is>
          <t>Revenue (detail)</t>
        </is>
      </c>
      <c r="B20" s="8" t="inlineStr">
        <is>
          <t>B9</t>
        </is>
      </c>
      <c r="C20" s="8" t="inlineStr">
        <is>
          <t>3. Investment income</t>
        </is>
      </c>
      <c r="D20" s="8" t="inlineStr">
        <is>
          <t>3</t>
        </is>
      </c>
      <c r="E20" s="8" t="inlineStr">
        <is>
          <t>part_viii_revenue.investment_income</t>
        </is>
      </c>
      <c r="F20" s="8" t="inlineStr">
        <is>
          <t>high</t>
        </is>
      </c>
      <c r="G20" s="9" t="n">
        <v>1571</v>
      </c>
    </row>
    <row r="21">
      <c r="A21" s="8" t="inlineStr">
        <is>
          <t>Operating expenses (detail)</t>
        </is>
      </c>
      <c r="B21" s="8" t="inlineStr">
        <is>
          <t>B7</t>
        </is>
      </c>
      <c r="C21" s="8" t="inlineStr">
        <is>
          <t>7. Other salaries and wages</t>
        </is>
      </c>
      <c r="D21" s="8" t="inlineStr">
        <is>
          <t>7</t>
        </is>
      </c>
      <c r="E21" s="8" t="inlineStr">
        <is>
          <t>part_ix_expenses.other_salaries_and_wages</t>
        </is>
      </c>
      <c r="F21" s="8" t="inlineStr">
        <is>
          <t>high</t>
        </is>
      </c>
      <c r="G21" s="9" t="n">
        <v>13711</v>
      </c>
    </row>
    <row r="22">
      <c r="A22" s="8" t="inlineStr">
        <is>
          <t>Operating expenses (detail)</t>
        </is>
      </c>
      <c r="B22" s="8" t="inlineStr">
        <is>
          <t>B8</t>
        </is>
      </c>
      <c r="C22" s="8" t="inlineStr">
        <is>
          <t>11g. Fees for services: other</t>
        </is>
      </c>
      <c r="D22" s="8" t="inlineStr">
        <is>
          <t>11g</t>
        </is>
      </c>
      <c r="E22" s="8" t="inlineStr">
        <is>
          <t>part_ix_expenses.fees_other</t>
        </is>
      </c>
      <c r="F22" s="8" t="inlineStr">
        <is>
          <t>high</t>
        </is>
      </c>
      <c r="G22" s="9" t="n">
        <v>12580</v>
      </c>
    </row>
    <row r="23">
      <c r="A23" s="8" t="inlineStr">
        <is>
          <t>Operating expenses (detail)</t>
        </is>
      </c>
      <c r="B23" s="8" t="inlineStr">
        <is>
          <t>B9</t>
        </is>
      </c>
      <c r="C23" s="8" t="inlineStr">
        <is>
          <t>13. Office expenses</t>
        </is>
      </c>
      <c r="D23" s="8" t="inlineStr">
        <is>
          <t>13</t>
        </is>
      </c>
      <c r="E23" s="8" t="inlineStr">
        <is>
          <t>part_ix_expenses.office_expenses</t>
        </is>
      </c>
      <c r="F23" s="8" t="inlineStr">
        <is>
          <t>high</t>
        </is>
      </c>
      <c r="G23" s="9" t="n">
        <v>1152</v>
      </c>
    </row>
    <row r="24">
      <c r="A24" s="8" t="inlineStr">
        <is>
          <t>Operating expenses (detail)</t>
        </is>
      </c>
      <c r="B24" s="8" t="inlineStr">
        <is>
          <t>B10</t>
        </is>
      </c>
      <c r="C24" s="8" t="inlineStr">
        <is>
          <t>14. Information technology</t>
        </is>
      </c>
      <c r="D24" s="8" t="inlineStr">
        <is>
          <t>14</t>
        </is>
      </c>
      <c r="E24" s="8" t="inlineStr">
        <is>
          <t>part_ix_expenses.information_technology</t>
        </is>
      </c>
      <c r="F24" s="8" t="inlineStr">
        <is>
          <t>high</t>
        </is>
      </c>
      <c r="G24" s="9" t="n">
        <v>1648</v>
      </c>
    </row>
    <row r="25">
      <c r="A25" s="8" t="inlineStr">
        <is>
          <t>Operating expenses (detail)</t>
        </is>
      </c>
      <c r="B25" s="8" t="inlineStr">
        <is>
          <t>B11</t>
        </is>
      </c>
      <c r="C25" s="8" t="inlineStr">
        <is>
          <t>16. Occupancy</t>
        </is>
      </c>
      <c r="D25" s="8" t="inlineStr">
        <is>
          <t>16</t>
        </is>
      </c>
      <c r="E25" s="8" t="inlineStr">
        <is>
          <t>part_ix_expenses.occupancy</t>
        </is>
      </c>
      <c r="F25" s="8" t="inlineStr">
        <is>
          <t>high</t>
        </is>
      </c>
      <c r="G25" s="9" t="n">
        <v>14451</v>
      </c>
    </row>
    <row r="26">
      <c r="A26" s="8" t="inlineStr">
        <is>
          <t>Operating expenses (detail)</t>
        </is>
      </c>
      <c r="B26" s="8" t="inlineStr">
        <is>
          <t>B12</t>
        </is>
      </c>
      <c r="C26" s="8" t="inlineStr">
        <is>
          <t>17. Travel</t>
        </is>
      </c>
      <c r="D26" s="8" t="inlineStr">
        <is>
          <t>17</t>
        </is>
      </c>
      <c r="E26" s="8" t="inlineStr">
        <is>
          <t>part_ix_expenses.travel</t>
        </is>
      </c>
      <c r="F26" s="8" t="inlineStr">
        <is>
          <t>high</t>
        </is>
      </c>
      <c r="G26" s="9" t="n">
        <v>952</v>
      </c>
    </row>
    <row r="27">
      <c r="A27" s="8" t="inlineStr">
        <is>
          <t>Operating expenses (detail)</t>
        </is>
      </c>
      <c r="B27" s="8" t="inlineStr">
        <is>
          <t>B13</t>
        </is>
      </c>
      <c r="C27" s="8" t="inlineStr">
        <is>
          <t>22. Depreciation, depletion, and amortization</t>
        </is>
      </c>
      <c r="D27" s="8" t="inlineStr">
        <is>
          <t>22</t>
        </is>
      </c>
      <c r="E27" s="8" t="inlineStr">
        <is>
          <t>part_ix_expenses.depreciation</t>
        </is>
      </c>
      <c r="F27" s="8" t="inlineStr">
        <is>
          <t>high</t>
        </is>
      </c>
      <c r="G27" s="9" t="n">
        <v>11271</v>
      </c>
    </row>
    <row r="28">
      <c r="A28" s="8" t="inlineStr">
        <is>
          <t>Operating expenses (detail)</t>
        </is>
      </c>
      <c r="B28" s="8" t="inlineStr">
        <is>
          <t>B14</t>
        </is>
      </c>
      <c r="C28" s="8" t="inlineStr">
        <is>
          <t>23. Insurance</t>
        </is>
      </c>
      <c r="D28" s="8" t="inlineStr">
        <is>
          <t>23</t>
        </is>
      </c>
      <c r="E28" s="8" t="inlineStr">
        <is>
          <t>part_ix_expenses.insurance</t>
        </is>
      </c>
      <c r="F28" s="8" t="inlineStr">
        <is>
          <t>high</t>
        </is>
      </c>
      <c r="G28" s="9" t="n">
        <v>5073</v>
      </c>
    </row>
    <row r="29">
      <c r="A29" s="8" t="inlineStr">
        <is>
          <t>Balance sheet (detail)</t>
        </is>
      </c>
      <c r="B29" s="8" t="inlineStr">
        <is>
          <t>B7</t>
        </is>
      </c>
      <c r="C29" s="8" t="inlineStr">
        <is>
          <t>1. Cash - non-interest-bearing</t>
        </is>
      </c>
      <c r="D29" s="8" t="inlineStr">
        <is>
          <t>1E</t>
        </is>
      </c>
      <c r="E29" s="8" t="inlineStr">
        <is>
          <t>part_x_balance_sheet.cash_noninterest_eoy</t>
        </is>
      </c>
      <c r="F29" s="8" t="inlineStr">
        <is>
          <t>high</t>
        </is>
      </c>
      <c r="G29" s="9" t="n">
        <v>540947</v>
      </c>
    </row>
    <row r="30">
      <c r="A30" s="8" t="inlineStr">
        <is>
          <t>Balance sheet (detail)</t>
        </is>
      </c>
      <c r="B30" s="8" t="inlineStr">
        <is>
          <t>B8</t>
        </is>
      </c>
      <c r="C30" s="8" t="inlineStr">
        <is>
          <t>4. Accounts receivable, net</t>
        </is>
      </c>
      <c r="D30" s="8" t="inlineStr">
        <is>
          <t>4E</t>
        </is>
      </c>
      <c r="E30" s="8" t="inlineStr">
        <is>
          <t>part_x_balance_sheet.accounts_receivable_eoy</t>
        </is>
      </c>
      <c r="F30" s="8" t="inlineStr">
        <is>
          <t>high</t>
        </is>
      </c>
      <c r="G30" s="9" t="n">
        <v>3251</v>
      </c>
    </row>
    <row r="31">
      <c r="A31" s="8" t="inlineStr">
        <is>
          <t>Balance sheet (detail)</t>
        </is>
      </c>
      <c r="B31" s="8" t="inlineStr">
        <is>
          <t>B9</t>
        </is>
      </c>
      <c r="C31" s="8" t="inlineStr">
        <is>
          <t>8. Inventories for sale or use</t>
        </is>
      </c>
      <c r="D31" s="8" t="inlineStr">
        <is>
          <t>8E</t>
        </is>
      </c>
      <c r="E31" s="8" t="inlineStr">
        <is>
          <t>part_x_balance_sheet.inventories_eoy</t>
        </is>
      </c>
      <c r="F31" s="8" t="inlineStr">
        <is>
          <t>high</t>
        </is>
      </c>
      <c r="G31" s="9" t="n">
        <v>5402</v>
      </c>
    </row>
    <row r="32">
      <c r="A32" s="8" t="inlineStr">
        <is>
          <t>Balance sheet (detail)</t>
        </is>
      </c>
      <c r="B32" s="8" t="inlineStr">
        <is>
          <t>B10</t>
        </is>
      </c>
      <c r="C32" s="8" t="inlineStr">
        <is>
          <t>10c. Land, buildings, and equipment, net</t>
        </is>
      </c>
      <c r="D32" s="8" t="inlineStr">
        <is>
          <t>10cE</t>
        </is>
      </c>
      <c r="E32" s="8" t="inlineStr">
        <is>
          <t>part_x_balance_sheet.land_bldg_equip_net_eoy</t>
        </is>
      </c>
      <c r="F32" s="8" t="inlineStr">
        <is>
          <t>high</t>
        </is>
      </c>
      <c r="G32" s="9" t="n">
        <v>17659</v>
      </c>
    </row>
    <row r="33">
      <c r="A33" s="8" t="inlineStr">
        <is>
          <t>Balance sheet (detail)</t>
        </is>
      </c>
      <c r="B33" s="8" t="inlineStr">
        <is>
          <t>B14</t>
        </is>
      </c>
      <c r="C33" s="8" t="inlineStr">
        <is>
          <t>17. Accounts payable and accrued expenses</t>
        </is>
      </c>
      <c r="D33" s="8" t="inlineStr">
        <is>
          <t>17E</t>
        </is>
      </c>
      <c r="E33" s="8" t="inlineStr">
        <is>
          <t>part_x_balance_sheet.accounts_payable_eoy</t>
        </is>
      </c>
      <c r="F33" s="8" t="inlineStr">
        <is>
          <t>high</t>
        </is>
      </c>
      <c r="G33" s="9" t="n">
        <v>15266</v>
      </c>
    </row>
    <row r="34">
      <c r="A34" s="8" t="inlineStr">
        <is>
          <t>Balance sheet (detail)</t>
        </is>
      </c>
      <c r="B34" s="8" t="inlineStr">
        <is>
          <t>B15</t>
        </is>
      </c>
      <c r="C34" s="8" t="inlineStr">
        <is>
          <t>19. Deferred revenue</t>
        </is>
      </c>
      <c r="D34" s="8" t="inlineStr">
        <is>
          <t>19E</t>
        </is>
      </c>
      <c r="E34" s="8" t="inlineStr">
        <is>
          <t>part_x_balance_sheet.deferred_revenue_eoy</t>
        </is>
      </c>
      <c r="F34" s="8" t="inlineStr">
        <is>
          <t>high</t>
        </is>
      </c>
      <c r="G34" s="9" t="n">
        <v>291116</v>
      </c>
    </row>
    <row r="35">
      <c r="A35" s="8" t="inlineStr">
        <is>
          <t>Balance sheet (detail)</t>
        </is>
      </c>
      <c r="B35" s="8" t="inlineStr">
        <is>
          <t>B19</t>
        </is>
      </c>
      <c r="C35" s="8" t="inlineStr">
        <is>
          <t>29. Capital stock or trust principal</t>
        </is>
      </c>
      <c r="D35" s="8" t="inlineStr">
        <is>
          <t>29E</t>
        </is>
      </c>
      <c r="E35" s="8" t="inlineStr">
        <is>
          <t>part_x_balance_sheet.cap_stock_eoy</t>
        </is>
      </c>
      <c r="F35" s="8" t="inlineStr">
        <is>
          <t>high</t>
        </is>
      </c>
      <c r="G35" s="9" t="n">
        <v>1210</v>
      </c>
    </row>
    <row r="36">
      <c r="A36" s="8" t="inlineStr">
        <is>
          <t>Balance sheet (detail)</t>
        </is>
      </c>
      <c r="B36" s="8" t="inlineStr">
        <is>
          <t>B20</t>
        </is>
      </c>
      <c r="C36" s="8" t="inlineStr">
        <is>
          <t>30. Paid-in or capital surplus</t>
        </is>
      </c>
      <c r="D36" s="8" t="inlineStr">
        <is>
          <t>30E</t>
        </is>
      </c>
      <c r="E36" s="8" t="inlineStr">
        <is>
          <t>part_x_balance_sheet.paid_in_capital_eoy</t>
        </is>
      </c>
      <c r="F36" s="8" t="inlineStr">
        <is>
          <t>high</t>
        </is>
      </c>
      <c r="G36" s="9" t="n">
        <v>0</v>
      </c>
    </row>
    <row r="37">
      <c r="A37" s="8" t="inlineStr">
        <is>
          <t>Balance sheet (detail)</t>
        </is>
      </c>
      <c r="B37" s="8" t="inlineStr">
        <is>
          <t>B21</t>
        </is>
      </c>
      <c r="C37" s="8" t="inlineStr">
        <is>
          <t>31. Retained earnings / accumulated funds</t>
        </is>
      </c>
      <c r="D37" s="8" t="inlineStr">
        <is>
          <t>31E</t>
        </is>
      </c>
      <c r="E37" s="8" t="inlineStr">
        <is>
          <t>part_x_balance_sheet.retained_earnings_eoy</t>
        </is>
      </c>
      <c r="F37" s="8" t="inlineStr">
        <is>
          <t>high</t>
        </is>
      </c>
      <c r="G37" s="9" t="n">
        <v>259667</v>
      </c>
    </row>
    <row r="38">
      <c r="A38" s="8" t="inlineStr">
        <is>
          <t>Net-assets reconciliation</t>
        </is>
      </c>
      <c r="B38" s="8" t="inlineStr">
        <is>
          <t>B7</t>
        </is>
      </c>
      <c r="C38" s="8" t="inlineStr">
        <is>
          <t>4. Net assets, beginning of year</t>
        </is>
      </c>
      <c r="D38" s="8" t="inlineStr">
        <is>
          <t>Part XI line 4</t>
        </is>
      </c>
      <c r="E38" s="8" t="inlineStr">
        <is>
          <t>part_xi_reconciliation.net_assets_boy</t>
        </is>
      </c>
      <c r="F38" s="8" t="inlineStr">
        <is>
          <t>high</t>
        </is>
      </c>
      <c r="G38" s="9" t="n">
        <v>275234</v>
      </c>
    </row>
    <row r="39">
      <c r="A39" s="8" t="inlineStr">
        <is>
          <t>Net-assets reconciliation</t>
        </is>
      </c>
      <c r="B39" s="8" t="inlineStr">
        <is>
          <t>B8</t>
        </is>
      </c>
      <c r="C39" s="8" t="inlineStr">
        <is>
          <t>3. Revenue less expenses</t>
        </is>
      </c>
      <c r="D39" s="8" t="inlineStr">
        <is>
          <t>Part XI line 3</t>
        </is>
      </c>
      <c r="E39" s="8" t="inlineStr">
        <is>
          <t>part_xi_reconciliation.reconciliation_revenue_expenses</t>
        </is>
      </c>
      <c r="F39" s="8" t="inlineStr">
        <is>
          <t>high</t>
        </is>
      </c>
      <c r="G39" s="9" t="n">
        <v>-14357</v>
      </c>
    </row>
    <row r="40">
      <c r="A40" s="8" t="inlineStr">
        <is>
          <t>Net-assets reconciliation</t>
        </is>
      </c>
      <c r="B40" s="8" t="inlineStr">
        <is>
          <t>B10</t>
        </is>
      </c>
      <c r="C40" s="8" t="inlineStr">
        <is>
          <t>9. Other changes in net assets</t>
        </is>
      </c>
      <c r="D40" s="8" t="inlineStr">
        <is>
          <t>Part XI line 9</t>
        </is>
      </c>
      <c r="E40" s="8" t="inlineStr">
        <is>
          <t>part_xi_reconciliation.other_changes_net_assets</t>
        </is>
      </c>
      <c r="F40" s="8" t="inlineStr">
        <is>
          <t>high</t>
        </is>
      </c>
      <c r="G40" s="9" t="n">
        <v>0</v>
      </c>
    </row>
    <row r="42">
      <c r="A42" s="30" t="inlineStr">
        <is>
          <t>C. Tie-out checks (filed vs computed; any nonzero variance is flagged red)</t>
        </is>
      </c>
      <c r="B42" s="7" t="n"/>
      <c r="C42" s="7" t="n"/>
      <c r="D42" s="7" t="n"/>
      <c r="E42" s="7" t="n"/>
      <c r="F42" s="7" t="n"/>
      <c r="G42" s="7" t="n"/>
      <c r="H42" s="7" t="n"/>
      <c r="I42" s="7" t="n"/>
      <c r="J42" s="7" t="n"/>
      <c r="K42" s="7" t="n"/>
    </row>
    <row r="43">
      <c r="A43" s="5" t="inlineStr">
        <is>
          <t>Tab</t>
        </is>
      </c>
      <c r="B43" s="5" t="inlineStr">
        <is>
          <t>Check</t>
        </is>
      </c>
      <c r="C43" s="5" t="inlineStr">
        <is>
          <t>Fiscal year</t>
        </is>
      </c>
      <c r="D43" s="5" t="inlineStr">
        <is>
          <t>Filed</t>
        </is>
      </c>
      <c r="E43" s="5" t="inlineStr">
        <is>
          <t>Computed</t>
        </is>
      </c>
      <c r="F43" s="5" t="inlineStr">
        <is>
          <t>Variance (computed - filed)</t>
        </is>
      </c>
    </row>
    <row r="44">
      <c r="A44" s="26" t="inlineStr">
        <is>
          <t>Revenue (detail)</t>
        </is>
      </c>
      <c r="B44" s="26" t="inlineStr">
        <is>
          <t>12. Total revenue</t>
        </is>
      </c>
      <c r="C44" s="26" t="inlineStr">
        <is>
          <t>FY2024</t>
        </is>
      </c>
      <c r="D44" s="9" t="n">
        <v>107522</v>
      </c>
      <c r="E44" s="9">
        <f>'Revenue (detail)'!B13</f>
        <v/>
      </c>
      <c r="F44" s="9">
        <f>E44-D44</f>
        <v/>
      </c>
    </row>
    <row r="45">
      <c r="A45" s="26" t="inlineStr">
        <is>
          <t>Revenue (detail)</t>
        </is>
      </c>
      <c r="B45" s="26" t="inlineStr">
        <is>
          <t>2g program service revenue = sum of lines 2a-2f (FY2024)</t>
        </is>
      </c>
      <c r="C45" s="26" t="inlineStr">
        <is>
          <t>FY2024</t>
        </is>
      </c>
      <c r="D45" s="9" t="n">
        <v>105951</v>
      </c>
      <c r="E45" s="9">
        <f>SUM('Revenue (detail)'!C17:C19)</f>
        <v/>
      </c>
      <c r="F45" s="9">
        <f>E45-D45</f>
        <v/>
      </c>
    </row>
    <row r="46">
      <c r="A46" s="26" t="inlineStr">
        <is>
          <t>Operating expenses (detail)</t>
        </is>
      </c>
      <c r="B46" s="26" t="inlineStr">
        <is>
          <t>25. Total functional expenses</t>
        </is>
      </c>
      <c r="C46" s="26" t="inlineStr">
        <is>
          <t>FY2024</t>
        </is>
      </c>
      <c r="D46" s="9" t="n">
        <v>121879</v>
      </c>
      <c r="E46" s="9">
        <f>'Operating expenses (detail)'!B19</f>
        <v/>
      </c>
      <c r="F46" s="9">
        <f>E46-D46</f>
        <v/>
      </c>
    </row>
    <row r="47">
      <c r="A47" s="26" t="inlineStr">
        <is>
          <t>Balance sheet (detail)</t>
        </is>
      </c>
      <c r="B47" s="26" t="inlineStr">
        <is>
          <t>16. Total assets</t>
        </is>
      </c>
      <c r="C47" s="26" t="inlineStr">
        <is>
          <t>FY2024</t>
        </is>
      </c>
      <c r="D47" s="9" t="n">
        <v>567259</v>
      </c>
      <c r="E47" s="9">
        <f>'Balance sheet (detail)'!B11</f>
        <v/>
      </c>
      <c r="F47" s="9">
        <f>E47-D47</f>
        <v/>
      </c>
    </row>
    <row r="48">
      <c r="A48" s="26" t="inlineStr">
        <is>
          <t>Balance sheet (detail)</t>
        </is>
      </c>
      <c r="B48" s="26" t="inlineStr">
        <is>
          <t>26. Total liabilities</t>
        </is>
      </c>
      <c r="C48" s="26" t="inlineStr">
        <is>
          <t>FY2024</t>
        </is>
      </c>
      <c r="D48" s="9" t="n">
        <v>306382</v>
      </c>
      <c r="E48" s="9">
        <f>'Balance sheet (detail)'!B16</f>
        <v/>
      </c>
      <c r="F48" s="9">
        <f>E48-D48</f>
        <v/>
      </c>
    </row>
    <row r="49">
      <c r="A49" s="26" t="inlineStr">
        <is>
          <t>Balance sheet (detail)</t>
        </is>
      </c>
      <c r="B49" s="26" t="inlineStr">
        <is>
          <t>32. Total net assets / fund balances</t>
        </is>
      </c>
      <c r="C49" s="26" t="inlineStr">
        <is>
          <t>FY2024</t>
        </is>
      </c>
      <c r="D49" s="9" t="n">
        <v>260877</v>
      </c>
      <c r="E49" s="9">
        <f>'Balance sheet (detail)'!B22</f>
        <v/>
      </c>
      <c r="F49" s="9">
        <f>E49-D49</f>
        <v/>
      </c>
    </row>
    <row r="50">
      <c r="A50" s="26" t="inlineStr">
        <is>
          <t>Balance sheet (detail)</t>
        </is>
      </c>
      <c r="B50" s="26" t="inlineStr">
        <is>
          <t>Balance sheet identity: line 16 = line 26 + line 32 (EOY)</t>
        </is>
      </c>
      <c r="C50" s="26" t="inlineStr">
        <is>
          <t>FY2024</t>
        </is>
      </c>
      <c r="D50" s="9">
        <f>'Balance sheet (detail)'!B11</f>
        <v/>
      </c>
      <c r="E50" s="9">
        <f>SUM('Balance sheet (detail)'!B16,'Balance sheet (detail)'!B22)</f>
        <v/>
      </c>
      <c r="F50" s="9">
        <f>E50-D50</f>
        <v/>
      </c>
    </row>
    <row r="51">
      <c r="A51" s="26" t="inlineStr">
        <is>
          <t>Net-assets reconciliation</t>
        </is>
      </c>
      <c r="B51" s="26" t="inlineStr">
        <is>
          <t>10. Net assets, end of year</t>
        </is>
      </c>
      <c r="C51" s="26" t="inlineStr">
        <is>
          <t>FY2024</t>
        </is>
      </c>
      <c r="D51" s="9" t="n">
        <v>260877</v>
      </c>
      <c r="E51" s="9">
        <f>'Net-assets reconciliation'!B11</f>
        <v/>
      </c>
      <c r="F51" s="9">
        <f>E51-D51</f>
        <v/>
      </c>
    </row>
    <row r="53">
      <c r="A53" s="30" t="inlineStr">
        <is>
          <t>D. Preparer / auditor trail (one row per fiscal year, as filed)</t>
        </is>
      </c>
      <c r="B53" s="7" t="n"/>
      <c r="C53" s="7" t="n"/>
      <c r="D53" s="7" t="n"/>
      <c r="E53" s="7" t="n"/>
      <c r="F53" s="7" t="n"/>
      <c r="G53" s="7" t="n"/>
      <c r="H53" s="7" t="n"/>
      <c r="I53" s="7" t="n"/>
      <c r="J53" s="7" t="n"/>
      <c r="K53" s="7" t="n"/>
    </row>
    <row r="54">
      <c r="A54" s="5" t="inlineStr">
        <is>
          <t>Fiscal year</t>
        </is>
      </c>
      <c r="B54" s="5" t="inlineStr">
        <is>
          <t>Paid preparer</t>
        </is>
      </c>
      <c r="C54" s="5" t="inlineStr">
        <is>
          <t>Preparer firm</t>
        </is>
      </c>
      <c r="D54" s="5" t="inlineStr">
        <is>
          <t>Independent auditor</t>
        </is>
      </c>
      <c r="E54" s="5" t="inlineStr">
        <is>
          <t>Citation</t>
        </is>
      </c>
    </row>
    <row r="55" ht="42" customHeight="1">
      <c r="A55" s="27" t="inlineStr">
        <is>
          <t>FY2024</t>
        </is>
      </c>
      <c r="B55" s="8" t="inlineStr">
        <is>
          <t>Gail N Egan</t>
        </is>
      </c>
      <c r="C55" s="8" t="inlineStr">
        <is>
          <t>EGAN CPAs LP</t>
        </is>
      </c>
      <c r="D55" s="31" t="inlineStr">
        <is>
          <t>not reported</t>
        </is>
      </c>
      <c r="E55" s="20" t="inlineStr">
        <is>
          <t>Form 990 Return Header, Paid Preparer block (return_header.preparer_person_name / preparer_firm_name); auditor: Part XII line 2 reports audited financial statements but does not name the firm.</t>
        </is>
      </c>
    </row>
    <row r="57" ht="42" customHeight="1">
      <c r="A57"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57:K57"/>
    <mergeCell ref="A2:K2"/>
    <mergeCell ref="A5:K5"/>
    <mergeCell ref="A1:K1"/>
  </mergeCells>
  <conditionalFormatting sqref="F44:F51">
    <cfRule type="cellIs" priority="1" operator="notEqual" dxfId="0">
      <formula>0</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