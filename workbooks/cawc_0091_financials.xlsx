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Marcelino Water and Service Co</t>
        </is>
      </c>
    </row>
    <row r="2">
      <c r="A2" s="2" t="inlineStr">
        <is>
          <t>Financial Summary - multi-year overview (USD)</t>
        </is>
      </c>
    </row>
    <row r="3">
      <c r="A3" s="2" t="inlineStr">
        <is>
          <t>Entity ID: cawc_0091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141084</v>
      </c>
      <c r="C10" s="9" t="n">
        <v>148275</v>
      </c>
      <c r="D10" s="9" t="n">
        <v>153148</v>
      </c>
      <c r="E10" s="9" t="n">
        <v>245671</v>
      </c>
      <c r="F10" s="9" t="n">
        <v>165602</v>
      </c>
      <c r="G10" s="9" t="n">
        <v>165501</v>
      </c>
    </row>
    <row r="11">
      <c r="A11" s="8" t="inlineStr">
        <is>
          <t xml:space="preserve">    Total expenses</t>
        </is>
      </c>
      <c r="B11" s="9" t="n">
        <v>119631</v>
      </c>
      <c r="C11" s="9" t="n">
        <v>136027</v>
      </c>
      <c r="D11" s="9" t="n">
        <v>131757</v>
      </c>
      <c r="E11" s="9" t="n">
        <v>130892</v>
      </c>
      <c r="F11" s="9" t="n">
        <v>157645</v>
      </c>
      <c r="G11" s="9" t="n">
        <v>152828</v>
      </c>
    </row>
    <row r="12">
      <c r="A12" s="10" t="inlineStr">
        <is>
          <t xml:space="preserve">    Net income</t>
        </is>
      </c>
      <c r="B12" s="11" t="n">
        <v>21453</v>
      </c>
      <c r="C12" s="11" t="n">
        <v>12248</v>
      </c>
      <c r="D12" s="11" t="n">
        <v>21391</v>
      </c>
      <c r="E12" s="11" t="n">
        <v>114779</v>
      </c>
      <c r="F12" s="11" t="n">
        <v>7957</v>
      </c>
      <c r="G12" s="11" t="n">
        <v>12673</v>
      </c>
    </row>
    <row r="14">
      <c r="A14" s="6" t="inlineStr">
        <is>
          <t>Financial position (USD, end of year)</t>
        </is>
      </c>
      <c r="B14" s="7" t="n"/>
      <c r="C14" s="7" t="n"/>
      <c r="D14" s="7" t="n"/>
      <c r="E14" s="7" t="n"/>
      <c r="F14" s="7" t="n"/>
      <c r="G14" s="7" t="n"/>
    </row>
    <row r="15">
      <c r="A15" s="8" t="inlineStr">
        <is>
          <t xml:space="preserve">    Total assets</t>
        </is>
      </c>
      <c r="B15" s="9" t="n">
        <v>541194</v>
      </c>
      <c r="C15" s="9" t="n">
        <v>551950</v>
      </c>
      <c r="D15" s="9" t="n">
        <v>571146</v>
      </c>
      <c r="E15" s="9" t="n">
        <v>689912</v>
      </c>
      <c r="F15" s="9" t="n">
        <v>695957</v>
      </c>
      <c r="G15" s="9" t="n">
        <v>709147</v>
      </c>
    </row>
    <row r="16">
      <c r="A16" s="8" t="inlineStr">
        <is>
          <t xml:space="preserve">    Total liabilities</t>
        </is>
      </c>
      <c r="B16" s="9" t="n">
        <v>5458</v>
      </c>
      <c r="C16" s="9" t="n">
        <v>3966</v>
      </c>
      <c r="D16" s="9" t="n">
        <v>1771</v>
      </c>
      <c r="E16" s="9" t="n">
        <v>5758</v>
      </c>
      <c r="F16" s="9" t="n">
        <v>3721</v>
      </c>
      <c r="G16" s="9" t="n">
        <v>4238</v>
      </c>
    </row>
    <row r="17">
      <c r="A17" s="10" t="inlineStr">
        <is>
          <t xml:space="preserve">    Net assets</t>
        </is>
      </c>
      <c r="B17" s="11" t="n">
        <v>535736</v>
      </c>
      <c r="C17" s="11" t="n">
        <v>547984</v>
      </c>
      <c r="D17" s="11" t="n">
        <v>569375</v>
      </c>
      <c r="E17" s="11" t="n">
        <v>684154</v>
      </c>
      <c r="F17" s="11" t="n">
        <v>692236</v>
      </c>
      <c r="G17" s="11" t="n">
        <v>704909</v>
      </c>
    </row>
    <row r="19">
      <c r="A19" s="6" t="inlineStr">
        <is>
          <t>Headline ratios</t>
        </is>
      </c>
      <c r="B19" s="7" t="n"/>
      <c r="C19" s="7" t="n"/>
      <c r="D19" s="7" t="n"/>
      <c r="E19" s="7" t="n"/>
      <c r="F19" s="7" t="n"/>
      <c r="G19" s="7" t="n"/>
    </row>
    <row r="20">
      <c r="A20" s="8" t="inlineStr">
        <is>
          <t xml:space="preserve">    Operating margin</t>
        </is>
      </c>
      <c r="B20" s="12" t="n">
        <v>0.1520583482180828</v>
      </c>
      <c r="C20" s="12" t="n">
        <v>0.0826032709492497</v>
      </c>
      <c r="D20" s="12" t="n">
        <v>0.1396753467234309</v>
      </c>
      <c r="E20" s="12" t="n">
        <v>0.4672061415470283</v>
      </c>
      <c r="F20" s="12" t="n">
        <v>0.04804893660704581</v>
      </c>
      <c r="G20" s="12" t="n">
        <v>0.07657355544679488</v>
      </c>
    </row>
    <row r="21">
      <c r="A21" s="8" t="inlineStr">
        <is>
          <t xml:space="preserve">    Revenue growth (YoY)</t>
        </is>
      </c>
      <c r="B21" s="12" t="n">
        <v>0.06411832587888341</v>
      </c>
      <c r="C21" s="12" t="n">
        <v>0.0509696351109977</v>
      </c>
      <c r="D21" s="12" t="n">
        <v>0.03286460967796324</v>
      </c>
      <c r="E21" s="12" t="n">
        <v>0.6041410922767519</v>
      </c>
      <c r="F21" s="12" t="n">
        <v>-0.3259196242128701</v>
      </c>
      <c r="G21" s="12" t="n">
        <v>-0.000609896015748602</v>
      </c>
    </row>
    <row r="22">
      <c r="A22" s="8" t="inlineStr">
        <is>
          <t xml:space="preserve">    Return on assets</t>
        </is>
      </c>
      <c r="B22" s="12" t="n">
        <v>0.03964012904799388</v>
      </c>
      <c r="C22" s="12" t="n">
        <v>0.02219041579853247</v>
      </c>
      <c r="D22" s="12" t="n">
        <v>0.03745277039496031</v>
      </c>
      <c r="E22" s="12" t="n">
        <v>0.1663675947077309</v>
      </c>
      <c r="F22" s="12" t="n">
        <v>0.01143317762447967</v>
      </c>
      <c r="G22" s="12" t="n">
        <v>0.01787076586377719</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Marcelino Water and Service Co</t>
        </is>
      </c>
    </row>
    <row r="2">
      <c r="A2" s="2" t="inlineStr">
        <is>
          <t>Financial Statements - income statement, balance sheet, cash flow, member income test (USD)</t>
        </is>
      </c>
    </row>
    <row r="3">
      <c r="A3" s="2" t="inlineStr">
        <is>
          <t>Entity ID: cawc_0091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141026</v>
      </c>
      <c r="C8" s="9" t="n">
        <v>148261</v>
      </c>
      <c r="D8" s="9" t="n">
        <v>153125</v>
      </c>
      <c r="E8" s="9" t="n">
        <v>245616</v>
      </c>
      <c r="F8" s="9" t="n">
        <v>165540</v>
      </c>
      <c r="G8" s="9" t="n">
        <v>165430</v>
      </c>
    </row>
    <row r="9">
      <c r="A9" s="8" t="inlineStr">
        <is>
          <t xml:space="preserve">    Investment income</t>
        </is>
      </c>
      <c r="B9" s="9" t="n">
        <v>58</v>
      </c>
      <c r="C9" s="9" t="n">
        <v>14</v>
      </c>
      <c r="D9" s="9" t="n">
        <v>23</v>
      </c>
      <c r="E9" s="9" t="n">
        <v>55</v>
      </c>
      <c r="F9" s="9" t="n">
        <v>62</v>
      </c>
      <c r="G9" s="9" t="n">
        <v>71</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141084</v>
      </c>
      <c r="C14" s="11" t="n">
        <v>148275</v>
      </c>
      <c r="D14" s="11" t="n">
        <v>153148</v>
      </c>
      <c r="E14" s="11" t="n">
        <v>245671</v>
      </c>
      <c r="F14" s="11" t="n">
        <v>165602</v>
      </c>
      <c r="G14" s="11" t="n">
        <v>165501</v>
      </c>
    </row>
    <row r="16">
      <c r="A16" s="6" t="inlineStr">
        <is>
          <t>Expenses</t>
        </is>
      </c>
      <c r="B16" s="7" t="n"/>
      <c r="C16" s="7" t="n"/>
      <c r="D16" s="7" t="n"/>
      <c r="E16" s="7" t="n"/>
      <c r="F16" s="7" t="n"/>
      <c r="G16" s="7" t="n"/>
    </row>
    <row r="17">
      <c r="A17" s="8" t="inlineStr">
        <is>
          <t xml:space="preserve">    Depreciation</t>
        </is>
      </c>
      <c r="B17" s="9" t="n">
        <v>30227</v>
      </c>
      <c r="C17" s="9" t="n">
        <v>31140</v>
      </c>
      <c r="D17" s="9" t="n">
        <v>34585</v>
      </c>
      <c r="E17" s="9" t="n">
        <v>38132</v>
      </c>
      <c r="F17" s="9" t="n">
        <v>46079</v>
      </c>
      <c r="G17" s="9" t="n">
        <v>50003</v>
      </c>
    </row>
    <row r="18">
      <c r="A18" s="8" t="inlineStr">
        <is>
          <t xml:space="preserve">    Interest expense</t>
        </is>
      </c>
      <c r="B18" s="9" t="n">
        <v>0</v>
      </c>
      <c r="C18" s="9" t="n">
        <v>0</v>
      </c>
      <c r="D18" s="9" t="n">
        <v>0</v>
      </c>
      <c r="E18" s="9" t="n">
        <v>0</v>
      </c>
      <c r="F18" s="9" t="n">
        <v>0</v>
      </c>
      <c r="G18" s="9" t="n">
        <v>0</v>
      </c>
    </row>
    <row r="19">
      <c r="A19" s="10" t="inlineStr">
        <is>
          <t>Total expenses</t>
        </is>
      </c>
      <c r="B19" s="11" t="n">
        <v>119631</v>
      </c>
      <c r="C19" s="11" t="n">
        <v>136027</v>
      </c>
      <c r="D19" s="11" t="n">
        <v>131757</v>
      </c>
      <c r="E19" s="11" t="n">
        <v>130892</v>
      </c>
      <c r="F19" s="11" t="n">
        <v>157645</v>
      </c>
      <c r="G19" s="11" t="n">
        <v>152828</v>
      </c>
    </row>
    <row r="21">
      <c r="A21" s="10" t="inlineStr">
        <is>
          <t>Net income</t>
        </is>
      </c>
      <c r="B21" s="11" t="n">
        <v>21453</v>
      </c>
      <c r="C21" s="11" t="n">
        <v>12248</v>
      </c>
      <c r="D21" s="11" t="n">
        <v>21391</v>
      </c>
      <c r="E21" s="11" t="n">
        <v>114779</v>
      </c>
      <c r="F21" s="11" t="n">
        <v>7957</v>
      </c>
      <c r="G21" s="11" t="n">
        <v>12673</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35509</v>
      </c>
      <c r="C27" s="9" t="n">
        <v>64819</v>
      </c>
      <c r="D27" s="9" t="n">
        <v>74836</v>
      </c>
      <c r="E27" s="9" t="n">
        <v>102043</v>
      </c>
      <c r="F27" s="9" t="n">
        <v>137303</v>
      </c>
      <c r="G27" s="9" t="n">
        <v>110218</v>
      </c>
    </row>
    <row r="28">
      <c r="A28" s="8" t="inlineStr">
        <is>
          <t xml:space="preserve">    Savings &amp; temporary investments</t>
        </is>
      </c>
      <c r="B28" s="9" t="n">
        <v>50569</v>
      </c>
      <c r="C28" s="9" t="n">
        <v>50506</v>
      </c>
      <c r="D28" s="9" t="n">
        <v>50440</v>
      </c>
      <c r="E28" s="9" t="n">
        <v>0</v>
      </c>
      <c r="F28" s="9" t="n">
        <v>0</v>
      </c>
      <c r="G28" s="9" t="n">
        <v>0</v>
      </c>
    </row>
    <row r="29">
      <c r="A29" s="8" t="inlineStr">
        <is>
          <t xml:space="preserve">    Accounts receivable</t>
        </is>
      </c>
      <c r="B29" s="9" t="n">
        <v>20963</v>
      </c>
      <c r="C29" s="9" t="n">
        <v>25851</v>
      </c>
      <c r="D29" s="9" t="n">
        <v>27386</v>
      </c>
      <c r="E29" s="9" t="n">
        <v>30917</v>
      </c>
      <c r="F29" s="9" t="n">
        <v>31719</v>
      </c>
      <c r="G29" s="9" t="n">
        <v>35674</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412</v>
      </c>
      <c r="C31" s="9" t="n">
        <v>418</v>
      </c>
      <c r="D31" s="9" t="n">
        <v>455</v>
      </c>
      <c r="E31" s="9" t="n">
        <v>490</v>
      </c>
      <c r="F31" s="9" t="n">
        <v>527</v>
      </c>
      <c r="G31" s="9" t="n">
        <v>2802</v>
      </c>
    </row>
    <row r="32">
      <c r="A32" s="8" t="inlineStr">
        <is>
          <t xml:space="preserve">    Property, plant &amp; equipment (gross)</t>
        </is>
      </c>
      <c r="B32" s="9" t="n">
        <v>901866</v>
      </c>
      <c r="C32" s="9" t="n">
        <v>909621</v>
      </c>
      <c r="D32" s="9" t="n">
        <v>951879</v>
      </c>
      <c r="E32" s="9" t="n">
        <v>1128444</v>
      </c>
      <c r="F32" s="9" t="n">
        <v>1144469</v>
      </c>
      <c r="G32" s="9" t="n">
        <v>1228517</v>
      </c>
    </row>
    <row r="33">
      <c r="A33" s="8" t="inlineStr">
        <is>
          <t xml:space="preserve">    Less: accumulated depreciation</t>
        </is>
      </c>
      <c r="B33" s="9" t="n">
        <v>-468125</v>
      </c>
      <c r="C33" s="9" t="n">
        <v>-499265</v>
      </c>
      <c r="D33" s="9" t="n">
        <v>-533850</v>
      </c>
      <c r="E33" s="9" t="n">
        <v>-571982</v>
      </c>
      <c r="F33" s="9" t="n">
        <v>-618061</v>
      </c>
      <c r="G33" s="9" t="n">
        <v>-668064</v>
      </c>
    </row>
    <row r="34">
      <c r="A34" s="10" t="inlineStr">
        <is>
          <t xml:space="preserve">    Net property, plant &amp; equipment</t>
        </is>
      </c>
      <c r="B34" s="11" t="n">
        <v>433741</v>
      </c>
      <c r="C34" s="11" t="n">
        <v>410356</v>
      </c>
      <c r="D34" s="11" t="n">
        <v>418029</v>
      </c>
      <c r="E34" s="11" t="n">
        <v>556462</v>
      </c>
      <c r="F34" s="11" t="n">
        <v>526408</v>
      </c>
      <c r="G34" s="11" t="n">
        <v>560453</v>
      </c>
    </row>
    <row r="35">
      <c r="A35" s="10" t="inlineStr">
        <is>
          <t>Total assets</t>
        </is>
      </c>
      <c r="B35" s="11" t="n">
        <v>541194</v>
      </c>
      <c r="C35" s="11" t="n">
        <v>551950</v>
      </c>
      <c r="D35" s="11" t="n">
        <v>571146</v>
      </c>
      <c r="E35" s="11" t="n">
        <v>689912</v>
      </c>
      <c r="F35" s="11" t="n">
        <v>695957</v>
      </c>
      <c r="G35" s="11" t="n">
        <v>709147</v>
      </c>
    </row>
    <row r="37">
      <c r="A37" s="6" t="inlineStr">
        <is>
          <t>Liabilities</t>
        </is>
      </c>
      <c r="B37" s="7" t="n"/>
      <c r="C37" s="7" t="n"/>
      <c r="D37" s="7" t="n"/>
      <c r="E37" s="7" t="n"/>
      <c r="F37" s="7" t="n"/>
      <c r="G37" s="7" t="n"/>
    </row>
    <row r="38">
      <c r="A38" s="8" t="inlineStr">
        <is>
          <t xml:space="preserve">    Accounts payable</t>
        </is>
      </c>
      <c r="B38" s="9" t="n">
        <v>3518</v>
      </c>
      <c r="C38" s="9" t="n">
        <v>3396</v>
      </c>
      <c r="D38" s="9" t="n">
        <v>1636</v>
      </c>
      <c r="E38" s="9" t="n">
        <v>4723</v>
      </c>
      <c r="F38" s="9" t="n">
        <v>3071</v>
      </c>
      <c r="G38" s="9" t="n">
        <v>3138</v>
      </c>
    </row>
    <row r="39">
      <c r="A39" s="8" t="inlineStr">
        <is>
          <t xml:space="preserve">    Mortgages &amp; notes payable</t>
        </is>
      </c>
      <c r="B39" s="9" t="n"/>
      <c r="C39" s="9" t="n"/>
      <c r="D39" s="9" t="n"/>
      <c r="E39" s="9" t="n"/>
      <c r="F39" s="9" t="n"/>
      <c r="G39" s="9" t="n"/>
    </row>
    <row r="40">
      <c r="A40" s="10" t="inlineStr">
        <is>
          <t>Total liabilities</t>
        </is>
      </c>
      <c r="B40" s="11" t="n">
        <v>5458</v>
      </c>
      <c r="C40" s="11" t="n">
        <v>3966</v>
      </c>
      <c r="D40" s="11" t="n">
        <v>1771</v>
      </c>
      <c r="E40" s="11" t="n">
        <v>5758</v>
      </c>
      <c r="F40" s="11" t="n">
        <v>3721</v>
      </c>
      <c r="G40" s="11" t="n">
        <v>4238</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v>535736</v>
      </c>
      <c r="C45" s="9" t="n">
        <v>547984</v>
      </c>
      <c r="D45" s="9" t="n">
        <v>569375</v>
      </c>
      <c r="E45" s="9" t="n">
        <v>684154</v>
      </c>
      <c r="F45" s="9" t="n">
        <v>692236</v>
      </c>
      <c r="G45" s="9" t="n">
        <v>704909</v>
      </c>
    </row>
    <row r="46">
      <c r="A46" s="10" t="inlineStr">
        <is>
          <t>Net assets</t>
        </is>
      </c>
      <c r="B46" s="11" t="n">
        <v>535736</v>
      </c>
      <c r="C46" s="11" t="n">
        <v>547984</v>
      </c>
      <c r="D46" s="11" t="n">
        <v>569375</v>
      </c>
      <c r="E46" s="11" t="n">
        <v>684154</v>
      </c>
      <c r="F46" s="11" t="n">
        <v>692236</v>
      </c>
      <c r="G46" s="11" t="n">
        <v>704909</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21453</v>
      </c>
      <c r="C52" s="9" t="n">
        <v>12248</v>
      </c>
      <c r="D52" s="9" t="n">
        <v>21391</v>
      </c>
      <c r="E52" s="9" t="n">
        <v>114779</v>
      </c>
      <c r="F52" s="9" t="n">
        <v>7957</v>
      </c>
      <c r="G52" s="9" t="n">
        <v>12673</v>
      </c>
    </row>
    <row r="53">
      <c r="A53" s="8" t="inlineStr">
        <is>
          <t xml:space="preserve">    + Depreciation (reported)</t>
        </is>
      </c>
      <c r="B53" s="9" t="n">
        <v>30227</v>
      </c>
      <c r="C53" s="9" t="n">
        <v>31140</v>
      </c>
      <c r="D53" s="9" t="n">
        <v>34585</v>
      </c>
      <c r="E53" s="9" t="n">
        <v>38132</v>
      </c>
      <c r="F53" s="9" t="n">
        <v>46079</v>
      </c>
      <c r="G53" s="9" t="n">
        <v>50003</v>
      </c>
    </row>
    <row r="54">
      <c r="A54" s="8" t="inlineStr">
        <is>
          <t xml:space="preserve">    − Δ Accounts receivable</t>
        </is>
      </c>
      <c r="B54" s="9" t="n"/>
      <c r="C54" s="9" t="n">
        <v>-4888</v>
      </c>
      <c r="D54" s="9" t="n">
        <v>-1535</v>
      </c>
      <c r="E54" s="9" t="n">
        <v>-3531</v>
      </c>
      <c r="F54" s="9" t="n">
        <v>-802</v>
      </c>
      <c r="G54" s="9" t="n">
        <v>-3955</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-6</v>
      </c>
      <c r="D56" s="9" t="n">
        <v>-37</v>
      </c>
      <c r="E56" s="9" t="n">
        <v>-35</v>
      </c>
      <c r="F56" s="9" t="n">
        <v>-37</v>
      </c>
      <c r="G56" s="9" t="n">
        <v>-2275</v>
      </c>
    </row>
    <row r="57">
      <c r="A57" s="8" t="inlineStr">
        <is>
          <t xml:space="preserve">    + Δ Accounts payable</t>
        </is>
      </c>
      <c r="B57" s="9" t="n"/>
      <c r="C57" s="9" t="n">
        <v>-122</v>
      </c>
      <c r="D57" s="9" t="n">
        <v>-1760</v>
      </c>
      <c r="E57" s="9" t="n">
        <v>3087</v>
      </c>
      <c r="F57" s="9" t="n">
        <v>-1652</v>
      </c>
      <c r="G57" s="9" t="n">
        <v>67</v>
      </c>
    </row>
    <row r="58">
      <c r="A58" s="10" t="inlineStr">
        <is>
          <t xml:space="preserve">    Operating cash flow proxy</t>
        </is>
      </c>
      <c r="B58" s="11" t="n"/>
      <c r="C58" s="11" t="n">
        <v>38372</v>
      </c>
      <c r="D58" s="11" t="n">
        <v>52644</v>
      </c>
      <c r="E58" s="11" t="n">
        <v>152432</v>
      </c>
      <c r="F58" s="11" t="n">
        <v>51545</v>
      </c>
      <c r="G58" s="11" t="n">
        <v>56513</v>
      </c>
    </row>
    <row r="60">
      <c r="A60" s="6" t="inlineStr">
        <is>
          <t>Investing</t>
        </is>
      </c>
      <c r="B60" s="7" t="n"/>
      <c r="C60" s="7" t="n"/>
      <c r="D60" s="7" t="n"/>
      <c r="E60" s="7" t="n"/>
      <c r="F60" s="7" t="n"/>
      <c r="G60" s="7" t="n"/>
    </row>
    <row r="61">
      <c r="A61" s="8" t="inlineStr">
        <is>
          <t xml:space="preserve">    − Δ PP&amp;E gross (capex proxy)</t>
        </is>
      </c>
      <c r="B61" s="9" t="n"/>
      <c r="C61" s="9" t="n">
        <v>-7755</v>
      </c>
      <c r="D61" s="9" t="n">
        <v>-42258</v>
      </c>
      <c r="E61" s="9" t="n">
        <v>-176565</v>
      </c>
      <c r="F61" s="9" t="n">
        <v>-16025</v>
      </c>
      <c r="G61" s="9" t="n">
        <v>-84048</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29247</v>
      </c>
      <c r="D67" s="11" t="n">
        <v>9951</v>
      </c>
      <c r="E67" s="11" t="n">
        <v>-23233</v>
      </c>
      <c r="F67" s="11" t="n">
        <v>35260</v>
      </c>
      <c r="G67" s="11" t="n">
        <v>-27085</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9" t="n">
        <v>165540</v>
      </c>
      <c r="G73" s="9" t="n">
        <v>165430</v>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9" t="n">
        <v>62</v>
      </c>
      <c r="G74" s="9" t="n">
        <v>71</v>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Marcelino Water and Service Co</t>
        </is>
      </c>
    </row>
    <row r="2">
      <c r="A2" s="2" t="inlineStr">
        <is>
          <t>Balance Sheet - as reported (USD, end of year)</t>
        </is>
      </c>
    </row>
    <row r="3">
      <c r="A3" s="2" t="inlineStr">
        <is>
          <t>Entity ID: cawc_0091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35509</v>
      </c>
      <c r="C7" s="9" t="n">
        <v>64819</v>
      </c>
      <c r="D7" s="9" t="n">
        <v>74836</v>
      </c>
      <c r="E7" s="9" t="n">
        <v>102043</v>
      </c>
      <c r="F7" s="9" t="n">
        <v>137303</v>
      </c>
      <c r="G7" s="9" t="n">
        <v>110218</v>
      </c>
    </row>
    <row r="8">
      <c r="A8" s="8" t="inlineStr">
        <is>
          <t xml:space="preserve">    Savings &amp; temporary investments</t>
        </is>
      </c>
      <c r="B8" s="9" t="n">
        <v>50569</v>
      </c>
      <c r="C8" s="9" t="n">
        <v>50506</v>
      </c>
      <c r="D8" s="9" t="n">
        <v>50440</v>
      </c>
      <c r="E8" s="9" t="n">
        <v>0</v>
      </c>
      <c r="F8" s="9" t="n">
        <v>0</v>
      </c>
      <c r="G8" s="9" t="n">
        <v>0</v>
      </c>
    </row>
    <row r="9">
      <c r="A9" s="8" t="inlineStr">
        <is>
          <t xml:space="preserve">    Accounts receivable</t>
        </is>
      </c>
      <c r="B9" s="9" t="n">
        <v>20963</v>
      </c>
      <c r="C9" s="9" t="n">
        <v>25851</v>
      </c>
      <c r="D9" s="9" t="n">
        <v>27386</v>
      </c>
      <c r="E9" s="9" t="n">
        <v>30917</v>
      </c>
      <c r="F9" s="9" t="n">
        <v>31719</v>
      </c>
      <c r="G9" s="9" t="n">
        <v>35674</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412</v>
      </c>
      <c r="C11" s="9" t="n">
        <v>418</v>
      </c>
      <c r="D11" s="9" t="n">
        <v>455</v>
      </c>
      <c r="E11" s="9" t="n">
        <v>490</v>
      </c>
      <c r="F11" s="9" t="n">
        <v>527</v>
      </c>
      <c r="G11" s="9" t="n">
        <v>2802</v>
      </c>
    </row>
    <row r="12">
      <c r="A12" s="8" t="inlineStr">
        <is>
          <t xml:space="preserve">    Property, plant &amp; equipment (gross)</t>
        </is>
      </c>
      <c r="B12" s="9" t="n">
        <v>901866</v>
      </c>
      <c r="C12" s="9" t="n">
        <v>909621</v>
      </c>
      <c r="D12" s="9" t="n">
        <v>951879</v>
      </c>
      <c r="E12" s="9" t="n">
        <v>1128444</v>
      </c>
      <c r="F12" s="9" t="n">
        <v>1144469</v>
      </c>
      <c r="G12" s="9" t="n">
        <v>1228517</v>
      </c>
    </row>
    <row r="13">
      <c r="A13" s="8" t="inlineStr">
        <is>
          <t xml:space="preserve">    Less: accumulated depreciation</t>
        </is>
      </c>
      <c r="B13" s="9" t="n">
        <v>-468125</v>
      </c>
      <c r="C13" s="9" t="n">
        <v>-499265</v>
      </c>
      <c r="D13" s="9" t="n">
        <v>-533850</v>
      </c>
      <c r="E13" s="9" t="n">
        <v>-571982</v>
      </c>
      <c r="F13" s="9" t="n">
        <v>-618061</v>
      </c>
      <c r="G13" s="9" t="n">
        <v>-668064</v>
      </c>
    </row>
    <row r="14">
      <c r="A14" s="10" t="inlineStr">
        <is>
          <t xml:space="preserve">    Net property, plant &amp; equipment</t>
        </is>
      </c>
      <c r="B14" s="11" t="n">
        <v>433741</v>
      </c>
      <c r="C14" s="11" t="n">
        <v>410356</v>
      </c>
      <c r="D14" s="11" t="n">
        <v>418029</v>
      </c>
      <c r="E14" s="11" t="n">
        <v>556462</v>
      </c>
      <c r="F14" s="11" t="n">
        <v>526408</v>
      </c>
      <c r="G14" s="11" t="n">
        <v>560453</v>
      </c>
    </row>
    <row r="15">
      <c r="A15" s="10" t="inlineStr">
        <is>
          <t>Total assets</t>
        </is>
      </c>
      <c r="B15" s="11" t="n">
        <v>541194</v>
      </c>
      <c r="C15" s="11" t="n">
        <v>551950</v>
      </c>
      <c r="D15" s="11" t="n">
        <v>571146</v>
      </c>
      <c r="E15" s="11" t="n">
        <v>689912</v>
      </c>
      <c r="F15" s="11" t="n">
        <v>695957</v>
      </c>
      <c r="G15" s="11" t="n">
        <v>709147</v>
      </c>
    </row>
    <row r="17">
      <c r="A17" s="6" t="inlineStr">
        <is>
          <t>Liabilities</t>
        </is>
      </c>
      <c r="B17" s="7" t="n"/>
      <c r="C17" s="7" t="n"/>
      <c r="D17" s="7" t="n"/>
      <c r="E17" s="7" t="n"/>
      <c r="F17" s="7" t="n"/>
      <c r="G17" s="7" t="n"/>
    </row>
    <row r="18">
      <c r="A18" s="8" t="inlineStr">
        <is>
          <t xml:space="preserve">    Accounts payable</t>
        </is>
      </c>
      <c r="B18" s="9" t="n">
        <v>3518</v>
      </c>
      <c r="C18" s="9" t="n">
        <v>3396</v>
      </c>
      <c r="D18" s="9" t="n">
        <v>1636</v>
      </c>
      <c r="E18" s="9" t="n">
        <v>4723</v>
      </c>
      <c r="F18" s="9" t="n">
        <v>3071</v>
      </c>
      <c r="G18" s="9" t="n">
        <v>3138</v>
      </c>
    </row>
    <row r="19">
      <c r="A19" s="8" t="inlineStr">
        <is>
          <t xml:space="preserve">    Mortgages &amp; notes payable</t>
        </is>
      </c>
      <c r="B19" s="9" t="n"/>
      <c r="C19" s="9" t="n"/>
      <c r="D19" s="9" t="n"/>
      <c r="E19" s="9" t="n"/>
      <c r="F19" s="9" t="n"/>
      <c r="G19" s="9" t="n"/>
    </row>
    <row r="20">
      <c r="A20" s="10" t="inlineStr">
        <is>
          <t>Total liabilities</t>
        </is>
      </c>
      <c r="B20" s="11" t="n">
        <v>5458</v>
      </c>
      <c r="C20" s="11" t="n">
        <v>3966</v>
      </c>
      <c r="D20" s="11" t="n">
        <v>1771</v>
      </c>
      <c r="E20" s="11" t="n">
        <v>5758</v>
      </c>
      <c r="F20" s="11" t="n">
        <v>3721</v>
      </c>
      <c r="G20" s="11" t="n">
        <v>4238</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v>535736</v>
      </c>
      <c r="C25" s="9" t="n">
        <v>547984</v>
      </c>
      <c r="D25" s="9" t="n">
        <v>569375</v>
      </c>
      <c r="E25" s="9" t="n">
        <v>684154</v>
      </c>
      <c r="F25" s="9" t="n">
        <v>692236</v>
      </c>
      <c r="G25" s="9" t="n">
        <v>704909</v>
      </c>
    </row>
    <row r="26">
      <c r="A26" s="10" t="inlineStr">
        <is>
          <t>Net assets</t>
        </is>
      </c>
      <c r="B26" s="11" t="n">
        <v>535736</v>
      </c>
      <c r="C26" s="11" t="n">
        <v>547984</v>
      </c>
      <c r="D26" s="11" t="n">
        <v>569375</v>
      </c>
      <c r="E26" s="11" t="n">
        <v>684154</v>
      </c>
      <c r="F26" s="11" t="n">
        <v>692236</v>
      </c>
      <c r="G26" s="11" t="n">
        <v>704909</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Rancho Marcelino Water and Service Co</t>
        </is>
      </c>
    </row>
    <row r="2">
      <c r="A2" s="2" t="inlineStr">
        <is>
          <t>Officers, Directors &amp; Contractors - Form 990 Part VII (FY2025; USD)</t>
        </is>
      </c>
    </row>
    <row r="3">
      <c r="A3" s="2" t="inlineStr">
        <is>
          <t>Entity ID: cawc_0091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ALLAN JONES</t>
        </is>
      </c>
      <c r="B7" s="8" t="inlineStr">
        <is>
          <t>Director</t>
        </is>
      </c>
      <c r="C7" s="9" t="n">
        <v>0</v>
      </c>
      <c r="D7" s="9" t="n">
        <v>0</v>
      </c>
      <c r="E7" s="9" t="n">
        <v>0</v>
      </c>
      <c r="F7" s="9" t="n">
        <v>0</v>
      </c>
    </row>
    <row r="8">
      <c r="A8" s="8" t="inlineStr">
        <is>
          <t>BRENT CRAINE</t>
        </is>
      </c>
      <c r="B8" s="8" t="inlineStr">
        <is>
          <t>Director</t>
        </is>
      </c>
      <c r="C8" s="9" t="n">
        <v>0</v>
      </c>
      <c r="D8" s="9" t="n">
        <v>0</v>
      </c>
      <c r="E8" s="9" t="n">
        <v>0</v>
      </c>
      <c r="F8" s="9" t="n">
        <v>0</v>
      </c>
    </row>
    <row r="9">
      <c r="A9" s="8" t="inlineStr">
        <is>
          <t>PAULINE GREENWALD</t>
        </is>
      </c>
      <c r="B9" s="8" t="inlineStr">
        <is>
          <t>Director</t>
        </is>
      </c>
      <c r="C9" s="9" t="n">
        <v>0</v>
      </c>
      <c r="D9" s="9" t="n">
        <v>0</v>
      </c>
      <c r="E9" s="9" t="n">
        <v>0</v>
      </c>
      <c r="F9" s="9" t="n">
        <v>0</v>
      </c>
    </row>
    <row r="10">
      <c r="A10" s="8" t="inlineStr">
        <is>
          <t>BRIAN ROBINSON</t>
        </is>
      </c>
      <c r="B10" s="8" t="inlineStr">
        <is>
          <t>President</t>
        </is>
      </c>
      <c r="C10" s="9" t="n">
        <v>0</v>
      </c>
      <c r="D10" s="9" t="n">
        <v>0</v>
      </c>
      <c r="E10" s="9" t="n">
        <v>0</v>
      </c>
      <c r="F10" s="9" t="n">
        <v>0</v>
      </c>
    </row>
    <row r="11">
      <c r="A11" s="8" t="inlineStr">
        <is>
          <t>BRAD MCVAY</t>
        </is>
      </c>
      <c r="B11" s="8" t="inlineStr">
        <is>
          <t>Director</t>
        </is>
      </c>
      <c r="C11" s="9" t="n">
        <v>0</v>
      </c>
      <c r="D11" s="9" t="n">
        <v>0</v>
      </c>
      <c r="E11" s="9" t="n">
        <v>0</v>
      </c>
      <c r="F11" s="9" t="n">
        <v>0</v>
      </c>
    </row>
    <row r="12">
      <c r="A12" s="8" t="inlineStr">
        <is>
          <t>DAVID RASMUSSEN</t>
        </is>
      </c>
      <c r="B12" s="8" t="inlineStr">
        <is>
          <t>Secretary</t>
        </is>
      </c>
      <c r="C12" s="9" t="n">
        <v>0</v>
      </c>
      <c r="D12" s="9" t="n">
        <v>0</v>
      </c>
      <c r="E12" s="9" t="n">
        <v>0</v>
      </c>
      <c r="F12" s="9" t="n">
        <v>0</v>
      </c>
    </row>
    <row r="13">
      <c r="A13" s="8" t="inlineStr">
        <is>
          <t>MICHAEL GRENIER</t>
        </is>
      </c>
      <c r="B13" s="8" t="inlineStr">
        <is>
          <t>Treasurer</t>
        </is>
      </c>
      <c r="C13" s="9" t="n">
        <v>0</v>
      </c>
      <c r="D13" s="9" t="n">
        <v>0</v>
      </c>
      <c r="E13" s="9" t="n">
        <v>0</v>
      </c>
      <c r="F13" s="9" t="n">
        <v>0</v>
      </c>
    </row>
    <row r="15">
      <c r="A15" s="6" t="inlineStr">
        <is>
          <t>Section B - Independent contractors (over $100,000)</t>
        </is>
      </c>
      <c r="B15" s="7" t="n"/>
      <c r="C15" s="7" t="n"/>
      <c r="D15" s="7" t="n"/>
      <c r="E15" s="7" t="n"/>
      <c r="F15" s="7" t="n"/>
    </row>
    <row r="16">
      <c r="A16" s="5" t="inlineStr">
        <is>
          <t>Contractor</t>
        </is>
      </c>
      <c r="B16" s="5" t="inlineStr">
        <is>
          <t>Services</t>
        </is>
      </c>
      <c r="C16" s="5" t="inlineStr">
        <is>
          <t>Compensation</t>
        </is>
      </c>
    </row>
    <row r="18" ht="42" customHeight="1">
      <c r="A18"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Marcelino Water and Service Co</t>
        </is>
      </c>
    </row>
    <row r="2">
      <c r="A2" s="2" t="inlineStr">
        <is>
          <t>Revenue - Form 990 Part VIII (USD)</t>
        </is>
      </c>
    </row>
    <row r="3">
      <c r="A3" s="2" t="inlineStr">
        <is>
          <t>Entity ID: cawc_0091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141026</v>
      </c>
      <c r="C8" s="9" t="n">
        <v>148261</v>
      </c>
      <c r="D8" s="9" t="n">
        <v>153125</v>
      </c>
      <c r="E8" s="9" t="n">
        <v>245616</v>
      </c>
      <c r="F8" s="9" t="n">
        <v>165540</v>
      </c>
      <c r="G8" s="9" t="n">
        <v>165430</v>
      </c>
    </row>
    <row r="9">
      <c r="A9" s="8" t="inlineStr">
        <is>
          <t xml:space="preserve">    3. Investment income</t>
        </is>
      </c>
      <c r="B9" s="9" t="n">
        <v>58</v>
      </c>
      <c r="C9" s="9" t="n">
        <v>14</v>
      </c>
      <c r="D9" s="9" t="n">
        <v>23</v>
      </c>
      <c r="E9" s="9" t="n">
        <v>55</v>
      </c>
      <c r="F9" s="9" t="n">
        <v>62</v>
      </c>
      <c r="G9" s="9" t="n">
        <v>71</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Membership Dues &amp; Assessments</t>
        </is>
      </c>
      <c r="B17" s="8" t="inlineStr">
        <is>
          <t>221000</t>
        </is>
      </c>
      <c r="C17" s="9" t="n">
        <v>165430</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Rancho Marcelino Water and Service Co</t>
        </is>
      </c>
    </row>
    <row r="2">
      <c r="A2" s="2" t="inlineStr">
        <is>
          <t>Statement of Functional Expenses - Form 990 Part IX (USD)</t>
        </is>
      </c>
    </row>
    <row r="3">
      <c r="A3" s="2" t="inlineStr">
        <is>
          <t>Entity ID: cawc_0091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12000</v>
      </c>
      <c r="C11" s="9" t="n">
        <v>12000</v>
      </c>
      <c r="D11" s="9" t="n">
        <v>12000</v>
      </c>
      <c r="E11" s="9" t="n">
        <v>12000</v>
      </c>
      <c r="F11" s="9" t="n">
        <v>11000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0</v>
      </c>
      <c r="C13" s="9" t="n">
        <v>0</v>
      </c>
      <c r="D13" s="9" t="n">
        <v>0</v>
      </c>
      <c r="E13" s="9" t="n">
        <v>0</v>
      </c>
      <c r="F13" s="9" t="n">
        <v>0</v>
      </c>
      <c r="G13" s="9" t="n">
        <v>0</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0</v>
      </c>
      <c r="C16" s="9" t="n">
        <v>0</v>
      </c>
      <c r="D16" s="9" t="n">
        <v>0</v>
      </c>
      <c r="E16" s="9" t="n">
        <v>0</v>
      </c>
      <c r="F16" s="9" t="n">
        <v>0</v>
      </c>
      <c r="G16" s="9" t="n">
        <v>0</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0</v>
      </c>
      <c r="C18" s="9" t="n">
        <v>0</v>
      </c>
      <c r="D18" s="9" t="n">
        <v>0</v>
      </c>
      <c r="E18" s="9" t="n">
        <v>0</v>
      </c>
      <c r="F18" s="9" t="n">
        <v>0</v>
      </c>
      <c r="G18" s="9" t="n">
        <v>0</v>
      </c>
    </row>
    <row r="19">
      <c r="A19" s="8" t="inlineStr">
        <is>
          <t xml:space="preserve">    11c. Fees for services: accounting</t>
        </is>
      </c>
      <c r="B19" s="9" t="n">
        <v>13185</v>
      </c>
      <c r="C19" s="9" t="n">
        <v>13435</v>
      </c>
      <c r="D19" s="9" t="n">
        <v>12735</v>
      </c>
      <c r="E19" s="9" t="n">
        <v>16595</v>
      </c>
      <c r="F19" s="9" t="n">
        <v>14615</v>
      </c>
      <c r="G19" s="9" t="n">
        <v>12195</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2202</v>
      </c>
      <c r="C23" s="9" t="n">
        <v>2202</v>
      </c>
      <c r="D23" s="9" t="n">
        <v>2202</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2484</v>
      </c>
      <c r="C25" s="9" t="n">
        <v>2562</v>
      </c>
      <c r="D25" s="9" t="n">
        <v>2415</v>
      </c>
      <c r="E25" s="9" t="n">
        <v>3099</v>
      </c>
      <c r="F25" s="9" t="n">
        <v>2215</v>
      </c>
      <c r="G25" s="9" t="n">
        <v>897</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0</v>
      </c>
      <c r="C32" s="9" t="n">
        <v>0</v>
      </c>
      <c r="D32" s="9" t="n">
        <v>0</v>
      </c>
      <c r="E32" s="9" t="n">
        <v>0</v>
      </c>
      <c r="F32" s="9" t="n">
        <v>0</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30227</v>
      </c>
      <c r="C34" s="9" t="n">
        <v>31140</v>
      </c>
      <c r="D34" s="9" t="n">
        <v>34585</v>
      </c>
      <c r="E34" s="9" t="n">
        <v>38132</v>
      </c>
      <c r="F34" s="9" t="n">
        <v>46079</v>
      </c>
      <c r="G34" s="9" t="n">
        <v>50003</v>
      </c>
    </row>
    <row r="35">
      <c r="A35" s="8" t="inlineStr">
        <is>
          <t xml:space="preserve">    23. Insurance</t>
        </is>
      </c>
      <c r="B35" s="9" t="n">
        <v>1631</v>
      </c>
      <c r="C35" s="9" t="n">
        <v>1665</v>
      </c>
      <c r="D35" s="9" t="n">
        <v>1781</v>
      </c>
      <c r="E35" s="9" t="n">
        <v>1923</v>
      </c>
      <c r="F35" s="9" t="n">
        <v>2071</v>
      </c>
      <c r="G35" s="9" t="n">
        <v>2210</v>
      </c>
    </row>
    <row r="36">
      <c r="A36" s="8" t="inlineStr">
        <is>
          <t xml:space="preserve">    24. UTILITIES</t>
        </is>
      </c>
      <c r="B36" s="9" t="n">
        <v>26089</v>
      </c>
      <c r="C36" s="9" t="n">
        <v>22900</v>
      </c>
      <c r="D36" s="9" t="n">
        <v>25345</v>
      </c>
      <c r="E36" s="9" t="n">
        <v>23273</v>
      </c>
      <c r="F36" s="9" t="n">
        <v>28070</v>
      </c>
      <c r="G36" s="9" t="n">
        <v>34032</v>
      </c>
    </row>
    <row r="37">
      <c r="A37" s="8" t="inlineStr">
        <is>
          <t xml:space="preserve">    24. WATER SYSTEM MAINTENANCE</t>
        </is>
      </c>
      <c r="B37" s="9" t="n">
        <v>20464</v>
      </c>
      <c r="C37" s="9" t="n">
        <v>32800</v>
      </c>
      <c r="D37" s="9" t="n">
        <v>25973</v>
      </c>
      <c r="E37" s="9" t="n">
        <v>26461</v>
      </c>
      <c r="F37" s="9" t="n">
        <v>42237</v>
      </c>
      <c r="G37" s="9" t="n">
        <v>40729</v>
      </c>
    </row>
    <row r="38">
      <c r="A38" s="8" t="inlineStr">
        <is>
          <t xml:space="preserve">    24. WATER PURCHASED</t>
        </is>
      </c>
      <c r="B38" s="9" t="n">
        <v>7942</v>
      </c>
      <c r="C38" s="9" t="n">
        <v>11007</v>
      </c>
      <c r="D38" s="9" t="n">
        <v>8371</v>
      </c>
      <c r="E38" s="9" t="n">
        <v>4759</v>
      </c>
      <c r="F38" s="9" t="n">
        <v>3988</v>
      </c>
      <c r="G38" s="9" t="n">
        <v>6545</v>
      </c>
    </row>
    <row r="39">
      <c r="A39" s="8" t="inlineStr">
        <is>
          <t xml:space="preserve">    24. ROAD SERVICE &amp; MAINTENANCE</t>
        </is>
      </c>
      <c r="B39" s="9" t="n">
        <v>2849</v>
      </c>
      <c r="C39" s="9" t="n">
        <v>5335</v>
      </c>
      <c r="D39" s="9" t="n">
        <v>5600</v>
      </c>
      <c r="E39" s="9" t="n">
        <v>3953</v>
      </c>
      <c r="F39" s="9" t="n">
        <v>4510</v>
      </c>
      <c r="G39" s="9" t="n">
        <v>3400</v>
      </c>
    </row>
    <row r="40">
      <c r="A40" s="8" t="inlineStr">
        <is>
          <t xml:space="preserve">    24e. All other expenses</t>
        </is>
      </c>
      <c r="B40" s="9" t="n">
        <v>558</v>
      </c>
      <c r="C40" s="9" t="n">
        <v>981</v>
      </c>
      <c r="D40" s="9" t="n">
        <v>750</v>
      </c>
      <c r="E40" s="9" t="n">
        <v>697</v>
      </c>
      <c r="F40" s="9" t="n">
        <v>2860</v>
      </c>
      <c r="G40" s="9" t="n">
        <v>2817</v>
      </c>
    </row>
    <row r="41">
      <c r="A41" s="10" t="inlineStr">
        <is>
          <t>25. Total functional expenses</t>
        </is>
      </c>
      <c r="B41" s="11">
        <f>SUM(B7:B40)</f>
        <v/>
      </c>
      <c r="C41" s="11">
        <f>SUM(C7:C40)</f>
        <v/>
      </c>
      <c r="D41" s="11">
        <f>SUM(D7:D40)</f>
        <v/>
      </c>
      <c r="E41" s="11">
        <f>SUM(E7:E40)</f>
        <v/>
      </c>
      <c r="F41" s="11">
        <f>SUM(F7:F40)</f>
        <v/>
      </c>
      <c r="G41" s="11">
        <f>SUM(G7:G40)</f>
        <v/>
      </c>
    </row>
    <row r="43">
      <c r="A43" s="6" t="inlineStr">
        <is>
          <t>Functional column split - FY2025 (col A = B + C + D)</t>
        </is>
      </c>
      <c r="B43" s="7" t="n"/>
      <c r="C43" s="7" t="n"/>
      <c r="D43" s="7" t="n"/>
      <c r="E43" s="7" t="n"/>
      <c r="F43" s="7" t="n"/>
      <c r="G43" s="7" t="n"/>
    </row>
    <row r="44">
      <c r="A44" s="5" t="inlineStr">
        <is>
          <t>Part IX line</t>
        </is>
      </c>
      <c r="B44" s="5" t="inlineStr">
        <is>
          <t>A. Total</t>
        </is>
      </c>
      <c r="C44" s="5" t="inlineStr">
        <is>
          <t>B. Program services</t>
        </is>
      </c>
      <c r="D44" s="5" t="inlineStr">
        <is>
          <t>C. Management &amp; general</t>
        </is>
      </c>
      <c r="E44" s="5" t="inlineStr">
        <is>
          <t>D. Fundraising</t>
        </is>
      </c>
    </row>
    <row r="45">
      <c r="A45" s="18" t="inlineStr">
        <is>
          <t>1. Grants to domestic organizations and governments</t>
        </is>
      </c>
      <c r="B45" s="9" t="n">
        <v>0</v>
      </c>
      <c r="C45" s="9" t="n"/>
      <c r="D45" s="9" t="n"/>
      <c r="E45" s="9" t="n"/>
    </row>
    <row r="46">
      <c r="A46" s="18" t="inlineStr">
        <is>
          <t>2. Grants to domestic individuals</t>
        </is>
      </c>
      <c r="B46" s="9" t="n">
        <v>0</v>
      </c>
      <c r="C46" s="9" t="n"/>
      <c r="D46" s="9" t="n"/>
      <c r="E46" s="9" t="n"/>
    </row>
    <row r="47">
      <c r="A47" s="18" t="inlineStr">
        <is>
          <t>3. Grants to foreign organizations and individuals</t>
        </is>
      </c>
      <c r="B47" s="9" t="n">
        <v>0</v>
      </c>
      <c r="C47" s="9" t="n"/>
      <c r="D47" s="9" t="n"/>
      <c r="E47" s="9" t="n"/>
    </row>
    <row r="48">
      <c r="A48" s="18" t="inlineStr">
        <is>
          <t>4. Benefits paid to or for members</t>
        </is>
      </c>
      <c r="B48" s="9" t="n">
        <v>0</v>
      </c>
      <c r="C48" s="9" t="n"/>
      <c r="D48" s="9" t="n"/>
      <c r="E48" s="9" t="n"/>
    </row>
    <row r="49">
      <c r="A49" s="18" t="inlineStr">
        <is>
          <t>5. Compensation of current officers, directors, trustees</t>
        </is>
      </c>
      <c r="B49" s="9" t="n">
        <v>0</v>
      </c>
      <c r="C49" s="9" t="n"/>
      <c r="D49" s="9" t="n"/>
      <c r="E49" s="9" t="n"/>
    </row>
    <row r="50">
      <c r="A50" s="18" t="inlineStr">
        <is>
          <t>6. Compensation to disqualified persons</t>
        </is>
      </c>
      <c r="B50" s="9" t="n">
        <v>0</v>
      </c>
      <c r="C50" s="9" t="n"/>
      <c r="D50" s="9" t="n"/>
      <c r="E50" s="9" t="n"/>
    </row>
    <row r="51">
      <c r="A51" s="18" t="inlineStr">
        <is>
          <t>7. Other salaries and wages</t>
        </is>
      </c>
      <c r="B51" s="9" t="n">
        <v>0</v>
      </c>
      <c r="C51" s="9" t="n"/>
      <c r="D51" s="9" t="n"/>
      <c r="E51" s="9" t="n"/>
    </row>
    <row r="52">
      <c r="A52" s="18" t="inlineStr">
        <is>
          <t>8. Pension plan accruals and contributions</t>
        </is>
      </c>
      <c r="B52" s="9" t="n">
        <v>0</v>
      </c>
      <c r="C52" s="9" t="n"/>
      <c r="D52" s="9" t="n"/>
      <c r="E52" s="9" t="n"/>
    </row>
    <row r="53">
      <c r="A53" s="18" t="inlineStr">
        <is>
          <t>9. Other employee benefits</t>
        </is>
      </c>
      <c r="B53" s="9" t="n">
        <v>0</v>
      </c>
      <c r="C53" s="9" t="n"/>
      <c r="D53" s="9" t="n"/>
      <c r="E53" s="9" t="n"/>
    </row>
    <row r="54">
      <c r="A54" s="18" t="inlineStr">
        <is>
          <t>10. Payroll taxes</t>
        </is>
      </c>
      <c r="B54" s="9" t="n">
        <v>0</v>
      </c>
      <c r="C54" s="9" t="n"/>
      <c r="D54" s="9" t="n"/>
      <c r="E54" s="9" t="n"/>
    </row>
    <row r="55">
      <c r="A55" s="18" t="inlineStr">
        <is>
          <t>11a. Fees for services: management</t>
        </is>
      </c>
      <c r="B55" s="9" t="n">
        <v>0</v>
      </c>
      <c r="C55" s="9" t="n"/>
      <c r="D55" s="9" t="n"/>
      <c r="E55" s="9" t="n"/>
    </row>
    <row r="56">
      <c r="A56" s="18" t="inlineStr">
        <is>
          <t>11b. Fees for services: legal</t>
        </is>
      </c>
      <c r="B56" s="9" t="n">
        <v>0</v>
      </c>
      <c r="C56" s="9" t="n"/>
      <c r="D56" s="9" t="n"/>
      <c r="E56" s="9" t="n"/>
    </row>
    <row r="57">
      <c r="A57" s="18" t="inlineStr">
        <is>
          <t>11c. Fees for services: accounting</t>
        </is>
      </c>
      <c r="B57" s="9" t="n">
        <v>12195</v>
      </c>
      <c r="C57" s="9" t="n"/>
      <c r="D57" s="9" t="n"/>
      <c r="E57" s="9" t="n"/>
    </row>
    <row r="58">
      <c r="A58" s="18" t="inlineStr">
        <is>
          <t>11d. Fees for services: lobbying</t>
        </is>
      </c>
      <c r="B58" s="9" t="n">
        <v>0</v>
      </c>
      <c r="C58" s="9" t="n"/>
      <c r="D58" s="9" t="n"/>
      <c r="E58" s="9" t="n"/>
    </row>
    <row r="59">
      <c r="A59" s="18" t="inlineStr">
        <is>
          <t>11e. Fees for services: professional fundraising</t>
        </is>
      </c>
      <c r="B59" s="9" t="n">
        <v>0</v>
      </c>
      <c r="C59" s="9" t="n"/>
      <c r="D59" s="9" t="n"/>
      <c r="E59" s="9" t="n"/>
    </row>
    <row r="60">
      <c r="A60" s="18" t="inlineStr">
        <is>
          <t>11f. Fees for services: investment management</t>
        </is>
      </c>
      <c r="B60" s="9" t="n">
        <v>0</v>
      </c>
      <c r="C60" s="9" t="n"/>
      <c r="D60" s="9" t="n"/>
      <c r="E60" s="9" t="n"/>
    </row>
    <row r="61">
      <c r="A61" s="18" t="inlineStr">
        <is>
          <t>11g. Fees for services: other</t>
        </is>
      </c>
      <c r="B61" s="9" t="n">
        <v>0</v>
      </c>
      <c r="C61" s="9" t="n"/>
      <c r="D61" s="9" t="n"/>
      <c r="E61" s="9" t="n"/>
    </row>
    <row r="62">
      <c r="A62" s="18" t="inlineStr">
        <is>
          <t>12. Advertising and promotion</t>
        </is>
      </c>
      <c r="B62" s="9" t="n">
        <v>0</v>
      </c>
      <c r="C62" s="9" t="n"/>
      <c r="D62" s="9" t="n"/>
      <c r="E62" s="9" t="n"/>
    </row>
    <row r="63">
      <c r="A63" s="18" t="inlineStr">
        <is>
          <t>13. Office expenses</t>
        </is>
      </c>
      <c r="B63" s="9" t="n">
        <v>897</v>
      </c>
      <c r="C63" s="9" t="n"/>
      <c r="D63" s="9" t="n"/>
      <c r="E63" s="9" t="n"/>
    </row>
    <row r="64">
      <c r="A64" s="18" t="inlineStr">
        <is>
          <t>14. Information technology</t>
        </is>
      </c>
      <c r="B64" s="9" t="n">
        <v>0</v>
      </c>
      <c r="C64" s="9" t="n"/>
      <c r="D64" s="9" t="n"/>
      <c r="E64" s="9" t="n"/>
    </row>
    <row r="65">
      <c r="A65" s="18" t="inlineStr">
        <is>
          <t>15. Royalties</t>
        </is>
      </c>
      <c r="B65" s="9" t="n">
        <v>0</v>
      </c>
      <c r="C65" s="9" t="n"/>
      <c r="D65" s="9" t="n"/>
      <c r="E65" s="9" t="n"/>
    </row>
    <row r="66">
      <c r="A66" s="18" t="inlineStr">
        <is>
          <t>16. Occupancy</t>
        </is>
      </c>
      <c r="B66" s="9" t="n">
        <v>0</v>
      </c>
      <c r="C66" s="9" t="n"/>
      <c r="D66" s="9" t="n"/>
      <c r="E66" s="9" t="n"/>
    </row>
    <row r="67">
      <c r="A67" s="18" t="inlineStr">
        <is>
          <t>17. Travel</t>
        </is>
      </c>
      <c r="B67" s="9" t="n">
        <v>0</v>
      </c>
      <c r="C67" s="9" t="n"/>
      <c r="D67" s="9" t="n"/>
      <c r="E67" s="9" t="n"/>
    </row>
    <row r="68">
      <c r="A68" s="18" t="inlineStr">
        <is>
          <t>18. Payments of travel/entertainment for public officials</t>
        </is>
      </c>
      <c r="B68" s="9" t="n">
        <v>0</v>
      </c>
      <c r="C68" s="9" t="n"/>
      <c r="D68" s="9" t="n"/>
      <c r="E68" s="9" t="n"/>
    </row>
    <row r="69">
      <c r="A69" s="18" t="inlineStr">
        <is>
          <t>19. Conferences, conventions, and meetings</t>
        </is>
      </c>
      <c r="B69" s="9" t="n">
        <v>0</v>
      </c>
      <c r="C69" s="9" t="n"/>
      <c r="D69" s="9" t="n"/>
      <c r="E69" s="9" t="n"/>
    </row>
    <row r="70">
      <c r="A70" s="18" t="inlineStr">
        <is>
          <t>20. Interest</t>
        </is>
      </c>
      <c r="B70" s="9" t="n">
        <v>0</v>
      </c>
      <c r="C70" s="9" t="n"/>
      <c r="D70" s="9" t="n"/>
      <c r="E70" s="9" t="n"/>
    </row>
    <row r="71">
      <c r="A71" s="18" t="inlineStr">
        <is>
          <t>21. Payments to affiliates</t>
        </is>
      </c>
      <c r="B71" s="9" t="n">
        <v>0</v>
      </c>
      <c r="C71" s="9" t="n"/>
      <c r="D71" s="9" t="n"/>
      <c r="E71" s="9" t="n"/>
    </row>
    <row r="72">
      <c r="A72" s="18" t="inlineStr">
        <is>
          <t>22. Depreciation, depletion, and amortization</t>
        </is>
      </c>
      <c r="B72" s="9" t="n">
        <v>50003</v>
      </c>
      <c r="C72" s="9" t="n"/>
      <c r="D72" s="9" t="n"/>
      <c r="E72" s="9" t="n"/>
    </row>
    <row r="73">
      <c r="A73" s="18" t="inlineStr">
        <is>
          <t>23. Insurance</t>
        </is>
      </c>
      <c r="B73" s="9" t="n">
        <v>2210</v>
      </c>
      <c r="C73" s="9" t="n"/>
      <c r="D73" s="9" t="n"/>
      <c r="E73" s="9" t="n"/>
    </row>
    <row r="74">
      <c r="A74" s="10" t="inlineStr">
        <is>
          <t>25. Total (filed col A / B / C / D)</t>
        </is>
      </c>
      <c r="B74" s="11" t="n">
        <v>152828</v>
      </c>
      <c r="C74" s="11" t="n">
        <v>0</v>
      </c>
      <c r="D74" s="11" t="n">
        <v>0</v>
      </c>
      <c r="E74" s="11" t="n">
        <v>0</v>
      </c>
    </row>
    <row r="76" ht="42" customHeight="1">
      <c r="A76"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76:G76"/>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Marcelino Water and Service Co</t>
        </is>
      </c>
    </row>
    <row r="2">
      <c r="A2" s="2" t="inlineStr">
        <is>
          <t>Balance Sheet - Form 990 Part X (end of year, USD)</t>
        </is>
      </c>
    </row>
    <row r="3">
      <c r="A3" s="2" t="inlineStr">
        <is>
          <t>Entity ID: cawc_0091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35509</v>
      </c>
      <c r="C7" s="9" t="n">
        <v>64819</v>
      </c>
      <c r="D7" s="9" t="n">
        <v>74836</v>
      </c>
      <c r="E7" s="9" t="n">
        <v>102043</v>
      </c>
      <c r="F7" s="9" t="n">
        <v>137303</v>
      </c>
      <c r="G7" s="9" t="n">
        <v>110218</v>
      </c>
    </row>
    <row r="8">
      <c r="A8" s="8" t="inlineStr">
        <is>
          <t xml:space="preserve">    2. Savings and temporary cash investments</t>
        </is>
      </c>
      <c r="B8" s="9" t="n">
        <v>50569</v>
      </c>
      <c r="C8" s="9" t="n">
        <v>50506</v>
      </c>
      <c r="D8" s="9" t="n">
        <v>50440</v>
      </c>
      <c r="E8" s="9" t="n">
        <v>0</v>
      </c>
      <c r="F8" s="9" t="n">
        <v>0</v>
      </c>
      <c r="G8" s="9" t="n">
        <v>0</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20963</v>
      </c>
      <c r="C10" s="9" t="n">
        <v>25851</v>
      </c>
      <c r="D10" s="9" t="n">
        <v>27386</v>
      </c>
      <c r="E10" s="9" t="n">
        <v>30917</v>
      </c>
      <c r="F10" s="9" t="n">
        <v>31719</v>
      </c>
      <c r="G10" s="9" t="n">
        <v>35674</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412</v>
      </c>
      <c r="C15" s="9" t="n">
        <v>418</v>
      </c>
      <c r="D15" s="9" t="n">
        <v>455</v>
      </c>
      <c r="E15" s="9" t="n">
        <v>490</v>
      </c>
      <c r="F15" s="9" t="n">
        <v>527</v>
      </c>
      <c r="G15" s="9" t="n">
        <v>2802</v>
      </c>
    </row>
    <row r="16">
      <c r="A16" s="8" t="inlineStr">
        <is>
          <t xml:space="preserve">    10c. Land, buildings, and equipment, net</t>
        </is>
      </c>
      <c r="B16" s="9" t="n">
        <v>433741</v>
      </c>
      <c r="C16" s="9" t="n">
        <v>410356</v>
      </c>
      <c r="D16" s="9" t="n">
        <v>418029</v>
      </c>
      <c r="E16" s="9" t="n">
        <v>556462</v>
      </c>
      <c r="F16" s="9" t="n">
        <v>526408</v>
      </c>
      <c r="G16" s="9" t="n">
        <v>560453</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0</v>
      </c>
      <c r="C21" s="9" t="n">
        <v>0</v>
      </c>
      <c r="D21" s="9" t="n">
        <v>0</v>
      </c>
      <c r="E21" s="9" t="n">
        <v>0</v>
      </c>
      <c r="F21" s="9" t="n">
        <v>0</v>
      </c>
      <c r="G21" s="9" t="n">
        <v>0</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3518</v>
      </c>
      <c r="C25" s="9" t="n">
        <v>3396</v>
      </c>
      <c r="D25" s="9" t="n">
        <v>1636</v>
      </c>
      <c r="E25" s="9" t="n">
        <v>4723</v>
      </c>
      <c r="F25" s="9" t="n">
        <v>3071</v>
      </c>
      <c r="G25" s="9" t="n">
        <v>3138</v>
      </c>
    </row>
    <row r="26">
      <c r="A26" s="8" t="inlineStr">
        <is>
          <t xml:space="preserve">    25. Other liabilities</t>
        </is>
      </c>
      <c r="B26" s="9" t="n">
        <v>1940</v>
      </c>
      <c r="C26" s="9" t="n">
        <v>570</v>
      </c>
      <c r="D26" s="9" t="n">
        <v>135</v>
      </c>
      <c r="E26" s="9" t="n">
        <v>1035</v>
      </c>
      <c r="F26" s="9" t="n">
        <v>650</v>
      </c>
      <c r="G26" s="9" t="n">
        <v>1100</v>
      </c>
    </row>
    <row r="27">
      <c r="A27" s="10" t="inlineStr">
        <is>
          <t>26. Total liabilities</t>
        </is>
      </c>
      <c r="B27" s="11">
        <f>SUM(B25:B26)</f>
        <v/>
      </c>
      <c r="C27" s="11">
        <f>SUM(C25:C26)</f>
        <v/>
      </c>
      <c r="D27" s="11">
        <f>SUM(D25:D26)</f>
        <v/>
      </c>
      <c r="E27" s="11">
        <f>SUM(E25:E26)</f>
        <v/>
      </c>
      <c r="F27" s="11">
        <f>SUM(F25:F26)</f>
        <v/>
      </c>
      <c r="G27" s="11">
        <f>SUM(G25:G26)</f>
        <v/>
      </c>
    </row>
    <row r="29">
      <c r="A29" s="6" t="inlineStr">
        <is>
          <t>Net assets / fund balances</t>
        </is>
      </c>
      <c r="B29" s="7" t="n"/>
      <c r="C29" s="7" t="n"/>
      <c r="D29" s="7" t="n"/>
      <c r="E29" s="7" t="n"/>
      <c r="F29" s="7" t="n"/>
      <c r="G29" s="7" t="n"/>
    </row>
    <row r="30">
      <c r="A30" s="8" t="inlineStr">
        <is>
          <t xml:space="preserve">    31. Retained earnings / accumulated funds</t>
        </is>
      </c>
      <c r="B30" s="9" t="n">
        <v>535736</v>
      </c>
      <c r="C30" s="9" t="n">
        <v>547984</v>
      </c>
      <c r="D30" s="9" t="n">
        <v>569375</v>
      </c>
      <c r="E30" s="9" t="n">
        <v>684154</v>
      </c>
      <c r="F30" s="9" t="n">
        <v>692236</v>
      </c>
      <c r="G30" s="9" t="n">
        <v>704909</v>
      </c>
    </row>
    <row r="31">
      <c r="A31" s="10" t="inlineStr">
        <is>
          <t>32. Total net assets / fund balances</t>
        </is>
      </c>
      <c r="B31" s="11">
        <f>SUM(B30:B30)</f>
        <v/>
      </c>
      <c r="C31" s="11">
        <f>SUM(C30:C30)</f>
        <v/>
      </c>
      <c r="D31" s="11">
        <f>SUM(D30:D30)</f>
        <v/>
      </c>
      <c r="E31" s="11">
        <f>SUM(E30:E30)</f>
        <v/>
      </c>
      <c r="F31" s="11">
        <f>SUM(F30:F30)</f>
        <v/>
      </c>
      <c r="G31" s="11">
        <f>SUM(G30:G30)</f>
        <v/>
      </c>
    </row>
    <row r="33" ht="42" customHeight="1">
      <c r="A33"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3:G33"/>
    <mergeCell ref="A3:G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Marcelino Water and Service Co</t>
        </is>
      </c>
    </row>
    <row r="2">
      <c r="A2" s="2" t="inlineStr">
        <is>
          <t>Reconciliation of Net Assets - Form 990 Part XI (USD)</t>
        </is>
      </c>
    </row>
    <row r="3">
      <c r="A3" s="2" t="inlineStr">
        <is>
          <t>Entity ID: cawc_0091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514283</v>
      </c>
      <c r="C7" s="9" t="n">
        <v>535736</v>
      </c>
      <c r="D7" s="9" t="n">
        <v>547984</v>
      </c>
      <c r="E7" s="9" t="n">
        <v>569375</v>
      </c>
      <c r="F7" s="9" t="n">
        <v>684154</v>
      </c>
      <c r="G7" s="9" t="n">
        <v>692236</v>
      </c>
    </row>
    <row r="8">
      <c r="A8" s="8" t="inlineStr">
        <is>
          <t xml:space="preserve">    3. Revenue less expenses</t>
        </is>
      </c>
      <c r="B8" s="9" t="n">
        <v>21453</v>
      </c>
      <c r="C8" s="9" t="n">
        <v>12248</v>
      </c>
      <c r="D8" s="9" t="n">
        <v>21391</v>
      </c>
      <c r="E8" s="9" t="n">
        <v>114779</v>
      </c>
      <c r="F8" s="9" t="n">
        <v>7957</v>
      </c>
      <c r="G8" s="9" t="n">
        <v>12673</v>
      </c>
    </row>
    <row r="9">
      <c r="A9" s="8" t="inlineStr">
        <is>
          <t xml:space="preserve">    8. Prior period adjustments</t>
        </is>
      </c>
      <c r="B9" s="14" t="inlineStr">
        <is>
          <t>not reported</t>
        </is>
      </c>
      <c r="C9" s="14" t="inlineStr">
        <is>
          <t>not reported</t>
        </is>
      </c>
      <c r="D9" s="14" t="inlineStr">
        <is>
          <t>not reported</t>
        </is>
      </c>
      <c r="E9" s="14" t="inlineStr">
        <is>
          <t>not reported</t>
        </is>
      </c>
      <c r="F9" s="9" t="n">
        <v>125</v>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Marcelino Water and Service Co</t>
        </is>
      </c>
    </row>
    <row r="2">
      <c r="A2" s="2" t="inlineStr">
        <is>
          <t>Cash Flow Proxies - derived (USD)</t>
        </is>
      </c>
    </row>
    <row r="3">
      <c r="A3" s="2" t="inlineStr">
        <is>
          <t>Entity ID: cawc_0091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21453</v>
      </c>
      <c r="C9" s="9" t="n">
        <v>12248</v>
      </c>
      <c r="D9" s="9" t="n">
        <v>21391</v>
      </c>
      <c r="E9" s="9" t="n">
        <v>114779</v>
      </c>
      <c r="F9" s="9" t="n">
        <v>7957</v>
      </c>
      <c r="G9" s="9" t="n">
        <v>12673</v>
      </c>
    </row>
    <row r="10">
      <c r="A10" s="8" t="inlineStr">
        <is>
          <t xml:space="preserve">    + Depreciation (reported)</t>
        </is>
      </c>
      <c r="B10" s="9" t="n">
        <v>30227</v>
      </c>
      <c r="C10" s="9" t="n">
        <v>31140</v>
      </c>
      <c r="D10" s="9" t="n">
        <v>34585</v>
      </c>
      <c r="E10" s="9" t="n">
        <v>38132</v>
      </c>
      <c r="F10" s="9" t="n">
        <v>46079</v>
      </c>
      <c r="G10" s="9" t="n">
        <v>50003</v>
      </c>
    </row>
    <row r="11">
      <c r="A11" s="8" t="inlineStr">
        <is>
          <t xml:space="preserve">    − Δ Accounts receivable</t>
        </is>
      </c>
      <c r="B11" s="9" t="n"/>
      <c r="C11" s="9" t="n">
        <v>-4888</v>
      </c>
      <c r="D11" s="9" t="n">
        <v>-1535</v>
      </c>
      <c r="E11" s="9" t="n">
        <v>-3531</v>
      </c>
      <c r="F11" s="9" t="n">
        <v>-802</v>
      </c>
      <c r="G11" s="9" t="n">
        <v>-3955</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-6</v>
      </c>
      <c r="D13" s="9" t="n">
        <v>-37</v>
      </c>
      <c r="E13" s="9" t="n">
        <v>-35</v>
      </c>
      <c r="F13" s="9" t="n">
        <v>-37</v>
      </c>
      <c r="G13" s="9" t="n">
        <v>-2275</v>
      </c>
    </row>
    <row r="14">
      <c r="A14" s="8" t="inlineStr">
        <is>
          <t xml:space="preserve">    + Δ Accounts payable</t>
        </is>
      </c>
      <c r="B14" s="9" t="n"/>
      <c r="C14" s="9" t="n">
        <v>-122</v>
      </c>
      <c r="D14" s="9" t="n">
        <v>-1760</v>
      </c>
      <c r="E14" s="9" t="n">
        <v>3087</v>
      </c>
      <c r="F14" s="9" t="n">
        <v>-1652</v>
      </c>
      <c r="G14" s="9" t="n">
        <v>67</v>
      </c>
    </row>
    <row r="15">
      <c r="A15" s="10" t="inlineStr">
        <is>
          <t xml:space="preserve">    Operating cash flow proxy</t>
        </is>
      </c>
      <c r="B15" s="11" t="n"/>
      <c r="C15" s="11" t="n">
        <v>38372</v>
      </c>
      <c r="D15" s="11" t="n">
        <v>52644</v>
      </c>
      <c r="E15" s="11" t="n">
        <v>152432</v>
      </c>
      <c r="F15" s="11" t="n">
        <v>51545</v>
      </c>
      <c r="G15" s="11" t="n">
        <v>56513</v>
      </c>
    </row>
    <row r="17">
      <c r="A17" s="6" t="inlineStr">
        <is>
          <t>Investing</t>
        </is>
      </c>
      <c r="B17" s="7" t="n"/>
      <c r="C17" s="7" t="n"/>
      <c r="D17" s="7" t="n"/>
      <c r="E17" s="7" t="n"/>
      <c r="F17" s="7" t="n"/>
      <c r="G17" s="7" t="n"/>
    </row>
    <row r="18">
      <c r="A18" s="8" t="inlineStr">
        <is>
          <t xml:space="preserve">    − Δ PP&amp;E gross (capex proxy)</t>
        </is>
      </c>
      <c r="B18" s="9" t="n"/>
      <c r="C18" s="9" t="n">
        <v>-7755</v>
      </c>
      <c r="D18" s="9" t="n">
        <v>-42258</v>
      </c>
      <c r="E18" s="9" t="n">
        <v>-176565</v>
      </c>
      <c r="F18" s="9" t="n">
        <v>-16025</v>
      </c>
      <c r="G18" s="9" t="n">
        <v>-84048</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29247</v>
      </c>
      <c r="D24" s="11" t="n">
        <v>9951</v>
      </c>
      <c r="E24" s="11" t="n">
        <v>-23233</v>
      </c>
      <c r="F24" s="11" t="n">
        <v>35260</v>
      </c>
      <c r="G24" s="11" t="n">
        <v>-27085</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Marcelino Water and Service Co</t>
        </is>
      </c>
    </row>
    <row r="2">
      <c r="A2" s="2" t="inlineStr">
        <is>
          <t>Financial Ratios</t>
        </is>
      </c>
    </row>
    <row r="3">
      <c r="A3" s="2" t="inlineStr">
        <is>
          <t>Entity ID: cawc_0091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0.1520583482180828</v>
      </c>
      <c r="C7" s="12" t="n">
        <v>0.0826032709492497</v>
      </c>
      <c r="D7" s="12" t="n">
        <v>0.1396753467234309</v>
      </c>
      <c r="E7" s="12" t="n">
        <v>0.4672061415470283</v>
      </c>
      <c r="F7" s="12" t="n">
        <v>0.04804893660704581</v>
      </c>
      <c r="G7" s="12" t="n">
        <v>0.07657355544679488</v>
      </c>
    </row>
    <row r="8">
      <c r="A8" s="8" t="inlineStr">
        <is>
          <t xml:space="preserve">    Expense ratio (expenses / revenue)</t>
        </is>
      </c>
      <c r="B8" s="12" t="n">
        <v>0.8479416517819172</v>
      </c>
      <c r="C8" s="12" t="n">
        <v>0.9173967290507503</v>
      </c>
      <c r="D8" s="12" t="n">
        <v>0.860324653276569</v>
      </c>
      <c r="E8" s="12" t="n">
        <v>0.5327938584529717</v>
      </c>
      <c r="F8" s="12" t="n">
        <v>0.9519510633929542</v>
      </c>
      <c r="G8" s="12" t="n">
        <v>0.9234264445532051</v>
      </c>
    </row>
    <row r="9">
      <c r="A9" s="8" t="inlineStr">
        <is>
          <t xml:space="preserve">    Return on assets (NI / assets)</t>
        </is>
      </c>
      <c r="B9" s="12" t="n">
        <v>0.03964012904799388</v>
      </c>
      <c r="C9" s="12" t="n">
        <v>0.02219041579853247</v>
      </c>
      <c r="D9" s="12" t="n">
        <v>0.03745277039496031</v>
      </c>
      <c r="E9" s="12" t="n">
        <v>0.1663675947077309</v>
      </c>
      <c r="F9" s="12" t="n">
        <v>0.01143317762447967</v>
      </c>
      <c r="G9" s="12" t="n">
        <v>0.01787076586377719</v>
      </c>
    </row>
    <row r="10">
      <c r="A10" s="8" t="inlineStr">
        <is>
          <t xml:space="preserve">    Revenue growth (YoY)</t>
        </is>
      </c>
      <c r="B10" s="12" t="n">
        <v>0.06411832587888341</v>
      </c>
      <c r="C10" s="12" t="n">
        <v>0.0509696351109977</v>
      </c>
      <c r="D10" s="12" t="n">
        <v>0.03286460967796324</v>
      </c>
      <c r="E10" s="12" t="n">
        <v>0.6041410922767519</v>
      </c>
      <c r="F10" s="12" t="n">
        <v>-0.3259196242128701</v>
      </c>
      <c r="G10" s="12" t="n">
        <v>-0.000609896015748602</v>
      </c>
    </row>
    <row r="12">
      <c r="A12" s="6" t="inlineStr">
        <is>
          <t>Leverage &amp; solvency</t>
        </is>
      </c>
      <c r="B12" s="7" t="n"/>
      <c r="C12" s="7" t="n"/>
      <c r="D12" s="7" t="n"/>
      <c r="E12" s="7" t="n"/>
      <c r="F12" s="7" t="n"/>
      <c r="G12" s="7" t="n"/>
    </row>
    <row r="13">
      <c r="A13" s="8" t="inlineStr">
        <is>
          <t xml:space="preserve">    Debt-to-assets (liab. / assets)</t>
        </is>
      </c>
      <c r="B13" s="12" t="n">
        <v>0.01008510811280243</v>
      </c>
      <c r="C13" s="12" t="n">
        <v>0.007185433463176012</v>
      </c>
      <c r="D13" s="12" t="n">
        <v>0.003100783337360325</v>
      </c>
      <c r="E13" s="12" t="n">
        <v>0.008345991952596853</v>
      </c>
      <c r="F13" s="12" t="n">
        <v>0.005346594689039696</v>
      </c>
      <c r="G13" s="12" t="n">
        <v>0.005976193934402881</v>
      </c>
    </row>
    <row r="14">
      <c r="A14" s="8" t="inlineStr">
        <is>
          <t xml:space="preserve">    Equity ratio (net assets / assets)</t>
        </is>
      </c>
      <c r="B14" s="12" t="n">
        <v>0.9899148918871976</v>
      </c>
      <c r="C14" s="12" t="n">
        <v>0.992814566536824</v>
      </c>
      <c r="D14" s="12" t="n">
        <v>0.9968992166626397</v>
      </c>
      <c r="E14" s="12" t="n">
        <v>0.9916540080474031</v>
      </c>
      <c r="F14" s="12" t="n">
        <v>0.9946534053109604</v>
      </c>
      <c r="G14" s="12" t="n">
        <v>0.9940238060655971</v>
      </c>
    </row>
    <row r="16">
      <c r="A16" s="6" t="inlineStr">
        <is>
          <t>Liquidity &amp; asset profile (derived here)</t>
        </is>
      </c>
      <c r="B16" s="7" t="n"/>
      <c r="C16" s="7" t="n"/>
      <c r="D16" s="7" t="n"/>
      <c r="E16" s="7" t="n"/>
      <c r="F16" s="7" t="n"/>
      <c r="G16" s="7" t="n"/>
    </row>
    <row r="17">
      <c r="A17" s="8" t="inlineStr">
        <is>
          <t xml:space="preserve">    Current ratio (current assets / AP)</t>
        </is>
      </c>
      <c r="B17" s="19" t="n">
        <v>30.54377487208641</v>
      </c>
      <c r="C17" s="19" t="n">
        <v>41.69434628975265</v>
      </c>
      <c r="D17" s="19" t="n">
        <v>93.59229828850856</v>
      </c>
      <c r="E17" s="19" t="n">
        <v>28.25534617827652</v>
      </c>
      <c r="F17" s="19" t="n">
        <v>55.2097036795832</v>
      </c>
      <c r="G17" s="19" t="n">
        <v>47.38495857233907</v>
      </c>
    </row>
    <row r="18">
      <c r="A18" s="8" t="inlineStr">
        <is>
          <t xml:space="preserve">    Cash ratio ((cash+temp inv.) / total liab.)</t>
        </is>
      </c>
      <c r="B18" s="19" t="n">
        <v>15.77097838035911</v>
      </c>
      <c r="C18" s="19" t="n">
        <v>29.07841654059506</v>
      </c>
      <c r="D18" s="19" t="n">
        <v>70.73743647656691</v>
      </c>
      <c r="E18" s="19" t="n">
        <v>17.72195206668982</v>
      </c>
      <c r="F18" s="19" t="n">
        <v>36.89948938457404</v>
      </c>
      <c r="G18" s="19" t="n">
        <v>26.00707881075979</v>
      </c>
    </row>
    <row r="19">
      <c r="A19" s="8" t="inlineStr">
        <is>
          <t xml:space="preserve">    Asset age proxy (accum. deprec. / gross PP&amp;E)</t>
        </is>
      </c>
      <c r="B19" s="12" t="n">
        <v>0.5190626988931837</v>
      </c>
      <c r="C19" s="12" t="n">
        <v>0.5488714530557232</v>
      </c>
      <c r="D19" s="12" t="n">
        <v>0.5608380897151843</v>
      </c>
      <c r="E19" s="12" t="n">
        <v>0.506876725827777</v>
      </c>
      <c r="F19" s="12" t="n">
        <v>0.5400417136680854</v>
      </c>
      <c r="G19" s="12" t="n">
        <v>0.543797114732641</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Rancho Marcelino Water and Service Co</t>
        </is>
      </c>
    </row>
    <row r="2">
      <c r="A2" s="2" t="inlineStr">
        <is>
          <t>Unit economics - per-customer revenue by category (USD)</t>
        </is>
      </c>
    </row>
    <row r="3">
      <c r="A3" s="2" t="inlineStr">
        <is>
          <t>Entity ID: cawc_0091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Rancho Marcelino Water and Service Co</t>
        </is>
      </c>
    </row>
    <row r="2">
      <c r="A2" s="2" t="inlineStr">
        <is>
          <t>Rate structure and representative bill - eAR Section 8a</t>
        </is>
      </c>
    </row>
    <row r="3">
      <c r="A3" s="2" t="inlineStr">
        <is>
          <t>Entity ID: cawc_0091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Rancho Marcelino Water and Service Co</t>
        </is>
      </c>
    </row>
    <row r="2">
      <c r="A2" s="2" t="inlineStr">
        <is>
          <t>Operational metrics - plant per acre, density, terrain</t>
        </is>
      </c>
    </row>
    <row r="3">
      <c r="A3" s="2" t="inlineStr">
        <is>
          <t>Entity ID: cawc_0091   |   Fiscal year ends December 31.</t>
        </is>
      </c>
    </row>
    <row r="5">
      <c r="A5" s="6" t="inlineStr">
        <is>
          <t>Plant assets per acre</t>
        </is>
      </c>
      <c r="B5" s="7" t="n"/>
      <c r="C5" s="7" t="n"/>
    </row>
    <row r="6">
      <c r="A6" s="20" t="inlineStr">
        <is>
          <t>Service-area acres</t>
        </is>
      </c>
      <c r="B6" s="26" t="n">
        <v>133.2</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6828.9865</v>
      </c>
      <c r="C8" s="9" t="n">
        <v>3080.7508</v>
      </c>
    </row>
    <row r="9">
      <c r="A9" s="18" t="inlineStr">
        <is>
          <t>FY2022</t>
        </is>
      </c>
      <c r="B9" s="9" t="n">
        <v>7146.2387</v>
      </c>
      <c r="C9" s="9" t="n">
        <v>3138.3559</v>
      </c>
    </row>
    <row r="10">
      <c r="A10" s="18" t="inlineStr">
        <is>
          <t>FY2023</t>
        </is>
      </c>
      <c r="B10" s="9" t="n">
        <v>8471.801799999999</v>
      </c>
      <c r="C10" s="9" t="n">
        <v>4177.6426</v>
      </c>
    </row>
    <row r="11">
      <c r="A11" s="18" t="inlineStr">
        <is>
          <t>FY2024</t>
        </is>
      </c>
      <c r="B11" s="9" t="n">
        <v>8592.1096</v>
      </c>
      <c r="C11" s="9" t="n">
        <v>3952.012</v>
      </c>
    </row>
    <row r="12">
      <c r="A12" s="18" t="inlineStr">
        <is>
          <t>FY2025</t>
        </is>
      </c>
      <c r="B12" s="9" t="n">
        <v>9223.1006</v>
      </c>
      <c r="C12" s="9" t="n">
        <v>4207.6051</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0.65</v>
      </c>
      <c r="C19" s="22" t="inlineStr">
        <is>
          <t>87 connections / 133.2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Rancho Marcelino Water and Service Co</t>
        </is>
      </c>
    </row>
    <row r="2">
      <c r="A2" s="2" t="inlineStr">
        <is>
          <t>Supply and weather indicators (DWR water year)</t>
        </is>
      </c>
    </row>
    <row r="3">
      <c r="A3" s="2" t="inlineStr">
        <is>
          <t>Entity ID: cawc_0091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7" t="inlineStr">
        <is>
          <t>Critical</t>
        </is>
      </c>
      <c r="C8" s="27" t="inlineStr">
        <is>
          <t>Critical</t>
        </is>
      </c>
      <c r="D8" s="27" t="inlineStr">
        <is>
          <t>Wet</t>
        </is>
      </c>
      <c r="E8" s="27" t="inlineStr">
        <is>
          <t>Above Normal</t>
        </is>
      </c>
      <c r="F8" s="28" t="inlineStr">
        <is>
          <t>not reported</t>
        </is>
      </c>
    </row>
    <row r="9">
      <c r="A9" s="8" t="inlineStr">
        <is>
          <t>Peak drought, county County</t>
        </is>
      </c>
      <c r="B9" s="28" t="inlineStr">
        <is>
          <t>not reported</t>
        </is>
      </c>
      <c r="C9" s="28" t="inlineStr">
        <is>
          <t>not reported</t>
        </is>
      </c>
      <c r="D9" s="28" t="inlineStr">
        <is>
          <t>not reported</t>
        </is>
      </c>
      <c r="E9" s="28" t="inlineStr">
        <is>
          <t>not reported</t>
        </is>
      </c>
      <c r="F9" s="28" t="inlineStr">
        <is>
          <t>not reported</t>
        </is>
      </c>
    </row>
    <row r="10">
      <c r="A10" s="8" t="inlineStr">
        <is>
          <t>Precip, percent of normal (8-Station Index)</t>
        </is>
      </c>
      <c r="B10" s="27" t="inlineStr">
        <is>
          <t>48</t>
        </is>
      </c>
      <c r="C10" s="27" t="inlineStr">
        <is>
          <t>86</t>
        </is>
      </c>
      <c r="D10" s="27" t="inlineStr">
        <is>
          <t>133</t>
        </is>
      </c>
      <c r="E10" s="27" t="inlineStr">
        <is>
          <t>96</t>
        </is>
      </c>
      <c r="F10" s="27" t="inlineStr">
        <is>
          <t>113</t>
        </is>
      </c>
    </row>
    <row r="11">
      <c r="A11" s="8" t="inlineStr">
        <is>
          <t>Snowpack, April 1 percent of average</t>
        </is>
      </c>
      <c r="B11" s="27" t="inlineStr">
        <is>
          <t>59%</t>
        </is>
      </c>
      <c r="C11" s="27" t="inlineStr">
        <is>
          <t>38%</t>
        </is>
      </c>
      <c r="D11" s="27" t="inlineStr">
        <is>
          <t>237%</t>
        </is>
      </c>
      <c r="E11" s="27" t="inlineStr">
        <is>
          <t>110%</t>
        </is>
      </c>
      <c r="F11" s="27" t="inlineStr">
        <is>
          <t>96%</t>
        </is>
      </c>
    </row>
    <row r="12">
      <c r="A12" s="8" t="inlineStr">
        <is>
          <t>State Water Project allocation</t>
        </is>
      </c>
      <c r="B12" s="27" t="inlineStr">
        <is>
          <t>5%</t>
        </is>
      </c>
      <c r="C12" s="27" t="inlineStr">
        <is>
          <t>5%</t>
        </is>
      </c>
      <c r="D12" s="27" t="inlineStr">
        <is>
          <t>100%</t>
        </is>
      </c>
      <c r="E12" s="27" t="inlineStr">
        <is>
          <t>40%</t>
        </is>
      </c>
      <c r="F12" s="27"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Rancho Marcelino Water and Service Co</t>
        </is>
      </c>
    </row>
    <row r="2">
      <c r="A2" s="2" t="inlineStr">
        <is>
          <t>How this was built - forensic lineage</t>
        </is>
      </c>
    </row>
    <row r="3">
      <c r="A3" s="2" t="inlineStr">
        <is>
          <t>Entity ID: cawc_0091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17"/>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Rancho Marcelino Water and Service Co</t>
        </is>
      </c>
    </row>
    <row r="2">
      <c r="A2" s="2" t="inlineStr">
        <is>
          <t>Sources &amp; audit - full provenance and tie-outs (kept off the statements so they read clean)</t>
        </is>
      </c>
    </row>
    <row r="3">
      <c r="A3" s="2" t="inlineStr">
        <is>
          <t>Entity ID: cawc_0091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2020-12-31</t>
        </is>
      </c>
      <c r="C10" s="8" t="inlineStr">
        <is>
          <t>990</t>
        </is>
      </c>
      <c r="D10" s="8" t="inlineStr">
        <is>
          <t>high</t>
        </is>
      </c>
      <c r="E10" s="8" t="inlineStr">
        <is>
          <t>2bfeaa2b-1679-49f1-b031-72ae5205ea8b</t>
        </is>
      </c>
      <c r="F10" s="8" t="inlineStr">
        <is>
          <t>202130439349301688</t>
        </is>
      </c>
      <c r="G10" s="8" t="inlineStr">
        <is>
          <t>claude-opus-5</t>
        </is>
      </c>
      <c r="H10" s="8" t="inlineStr">
        <is>
          <t>2026-09-23T06:31:49+00:00</t>
        </is>
      </c>
      <c r="I10" s="8" t="inlineStr">
        <is>
          <t>https://apps.irs.gov/pub/epostcard/990/xml/2021/2021_TEOS_XML_01A.zip#202130439349301688_public.xml</t>
        </is>
      </c>
    </row>
    <row r="11">
      <c r="A11" s="27" t="inlineStr">
        <is>
          <t>FY2021</t>
        </is>
      </c>
      <c r="B11" s="8" t="inlineStr">
        <is>
          <t>2021-12-31</t>
        </is>
      </c>
      <c r="C11" s="8" t="inlineStr">
        <is>
          <t>990</t>
        </is>
      </c>
      <c r="D11" s="8" t="inlineStr">
        <is>
          <t>high</t>
        </is>
      </c>
      <c r="E11" s="8" t="inlineStr">
        <is>
          <t>b09c6fdb-54e0-4325-a144-e0fa81c759a5</t>
        </is>
      </c>
      <c r="F11" s="8" t="inlineStr">
        <is>
          <t>202211259349302656</t>
        </is>
      </c>
      <c r="G11" s="8" t="inlineStr">
        <is>
          <t>claude-opus-5</t>
        </is>
      </c>
      <c r="H11" s="8" t="inlineStr">
        <is>
          <t>2026-09-23T06:31:49+00:00</t>
        </is>
      </c>
      <c r="I11" s="8" t="inlineStr">
        <is>
          <t>https://apps.irs.gov/pub/epostcard/990/xml/2022/2022_TEOS_XML_01A.zip#202211259349302656_public.xml</t>
        </is>
      </c>
    </row>
    <row r="12">
      <c r="A12" s="27" t="inlineStr">
        <is>
          <t>FY2022</t>
        </is>
      </c>
      <c r="B12" s="8" t="inlineStr">
        <is>
          <t>2022-12-31</t>
        </is>
      </c>
      <c r="C12" s="8" t="inlineStr">
        <is>
          <t>990</t>
        </is>
      </c>
      <c r="D12" s="8" t="inlineStr">
        <is>
          <t>high</t>
        </is>
      </c>
      <c r="E12" s="8" t="inlineStr">
        <is>
          <t>336687f2-7b0b-4df2-bded-abb32b05540d</t>
        </is>
      </c>
      <c r="F12" s="8" t="inlineStr">
        <is>
          <t>202321299349304102</t>
        </is>
      </c>
      <c r="G12" s="8" t="inlineStr">
        <is>
          <t>claude-opus-5</t>
        </is>
      </c>
      <c r="H12" s="8" t="inlineStr">
        <is>
          <t>2026-09-23T06:31:49+00:00</t>
        </is>
      </c>
      <c r="I12" s="8" t="inlineStr">
        <is>
          <t>https://apps.irs.gov/pub/epostcard/990/xml/2023/2023_TEOS_XML_05A.zip#202321299349304102_public.xml</t>
        </is>
      </c>
    </row>
    <row r="13">
      <c r="A13" s="27" t="inlineStr">
        <is>
          <t>FY2023</t>
        </is>
      </c>
      <c r="B13" s="8" t="inlineStr">
        <is>
          <t>2023-12-31</t>
        </is>
      </c>
      <c r="C13" s="8" t="inlineStr">
        <is>
          <t>990</t>
        </is>
      </c>
      <c r="D13" s="8" t="inlineStr">
        <is>
          <t>high</t>
        </is>
      </c>
      <c r="E13" s="8" t="inlineStr">
        <is>
          <t>c6cbe1a8-adeb-4943-9bb4-c1c84f160b3e</t>
        </is>
      </c>
      <c r="F13" s="8" t="inlineStr">
        <is>
          <t>202440529349301029</t>
        </is>
      </c>
      <c r="G13" s="8" t="inlineStr">
        <is>
          <t>claude-opus-5</t>
        </is>
      </c>
      <c r="H13" s="8" t="inlineStr">
        <is>
          <t>2026-09-23T06:31:49+00:00</t>
        </is>
      </c>
      <c r="I13" s="8" t="inlineStr">
        <is>
          <t>https://apps.irs.gov/pub/epostcard/990/xml/2024/2024_TEOS_XML_02A.zip#202440529349301029_public.xml</t>
        </is>
      </c>
    </row>
    <row r="14">
      <c r="A14" s="27" t="inlineStr">
        <is>
          <t>FY2024</t>
        </is>
      </c>
      <c r="B14" s="8" t="inlineStr">
        <is>
          <t>2024-12-31</t>
        </is>
      </c>
      <c r="C14" s="8" t="inlineStr">
        <is>
          <t>990</t>
        </is>
      </c>
      <c r="D14" s="8" t="inlineStr">
        <is>
          <t>high</t>
        </is>
      </c>
      <c r="E14" s="8" t="inlineStr">
        <is>
          <t>190b2fc1-f90f-4264-a95d-2d7d6a5fb16f</t>
        </is>
      </c>
      <c r="F14" s="8" t="inlineStr">
        <is>
          <t>202532259349302868</t>
        </is>
      </c>
      <c r="G14" s="8" t="inlineStr">
        <is>
          <t>claude-opus-5</t>
        </is>
      </c>
      <c r="H14" s="8" t="inlineStr">
        <is>
          <t>2026-09-23T06:31:49+00:00</t>
        </is>
      </c>
      <c r="I14" s="8" t="inlineStr">
        <is>
          <t>https://apps.irs.gov/pub/epostcard/990/xml/2025/2025_TEOS_XML_08A.zip#202532259349302868_public.xml</t>
        </is>
      </c>
    </row>
    <row r="15">
      <c r="A15" s="27" t="inlineStr">
        <is>
          <t>FY2025</t>
        </is>
      </c>
      <c r="B15" s="8" t="inlineStr">
        <is>
          <t>2025-12-31</t>
        </is>
      </c>
      <c r="C15" s="8" t="inlineStr">
        <is>
          <t>990</t>
        </is>
      </c>
      <c r="D15" s="8" t="inlineStr">
        <is>
          <t>high</t>
        </is>
      </c>
      <c r="E15" s="8" t="inlineStr">
        <is>
          <t>842d93ee-d70a-4ffe-b906-5cd568bc9f52</t>
        </is>
      </c>
      <c r="F15" s="8" t="inlineStr">
        <is>
          <t>202621539349300837</t>
        </is>
      </c>
      <c r="G15" s="8" t="inlineStr">
        <is>
          <t>claude-opus-5</t>
        </is>
      </c>
      <c r="H15" s="8" t="inlineStr">
        <is>
          <t>2026-09-23T06:31:49+00:00</t>
        </is>
      </c>
      <c r="I15" s="8" t="inlineStr">
        <is>
          <t>https://apps.irs.gov/pub/epostcard/990/xml/2026/2026_TEOS_XML_06A.zip#202621539349300837_public.xml</t>
        </is>
      </c>
    </row>
    <row r="17">
      <c r="A17" s="29"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F73</t>
        </is>
      </c>
      <c r="C19" s="8" t="inlineStr">
        <is>
          <t>11a. Gross income from members or shareholders</t>
        </is>
      </c>
      <c r="D19" s="8" t="inlineStr">
        <is>
          <t>11a</t>
        </is>
      </c>
      <c r="E19" s="8" t="inlineStr">
        <is>
          <t>part_v_other_irs_filings.members_and_shareholders_gross_income</t>
        </is>
      </c>
      <c r="F19" s="8" t="inlineStr">
        <is>
          <t>high</t>
        </is>
      </c>
      <c r="G19" s="9" t="n">
        <v>165540</v>
      </c>
    </row>
    <row r="20">
      <c r="A20" s="8" t="inlineStr">
        <is>
          <t>Financial Statements</t>
        </is>
      </c>
      <c r="B20" s="8" t="inlineStr">
        <is>
          <t>G73</t>
        </is>
      </c>
      <c r="C20" s="8" t="inlineStr">
        <is>
          <t>11a. Gross income from members or shareholders</t>
        </is>
      </c>
      <c r="D20" s="8" t="inlineStr">
        <is>
          <t>11a</t>
        </is>
      </c>
      <c r="E20" s="8" t="inlineStr">
        <is>
          <t>part_v_other_irs_filings.members_and_shareholders_gross_income</t>
        </is>
      </c>
      <c r="F20" s="8" t="inlineStr">
        <is>
          <t>high</t>
        </is>
      </c>
      <c r="G20" s="9" t="n">
        <v>165430</v>
      </c>
    </row>
    <row r="21">
      <c r="A21" s="8" t="inlineStr">
        <is>
          <t>Financial Statements</t>
        </is>
      </c>
      <c r="B21" s="8" t="inlineStr">
        <is>
          <t>F74</t>
        </is>
      </c>
      <c r="C21" s="8" t="inlineStr">
        <is>
          <t>11b. Gross income from other sources</t>
        </is>
      </c>
      <c r="D21" s="8" t="inlineStr">
        <is>
          <t>11b</t>
        </is>
      </c>
      <c r="E21" s="8" t="inlineStr">
        <is>
          <t>part_v_other_irs_filings.other_sources_gross_income</t>
        </is>
      </c>
      <c r="F21" s="8" t="inlineStr">
        <is>
          <t>high</t>
        </is>
      </c>
      <c r="G21" s="9" t="n">
        <v>62</v>
      </c>
    </row>
    <row r="22">
      <c r="A22" s="8" t="inlineStr">
        <is>
          <t>Financial Statements</t>
        </is>
      </c>
      <c r="B22" s="8" t="inlineStr">
        <is>
          <t>G74</t>
        </is>
      </c>
      <c r="C22" s="8" t="inlineStr">
        <is>
          <t>11b. Gross income from other sources</t>
        </is>
      </c>
      <c r="D22" s="8" t="inlineStr">
        <is>
          <t>11b</t>
        </is>
      </c>
      <c r="E22" s="8" t="inlineStr">
        <is>
          <t>part_v_other_irs_filings.other_sources_gross_income</t>
        </is>
      </c>
      <c r="F22" s="8" t="inlineStr">
        <is>
          <t>high</t>
        </is>
      </c>
      <c r="G22" s="9" t="n">
        <v>71</v>
      </c>
    </row>
    <row r="23">
      <c r="A23" s="8" t="inlineStr">
        <is>
          <t>Revenue (detail)</t>
        </is>
      </c>
      <c r="B23" s="8" t="inlineStr">
        <is>
          <t>B7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C7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D7</t>
        </is>
      </c>
      <c r="C25" s="8" t="inlineStr">
        <is>
          <t>1h. Total contributions, gifts, grants</t>
        </is>
      </c>
      <c r="D25" s="8" t="inlineStr">
        <is>
          <t>1h</t>
        </is>
      </c>
      <c r="E25" s="8" t="inlineStr">
        <is>
          <t>part_viii_revenue.total_contributions</t>
        </is>
      </c>
      <c r="F25" s="8" t="inlineStr">
        <is>
          <t>high</t>
        </is>
      </c>
      <c r="G25" s="9" t="n">
        <v>0</v>
      </c>
    </row>
    <row r="26">
      <c r="A26" s="8" t="inlineStr">
        <is>
          <t>Revenue (detail)</t>
        </is>
      </c>
      <c r="B26" s="8" t="inlineStr">
        <is>
          <t>E7</t>
        </is>
      </c>
      <c r="C26" s="8" t="inlineStr">
        <is>
          <t>1h. Total contributions, gifts, grants</t>
        </is>
      </c>
      <c r="D26" s="8" t="inlineStr">
        <is>
          <t>1h</t>
        </is>
      </c>
      <c r="E26" s="8" t="inlineStr">
        <is>
          <t>part_viii_revenue.total_contributions</t>
        </is>
      </c>
      <c r="F26" s="8" t="inlineStr">
        <is>
          <t>high</t>
        </is>
      </c>
      <c r="G26" s="9" t="n">
        <v>0</v>
      </c>
    </row>
    <row r="27">
      <c r="A27" s="8" t="inlineStr">
        <is>
          <t>Revenue (detail)</t>
        </is>
      </c>
      <c r="B27" s="8" t="inlineStr">
        <is>
          <t>F7</t>
        </is>
      </c>
      <c r="C27" s="8" t="inlineStr">
        <is>
          <t>1h. Total contributions, gifts, grants</t>
        </is>
      </c>
      <c r="D27" s="8" t="inlineStr">
        <is>
          <t>1h</t>
        </is>
      </c>
      <c r="E27" s="8" t="inlineStr">
        <is>
          <t>part_viii_revenue.total_contributions</t>
        </is>
      </c>
      <c r="F27" s="8" t="inlineStr">
        <is>
          <t>high</t>
        </is>
      </c>
      <c r="G27" s="9" t="n">
        <v>0</v>
      </c>
    </row>
    <row r="28">
      <c r="A28" s="8" t="inlineStr">
        <is>
          <t>Revenue (detail)</t>
        </is>
      </c>
      <c r="B28" s="8" t="inlineStr">
        <is>
          <t>G7</t>
        </is>
      </c>
      <c r="C28" s="8" t="inlineStr">
        <is>
          <t>1h. Total contributions, gifts, grants</t>
        </is>
      </c>
      <c r="D28" s="8" t="inlineStr">
        <is>
          <t>1h</t>
        </is>
      </c>
      <c r="E28" s="8" t="inlineStr">
        <is>
          <t>part_viii_revenue.total_contributions</t>
        </is>
      </c>
      <c r="F28" s="8" t="inlineStr">
        <is>
          <t>high</t>
        </is>
      </c>
      <c r="G28" s="9" t="n">
        <v>0</v>
      </c>
    </row>
    <row r="29">
      <c r="A29" s="8" t="inlineStr">
        <is>
          <t>Revenue (detail)</t>
        </is>
      </c>
      <c r="B29" s="8" t="inlineStr">
        <is>
          <t>B8</t>
        </is>
      </c>
      <c r="C29" s="8" t="inlineStr">
        <is>
          <t>2g. Total program service revenue</t>
        </is>
      </c>
      <c r="D29" s="8" t="inlineStr">
        <is>
          <t>2g</t>
        </is>
      </c>
      <c r="E29" s="8" t="inlineStr">
        <is>
          <t>part_viii_revenue.total_program_service_revenue</t>
        </is>
      </c>
      <c r="F29" s="8" t="inlineStr">
        <is>
          <t>high</t>
        </is>
      </c>
      <c r="G29" s="9" t="n">
        <v>141026</v>
      </c>
    </row>
    <row r="30">
      <c r="A30" s="8" t="inlineStr">
        <is>
          <t>Revenue (detail)</t>
        </is>
      </c>
      <c r="B30" s="8" t="inlineStr">
        <is>
          <t>C8</t>
        </is>
      </c>
      <c r="C30" s="8" t="inlineStr">
        <is>
          <t>2g. Total program service revenue</t>
        </is>
      </c>
      <c r="D30" s="8" t="inlineStr">
        <is>
          <t>2g</t>
        </is>
      </c>
      <c r="E30" s="8" t="inlineStr">
        <is>
          <t>part_viii_revenue.total_program_service_revenue</t>
        </is>
      </c>
      <c r="F30" s="8" t="inlineStr">
        <is>
          <t>high</t>
        </is>
      </c>
      <c r="G30" s="9" t="n">
        <v>148261</v>
      </c>
    </row>
    <row r="31">
      <c r="A31" s="8" t="inlineStr">
        <is>
          <t>Revenue (detail)</t>
        </is>
      </c>
      <c r="B31" s="8" t="inlineStr">
        <is>
          <t>D8</t>
        </is>
      </c>
      <c r="C31" s="8" t="inlineStr">
        <is>
          <t>2g. Total program service revenue</t>
        </is>
      </c>
      <c r="D31" s="8" t="inlineStr">
        <is>
          <t>2g</t>
        </is>
      </c>
      <c r="E31" s="8" t="inlineStr">
        <is>
          <t>part_viii_revenue.total_program_service_revenue</t>
        </is>
      </c>
      <c r="F31" s="8" t="inlineStr">
        <is>
          <t>high</t>
        </is>
      </c>
      <c r="G31" s="9" t="n">
        <v>153125</v>
      </c>
    </row>
    <row r="32">
      <c r="A32" s="8" t="inlineStr">
        <is>
          <t>Revenue (detail)</t>
        </is>
      </c>
      <c r="B32" s="8" t="inlineStr">
        <is>
          <t>E8</t>
        </is>
      </c>
      <c r="C32" s="8" t="inlineStr">
        <is>
          <t>2g. Total program service revenue</t>
        </is>
      </c>
      <c r="D32" s="8" t="inlineStr">
        <is>
          <t>2g</t>
        </is>
      </c>
      <c r="E32" s="8" t="inlineStr">
        <is>
          <t>part_viii_revenue.total_program_service_revenue</t>
        </is>
      </c>
      <c r="F32" s="8" t="inlineStr">
        <is>
          <t>high</t>
        </is>
      </c>
      <c r="G32" s="9" t="n">
        <v>245616</v>
      </c>
    </row>
    <row r="33">
      <c r="A33" s="8" t="inlineStr">
        <is>
          <t>Revenue (detail)</t>
        </is>
      </c>
      <c r="B33" s="8" t="inlineStr">
        <is>
          <t>F8</t>
        </is>
      </c>
      <c r="C33" s="8" t="inlineStr">
        <is>
          <t>2g. Total program service revenue</t>
        </is>
      </c>
      <c r="D33" s="8" t="inlineStr">
        <is>
          <t>2g</t>
        </is>
      </c>
      <c r="E33" s="8" t="inlineStr">
        <is>
          <t>part_viii_revenue.total_program_service_revenue</t>
        </is>
      </c>
      <c r="F33" s="8" t="inlineStr">
        <is>
          <t>high</t>
        </is>
      </c>
      <c r="G33" s="9" t="n">
        <v>165540</v>
      </c>
    </row>
    <row r="34">
      <c r="A34" s="8" t="inlineStr">
        <is>
          <t>Revenue (detail)</t>
        </is>
      </c>
      <c r="B34" s="8" t="inlineStr">
        <is>
          <t>G8</t>
        </is>
      </c>
      <c r="C34" s="8" t="inlineStr">
        <is>
          <t>2g. Total program service revenue</t>
        </is>
      </c>
      <c r="D34" s="8" t="inlineStr">
        <is>
          <t>2g</t>
        </is>
      </c>
      <c r="E34" s="8" t="inlineStr">
        <is>
          <t>part_viii_revenue.total_program_service_revenue</t>
        </is>
      </c>
      <c r="F34" s="8" t="inlineStr">
        <is>
          <t>high</t>
        </is>
      </c>
      <c r="G34" s="9" t="n">
        <v>165430</v>
      </c>
    </row>
    <row r="35">
      <c r="A35" s="8" t="inlineStr">
        <is>
          <t>Revenue (detail)</t>
        </is>
      </c>
      <c r="B35" s="8" t="inlineStr">
        <is>
          <t>B9</t>
        </is>
      </c>
      <c r="C35" s="8" t="inlineStr">
        <is>
          <t>3. Investment income</t>
        </is>
      </c>
      <c r="D35" s="8" t="inlineStr">
        <is>
          <t>3</t>
        </is>
      </c>
      <c r="E35" s="8" t="inlineStr">
        <is>
          <t>part_viii_revenue.investment_income</t>
        </is>
      </c>
      <c r="F35" s="8" t="inlineStr">
        <is>
          <t>high</t>
        </is>
      </c>
      <c r="G35" s="9" t="n">
        <v>58</v>
      </c>
    </row>
    <row r="36">
      <c r="A36" s="8" t="inlineStr">
        <is>
          <t>Revenue (detail)</t>
        </is>
      </c>
      <c r="B36" s="8" t="inlineStr">
        <is>
          <t>C9</t>
        </is>
      </c>
      <c r="C36" s="8" t="inlineStr">
        <is>
          <t>3. Investment income</t>
        </is>
      </c>
      <c r="D36" s="8" t="inlineStr">
        <is>
          <t>3</t>
        </is>
      </c>
      <c r="E36" s="8" t="inlineStr">
        <is>
          <t>part_viii_revenue.investment_income</t>
        </is>
      </c>
      <c r="F36" s="8" t="inlineStr">
        <is>
          <t>high</t>
        </is>
      </c>
      <c r="G36" s="9" t="n">
        <v>14</v>
      </c>
    </row>
    <row r="37">
      <c r="A37" s="8" t="inlineStr">
        <is>
          <t>Revenue (detail)</t>
        </is>
      </c>
      <c r="B37" s="8" t="inlineStr">
        <is>
          <t>D9</t>
        </is>
      </c>
      <c r="C37" s="8" t="inlineStr">
        <is>
          <t>3. Investment income</t>
        </is>
      </c>
      <c r="D37" s="8" t="inlineStr">
        <is>
          <t>3</t>
        </is>
      </c>
      <c r="E37" s="8" t="inlineStr">
        <is>
          <t>part_viii_revenue.investment_income</t>
        </is>
      </c>
      <c r="F37" s="8" t="inlineStr">
        <is>
          <t>high</t>
        </is>
      </c>
      <c r="G37" s="9" t="n">
        <v>23</v>
      </c>
    </row>
    <row r="38">
      <c r="A38" s="8" t="inlineStr">
        <is>
          <t>Revenue (detail)</t>
        </is>
      </c>
      <c r="B38" s="8" t="inlineStr">
        <is>
          <t>E9</t>
        </is>
      </c>
      <c r="C38" s="8" t="inlineStr">
        <is>
          <t>3. Investment income</t>
        </is>
      </c>
      <c r="D38" s="8" t="inlineStr">
        <is>
          <t>3</t>
        </is>
      </c>
      <c r="E38" s="8" t="inlineStr">
        <is>
          <t>part_viii_revenue.investment_income</t>
        </is>
      </c>
      <c r="F38" s="8" t="inlineStr">
        <is>
          <t>high</t>
        </is>
      </c>
      <c r="G38" s="9" t="n">
        <v>55</v>
      </c>
    </row>
    <row r="39">
      <c r="A39" s="8" t="inlineStr">
        <is>
          <t>Revenue (detail)</t>
        </is>
      </c>
      <c r="B39" s="8" t="inlineStr">
        <is>
          <t>F9</t>
        </is>
      </c>
      <c r="C39" s="8" t="inlineStr">
        <is>
          <t>3. Investment income</t>
        </is>
      </c>
      <c r="D39" s="8" t="inlineStr">
        <is>
          <t>3</t>
        </is>
      </c>
      <c r="E39" s="8" t="inlineStr">
        <is>
          <t>part_viii_revenue.investment_income</t>
        </is>
      </c>
      <c r="F39" s="8" t="inlineStr">
        <is>
          <t>high</t>
        </is>
      </c>
      <c r="G39" s="9" t="n">
        <v>62</v>
      </c>
    </row>
    <row r="40">
      <c r="A40" s="8" t="inlineStr">
        <is>
          <t>Revenue (detail)</t>
        </is>
      </c>
      <c r="B40" s="8" t="inlineStr">
        <is>
          <t>G9</t>
        </is>
      </c>
      <c r="C40" s="8" t="inlineStr">
        <is>
          <t>3. Investment income</t>
        </is>
      </c>
      <c r="D40" s="8" t="inlineStr">
        <is>
          <t>3</t>
        </is>
      </c>
      <c r="E40" s="8" t="inlineStr">
        <is>
          <t>part_viii_revenue.investment_income</t>
        </is>
      </c>
      <c r="F40" s="8" t="inlineStr">
        <is>
          <t>high</t>
        </is>
      </c>
      <c r="G40" s="9" t="n">
        <v>71</v>
      </c>
    </row>
    <row r="41">
      <c r="A41" s="8" t="inlineStr">
        <is>
          <t>Revenue (detail)</t>
        </is>
      </c>
      <c r="B41" s="8" t="inlineStr">
        <is>
          <t>B10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C10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D10</t>
        </is>
      </c>
      <c r="C43" s="8" t="inlineStr">
        <is>
          <t>6d. Net rental income</t>
        </is>
      </c>
      <c r="D43" s="8" t="inlineStr">
        <is>
          <t>6d</t>
        </is>
      </c>
      <c r="E43" s="8" t="inlineStr">
        <is>
          <t>part_viii_revenue.net_rental_income</t>
        </is>
      </c>
      <c r="F43" s="8" t="inlineStr">
        <is>
          <t>high</t>
        </is>
      </c>
      <c r="G43" s="9" t="n">
        <v>0</v>
      </c>
    </row>
    <row r="44">
      <c r="A44" s="8" t="inlineStr">
        <is>
          <t>Revenue (detail)</t>
        </is>
      </c>
      <c r="B44" s="8" t="inlineStr">
        <is>
          <t>E10</t>
        </is>
      </c>
      <c r="C44" s="8" t="inlineStr">
        <is>
          <t>6d. Net rental income</t>
        </is>
      </c>
      <c r="D44" s="8" t="inlineStr">
        <is>
          <t>6d</t>
        </is>
      </c>
      <c r="E44" s="8" t="inlineStr">
        <is>
          <t>part_viii_revenue.net_rental_income</t>
        </is>
      </c>
      <c r="F44" s="8" t="inlineStr">
        <is>
          <t>high</t>
        </is>
      </c>
      <c r="G44" s="9" t="n">
        <v>0</v>
      </c>
    </row>
    <row r="45">
      <c r="A45" s="8" t="inlineStr">
        <is>
          <t>Revenue (detail)</t>
        </is>
      </c>
      <c r="B45" s="8" t="inlineStr">
        <is>
          <t>F10</t>
        </is>
      </c>
      <c r="C45" s="8" t="inlineStr">
        <is>
          <t>6d. Net rental income</t>
        </is>
      </c>
      <c r="D45" s="8" t="inlineStr">
        <is>
          <t>6d</t>
        </is>
      </c>
      <c r="E45" s="8" t="inlineStr">
        <is>
          <t>part_viii_revenue.net_rental_income</t>
        </is>
      </c>
      <c r="F45" s="8" t="inlineStr">
        <is>
          <t>high</t>
        </is>
      </c>
      <c r="G45" s="9" t="n">
        <v>0</v>
      </c>
    </row>
    <row r="46">
      <c r="A46" s="8" t="inlineStr">
        <is>
          <t>Revenue (detail)</t>
        </is>
      </c>
      <c r="B46" s="8" t="inlineStr">
        <is>
          <t>G10</t>
        </is>
      </c>
      <c r="C46" s="8" t="inlineStr">
        <is>
          <t>6d. Net rental income</t>
        </is>
      </c>
      <c r="D46" s="8" t="inlineStr">
        <is>
          <t>6d</t>
        </is>
      </c>
      <c r="E46" s="8" t="inlineStr">
        <is>
          <t>part_viii_revenue.net_rental_income</t>
        </is>
      </c>
      <c r="F46" s="8" t="inlineStr">
        <is>
          <t>high</t>
        </is>
      </c>
      <c r="G46" s="9" t="n">
        <v>0</v>
      </c>
    </row>
    <row r="47">
      <c r="A47" s="8" t="inlineStr">
        <is>
          <t>Revenue (detail)</t>
        </is>
      </c>
      <c r="B47" s="8" t="inlineStr">
        <is>
          <t>B11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C11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D11</t>
        </is>
      </c>
      <c r="C49" s="8" t="inlineStr">
        <is>
          <t>7d. Net gain/(loss) from investment sales</t>
        </is>
      </c>
      <c r="D49" s="8" t="inlineStr">
        <is>
          <t>7d</t>
        </is>
      </c>
      <c r="E49" s="8" t="inlineStr">
        <is>
          <t>part_viii_revenue.net_gain_or_loss_investments</t>
        </is>
      </c>
      <c r="F49" s="8" t="inlineStr">
        <is>
          <t>high</t>
        </is>
      </c>
      <c r="G49" s="9" t="n">
        <v>0</v>
      </c>
    </row>
    <row r="50">
      <c r="A50" s="8" t="inlineStr">
        <is>
          <t>Revenue (detail)</t>
        </is>
      </c>
      <c r="B50" s="8" t="inlineStr">
        <is>
          <t>E11</t>
        </is>
      </c>
      <c r="C50" s="8" t="inlineStr">
        <is>
          <t>7d. Net gain/(loss) from investment sales</t>
        </is>
      </c>
      <c r="D50" s="8" t="inlineStr">
        <is>
          <t>7d</t>
        </is>
      </c>
      <c r="E50" s="8" t="inlineStr">
        <is>
          <t>part_viii_revenue.net_gain_or_loss_investments</t>
        </is>
      </c>
      <c r="F50" s="8" t="inlineStr">
        <is>
          <t>high</t>
        </is>
      </c>
      <c r="G50" s="9" t="n">
        <v>0</v>
      </c>
    </row>
    <row r="51">
      <c r="A51" s="8" t="inlineStr">
        <is>
          <t>Revenue (detail)</t>
        </is>
      </c>
      <c r="B51" s="8" t="inlineStr">
        <is>
          <t>F11</t>
        </is>
      </c>
      <c r="C51" s="8" t="inlineStr">
        <is>
          <t>7d. Net gain/(loss) from investment sales</t>
        </is>
      </c>
      <c r="D51" s="8" t="inlineStr">
        <is>
          <t>7d</t>
        </is>
      </c>
      <c r="E51" s="8" t="inlineStr">
        <is>
          <t>part_viii_revenue.net_gain_or_loss_investments</t>
        </is>
      </c>
      <c r="F51" s="8" t="inlineStr">
        <is>
          <t>high</t>
        </is>
      </c>
      <c r="G51" s="9" t="n">
        <v>0</v>
      </c>
    </row>
    <row r="52">
      <c r="A52" s="8" t="inlineStr">
        <is>
          <t>Revenue (detail)</t>
        </is>
      </c>
      <c r="B52" s="8" t="inlineStr">
        <is>
          <t>G11</t>
        </is>
      </c>
      <c r="C52" s="8" t="inlineStr">
        <is>
          <t>7d. Net gain/(loss) from investment sales</t>
        </is>
      </c>
      <c r="D52" s="8" t="inlineStr">
        <is>
          <t>7d</t>
        </is>
      </c>
      <c r="E52" s="8" t="inlineStr">
        <is>
          <t>part_viii_revenue.net_gain_or_loss_investments</t>
        </is>
      </c>
      <c r="F52" s="8" t="inlineStr">
        <is>
          <t>high</t>
        </is>
      </c>
      <c r="G52" s="9" t="n">
        <v>0</v>
      </c>
    </row>
    <row r="53">
      <c r="A53" s="8" t="inlineStr">
        <is>
          <t>Revenue (detail)</t>
        </is>
      </c>
      <c r="B53" s="8" t="inlineStr">
        <is>
          <t>B12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C12</t>
        </is>
      </c>
      <c r="C54" s="8" t="inlineStr">
        <is>
          <t>11e. Other revenue</t>
        </is>
      </c>
      <c r="D54" s="8" t="inlineStr">
        <is>
          <t>11e</t>
        </is>
      </c>
      <c r="E54" s="8" t="inlineStr">
        <is>
          <t>part_viii_revenue.other_revenue_total</t>
        </is>
      </c>
      <c r="F54" s="8" t="inlineStr">
        <is>
          <t>high</t>
        </is>
      </c>
      <c r="G54" s="9" t="n">
        <v>0</v>
      </c>
    </row>
    <row r="55">
      <c r="A55" s="8" t="inlineStr">
        <is>
          <t>Revenue (detail)</t>
        </is>
      </c>
      <c r="B55" s="8" t="inlineStr">
        <is>
          <t>D12</t>
        </is>
      </c>
      <c r="C55" s="8" t="inlineStr">
        <is>
          <t>11e. Other revenue</t>
        </is>
      </c>
      <c r="D55" s="8" t="inlineStr">
        <is>
          <t>11e</t>
        </is>
      </c>
      <c r="E55" s="8" t="inlineStr">
        <is>
          <t>part_viii_revenue.other_revenue_total</t>
        </is>
      </c>
      <c r="F55" s="8" t="inlineStr">
        <is>
          <t>high</t>
        </is>
      </c>
      <c r="G55" s="9" t="n">
        <v>0</v>
      </c>
    </row>
    <row r="56">
      <c r="A56" s="8" t="inlineStr">
        <is>
          <t>Revenue (detail)</t>
        </is>
      </c>
      <c r="B56" s="8" t="inlineStr">
        <is>
          <t>E12</t>
        </is>
      </c>
      <c r="C56" s="8" t="inlineStr">
        <is>
          <t>11e. Other revenue</t>
        </is>
      </c>
      <c r="D56" s="8" t="inlineStr">
        <is>
          <t>11e</t>
        </is>
      </c>
      <c r="E56" s="8" t="inlineStr">
        <is>
          <t>part_viii_revenue.other_revenue_total</t>
        </is>
      </c>
      <c r="F56" s="8" t="inlineStr">
        <is>
          <t>high</t>
        </is>
      </c>
      <c r="G56" s="9" t="n">
        <v>0</v>
      </c>
    </row>
    <row r="57">
      <c r="A57" s="8" t="inlineStr">
        <is>
          <t>Revenue (detail)</t>
        </is>
      </c>
      <c r="B57" s="8" t="inlineStr">
        <is>
          <t>F12</t>
        </is>
      </c>
      <c r="C57" s="8" t="inlineStr">
        <is>
          <t>11e. Other revenue</t>
        </is>
      </c>
      <c r="D57" s="8" t="inlineStr">
        <is>
          <t>11e</t>
        </is>
      </c>
      <c r="E57" s="8" t="inlineStr">
        <is>
          <t>part_viii_revenue.other_revenue_total</t>
        </is>
      </c>
      <c r="F57" s="8" t="inlineStr">
        <is>
          <t>high</t>
        </is>
      </c>
      <c r="G57" s="9" t="n">
        <v>0</v>
      </c>
    </row>
    <row r="58">
      <c r="A58" s="8" t="inlineStr">
        <is>
          <t>Revenue (detail)</t>
        </is>
      </c>
      <c r="B58" s="8" t="inlineStr">
        <is>
          <t>G12</t>
        </is>
      </c>
      <c r="C58" s="8" t="inlineStr">
        <is>
          <t>11e. Other revenue</t>
        </is>
      </c>
      <c r="D58" s="8" t="inlineStr">
        <is>
          <t>11e</t>
        </is>
      </c>
      <c r="E58" s="8" t="inlineStr">
        <is>
          <t>part_viii_revenue.other_revenue_total</t>
        </is>
      </c>
      <c r="F58" s="8" t="inlineStr">
        <is>
          <t>high</t>
        </is>
      </c>
      <c r="G58" s="9" t="n">
        <v>0</v>
      </c>
    </row>
    <row r="59">
      <c r="A59" s="8" t="inlineStr">
        <is>
          <t>Operating expenses (detail)</t>
        </is>
      </c>
      <c r="B59" s="8" t="inlineStr">
        <is>
          <t>B7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C7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D7</t>
        </is>
      </c>
      <c r="C61" s="8" t="inlineStr">
        <is>
          <t>1. Grants to domestic organizations and governments</t>
        </is>
      </c>
      <c r="D61" s="8" t="inlineStr">
        <is>
          <t>1</t>
        </is>
      </c>
      <c r="E61" s="8" t="inlineStr">
        <is>
          <t>part_ix_expenses.grants_domestic_orgs</t>
        </is>
      </c>
      <c r="F61" s="8" t="inlineStr">
        <is>
          <t>high</t>
        </is>
      </c>
      <c r="G61" s="9" t="n">
        <v>0</v>
      </c>
    </row>
    <row r="62">
      <c r="A62" s="8" t="inlineStr">
        <is>
          <t>Operating expenses (detail)</t>
        </is>
      </c>
      <c r="B62" s="8" t="inlineStr">
        <is>
          <t>E7</t>
        </is>
      </c>
      <c r="C62" s="8" t="inlineStr">
        <is>
          <t>1. Grants to domestic organizations and governments</t>
        </is>
      </c>
      <c r="D62" s="8" t="inlineStr">
        <is>
          <t>1</t>
        </is>
      </c>
      <c r="E62" s="8" t="inlineStr">
        <is>
          <t>part_ix_expenses.grants_domestic_orgs</t>
        </is>
      </c>
      <c r="F62" s="8" t="inlineStr">
        <is>
          <t>high</t>
        </is>
      </c>
      <c r="G62" s="9" t="n">
        <v>0</v>
      </c>
    </row>
    <row r="63">
      <c r="A63" s="8" t="inlineStr">
        <is>
          <t>Operating expenses (detail)</t>
        </is>
      </c>
      <c r="B63" s="8" t="inlineStr">
        <is>
          <t>F7</t>
        </is>
      </c>
      <c r="C63" s="8" t="inlineStr">
        <is>
          <t>1. Grants to domestic organizations and governments</t>
        </is>
      </c>
      <c r="D63" s="8" t="inlineStr">
        <is>
          <t>1</t>
        </is>
      </c>
      <c r="E63" s="8" t="inlineStr">
        <is>
          <t>part_ix_expenses.grants_domestic_orgs</t>
        </is>
      </c>
      <c r="F63" s="8" t="inlineStr">
        <is>
          <t>high</t>
        </is>
      </c>
      <c r="G63" s="9" t="n">
        <v>0</v>
      </c>
    </row>
    <row r="64">
      <c r="A64" s="8" t="inlineStr">
        <is>
          <t>Operating expenses (detail)</t>
        </is>
      </c>
      <c r="B64" s="8" t="inlineStr">
        <is>
          <t>G7</t>
        </is>
      </c>
      <c r="C64" s="8" t="inlineStr">
        <is>
          <t>1. Grants to domestic organizations and governments</t>
        </is>
      </c>
      <c r="D64" s="8" t="inlineStr">
        <is>
          <t>1</t>
        </is>
      </c>
      <c r="E64" s="8" t="inlineStr">
        <is>
          <t>part_ix_expenses.grants_domestic_orgs</t>
        </is>
      </c>
      <c r="F64" s="8" t="inlineStr">
        <is>
          <t>high</t>
        </is>
      </c>
      <c r="G64" s="9" t="n">
        <v>0</v>
      </c>
    </row>
    <row r="65">
      <c r="A65" s="8" t="inlineStr">
        <is>
          <t>Operating expenses (detail)</t>
        </is>
      </c>
      <c r="B65" s="8" t="inlineStr">
        <is>
          <t>B8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C8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D8</t>
        </is>
      </c>
      <c r="C67" s="8" t="inlineStr">
        <is>
          <t>2. Grants to domestic individuals</t>
        </is>
      </c>
      <c r="D67" s="8" t="inlineStr">
        <is>
          <t>2</t>
        </is>
      </c>
      <c r="E67" s="8" t="inlineStr">
        <is>
          <t>part_ix_expenses.grants_domestic_individuals</t>
        </is>
      </c>
      <c r="F67" s="8" t="inlineStr">
        <is>
          <t>high</t>
        </is>
      </c>
      <c r="G67" s="9" t="n">
        <v>0</v>
      </c>
    </row>
    <row r="68">
      <c r="A68" s="8" t="inlineStr">
        <is>
          <t>Operating expenses (detail)</t>
        </is>
      </c>
      <c r="B68" s="8" t="inlineStr">
        <is>
          <t>E8</t>
        </is>
      </c>
      <c r="C68" s="8" t="inlineStr">
        <is>
          <t>2. Grants to domestic individuals</t>
        </is>
      </c>
      <c r="D68" s="8" t="inlineStr">
        <is>
          <t>2</t>
        </is>
      </c>
      <c r="E68" s="8" t="inlineStr">
        <is>
          <t>part_ix_expenses.grants_domestic_individuals</t>
        </is>
      </c>
      <c r="F68" s="8" t="inlineStr">
        <is>
          <t>high</t>
        </is>
      </c>
      <c r="G68" s="9" t="n">
        <v>0</v>
      </c>
    </row>
    <row r="69">
      <c r="A69" s="8" t="inlineStr">
        <is>
          <t>Operating expenses (detail)</t>
        </is>
      </c>
      <c r="B69" s="8" t="inlineStr">
        <is>
          <t>F8</t>
        </is>
      </c>
      <c r="C69" s="8" t="inlineStr">
        <is>
          <t>2. Grants to domestic individuals</t>
        </is>
      </c>
      <c r="D69" s="8" t="inlineStr">
        <is>
          <t>2</t>
        </is>
      </c>
      <c r="E69" s="8" t="inlineStr">
        <is>
          <t>part_ix_expenses.grants_domestic_individuals</t>
        </is>
      </c>
      <c r="F69" s="8" t="inlineStr">
        <is>
          <t>high</t>
        </is>
      </c>
      <c r="G69" s="9" t="n">
        <v>0</v>
      </c>
    </row>
    <row r="70">
      <c r="A70" s="8" t="inlineStr">
        <is>
          <t>Operating expenses (detail)</t>
        </is>
      </c>
      <c r="B70" s="8" t="inlineStr">
        <is>
          <t>G8</t>
        </is>
      </c>
      <c r="C70" s="8" t="inlineStr">
        <is>
          <t>2. Grants to domestic individuals</t>
        </is>
      </c>
      <c r="D70" s="8" t="inlineStr">
        <is>
          <t>2</t>
        </is>
      </c>
      <c r="E70" s="8" t="inlineStr">
        <is>
          <t>part_ix_expenses.grants_domestic_individuals</t>
        </is>
      </c>
      <c r="F70" s="8" t="inlineStr">
        <is>
          <t>high</t>
        </is>
      </c>
      <c r="G70" s="9" t="n">
        <v>0</v>
      </c>
    </row>
    <row r="71">
      <c r="A71" s="8" t="inlineStr">
        <is>
          <t>Operating expenses (detail)</t>
        </is>
      </c>
      <c r="B71" s="8" t="inlineStr">
        <is>
          <t>B9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C9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D9</t>
        </is>
      </c>
      <c r="C73" s="8" t="inlineStr">
        <is>
          <t>3. Grants to foreign organizations and individuals</t>
        </is>
      </c>
      <c r="D73" s="8" t="inlineStr">
        <is>
          <t>3</t>
        </is>
      </c>
      <c r="E73" s="8" t="inlineStr">
        <is>
          <t>part_ix_expenses.foreign_grants</t>
        </is>
      </c>
      <c r="F73" s="8" t="inlineStr">
        <is>
          <t>high</t>
        </is>
      </c>
      <c r="G73" s="9" t="n">
        <v>0</v>
      </c>
    </row>
    <row r="74">
      <c r="A74" s="8" t="inlineStr">
        <is>
          <t>Operating expenses (detail)</t>
        </is>
      </c>
      <c r="B74" s="8" t="inlineStr">
        <is>
          <t>E9</t>
        </is>
      </c>
      <c r="C74" s="8" t="inlineStr">
        <is>
          <t>3. Grants to foreign organizations and individuals</t>
        </is>
      </c>
      <c r="D74" s="8" t="inlineStr">
        <is>
          <t>3</t>
        </is>
      </c>
      <c r="E74" s="8" t="inlineStr">
        <is>
          <t>part_ix_expenses.foreign_grants</t>
        </is>
      </c>
      <c r="F74" s="8" t="inlineStr">
        <is>
          <t>high</t>
        </is>
      </c>
      <c r="G74" s="9" t="n">
        <v>0</v>
      </c>
    </row>
    <row r="75">
      <c r="A75" s="8" t="inlineStr">
        <is>
          <t>Operating expenses (detail)</t>
        </is>
      </c>
      <c r="B75" s="8" t="inlineStr">
        <is>
          <t>F9</t>
        </is>
      </c>
      <c r="C75" s="8" t="inlineStr">
        <is>
          <t>3. Grants to foreign organizations and individuals</t>
        </is>
      </c>
      <c r="D75" s="8" t="inlineStr">
        <is>
          <t>3</t>
        </is>
      </c>
      <c r="E75" s="8" t="inlineStr">
        <is>
          <t>part_ix_expenses.foreign_grants</t>
        </is>
      </c>
      <c r="F75" s="8" t="inlineStr">
        <is>
          <t>high</t>
        </is>
      </c>
      <c r="G75" s="9" t="n">
        <v>0</v>
      </c>
    </row>
    <row r="76">
      <c r="A76" s="8" t="inlineStr">
        <is>
          <t>Operating expenses (detail)</t>
        </is>
      </c>
      <c r="B76" s="8" t="inlineStr">
        <is>
          <t>G9</t>
        </is>
      </c>
      <c r="C76" s="8" t="inlineStr">
        <is>
          <t>3. Grants to foreign organizations and individuals</t>
        </is>
      </c>
      <c r="D76" s="8" t="inlineStr">
        <is>
          <t>3</t>
        </is>
      </c>
      <c r="E76" s="8" t="inlineStr">
        <is>
          <t>part_ix_expenses.foreign_grants</t>
        </is>
      </c>
      <c r="F76" s="8" t="inlineStr">
        <is>
          <t>high</t>
        </is>
      </c>
      <c r="G76" s="9" t="n">
        <v>0</v>
      </c>
    </row>
    <row r="77">
      <c r="A77" s="8" t="inlineStr">
        <is>
          <t>Operating expenses (detail)</t>
        </is>
      </c>
      <c r="B77" s="8" t="inlineStr">
        <is>
          <t>B10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C10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D10</t>
        </is>
      </c>
      <c r="C79" s="8" t="inlineStr">
        <is>
          <t>4. Benefits paid to or for members</t>
        </is>
      </c>
      <c r="D79" s="8" t="inlineStr">
        <is>
          <t>4</t>
        </is>
      </c>
      <c r="E79" s="8" t="inlineStr">
        <is>
          <t>part_ix_expenses.benefits_to_members</t>
        </is>
      </c>
      <c r="F79" s="8" t="inlineStr">
        <is>
          <t>high</t>
        </is>
      </c>
      <c r="G79" s="9" t="n">
        <v>0</v>
      </c>
    </row>
    <row r="80">
      <c r="A80" s="8" t="inlineStr">
        <is>
          <t>Operating expenses (detail)</t>
        </is>
      </c>
      <c r="B80" s="8" t="inlineStr">
        <is>
          <t>E10</t>
        </is>
      </c>
      <c r="C80" s="8" t="inlineStr">
        <is>
          <t>4. Benefits paid to or for members</t>
        </is>
      </c>
      <c r="D80" s="8" t="inlineStr">
        <is>
          <t>4</t>
        </is>
      </c>
      <c r="E80" s="8" t="inlineStr">
        <is>
          <t>part_ix_expenses.benefits_to_members</t>
        </is>
      </c>
      <c r="F80" s="8" t="inlineStr">
        <is>
          <t>high</t>
        </is>
      </c>
      <c r="G80" s="9" t="n">
        <v>0</v>
      </c>
    </row>
    <row r="81">
      <c r="A81" s="8" t="inlineStr">
        <is>
          <t>Operating expenses (detail)</t>
        </is>
      </c>
      <c r="B81" s="8" t="inlineStr">
        <is>
          <t>F10</t>
        </is>
      </c>
      <c r="C81" s="8" t="inlineStr">
        <is>
          <t>4. Benefits paid to or for members</t>
        </is>
      </c>
      <c r="D81" s="8" t="inlineStr">
        <is>
          <t>4</t>
        </is>
      </c>
      <c r="E81" s="8" t="inlineStr">
        <is>
          <t>part_ix_expenses.benefits_to_members</t>
        </is>
      </c>
      <c r="F81" s="8" t="inlineStr">
        <is>
          <t>high</t>
        </is>
      </c>
      <c r="G81" s="9" t="n">
        <v>0</v>
      </c>
    </row>
    <row r="82">
      <c r="A82" s="8" t="inlineStr">
        <is>
          <t>Operating expenses (detail)</t>
        </is>
      </c>
      <c r="B82" s="8" t="inlineStr">
        <is>
          <t>G10</t>
        </is>
      </c>
      <c r="C82" s="8" t="inlineStr">
        <is>
          <t>4. Benefits paid to or for members</t>
        </is>
      </c>
      <c r="D82" s="8" t="inlineStr">
        <is>
          <t>4</t>
        </is>
      </c>
      <c r="E82" s="8" t="inlineStr">
        <is>
          <t>part_ix_expenses.benefits_to_members</t>
        </is>
      </c>
      <c r="F82" s="8" t="inlineStr">
        <is>
          <t>high</t>
        </is>
      </c>
      <c r="G82" s="9" t="n">
        <v>0</v>
      </c>
    </row>
    <row r="83">
      <c r="A83" s="8" t="inlineStr">
        <is>
          <t>Operating expenses (detail)</t>
        </is>
      </c>
      <c r="B83" s="8" t="inlineStr">
        <is>
          <t>B11</t>
        </is>
      </c>
      <c r="C83" s="8" t="inlineStr">
        <is>
          <t>5. Compensation of current officers, directors, trustees</t>
        </is>
      </c>
      <c r="D83" s="8" t="inlineStr">
        <is>
          <t>5</t>
        </is>
      </c>
      <c r="E83" s="8" t="inlineStr">
        <is>
          <t>part_ix_expenses.comp_current_officers</t>
        </is>
      </c>
      <c r="F83" s="8" t="inlineStr">
        <is>
          <t>high</t>
        </is>
      </c>
      <c r="G83" s="9" t="n">
        <v>12000</v>
      </c>
    </row>
    <row r="84">
      <c r="A84" s="8" t="inlineStr">
        <is>
          <t>Operating expenses (detail)</t>
        </is>
      </c>
      <c r="B84" s="8" t="inlineStr">
        <is>
          <t>C11</t>
        </is>
      </c>
      <c r="C84" s="8" t="inlineStr">
        <is>
          <t>5. Compensation of current officers, directors, trustees</t>
        </is>
      </c>
      <c r="D84" s="8" t="inlineStr">
        <is>
          <t>5</t>
        </is>
      </c>
      <c r="E84" s="8" t="inlineStr">
        <is>
          <t>part_ix_expenses.comp_current_officers</t>
        </is>
      </c>
      <c r="F84" s="8" t="inlineStr">
        <is>
          <t>high</t>
        </is>
      </c>
      <c r="G84" s="9" t="n">
        <v>12000</v>
      </c>
    </row>
    <row r="85">
      <c r="A85" s="8" t="inlineStr">
        <is>
          <t>Operating expenses (detail)</t>
        </is>
      </c>
      <c r="B85" s="8" t="inlineStr">
        <is>
          <t>D11</t>
        </is>
      </c>
      <c r="C85" s="8" t="inlineStr">
        <is>
          <t>5. Compensation of current officers, directors, trustees</t>
        </is>
      </c>
      <c r="D85" s="8" t="inlineStr">
        <is>
          <t>5</t>
        </is>
      </c>
      <c r="E85" s="8" t="inlineStr">
        <is>
          <t>part_ix_expenses.comp_current_officers</t>
        </is>
      </c>
      <c r="F85" s="8" t="inlineStr">
        <is>
          <t>high</t>
        </is>
      </c>
      <c r="G85" s="9" t="n">
        <v>12000</v>
      </c>
    </row>
    <row r="86">
      <c r="A86" s="8" t="inlineStr">
        <is>
          <t>Operating expenses (detail)</t>
        </is>
      </c>
      <c r="B86" s="8" t="inlineStr">
        <is>
          <t>E11</t>
        </is>
      </c>
      <c r="C86" s="8" t="inlineStr">
        <is>
          <t>5. Compensation of current officers, directors, trustees</t>
        </is>
      </c>
      <c r="D86" s="8" t="inlineStr">
        <is>
          <t>5</t>
        </is>
      </c>
      <c r="E86" s="8" t="inlineStr">
        <is>
          <t>part_ix_expenses.comp_current_officers</t>
        </is>
      </c>
      <c r="F86" s="8" t="inlineStr">
        <is>
          <t>high</t>
        </is>
      </c>
      <c r="G86" s="9" t="n">
        <v>12000</v>
      </c>
    </row>
    <row r="87">
      <c r="A87" s="8" t="inlineStr">
        <is>
          <t>Operating expenses (detail)</t>
        </is>
      </c>
      <c r="B87" s="8" t="inlineStr">
        <is>
          <t>F11</t>
        </is>
      </c>
      <c r="C87" s="8" t="inlineStr">
        <is>
          <t>5. Compensation of current officers, directors, trustees</t>
        </is>
      </c>
      <c r="D87" s="8" t="inlineStr">
        <is>
          <t>5</t>
        </is>
      </c>
      <c r="E87" s="8" t="inlineStr">
        <is>
          <t>part_ix_expenses.comp_current_officers</t>
        </is>
      </c>
      <c r="F87" s="8" t="inlineStr">
        <is>
          <t>high</t>
        </is>
      </c>
      <c r="G87" s="9" t="n">
        <v>11000</v>
      </c>
    </row>
    <row r="88">
      <c r="A88" s="8" t="inlineStr">
        <is>
          <t>Operating expenses (detail)</t>
        </is>
      </c>
      <c r="B88" s="8" t="inlineStr">
        <is>
          <t>G11</t>
        </is>
      </c>
      <c r="C88" s="8" t="inlineStr">
        <is>
          <t>5. Compensation of current officers, directors, trustees</t>
        </is>
      </c>
      <c r="D88" s="8" t="inlineStr">
        <is>
          <t>5</t>
        </is>
      </c>
      <c r="E88" s="8" t="inlineStr">
        <is>
          <t>part_ix_expenses.comp_current_officers</t>
        </is>
      </c>
      <c r="F88" s="8" t="inlineStr">
        <is>
          <t>high</t>
        </is>
      </c>
      <c r="G88" s="9" t="n">
        <v>0</v>
      </c>
    </row>
    <row r="89">
      <c r="A89" s="8" t="inlineStr">
        <is>
          <t>Operating expenses (detail)</t>
        </is>
      </c>
      <c r="B89" s="8" t="inlineStr">
        <is>
          <t>B12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C12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D12</t>
        </is>
      </c>
      <c r="C91" s="8" t="inlineStr">
        <is>
          <t>6. Compensation to disqualified persons</t>
        </is>
      </c>
      <c r="D91" s="8" t="inlineStr">
        <is>
          <t>6</t>
        </is>
      </c>
      <c r="E91" s="8" t="inlineStr">
        <is>
          <t>part_ix_expenses.comp_disqualified_persons</t>
        </is>
      </c>
      <c r="F91" s="8" t="inlineStr">
        <is>
          <t>high</t>
        </is>
      </c>
      <c r="G91" s="9" t="n">
        <v>0</v>
      </c>
    </row>
    <row r="92">
      <c r="A92" s="8" t="inlineStr">
        <is>
          <t>Operating expenses (detail)</t>
        </is>
      </c>
      <c r="B92" s="8" t="inlineStr">
        <is>
          <t>E12</t>
        </is>
      </c>
      <c r="C92" s="8" t="inlineStr">
        <is>
          <t>6. Compensation to disqualified persons</t>
        </is>
      </c>
      <c r="D92" s="8" t="inlineStr">
        <is>
          <t>6</t>
        </is>
      </c>
      <c r="E92" s="8" t="inlineStr">
        <is>
          <t>part_ix_expenses.comp_disqualified_persons</t>
        </is>
      </c>
      <c r="F92" s="8" t="inlineStr">
        <is>
          <t>high</t>
        </is>
      </c>
      <c r="G92" s="9" t="n">
        <v>0</v>
      </c>
    </row>
    <row r="93">
      <c r="A93" s="8" t="inlineStr">
        <is>
          <t>Operating expenses (detail)</t>
        </is>
      </c>
      <c r="B93" s="8" t="inlineStr">
        <is>
          <t>F12</t>
        </is>
      </c>
      <c r="C93" s="8" t="inlineStr">
        <is>
          <t>6. Compensation to disqualified persons</t>
        </is>
      </c>
      <c r="D93" s="8" t="inlineStr">
        <is>
          <t>6</t>
        </is>
      </c>
      <c r="E93" s="8" t="inlineStr">
        <is>
          <t>part_ix_expenses.comp_disqualified_persons</t>
        </is>
      </c>
      <c r="F93" s="8" t="inlineStr">
        <is>
          <t>high</t>
        </is>
      </c>
      <c r="G93" s="9" t="n">
        <v>0</v>
      </c>
    </row>
    <row r="94">
      <c r="A94" s="8" t="inlineStr">
        <is>
          <t>Operating expenses (detail)</t>
        </is>
      </c>
      <c r="B94" s="8" t="inlineStr">
        <is>
          <t>G12</t>
        </is>
      </c>
      <c r="C94" s="8" t="inlineStr">
        <is>
          <t>6. Compensation to disqualified persons</t>
        </is>
      </c>
      <c r="D94" s="8" t="inlineStr">
        <is>
          <t>6</t>
        </is>
      </c>
      <c r="E94" s="8" t="inlineStr">
        <is>
          <t>part_ix_expenses.comp_disqualified_persons</t>
        </is>
      </c>
      <c r="F94" s="8" t="inlineStr">
        <is>
          <t>high</t>
        </is>
      </c>
      <c r="G94" s="9" t="n">
        <v>0</v>
      </c>
    </row>
    <row r="95">
      <c r="A95" s="8" t="inlineStr">
        <is>
          <t>Operating expenses (detail)</t>
        </is>
      </c>
      <c r="B95" s="8" t="inlineStr">
        <is>
          <t>B13</t>
        </is>
      </c>
      <c r="C95" s="8" t="inlineStr">
        <is>
          <t>7. Other salaries and wages</t>
        </is>
      </c>
      <c r="D95" s="8" t="inlineStr">
        <is>
          <t>7</t>
        </is>
      </c>
      <c r="E95" s="8" t="inlineStr">
        <is>
          <t>part_ix_expenses.other_salaries_and_wages</t>
        </is>
      </c>
      <c r="F95" s="8" t="inlineStr">
        <is>
          <t>high</t>
        </is>
      </c>
      <c r="G95" s="9" t="n">
        <v>0</v>
      </c>
    </row>
    <row r="96">
      <c r="A96" s="8" t="inlineStr">
        <is>
          <t>Operating expenses (detail)</t>
        </is>
      </c>
      <c r="B96" s="8" t="inlineStr">
        <is>
          <t>C13</t>
        </is>
      </c>
      <c r="C96" s="8" t="inlineStr">
        <is>
          <t>7. Other salaries and wages</t>
        </is>
      </c>
      <c r="D96" s="8" t="inlineStr">
        <is>
          <t>7</t>
        </is>
      </c>
      <c r="E96" s="8" t="inlineStr">
        <is>
          <t>part_ix_expenses.other_salaries_and_wages</t>
        </is>
      </c>
      <c r="F96" s="8" t="inlineStr">
        <is>
          <t>high</t>
        </is>
      </c>
      <c r="G96" s="9" t="n">
        <v>0</v>
      </c>
    </row>
    <row r="97">
      <c r="A97" s="8" t="inlineStr">
        <is>
          <t>Operating expenses (detail)</t>
        </is>
      </c>
      <c r="B97" s="8" t="inlineStr">
        <is>
          <t>D13</t>
        </is>
      </c>
      <c r="C97" s="8" t="inlineStr">
        <is>
          <t>7. Other salaries and wages</t>
        </is>
      </c>
      <c r="D97" s="8" t="inlineStr">
        <is>
          <t>7</t>
        </is>
      </c>
      <c r="E97" s="8" t="inlineStr">
        <is>
          <t>part_ix_expenses.other_salaries_and_wages</t>
        </is>
      </c>
      <c r="F97" s="8" t="inlineStr">
        <is>
          <t>high</t>
        </is>
      </c>
      <c r="G97" s="9" t="n">
        <v>0</v>
      </c>
    </row>
    <row r="98">
      <c r="A98" s="8" t="inlineStr">
        <is>
          <t>Operating expenses (detail)</t>
        </is>
      </c>
      <c r="B98" s="8" t="inlineStr">
        <is>
          <t>E13</t>
        </is>
      </c>
      <c r="C98" s="8" t="inlineStr">
        <is>
          <t>7. Other salaries and wages</t>
        </is>
      </c>
      <c r="D98" s="8" t="inlineStr">
        <is>
          <t>7</t>
        </is>
      </c>
      <c r="E98" s="8" t="inlineStr">
        <is>
          <t>part_ix_expenses.other_salaries_and_wages</t>
        </is>
      </c>
      <c r="F98" s="8" t="inlineStr">
        <is>
          <t>high</t>
        </is>
      </c>
      <c r="G98" s="9" t="n">
        <v>0</v>
      </c>
    </row>
    <row r="99">
      <c r="A99" s="8" t="inlineStr">
        <is>
          <t>Operating expenses (detail)</t>
        </is>
      </c>
      <c r="B99" s="8" t="inlineStr">
        <is>
          <t>F13</t>
        </is>
      </c>
      <c r="C99" s="8" t="inlineStr">
        <is>
          <t>7. Other salaries and wages</t>
        </is>
      </c>
      <c r="D99" s="8" t="inlineStr">
        <is>
          <t>7</t>
        </is>
      </c>
      <c r="E99" s="8" t="inlineStr">
        <is>
          <t>part_ix_expenses.other_salaries_and_wages</t>
        </is>
      </c>
      <c r="F99" s="8" t="inlineStr">
        <is>
          <t>high</t>
        </is>
      </c>
      <c r="G99" s="9" t="n">
        <v>0</v>
      </c>
    </row>
    <row r="100">
      <c r="A100" s="8" t="inlineStr">
        <is>
          <t>Operating expenses (detail)</t>
        </is>
      </c>
      <c r="B100" s="8" t="inlineStr">
        <is>
          <t>G13</t>
        </is>
      </c>
      <c r="C100" s="8" t="inlineStr">
        <is>
          <t>7. Other salaries and wages</t>
        </is>
      </c>
      <c r="D100" s="8" t="inlineStr">
        <is>
          <t>7</t>
        </is>
      </c>
      <c r="E100" s="8" t="inlineStr">
        <is>
          <t>part_ix_expenses.other_salaries_and_wages</t>
        </is>
      </c>
      <c r="F100" s="8" t="inlineStr">
        <is>
          <t>high</t>
        </is>
      </c>
      <c r="G100" s="9" t="n">
        <v>0</v>
      </c>
    </row>
    <row r="101">
      <c r="A101" s="8" t="inlineStr">
        <is>
          <t>Operating expenses (detail)</t>
        </is>
      </c>
      <c r="B101" s="8" t="inlineStr">
        <is>
          <t>B14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C14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D14</t>
        </is>
      </c>
      <c r="C103" s="8" t="inlineStr">
        <is>
          <t>8. Pension plan accruals and contributions</t>
        </is>
      </c>
      <c r="D103" s="8" t="inlineStr">
        <is>
          <t>8</t>
        </is>
      </c>
      <c r="E103" s="8" t="inlineStr">
        <is>
          <t>part_ix_expenses.pension_plan_contributions</t>
        </is>
      </c>
      <c r="F103" s="8" t="inlineStr">
        <is>
          <t>high</t>
        </is>
      </c>
      <c r="G103" s="9" t="n">
        <v>0</v>
      </c>
    </row>
    <row r="104">
      <c r="A104" s="8" t="inlineStr">
        <is>
          <t>Operating expenses (detail)</t>
        </is>
      </c>
      <c r="B104" s="8" t="inlineStr">
        <is>
          <t>E14</t>
        </is>
      </c>
      <c r="C104" s="8" t="inlineStr">
        <is>
          <t>8. Pension plan accruals and contributions</t>
        </is>
      </c>
      <c r="D104" s="8" t="inlineStr">
        <is>
          <t>8</t>
        </is>
      </c>
      <c r="E104" s="8" t="inlineStr">
        <is>
          <t>part_ix_expenses.pension_plan_contributions</t>
        </is>
      </c>
      <c r="F104" s="8" t="inlineStr">
        <is>
          <t>high</t>
        </is>
      </c>
      <c r="G104" s="9" t="n">
        <v>0</v>
      </c>
    </row>
    <row r="105">
      <c r="A105" s="8" t="inlineStr">
        <is>
          <t>Operating expenses (detail)</t>
        </is>
      </c>
      <c r="B105" s="8" t="inlineStr">
        <is>
          <t>F14</t>
        </is>
      </c>
      <c r="C105" s="8" t="inlineStr">
        <is>
          <t>8. Pension plan accruals and contributions</t>
        </is>
      </c>
      <c r="D105" s="8" t="inlineStr">
        <is>
          <t>8</t>
        </is>
      </c>
      <c r="E105" s="8" t="inlineStr">
        <is>
          <t>part_ix_expenses.pension_plan_contributions</t>
        </is>
      </c>
      <c r="F105" s="8" t="inlineStr">
        <is>
          <t>high</t>
        </is>
      </c>
      <c r="G105" s="9" t="n">
        <v>0</v>
      </c>
    </row>
    <row r="106">
      <c r="A106" s="8" t="inlineStr">
        <is>
          <t>Operating expenses (detail)</t>
        </is>
      </c>
      <c r="B106" s="8" t="inlineStr">
        <is>
          <t>G14</t>
        </is>
      </c>
      <c r="C106" s="8" t="inlineStr">
        <is>
          <t>8. Pension plan accruals and contributions</t>
        </is>
      </c>
      <c r="D106" s="8" t="inlineStr">
        <is>
          <t>8</t>
        </is>
      </c>
      <c r="E106" s="8" t="inlineStr">
        <is>
          <t>part_ix_expenses.pension_plan_contributions</t>
        </is>
      </c>
      <c r="F106" s="8" t="inlineStr">
        <is>
          <t>high</t>
        </is>
      </c>
      <c r="G106" s="9" t="n">
        <v>0</v>
      </c>
    </row>
    <row r="107">
      <c r="A107" s="8" t="inlineStr">
        <is>
          <t>Operating expenses (detail)</t>
        </is>
      </c>
      <c r="B107" s="8" t="inlineStr">
        <is>
          <t>B15</t>
        </is>
      </c>
      <c r="C107" s="8" t="inlineStr">
        <is>
          <t>9. Other employee benefits</t>
        </is>
      </c>
      <c r="D107" s="8" t="inlineStr">
        <is>
          <t>9</t>
        </is>
      </c>
      <c r="E107" s="8" t="inlineStr">
        <is>
          <t>part_ix_expenses.other_employee_benefits</t>
        </is>
      </c>
      <c r="F107" s="8" t="inlineStr">
        <is>
          <t>high</t>
        </is>
      </c>
      <c r="G107" s="9" t="n">
        <v>0</v>
      </c>
    </row>
    <row r="108">
      <c r="A108" s="8" t="inlineStr">
        <is>
          <t>Operating expenses (detail)</t>
        </is>
      </c>
      <c r="B108" s="8" t="inlineStr">
        <is>
          <t>C15</t>
        </is>
      </c>
      <c r="C108" s="8" t="inlineStr">
        <is>
          <t>9. Other employee benefits</t>
        </is>
      </c>
      <c r="D108" s="8" t="inlineStr">
        <is>
          <t>9</t>
        </is>
      </c>
      <c r="E108" s="8" t="inlineStr">
        <is>
          <t>part_ix_expenses.other_employee_benefits</t>
        </is>
      </c>
      <c r="F108" s="8" t="inlineStr">
        <is>
          <t>high</t>
        </is>
      </c>
      <c r="G108" s="9" t="n">
        <v>0</v>
      </c>
    </row>
    <row r="109">
      <c r="A109" s="8" t="inlineStr">
        <is>
          <t>Operating expenses (detail)</t>
        </is>
      </c>
      <c r="B109" s="8" t="inlineStr">
        <is>
          <t>D15</t>
        </is>
      </c>
      <c r="C109" s="8" t="inlineStr">
        <is>
          <t>9. Other employee benefits</t>
        </is>
      </c>
      <c r="D109" s="8" t="inlineStr">
        <is>
          <t>9</t>
        </is>
      </c>
      <c r="E109" s="8" t="inlineStr">
        <is>
          <t>part_ix_expenses.other_employee_benefits</t>
        </is>
      </c>
      <c r="F109" s="8" t="inlineStr">
        <is>
          <t>high</t>
        </is>
      </c>
      <c r="G109" s="9" t="n">
        <v>0</v>
      </c>
    </row>
    <row r="110">
      <c r="A110" s="8" t="inlineStr">
        <is>
          <t>Operating expenses (detail)</t>
        </is>
      </c>
      <c r="B110" s="8" t="inlineStr">
        <is>
          <t>E15</t>
        </is>
      </c>
      <c r="C110" s="8" t="inlineStr">
        <is>
          <t>9. Other employee benefits</t>
        </is>
      </c>
      <c r="D110" s="8" t="inlineStr">
        <is>
          <t>9</t>
        </is>
      </c>
      <c r="E110" s="8" t="inlineStr">
        <is>
          <t>part_ix_expenses.other_employee_benefits</t>
        </is>
      </c>
      <c r="F110" s="8" t="inlineStr">
        <is>
          <t>high</t>
        </is>
      </c>
      <c r="G110" s="9" t="n">
        <v>0</v>
      </c>
    </row>
    <row r="111">
      <c r="A111" s="8" t="inlineStr">
        <is>
          <t>Operating expenses (detail)</t>
        </is>
      </c>
      <c r="B111" s="8" t="inlineStr">
        <is>
          <t>F15</t>
        </is>
      </c>
      <c r="C111" s="8" t="inlineStr">
        <is>
          <t>9. Other employee benefits</t>
        </is>
      </c>
      <c r="D111" s="8" t="inlineStr">
        <is>
          <t>9</t>
        </is>
      </c>
      <c r="E111" s="8" t="inlineStr">
        <is>
          <t>part_ix_expenses.other_employee_benefits</t>
        </is>
      </c>
      <c r="F111" s="8" t="inlineStr">
        <is>
          <t>high</t>
        </is>
      </c>
      <c r="G111" s="9" t="n">
        <v>0</v>
      </c>
    </row>
    <row r="112">
      <c r="A112" s="8" t="inlineStr">
        <is>
          <t>Operating expenses (detail)</t>
        </is>
      </c>
      <c r="B112" s="8" t="inlineStr">
        <is>
          <t>G15</t>
        </is>
      </c>
      <c r="C112" s="8" t="inlineStr">
        <is>
          <t>9. Other employee benefits</t>
        </is>
      </c>
      <c r="D112" s="8" t="inlineStr">
        <is>
          <t>9</t>
        </is>
      </c>
      <c r="E112" s="8" t="inlineStr">
        <is>
          <t>part_ix_expenses.other_employee_benefits</t>
        </is>
      </c>
      <c r="F112" s="8" t="inlineStr">
        <is>
          <t>high</t>
        </is>
      </c>
      <c r="G112" s="9" t="n">
        <v>0</v>
      </c>
    </row>
    <row r="113">
      <c r="A113" s="8" t="inlineStr">
        <is>
          <t>Operating expenses (detail)</t>
        </is>
      </c>
      <c r="B113" s="8" t="inlineStr">
        <is>
          <t>B16</t>
        </is>
      </c>
      <c r="C113" s="8" t="inlineStr">
        <is>
          <t>10. Payroll taxes</t>
        </is>
      </c>
      <c r="D113" s="8" t="inlineStr">
        <is>
          <t>10</t>
        </is>
      </c>
      <c r="E113" s="8" t="inlineStr">
        <is>
          <t>part_ix_expenses.payroll_taxes</t>
        </is>
      </c>
      <c r="F113" s="8" t="inlineStr">
        <is>
          <t>high</t>
        </is>
      </c>
      <c r="G113" s="9" t="n">
        <v>0</v>
      </c>
    </row>
    <row r="114">
      <c r="A114" s="8" t="inlineStr">
        <is>
          <t>Operating expenses (detail)</t>
        </is>
      </c>
      <c r="B114" s="8" t="inlineStr">
        <is>
          <t>C16</t>
        </is>
      </c>
      <c r="C114" s="8" t="inlineStr">
        <is>
          <t>10. Payroll taxes</t>
        </is>
      </c>
      <c r="D114" s="8" t="inlineStr">
        <is>
          <t>10</t>
        </is>
      </c>
      <c r="E114" s="8" t="inlineStr">
        <is>
          <t>part_ix_expenses.payroll_taxes</t>
        </is>
      </c>
      <c r="F114" s="8" t="inlineStr">
        <is>
          <t>high</t>
        </is>
      </c>
      <c r="G114" s="9" t="n">
        <v>0</v>
      </c>
    </row>
    <row r="115">
      <c r="A115" s="8" t="inlineStr">
        <is>
          <t>Operating expenses (detail)</t>
        </is>
      </c>
      <c r="B115" s="8" t="inlineStr">
        <is>
          <t>D16</t>
        </is>
      </c>
      <c r="C115" s="8" t="inlineStr">
        <is>
          <t>10. Payroll taxes</t>
        </is>
      </c>
      <c r="D115" s="8" t="inlineStr">
        <is>
          <t>10</t>
        </is>
      </c>
      <c r="E115" s="8" t="inlineStr">
        <is>
          <t>part_ix_expenses.payroll_taxes</t>
        </is>
      </c>
      <c r="F115" s="8" t="inlineStr">
        <is>
          <t>high</t>
        </is>
      </c>
      <c r="G115" s="9" t="n">
        <v>0</v>
      </c>
    </row>
    <row r="116">
      <c r="A116" s="8" t="inlineStr">
        <is>
          <t>Operating expenses (detail)</t>
        </is>
      </c>
      <c r="B116" s="8" t="inlineStr">
        <is>
          <t>E16</t>
        </is>
      </c>
      <c r="C116" s="8" t="inlineStr">
        <is>
          <t>10. Payroll taxes</t>
        </is>
      </c>
      <c r="D116" s="8" t="inlineStr">
        <is>
          <t>10</t>
        </is>
      </c>
      <c r="E116" s="8" t="inlineStr">
        <is>
          <t>part_ix_expenses.payroll_taxes</t>
        </is>
      </c>
      <c r="F116" s="8" t="inlineStr">
        <is>
          <t>high</t>
        </is>
      </c>
      <c r="G116" s="9" t="n">
        <v>0</v>
      </c>
    </row>
    <row r="117">
      <c r="A117" s="8" t="inlineStr">
        <is>
          <t>Operating expenses (detail)</t>
        </is>
      </c>
      <c r="B117" s="8" t="inlineStr">
        <is>
          <t>F16</t>
        </is>
      </c>
      <c r="C117" s="8" t="inlineStr">
        <is>
          <t>10. Payroll taxes</t>
        </is>
      </c>
      <c r="D117" s="8" t="inlineStr">
        <is>
          <t>10</t>
        </is>
      </c>
      <c r="E117" s="8" t="inlineStr">
        <is>
          <t>part_ix_expenses.payroll_taxes</t>
        </is>
      </c>
      <c r="F117" s="8" t="inlineStr">
        <is>
          <t>high</t>
        </is>
      </c>
      <c r="G117" s="9" t="n">
        <v>0</v>
      </c>
    </row>
    <row r="118">
      <c r="A118" s="8" t="inlineStr">
        <is>
          <t>Operating expenses (detail)</t>
        </is>
      </c>
      <c r="B118" s="8" t="inlineStr">
        <is>
          <t>G16</t>
        </is>
      </c>
      <c r="C118" s="8" t="inlineStr">
        <is>
          <t>10. Payroll taxes</t>
        </is>
      </c>
      <c r="D118" s="8" t="inlineStr">
        <is>
          <t>10</t>
        </is>
      </c>
      <c r="E118" s="8" t="inlineStr">
        <is>
          <t>part_ix_expenses.payroll_taxes</t>
        </is>
      </c>
      <c r="F118" s="8" t="inlineStr">
        <is>
          <t>high</t>
        </is>
      </c>
      <c r="G118" s="9" t="n">
        <v>0</v>
      </c>
    </row>
    <row r="119">
      <c r="A119" s="8" t="inlineStr">
        <is>
          <t>Operating expenses (detail)</t>
        </is>
      </c>
      <c r="B119" s="8" t="inlineStr">
        <is>
          <t>B17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C17</t>
        </is>
      </c>
      <c r="C120" s="8" t="inlineStr">
        <is>
          <t>11a. Fees for services: management</t>
        </is>
      </c>
      <c r="D120" s="8" t="inlineStr">
        <is>
          <t>11a</t>
        </is>
      </c>
      <c r="E120" s="8" t="inlineStr">
        <is>
          <t>part_ix_expenses.fees_management</t>
        </is>
      </c>
      <c r="F120" s="8" t="inlineStr">
        <is>
          <t>high</t>
        </is>
      </c>
      <c r="G120" s="9" t="n">
        <v>0</v>
      </c>
    </row>
    <row r="121">
      <c r="A121" s="8" t="inlineStr">
        <is>
          <t>Operating expenses (detail)</t>
        </is>
      </c>
      <c r="B121" s="8" t="inlineStr">
        <is>
          <t>D17</t>
        </is>
      </c>
      <c r="C121" s="8" t="inlineStr">
        <is>
          <t>11a. Fees for services: management</t>
        </is>
      </c>
      <c r="D121" s="8" t="inlineStr">
        <is>
          <t>11a</t>
        </is>
      </c>
      <c r="E121" s="8" t="inlineStr">
        <is>
          <t>part_ix_expenses.fees_management</t>
        </is>
      </c>
      <c r="F121" s="8" t="inlineStr">
        <is>
          <t>high</t>
        </is>
      </c>
      <c r="G121" s="9" t="n">
        <v>0</v>
      </c>
    </row>
    <row r="122">
      <c r="A122" s="8" t="inlineStr">
        <is>
          <t>Operating expenses (detail)</t>
        </is>
      </c>
      <c r="B122" s="8" t="inlineStr">
        <is>
          <t>E17</t>
        </is>
      </c>
      <c r="C122" s="8" t="inlineStr">
        <is>
          <t>11a. Fees for services: management</t>
        </is>
      </c>
      <c r="D122" s="8" t="inlineStr">
        <is>
          <t>11a</t>
        </is>
      </c>
      <c r="E122" s="8" t="inlineStr">
        <is>
          <t>part_ix_expenses.fees_management</t>
        </is>
      </c>
      <c r="F122" s="8" t="inlineStr">
        <is>
          <t>high</t>
        </is>
      </c>
      <c r="G122" s="9" t="n">
        <v>0</v>
      </c>
    </row>
    <row r="123">
      <c r="A123" s="8" t="inlineStr">
        <is>
          <t>Operating expenses (detail)</t>
        </is>
      </c>
      <c r="B123" s="8" t="inlineStr">
        <is>
          <t>F17</t>
        </is>
      </c>
      <c r="C123" s="8" t="inlineStr">
        <is>
          <t>11a. Fees for services: management</t>
        </is>
      </c>
      <c r="D123" s="8" t="inlineStr">
        <is>
          <t>11a</t>
        </is>
      </c>
      <c r="E123" s="8" t="inlineStr">
        <is>
          <t>part_ix_expenses.fees_management</t>
        </is>
      </c>
      <c r="F123" s="8" t="inlineStr">
        <is>
          <t>high</t>
        </is>
      </c>
      <c r="G123" s="9" t="n">
        <v>0</v>
      </c>
    </row>
    <row r="124">
      <c r="A124" s="8" t="inlineStr">
        <is>
          <t>Operating expenses (detail)</t>
        </is>
      </c>
      <c r="B124" s="8" t="inlineStr">
        <is>
          <t>G17</t>
        </is>
      </c>
      <c r="C124" s="8" t="inlineStr">
        <is>
          <t>11a. Fees for services: management</t>
        </is>
      </c>
      <c r="D124" s="8" t="inlineStr">
        <is>
          <t>11a</t>
        </is>
      </c>
      <c r="E124" s="8" t="inlineStr">
        <is>
          <t>part_ix_expenses.fees_management</t>
        </is>
      </c>
      <c r="F124" s="8" t="inlineStr">
        <is>
          <t>high</t>
        </is>
      </c>
      <c r="G124" s="9" t="n">
        <v>0</v>
      </c>
    </row>
    <row r="125">
      <c r="A125" s="8" t="inlineStr">
        <is>
          <t>Operating expenses (detail)</t>
        </is>
      </c>
      <c r="B125" s="8" t="inlineStr">
        <is>
          <t>B18</t>
        </is>
      </c>
      <c r="C125" s="8" t="inlineStr">
        <is>
          <t>11b. Fees for services: legal</t>
        </is>
      </c>
      <c r="D125" s="8" t="inlineStr">
        <is>
          <t>11b</t>
        </is>
      </c>
      <c r="E125" s="8" t="inlineStr">
        <is>
          <t>part_ix_expenses.fees_legal</t>
        </is>
      </c>
      <c r="F125" s="8" t="inlineStr">
        <is>
          <t>high</t>
        </is>
      </c>
      <c r="G125" s="9" t="n">
        <v>0</v>
      </c>
    </row>
    <row r="126">
      <c r="A126" s="8" t="inlineStr">
        <is>
          <t>Operating expenses (detail)</t>
        </is>
      </c>
      <c r="B126" s="8" t="inlineStr">
        <is>
          <t>C18</t>
        </is>
      </c>
      <c r="C126" s="8" t="inlineStr">
        <is>
          <t>11b. Fees for services: legal</t>
        </is>
      </c>
      <c r="D126" s="8" t="inlineStr">
        <is>
          <t>11b</t>
        </is>
      </c>
      <c r="E126" s="8" t="inlineStr">
        <is>
          <t>part_ix_expenses.fees_legal</t>
        </is>
      </c>
      <c r="F126" s="8" t="inlineStr">
        <is>
          <t>high</t>
        </is>
      </c>
      <c r="G126" s="9" t="n">
        <v>0</v>
      </c>
    </row>
    <row r="127">
      <c r="A127" s="8" t="inlineStr">
        <is>
          <t>Operating expenses (detail)</t>
        </is>
      </c>
      <c r="B127" s="8" t="inlineStr">
        <is>
          <t>D18</t>
        </is>
      </c>
      <c r="C127" s="8" t="inlineStr">
        <is>
          <t>11b. Fees for services: legal</t>
        </is>
      </c>
      <c r="D127" s="8" t="inlineStr">
        <is>
          <t>11b</t>
        </is>
      </c>
      <c r="E127" s="8" t="inlineStr">
        <is>
          <t>part_ix_expenses.fees_legal</t>
        </is>
      </c>
      <c r="F127" s="8" t="inlineStr">
        <is>
          <t>high</t>
        </is>
      </c>
      <c r="G127" s="9" t="n">
        <v>0</v>
      </c>
    </row>
    <row r="128">
      <c r="A128" s="8" t="inlineStr">
        <is>
          <t>Operating expenses (detail)</t>
        </is>
      </c>
      <c r="B128" s="8" t="inlineStr">
        <is>
          <t>E18</t>
        </is>
      </c>
      <c r="C128" s="8" t="inlineStr">
        <is>
          <t>11b. Fees for services: legal</t>
        </is>
      </c>
      <c r="D128" s="8" t="inlineStr">
        <is>
          <t>11b</t>
        </is>
      </c>
      <c r="E128" s="8" t="inlineStr">
        <is>
          <t>part_ix_expenses.fees_legal</t>
        </is>
      </c>
      <c r="F128" s="8" t="inlineStr">
        <is>
          <t>high</t>
        </is>
      </c>
      <c r="G128" s="9" t="n">
        <v>0</v>
      </c>
    </row>
    <row r="129">
      <c r="A129" s="8" t="inlineStr">
        <is>
          <t>Operating expenses (detail)</t>
        </is>
      </c>
      <c r="B129" s="8" t="inlineStr">
        <is>
          <t>F18</t>
        </is>
      </c>
      <c r="C129" s="8" t="inlineStr">
        <is>
          <t>11b. Fees for services: legal</t>
        </is>
      </c>
      <c r="D129" s="8" t="inlineStr">
        <is>
          <t>11b</t>
        </is>
      </c>
      <c r="E129" s="8" t="inlineStr">
        <is>
          <t>part_ix_expenses.fees_legal</t>
        </is>
      </c>
      <c r="F129" s="8" t="inlineStr">
        <is>
          <t>high</t>
        </is>
      </c>
      <c r="G129" s="9" t="n">
        <v>0</v>
      </c>
    </row>
    <row r="130">
      <c r="A130" s="8" t="inlineStr">
        <is>
          <t>Operating expenses (detail)</t>
        </is>
      </c>
      <c r="B130" s="8" t="inlineStr">
        <is>
          <t>G18</t>
        </is>
      </c>
      <c r="C130" s="8" t="inlineStr">
        <is>
          <t>11b. Fees for services: legal</t>
        </is>
      </c>
      <c r="D130" s="8" t="inlineStr">
        <is>
          <t>11b</t>
        </is>
      </c>
      <c r="E130" s="8" t="inlineStr">
        <is>
          <t>part_ix_expenses.fees_legal</t>
        </is>
      </c>
      <c r="F130" s="8" t="inlineStr">
        <is>
          <t>high</t>
        </is>
      </c>
      <c r="G130" s="9" t="n">
        <v>0</v>
      </c>
    </row>
    <row r="131">
      <c r="A131" s="8" t="inlineStr">
        <is>
          <t>Operating expenses (detail)</t>
        </is>
      </c>
      <c r="B131" s="8" t="inlineStr">
        <is>
          <t>B19</t>
        </is>
      </c>
      <c r="C131" s="8" t="inlineStr">
        <is>
          <t>11c. Fees for services: accounting</t>
        </is>
      </c>
      <c r="D131" s="8" t="inlineStr">
        <is>
          <t>11c</t>
        </is>
      </c>
      <c r="E131" s="8" t="inlineStr">
        <is>
          <t>part_ix_expenses.fees_accounting</t>
        </is>
      </c>
      <c r="F131" s="8" t="inlineStr">
        <is>
          <t>high</t>
        </is>
      </c>
      <c r="G131" s="9" t="n">
        <v>13185</v>
      </c>
    </row>
    <row r="132">
      <c r="A132" s="8" t="inlineStr">
        <is>
          <t>Operating expenses (detail)</t>
        </is>
      </c>
      <c r="B132" s="8" t="inlineStr">
        <is>
          <t>C19</t>
        </is>
      </c>
      <c r="C132" s="8" t="inlineStr">
        <is>
          <t>11c. Fees for services: accounting</t>
        </is>
      </c>
      <c r="D132" s="8" t="inlineStr">
        <is>
          <t>11c</t>
        </is>
      </c>
      <c r="E132" s="8" t="inlineStr">
        <is>
          <t>part_ix_expenses.fees_accounting</t>
        </is>
      </c>
      <c r="F132" s="8" t="inlineStr">
        <is>
          <t>high</t>
        </is>
      </c>
      <c r="G132" s="9" t="n">
        <v>13435</v>
      </c>
    </row>
    <row r="133">
      <c r="A133" s="8" t="inlineStr">
        <is>
          <t>Operating expenses (detail)</t>
        </is>
      </c>
      <c r="B133" s="8" t="inlineStr">
        <is>
          <t>D19</t>
        </is>
      </c>
      <c r="C133" s="8" t="inlineStr">
        <is>
          <t>11c. Fees for services: accounting</t>
        </is>
      </c>
      <c r="D133" s="8" t="inlineStr">
        <is>
          <t>11c</t>
        </is>
      </c>
      <c r="E133" s="8" t="inlineStr">
        <is>
          <t>part_ix_expenses.fees_accounting</t>
        </is>
      </c>
      <c r="F133" s="8" t="inlineStr">
        <is>
          <t>high</t>
        </is>
      </c>
      <c r="G133" s="9" t="n">
        <v>12735</v>
      </c>
    </row>
    <row r="134">
      <c r="A134" s="8" t="inlineStr">
        <is>
          <t>Operating expenses (detail)</t>
        </is>
      </c>
      <c r="B134" s="8" t="inlineStr">
        <is>
          <t>E19</t>
        </is>
      </c>
      <c r="C134" s="8" t="inlineStr">
        <is>
          <t>11c. Fees for services: accounting</t>
        </is>
      </c>
      <c r="D134" s="8" t="inlineStr">
        <is>
          <t>11c</t>
        </is>
      </c>
      <c r="E134" s="8" t="inlineStr">
        <is>
          <t>part_ix_expenses.fees_accounting</t>
        </is>
      </c>
      <c r="F134" s="8" t="inlineStr">
        <is>
          <t>high</t>
        </is>
      </c>
      <c r="G134" s="9" t="n">
        <v>16595</v>
      </c>
    </row>
    <row r="135">
      <c r="A135" s="8" t="inlineStr">
        <is>
          <t>Operating expenses (detail)</t>
        </is>
      </c>
      <c r="B135" s="8" t="inlineStr">
        <is>
          <t>F19</t>
        </is>
      </c>
      <c r="C135" s="8" t="inlineStr">
        <is>
          <t>11c. Fees for services: accounting</t>
        </is>
      </c>
      <c r="D135" s="8" t="inlineStr">
        <is>
          <t>11c</t>
        </is>
      </c>
      <c r="E135" s="8" t="inlineStr">
        <is>
          <t>part_ix_expenses.fees_accounting</t>
        </is>
      </c>
      <c r="F135" s="8" t="inlineStr">
        <is>
          <t>high</t>
        </is>
      </c>
      <c r="G135" s="9" t="n">
        <v>14615</v>
      </c>
    </row>
    <row r="136">
      <c r="A136" s="8" t="inlineStr">
        <is>
          <t>Operating expenses (detail)</t>
        </is>
      </c>
      <c r="B136" s="8" t="inlineStr">
        <is>
          <t>G19</t>
        </is>
      </c>
      <c r="C136" s="8" t="inlineStr">
        <is>
          <t>11c. Fees for services: accounting</t>
        </is>
      </c>
      <c r="D136" s="8" t="inlineStr">
        <is>
          <t>11c</t>
        </is>
      </c>
      <c r="E136" s="8" t="inlineStr">
        <is>
          <t>part_ix_expenses.fees_accounting</t>
        </is>
      </c>
      <c r="F136" s="8" t="inlineStr">
        <is>
          <t>high</t>
        </is>
      </c>
      <c r="G136" s="9" t="n">
        <v>12195</v>
      </c>
    </row>
    <row r="137">
      <c r="A137" s="8" t="inlineStr">
        <is>
          <t>Operating expenses (detail)</t>
        </is>
      </c>
      <c r="B137" s="8" t="inlineStr">
        <is>
          <t>B20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C20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D20</t>
        </is>
      </c>
      <c r="C139" s="8" t="inlineStr">
        <is>
          <t>11d. Fees for services: lobbying</t>
        </is>
      </c>
      <c r="D139" s="8" t="inlineStr">
        <is>
          <t>11d</t>
        </is>
      </c>
      <c r="E139" s="8" t="inlineStr">
        <is>
          <t>part_ix_expenses.fees_lobbying</t>
        </is>
      </c>
      <c r="F139" s="8" t="inlineStr">
        <is>
          <t>high</t>
        </is>
      </c>
      <c r="G139" s="9" t="n">
        <v>0</v>
      </c>
    </row>
    <row r="140">
      <c r="A140" s="8" t="inlineStr">
        <is>
          <t>Operating expenses (detail)</t>
        </is>
      </c>
      <c r="B140" s="8" t="inlineStr">
        <is>
          <t>E20</t>
        </is>
      </c>
      <c r="C140" s="8" t="inlineStr">
        <is>
          <t>11d. Fees for services: lobbying</t>
        </is>
      </c>
      <c r="D140" s="8" t="inlineStr">
        <is>
          <t>11d</t>
        </is>
      </c>
      <c r="E140" s="8" t="inlineStr">
        <is>
          <t>part_ix_expenses.fees_lobbying</t>
        </is>
      </c>
      <c r="F140" s="8" t="inlineStr">
        <is>
          <t>high</t>
        </is>
      </c>
      <c r="G140" s="9" t="n">
        <v>0</v>
      </c>
    </row>
    <row r="141">
      <c r="A141" s="8" t="inlineStr">
        <is>
          <t>Operating expenses (detail)</t>
        </is>
      </c>
      <c r="B141" s="8" t="inlineStr">
        <is>
          <t>F20</t>
        </is>
      </c>
      <c r="C141" s="8" t="inlineStr">
        <is>
          <t>11d. Fees for services: lobbying</t>
        </is>
      </c>
      <c r="D141" s="8" t="inlineStr">
        <is>
          <t>11d</t>
        </is>
      </c>
      <c r="E141" s="8" t="inlineStr">
        <is>
          <t>part_ix_expenses.fees_lobbying</t>
        </is>
      </c>
      <c r="F141" s="8" t="inlineStr">
        <is>
          <t>high</t>
        </is>
      </c>
      <c r="G141" s="9" t="n">
        <v>0</v>
      </c>
    </row>
    <row r="142">
      <c r="A142" s="8" t="inlineStr">
        <is>
          <t>Operating expenses (detail)</t>
        </is>
      </c>
      <c r="B142" s="8" t="inlineStr">
        <is>
          <t>G20</t>
        </is>
      </c>
      <c r="C142" s="8" t="inlineStr">
        <is>
          <t>11d. Fees for services: lobbying</t>
        </is>
      </c>
      <c r="D142" s="8" t="inlineStr">
        <is>
          <t>11d</t>
        </is>
      </c>
      <c r="E142" s="8" t="inlineStr">
        <is>
          <t>part_ix_expenses.fees_lobbying</t>
        </is>
      </c>
      <c r="F142" s="8" t="inlineStr">
        <is>
          <t>high</t>
        </is>
      </c>
      <c r="G142" s="9" t="n">
        <v>0</v>
      </c>
    </row>
    <row r="143">
      <c r="A143" s="8" t="inlineStr">
        <is>
          <t>Operating expenses (detail)</t>
        </is>
      </c>
      <c r="B143" s="8" t="inlineStr">
        <is>
          <t>B21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C21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D21</t>
        </is>
      </c>
      <c r="C145" s="8" t="inlineStr">
        <is>
          <t>11e. Fees for services: professional fundraising</t>
        </is>
      </c>
      <c r="D145" s="8" t="inlineStr">
        <is>
          <t>11e</t>
        </is>
      </c>
      <c r="E145" s="8" t="inlineStr">
        <is>
          <t>part_ix_expenses.fees_prof_fundraising</t>
        </is>
      </c>
      <c r="F145" s="8" t="inlineStr">
        <is>
          <t>high</t>
        </is>
      </c>
      <c r="G145" s="9" t="n">
        <v>0</v>
      </c>
    </row>
    <row r="146">
      <c r="A146" s="8" t="inlineStr">
        <is>
          <t>Operating expenses (detail)</t>
        </is>
      </c>
      <c r="B146" s="8" t="inlineStr">
        <is>
          <t>E21</t>
        </is>
      </c>
      <c r="C146" s="8" t="inlineStr">
        <is>
          <t>11e. Fees for services: professional fundraising</t>
        </is>
      </c>
      <c r="D146" s="8" t="inlineStr">
        <is>
          <t>11e</t>
        </is>
      </c>
      <c r="E146" s="8" t="inlineStr">
        <is>
          <t>part_ix_expenses.fees_prof_fundraising</t>
        </is>
      </c>
      <c r="F146" s="8" t="inlineStr">
        <is>
          <t>high</t>
        </is>
      </c>
      <c r="G146" s="9" t="n">
        <v>0</v>
      </c>
    </row>
    <row r="147">
      <c r="A147" s="8" t="inlineStr">
        <is>
          <t>Operating expenses (detail)</t>
        </is>
      </c>
      <c r="B147" s="8" t="inlineStr">
        <is>
          <t>F21</t>
        </is>
      </c>
      <c r="C147" s="8" t="inlineStr">
        <is>
          <t>11e. Fees for services: professional fundraising</t>
        </is>
      </c>
      <c r="D147" s="8" t="inlineStr">
        <is>
          <t>11e</t>
        </is>
      </c>
      <c r="E147" s="8" t="inlineStr">
        <is>
          <t>part_ix_expenses.fees_prof_fundraising</t>
        </is>
      </c>
      <c r="F147" s="8" t="inlineStr">
        <is>
          <t>high</t>
        </is>
      </c>
      <c r="G147" s="9" t="n">
        <v>0</v>
      </c>
    </row>
    <row r="148">
      <c r="A148" s="8" t="inlineStr">
        <is>
          <t>Operating expenses (detail)</t>
        </is>
      </c>
      <c r="B148" s="8" t="inlineStr">
        <is>
          <t>G21</t>
        </is>
      </c>
      <c r="C148" s="8" t="inlineStr">
        <is>
          <t>11e. Fees for services: professional fundraising</t>
        </is>
      </c>
      <c r="D148" s="8" t="inlineStr">
        <is>
          <t>11e</t>
        </is>
      </c>
      <c r="E148" s="8" t="inlineStr">
        <is>
          <t>part_ix_expenses.fees_prof_fundraising</t>
        </is>
      </c>
      <c r="F148" s="8" t="inlineStr">
        <is>
          <t>high</t>
        </is>
      </c>
      <c r="G148" s="9" t="n">
        <v>0</v>
      </c>
    </row>
    <row r="149">
      <c r="A149" s="8" t="inlineStr">
        <is>
          <t>Operating expenses (detail)</t>
        </is>
      </c>
      <c r="B149" s="8" t="inlineStr">
        <is>
          <t>B22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C22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D22</t>
        </is>
      </c>
      <c r="C151" s="8" t="inlineStr">
        <is>
          <t>11f. Fees for services: investment management</t>
        </is>
      </c>
      <c r="D151" s="8" t="inlineStr">
        <is>
          <t>11f</t>
        </is>
      </c>
      <c r="E151" s="8" t="inlineStr">
        <is>
          <t>part_ix_expenses.fees_investment_mgmt</t>
        </is>
      </c>
      <c r="F151" s="8" t="inlineStr">
        <is>
          <t>high</t>
        </is>
      </c>
      <c r="G151" s="9" t="n">
        <v>0</v>
      </c>
    </row>
    <row r="152">
      <c r="A152" s="8" t="inlineStr">
        <is>
          <t>Operating expenses (detail)</t>
        </is>
      </c>
      <c r="B152" s="8" t="inlineStr">
        <is>
          <t>E22</t>
        </is>
      </c>
      <c r="C152" s="8" t="inlineStr">
        <is>
          <t>11f. Fees for services: investment management</t>
        </is>
      </c>
      <c r="D152" s="8" t="inlineStr">
        <is>
          <t>11f</t>
        </is>
      </c>
      <c r="E152" s="8" t="inlineStr">
        <is>
          <t>part_ix_expenses.fees_investment_mgmt</t>
        </is>
      </c>
      <c r="F152" s="8" t="inlineStr">
        <is>
          <t>high</t>
        </is>
      </c>
      <c r="G152" s="9" t="n">
        <v>0</v>
      </c>
    </row>
    <row r="153">
      <c r="A153" s="8" t="inlineStr">
        <is>
          <t>Operating expenses (detail)</t>
        </is>
      </c>
      <c r="B153" s="8" t="inlineStr">
        <is>
          <t>F22</t>
        </is>
      </c>
      <c r="C153" s="8" t="inlineStr">
        <is>
          <t>11f. Fees for services: investment management</t>
        </is>
      </c>
      <c r="D153" s="8" t="inlineStr">
        <is>
          <t>11f</t>
        </is>
      </c>
      <c r="E153" s="8" t="inlineStr">
        <is>
          <t>part_ix_expenses.fees_investment_mgmt</t>
        </is>
      </c>
      <c r="F153" s="8" t="inlineStr">
        <is>
          <t>high</t>
        </is>
      </c>
      <c r="G153" s="9" t="n">
        <v>0</v>
      </c>
    </row>
    <row r="154">
      <c r="A154" s="8" t="inlineStr">
        <is>
          <t>Operating expenses (detail)</t>
        </is>
      </c>
      <c r="B154" s="8" t="inlineStr">
        <is>
          <t>G22</t>
        </is>
      </c>
      <c r="C154" s="8" t="inlineStr">
        <is>
          <t>11f. Fees for services: investment management</t>
        </is>
      </c>
      <c r="D154" s="8" t="inlineStr">
        <is>
          <t>11f</t>
        </is>
      </c>
      <c r="E154" s="8" t="inlineStr">
        <is>
          <t>part_ix_expenses.fees_investment_mgmt</t>
        </is>
      </c>
      <c r="F154" s="8" t="inlineStr">
        <is>
          <t>high</t>
        </is>
      </c>
      <c r="G154" s="9" t="n">
        <v>0</v>
      </c>
    </row>
    <row r="155">
      <c r="A155" s="8" t="inlineStr">
        <is>
          <t>Operating expenses (detail)</t>
        </is>
      </c>
      <c r="B155" s="8" t="inlineStr">
        <is>
          <t>B23</t>
        </is>
      </c>
      <c r="C155" s="8" t="inlineStr">
        <is>
          <t>11g. Fees for services: other</t>
        </is>
      </c>
      <c r="D155" s="8" t="inlineStr">
        <is>
          <t>11g</t>
        </is>
      </c>
      <c r="E155" s="8" t="inlineStr">
        <is>
          <t>part_ix_expenses.fees_other</t>
        </is>
      </c>
      <c r="F155" s="8" t="inlineStr">
        <is>
          <t>high</t>
        </is>
      </c>
      <c r="G155" s="9" t="n">
        <v>2202</v>
      </c>
    </row>
    <row r="156">
      <c r="A156" s="8" t="inlineStr">
        <is>
          <t>Operating expenses (detail)</t>
        </is>
      </c>
      <c r="B156" s="8" t="inlineStr">
        <is>
          <t>C23</t>
        </is>
      </c>
      <c r="C156" s="8" t="inlineStr">
        <is>
          <t>11g. Fees for services: other</t>
        </is>
      </c>
      <c r="D156" s="8" t="inlineStr">
        <is>
          <t>11g</t>
        </is>
      </c>
      <c r="E156" s="8" t="inlineStr">
        <is>
          <t>part_ix_expenses.fees_other</t>
        </is>
      </c>
      <c r="F156" s="8" t="inlineStr">
        <is>
          <t>high</t>
        </is>
      </c>
      <c r="G156" s="9" t="n">
        <v>2202</v>
      </c>
    </row>
    <row r="157">
      <c r="A157" s="8" t="inlineStr">
        <is>
          <t>Operating expenses (detail)</t>
        </is>
      </c>
      <c r="B157" s="8" t="inlineStr">
        <is>
          <t>D23</t>
        </is>
      </c>
      <c r="C157" s="8" t="inlineStr">
        <is>
          <t>11g. Fees for services: other</t>
        </is>
      </c>
      <c r="D157" s="8" t="inlineStr">
        <is>
          <t>11g</t>
        </is>
      </c>
      <c r="E157" s="8" t="inlineStr">
        <is>
          <t>part_ix_expenses.fees_other</t>
        </is>
      </c>
      <c r="F157" s="8" t="inlineStr">
        <is>
          <t>high</t>
        </is>
      </c>
      <c r="G157" s="9" t="n">
        <v>2202</v>
      </c>
    </row>
    <row r="158">
      <c r="A158" s="8" t="inlineStr">
        <is>
          <t>Operating expenses (detail)</t>
        </is>
      </c>
      <c r="B158" s="8" t="inlineStr">
        <is>
          <t>E23</t>
        </is>
      </c>
      <c r="C158" s="8" t="inlineStr">
        <is>
          <t>11g. Fees for services: other</t>
        </is>
      </c>
      <c r="D158" s="8" t="inlineStr">
        <is>
          <t>11g</t>
        </is>
      </c>
      <c r="E158" s="8" t="inlineStr">
        <is>
          <t>part_ix_expenses.fees_other</t>
        </is>
      </c>
      <c r="F158" s="8" t="inlineStr">
        <is>
          <t>high</t>
        </is>
      </c>
      <c r="G158" s="9" t="n">
        <v>0</v>
      </c>
    </row>
    <row r="159">
      <c r="A159" s="8" t="inlineStr">
        <is>
          <t>Operating expenses (detail)</t>
        </is>
      </c>
      <c r="B159" s="8" t="inlineStr">
        <is>
          <t>F23</t>
        </is>
      </c>
      <c r="C159" s="8" t="inlineStr">
        <is>
          <t>11g. Fees for services: other</t>
        </is>
      </c>
      <c r="D159" s="8" t="inlineStr">
        <is>
          <t>11g</t>
        </is>
      </c>
      <c r="E159" s="8" t="inlineStr">
        <is>
          <t>part_ix_expenses.fees_other</t>
        </is>
      </c>
      <c r="F159" s="8" t="inlineStr">
        <is>
          <t>high</t>
        </is>
      </c>
      <c r="G159" s="9" t="n">
        <v>0</v>
      </c>
    </row>
    <row r="160">
      <c r="A160" s="8" t="inlineStr">
        <is>
          <t>Operating expenses (detail)</t>
        </is>
      </c>
      <c r="B160" s="8" t="inlineStr">
        <is>
          <t>G23</t>
        </is>
      </c>
      <c r="C160" s="8" t="inlineStr">
        <is>
          <t>11g. Fees for services: other</t>
        </is>
      </c>
      <c r="D160" s="8" t="inlineStr">
        <is>
          <t>11g</t>
        </is>
      </c>
      <c r="E160" s="8" t="inlineStr">
        <is>
          <t>part_ix_expenses.fees_other</t>
        </is>
      </c>
      <c r="F160" s="8" t="inlineStr">
        <is>
          <t>high</t>
        </is>
      </c>
      <c r="G160" s="9" t="n">
        <v>0</v>
      </c>
    </row>
    <row r="161">
      <c r="A161" s="8" t="inlineStr">
        <is>
          <t>Operating expenses (detail)</t>
        </is>
      </c>
      <c r="B161" s="8" t="inlineStr">
        <is>
          <t>B24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C24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D24</t>
        </is>
      </c>
      <c r="C163" s="8" t="inlineStr">
        <is>
          <t>12. Advertising and promotion</t>
        </is>
      </c>
      <c r="D163" s="8" t="inlineStr">
        <is>
          <t>12</t>
        </is>
      </c>
      <c r="E163" s="8" t="inlineStr">
        <is>
          <t>part_ix_expenses.advertising</t>
        </is>
      </c>
      <c r="F163" s="8" t="inlineStr">
        <is>
          <t>high</t>
        </is>
      </c>
      <c r="G163" s="9" t="n">
        <v>0</v>
      </c>
    </row>
    <row r="164">
      <c r="A164" s="8" t="inlineStr">
        <is>
          <t>Operating expenses (detail)</t>
        </is>
      </c>
      <c r="B164" s="8" t="inlineStr">
        <is>
          <t>E24</t>
        </is>
      </c>
      <c r="C164" s="8" t="inlineStr">
        <is>
          <t>12. Advertising and promotion</t>
        </is>
      </c>
      <c r="D164" s="8" t="inlineStr">
        <is>
          <t>12</t>
        </is>
      </c>
      <c r="E164" s="8" t="inlineStr">
        <is>
          <t>part_ix_expenses.advertising</t>
        </is>
      </c>
      <c r="F164" s="8" t="inlineStr">
        <is>
          <t>high</t>
        </is>
      </c>
      <c r="G164" s="9" t="n">
        <v>0</v>
      </c>
    </row>
    <row r="165">
      <c r="A165" s="8" t="inlineStr">
        <is>
          <t>Operating expenses (detail)</t>
        </is>
      </c>
      <c r="B165" s="8" t="inlineStr">
        <is>
          <t>F24</t>
        </is>
      </c>
      <c r="C165" s="8" t="inlineStr">
        <is>
          <t>12. Advertising and promotion</t>
        </is>
      </c>
      <c r="D165" s="8" t="inlineStr">
        <is>
          <t>12</t>
        </is>
      </c>
      <c r="E165" s="8" t="inlineStr">
        <is>
          <t>part_ix_expenses.advertising</t>
        </is>
      </c>
      <c r="F165" s="8" t="inlineStr">
        <is>
          <t>high</t>
        </is>
      </c>
      <c r="G165" s="9" t="n">
        <v>0</v>
      </c>
    </row>
    <row r="166">
      <c r="A166" s="8" t="inlineStr">
        <is>
          <t>Operating expenses (detail)</t>
        </is>
      </c>
      <c r="B166" s="8" t="inlineStr">
        <is>
          <t>G24</t>
        </is>
      </c>
      <c r="C166" s="8" t="inlineStr">
        <is>
          <t>12. Advertising and promotion</t>
        </is>
      </c>
      <c r="D166" s="8" t="inlineStr">
        <is>
          <t>12</t>
        </is>
      </c>
      <c r="E166" s="8" t="inlineStr">
        <is>
          <t>part_ix_expenses.advertising</t>
        </is>
      </c>
      <c r="F166" s="8" t="inlineStr">
        <is>
          <t>high</t>
        </is>
      </c>
      <c r="G166" s="9" t="n">
        <v>0</v>
      </c>
    </row>
    <row r="167">
      <c r="A167" s="8" t="inlineStr">
        <is>
          <t>Operating expenses (detail)</t>
        </is>
      </c>
      <c r="B167" s="8" t="inlineStr">
        <is>
          <t>B25</t>
        </is>
      </c>
      <c r="C167" s="8" t="inlineStr">
        <is>
          <t>13. Office expenses</t>
        </is>
      </c>
      <c r="D167" s="8" t="inlineStr">
        <is>
          <t>13</t>
        </is>
      </c>
      <c r="E167" s="8" t="inlineStr">
        <is>
          <t>part_ix_expenses.office_expenses</t>
        </is>
      </c>
      <c r="F167" s="8" t="inlineStr">
        <is>
          <t>high</t>
        </is>
      </c>
      <c r="G167" s="9" t="n">
        <v>2484</v>
      </c>
    </row>
    <row r="168">
      <c r="A168" s="8" t="inlineStr">
        <is>
          <t>Operating expenses (detail)</t>
        </is>
      </c>
      <c r="B168" s="8" t="inlineStr">
        <is>
          <t>C25</t>
        </is>
      </c>
      <c r="C168" s="8" t="inlineStr">
        <is>
          <t>13. Office expenses</t>
        </is>
      </c>
      <c r="D168" s="8" t="inlineStr">
        <is>
          <t>13</t>
        </is>
      </c>
      <c r="E168" s="8" t="inlineStr">
        <is>
          <t>part_ix_expenses.office_expenses</t>
        </is>
      </c>
      <c r="F168" s="8" t="inlineStr">
        <is>
          <t>high</t>
        </is>
      </c>
      <c r="G168" s="9" t="n">
        <v>2562</v>
      </c>
    </row>
    <row r="169">
      <c r="A169" s="8" t="inlineStr">
        <is>
          <t>Operating expenses (detail)</t>
        </is>
      </c>
      <c r="B169" s="8" t="inlineStr">
        <is>
          <t>D25</t>
        </is>
      </c>
      <c r="C169" s="8" t="inlineStr">
        <is>
          <t>13. Office expenses</t>
        </is>
      </c>
      <c r="D169" s="8" t="inlineStr">
        <is>
          <t>13</t>
        </is>
      </c>
      <c r="E169" s="8" t="inlineStr">
        <is>
          <t>part_ix_expenses.office_expenses</t>
        </is>
      </c>
      <c r="F169" s="8" t="inlineStr">
        <is>
          <t>high</t>
        </is>
      </c>
      <c r="G169" s="9" t="n">
        <v>2415</v>
      </c>
    </row>
    <row r="170">
      <c r="A170" s="8" t="inlineStr">
        <is>
          <t>Operating expenses (detail)</t>
        </is>
      </c>
      <c r="B170" s="8" t="inlineStr">
        <is>
          <t>E25</t>
        </is>
      </c>
      <c r="C170" s="8" t="inlineStr">
        <is>
          <t>13. Office expenses</t>
        </is>
      </c>
      <c r="D170" s="8" t="inlineStr">
        <is>
          <t>13</t>
        </is>
      </c>
      <c r="E170" s="8" t="inlineStr">
        <is>
          <t>part_ix_expenses.office_expenses</t>
        </is>
      </c>
      <c r="F170" s="8" t="inlineStr">
        <is>
          <t>high</t>
        </is>
      </c>
      <c r="G170" s="9" t="n">
        <v>3099</v>
      </c>
    </row>
    <row r="171">
      <c r="A171" s="8" t="inlineStr">
        <is>
          <t>Operating expenses (detail)</t>
        </is>
      </c>
      <c r="B171" s="8" t="inlineStr">
        <is>
          <t>F25</t>
        </is>
      </c>
      <c r="C171" s="8" t="inlineStr">
        <is>
          <t>13. Office expenses</t>
        </is>
      </c>
      <c r="D171" s="8" t="inlineStr">
        <is>
          <t>13</t>
        </is>
      </c>
      <c r="E171" s="8" t="inlineStr">
        <is>
          <t>part_ix_expenses.office_expenses</t>
        </is>
      </c>
      <c r="F171" s="8" t="inlineStr">
        <is>
          <t>high</t>
        </is>
      </c>
      <c r="G171" s="9" t="n">
        <v>2215</v>
      </c>
    </row>
    <row r="172">
      <c r="A172" s="8" t="inlineStr">
        <is>
          <t>Operating expenses (detail)</t>
        </is>
      </c>
      <c r="B172" s="8" t="inlineStr">
        <is>
          <t>G25</t>
        </is>
      </c>
      <c r="C172" s="8" t="inlineStr">
        <is>
          <t>13. Office expenses</t>
        </is>
      </c>
      <c r="D172" s="8" t="inlineStr">
        <is>
          <t>13</t>
        </is>
      </c>
      <c r="E172" s="8" t="inlineStr">
        <is>
          <t>part_ix_expenses.office_expenses</t>
        </is>
      </c>
      <c r="F172" s="8" t="inlineStr">
        <is>
          <t>high</t>
        </is>
      </c>
      <c r="G172" s="9" t="n">
        <v>897</v>
      </c>
    </row>
    <row r="173">
      <c r="A173" s="8" t="inlineStr">
        <is>
          <t>Operating expenses (detail)</t>
        </is>
      </c>
      <c r="B173" s="8" t="inlineStr">
        <is>
          <t>B26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C26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D26</t>
        </is>
      </c>
      <c r="C175" s="8" t="inlineStr">
        <is>
          <t>14. Information technology</t>
        </is>
      </c>
      <c r="D175" s="8" t="inlineStr">
        <is>
          <t>14</t>
        </is>
      </c>
      <c r="E175" s="8" t="inlineStr">
        <is>
          <t>part_ix_expenses.information_technology</t>
        </is>
      </c>
      <c r="F175" s="8" t="inlineStr">
        <is>
          <t>high</t>
        </is>
      </c>
      <c r="G175" s="9" t="n">
        <v>0</v>
      </c>
    </row>
    <row r="176">
      <c r="A176" s="8" t="inlineStr">
        <is>
          <t>Operating expenses (detail)</t>
        </is>
      </c>
      <c r="B176" s="8" t="inlineStr">
        <is>
          <t>E26</t>
        </is>
      </c>
      <c r="C176" s="8" t="inlineStr">
        <is>
          <t>14. Information technology</t>
        </is>
      </c>
      <c r="D176" s="8" t="inlineStr">
        <is>
          <t>14</t>
        </is>
      </c>
      <c r="E176" s="8" t="inlineStr">
        <is>
          <t>part_ix_expenses.information_technology</t>
        </is>
      </c>
      <c r="F176" s="8" t="inlineStr">
        <is>
          <t>high</t>
        </is>
      </c>
      <c r="G176" s="9" t="n">
        <v>0</v>
      </c>
    </row>
    <row r="177">
      <c r="A177" s="8" t="inlineStr">
        <is>
          <t>Operating expenses (detail)</t>
        </is>
      </c>
      <c r="B177" s="8" t="inlineStr">
        <is>
          <t>F26</t>
        </is>
      </c>
      <c r="C177" s="8" t="inlineStr">
        <is>
          <t>14. Information technology</t>
        </is>
      </c>
      <c r="D177" s="8" t="inlineStr">
        <is>
          <t>14</t>
        </is>
      </c>
      <c r="E177" s="8" t="inlineStr">
        <is>
          <t>part_ix_expenses.information_technology</t>
        </is>
      </c>
      <c r="F177" s="8" t="inlineStr">
        <is>
          <t>high</t>
        </is>
      </c>
      <c r="G177" s="9" t="n">
        <v>0</v>
      </c>
    </row>
    <row r="178">
      <c r="A178" s="8" t="inlineStr">
        <is>
          <t>Operating expenses (detail)</t>
        </is>
      </c>
      <c r="B178" s="8" t="inlineStr">
        <is>
          <t>G26</t>
        </is>
      </c>
      <c r="C178" s="8" t="inlineStr">
        <is>
          <t>14. Information technology</t>
        </is>
      </c>
      <c r="D178" s="8" t="inlineStr">
        <is>
          <t>14</t>
        </is>
      </c>
      <c r="E178" s="8" t="inlineStr">
        <is>
          <t>part_ix_expenses.information_technology</t>
        </is>
      </c>
      <c r="F178" s="8" t="inlineStr">
        <is>
          <t>high</t>
        </is>
      </c>
      <c r="G178" s="9" t="n">
        <v>0</v>
      </c>
    </row>
    <row r="179">
      <c r="A179" s="8" t="inlineStr">
        <is>
          <t>Operating expenses (detail)</t>
        </is>
      </c>
      <c r="B179" s="8" t="inlineStr">
        <is>
          <t>B27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C27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D27</t>
        </is>
      </c>
      <c r="C181" s="8" t="inlineStr">
        <is>
          <t>15. Royalties</t>
        </is>
      </c>
      <c r="D181" s="8" t="inlineStr">
        <is>
          <t>15</t>
        </is>
      </c>
      <c r="E181" s="8" t="inlineStr">
        <is>
          <t>part_ix_expenses.royalties</t>
        </is>
      </c>
      <c r="F181" s="8" t="inlineStr">
        <is>
          <t>high</t>
        </is>
      </c>
      <c r="G181" s="9" t="n">
        <v>0</v>
      </c>
    </row>
    <row r="182">
      <c r="A182" s="8" t="inlineStr">
        <is>
          <t>Operating expenses (detail)</t>
        </is>
      </c>
      <c r="B182" s="8" t="inlineStr">
        <is>
          <t>E27</t>
        </is>
      </c>
      <c r="C182" s="8" t="inlineStr">
        <is>
          <t>15. Royalties</t>
        </is>
      </c>
      <c r="D182" s="8" t="inlineStr">
        <is>
          <t>15</t>
        </is>
      </c>
      <c r="E182" s="8" t="inlineStr">
        <is>
          <t>part_ix_expenses.royalties</t>
        </is>
      </c>
      <c r="F182" s="8" t="inlineStr">
        <is>
          <t>high</t>
        </is>
      </c>
      <c r="G182" s="9" t="n">
        <v>0</v>
      </c>
    </row>
    <row r="183">
      <c r="A183" s="8" t="inlineStr">
        <is>
          <t>Operating expenses (detail)</t>
        </is>
      </c>
      <c r="B183" s="8" t="inlineStr">
        <is>
          <t>F27</t>
        </is>
      </c>
      <c r="C183" s="8" t="inlineStr">
        <is>
          <t>15. Royalties</t>
        </is>
      </c>
      <c r="D183" s="8" t="inlineStr">
        <is>
          <t>15</t>
        </is>
      </c>
      <c r="E183" s="8" t="inlineStr">
        <is>
          <t>part_ix_expenses.royalties</t>
        </is>
      </c>
      <c r="F183" s="8" t="inlineStr">
        <is>
          <t>high</t>
        </is>
      </c>
      <c r="G183" s="9" t="n">
        <v>0</v>
      </c>
    </row>
    <row r="184">
      <c r="A184" s="8" t="inlineStr">
        <is>
          <t>Operating expenses (detail)</t>
        </is>
      </c>
      <c r="B184" s="8" t="inlineStr">
        <is>
          <t>G27</t>
        </is>
      </c>
      <c r="C184" s="8" t="inlineStr">
        <is>
          <t>15. Royalties</t>
        </is>
      </c>
      <c r="D184" s="8" t="inlineStr">
        <is>
          <t>15</t>
        </is>
      </c>
      <c r="E184" s="8" t="inlineStr">
        <is>
          <t>part_ix_expenses.royalties</t>
        </is>
      </c>
      <c r="F184" s="8" t="inlineStr">
        <is>
          <t>high</t>
        </is>
      </c>
      <c r="G184" s="9" t="n">
        <v>0</v>
      </c>
    </row>
    <row r="185">
      <c r="A185" s="8" t="inlineStr">
        <is>
          <t>Operating expenses (detail)</t>
        </is>
      </c>
      <c r="B185" s="8" t="inlineStr">
        <is>
          <t>B28</t>
        </is>
      </c>
      <c r="C185" s="8" t="inlineStr">
        <is>
          <t>16. Occupancy</t>
        </is>
      </c>
      <c r="D185" s="8" t="inlineStr">
        <is>
          <t>16</t>
        </is>
      </c>
      <c r="E185" s="8" t="inlineStr">
        <is>
          <t>part_ix_expenses.occupancy</t>
        </is>
      </c>
      <c r="F185" s="8" t="inlineStr">
        <is>
          <t>high</t>
        </is>
      </c>
      <c r="G185" s="9" t="n">
        <v>0</v>
      </c>
    </row>
    <row r="186">
      <c r="A186" s="8" t="inlineStr">
        <is>
          <t>Operating expenses (detail)</t>
        </is>
      </c>
      <c r="B186" s="8" t="inlineStr">
        <is>
          <t>C28</t>
        </is>
      </c>
      <c r="C186" s="8" t="inlineStr">
        <is>
          <t>16. Occupancy</t>
        </is>
      </c>
      <c r="D186" s="8" t="inlineStr">
        <is>
          <t>16</t>
        </is>
      </c>
      <c r="E186" s="8" t="inlineStr">
        <is>
          <t>part_ix_expenses.occupancy</t>
        </is>
      </c>
      <c r="F186" s="8" t="inlineStr">
        <is>
          <t>high</t>
        </is>
      </c>
      <c r="G186" s="9" t="n">
        <v>0</v>
      </c>
    </row>
    <row r="187">
      <c r="A187" s="8" t="inlineStr">
        <is>
          <t>Operating expenses (detail)</t>
        </is>
      </c>
      <c r="B187" s="8" t="inlineStr">
        <is>
          <t>D28</t>
        </is>
      </c>
      <c r="C187" s="8" t="inlineStr">
        <is>
          <t>16. Occupancy</t>
        </is>
      </c>
      <c r="D187" s="8" t="inlineStr">
        <is>
          <t>16</t>
        </is>
      </c>
      <c r="E187" s="8" t="inlineStr">
        <is>
          <t>part_ix_expenses.occupancy</t>
        </is>
      </c>
      <c r="F187" s="8" t="inlineStr">
        <is>
          <t>high</t>
        </is>
      </c>
      <c r="G187" s="9" t="n">
        <v>0</v>
      </c>
    </row>
    <row r="188">
      <c r="A188" s="8" t="inlineStr">
        <is>
          <t>Operating expenses (detail)</t>
        </is>
      </c>
      <c r="B188" s="8" t="inlineStr">
        <is>
          <t>E28</t>
        </is>
      </c>
      <c r="C188" s="8" t="inlineStr">
        <is>
          <t>16. Occupancy</t>
        </is>
      </c>
      <c r="D188" s="8" t="inlineStr">
        <is>
          <t>16</t>
        </is>
      </c>
      <c r="E188" s="8" t="inlineStr">
        <is>
          <t>part_ix_expenses.occupancy</t>
        </is>
      </c>
      <c r="F188" s="8" t="inlineStr">
        <is>
          <t>high</t>
        </is>
      </c>
      <c r="G188" s="9" t="n">
        <v>0</v>
      </c>
    </row>
    <row r="189">
      <c r="A189" s="8" t="inlineStr">
        <is>
          <t>Operating expenses (detail)</t>
        </is>
      </c>
      <c r="B189" s="8" t="inlineStr">
        <is>
          <t>F28</t>
        </is>
      </c>
      <c r="C189" s="8" t="inlineStr">
        <is>
          <t>16. Occupancy</t>
        </is>
      </c>
      <c r="D189" s="8" t="inlineStr">
        <is>
          <t>16</t>
        </is>
      </c>
      <c r="E189" s="8" t="inlineStr">
        <is>
          <t>part_ix_expenses.occupancy</t>
        </is>
      </c>
      <c r="F189" s="8" t="inlineStr">
        <is>
          <t>high</t>
        </is>
      </c>
      <c r="G189" s="9" t="n">
        <v>0</v>
      </c>
    </row>
    <row r="190">
      <c r="A190" s="8" t="inlineStr">
        <is>
          <t>Operating expenses (detail)</t>
        </is>
      </c>
      <c r="B190" s="8" t="inlineStr">
        <is>
          <t>G28</t>
        </is>
      </c>
      <c r="C190" s="8" t="inlineStr">
        <is>
          <t>16. Occupancy</t>
        </is>
      </c>
      <c r="D190" s="8" t="inlineStr">
        <is>
          <t>16</t>
        </is>
      </c>
      <c r="E190" s="8" t="inlineStr">
        <is>
          <t>part_ix_expenses.occupancy</t>
        </is>
      </c>
      <c r="F190" s="8" t="inlineStr">
        <is>
          <t>high</t>
        </is>
      </c>
      <c r="G190" s="9" t="n">
        <v>0</v>
      </c>
    </row>
    <row r="191">
      <c r="A191" s="8" t="inlineStr">
        <is>
          <t>Operating expenses (detail)</t>
        </is>
      </c>
      <c r="B191" s="8" t="inlineStr">
        <is>
          <t>B29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C29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D29</t>
        </is>
      </c>
      <c r="C193" s="8" t="inlineStr">
        <is>
          <t>17. Travel</t>
        </is>
      </c>
      <c r="D193" s="8" t="inlineStr">
        <is>
          <t>17</t>
        </is>
      </c>
      <c r="E193" s="8" t="inlineStr">
        <is>
          <t>part_ix_expenses.travel</t>
        </is>
      </c>
      <c r="F193" s="8" t="inlineStr">
        <is>
          <t>high</t>
        </is>
      </c>
      <c r="G193" s="9" t="n">
        <v>0</v>
      </c>
    </row>
    <row r="194">
      <c r="A194" s="8" t="inlineStr">
        <is>
          <t>Operating expenses (detail)</t>
        </is>
      </c>
      <c r="B194" s="8" t="inlineStr">
        <is>
          <t>E29</t>
        </is>
      </c>
      <c r="C194" s="8" t="inlineStr">
        <is>
          <t>17. Travel</t>
        </is>
      </c>
      <c r="D194" s="8" t="inlineStr">
        <is>
          <t>17</t>
        </is>
      </c>
      <c r="E194" s="8" t="inlineStr">
        <is>
          <t>part_ix_expenses.travel</t>
        </is>
      </c>
      <c r="F194" s="8" t="inlineStr">
        <is>
          <t>high</t>
        </is>
      </c>
      <c r="G194" s="9" t="n">
        <v>0</v>
      </c>
    </row>
    <row r="195">
      <c r="A195" s="8" t="inlineStr">
        <is>
          <t>Operating expenses (detail)</t>
        </is>
      </c>
      <c r="B195" s="8" t="inlineStr">
        <is>
          <t>F29</t>
        </is>
      </c>
      <c r="C195" s="8" t="inlineStr">
        <is>
          <t>17. Travel</t>
        </is>
      </c>
      <c r="D195" s="8" t="inlineStr">
        <is>
          <t>17</t>
        </is>
      </c>
      <c r="E195" s="8" t="inlineStr">
        <is>
          <t>part_ix_expenses.travel</t>
        </is>
      </c>
      <c r="F195" s="8" t="inlineStr">
        <is>
          <t>high</t>
        </is>
      </c>
      <c r="G195" s="9" t="n">
        <v>0</v>
      </c>
    </row>
    <row r="196">
      <c r="A196" s="8" t="inlineStr">
        <is>
          <t>Operating expenses (detail)</t>
        </is>
      </c>
      <c r="B196" s="8" t="inlineStr">
        <is>
          <t>G29</t>
        </is>
      </c>
      <c r="C196" s="8" t="inlineStr">
        <is>
          <t>17. Travel</t>
        </is>
      </c>
      <c r="D196" s="8" t="inlineStr">
        <is>
          <t>17</t>
        </is>
      </c>
      <c r="E196" s="8" t="inlineStr">
        <is>
          <t>part_ix_expenses.travel</t>
        </is>
      </c>
      <c r="F196" s="8" t="inlineStr">
        <is>
          <t>high</t>
        </is>
      </c>
      <c r="G196" s="9" t="n">
        <v>0</v>
      </c>
    </row>
    <row r="197">
      <c r="A197" s="8" t="inlineStr">
        <is>
          <t>Operating expenses (detail)</t>
        </is>
      </c>
      <c r="B197" s="8" t="inlineStr">
        <is>
          <t>B30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C30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D30</t>
        </is>
      </c>
      <c r="C199" s="8" t="inlineStr">
        <is>
          <t>18. Payments of travel/entertainment for public officials</t>
        </is>
      </c>
      <c r="D199" s="8" t="inlineStr">
        <is>
          <t>18</t>
        </is>
      </c>
      <c r="E199" s="8" t="inlineStr">
        <is>
          <t>part_ix_expenses.travel_entertainment_public_officials</t>
        </is>
      </c>
      <c r="F199" s="8" t="inlineStr">
        <is>
          <t>high</t>
        </is>
      </c>
      <c r="G199" s="9" t="n">
        <v>0</v>
      </c>
    </row>
    <row r="200">
      <c r="A200" s="8" t="inlineStr">
        <is>
          <t>Operating expenses (detail)</t>
        </is>
      </c>
      <c r="B200" s="8" t="inlineStr">
        <is>
          <t>E30</t>
        </is>
      </c>
      <c r="C200" s="8" t="inlineStr">
        <is>
          <t>18. Payments of travel/entertainment for public officials</t>
        </is>
      </c>
      <c r="D200" s="8" t="inlineStr">
        <is>
          <t>18</t>
        </is>
      </c>
      <c r="E200" s="8" t="inlineStr">
        <is>
          <t>part_ix_expenses.travel_entertainment_public_officials</t>
        </is>
      </c>
      <c r="F200" s="8" t="inlineStr">
        <is>
          <t>high</t>
        </is>
      </c>
      <c r="G200" s="9" t="n">
        <v>0</v>
      </c>
    </row>
    <row r="201">
      <c r="A201" s="8" t="inlineStr">
        <is>
          <t>Operating expenses (detail)</t>
        </is>
      </c>
      <c r="B201" s="8" t="inlineStr">
        <is>
          <t>F30</t>
        </is>
      </c>
      <c r="C201" s="8" t="inlineStr">
        <is>
          <t>18. Payments of travel/entertainment for public officials</t>
        </is>
      </c>
      <c r="D201" s="8" t="inlineStr">
        <is>
          <t>18</t>
        </is>
      </c>
      <c r="E201" s="8" t="inlineStr">
        <is>
          <t>part_ix_expenses.travel_entertainment_public_officials</t>
        </is>
      </c>
      <c r="F201" s="8" t="inlineStr">
        <is>
          <t>high</t>
        </is>
      </c>
      <c r="G201" s="9" t="n">
        <v>0</v>
      </c>
    </row>
    <row r="202">
      <c r="A202" s="8" t="inlineStr">
        <is>
          <t>Operating expenses (detail)</t>
        </is>
      </c>
      <c r="B202" s="8" t="inlineStr">
        <is>
          <t>G30</t>
        </is>
      </c>
      <c r="C202" s="8" t="inlineStr">
        <is>
          <t>18. Payments of travel/entertainment for public officials</t>
        </is>
      </c>
      <c r="D202" s="8" t="inlineStr">
        <is>
          <t>18</t>
        </is>
      </c>
      <c r="E202" s="8" t="inlineStr">
        <is>
          <t>part_ix_expenses.travel_entertainment_public_officials</t>
        </is>
      </c>
      <c r="F202" s="8" t="inlineStr">
        <is>
          <t>high</t>
        </is>
      </c>
      <c r="G202" s="9" t="n">
        <v>0</v>
      </c>
    </row>
    <row r="203">
      <c r="A203" s="8" t="inlineStr">
        <is>
          <t>Operating expenses (detail)</t>
        </is>
      </c>
      <c r="B203" s="8" t="inlineStr">
        <is>
          <t>B31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C31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D31</t>
        </is>
      </c>
      <c r="C205" s="8" t="inlineStr">
        <is>
          <t>19. Conferences, conventions, and meetings</t>
        </is>
      </c>
      <c r="D205" s="8" t="inlineStr">
        <is>
          <t>19</t>
        </is>
      </c>
      <c r="E205" s="8" t="inlineStr">
        <is>
          <t>part_ix_expenses.conferences_conventions_meetings</t>
        </is>
      </c>
      <c r="F205" s="8" t="inlineStr">
        <is>
          <t>high</t>
        </is>
      </c>
      <c r="G205" s="9" t="n">
        <v>0</v>
      </c>
    </row>
    <row r="206">
      <c r="A206" s="8" t="inlineStr">
        <is>
          <t>Operating expenses (detail)</t>
        </is>
      </c>
      <c r="B206" s="8" t="inlineStr">
        <is>
          <t>E31</t>
        </is>
      </c>
      <c r="C206" s="8" t="inlineStr">
        <is>
          <t>19. Conferences, conventions, and meetings</t>
        </is>
      </c>
      <c r="D206" s="8" t="inlineStr">
        <is>
          <t>19</t>
        </is>
      </c>
      <c r="E206" s="8" t="inlineStr">
        <is>
          <t>part_ix_expenses.conferences_conventions_meetings</t>
        </is>
      </c>
      <c r="F206" s="8" t="inlineStr">
        <is>
          <t>high</t>
        </is>
      </c>
      <c r="G206" s="9" t="n">
        <v>0</v>
      </c>
    </row>
    <row r="207">
      <c r="A207" s="8" t="inlineStr">
        <is>
          <t>Operating expenses (detail)</t>
        </is>
      </c>
      <c r="B207" s="8" t="inlineStr">
        <is>
          <t>F31</t>
        </is>
      </c>
      <c r="C207" s="8" t="inlineStr">
        <is>
          <t>19. Conferences, conventions, and meetings</t>
        </is>
      </c>
      <c r="D207" s="8" t="inlineStr">
        <is>
          <t>19</t>
        </is>
      </c>
      <c r="E207" s="8" t="inlineStr">
        <is>
          <t>part_ix_expenses.conferences_conventions_meetings</t>
        </is>
      </c>
      <c r="F207" s="8" t="inlineStr">
        <is>
          <t>high</t>
        </is>
      </c>
      <c r="G207" s="9" t="n">
        <v>0</v>
      </c>
    </row>
    <row r="208">
      <c r="A208" s="8" t="inlineStr">
        <is>
          <t>Operating expenses (detail)</t>
        </is>
      </c>
      <c r="B208" s="8" t="inlineStr">
        <is>
          <t>G31</t>
        </is>
      </c>
      <c r="C208" s="8" t="inlineStr">
        <is>
          <t>19. Conferences, conventions, and meetings</t>
        </is>
      </c>
      <c r="D208" s="8" t="inlineStr">
        <is>
          <t>19</t>
        </is>
      </c>
      <c r="E208" s="8" t="inlineStr">
        <is>
          <t>part_ix_expenses.conferences_conventions_meetings</t>
        </is>
      </c>
      <c r="F208" s="8" t="inlineStr">
        <is>
          <t>high</t>
        </is>
      </c>
      <c r="G208" s="9" t="n">
        <v>0</v>
      </c>
    </row>
    <row r="209">
      <c r="A209" s="8" t="inlineStr">
        <is>
          <t>Operating expenses (detail)</t>
        </is>
      </c>
      <c r="B209" s="8" t="inlineStr">
        <is>
          <t>B32</t>
        </is>
      </c>
      <c r="C209" s="8" t="inlineStr">
        <is>
          <t>20. Interest</t>
        </is>
      </c>
      <c r="D209" s="8" t="inlineStr">
        <is>
          <t>20</t>
        </is>
      </c>
      <c r="E209" s="8" t="inlineStr">
        <is>
          <t>part_ix_expenses.interest</t>
        </is>
      </c>
      <c r="F209" s="8" t="inlineStr">
        <is>
          <t>high</t>
        </is>
      </c>
      <c r="G209" s="9" t="n">
        <v>0</v>
      </c>
    </row>
    <row r="210">
      <c r="A210" s="8" t="inlineStr">
        <is>
          <t>Operating expenses (detail)</t>
        </is>
      </c>
      <c r="B210" s="8" t="inlineStr">
        <is>
          <t>C32</t>
        </is>
      </c>
      <c r="C210" s="8" t="inlineStr">
        <is>
          <t>20. Interest</t>
        </is>
      </c>
      <c r="D210" s="8" t="inlineStr">
        <is>
          <t>20</t>
        </is>
      </c>
      <c r="E210" s="8" t="inlineStr">
        <is>
          <t>part_ix_expenses.interest</t>
        </is>
      </c>
      <c r="F210" s="8" t="inlineStr">
        <is>
          <t>high</t>
        </is>
      </c>
      <c r="G210" s="9" t="n">
        <v>0</v>
      </c>
    </row>
    <row r="211">
      <c r="A211" s="8" t="inlineStr">
        <is>
          <t>Operating expenses (detail)</t>
        </is>
      </c>
      <c r="B211" s="8" t="inlineStr">
        <is>
          <t>D32</t>
        </is>
      </c>
      <c r="C211" s="8" t="inlineStr">
        <is>
          <t>20. Interest</t>
        </is>
      </c>
      <c r="D211" s="8" t="inlineStr">
        <is>
          <t>20</t>
        </is>
      </c>
      <c r="E211" s="8" t="inlineStr">
        <is>
          <t>part_ix_expenses.interest</t>
        </is>
      </c>
      <c r="F211" s="8" t="inlineStr">
        <is>
          <t>high</t>
        </is>
      </c>
      <c r="G211" s="9" t="n">
        <v>0</v>
      </c>
    </row>
    <row r="212">
      <c r="A212" s="8" t="inlineStr">
        <is>
          <t>Operating expenses (detail)</t>
        </is>
      </c>
      <c r="B212" s="8" t="inlineStr">
        <is>
          <t>E32</t>
        </is>
      </c>
      <c r="C212" s="8" t="inlineStr">
        <is>
          <t>20. Interest</t>
        </is>
      </c>
      <c r="D212" s="8" t="inlineStr">
        <is>
          <t>20</t>
        </is>
      </c>
      <c r="E212" s="8" t="inlineStr">
        <is>
          <t>part_ix_expenses.interest</t>
        </is>
      </c>
      <c r="F212" s="8" t="inlineStr">
        <is>
          <t>high</t>
        </is>
      </c>
      <c r="G212" s="9" t="n">
        <v>0</v>
      </c>
    </row>
    <row r="213">
      <c r="A213" s="8" t="inlineStr">
        <is>
          <t>Operating expenses (detail)</t>
        </is>
      </c>
      <c r="B213" s="8" t="inlineStr">
        <is>
          <t>F32</t>
        </is>
      </c>
      <c r="C213" s="8" t="inlineStr">
        <is>
          <t>20. Interest</t>
        </is>
      </c>
      <c r="D213" s="8" t="inlineStr">
        <is>
          <t>20</t>
        </is>
      </c>
      <c r="E213" s="8" t="inlineStr">
        <is>
          <t>part_ix_expenses.interest</t>
        </is>
      </c>
      <c r="F213" s="8" t="inlineStr">
        <is>
          <t>high</t>
        </is>
      </c>
      <c r="G213" s="9" t="n">
        <v>0</v>
      </c>
    </row>
    <row r="214">
      <c r="A214" s="8" t="inlineStr">
        <is>
          <t>Operating expenses (detail)</t>
        </is>
      </c>
      <c r="B214" s="8" t="inlineStr">
        <is>
          <t>G32</t>
        </is>
      </c>
      <c r="C214" s="8" t="inlineStr">
        <is>
          <t>20. Interest</t>
        </is>
      </c>
      <c r="D214" s="8" t="inlineStr">
        <is>
          <t>20</t>
        </is>
      </c>
      <c r="E214" s="8" t="inlineStr">
        <is>
          <t>part_ix_expenses.interest</t>
        </is>
      </c>
      <c r="F214" s="8" t="inlineStr">
        <is>
          <t>high</t>
        </is>
      </c>
      <c r="G214" s="9" t="n">
        <v>0</v>
      </c>
    </row>
    <row r="215">
      <c r="A215" s="8" t="inlineStr">
        <is>
          <t>Operating expenses (detail)</t>
        </is>
      </c>
      <c r="B215" s="8" t="inlineStr">
        <is>
          <t>B33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C33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D33</t>
        </is>
      </c>
      <c r="C217" s="8" t="inlineStr">
        <is>
          <t>21. Payments to affiliates</t>
        </is>
      </c>
      <c r="D217" s="8" t="inlineStr">
        <is>
          <t>21</t>
        </is>
      </c>
      <c r="E217" s="8" t="inlineStr">
        <is>
          <t>part_ix_expenses.payments_to_affiliates</t>
        </is>
      </c>
      <c r="F217" s="8" t="inlineStr">
        <is>
          <t>high</t>
        </is>
      </c>
      <c r="G217" s="9" t="n">
        <v>0</v>
      </c>
    </row>
    <row r="218">
      <c r="A218" s="8" t="inlineStr">
        <is>
          <t>Operating expenses (detail)</t>
        </is>
      </c>
      <c r="B218" s="8" t="inlineStr">
        <is>
          <t>E33</t>
        </is>
      </c>
      <c r="C218" s="8" t="inlineStr">
        <is>
          <t>21. Payments to affiliates</t>
        </is>
      </c>
      <c r="D218" s="8" t="inlineStr">
        <is>
          <t>21</t>
        </is>
      </c>
      <c r="E218" s="8" t="inlineStr">
        <is>
          <t>part_ix_expenses.payments_to_affiliates</t>
        </is>
      </c>
      <c r="F218" s="8" t="inlineStr">
        <is>
          <t>high</t>
        </is>
      </c>
      <c r="G218" s="9" t="n">
        <v>0</v>
      </c>
    </row>
    <row r="219">
      <c r="A219" s="8" t="inlineStr">
        <is>
          <t>Operating expenses (detail)</t>
        </is>
      </c>
      <c r="B219" s="8" t="inlineStr">
        <is>
          <t>F33</t>
        </is>
      </c>
      <c r="C219" s="8" t="inlineStr">
        <is>
          <t>21. Payments to affiliates</t>
        </is>
      </c>
      <c r="D219" s="8" t="inlineStr">
        <is>
          <t>21</t>
        </is>
      </c>
      <c r="E219" s="8" t="inlineStr">
        <is>
          <t>part_ix_expenses.payments_to_affiliates</t>
        </is>
      </c>
      <c r="F219" s="8" t="inlineStr">
        <is>
          <t>high</t>
        </is>
      </c>
      <c r="G219" s="9" t="n">
        <v>0</v>
      </c>
    </row>
    <row r="220">
      <c r="A220" s="8" t="inlineStr">
        <is>
          <t>Operating expenses (detail)</t>
        </is>
      </c>
      <c r="B220" s="8" t="inlineStr">
        <is>
          <t>G33</t>
        </is>
      </c>
      <c r="C220" s="8" t="inlineStr">
        <is>
          <t>21. Payments to affiliates</t>
        </is>
      </c>
      <c r="D220" s="8" t="inlineStr">
        <is>
          <t>21</t>
        </is>
      </c>
      <c r="E220" s="8" t="inlineStr">
        <is>
          <t>part_ix_expenses.payments_to_affiliates</t>
        </is>
      </c>
      <c r="F220" s="8" t="inlineStr">
        <is>
          <t>high</t>
        </is>
      </c>
      <c r="G220" s="9" t="n">
        <v>0</v>
      </c>
    </row>
    <row r="221">
      <c r="A221" s="8" t="inlineStr">
        <is>
          <t>Operating expenses (detail)</t>
        </is>
      </c>
      <c r="B221" s="8" t="inlineStr">
        <is>
          <t>B34</t>
        </is>
      </c>
      <c r="C221" s="8" t="inlineStr">
        <is>
          <t>22. Depreciation, depletion, and amortization</t>
        </is>
      </c>
      <c r="D221" s="8" t="inlineStr">
        <is>
          <t>22</t>
        </is>
      </c>
      <c r="E221" s="8" t="inlineStr">
        <is>
          <t>part_ix_expenses.depreciation</t>
        </is>
      </c>
      <c r="F221" s="8" t="inlineStr">
        <is>
          <t>high</t>
        </is>
      </c>
      <c r="G221" s="9" t="n">
        <v>30227</v>
      </c>
    </row>
    <row r="222">
      <c r="A222" s="8" t="inlineStr">
        <is>
          <t>Operating expenses (detail)</t>
        </is>
      </c>
      <c r="B222" s="8" t="inlineStr">
        <is>
          <t>C34</t>
        </is>
      </c>
      <c r="C222" s="8" t="inlineStr">
        <is>
          <t>22. Depreciation, depletion, and amortization</t>
        </is>
      </c>
      <c r="D222" s="8" t="inlineStr">
        <is>
          <t>22</t>
        </is>
      </c>
      <c r="E222" s="8" t="inlineStr">
        <is>
          <t>part_ix_expenses.depreciation</t>
        </is>
      </c>
      <c r="F222" s="8" t="inlineStr">
        <is>
          <t>high</t>
        </is>
      </c>
      <c r="G222" s="9" t="n">
        <v>31140</v>
      </c>
    </row>
    <row r="223">
      <c r="A223" s="8" t="inlineStr">
        <is>
          <t>Operating expenses (detail)</t>
        </is>
      </c>
      <c r="B223" s="8" t="inlineStr">
        <is>
          <t>D34</t>
        </is>
      </c>
      <c r="C223" s="8" t="inlineStr">
        <is>
          <t>22. Depreciation, depletion, and amortization</t>
        </is>
      </c>
      <c r="D223" s="8" t="inlineStr">
        <is>
          <t>22</t>
        </is>
      </c>
      <c r="E223" s="8" t="inlineStr">
        <is>
          <t>part_ix_expenses.depreciation</t>
        </is>
      </c>
      <c r="F223" s="8" t="inlineStr">
        <is>
          <t>high</t>
        </is>
      </c>
      <c r="G223" s="9" t="n">
        <v>34585</v>
      </c>
    </row>
    <row r="224">
      <c r="A224" s="8" t="inlineStr">
        <is>
          <t>Operating expenses (detail)</t>
        </is>
      </c>
      <c r="B224" s="8" t="inlineStr">
        <is>
          <t>E34</t>
        </is>
      </c>
      <c r="C224" s="8" t="inlineStr">
        <is>
          <t>22. Depreciation, depletion, and amortization</t>
        </is>
      </c>
      <c r="D224" s="8" t="inlineStr">
        <is>
          <t>22</t>
        </is>
      </c>
      <c r="E224" s="8" t="inlineStr">
        <is>
          <t>part_ix_expenses.depreciation</t>
        </is>
      </c>
      <c r="F224" s="8" t="inlineStr">
        <is>
          <t>high</t>
        </is>
      </c>
      <c r="G224" s="9" t="n">
        <v>38132</v>
      </c>
    </row>
    <row r="225">
      <c r="A225" s="8" t="inlineStr">
        <is>
          <t>Operating expenses (detail)</t>
        </is>
      </c>
      <c r="B225" s="8" t="inlineStr">
        <is>
          <t>F34</t>
        </is>
      </c>
      <c r="C225" s="8" t="inlineStr">
        <is>
          <t>22. Depreciation, depletion, and amortization</t>
        </is>
      </c>
      <c r="D225" s="8" t="inlineStr">
        <is>
          <t>22</t>
        </is>
      </c>
      <c r="E225" s="8" t="inlineStr">
        <is>
          <t>part_ix_expenses.depreciation</t>
        </is>
      </c>
      <c r="F225" s="8" t="inlineStr">
        <is>
          <t>high</t>
        </is>
      </c>
      <c r="G225" s="9" t="n">
        <v>46079</v>
      </c>
    </row>
    <row r="226">
      <c r="A226" s="8" t="inlineStr">
        <is>
          <t>Operating expenses (detail)</t>
        </is>
      </c>
      <c r="B226" s="8" t="inlineStr">
        <is>
          <t>G34</t>
        </is>
      </c>
      <c r="C226" s="8" t="inlineStr">
        <is>
          <t>22. Depreciation, depletion, and amortization</t>
        </is>
      </c>
      <c r="D226" s="8" t="inlineStr">
        <is>
          <t>22</t>
        </is>
      </c>
      <c r="E226" s="8" t="inlineStr">
        <is>
          <t>part_ix_expenses.depreciation</t>
        </is>
      </c>
      <c r="F226" s="8" t="inlineStr">
        <is>
          <t>high</t>
        </is>
      </c>
      <c r="G226" s="9" t="n">
        <v>50003</v>
      </c>
    </row>
    <row r="227">
      <c r="A227" s="8" t="inlineStr">
        <is>
          <t>Operating expenses (detail)</t>
        </is>
      </c>
      <c r="B227" s="8" t="inlineStr">
        <is>
          <t>B35</t>
        </is>
      </c>
      <c r="C227" s="8" t="inlineStr">
        <is>
          <t>23. Insurance</t>
        </is>
      </c>
      <c r="D227" s="8" t="inlineStr">
        <is>
          <t>23</t>
        </is>
      </c>
      <c r="E227" s="8" t="inlineStr">
        <is>
          <t>part_ix_expenses.insurance</t>
        </is>
      </c>
      <c r="F227" s="8" t="inlineStr">
        <is>
          <t>high</t>
        </is>
      </c>
      <c r="G227" s="9" t="n">
        <v>1631</v>
      </c>
    </row>
    <row r="228">
      <c r="A228" s="8" t="inlineStr">
        <is>
          <t>Operating expenses (detail)</t>
        </is>
      </c>
      <c r="B228" s="8" t="inlineStr">
        <is>
          <t>C35</t>
        </is>
      </c>
      <c r="C228" s="8" t="inlineStr">
        <is>
          <t>23. Insurance</t>
        </is>
      </c>
      <c r="D228" s="8" t="inlineStr">
        <is>
          <t>23</t>
        </is>
      </c>
      <c r="E228" s="8" t="inlineStr">
        <is>
          <t>part_ix_expenses.insurance</t>
        </is>
      </c>
      <c r="F228" s="8" t="inlineStr">
        <is>
          <t>high</t>
        </is>
      </c>
      <c r="G228" s="9" t="n">
        <v>1665</v>
      </c>
    </row>
    <row r="229">
      <c r="A229" s="8" t="inlineStr">
        <is>
          <t>Operating expenses (detail)</t>
        </is>
      </c>
      <c r="B229" s="8" t="inlineStr">
        <is>
          <t>D35</t>
        </is>
      </c>
      <c r="C229" s="8" t="inlineStr">
        <is>
          <t>23. Insurance</t>
        </is>
      </c>
      <c r="D229" s="8" t="inlineStr">
        <is>
          <t>23</t>
        </is>
      </c>
      <c r="E229" s="8" t="inlineStr">
        <is>
          <t>part_ix_expenses.insurance</t>
        </is>
      </c>
      <c r="F229" s="8" t="inlineStr">
        <is>
          <t>high</t>
        </is>
      </c>
      <c r="G229" s="9" t="n">
        <v>1781</v>
      </c>
    </row>
    <row r="230">
      <c r="A230" s="8" t="inlineStr">
        <is>
          <t>Operating expenses (detail)</t>
        </is>
      </c>
      <c r="B230" s="8" t="inlineStr">
        <is>
          <t>E35</t>
        </is>
      </c>
      <c r="C230" s="8" t="inlineStr">
        <is>
          <t>23. Insurance</t>
        </is>
      </c>
      <c r="D230" s="8" t="inlineStr">
        <is>
          <t>23</t>
        </is>
      </c>
      <c r="E230" s="8" t="inlineStr">
        <is>
          <t>part_ix_expenses.insurance</t>
        </is>
      </c>
      <c r="F230" s="8" t="inlineStr">
        <is>
          <t>high</t>
        </is>
      </c>
      <c r="G230" s="9" t="n">
        <v>1923</v>
      </c>
    </row>
    <row r="231">
      <c r="A231" s="8" t="inlineStr">
        <is>
          <t>Operating expenses (detail)</t>
        </is>
      </c>
      <c r="B231" s="8" t="inlineStr">
        <is>
          <t>F35</t>
        </is>
      </c>
      <c r="C231" s="8" t="inlineStr">
        <is>
          <t>23. Insurance</t>
        </is>
      </c>
      <c r="D231" s="8" t="inlineStr">
        <is>
          <t>23</t>
        </is>
      </c>
      <c r="E231" s="8" t="inlineStr">
        <is>
          <t>part_ix_expenses.insurance</t>
        </is>
      </c>
      <c r="F231" s="8" t="inlineStr">
        <is>
          <t>high</t>
        </is>
      </c>
      <c r="G231" s="9" t="n">
        <v>2071</v>
      </c>
    </row>
    <row r="232">
      <c r="A232" s="8" t="inlineStr">
        <is>
          <t>Operating expenses (detail)</t>
        </is>
      </c>
      <c r="B232" s="8" t="inlineStr">
        <is>
          <t>G35</t>
        </is>
      </c>
      <c r="C232" s="8" t="inlineStr">
        <is>
          <t>23. Insurance</t>
        </is>
      </c>
      <c r="D232" s="8" t="inlineStr">
        <is>
          <t>23</t>
        </is>
      </c>
      <c r="E232" s="8" t="inlineStr">
        <is>
          <t>part_ix_expenses.insurance</t>
        </is>
      </c>
      <c r="F232" s="8" t="inlineStr">
        <is>
          <t>high</t>
        </is>
      </c>
      <c r="G232" s="9" t="n">
        <v>2210</v>
      </c>
    </row>
    <row r="233">
      <c r="A233" s="8" t="inlineStr">
        <is>
          <t>Operating expenses (detail)</t>
        </is>
      </c>
      <c r="B233" s="8" t="inlineStr">
        <is>
          <t>B40</t>
        </is>
      </c>
      <c r="C233" s="8" t="inlineStr">
        <is>
          <t>24e. All other expenses</t>
        </is>
      </c>
      <c r="D233" s="8" t="inlineStr">
        <is>
          <t>24e</t>
        </is>
      </c>
      <c r="E233" s="8" t="inlineStr">
        <is>
          <t>part_ix_expenses.all_other_expenses</t>
        </is>
      </c>
      <c r="F233" s="8" t="inlineStr">
        <is>
          <t>high</t>
        </is>
      </c>
      <c r="G233" s="9" t="n">
        <v>558</v>
      </c>
    </row>
    <row r="234">
      <c r="A234" s="8" t="inlineStr">
        <is>
          <t>Operating expenses (detail)</t>
        </is>
      </c>
      <c r="B234" s="8" t="inlineStr">
        <is>
          <t>C40</t>
        </is>
      </c>
      <c r="C234" s="8" t="inlineStr">
        <is>
          <t>24e. All other expenses</t>
        </is>
      </c>
      <c r="D234" s="8" t="inlineStr">
        <is>
          <t>24e</t>
        </is>
      </c>
      <c r="E234" s="8" t="inlineStr">
        <is>
          <t>part_ix_expenses.all_other_expenses</t>
        </is>
      </c>
      <c r="F234" s="8" t="inlineStr">
        <is>
          <t>high</t>
        </is>
      </c>
      <c r="G234" s="9" t="n">
        <v>981</v>
      </c>
    </row>
    <row r="235">
      <c r="A235" s="8" t="inlineStr">
        <is>
          <t>Operating expenses (detail)</t>
        </is>
      </c>
      <c r="B235" s="8" t="inlineStr">
        <is>
          <t>D40</t>
        </is>
      </c>
      <c r="C235" s="8" t="inlineStr">
        <is>
          <t>24e. All other expenses</t>
        </is>
      </c>
      <c r="D235" s="8" t="inlineStr">
        <is>
          <t>24e</t>
        </is>
      </c>
      <c r="E235" s="8" t="inlineStr">
        <is>
          <t>part_ix_expenses.all_other_expenses</t>
        </is>
      </c>
      <c r="F235" s="8" t="inlineStr">
        <is>
          <t>high</t>
        </is>
      </c>
      <c r="G235" s="9" t="n">
        <v>750</v>
      </c>
    </row>
    <row r="236">
      <c r="A236" s="8" t="inlineStr">
        <is>
          <t>Operating expenses (detail)</t>
        </is>
      </c>
      <c r="B236" s="8" t="inlineStr">
        <is>
          <t>E40</t>
        </is>
      </c>
      <c r="C236" s="8" t="inlineStr">
        <is>
          <t>24e. All other expenses</t>
        </is>
      </c>
      <c r="D236" s="8" t="inlineStr">
        <is>
          <t>24e</t>
        </is>
      </c>
      <c r="E236" s="8" t="inlineStr">
        <is>
          <t>part_ix_expenses.all_other_expenses</t>
        </is>
      </c>
      <c r="F236" s="8" t="inlineStr">
        <is>
          <t>high</t>
        </is>
      </c>
      <c r="G236" s="9" t="n">
        <v>697</v>
      </c>
    </row>
    <row r="237">
      <c r="A237" s="8" t="inlineStr">
        <is>
          <t>Operating expenses (detail)</t>
        </is>
      </c>
      <c r="B237" s="8" t="inlineStr">
        <is>
          <t>F40</t>
        </is>
      </c>
      <c r="C237" s="8" t="inlineStr">
        <is>
          <t>24e. All other expenses</t>
        </is>
      </c>
      <c r="D237" s="8" t="inlineStr">
        <is>
          <t>24e</t>
        </is>
      </c>
      <c r="E237" s="8" t="inlineStr">
        <is>
          <t>part_ix_expenses.all_other_expenses</t>
        </is>
      </c>
      <c r="F237" s="8" t="inlineStr">
        <is>
          <t>high</t>
        </is>
      </c>
      <c r="G237" s="9" t="n">
        <v>2860</v>
      </c>
    </row>
    <row r="238">
      <c r="A238" s="8" t="inlineStr">
        <is>
          <t>Operating expenses (detail)</t>
        </is>
      </c>
      <c r="B238" s="8" t="inlineStr">
        <is>
          <t>G40</t>
        </is>
      </c>
      <c r="C238" s="8" t="inlineStr">
        <is>
          <t>24e. All other expenses</t>
        </is>
      </c>
      <c r="D238" s="8" t="inlineStr">
        <is>
          <t>24e</t>
        </is>
      </c>
      <c r="E238" s="8" t="inlineStr">
        <is>
          <t>part_ix_expenses.all_other_expenses</t>
        </is>
      </c>
      <c r="F238" s="8" t="inlineStr">
        <is>
          <t>high</t>
        </is>
      </c>
      <c r="G238" s="9" t="n">
        <v>2817</v>
      </c>
    </row>
    <row r="239">
      <c r="A239" s="8" t="inlineStr">
        <is>
          <t>Balance sheet (detail)</t>
        </is>
      </c>
      <c r="B239" s="8" t="inlineStr">
        <is>
          <t>B7</t>
        </is>
      </c>
      <c r="C239" s="8" t="inlineStr">
        <is>
          <t>1. Cash - non-interest-bearing</t>
        </is>
      </c>
      <c r="D239" s="8" t="inlineStr">
        <is>
          <t>1E</t>
        </is>
      </c>
      <c r="E239" s="8" t="inlineStr">
        <is>
          <t>part_x_balance_sheet.cash_noninterest_eoy</t>
        </is>
      </c>
      <c r="F239" s="8" t="inlineStr">
        <is>
          <t>high</t>
        </is>
      </c>
      <c r="G239" s="9" t="n">
        <v>35509</v>
      </c>
    </row>
    <row r="240">
      <c r="A240" s="8" t="inlineStr">
        <is>
          <t>Balance sheet (detail)</t>
        </is>
      </c>
      <c r="B240" s="8" t="inlineStr">
        <is>
          <t>C7</t>
        </is>
      </c>
      <c r="C240" s="8" t="inlineStr">
        <is>
          <t>1. Cash - non-interest-bearing</t>
        </is>
      </c>
      <c r="D240" s="8" t="inlineStr">
        <is>
          <t>1E</t>
        </is>
      </c>
      <c r="E240" s="8" t="inlineStr">
        <is>
          <t>part_x_balance_sheet.cash_noninterest_eoy</t>
        </is>
      </c>
      <c r="F240" s="8" t="inlineStr">
        <is>
          <t>high</t>
        </is>
      </c>
      <c r="G240" s="9" t="n">
        <v>64819</v>
      </c>
    </row>
    <row r="241">
      <c r="A241" s="8" t="inlineStr">
        <is>
          <t>Balance sheet (detail)</t>
        </is>
      </c>
      <c r="B241" s="8" t="inlineStr">
        <is>
          <t>D7</t>
        </is>
      </c>
      <c r="C241" s="8" t="inlineStr">
        <is>
          <t>1. Cash - non-interest-bearing</t>
        </is>
      </c>
      <c r="D241" s="8" t="inlineStr">
        <is>
          <t>1E</t>
        </is>
      </c>
      <c r="E241" s="8" t="inlineStr">
        <is>
          <t>part_x_balance_sheet.cash_noninterest_eoy</t>
        </is>
      </c>
      <c r="F241" s="8" t="inlineStr">
        <is>
          <t>high</t>
        </is>
      </c>
      <c r="G241" s="9" t="n">
        <v>74836</v>
      </c>
    </row>
    <row r="242">
      <c r="A242" s="8" t="inlineStr">
        <is>
          <t>Balance sheet (detail)</t>
        </is>
      </c>
      <c r="B242" s="8" t="inlineStr">
        <is>
          <t>E7</t>
        </is>
      </c>
      <c r="C242" s="8" t="inlineStr">
        <is>
          <t>1. Cash - non-interest-bearing</t>
        </is>
      </c>
      <c r="D242" s="8" t="inlineStr">
        <is>
          <t>1E</t>
        </is>
      </c>
      <c r="E242" s="8" t="inlineStr">
        <is>
          <t>part_x_balance_sheet.cash_noninterest_eoy</t>
        </is>
      </c>
      <c r="F242" s="8" t="inlineStr">
        <is>
          <t>high</t>
        </is>
      </c>
      <c r="G242" s="9" t="n">
        <v>102043</v>
      </c>
    </row>
    <row r="243">
      <c r="A243" s="8" t="inlineStr">
        <is>
          <t>Balance sheet (detail)</t>
        </is>
      </c>
      <c r="B243" s="8" t="inlineStr">
        <is>
          <t>F7</t>
        </is>
      </c>
      <c r="C243" s="8" t="inlineStr">
        <is>
          <t>1. Cash - non-interest-bearing</t>
        </is>
      </c>
      <c r="D243" s="8" t="inlineStr">
        <is>
          <t>1E</t>
        </is>
      </c>
      <c r="E243" s="8" t="inlineStr">
        <is>
          <t>part_x_balance_sheet.cash_noninterest_eoy</t>
        </is>
      </c>
      <c r="F243" s="8" t="inlineStr">
        <is>
          <t>high</t>
        </is>
      </c>
      <c r="G243" s="9" t="n">
        <v>137303</v>
      </c>
    </row>
    <row r="244">
      <c r="A244" s="8" t="inlineStr">
        <is>
          <t>Balance sheet (detail)</t>
        </is>
      </c>
      <c r="B244" s="8" t="inlineStr">
        <is>
          <t>G7</t>
        </is>
      </c>
      <c r="C244" s="8" t="inlineStr">
        <is>
          <t>1. Cash - non-interest-bearing</t>
        </is>
      </c>
      <c r="D244" s="8" t="inlineStr">
        <is>
          <t>1E</t>
        </is>
      </c>
      <c r="E244" s="8" t="inlineStr">
        <is>
          <t>part_x_balance_sheet.cash_noninterest_eoy</t>
        </is>
      </c>
      <c r="F244" s="8" t="inlineStr">
        <is>
          <t>high</t>
        </is>
      </c>
      <c r="G244" s="9" t="n">
        <v>110218</v>
      </c>
    </row>
    <row r="245">
      <c r="A245" s="8" t="inlineStr">
        <is>
          <t>Balance sheet (detail)</t>
        </is>
      </c>
      <c r="B245" s="8" t="inlineStr">
        <is>
          <t>B8</t>
        </is>
      </c>
      <c r="C245" s="8" t="inlineStr">
        <is>
          <t>2. Savings and temporary cash investments</t>
        </is>
      </c>
      <c r="D245" s="8" t="inlineStr">
        <is>
          <t>2E</t>
        </is>
      </c>
      <c r="E245" s="8" t="inlineStr">
        <is>
          <t>part_x_balance_sheet.savings_temp_invest_eoy</t>
        </is>
      </c>
      <c r="F245" s="8" t="inlineStr">
        <is>
          <t>high</t>
        </is>
      </c>
      <c r="G245" s="9" t="n">
        <v>50569</v>
      </c>
    </row>
    <row r="246">
      <c r="A246" s="8" t="inlineStr">
        <is>
          <t>Balance sheet (detail)</t>
        </is>
      </c>
      <c r="B246" s="8" t="inlineStr">
        <is>
          <t>C8</t>
        </is>
      </c>
      <c r="C246" s="8" t="inlineStr">
        <is>
          <t>2. Savings and temporary cash investments</t>
        </is>
      </c>
      <c r="D246" s="8" t="inlineStr">
        <is>
          <t>2E</t>
        </is>
      </c>
      <c r="E246" s="8" t="inlineStr">
        <is>
          <t>part_x_balance_sheet.savings_temp_invest_eoy</t>
        </is>
      </c>
      <c r="F246" s="8" t="inlineStr">
        <is>
          <t>high</t>
        </is>
      </c>
      <c r="G246" s="9" t="n">
        <v>50506</v>
      </c>
    </row>
    <row r="247">
      <c r="A247" s="8" t="inlineStr">
        <is>
          <t>Balance sheet (detail)</t>
        </is>
      </c>
      <c r="B247" s="8" t="inlineStr">
        <is>
          <t>D8</t>
        </is>
      </c>
      <c r="C247" s="8" t="inlineStr">
        <is>
          <t>2. Savings and temporary cash investments</t>
        </is>
      </c>
      <c r="D247" s="8" t="inlineStr">
        <is>
          <t>2E</t>
        </is>
      </c>
      <c r="E247" s="8" t="inlineStr">
        <is>
          <t>part_x_balance_sheet.savings_temp_invest_eoy</t>
        </is>
      </c>
      <c r="F247" s="8" t="inlineStr">
        <is>
          <t>high</t>
        </is>
      </c>
      <c r="G247" s="9" t="n">
        <v>50440</v>
      </c>
    </row>
    <row r="248">
      <c r="A248" s="8" t="inlineStr">
        <is>
          <t>Balance sheet (detail)</t>
        </is>
      </c>
      <c r="B248" s="8" t="inlineStr">
        <is>
          <t>E8</t>
        </is>
      </c>
      <c r="C248" s="8" t="inlineStr">
        <is>
          <t>2. Savings and temporary cash investments</t>
        </is>
      </c>
      <c r="D248" s="8" t="inlineStr">
        <is>
          <t>2E</t>
        </is>
      </c>
      <c r="E248" s="8" t="inlineStr">
        <is>
          <t>part_x_balance_sheet.savings_temp_invest_eoy</t>
        </is>
      </c>
      <c r="F248" s="8" t="inlineStr">
        <is>
          <t>high</t>
        </is>
      </c>
      <c r="G248" s="9" t="n">
        <v>0</v>
      </c>
    </row>
    <row r="249">
      <c r="A249" s="8" t="inlineStr">
        <is>
          <t>Balance sheet (detail)</t>
        </is>
      </c>
      <c r="B249" s="8" t="inlineStr">
        <is>
          <t>F8</t>
        </is>
      </c>
      <c r="C249" s="8" t="inlineStr">
        <is>
          <t>2. Savings and temporary cash investments</t>
        </is>
      </c>
      <c r="D249" s="8" t="inlineStr">
        <is>
          <t>2E</t>
        </is>
      </c>
      <c r="E249" s="8" t="inlineStr">
        <is>
          <t>part_x_balance_sheet.savings_temp_invest_eoy</t>
        </is>
      </c>
      <c r="F249" s="8" t="inlineStr">
        <is>
          <t>high</t>
        </is>
      </c>
      <c r="G249" s="9" t="n">
        <v>0</v>
      </c>
    </row>
    <row r="250">
      <c r="A250" s="8" t="inlineStr">
        <is>
          <t>Balance sheet (detail)</t>
        </is>
      </c>
      <c r="B250" s="8" t="inlineStr">
        <is>
          <t>G8</t>
        </is>
      </c>
      <c r="C250" s="8" t="inlineStr">
        <is>
          <t>2. Savings and temporary cash investments</t>
        </is>
      </c>
      <c r="D250" s="8" t="inlineStr">
        <is>
          <t>2E</t>
        </is>
      </c>
      <c r="E250" s="8" t="inlineStr">
        <is>
          <t>part_x_balance_sheet.savings_temp_invest_eoy</t>
        </is>
      </c>
      <c r="F250" s="8" t="inlineStr">
        <is>
          <t>high</t>
        </is>
      </c>
      <c r="G250" s="9" t="n">
        <v>0</v>
      </c>
    </row>
    <row r="251">
      <c r="A251" s="8" t="inlineStr">
        <is>
          <t>Balance sheet (detail)</t>
        </is>
      </c>
      <c r="B251" s="8" t="inlineStr">
        <is>
          <t>B9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C9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D9</t>
        </is>
      </c>
      <c r="C253" s="8" t="inlineStr">
        <is>
          <t>3. Pledges and grants receivable, net</t>
        </is>
      </c>
      <c r="D253" s="8" t="inlineStr">
        <is>
          <t>3E</t>
        </is>
      </c>
      <c r="E253" s="8" t="inlineStr">
        <is>
          <t>part_x_balance_sheet.pledges_grants_receivable_eoy</t>
        </is>
      </c>
      <c r="F253" s="8" t="inlineStr">
        <is>
          <t>high</t>
        </is>
      </c>
      <c r="G253" s="9" t="n">
        <v>0</v>
      </c>
    </row>
    <row r="254">
      <c r="A254" s="8" t="inlineStr">
        <is>
          <t>Balance sheet (detail)</t>
        </is>
      </c>
      <c r="B254" s="8" t="inlineStr">
        <is>
          <t>E9</t>
        </is>
      </c>
      <c r="C254" s="8" t="inlineStr">
        <is>
          <t>3. Pledges and grants receivable, net</t>
        </is>
      </c>
      <c r="D254" s="8" t="inlineStr">
        <is>
          <t>3E</t>
        </is>
      </c>
      <c r="E254" s="8" t="inlineStr">
        <is>
          <t>part_x_balance_sheet.pledges_grants_receivable_eoy</t>
        </is>
      </c>
      <c r="F254" s="8" t="inlineStr">
        <is>
          <t>high</t>
        </is>
      </c>
      <c r="G254" s="9" t="n">
        <v>0</v>
      </c>
    </row>
    <row r="255">
      <c r="A255" s="8" t="inlineStr">
        <is>
          <t>Balance sheet (detail)</t>
        </is>
      </c>
      <c r="B255" s="8" t="inlineStr">
        <is>
          <t>F9</t>
        </is>
      </c>
      <c r="C255" s="8" t="inlineStr">
        <is>
          <t>3. Pledges and grants receivable, net</t>
        </is>
      </c>
      <c r="D255" s="8" t="inlineStr">
        <is>
          <t>3E</t>
        </is>
      </c>
      <c r="E255" s="8" t="inlineStr">
        <is>
          <t>part_x_balance_sheet.pledges_grants_receivable_eoy</t>
        </is>
      </c>
      <c r="F255" s="8" t="inlineStr">
        <is>
          <t>high</t>
        </is>
      </c>
      <c r="G255" s="9" t="n">
        <v>0</v>
      </c>
    </row>
    <row r="256">
      <c r="A256" s="8" t="inlineStr">
        <is>
          <t>Balance sheet (detail)</t>
        </is>
      </c>
      <c r="B256" s="8" t="inlineStr">
        <is>
          <t>G9</t>
        </is>
      </c>
      <c r="C256" s="8" t="inlineStr">
        <is>
          <t>3. Pledges and grants receivable, net</t>
        </is>
      </c>
      <c r="D256" s="8" t="inlineStr">
        <is>
          <t>3E</t>
        </is>
      </c>
      <c r="E256" s="8" t="inlineStr">
        <is>
          <t>part_x_balance_sheet.pledges_grants_receivable_eoy</t>
        </is>
      </c>
      <c r="F256" s="8" t="inlineStr">
        <is>
          <t>high</t>
        </is>
      </c>
      <c r="G256" s="9" t="n">
        <v>0</v>
      </c>
    </row>
    <row r="257">
      <c r="A257" s="8" t="inlineStr">
        <is>
          <t>Balance sheet (detail)</t>
        </is>
      </c>
      <c r="B257" s="8" t="inlineStr">
        <is>
          <t>B10</t>
        </is>
      </c>
      <c r="C257" s="8" t="inlineStr">
        <is>
          <t>4. Accounts receivable, net</t>
        </is>
      </c>
      <c r="D257" s="8" t="inlineStr">
        <is>
          <t>4E</t>
        </is>
      </c>
      <c r="E257" s="8" t="inlineStr">
        <is>
          <t>part_x_balance_sheet.accounts_receivable_eoy</t>
        </is>
      </c>
      <c r="F257" s="8" t="inlineStr">
        <is>
          <t>high</t>
        </is>
      </c>
      <c r="G257" s="9" t="n">
        <v>20963</v>
      </c>
    </row>
    <row r="258">
      <c r="A258" s="8" t="inlineStr">
        <is>
          <t>Balance sheet (detail)</t>
        </is>
      </c>
      <c r="B258" s="8" t="inlineStr">
        <is>
          <t>C10</t>
        </is>
      </c>
      <c r="C258" s="8" t="inlineStr">
        <is>
          <t>4. Accounts receivable, net</t>
        </is>
      </c>
      <c r="D258" s="8" t="inlineStr">
        <is>
          <t>4E</t>
        </is>
      </c>
      <c r="E258" s="8" t="inlineStr">
        <is>
          <t>part_x_balance_sheet.accounts_receivable_eoy</t>
        </is>
      </c>
      <c r="F258" s="8" t="inlineStr">
        <is>
          <t>high</t>
        </is>
      </c>
      <c r="G258" s="9" t="n">
        <v>25851</v>
      </c>
    </row>
    <row r="259">
      <c r="A259" s="8" t="inlineStr">
        <is>
          <t>Balance sheet (detail)</t>
        </is>
      </c>
      <c r="B259" s="8" t="inlineStr">
        <is>
          <t>D10</t>
        </is>
      </c>
      <c r="C259" s="8" t="inlineStr">
        <is>
          <t>4. Accounts receivable, net</t>
        </is>
      </c>
      <c r="D259" s="8" t="inlineStr">
        <is>
          <t>4E</t>
        </is>
      </c>
      <c r="E259" s="8" t="inlineStr">
        <is>
          <t>part_x_balance_sheet.accounts_receivable_eoy</t>
        </is>
      </c>
      <c r="F259" s="8" t="inlineStr">
        <is>
          <t>high</t>
        </is>
      </c>
      <c r="G259" s="9" t="n">
        <v>27386</v>
      </c>
    </row>
    <row r="260">
      <c r="A260" s="8" t="inlineStr">
        <is>
          <t>Balance sheet (detail)</t>
        </is>
      </c>
      <c r="B260" s="8" t="inlineStr">
        <is>
          <t>E10</t>
        </is>
      </c>
      <c r="C260" s="8" t="inlineStr">
        <is>
          <t>4. Accounts receivable, net</t>
        </is>
      </c>
      <c r="D260" s="8" t="inlineStr">
        <is>
          <t>4E</t>
        </is>
      </c>
      <c r="E260" s="8" t="inlineStr">
        <is>
          <t>part_x_balance_sheet.accounts_receivable_eoy</t>
        </is>
      </c>
      <c r="F260" s="8" t="inlineStr">
        <is>
          <t>high</t>
        </is>
      </c>
      <c r="G260" s="9" t="n">
        <v>30917</v>
      </c>
    </row>
    <row r="261">
      <c r="A261" s="8" t="inlineStr">
        <is>
          <t>Balance sheet (detail)</t>
        </is>
      </c>
      <c r="B261" s="8" t="inlineStr">
        <is>
          <t>F10</t>
        </is>
      </c>
      <c r="C261" s="8" t="inlineStr">
        <is>
          <t>4. Accounts receivable, net</t>
        </is>
      </c>
      <c r="D261" s="8" t="inlineStr">
        <is>
          <t>4E</t>
        </is>
      </c>
      <c r="E261" s="8" t="inlineStr">
        <is>
          <t>part_x_balance_sheet.accounts_receivable_eoy</t>
        </is>
      </c>
      <c r="F261" s="8" t="inlineStr">
        <is>
          <t>high</t>
        </is>
      </c>
      <c r="G261" s="9" t="n">
        <v>31719</v>
      </c>
    </row>
    <row r="262">
      <c r="A262" s="8" t="inlineStr">
        <is>
          <t>Balance sheet (detail)</t>
        </is>
      </c>
      <c r="B262" s="8" t="inlineStr">
        <is>
          <t>G10</t>
        </is>
      </c>
      <c r="C262" s="8" t="inlineStr">
        <is>
          <t>4. Accounts receivable, net</t>
        </is>
      </c>
      <c r="D262" s="8" t="inlineStr">
        <is>
          <t>4E</t>
        </is>
      </c>
      <c r="E262" s="8" t="inlineStr">
        <is>
          <t>part_x_balance_sheet.accounts_receivable_eoy</t>
        </is>
      </c>
      <c r="F262" s="8" t="inlineStr">
        <is>
          <t>high</t>
        </is>
      </c>
      <c r="G262" s="9" t="n">
        <v>35674</v>
      </c>
    </row>
    <row r="263">
      <c r="A263" s="8" t="inlineStr">
        <is>
          <t>Balance sheet (detail)</t>
        </is>
      </c>
      <c r="B263" s="8" t="inlineStr">
        <is>
          <t>B11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C11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D11</t>
        </is>
      </c>
      <c r="C265" s="8" t="inlineStr">
        <is>
          <t>5. Receivables from officers/directors/trustees</t>
        </is>
      </c>
      <c r="D265" s="8" t="inlineStr">
        <is>
          <t>5E</t>
        </is>
      </c>
      <c r="E265" s="8" t="inlineStr">
        <is>
          <t>part_x_balance_sheet.receivables_officers_eoy</t>
        </is>
      </c>
      <c r="F265" s="8" t="inlineStr">
        <is>
          <t>high</t>
        </is>
      </c>
      <c r="G265" s="9" t="n">
        <v>0</v>
      </c>
    </row>
    <row r="266">
      <c r="A266" s="8" t="inlineStr">
        <is>
          <t>Balance sheet (detail)</t>
        </is>
      </c>
      <c r="B266" s="8" t="inlineStr">
        <is>
          <t>E11</t>
        </is>
      </c>
      <c r="C266" s="8" t="inlineStr">
        <is>
          <t>5. Receivables from officers/directors/trustees</t>
        </is>
      </c>
      <c r="D266" s="8" t="inlineStr">
        <is>
          <t>5E</t>
        </is>
      </c>
      <c r="E266" s="8" t="inlineStr">
        <is>
          <t>part_x_balance_sheet.receivables_officers_eoy</t>
        </is>
      </c>
      <c r="F266" s="8" t="inlineStr">
        <is>
          <t>high</t>
        </is>
      </c>
      <c r="G266" s="9" t="n">
        <v>0</v>
      </c>
    </row>
    <row r="267">
      <c r="A267" s="8" t="inlineStr">
        <is>
          <t>Balance sheet (detail)</t>
        </is>
      </c>
      <c r="B267" s="8" t="inlineStr">
        <is>
          <t>F11</t>
        </is>
      </c>
      <c r="C267" s="8" t="inlineStr">
        <is>
          <t>5. Receivables from officers/directors/trustees</t>
        </is>
      </c>
      <c r="D267" s="8" t="inlineStr">
        <is>
          <t>5E</t>
        </is>
      </c>
      <c r="E267" s="8" t="inlineStr">
        <is>
          <t>part_x_balance_sheet.receivables_officers_eoy</t>
        </is>
      </c>
      <c r="F267" s="8" t="inlineStr">
        <is>
          <t>high</t>
        </is>
      </c>
      <c r="G267" s="9" t="n">
        <v>0</v>
      </c>
    </row>
    <row r="268">
      <c r="A268" s="8" t="inlineStr">
        <is>
          <t>Balance sheet (detail)</t>
        </is>
      </c>
      <c r="B268" s="8" t="inlineStr">
        <is>
          <t>G11</t>
        </is>
      </c>
      <c r="C268" s="8" t="inlineStr">
        <is>
          <t>5. Receivables from officers/directors/trustees</t>
        </is>
      </c>
      <c r="D268" s="8" t="inlineStr">
        <is>
          <t>5E</t>
        </is>
      </c>
      <c r="E268" s="8" t="inlineStr">
        <is>
          <t>part_x_balance_sheet.receivables_officers_eoy</t>
        </is>
      </c>
      <c r="F268" s="8" t="inlineStr">
        <is>
          <t>high</t>
        </is>
      </c>
      <c r="G268" s="9" t="n">
        <v>0</v>
      </c>
    </row>
    <row r="269">
      <c r="A269" s="8" t="inlineStr">
        <is>
          <t>Balance sheet (detail)</t>
        </is>
      </c>
      <c r="B269" s="8" t="inlineStr">
        <is>
          <t>B12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C12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D12</t>
        </is>
      </c>
      <c r="C271" s="8" t="inlineStr">
        <is>
          <t>6. Receivables from disqualified persons</t>
        </is>
      </c>
      <c r="D271" s="8" t="inlineStr">
        <is>
          <t>6E</t>
        </is>
      </c>
      <c r="E271" s="8" t="inlineStr">
        <is>
          <t>part_x_balance_sheet.receivables_disqualified_eoy</t>
        </is>
      </c>
      <c r="F271" s="8" t="inlineStr">
        <is>
          <t>high</t>
        </is>
      </c>
      <c r="G271" s="9" t="n">
        <v>0</v>
      </c>
    </row>
    <row r="272">
      <c r="A272" s="8" t="inlineStr">
        <is>
          <t>Balance sheet (detail)</t>
        </is>
      </c>
      <c r="B272" s="8" t="inlineStr">
        <is>
          <t>E12</t>
        </is>
      </c>
      <c r="C272" s="8" t="inlineStr">
        <is>
          <t>6. Receivables from disqualified persons</t>
        </is>
      </c>
      <c r="D272" s="8" t="inlineStr">
        <is>
          <t>6E</t>
        </is>
      </c>
      <c r="E272" s="8" t="inlineStr">
        <is>
          <t>part_x_balance_sheet.receivables_disqualified_eoy</t>
        </is>
      </c>
      <c r="F272" s="8" t="inlineStr">
        <is>
          <t>high</t>
        </is>
      </c>
      <c r="G272" s="9" t="n">
        <v>0</v>
      </c>
    </row>
    <row r="273">
      <c r="A273" s="8" t="inlineStr">
        <is>
          <t>Balance sheet (detail)</t>
        </is>
      </c>
      <c r="B273" s="8" t="inlineStr">
        <is>
          <t>F12</t>
        </is>
      </c>
      <c r="C273" s="8" t="inlineStr">
        <is>
          <t>6. Receivables from disqualified persons</t>
        </is>
      </c>
      <c r="D273" s="8" t="inlineStr">
        <is>
          <t>6E</t>
        </is>
      </c>
      <c r="E273" s="8" t="inlineStr">
        <is>
          <t>part_x_balance_sheet.receivables_disqualified_eoy</t>
        </is>
      </c>
      <c r="F273" s="8" t="inlineStr">
        <is>
          <t>high</t>
        </is>
      </c>
      <c r="G273" s="9" t="n">
        <v>0</v>
      </c>
    </row>
    <row r="274">
      <c r="A274" s="8" t="inlineStr">
        <is>
          <t>Balance sheet (detail)</t>
        </is>
      </c>
      <c r="B274" s="8" t="inlineStr">
        <is>
          <t>G12</t>
        </is>
      </c>
      <c r="C274" s="8" t="inlineStr">
        <is>
          <t>6. Receivables from disqualified persons</t>
        </is>
      </c>
      <c r="D274" s="8" t="inlineStr">
        <is>
          <t>6E</t>
        </is>
      </c>
      <c r="E274" s="8" t="inlineStr">
        <is>
          <t>part_x_balance_sheet.receivables_disqualified_eoy</t>
        </is>
      </c>
      <c r="F274" s="8" t="inlineStr">
        <is>
          <t>high</t>
        </is>
      </c>
      <c r="G274" s="9" t="n">
        <v>0</v>
      </c>
    </row>
    <row r="275">
      <c r="A275" s="8" t="inlineStr">
        <is>
          <t>Balance sheet (detail)</t>
        </is>
      </c>
      <c r="B275" s="8" t="inlineStr">
        <is>
          <t>B13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C13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D13</t>
        </is>
      </c>
      <c r="C277" s="8" t="inlineStr">
        <is>
          <t>7. Notes and loans receivable, net</t>
        </is>
      </c>
      <c r="D277" s="8" t="inlineStr">
        <is>
          <t>7E</t>
        </is>
      </c>
      <c r="E277" s="8" t="inlineStr">
        <is>
          <t>part_x_balance_sheet.notes_loans_receivable_eoy</t>
        </is>
      </c>
      <c r="F277" s="8" t="inlineStr">
        <is>
          <t>high</t>
        </is>
      </c>
      <c r="G277" s="9" t="n">
        <v>0</v>
      </c>
    </row>
    <row r="278">
      <c r="A278" s="8" t="inlineStr">
        <is>
          <t>Balance sheet (detail)</t>
        </is>
      </c>
      <c r="B278" s="8" t="inlineStr">
        <is>
          <t>E13</t>
        </is>
      </c>
      <c r="C278" s="8" t="inlineStr">
        <is>
          <t>7. Notes and loans receivable, net</t>
        </is>
      </c>
      <c r="D278" s="8" t="inlineStr">
        <is>
          <t>7E</t>
        </is>
      </c>
      <c r="E278" s="8" t="inlineStr">
        <is>
          <t>part_x_balance_sheet.notes_loans_receivable_eoy</t>
        </is>
      </c>
      <c r="F278" s="8" t="inlineStr">
        <is>
          <t>high</t>
        </is>
      </c>
      <c r="G278" s="9" t="n">
        <v>0</v>
      </c>
    </row>
    <row r="279">
      <c r="A279" s="8" t="inlineStr">
        <is>
          <t>Balance sheet (detail)</t>
        </is>
      </c>
      <c r="B279" s="8" t="inlineStr">
        <is>
          <t>F13</t>
        </is>
      </c>
      <c r="C279" s="8" t="inlineStr">
        <is>
          <t>7. Notes and loans receivable, net</t>
        </is>
      </c>
      <c r="D279" s="8" t="inlineStr">
        <is>
          <t>7E</t>
        </is>
      </c>
      <c r="E279" s="8" t="inlineStr">
        <is>
          <t>part_x_balance_sheet.notes_loans_receivable_eoy</t>
        </is>
      </c>
      <c r="F279" s="8" t="inlineStr">
        <is>
          <t>high</t>
        </is>
      </c>
      <c r="G279" s="9" t="n">
        <v>0</v>
      </c>
    </row>
    <row r="280">
      <c r="A280" s="8" t="inlineStr">
        <is>
          <t>Balance sheet (detail)</t>
        </is>
      </c>
      <c r="B280" s="8" t="inlineStr">
        <is>
          <t>G13</t>
        </is>
      </c>
      <c r="C280" s="8" t="inlineStr">
        <is>
          <t>7. Notes and loans receivable, net</t>
        </is>
      </c>
      <c r="D280" s="8" t="inlineStr">
        <is>
          <t>7E</t>
        </is>
      </c>
      <c r="E280" s="8" t="inlineStr">
        <is>
          <t>part_x_balance_sheet.notes_loans_receivable_eoy</t>
        </is>
      </c>
      <c r="F280" s="8" t="inlineStr">
        <is>
          <t>high</t>
        </is>
      </c>
      <c r="G280" s="9" t="n">
        <v>0</v>
      </c>
    </row>
    <row r="281">
      <c r="A281" s="8" t="inlineStr">
        <is>
          <t>Balance sheet (detail)</t>
        </is>
      </c>
      <c r="B281" s="8" t="inlineStr">
        <is>
          <t>B14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C14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D14</t>
        </is>
      </c>
      <c r="C283" s="8" t="inlineStr">
        <is>
          <t>8. Inventories for sale or use</t>
        </is>
      </c>
      <c r="D283" s="8" t="inlineStr">
        <is>
          <t>8E</t>
        </is>
      </c>
      <c r="E283" s="8" t="inlineStr">
        <is>
          <t>part_x_balance_sheet.inventories_eoy</t>
        </is>
      </c>
      <c r="F283" s="8" t="inlineStr">
        <is>
          <t>high</t>
        </is>
      </c>
      <c r="G283" s="9" t="n">
        <v>0</v>
      </c>
    </row>
    <row r="284">
      <c r="A284" s="8" t="inlineStr">
        <is>
          <t>Balance sheet (detail)</t>
        </is>
      </c>
      <c r="B284" s="8" t="inlineStr">
        <is>
          <t>E14</t>
        </is>
      </c>
      <c r="C284" s="8" t="inlineStr">
        <is>
          <t>8. Inventories for sale or use</t>
        </is>
      </c>
      <c r="D284" s="8" t="inlineStr">
        <is>
          <t>8E</t>
        </is>
      </c>
      <c r="E284" s="8" t="inlineStr">
        <is>
          <t>part_x_balance_sheet.inventories_eoy</t>
        </is>
      </c>
      <c r="F284" s="8" t="inlineStr">
        <is>
          <t>high</t>
        </is>
      </c>
      <c r="G284" s="9" t="n">
        <v>0</v>
      </c>
    </row>
    <row r="285">
      <c r="A285" s="8" t="inlineStr">
        <is>
          <t>Balance sheet (detail)</t>
        </is>
      </c>
      <c r="B285" s="8" t="inlineStr">
        <is>
          <t>F14</t>
        </is>
      </c>
      <c r="C285" s="8" t="inlineStr">
        <is>
          <t>8. Inventories for sale or use</t>
        </is>
      </c>
      <c r="D285" s="8" t="inlineStr">
        <is>
          <t>8E</t>
        </is>
      </c>
      <c r="E285" s="8" t="inlineStr">
        <is>
          <t>part_x_balance_sheet.inventories_eoy</t>
        </is>
      </c>
      <c r="F285" s="8" t="inlineStr">
        <is>
          <t>high</t>
        </is>
      </c>
      <c r="G285" s="9" t="n">
        <v>0</v>
      </c>
    </row>
    <row r="286">
      <c r="A286" s="8" t="inlineStr">
        <is>
          <t>Balance sheet (detail)</t>
        </is>
      </c>
      <c r="B286" s="8" t="inlineStr">
        <is>
          <t>G14</t>
        </is>
      </c>
      <c r="C286" s="8" t="inlineStr">
        <is>
          <t>8. Inventories for sale or use</t>
        </is>
      </c>
      <c r="D286" s="8" t="inlineStr">
        <is>
          <t>8E</t>
        </is>
      </c>
      <c r="E286" s="8" t="inlineStr">
        <is>
          <t>part_x_balance_sheet.inventories_eoy</t>
        </is>
      </c>
      <c r="F286" s="8" t="inlineStr">
        <is>
          <t>high</t>
        </is>
      </c>
      <c r="G286" s="9" t="n">
        <v>0</v>
      </c>
    </row>
    <row r="287">
      <c r="A287" s="8" t="inlineStr">
        <is>
          <t>Balance sheet (detail)</t>
        </is>
      </c>
      <c r="B287" s="8" t="inlineStr">
        <is>
          <t>B15</t>
        </is>
      </c>
      <c r="C287" s="8" t="inlineStr">
        <is>
          <t>9. Prepaid expenses and deferred charges</t>
        </is>
      </c>
      <c r="D287" s="8" t="inlineStr">
        <is>
          <t>9E</t>
        </is>
      </c>
      <c r="E287" s="8" t="inlineStr">
        <is>
          <t>part_x_balance_sheet.prepaid_expenses_eoy</t>
        </is>
      </c>
      <c r="F287" s="8" t="inlineStr">
        <is>
          <t>high</t>
        </is>
      </c>
      <c r="G287" s="9" t="n">
        <v>412</v>
      </c>
    </row>
    <row r="288">
      <c r="A288" s="8" t="inlineStr">
        <is>
          <t>Balance sheet (detail)</t>
        </is>
      </c>
      <c r="B288" s="8" t="inlineStr">
        <is>
          <t>C15</t>
        </is>
      </c>
      <c r="C288" s="8" t="inlineStr">
        <is>
          <t>9. Prepaid expenses and deferred charges</t>
        </is>
      </c>
      <c r="D288" s="8" t="inlineStr">
        <is>
          <t>9E</t>
        </is>
      </c>
      <c r="E288" s="8" t="inlineStr">
        <is>
          <t>part_x_balance_sheet.prepaid_expenses_eoy</t>
        </is>
      </c>
      <c r="F288" s="8" t="inlineStr">
        <is>
          <t>high</t>
        </is>
      </c>
      <c r="G288" s="9" t="n">
        <v>418</v>
      </c>
    </row>
    <row r="289">
      <c r="A289" s="8" t="inlineStr">
        <is>
          <t>Balance sheet (detail)</t>
        </is>
      </c>
      <c r="B289" s="8" t="inlineStr">
        <is>
          <t>D15</t>
        </is>
      </c>
      <c r="C289" s="8" t="inlineStr">
        <is>
          <t>9. Prepaid expenses and deferred charges</t>
        </is>
      </c>
      <c r="D289" s="8" t="inlineStr">
        <is>
          <t>9E</t>
        </is>
      </c>
      <c r="E289" s="8" t="inlineStr">
        <is>
          <t>part_x_balance_sheet.prepaid_expenses_eoy</t>
        </is>
      </c>
      <c r="F289" s="8" t="inlineStr">
        <is>
          <t>high</t>
        </is>
      </c>
      <c r="G289" s="9" t="n">
        <v>455</v>
      </c>
    </row>
    <row r="290">
      <c r="A290" s="8" t="inlineStr">
        <is>
          <t>Balance sheet (detail)</t>
        </is>
      </c>
      <c r="B290" s="8" t="inlineStr">
        <is>
          <t>E15</t>
        </is>
      </c>
      <c r="C290" s="8" t="inlineStr">
        <is>
          <t>9. Prepaid expenses and deferred charges</t>
        </is>
      </c>
      <c r="D290" s="8" t="inlineStr">
        <is>
          <t>9E</t>
        </is>
      </c>
      <c r="E290" s="8" t="inlineStr">
        <is>
          <t>part_x_balance_sheet.prepaid_expenses_eoy</t>
        </is>
      </c>
      <c r="F290" s="8" t="inlineStr">
        <is>
          <t>high</t>
        </is>
      </c>
      <c r="G290" s="9" t="n">
        <v>490</v>
      </c>
    </row>
    <row r="291">
      <c r="A291" s="8" t="inlineStr">
        <is>
          <t>Balance sheet (detail)</t>
        </is>
      </c>
      <c r="B291" s="8" t="inlineStr">
        <is>
          <t>F15</t>
        </is>
      </c>
      <c r="C291" s="8" t="inlineStr">
        <is>
          <t>9. Prepaid expenses and deferred charges</t>
        </is>
      </c>
      <c r="D291" s="8" t="inlineStr">
        <is>
          <t>9E</t>
        </is>
      </c>
      <c r="E291" s="8" t="inlineStr">
        <is>
          <t>part_x_balance_sheet.prepaid_expenses_eoy</t>
        </is>
      </c>
      <c r="F291" s="8" t="inlineStr">
        <is>
          <t>high</t>
        </is>
      </c>
      <c r="G291" s="9" t="n">
        <v>527</v>
      </c>
    </row>
    <row r="292">
      <c r="A292" s="8" t="inlineStr">
        <is>
          <t>Balance sheet (detail)</t>
        </is>
      </c>
      <c r="B292" s="8" t="inlineStr">
        <is>
          <t>G15</t>
        </is>
      </c>
      <c r="C292" s="8" t="inlineStr">
        <is>
          <t>9. Prepaid expenses and deferred charges</t>
        </is>
      </c>
      <c r="D292" s="8" t="inlineStr">
        <is>
          <t>9E</t>
        </is>
      </c>
      <c r="E292" s="8" t="inlineStr">
        <is>
          <t>part_x_balance_sheet.prepaid_expenses_eoy</t>
        </is>
      </c>
      <c r="F292" s="8" t="inlineStr">
        <is>
          <t>high</t>
        </is>
      </c>
      <c r="G292" s="9" t="n">
        <v>2802</v>
      </c>
    </row>
    <row r="293">
      <c r="A293" s="8" t="inlineStr">
        <is>
          <t>Balance sheet (detail)</t>
        </is>
      </c>
      <c r="B293" s="8" t="inlineStr">
        <is>
          <t>B16</t>
        </is>
      </c>
      <c r="C293" s="8" t="inlineStr">
        <is>
          <t>10c. Land, buildings, and equipment, net</t>
        </is>
      </c>
      <c r="D293" s="8" t="inlineStr">
        <is>
          <t>10cE</t>
        </is>
      </c>
      <c r="E293" s="8" t="inlineStr">
        <is>
          <t>part_x_balance_sheet.land_bldg_equip_net_eoy</t>
        </is>
      </c>
      <c r="F293" s="8" t="inlineStr">
        <is>
          <t>high</t>
        </is>
      </c>
      <c r="G293" s="9" t="n">
        <v>433741</v>
      </c>
    </row>
    <row r="294">
      <c r="A294" s="8" t="inlineStr">
        <is>
          <t>Balance sheet (detail)</t>
        </is>
      </c>
      <c r="B294" s="8" t="inlineStr">
        <is>
          <t>C16</t>
        </is>
      </c>
      <c r="C294" s="8" t="inlineStr">
        <is>
          <t>10c. Land, buildings, and equipment, net</t>
        </is>
      </c>
      <c r="D294" s="8" t="inlineStr">
        <is>
          <t>10cE</t>
        </is>
      </c>
      <c r="E294" s="8" t="inlineStr">
        <is>
          <t>part_x_balance_sheet.land_bldg_equip_net_eoy</t>
        </is>
      </c>
      <c r="F294" s="8" t="inlineStr">
        <is>
          <t>high</t>
        </is>
      </c>
      <c r="G294" s="9" t="n">
        <v>410356</v>
      </c>
    </row>
    <row r="295">
      <c r="A295" s="8" t="inlineStr">
        <is>
          <t>Balance sheet (detail)</t>
        </is>
      </c>
      <c r="B295" s="8" t="inlineStr">
        <is>
          <t>D16</t>
        </is>
      </c>
      <c r="C295" s="8" t="inlineStr">
        <is>
          <t>10c. Land, buildings, and equipment, net</t>
        </is>
      </c>
      <c r="D295" s="8" t="inlineStr">
        <is>
          <t>10cE</t>
        </is>
      </c>
      <c r="E295" s="8" t="inlineStr">
        <is>
          <t>part_x_balance_sheet.land_bldg_equip_net_eoy</t>
        </is>
      </c>
      <c r="F295" s="8" t="inlineStr">
        <is>
          <t>high</t>
        </is>
      </c>
      <c r="G295" s="9" t="n">
        <v>418029</v>
      </c>
    </row>
    <row r="296">
      <c r="A296" s="8" t="inlineStr">
        <is>
          <t>Balance sheet (detail)</t>
        </is>
      </c>
      <c r="B296" s="8" t="inlineStr">
        <is>
          <t>E16</t>
        </is>
      </c>
      <c r="C296" s="8" t="inlineStr">
        <is>
          <t>10c. Land, buildings, and equipment, net</t>
        </is>
      </c>
      <c r="D296" s="8" t="inlineStr">
        <is>
          <t>10cE</t>
        </is>
      </c>
      <c r="E296" s="8" t="inlineStr">
        <is>
          <t>part_x_balance_sheet.land_bldg_equip_net_eoy</t>
        </is>
      </c>
      <c r="F296" s="8" t="inlineStr">
        <is>
          <t>high</t>
        </is>
      </c>
      <c r="G296" s="9" t="n">
        <v>556462</v>
      </c>
    </row>
    <row r="297">
      <c r="A297" s="8" t="inlineStr">
        <is>
          <t>Balance sheet (detail)</t>
        </is>
      </c>
      <c r="B297" s="8" t="inlineStr">
        <is>
          <t>F16</t>
        </is>
      </c>
      <c r="C297" s="8" t="inlineStr">
        <is>
          <t>10c. Land, buildings, and equipment, net</t>
        </is>
      </c>
      <c r="D297" s="8" t="inlineStr">
        <is>
          <t>10cE</t>
        </is>
      </c>
      <c r="E297" s="8" t="inlineStr">
        <is>
          <t>part_x_balance_sheet.land_bldg_equip_net_eoy</t>
        </is>
      </c>
      <c r="F297" s="8" t="inlineStr">
        <is>
          <t>high</t>
        </is>
      </c>
      <c r="G297" s="9" t="n">
        <v>526408</v>
      </c>
    </row>
    <row r="298">
      <c r="A298" s="8" t="inlineStr">
        <is>
          <t>Balance sheet (detail)</t>
        </is>
      </c>
      <c r="B298" s="8" t="inlineStr">
        <is>
          <t>G16</t>
        </is>
      </c>
      <c r="C298" s="8" t="inlineStr">
        <is>
          <t>10c. Land, buildings, and equipment, net</t>
        </is>
      </c>
      <c r="D298" s="8" t="inlineStr">
        <is>
          <t>10cE</t>
        </is>
      </c>
      <c r="E298" s="8" t="inlineStr">
        <is>
          <t>part_x_balance_sheet.land_bldg_equip_net_eoy</t>
        </is>
      </c>
      <c r="F298" s="8" t="inlineStr">
        <is>
          <t>high</t>
        </is>
      </c>
      <c r="G298" s="9" t="n">
        <v>560453</v>
      </c>
    </row>
    <row r="299">
      <c r="A299" s="8" t="inlineStr">
        <is>
          <t>Balance sheet (detail)</t>
        </is>
      </c>
      <c r="B299" s="8" t="inlineStr">
        <is>
          <t>B17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C17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D17</t>
        </is>
      </c>
      <c r="C301" s="8" t="inlineStr">
        <is>
          <t>11. Investments - publicly traded securities</t>
        </is>
      </c>
      <c r="D301" s="8" t="inlineStr">
        <is>
          <t>11E</t>
        </is>
      </c>
      <c r="E301" s="8" t="inlineStr">
        <is>
          <t>part_x_balance_sheet.investments_public_securities_eoy</t>
        </is>
      </c>
      <c r="F301" s="8" t="inlineStr">
        <is>
          <t>high</t>
        </is>
      </c>
      <c r="G301" s="9" t="n">
        <v>0</v>
      </c>
    </row>
    <row r="302">
      <c r="A302" s="8" t="inlineStr">
        <is>
          <t>Balance sheet (detail)</t>
        </is>
      </c>
      <c r="B302" s="8" t="inlineStr">
        <is>
          <t>E17</t>
        </is>
      </c>
      <c r="C302" s="8" t="inlineStr">
        <is>
          <t>11. Investments - publicly traded securities</t>
        </is>
      </c>
      <c r="D302" s="8" t="inlineStr">
        <is>
          <t>11E</t>
        </is>
      </c>
      <c r="E302" s="8" t="inlineStr">
        <is>
          <t>part_x_balance_sheet.investments_public_securities_eoy</t>
        </is>
      </c>
      <c r="F302" s="8" t="inlineStr">
        <is>
          <t>high</t>
        </is>
      </c>
      <c r="G302" s="9" t="n">
        <v>0</v>
      </c>
    </row>
    <row r="303">
      <c r="A303" s="8" t="inlineStr">
        <is>
          <t>Balance sheet (detail)</t>
        </is>
      </c>
      <c r="B303" s="8" t="inlineStr">
        <is>
          <t>F17</t>
        </is>
      </c>
      <c r="C303" s="8" t="inlineStr">
        <is>
          <t>11. Investments - publicly traded securities</t>
        </is>
      </c>
      <c r="D303" s="8" t="inlineStr">
        <is>
          <t>11E</t>
        </is>
      </c>
      <c r="E303" s="8" t="inlineStr">
        <is>
          <t>part_x_balance_sheet.investments_public_securities_eoy</t>
        </is>
      </c>
      <c r="F303" s="8" t="inlineStr">
        <is>
          <t>high</t>
        </is>
      </c>
      <c r="G303" s="9" t="n">
        <v>0</v>
      </c>
    </row>
    <row r="304">
      <c r="A304" s="8" t="inlineStr">
        <is>
          <t>Balance sheet (detail)</t>
        </is>
      </c>
      <c r="B304" s="8" t="inlineStr">
        <is>
          <t>G17</t>
        </is>
      </c>
      <c r="C304" s="8" t="inlineStr">
        <is>
          <t>11. Investments - publicly traded securities</t>
        </is>
      </c>
      <c r="D304" s="8" t="inlineStr">
        <is>
          <t>11E</t>
        </is>
      </c>
      <c r="E304" s="8" t="inlineStr">
        <is>
          <t>part_x_balance_sheet.investments_public_securities_eoy</t>
        </is>
      </c>
      <c r="F304" s="8" t="inlineStr">
        <is>
          <t>high</t>
        </is>
      </c>
      <c r="G304" s="9" t="n">
        <v>0</v>
      </c>
    </row>
    <row r="305">
      <c r="A305" s="8" t="inlineStr">
        <is>
          <t>Balance sheet (detail)</t>
        </is>
      </c>
      <c r="B305" s="8" t="inlineStr">
        <is>
          <t>B18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C18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D18</t>
        </is>
      </c>
      <c r="C307" s="8" t="inlineStr">
        <is>
          <t>12. Investments - other securities</t>
        </is>
      </c>
      <c r="D307" s="8" t="inlineStr">
        <is>
          <t>12E</t>
        </is>
      </c>
      <c r="E307" s="8" t="inlineStr">
        <is>
          <t>part_x_balance_sheet.investments_other_securities_eoy</t>
        </is>
      </c>
      <c r="F307" s="8" t="inlineStr">
        <is>
          <t>high</t>
        </is>
      </c>
      <c r="G307" s="9" t="n">
        <v>0</v>
      </c>
    </row>
    <row r="308">
      <c r="A308" s="8" t="inlineStr">
        <is>
          <t>Balance sheet (detail)</t>
        </is>
      </c>
      <c r="B308" s="8" t="inlineStr">
        <is>
          <t>E18</t>
        </is>
      </c>
      <c r="C308" s="8" t="inlineStr">
        <is>
          <t>12. Investments - other securities</t>
        </is>
      </c>
      <c r="D308" s="8" t="inlineStr">
        <is>
          <t>12E</t>
        </is>
      </c>
      <c r="E308" s="8" t="inlineStr">
        <is>
          <t>part_x_balance_sheet.investments_other_securities_eoy</t>
        </is>
      </c>
      <c r="F308" s="8" t="inlineStr">
        <is>
          <t>high</t>
        </is>
      </c>
      <c r="G308" s="9" t="n">
        <v>0</v>
      </c>
    </row>
    <row r="309">
      <c r="A309" s="8" t="inlineStr">
        <is>
          <t>Balance sheet (detail)</t>
        </is>
      </c>
      <c r="B309" s="8" t="inlineStr">
        <is>
          <t>F18</t>
        </is>
      </c>
      <c r="C309" s="8" t="inlineStr">
        <is>
          <t>12. Investments - other securities</t>
        </is>
      </c>
      <c r="D309" s="8" t="inlineStr">
        <is>
          <t>12E</t>
        </is>
      </c>
      <c r="E309" s="8" t="inlineStr">
        <is>
          <t>part_x_balance_sheet.investments_other_securities_eoy</t>
        </is>
      </c>
      <c r="F309" s="8" t="inlineStr">
        <is>
          <t>high</t>
        </is>
      </c>
      <c r="G309" s="9" t="n">
        <v>0</v>
      </c>
    </row>
    <row r="310">
      <c r="A310" s="8" t="inlineStr">
        <is>
          <t>Balance sheet (detail)</t>
        </is>
      </c>
      <c r="B310" s="8" t="inlineStr">
        <is>
          <t>G18</t>
        </is>
      </c>
      <c r="C310" s="8" t="inlineStr">
        <is>
          <t>12. Investments - other securities</t>
        </is>
      </c>
      <c r="D310" s="8" t="inlineStr">
        <is>
          <t>12E</t>
        </is>
      </c>
      <c r="E310" s="8" t="inlineStr">
        <is>
          <t>part_x_balance_sheet.investments_other_securities_eoy</t>
        </is>
      </c>
      <c r="F310" s="8" t="inlineStr">
        <is>
          <t>high</t>
        </is>
      </c>
      <c r="G310" s="9" t="n">
        <v>0</v>
      </c>
    </row>
    <row r="311">
      <c r="A311" s="8" t="inlineStr">
        <is>
          <t>Balance sheet (detail)</t>
        </is>
      </c>
      <c r="B311" s="8" t="inlineStr">
        <is>
          <t>B19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C19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D19</t>
        </is>
      </c>
      <c r="C313" s="8" t="inlineStr">
        <is>
          <t>13. Investments - program-related</t>
        </is>
      </c>
      <c r="D313" s="8" t="inlineStr">
        <is>
          <t>13E</t>
        </is>
      </c>
      <c r="E313" s="8" t="inlineStr">
        <is>
          <t>part_x_balance_sheet.investments_program_related_eoy</t>
        </is>
      </c>
      <c r="F313" s="8" t="inlineStr">
        <is>
          <t>high</t>
        </is>
      </c>
      <c r="G313" s="9" t="n">
        <v>0</v>
      </c>
    </row>
    <row r="314">
      <c r="A314" s="8" t="inlineStr">
        <is>
          <t>Balance sheet (detail)</t>
        </is>
      </c>
      <c r="B314" s="8" t="inlineStr">
        <is>
          <t>E19</t>
        </is>
      </c>
      <c r="C314" s="8" t="inlineStr">
        <is>
          <t>13. Investments - program-related</t>
        </is>
      </c>
      <c r="D314" s="8" t="inlineStr">
        <is>
          <t>13E</t>
        </is>
      </c>
      <c r="E314" s="8" t="inlineStr">
        <is>
          <t>part_x_balance_sheet.investments_program_related_eoy</t>
        </is>
      </c>
      <c r="F314" s="8" t="inlineStr">
        <is>
          <t>high</t>
        </is>
      </c>
      <c r="G314" s="9" t="n">
        <v>0</v>
      </c>
    </row>
    <row r="315">
      <c r="A315" s="8" t="inlineStr">
        <is>
          <t>Balance sheet (detail)</t>
        </is>
      </c>
      <c r="B315" s="8" t="inlineStr">
        <is>
          <t>F19</t>
        </is>
      </c>
      <c r="C315" s="8" t="inlineStr">
        <is>
          <t>13. Investments - program-related</t>
        </is>
      </c>
      <c r="D315" s="8" t="inlineStr">
        <is>
          <t>13E</t>
        </is>
      </c>
      <c r="E315" s="8" t="inlineStr">
        <is>
          <t>part_x_balance_sheet.investments_program_related_eoy</t>
        </is>
      </c>
      <c r="F315" s="8" t="inlineStr">
        <is>
          <t>high</t>
        </is>
      </c>
      <c r="G315" s="9" t="n">
        <v>0</v>
      </c>
    </row>
    <row r="316">
      <c r="A316" s="8" t="inlineStr">
        <is>
          <t>Balance sheet (detail)</t>
        </is>
      </c>
      <c r="B316" s="8" t="inlineStr">
        <is>
          <t>G19</t>
        </is>
      </c>
      <c r="C316" s="8" t="inlineStr">
        <is>
          <t>13. Investments - program-related</t>
        </is>
      </c>
      <c r="D316" s="8" t="inlineStr">
        <is>
          <t>13E</t>
        </is>
      </c>
      <c r="E316" s="8" t="inlineStr">
        <is>
          <t>part_x_balance_sheet.investments_program_related_eoy</t>
        </is>
      </c>
      <c r="F316" s="8" t="inlineStr">
        <is>
          <t>high</t>
        </is>
      </c>
      <c r="G316" s="9" t="n">
        <v>0</v>
      </c>
    </row>
    <row r="317">
      <c r="A317" s="8" t="inlineStr">
        <is>
          <t>Balance sheet (detail)</t>
        </is>
      </c>
      <c r="B317" s="8" t="inlineStr">
        <is>
          <t>B20</t>
        </is>
      </c>
      <c r="C317" s="8" t="inlineStr">
        <is>
          <t>14. Intangible assets</t>
        </is>
      </c>
      <c r="D317" s="8" t="inlineStr">
        <is>
          <t>14E</t>
        </is>
      </c>
      <c r="E317" s="8" t="inlineStr">
        <is>
          <t>part_x_balance_sheet.intangible_assets_eoy</t>
        </is>
      </c>
      <c r="F317" s="8" t="inlineStr">
        <is>
          <t>high</t>
        </is>
      </c>
      <c r="G317" s="9" t="n">
        <v>0</v>
      </c>
    </row>
    <row r="318">
      <c r="A318" s="8" t="inlineStr">
        <is>
          <t>Balance sheet (detail)</t>
        </is>
      </c>
      <c r="B318" s="8" t="inlineStr">
        <is>
          <t>C20</t>
        </is>
      </c>
      <c r="C318" s="8" t="inlineStr">
        <is>
          <t>14. Intangible assets</t>
        </is>
      </c>
      <c r="D318" s="8" t="inlineStr">
        <is>
          <t>14E</t>
        </is>
      </c>
      <c r="E318" s="8" t="inlineStr">
        <is>
          <t>part_x_balance_sheet.intangible_assets_eoy</t>
        </is>
      </c>
      <c r="F318" s="8" t="inlineStr">
        <is>
          <t>high</t>
        </is>
      </c>
      <c r="G318" s="9" t="n">
        <v>0</v>
      </c>
    </row>
    <row r="319">
      <c r="A319" s="8" t="inlineStr">
        <is>
          <t>Balance sheet (detail)</t>
        </is>
      </c>
      <c r="B319" s="8" t="inlineStr">
        <is>
          <t>D20</t>
        </is>
      </c>
      <c r="C319" s="8" t="inlineStr">
        <is>
          <t>14. Intangible assets</t>
        </is>
      </c>
      <c r="D319" s="8" t="inlineStr">
        <is>
          <t>14E</t>
        </is>
      </c>
      <c r="E319" s="8" t="inlineStr">
        <is>
          <t>part_x_balance_sheet.intangible_assets_eoy</t>
        </is>
      </c>
      <c r="F319" s="8" t="inlineStr">
        <is>
          <t>high</t>
        </is>
      </c>
      <c r="G319" s="9" t="n">
        <v>0</v>
      </c>
    </row>
    <row r="320">
      <c r="A320" s="8" t="inlineStr">
        <is>
          <t>Balance sheet (detail)</t>
        </is>
      </c>
      <c r="B320" s="8" t="inlineStr">
        <is>
          <t>E20</t>
        </is>
      </c>
      <c r="C320" s="8" t="inlineStr">
        <is>
          <t>14. Intangible assets</t>
        </is>
      </c>
      <c r="D320" s="8" t="inlineStr">
        <is>
          <t>14E</t>
        </is>
      </c>
      <c r="E320" s="8" t="inlineStr">
        <is>
          <t>part_x_balance_sheet.intangible_assets_eoy</t>
        </is>
      </c>
      <c r="F320" s="8" t="inlineStr">
        <is>
          <t>high</t>
        </is>
      </c>
      <c r="G320" s="9" t="n">
        <v>0</v>
      </c>
    </row>
    <row r="321">
      <c r="A321" s="8" t="inlineStr">
        <is>
          <t>Balance sheet (detail)</t>
        </is>
      </c>
      <c r="B321" s="8" t="inlineStr">
        <is>
          <t>F20</t>
        </is>
      </c>
      <c r="C321" s="8" t="inlineStr">
        <is>
          <t>14. Intangible assets</t>
        </is>
      </c>
      <c r="D321" s="8" t="inlineStr">
        <is>
          <t>14E</t>
        </is>
      </c>
      <c r="E321" s="8" t="inlineStr">
        <is>
          <t>part_x_balance_sheet.intangible_assets_eoy</t>
        </is>
      </c>
      <c r="F321" s="8" t="inlineStr">
        <is>
          <t>high</t>
        </is>
      </c>
      <c r="G321" s="9" t="n">
        <v>0</v>
      </c>
    </row>
    <row r="322">
      <c r="A322" s="8" t="inlineStr">
        <is>
          <t>Balance sheet (detail)</t>
        </is>
      </c>
      <c r="B322" s="8" t="inlineStr">
        <is>
          <t>G20</t>
        </is>
      </c>
      <c r="C322" s="8" t="inlineStr">
        <is>
          <t>14. Intangible assets</t>
        </is>
      </c>
      <c r="D322" s="8" t="inlineStr">
        <is>
          <t>14E</t>
        </is>
      </c>
      <c r="E322" s="8" t="inlineStr">
        <is>
          <t>part_x_balance_sheet.intangible_assets_eoy</t>
        </is>
      </c>
      <c r="F322" s="8" t="inlineStr">
        <is>
          <t>high</t>
        </is>
      </c>
      <c r="G322" s="9" t="n">
        <v>0</v>
      </c>
    </row>
    <row r="323">
      <c r="A323" s="8" t="inlineStr">
        <is>
          <t>Balance sheet (detail)</t>
        </is>
      </c>
      <c r="B323" s="8" t="inlineStr">
        <is>
          <t>B21</t>
        </is>
      </c>
      <c r="C323" s="8" t="inlineStr">
        <is>
          <t>15. Other assets</t>
        </is>
      </c>
      <c r="D323" s="8" t="inlineStr">
        <is>
          <t>15E</t>
        </is>
      </c>
      <c r="E323" s="8" t="inlineStr">
        <is>
          <t>part_x_balance_sheet.other_assets_eoy</t>
        </is>
      </c>
      <c r="F323" s="8" t="inlineStr">
        <is>
          <t>high</t>
        </is>
      </c>
      <c r="G323" s="9" t="n">
        <v>0</v>
      </c>
    </row>
    <row r="324">
      <c r="A324" s="8" t="inlineStr">
        <is>
          <t>Balance sheet (detail)</t>
        </is>
      </c>
      <c r="B324" s="8" t="inlineStr">
        <is>
          <t>C21</t>
        </is>
      </c>
      <c r="C324" s="8" t="inlineStr">
        <is>
          <t>15. Other assets</t>
        </is>
      </c>
      <c r="D324" s="8" t="inlineStr">
        <is>
          <t>15E</t>
        </is>
      </c>
      <c r="E324" s="8" t="inlineStr">
        <is>
          <t>part_x_balance_sheet.other_assets_eoy</t>
        </is>
      </c>
      <c r="F324" s="8" t="inlineStr">
        <is>
          <t>high</t>
        </is>
      </c>
      <c r="G324" s="9" t="n">
        <v>0</v>
      </c>
    </row>
    <row r="325">
      <c r="A325" s="8" t="inlineStr">
        <is>
          <t>Balance sheet (detail)</t>
        </is>
      </c>
      <c r="B325" s="8" t="inlineStr">
        <is>
          <t>D21</t>
        </is>
      </c>
      <c r="C325" s="8" t="inlineStr">
        <is>
          <t>15. Other assets</t>
        </is>
      </c>
      <c r="D325" s="8" t="inlineStr">
        <is>
          <t>15E</t>
        </is>
      </c>
      <c r="E325" s="8" t="inlineStr">
        <is>
          <t>part_x_balance_sheet.other_assets_eoy</t>
        </is>
      </c>
      <c r="F325" s="8" t="inlineStr">
        <is>
          <t>high</t>
        </is>
      </c>
      <c r="G325" s="9" t="n">
        <v>0</v>
      </c>
    </row>
    <row r="326">
      <c r="A326" s="8" t="inlineStr">
        <is>
          <t>Balance sheet (detail)</t>
        </is>
      </c>
      <c r="B326" s="8" t="inlineStr">
        <is>
          <t>E21</t>
        </is>
      </c>
      <c r="C326" s="8" t="inlineStr">
        <is>
          <t>15. Other assets</t>
        </is>
      </c>
      <c r="D326" s="8" t="inlineStr">
        <is>
          <t>15E</t>
        </is>
      </c>
      <c r="E326" s="8" t="inlineStr">
        <is>
          <t>part_x_balance_sheet.other_assets_eoy</t>
        </is>
      </c>
      <c r="F326" s="8" t="inlineStr">
        <is>
          <t>high</t>
        </is>
      </c>
      <c r="G326" s="9" t="n">
        <v>0</v>
      </c>
    </row>
    <row r="327">
      <c r="A327" s="8" t="inlineStr">
        <is>
          <t>Balance sheet (detail)</t>
        </is>
      </c>
      <c r="B327" s="8" t="inlineStr">
        <is>
          <t>F21</t>
        </is>
      </c>
      <c r="C327" s="8" t="inlineStr">
        <is>
          <t>15. Other assets</t>
        </is>
      </c>
      <c r="D327" s="8" t="inlineStr">
        <is>
          <t>15E</t>
        </is>
      </c>
      <c r="E327" s="8" t="inlineStr">
        <is>
          <t>part_x_balance_sheet.other_assets_eoy</t>
        </is>
      </c>
      <c r="F327" s="8" t="inlineStr">
        <is>
          <t>high</t>
        </is>
      </c>
      <c r="G327" s="9" t="n">
        <v>0</v>
      </c>
    </row>
    <row r="328">
      <c r="A328" s="8" t="inlineStr">
        <is>
          <t>Balance sheet (detail)</t>
        </is>
      </c>
      <c r="B328" s="8" t="inlineStr">
        <is>
          <t>G21</t>
        </is>
      </c>
      <c r="C328" s="8" t="inlineStr">
        <is>
          <t>15. Other assets</t>
        </is>
      </c>
      <c r="D328" s="8" t="inlineStr">
        <is>
          <t>15E</t>
        </is>
      </c>
      <c r="E328" s="8" t="inlineStr">
        <is>
          <t>part_x_balance_sheet.other_assets_eoy</t>
        </is>
      </c>
      <c r="F328" s="8" t="inlineStr">
        <is>
          <t>high</t>
        </is>
      </c>
      <c r="G328" s="9" t="n">
        <v>0</v>
      </c>
    </row>
    <row r="329">
      <c r="A329" s="8" t="inlineStr">
        <is>
          <t>Balance sheet (detail)</t>
        </is>
      </c>
      <c r="B329" s="8" t="inlineStr">
        <is>
          <t>B25</t>
        </is>
      </c>
      <c r="C329" s="8" t="inlineStr">
        <is>
          <t>17. Accounts payable and accrued expenses</t>
        </is>
      </c>
      <c r="D329" s="8" t="inlineStr">
        <is>
          <t>17E</t>
        </is>
      </c>
      <c r="E329" s="8" t="inlineStr">
        <is>
          <t>part_x_balance_sheet.accounts_payable_eoy</t>
        </is>
      </c>
      <c r="F329" s="8" t="inlineStr">
        <is>
          <t>high</t>
        </is>
      </c>
      <c r="G329" s="9" t="n">
        <v>3518</v>
      </c>
    </row>
    <row r="330">
      <c r="A330" s="8" t="inlineStr">
        <is>
          <t>Balance sheet (detail)</t>
        </is>
      </c>
      <c r="B330" s="8" t="inlineStr">
        <is>
          <t>C25</t>
        </is>
      </c>
      <c r="C330" s="8" t="inlineStr">
        <is>
          <t>17. Accounts payable and accrued expenses</t>
        </is>
      </c>
      <c r="D330" s="8" t="inlineStr">
        <is>
          <t>17E</t>
        </is>
      </c>
      <c r="E330" s="8" t="inlineStr">
        <is>
          <t>part_x_balance_sheet.accounts_payable_eoy</t>
        </is>
      </c>
      <c r="F330" s="8" t="inlineStr">
        <is>
          <t>high</t>
        </is>
      </c>
      <c r="G330" s="9" t="n">
        <v>3396</v>
      </c>
    </row>
    <row r="331">
      <c r="A331" s="8" t="inlineStr">
        <is>
          <t>Balance sheet (detail)</t>
        </is>
      </c>
      <c r="B331" s="8" t="inlineStr">
        <is>
          <t>D25</t>
        </is>
      </c>
      <c r="C331" s="8" t="inlineStr">
        <is>
          <t>17. Accounts payable and accrued expenses</t>
        </is>
      </c>
      <c r="D331" s="8" t="inlineStr">
        <is>
          <t>17E</t>
        </is>
      </c>
      <c r="E331" s="8" t="inlineStr">
        <is>
          <t>part_x_balance_sheet.accounts_payable_eoy</t>
        </is>
      </c>
      <c r="F331" s="8" t="inlineStr">
        <is>
          <t>high</t>
        </is>
      </c>
      <c r="G331" s="9" t="n">
        <v>1636</v>
      </c>
    </row>
    <row r="332">
      <c r="A332" s="8" t="inlineStr">
        <is>
          <t>Balance sheet (detail)</t>
        </is>
      </c>
      <c r="B332" s="8" t="inlineStr">
        <is>
          <t>E25</t>
        </is>
      </c>
      <c r="C332" s="8" t="inlineStr">
        <is>
          <t>17. Accounts payable and accrued expenses</t>
        </is>
      </c>
      <c r="D332" s="8" t="inlineStr">
        <is>
          <t>17E</t>
        </is>
      </c>
      <c r="E332" s="8" t="inlineStr">
        <is>
          <t>part_x_balance_sheet.accounts_payable_eoy</t>
        </is>
      </c>
      <c r="F332" s="8" t="inlineStr">
        <is>
          <t>high</t>
        </is>
      </c>
      <c r="G332" s="9" t="n">
        <v>4723</v>
      </c>
    </row>
    <row r="333">
      <c r="A333" s="8" t="inlineStr">
        <is>
          <t>Balance sheet (detail)</t>
        </is>
      </c>
      <c r="B333" s="8" t="inlineStr">
        <is>
          <t>F25</t>
        </is>
      </c>
      <c r="C333" s="8" t="inlineStr">
        <is>
          <t>17. Accounts payable and accrued expenses</t>
        </is>
      </c>
      <c r="D333" s="8" t="inlineStr">
        <is>
          <t>17E</t>
        </is>
      </c>
      <c r="E333" s="8" t="inlineStr">
        <is>
          <t>part_x_balance_sheet.accounts_payable_eoy</t>
        </is>
      </c>
      <c r="F333" s="8" t="inlineStr">
        <is>
          <t>high</t>
        </is>
      </c>
      <c r="G333" s="9" t="n">
        <v>3071</v>
      </c>
    </row>
    <row r="334">
      <c r="A334" s="8" t="inlineStr">
        <is>
          <t>Balance sheet (detail)</t>
        </is>
      </c>
      <c r="B334" s="8" t="inlineStr">
        <is>
          <t>G25</t>
        </is>
      </c>
      <c r="C334" s="8" t="inlineStr">
        <is>
          <t>17. Accounts payable and accrued expenses</t>
        </is>
      </c>
      <c r="D334" s="8" t="inlineStr">
        <is>
          <t>17E</t>
        </is>
      </c>
      <c r="E334" s="8" t="inlineStr">
        <is>
          <t>part_x_balance_sheet.accounts_payable_eoy</t>
        </is>
      </c>
      <c r="F334" s="8" t="inlineStr">
        <is>
          <t>high</t>
        </is>
      </c>
      <c r="G334" s="9" t="n">
        <v>3138</v>
      </c>
    </row>
    <row r="335">
      <c r="A335" s="8" t="inlineStr">
        <is>
          <t>Balance sheet (detail)</t>
        </is>
      </c>
      <c r="B335" s="8" t="inlineStr">
        <is>
          <t>B26</t>
        </is>
      </c>
      <c r="C335" s="8" t="inlineStr">
        <is>
          <t>25. Other liabilities</t>
        </is>
      </c>
      <c r="D335" s="8" t="inlineStr">
        <is>
          <t>25E</t>
        </is>
      </c>
      <c r="E335" s="8" t="inlineStr">
        <is>
          <t>part_x_balance_sheet.other_liabilities_eoy</t>
        </is>
      </c>
      <c r="F335" s="8" t="inlineStr">
        <is>
          <t>high</t>
        </is>
      </c>
      <c r="G335" s="9" t="n">
        <v>1940</v>
      </c>
    </row>
    <row r="336">
      <c r="A336" s="8" t="inlineStr">
        <is>
          <t>Balance sheet (detail)</t>
        </is>
      </c>
      <c r="B336" s="8" t="inlineStr">
        <is>
          <t>C26</t>
        </is>
      </c>
      <c r="C336" s="8" t="inlineStr">
        <is>
          <t>25. Other liabilities</t>
        </is>
      </c>
      <c r="D336" s="8" t="inlineStr">
        <is>
          <t>25E</t>
        </is>
      </c>
      <c r="E336" s="8" t="inlineStr">
        <is>
          <t>part_x_balance_sheet.other_liabilities_eoy</t>
        </is>
      </c>
      <c r="F336" s="8" t="inlineStr">
        <is>
          <t>high</t>
        </is>
      </c>
      <c r="G336" s="9" t="n">
        <v>570</v>
      </c>
    </row>
    <row r="337">
      <c r="A337" s="8" t="inlineStr">
        <is>
          <t>Balance sheet (detail)</t>
        </is>
      </c>
      <c r="B337" s="8" t="inlineStr">
        <is>
          <t>D26</t>
        </is>
      </c>
      <c r="C337" s="8" t="inlineStr">
        <is>
          <t>25. Other liabilities</t>
        </is>
      </c>
      <c r="D337" s="8" t="inlineStr">
        <is>
          <t>25E</t>
        </is>
      </c>
      <c r="E337" s="8" t="inlineStr">
        <is>
          <t>part_x_balance_sheet.other_liabilities_eoy</t>
        </is>
      </c>
      <c r="F337" s="8" t="inlineStr">
        <is>
          <t>high</t>
        </is>
      </c>
      <c r="G337" s="9" t="n">
        <v>135</v>
      </c>
    </row>
    <row r="338">
      <c r="A338" s="8" t="inlineStr">
        <is>
          <t>Balance sheet (detail)</t>
        </is>
      </c>
      <c r="B338" s="8" t="inlineStr">
        <is>
          <t>E26</t>
        </is>
      </c>
      <c r="C338" s="8" t="inlineStr">
        <is>
          <t>25. Other liabilities</t>
        </is>
      </c>
      <c r="D338" s="8" t="inlineStr">
        <is>
          <t>25E</t>
        </is>
      </c>
      <c r="E338" s="8" t="inlineStr">
        <is>
          <t>part_x_balance_sheet.other_liabilities_eoy</t>
        </is>
      </c>
      <c r="F338" s="8" t="inlineStr">
        <is>
          <t>high</t>
        </is>
      </c>
      <c r="G338" s="9" t="n">
        <v>1035</v>
      </c>
    </row>
    <row r="339">
      <c r="A339" s="8" t="inlineStr">
        <is>
          <t>Balance sheet (detail)</t>
        </is>
      </c>
      <c r="B339" s="8" t="inlineStr">
        <is>
          <t>F26</t>
        </is>
      </c>
      <c r="C339" s="8" t="inlineStr">
        <is>
          <t>25. Other liabilities</t>
        </is>
      </c>
      <c r="D339" s="8" t="inlineStr">
        <is>
          <t>25E</t>
        </is>
      </c>
      <c r="E339" s="8" t="inlineStr">
        <is>
          <t>part_x_balance_sheet.other_liabilities_eoy</t>
        </is>
      </c>
      <c r="F339" s="8" t="inlineStr">
        <is>
          <t>high</t>
        </is>
      </c>
      <c r="G339" s="9" t="n">
        <v>650</v>
      </c>
    </row>
    <row r="340">
      <c r="A340" s="8" t="inlineStr">
        <is>
          <t>Balance sheet (detail)</t>
        </is>
      </c>
      <c r="B340" s="8" t="inlineStr">
        <is>
          <t>G26</t>
        </is>
      </c>
      <c r="C340" s="8" t="inlineStr">
        <is>
          <t>25. Other liabilities</t>
        </is>
      </c>
      <c r="D340" s="8" t="inlineStr">
        <is>
          <t>25E</t>
        </is>
      </c>
      <c r="E340" s="8" t="inlineStr">
        <is>
          <t>part_x_balance_sheet.other_liabilities_eoy</t>
        </is>
      </c>
      <c r="F340" s="8" t="inlineStr">
        <is>
          <t>high</t>
        </is>
      </c>
      <c r="G340" s="9" t="n">
        <v>1100</v>
      </c>
    </row>
    <row r="341">
      <c r="A341" s="8" t="inlineStr">
        <is>
          <t>Balance sheet (detail)</t>
        </is>
      </c>
      <c r="B341" s="8" t="inlineStr">
        <is>
          <t>B30</t>
        </is>
      </c>
      <c r="C341" s="8" t="inlineStr">
        <is>
          <t>31. Retained earnings / accumulated funds</t>
        </is>
      </c>
      <c r="D341" s="8" t="inlineStr">
        <is>
          <t>31E</t>
        </is>
      </c>
      <c r="E341" s="8" t="inlineStr">
        <is>
          <t>part_x_balance_sheet.retained_earnings_eoy</t>
        </is>
      </c>
      <c r="F341" s="8" t="inlineStr">
        <is>
          <t>high</t>
        </is>
      </c>
      <c r="G341" s="9" t="n">
        <v>535736</v>
      </c>
    </row>
    <row r="342">
      <c r="A342" s="8" t="inlineStr">
        <is>
          <t>Balance sheet (detail)</t>
        </is>
      </c>
      <c r="B342" s="8" t="inlineStr">
        <is>
          <t>C30</t>
        </is>
      </c>
      <c r="C342" s="8" t="inlineStr">
        <is>
          <t>31. Retained earnings / accumulated funds</t>
        </is>
      </c>
      <c r="D342" s="8" t="inlineStr">
        <is>
          <t>31E</t>
        </is>
      </c>
      <c r="E342" s="8" t="inlineStr">
        <is>
          <t>part_x_balance_sheet.retained_earnings_eoy</t>
        </is>
      </c>
      <c r="F342" s="8" t="inlineStr">
        <is>
          <t>high</t>
        </is>
      </c>
      <c r="G342" s="9" t="n">
        <v>547984</v>
      </c>
    </row>
    <row r="343">
      <c r="A343" s="8" t="inlineStr">
        <is>
          <t>Balance sheet (detail)</t>
        </is>
      </c>
      <c r="B343" s="8" t="inlineStr">
        <is>
          <t>D30</t>
        </is>
      </c>
      <c r="C343" s="8" t="inlineStr">
        <is>
          <t>31. Retained earnings / accumulated funds</t>
        </is>
      </c>
      <c r="D343" s="8" t="inlineStr">
        <is>
          <t>31E</t>
        </is>
      </c>
      <c r="E343" s="8" t="inlineStr">
        <is>
          <t>part_x_balance_sheet.retained_earnings_eoy</t>
        </is>
      </c>
      <c r="F343" s="8" t="inlineStr">
        <is>
          <t>high</t>
        </is>
      </c>
      <c r="G343" s="9" t="n">
        <v>569375</v>
      </c>
    </row>
    <row r="344">
      <c r="A344" s="8" t="inlineStr">
        <is>
          <t>Balance sheet (detail)</t>
        </is>
      </c>
      <c r="B344" s="8" t="inlineStr">
        <is>
          <t>E30</t>
        </is>
      </c>
      <c r="C344" s="8" t="inlineStr">
        <is>
          <t>31. Retained earnings / accumulated funds</t>
        </is>
      </c>
      <c r="D344" s="8" t="inlineStr">
        <is>
          <t>31E</t>
        </is>
      </c>
      <c r="E344" s="8" t="inlineStr">
        <is>
          <t>part_x_balance_sheet.retained_earnings_eoy</t>
        </is>
      </c>
      <c r="F344" s="8" t="inlineStr">
        <is>
          <t>high</t>
        </is>
      </c>
      <c r="G344" s="9" t="n">
        <v>684154</v>
      </c>
    </row>
    <row r="345">
      <c r="A345" s="8" t="inlineStr">
        <is>
          <t>Balance sheet (detail)</t>
        </is>
      </c>
      <c r="B345" s="8" t="inlineStr">
        <is>
          <t>F30</t>
        </is>
      </c>
      <c r="C345" s="8" t="inlineStr">
        <is>
          <t>31. Retained earnings / accumulated funds</t>
        </is>
      </c>
      <c r="D345" s="8" t="inlineStr">
        <is>
          <t>31E</t>
        </is>
      </c>
      <c r="E345" s="8" t="inlineStr">
        <is>
          <t>part_x_balance_sheet.retained_earnings_eoy</t>
        </is>
      </c>
      <c r="F345" s="8" t="inlineStr">
        <is>
          <t>high</t>
        </is>
      </c>
      <c r="G345" s="9" t="n">
        <v>692236</v>
      </c>
    </row>
    <row r="346">
      <c r="A346" s="8" t="inlineStr">
        <is>
          <t>Balance sheet (detail)</t>
        </is>
      </c>
      <c r="B346" s="8" t="inlineStr">
        <is>
          <t>G30</t>
        </is>
      </c>
      <c r="C346" s="8" t="inlineStr">
        <is>
          <t>31. Retained earnings / accumulated funds</t>
        </is>
      </c>
      <c r="D346" s="8" t="inlineStr">
        <is>
          <t>31E</t>
        </is>
      </c>
      <c r="E346" s="8" t="inlineStr">
        <is>
          <t>part_x_balance_sheet.retained_earnings_eoy</t>
        </is>
      </c>
      <c r="F346" s="8" t="inlineStr">
        <is>
          <t>high</t>
        </is>
      </c>
      <c r="G346" s="9" t="n">
        <v>704909</v>
      </c>
    </row>
    <row r="347">
      <c r="A347" s="8" t="inlineStr">
        <is>
          <t>Net-assets reconciliation</t>
        </is>
      </c>
      <c r="B347" s="8" t="inlineStr">
        <is>
          <t>B7</t>
        </is>
      </c>
      <c r="C347" s="8" t="inlineStr">
        <is>
          <t>4. Net assets, beginning of year</t>
        </is>
      </c>
      <c r="D347" s="8" t="inlineStr">
        <is>
          <t>Part XI line 4</t>
        </is>
      </c>
      <c r="E347" s="8" t="inlineStr">
        <is>
          <t>part_xi_reconciliation.net_assets_boy</t>
        </is>
      </c>
      <c r="F347" s="8" t="inlineStr">
        <is>
          <t>high</t>
        </is>
      </c>
      <c r="G347" s="9" t="n">
        <v>514283</v>
      </c>
    </row>
    <row r="348">
      <c r="A348" s="8" t="inlineStr">
        <is>
          <t>Net-assets reconciliation</t>
        </is>
      </c>
      <c r="B348" s="8" t="inlineStr">
        <is>
          <t>C7</t>
        </is>
      </c>
      <c r="C348" s="8" t="inlineStr">
        <is>
          <t>4. Net assets, beginning of year</t>
        </is>
      </c>
      <c r="D348" s="8" t="inlineStr">
        <is>
          <t>Part XI line 4</t>
        </is>
      </c>
      <c r="E348" s="8" t="inlineStr">
        <is>
          <t>part_xi_reconciliation.net_assets_boy</t>
        </is>
      </c>
      <c r="F348" s="8" t="inlineStr">
        <is>
          <t>high</t>
        </is>
      </c>
      <c r="G348" s="9" t="n">
        <v>535736</v>
      </c>
    </row>
    <row r="349">
      <c r="A349" s="8" t="inlineStr">
        <is>
          <t>Net-assets reconciliation</t>
        </is>
      </c>
      <c r="B349" s="8" t="inlineStr">
        <is>
          <t>D7</t>
        </is>
      </c>
      <c r="C349" s="8" t="inlineStr">
        <is>
          <t>4. Net assets, beginning of year</t>
        </is>
      </c>
      <c r="D349" s="8" t="inlineStr">
        <is>
          <t>Part XI line 4</t>
        </is>
      </c>
      <c r="E349" s="8" t="inlineStr">
        <is>
          <t>part_xi_reconciliation.net_assets_boy</t>
        </is>
      </c>
      <c r="F349" s="8" t="inlineStr">
        <is>
          <t>high</t>
        </is>
      </c>
      <c r="G349" s="9" t="n">
        <v>547984</v>
      </c>
    </row>
    <row r="350">
      <c r="A350" s="8" t="inlineStr">
        <is>
          <t>Net-assets reconciliation</t>
        </is>
      </c>
      <c r="B350" s="8" t="inlineStr">
        <is>
          <t>E7</t>
        </is>
      </c>
      <c r="C350" s="8" t="inlineStr">
        <is>
          <t>4. Net assets, beginning of year</t>
        </is>
      </c>
      <c r="D350" s="8" t="inlineStr">
        <is>
          <t>Part XI line 4</t>
        </is>
      </c>
      <c r="E350" s="8" t="inlineStr">
        <is>
          <t>part_xi_reconciliation.net_assets_boy</t>
        </is>
      </c>
      <c r="F350" s="8" t="inlineStr">
        <is>
          <t>high</t>
        </is>
      </c>
      <c r="G350" s="9" t="n">
        <v>569375</v>
      </c>
    </row>
    <row r="351">
      <c r="A351" s="8" t="inlineStr">
        <is>
          <t>Net-assets reconciliation</t>
        </is>
      </c>
      <c r="B351" s="8" t="inlineStr">
        <is>
          <t>F7</t>
        </is>
      </c>
      <c r="C351" s="8" t="inlineStr">
        <is>
          <t>4. Net assets, beginning of year</t>
        </is>
      </c>
      <c r="D351" s="8" t="inlineStr">
        <is>
          <t>Part XI line 4</t>
        </is>
      </c>
      <c r="E351" s="8" t="inlineStr">
        <is>
          <t>part_xi_reconciliation.net_assets_boy</t>
        </is>
      </c>
      <c r="F351" s="8" t="inlineStr">
        <is>
          <t>high</t>
        </is>
      </c>
      <c r="G351" s="9" t="n">
        <v>684154</v>
      </c>
    </row>
    <row r="352">
      <c r="A352" s="8" t="inlineStr">
        <is>
          <t>Net-assets reconciliation</t>
        </is>
      </c>
      <c r="B352" s="8" t="inlineStr">
        <is>
          <t>G7</t>
        </is>
      </c>
      <c r="C352" s="8" t="inlineStr">
        <is>
          <t>4. Net assets, beginning of year</t>
        </is>
      </c>
      <c r="D352" s="8" t="inlineStr">
        <is>
          <t>Part XI line 4</t>
        </is>
      </c>
      <c r="E352" s="8" t="inlineStr">
        <is>
          <t>part_xi_reconciliation.net_assets_boy</t>
        </is>
      </c>
      <c r="F352" s="8" t="inlineStr">
        <is>
          <t>high</t>
        </is>
      </c>
      <c r="G352" s="9" t="n">
        <v>692236</v>
      </c>
    </row>
    <row r="353">
      <c r="A353" s="8" t="inlineStr">
        <is>
          <t>Net-assets reconciliation</t>
        </is>
      </c>
      <c r="B353" s="8" t="inlineStr">
        <is>
          <t>B8</t>
        </is>
      </c>
      <c r="C353" s="8" t="inlineStr">
        <is>
          <t>3. Revenue less expenses</t>
        </is>
      </c>
      <c r="D353" s="8" t="inlineStr">
        <is>
          <t>Part XI line 3</t>
        </is>
      </c>
      <c r="E353" s="8" t="inlineStr">
        <is>
          <t>part_xi_reconciliation.reconciliation_revenue_expenses</t>
        </is>
      </c>
      <c r="F353" s="8" t="inlineStr">
        <is>
          <t>high</t>
        </is>
      </c>
      <c r="G353" s="9" t="n">
        <v>21453</v>
      </c>
    </row>
    <row r="354">
      <c r="A354" s="8" t="inlineStr">
        <is>
          <t>Net-assets reconciliation</t>
        </is>
      </c>
      <c r="B354" s="8" t="inlineStr">
        <is>
          <t>C8</t>
        </is>
      </c>
      <c r="C354" s="8" t="inlineStr">
        <is>
          <t>3. Revenue less expenses</t>
        </is>
      </c>
      <c r="D354" s="8" t="inlineStr">
        <is>
          <t>Part XI line 3</t>
        </is>
      </c>
      <c r="E354" s="8" t="inlineStr">
        <is>
          <t>part_xi_reconciliation.reconciliation_revenue_expenses</t>
        </is>
      </c>
      <c r="F354" s="8" t="inlineStr">
        <is>
          <t>high</t>
        </is>
      </c>
      <c r="G354" s="9" t="n">
        <v>12248</v>
      </c>
    </row>
    <row r="355">
      <c r="A355" s="8" t="inlineStr">
        <is>
          <t>Net-assets reconciliation</t>
        </is>
      </c>
      <c r="B355" s="8" t="inlineStr">
        <is>
          <t>D8</t>
        </is>
      </c>
      <c r="C355" s="8" t="inlineStr">
        <is>
          <t>3. Revenue less expenses</t>
        </is>
      </c>
      <c r="D355" s="8" t="inlineStr">
        <is>
          <t>Part XI line 3</t>
        </is>
      </c>
      <c r="E355" s="8" t="inlineStr">
        <is>
          <t>part_xi_reconciliation.reconciliation_revenue_expenses</t>
        </is>
      </c>
      <c r="F355" s="8" t="inlineStr">
        <is>
          <t>high</t>
        </is>
      </c>
      <c r="G355" s="9" t="n">
        <v>21391</v>
      </c>
    </row>
    <row r="356">
      <c r="A356" s="8" t="inlineStr">
        <is>
          <t>Net-assets reconciliation</t>
        </is>
      </c>
      <c r="B356" s="8" t="inlineStr">
        <is>
          <t>E8</t>
        </is>
      </c>
      <c r="C356" s="8" t="inlineStr">
        <is>
          <t>3. Revenue less expenses</t>
        </is>
      </c>
      <c r="D356" s="8" t="inlineStr">
        <is>
          <t>Part XI line 3</t>
        </is>
      </c>
      <c r="E356" s="8" t="inlineStr">
        <is>
          <t>part_xi_reconciliation.reconciliation_revenue_expenses</t>
        </is>
      </c>
      <c r="F356" s="8" t="inlineStr">
        <is>
          <t>high</t>
        </is>
      </c>
      <c r="G356" s="9" t="n">
        <v>114779</v>
      </c>
    </row>
    <row r="357">
      <c r="A357" s="8" t="inlineStr">
        <is>
          <t>Net-assets reconciliation</t>
        </is>
      </c>
      <c r="B357" s="8" t="inlineStr">
        <is>
          <t>F8</t>
        </is>
      </c>
      <c r="C357" s="8" t="inlineStr">
        <is>
          <t>3. Revenue less expenses</t>
        </is>
      </c>
      <c r="D357" s="8" t="inlineStr">
        <is>
          <t>Part XI line 3</t>
        </is>
      </c>
      <c r="E357" s="8" t="inlineStr">
        <is>
          <t>part_xi_reconciliation.reconciliation_revenue_expenses</t>
        </is>
      </c>
      <c r="F357" s="8" t="inlineStr">
        <is>
          <t>high</t>
        </is>
      </c>
      <c r="G357" s="9" t="n">
        <v>7957</v>
      </c>
    </row>
    <row r="358">
      <c r="A358" s="8" t="inlineStr">
        <is>
          <t>Net-assets reconciliation</t>
        </is>
      </c>
      <c r="B358" s="8" t="inlineStr">
        <is>
          <t>G8</t>
        </is>
      </c>
      <c r="C358" s="8" t="inlineStr">
        <is>
          <t>3. Revenue less expenses</t>
        </is>
      </c>
      <c r="D358" s="8" t="inlineStr">
        <is>
          <t>Part XI line 3</t>
        </is>
      </c>
      <c r="E358" s="8" t="inlineStr">
        <is>
          <t>part_xi_reconciliation.reconciliation_revenue_expenses</t>
        </is>
      </c>
      <c r="F358" s="8" t="inlineStr">
        <is>
          <t>high</t>
        </is>
      </c>
      <c r="G358" s="9" t="n">
        <v>12673</v>
      </c>
    </row>
    <row r="359">
      <c r="A359" s="8" t="inlineStr">
        <is>
          <t>Net-assets reconciliation</t>
        </is>
      </c>
      <c r="B359" s="8" t="inlineStr">
        <is>
          <t>F9</t>
        </is>
      </c>
      <c r="C359" s="8" t="inlineStr">
        <is>
          <t>8. Prior period adjustments</t>
        </is>
      </c>
      <c r="D359" s="8" t="inlineStr">
        <is>
          <t>Part XI line 8</t>
        </is>
      </c>
      <c r="E359" s="8" t="inlineStr">
        <is>
          <t>part_xi_reconciliation.prior_period_adjustments</t>
        </is>
      </c>
      <c r="F359" s="8" t="inlineStr">
        <is>
          <t>high</t>
        </is>
      </c>
      <c r="G359" s="9" t="n">
        <v>125</v>
      </c>
    </row>
    <row r="361">
      <c r="A361" s="29" t="inlineStr">
        <is>
          <t>C. Tie-out checks (filed vs computed; any nonzero variance is flagged red)</t>
        </is>
      </c>
      <c r="B361" s="7" t="n"/>
      <c r="C361" s="7" t="n"/>
      <c r="D361" s="7" t="n"/>
      <c r="E361" s="7" t="n"/>
      <c r="F361" s="7" t="n"/>
      <c r="G361" s="7" t="n"/>
      <c r="H361" s="7" t="n"/>
      <c r="I361" s="7" t="n"/>
      <c r="J361" s="7" t="n"/>
      <c r="K361" s="7" t="n"/>
    </row>
    <row r="362">
      <c r="A362" s="5" t="inlineStr">
        <is>
          <t>Tab</t>
        </is>
      </c>
      <c r="B362" s="5" t="inlineStr">
        <is>
          <t>Check</t>
        </is>
      </c>
      <c r="C362" s="5" t="inlineStr">
        <is>
          <t>Fiscal year</t>
        </is>
      </c>
      <c r="D362" s="5" t="inlineStr">
        <is>
          <t>Filed</t>
        </is>
      </c>
      <c r="E362" s="5" t="inlineStr">
        <is>
          <t>Computed</t>
        </is>
      </c>
      <c r="F362" s="5" t="inlineStr">
        <is>
          <t>Variance (computed - filed)</t>
        </is>
      </c>
    </row>
    <row r="363">
      <c r="A363" s="18" t="inlineStr">
        <is>
          <t>Revenue (detail)</t>
        </is>
      </c>
      <c r="B363" s="18" t="inlineStr">
        <is>
          <t>12. Total revenue</t>
        </is>
      </c>
      <c r="C363" s="18" t="inlineStr">
        <is>
          <t>FY2020</t>
        </is>
      </c>
      <c r="D363" s="9" t="n">
        <v>141084</v>
      </c>
      <c r="E363" s="9">
        <f>'Revenue (detail)'!B13</f>
        <v/>
      </c>
      <c r="F363" s="9">
        <f>E363-D363</f>
        <v/>
      </c>
    </row>
    <row r="364">
      <c r="A364" s="18" t="inlineStr">
        <is>
          <t>Revenue (detail)</t>
        </is>
      </c>
      <c r="B364" s="18" t="inlineStr">
        <is>
          <t>12. Total revenue</t>
        </is>
      </c>
      <c r="C364" s="18" t="inlineStr">
        <is>
          <t>FY2021</t>
        </is>
      </c>
      <c r="D364" s="9" t="n">
        <v>148275</v>
      </c>
      <c r="E364" s="9">
        <f>'Revenue (detail)'!C13</f>
        <v/>
      </c>
      <c r="F364" s="9">
        <f>E364-D364</f>
        <v/>
      </c>
    </row>
    <row r="365">
      <c r="A365" s="18" t="inlineStr">
        <is>
          <t>Revenue (detail)</t>
        </is>
      </c>
      <c r="B365" s="18" t="inlineStr">
        <is>
          <t>12. Total revenue</t>
        </is>
      </c>
      <c r="C365" s="18" t="inlineStr">
        <is>
          <t>FY2022</t>
        </is>
      </c>
      <c r="D365" s="9" t="n">
        <v>153148</v>
      </c>
      <c r="E365" s="9">
        <f>'Revenue (detail)'!D13</f>
        <v/>
      </c>
      <c r="F365" s="9">
        <f>E365-D365</f>
        <v/>
      </c>
    </row>
    <row r="366">
      <c r="A366" s="18" t="inlineStr">
        <is>
          <t>Revenue (detail)</t>
        </is>
      </c>
      <c r="B366" s="18" t="inlineStr">
        <is>
          <t>12. Total revenue</t>
        </is>
      </c>
      <c r="C366" s="18" t="inlineStr">
        <is>
          <t>FY2023</t>
        </is>
      </c>
      <c r="D366" s="9" t="n">
        <v>245671</v>
      </c>
      <c r="E366" s="9">
        <f>'Revenue (detail)'!E13</f>
        <v/>
      </c>
      <c r="F366" s="9">
        <f>E366-D366</f>
        <v/>
      </c>
    </row>
    <row r="367">
      <c r="A367" s="18" t="inlineStr">
        <is>
          <t>Revenue (detail)</t>
        </is>
      </c>
      <c r="B367" s="18" t="inlineStr">
        <is>
          <t>12. Total revenue</t>
        </is>
      </c>
      <c r="C367" s="18" t="inlineStr">
        <is>
          <t>FY2024</t>
        </is>
      </c>
      <c r="D367" s="9" t="n">
        <v>165602</v>
      </c>
      <c r="E367" s="9">
        <f>'Revenue (detail)'!F13</f>
        <v/>
      </c>
      <c r="F367" s="9">
        <f>E367-D367</f>
        <v/>
      </c>
    </row>
    <row r="368">
      <c r="A368" s="18" t="inlineStr">
        <is>
          <t>Revenue (detail)</t>
        </is>
      </c>
      <c r="B368" s="18" t="inlineStr">
        <is>
          <t>12. Total revenue</t>
        </is>
      </c>
      <c r="C368" s="18" t="inlineStr">
        <is>
          <t>FY2025</t>
        </is>
      </c>
      <c r="D368" s="9" t="n">
        <v>165501</v>
      </c>
      <c r="E368" s="9">
        <f>'Revenue (detail)'!G13</f>
        <v/>
      </c>
      <c r="F368" s="9">
        <f>E368-D368</f>
        <v/>
      </c>
    </row>
    <row r="369">
      <c r="A369" s="18" t="inlineStr">
        <is>
          <t>Revenue (detail)</t>
        </is>
      </c>
      <c r="B369" s="18" t="inlineStr">
        <is>
          <t>2g program service revenue = sum of lines 2a-2f (FY2025)</t>
        </is>
      </c>
      <c r="C369" s="18" t="inlineStr">
        <is>
          <t>FY2025</t>
        </is>
      </c>
      <c r="D369" s="9" t="n">
        <v>165430</v>
      </c>
      <c r="E369" s="9">
        <f>SUM('Revenue (detail)'!C17:C17)</f>
        <v/>
      </c>
      <c r="F369" s="9">
        <f>E369-D369</f>
        <v/>
      </c>
    </row>
    <row r="370">
      <c r="A370" s="18" t="inlineStr">
        <is>
          <t>Operating expenses (detail)</t>
        </is>
      </c>
      <c r="B370" s="18" t="inlineStr">
        <is>
          <t>25. Total functional expenses</t>
        </is>
      </c>
      <c r="C370" s="18" t="inlineStr">
        <is>
          <t>FY2020</t>
        </is>
      </c>
      <c r="D370" s="9" t="n">
        <v>119631</v>
      </c>
      <c r="E370" s="9">
        <f>'Operating expenses (detail)'!B41</f>
        <v/>
      </c>
      <c r="F370" s="9">
        <f>E370-D370</f>
        <v/>
      </c>
    </row>
    <row r="371">
      <c r="A371" s="18" t="inlineStr">
        <is>
          <t>Operating expenses (detail)</t>
        </is>
      </c>
      <c r="B371" s="18" t="inlineStr">
        <is>
          <t>25. Total functional expenses</t>
        </is>
      </c>
      <c r="C371" s="18" t="inlineStr">
        <is>
          <t>FY2021</t>
        </is>
      </c>
      <c r="D371" s="9" t="n">
        <v>136027</v>
      </c>
      <c r="E371" s="9">
        <f>'Operating expenses (detail)'!C41</f>
        <v/>
      </c>
      <c r="F371" s="9">
        <f>E371-D371</f>
        <v/>
      </c>
    </row>
    <row r="372">
      <c r="A372" s="18" t="inlineStr">
        <is>
          <t>Operating expenses (detail)</t>
        </is>
      </c>
      <c r="B372" s="18" t="inlineStr">
        <is>
          <t>25. Total functional expenses</t>
        </is>
      </c>
      <c r="C372" s="18" t="inlineStr">
        <is>
          <t>FY2022</t>
        </is>
      </c>
      <c r="D372" s="9" t="n">
        <v>131757</v>
      </c>
      <c r="E372" s="9">
        <f>'Operating expenses (detail)'!D41</f>
        <v/>
      </c>
      <c r="F372" s="9">
        <f>E372-D372</f>
        <v/>
      </c>
    </row>
    <row r="373">
      <c r="A373" s="18" t="inlineStr">
        <is>
          <t>Operating expenses (detail)</t>
        </is>
      </c>
      <c r="B373" s="18" t="inlineStr">
        <is>
          <t>25. Total functional expenses</t>
        </is>
      </c>
      <c r="C373" s="18" t="inlineStr">
        <is>
          <t>FY2023</t>
        </is>
      </c>
      <c r="D373" s="9" t="n">
        <v>130892</v>
      </c>
      <c r="E373" s="9">
        <f>'Operating expenses (detail)'!E41</f>
        <v/>
      </c>
      <c r="F373" s="9">
        <f>E373-D373</f>
        <v/>
      </c>
    </row>
    <row r="374">
      <c r="A374" s="18" t="inlineStr">
        <is>
          <t>Operating expenses (detail)</t>
        </is>
      </c>
      <c r="B374" s="18" t="inlineStr">
        <is>
          <t>25. Total functional expenses</t>
        </is>
      </c>
      <c r="C374" s="18" t="inlineStr">
        <is>
          <t>FY2024</t>
        </is>
      </c>
      <c r="D374" s="9" t="n">
        <v>157645</v>
      </c>
      <c r="E374" s="9">
        <f>'Operating expenses (detail)'!F41</f>
        <v/>
      </c>
      <c r="F374" s="9">
        <f>E374-D374</f>
        <v/>
      </c>
    </row>
    <row r="375">
      <c r="A375" s="18" t="inlineStr">
        <is>
          <t>Operating expenses (detail)</t>
        </is>
      </c>
      <c r="B375" s="18" t="inlineStr">
        <is>
          <t>25. Total functional expenses</t>
        </is>
      </c>
      <c r="C375" s="18" t="inlineStr">
        <is>
          <t>FY2025</t>
        </is>
      </c>
      <c r="D375" s="9" t="n">
        <v>152828</v>
      </c>
      <c r="E375" s="9">
        <f>'Operating expenses (detail)'!G41</f>
        <v/>
      </c>
      <c r="F375" s="9">
        <f>E375-D375</f>
        <v/>
      </c>
    </row>
    <row r="376">
      <c r="A376" s="18" t="inlineStr">
        <is>
          <t>Operating expenses (detail)</t>
        </is>
      </c>
      <c r="B376" s="18" t="inlineStr">
        <is>
          <t>Part IX column split: col A = B + C + D (FY2025)</t>
        </is>
      </c>
      <c r="C376" s="18" t="inlineStr">
        <is>
          <t>FY2025</t>
        </is>
      </c>
      <c r="D376" s="9">
        <f>'Operating expenses (detail)'!B74</f>
        <v/>
      </c>
      <c r="E376" s="9">
        <f>'Operating expenses (detail)'!C74+'Operating expenses (detail)'!D74+'Operating expenses (detail)'!E74</f>
        <v/>
      </c>
      <c r="F376" s="9">
        <f>E376-D376</f>
        <v/>
      </c>
    </row>
    <row r="377">
      <c r="A377" s="18" t="inlineStr">
        <is>
          <t>Balance sheet (detail)</t>
        </is>
      </c>
      <c r="B377" s="18" t="inlineStr">
        <is>
          <t>16. Total assets</t>
        </is>
      </c>
      <c r="C377" s="18" t="inlineStr">
        <is>
          <t>FY2020</t>
        </is>
      </c>
      <c r="D377" s="9" t="n">
        <v>541194</v>
      </c>
      <c r="E377" s="9">
        <f>'Balance sheet (detail)'!B22</f>
        <v/>
      </c>
      <c r="F377" s="9">
        <f>E377-D377</f>
        <v/>
      </c>
    </row>
    <row r="378">
      <c r="A378" s="18" t="inlineStr">
        <is>
          <t>Balance sheet (detail)</t>
        </is>
      </c>
      <c r="B378" s="18" t="inlineStr">
        <is>
          <t>16. Total assets</t>
        </is>
      </c>
      <c r="C378" s="18" t="inlineStr">
        <is>
          <t>FY2021</t>
        </is>
      </c>
      <c r="D378" s="9" t="n">
        <v>551950</v>
      </c>
      <c r="E378" s="9">
        <f>'Balance sheet (detail)'!C22</f>
        <v/>
      </c>
      <c r="F378" s="9">
        <f>E378-D378</f>
        <v/>
      </c>
    </row>
    <row r="379">
      <c r="A379" s="18" t="inlineStr">
        <is>
          <t>Balance sheet (detail)</t>
        </is>
      </c>
      <c r="B379" s="18" t="inlineStr">
        <is>
          <t>16. Total assets</t>
        </is>
      </c>
      <c r="C379" s="18" t="inlineStr">
        <is>
          <t>FY2022</t>
        </is>
      </c>
      <c r="D379" s="9" t="n">
        <v>571146</v>
      </c>
      <c r="E379" s="9">
        <f>'Balance sheet (detail)'!D22</f>
        <v/>
      </c>
      <c r="F379" s="9">
        <f>E379-D379</f>
        <v/>
      </c>
    </row>
    <row r="380">
      <c r="A380" s="18" t="inlineStr">
        <is>
          <t>Balance sheet (detail)</t>
        </is>
      </c>
      <c r="B380" s="18" t="inlineStr">
        <is>
          <t>16. Total assets</t>
        </is>
      </c>
      <c r="C380" s="18" t="inlineStr">
        <is>
          <t>FY2023</t>
        </is>
      </c>
      <c r="D380" s="9" t="n">
        <v>689912</v>
      </c>
      <c r="E380" s="9">
        <f>'Balance sheet (detail)'!E22</f>
        <v/>
      </c>
      <c r="F380" s="9">
        <f>E380-D380</f>
        <v/>
      </c>
    </row>
    <row r="381">
      <c r="A381" s="18" t="inlineStr">
        <is>
          <t>Balance sheet (detail)</t>
        </is>
      </c>
      <c r="B381" s="18" t="inlineStr">
        <is>
          <t>16. Total assets</t>
        </is>
      </c>
      <c r="C381" s="18" t="inlineStr">
        <is>
          <t>FY2024</t>
        </is>
      </c>
      <c r="D381" s="9" t="n">
        <v>695957</v>
      </c>
      <c r="E381" s="9">
        <f>'Balance sheet (detail)'!F22</f>
        <v/>
      </c>
      <c r="F381" s="9">
        <f>E381-D381</f>
        <v/>
      </c>
    </row>
    <row r="382">
      <c r="A382" s="18" t="inlineStr">
        <is>
          <t>Balance sheet (detail)</t>
        </is>
      </c>
      <c r="B382" s="18" t="inlineStr">
        <is>
          <t>16. Total assets</t>
        </is>
      </c>
      <c r="C382" s="18" t="inlineStr">
        <is>
          <t>FY2025</t>
        </is>
      </c>
      <c r="D382" s="9" t="n">
        <v>709147</v>
      </c>
      <c r="E382" s="9">
        <f>'Balance sheet (detail)'!G22</f>
        <v/>
      </c>
      <c r="F382" s="9">
        <f>E382-D382</f>
        <v/>
      </c>
    </row>
    <row r="383">
      <c r="A383" s="18" t="inlineStr">
        <is>
          <t>Balance sheet (detail)</t>
        </is>
      </c>
      <c r="B383" s="18" t="inlineStr">
        <is>
          <t>26. Total liabilities</t>
        </is>
      </c>
      <c r="C383" s="18" t="inlineStr">
        <is>
          <t>FY2020</t>
        </is>
      </c>
      <c r="D383" s="9" t="n">
        <v>5458</v>
      </c>
      <c r="E383" s="9">
        <f>'Balance sheet (detail)'!B27</f>
        <v/>
      </c>
      <c r="F383" s="9">
        <f>E383-D383</f>
        <v/>
      </c>
    </row>
    <row r="384">
      <c r="A384" s="18" t="inlineStr">
        <is>
          <t>Balance sheet (detail)</t>
        </is>
      </c>
      <c r="B384" s="18" t="inlineStr">
        <is>
          <t>26. Total liabilities</t>
        </is>
      </c>
      <c r="C384" s="18" t="inlineStr">
        <is>
          <t>FY2021</t>
        </is>
      </c>
      <c r="D384" s="9" t="n">
        <v>3966</v>
      </c>
      <c r="E384" s="9">
        <f>'Balance sheet (detail)'!C27</f>
        <v/>
      </c>
      <c r="F384" s="9">
        <f>E384-D384</f>
        <v/>
      </c>
    </row>
    <row r="385">
      <c r="A385" s="18" t="inlineStr">
        <is>
          <t>Balance sheet (detail)</t>
        </is>
      </c>
      <c r="B385" s="18" t="inlineStr">
        <is>
          <t>26. Total liabilities</t>
        </is>
      </c>
      <c r="C385" s="18" t="inlineStr">
        <is>
          <t>FY2022</t>
        </is>
      </c>
      <c r="D385" s="9" t="n">
        <v>1771</v>
      </c>
      <c r="E385" s="9">
        <f>'Balance sheet (detail)'!D27</f>
        <v/>
      </c>
      <c r="F385" s="9">
        <f>E385-D385</f>
        <v/>
      </c>
    </row>
    <row r="386">
      <c r="A386" s="18" t="inlineStr">
        <is>
          <t>Balance sheet (detail)</t>
        </is>
      </c>
      <c r="B386" s="18" t="inlineStr">
        <is>
          <t>26. Total liabilities</t>
        </is>
      </c>
      <c r="C386" s="18" t="inlineStr">
        <is>
          <t>FY2023</t>
        </is>
      </c>
      <c r="D386" s="9" t="n">
        <v>5758</v>
      </c>
      <c r="E386" s="9">
        <f>'Balance sheet (detail)'!E27</f>
        <v/>
      </c>
      <c r="F386" s="9">
        <f>E386-D386</f>
        <v/>
      </c>
    </row>
    <row r="387">
      <c r="A387" s="18" t="inlineStr">
        <is>
          <t>Balance sheet (detail)</t>
        </is>
      </c>
      <c r="B387" s="18" t="inlineStr">
        <is>
          <t>26. Total liabilities</t>
        </is>
      </c>
      <c r="C387" s="18" t="inlineStr">
        <is>
          <t>FY2024</t>
        </is>
      </c>
      <c r="D387" s="9" t="n">
        <v>3721</v>
      </c>
      <c r="E387" s="9">
        <f>'Balance sheet (detail)'!F27</f>
        <v/>
      </c>
      <c r="F387" s="9">
        <f>E387-D387</f>
        <v/>
      </c>
    </row>
    <row r="388">
      <c r="A388" s="18" t="inlineStr">
        <is>
          <t>Balance sheet (detail)</t>
        </is>
      </c>
      <c r="B388" s="18" t="inlineStr">
        <is>
          <t>26. Total liabilities</t>
        </is>
      </c>
      <c r="C388" s="18" t="inlineStr">
        <is>
          <t>FY2025</t>
        </is>
      </c>
      <c r="D388" s="9" t="n">
        <v>4238</v>
      </c>
      <c r="E388" s="9">
        <f>'Balance sheet (detail)'!G27</f>
        <v/>
      </c>
      <c r="F388" s="9">
        <f>E388-D388</f>
        <v/>
      </c>
    </row>
    <row r="389">
      <c r="A389" s="18" t="inlineStr">
        <is>
          <t>Balance sheet (detail)</t>
        </is>
      </c>
      <c r="B389" s="18" t="inlineStr">
        <is>
          <t>32. Total net assets / fund balances</t>
        </is>
      </c>
      <c r="C389" s="18" t="inlineStr">
        <is>
          <t>FY2020</t>
        </is>
      </c>
      <c r="D389" s="9" t="n">
        <v>535736</v>
      </c>
      <c r="E389" s="9">
        <f>'Balance sheet (detail)'!B31</f>
        <v/>
      </c>
      <c r="F389" s="9">
        <f>E389-D389</f>
        <v/>
      </c>
    </row>
    <row r="390">
      <c r="A390" s="18" t="inlineStr">
        <is>
          <t>Balance sheet (detail)</t>
        </is>
      </c>
      <c r="B390" s="18" t="inlineStr">
        <is>
          <t>32. Total net assets / fund balances</t>
        </is>
      </c>
      <c r="C390" s="18" t="inlineStr">
        <is>
          <t>FY2021</t>
        </is>
      </c>
      <c r="D390" s="9" t="n">
        <v>547984</v>
      </c>
      <c r="E390" s="9">
        <f>'Balance sheet (detail)'!C31</f>
        <v/>
      </c>
      <c r="F390" s="9">
        <f>E390-D390</f>
        <v/>
      </c>
    </row>
    <row r="391">
      <c r="A391" s="18" t="inlineStr">
        <is>
          <t>Balance sheet (detail)</t>
        </is>
      </c>
      <c r="B391" s="18" t="inlineStr">
        <is>
          <t>32. Total net assets / fund balances</t>
        </is>
      </c>
      <c r="C391" s="18" t="inlineStr">
        <is>
          <t>FY2022</t>
        </is>
      </c>
      <c r="D391" s="9" t="n">
        <v>569375</v>
      </c>
      <c r="E391" s="9">
        <f>'Balance sheet (detail)'!D31</f>
        <v/>
      </c>
      <c r="F391" s="9">
        <f>E391-D391</f>
        <v/>
      </c>
    </row>
    <row r="392">
      <c r="A392" s="18" t="inlineStr">
        <is>
          <t>Balance sheet (detail)</t>
        </is>
      </c>
      <c r="B392" s="18" t="inlineStr">
        <is>
          <t>32. Total net assets / fund balances</t>
        </is>
      </c>
      <c r="C392" s="18" t="inlineStr">
        <is>
          <t>FY2023</t>
        </is>
      </c>
      <c r="D392" s="9" t="n">
        <v>684154</v>
      </c>
      <c r="E392" s="9">
        <f>'Balance sheet (detail)'!E31</f>
        <v/>
      </c>
      <c r="F392" s="9">
        <f>E392-D392</f>
        <v/>
      </c>
    </row>
    <row r="393">
      <c r="A393" s="18" t="inlineStr">
        <is>
          <t>Balance sheet (detail)</t>
        </is>
      </c>
      <c r="B393" s="18" t="inlineStr">
        <is>
          <t>32. Total net assets / fund balances</t>
        </is>
      </c>
      <c r="C393" s="18" t="inlineStr">
        <is>
          <t>FY2024</t>
        </is>
      </c>
      <c r="D393" s="9" t="n">
        <v>692236</v>
      </c>
      <c r="E393" s="9">
        <f>'Balance sheet (detail)'!F31</f>
        <v/>
      </c>
      <c r="F393" s="9">
        <f>E393-D393</f>
        <v/>
      </c>
    </row>
    <row r="394">
      <c r="A394" s="18" t="inlineStr">
        <is>
          <t>Balance sheet (detail)</t>
        </is>
      </c>
      <c r="B394" s="18" t="inlineStr">
        <is>
          <t>32. Total net assets / fund balances</t>
        </is>
      </c>
      <c r="C394" s="18" t="inlineStr">
        <is>
          <t>FY2025</t>
        </is>
      </c>
      <c r="D394" s="9" t="n">
        <v>704909</v>
      </c>
      <c r="E394" s="9">
        <f>'Balance sheet (detail)'!G31</f>
        <v/>
      </c>
      <c r="F394" s="9">
        <f>E394-D394</f>
        <v/>
      </c>
    </row>
    <row r="395">
      <c r="A395" s="18" t="inlineStr">
        <is>
          <t>Balance sheet (detail)</t>
        </is>
      </c>
      <c r="B395" s="18" t="inlineStr">
        <is>
          <t>Balance sheet identity: line 16 = line 26 + line 32 (EOY)</t>
        </is>
      </c>
      <c r="C395" s="18" t="inlineStr">
        <is>
          <t>FY2020</t>
        </is>
      </c>
      <c r="D395" s="9">
        <f>'Balance sheet (detail)'!B22</f>
        <v/>
      </c>
      <c r="E395" s="9">
        <f>SUM('Balance sheet (detail)'!B27,'Balance sheet (detail)'!B31)</f>
        <v/>
      </c>
      <c r="F395" s="9">
        <f>E395-D395</f>
        <v/>
      </c>
    </row>
    <row r="396">
      <c r="A396" s="18" t="inlineStr">
        <is>
          <t>Balance sheet (detail)</t>
        </is>
      </c>
      <c r="B396" s="18" t="inlineStr">
        <is>
          <t>Balance sheet identity: line 16 = line 26 + line 32 (EOY)</t>
        </is>
      </c>
      <c r="C396" s="18" t="inlineStr">
        <is>
          <t>FY2021</t>
        </is>
      </c>
      <c r="D396" s="9">
        <f>'Balance sheet (detail)'!C22</f>
        <v/>
      </c>
      <c r="E396" s="9">
        <f>SUM('Balance sheet (detail)'!C27,'Balance sheet (detail)'!C31)</f>
        <v/>
      </c>
      <c r="F396" s="9">
        <f>E396-D396</f>
        <v/>
      </c>
    </row>
    <row r="397">
      <c r="A397" s="18" t="inlineStr">
        <is>
          <t>Balance sheet (detail)</t>
        </is>
      </c>
      <c r="B397" s="18" t="inlineStr">
        <is>
          <t>Balance sheet identity: line 16 = line 26 + line 32 (EOY)</t>
        </is>
      </c>
      <c r="C397" s="18" t="inlineStr">
        <is>
          <t>FY2022</t>
        </is>
      </c>
      <c r="D397" s="9">
        <f>'Balance sheet (detail)'!D22</f>
        <v/>
      </c>
      <c r="E397" s="9">
        <f>SUM('Balance sheet (detail)'!D27,'Balance sheet (detail)'!D31)</f>
        <v/>
      </c>
      <c r="F397" s="9">
        <f>E397-D397</f>
        <v/>
      </c>
    </row>
    <row r="398">
      <c r="A398" s="18" t="inlineStr">
        <is>
          <t>Balance sheet (detail)</t>
        </is>
      </c>
      <c r="B398" s="18" t="inlineStr">
        <is>
          <t>Balance sheet identity: line 16 = line 26 + line 32 (EOY)</t>
        </is>
      </c>
      <c r="C398" s="18" t="inlineStr">
        <is>
          <t>FY2023</t>
        </is>
      </c>
      <c r="D398" s="9">
        <f>'Balance sheet (detail)'!E22</f>
        <v/>
      </c>
      <c r="E398" s="9">
        <f>SUM('Balance sheet (detail)'!E27,'Balance sheet (detail)'!E31)</f>
        <v/>
      </c>
      <c r="F398" s="9">
        <f>E398-D398</f>
        <v/>
      </c>
    </row>
    <row r="399">
      <c r="A399" s="18" t="inlineStr">
        <is>
          <t>Balance sheet (detail)</t>
        </is>
      </c>
      <c r="B399" s="18" t="inlineStr">
        <is>
          <t>Balance sheet identity: line 16 = line 26 + line 32 (EOY)</t>
        </is>
      </c>
      <c r="C399" s="18" t="inlineStr">
        <is>
          <t>FY2024</t>
        </is>
      </c>
      <c r="D399" s="9">
        <f>'Balance sheet (detail)'!F22</f>
        <v/>
      </c>
      <c r="E399" s="9">
        <f>SUM('Balance sheet (detail)'!F27,'Balance sheet (detail)'!F31)</f>
        <v/>
      </c>
      <c r="F399" s="9">
        <f>E399-D399</f>
        <v/>
      </c>
    </row>
    <row r="400">
      <c r="A400" s="18" t="inlineStr">
        <is>
          <t>Balance sheet (detail)</t>
        </is>
      </c>
      <c r="B400" s="18" t="inlineStr">
        <is>
          <t>Balance sheet identity: line 16 = line 26 + line 32 (EOY)</t>
        </is>
      </c>
      <c r="C400" s="18" t="inlineStr">
        <is>
          <t>FY2025</t>
        </is>
      </c>
      <c r="D400" s="9">
        <f>'Balance sheet (detail)'!G22</f>
        <v/>
      </c>
      <c r="E400" s="9">
        <f>SUM('Balance sheet (detail)'!G27,'Balance sheet (detail)'!G31)</f>
        <v/>
      </c>
      <c r="F400" s="9">
        <f>E400-D400</f>
        <v/>
      </c>
    </row>
    <row r="401">
      <c r="A401" s="18" t="inlineStr">
        <is>
          <t>Net-assets reconciliation</t>
        </is>
      </c>
      <c r="B401" s="18" t="inlineStr">
        <is>
          <t>10. Net assets, end of year</t>
        </is>
      </c>
      <c r="C401" s="18" t="inlineStr">
        <is>
          <t>FY2020</t>
        </is>
      </c>
      <c r="D401" s="9" t="n">
        <v>535736</v>
      </c>
      <c r="E401" s="9">
        <f>'Net-assets reconciliation'!B11</f>
        <v/>
      </c>
      <c r="F401" s="9">
        <f>E401-D401</f>
        <v/>
      </c>
    </row>
    <row r="402">
      <c r="A402" s="18" t="inlineStr">
        <is>
          <t>Net-assets reconciliation</t>
        </is>
      </c>
      <c r="B402" s="18" t="inlineStr">
        <is>
          <t>10. Net assets, end of year</t>
        </is>
      </c>
      <c r="C402" s="18" t="inlineStr">
        <is>
          <t>FY2021</t>
        </is>
      </c>
      <c r="D402" s="9" t="n">
        <v>547984</v>
      </c>
      <c r="E402" s="9">
        <f>'Net-assets reconciliation'!C11</f>
        <v/>
      </c>
      <c r="F402" s="9">
        <f>E402-D402</f>
        <v/>
      </c>
    </row>
    <row r="403">
      <c r="A403" s="18" t="inlineStr">
        <is>
          <t>Net-assets reconciliation</t>
        </is>
      </c>
      <c r="B403" s="18" t="inlineStr">
        <is>
          <t>10. Net assets, end of year</t>
        </is>
      </c>
      <c r="C403" s="18" t="inlineStr">
        <is>
          <t>FY2022</t>
        </is>
      </c>
      <c r="D403" s="9" t="n">
        <v>569375</v>
      </c>
      <c r="E403" s="9">
        <f>'Net-assets reconciliation'!D11</f>
        <v/>
      </c>
      <c r="F403" s="9">
        <f>E403-D403</f>
        <v/>
      </c>
    </row>
    <row r="404">
      <c r="A404" s="18" t="inlineStr">
        <is>
          <t>Net-assets reconciliation</t>
        </is>
      </c>
      <c r="B404" s="18" t="inlineStr">
        <is>
          <t>10. Net assets, end of year</t>
        </is>
      </c>
      <c r="C404" s="18" t="inlineStr">
        <is>
          <t>FY2023</t>
        </is>
      </c>
      <c r="D404" s="9" t="n">
        <v>684154</v>
      </c>
      <c r="E404" s="9">
        <f>'Net-assets reconciliation'!E11</f>
        <v/>
      </c>
      <c r="F404" s="9">
        <f>E404-D404</f>
        <v/>
      </c>
    </row>
    <row r="405">
      <c r="A405" s="18" t="inlineStr">
        <is>
          <t>Net-assets reconciliation</t>
        </is>
      </c>
      <c r="B405" s="18" t="inlineStr">
        <is>
          <t>10. Net assets, end of year</t>
        </is>
      </c>
      <c r="C405" s="18" t="inlineStr">
        <is>
          <t>FY2024</t>
        </is>
      </c>
      <c r="D405" s="9" t="n">
        <v>692236</v>
      </c>
      <c r="E405" s="9">
        <f>'Net-assets reconciliation'!F11</f>
        <v/>
      </c>
      <c r="F405" s="9">
        <f>E405-D405</f>
        <v/>
      </c>
    </row>
    <row r="406">
      <c r="A406" s="18" t="inlineStr">
        <is>
          <t>Net-assets reconciliation</t>
        </is>
      </c>
      <c r="B406" s="18" t="inlineStr">
        <is>
          <t>10. Net assets, end of year</t>
        </is>
      </c>
      <c r="C406" s="18" t="inlineStr">
        <is>
          <t>FY2025</t>
        </is>
      </c>
      <c r="D406" s="9" t="n">
        <v>704909</v>
      </c>
      <c r="E406" s="9">
        <f>'Net-assets reconciliation'!G11</f>
        <v/>
      </c>
      <c r="F406" s="9">
        <f>E406-D406</f>
        <v/>
      </c>
    </row>
    <row r="408">
      <c r="A408" s="29" t="inlineStr">
        <is>
          <t>D. Preparer / auditor trail (one row per fiscal year, as filed)</t>
        </is>
      </c>
      <c r="B408" s="7" t="n"/>
      <c r="C408" s="7" t="n"/>
      <c r="D408" s="7" t="n"/>
      <c r="E408" s="7" t="n"/>
      <c r="F408" s="7" t="n"/>
      <c r="G408" s="7" t="n"/>
      <c r="H408" s="7" t="n"/>
      <c r="I408" s="7" t="n"/>
      <c r="J408" s="7" t="n"/>
      <c r="K408" s="7" t="n"/>
    </row>
    <row r="409">
      <c r="A409" s="5" t="inlineStr">
        <is>
          <t>Fiscal year</t>
        </is>
      </c>
      <c r="B409" s="5" t="inlineStr">
        <is>
          <t>Paid preparer</t>
        </is>
      </c>
      <c r="C409" s="5" t="inlineStr">
        <is>
          <t>Preparer firm</t>
        </is>
      </c>
      <c r="D409" s="5" t="inlineStr">
        <is>
          <t>Independent auditor</t>
        </is>
      </c>
      <c r="E409" s="5" t="inlineStr">
        <is>
          <t>Citation</t>
        </is>
      </c>
    </row>
    <row r="410" ht="42" customHeight="1">
      <c r="A410" s="27" t="inlineStr">
        <is>
          <t>FY2020</t>
        </is>
      </c>
      <c r="B410" s="8" t="inlineStr">
        <is>
          <t>WILLIAM H SERRITSLEV CPA</t>
        </is>
      </c>
      <c r="C410" s="8" t="inlineStr">
        <is>
          <t>Serritslev Norwine &amp; CO CPAs LLP</t>
        </is>
      </c>
      <c r="D410" s="30" t="inlineStr">
        <is>
          <t>not reported</t>
        </is>
      </c>
      <c r="E410" s="21" t="inlineStr">
        <is>
          <t>Form 990 Return Header, Paid Preparer block (return_header.preparer_person_name / preparer_firm_name); auditor: Part XII line 2 reports audited financial statements but does not name the firm.</t>
        </is>
      </c>
    </row>
    <row r="411" ht="42" customHeight="1">
      <c r="A411" s="27" t="inlineStr">
        <is>
          <t>FY2021</t>
        </is>
      </c>
      <c r="B411" s="8" t="inlineStr">
        <is>
          <t>WILLIAM H SERRITSLEV CPA</t>
        </is>
      </c>
      <c r="C411" s="8" t="inlineStr">
        <is>
          <t>Serritslev Norwine &amp; CO CPAs LLP</t>
        </is>
      </c>
      <c r="D411" s="30" t="inlineStr">
        <is>
          <t>not reported</t>
        </is>
      </c>
      <c r="E411" s="21" t="inlineStr">
        <is>
          <t>Form 990 Return Header, Paid Preparer block (return_header.preparer_person_name / preparer_firm_name); auditor: Part XII line 2 reports audited financial statements but does not name the firm.</t>
        </is>
      </c>
    </row>
    <row r="412" ht="42" customHeight="1">
      <c r="A412" s="27" t="inlineStr">
        <is>
          <t>FY2022</t>
        </is>
      </c>
      <c r="B412" s="8" t="inlineStr">
        <is>
          <t>WILLIAM H SERRITSLEV CPA</t>
        </is>
      </c>
      <c r="C412" s="8" t="inlineStr">
        <is>
          <t>Serritslev Norwine &amp; CO CPAs LLP</t>
        </is>
      </c>
      <c r="D412" s="30" t="inlineStr">
        <is>
          <t>not reported</t>
        </is>
      </c>
      <c r="E412" s="21" t="inlineStr">
        <is>
          <t>Form 990 Return Header, Paid Preparer block (return_header.preparer_person_name / preparer_firm_name); auditor: Part XII line 2 reports audited financial statements but does not name the firm.</t>
        </is>
      </c>
    </row>
    <row r="413" ht="42" customHeight="1">
      <c r="A413" s="27" t="inlineStr">
        <is>
          <t>FY2023</t>
        </is>
      </c>
      <c r="B413" s="8" t="inlineStr">
        <is>
          <t>WILLIAM H SERRITSLEV CPA</t>
        </is>
      </c>
      <c r="C413" s="8" t="inlineStr">
        <is>
          <t>Serritslev Norwine &amp; CO CPAs LLP</t>
        </is>
      </c>
      <c r="D413" s="30" t="inlineStr">
        <is>
          <t>not reported</t>
        </is>
      </c>
      <c r="E413" s="21" t="inlineStr">
        <is>
          <t>Form 990 Return Header, Paid Preparer block (return_header.preparer_person_name / preparer_firm_name); auditor: Part XII line 2 reports audited financial statements but does not name the firm.</t>
        </is>
      </c>
    </row>
    <row r="414" ht="42" customHeight="1">
      <c r="A414" s="27" t="inlineStr">
        <is>
          <t>FY2024</t>
        </is>
      </c>
      <c r="B414" s="8" t="inlineStr">
        <is>
          <t>WILLIAM H SERRITSLEV CPA</t>
        </is>
      </c>
      <c r="C414" s="8" t="inlineStr">
        <is>
          <t>Serritslev Norwine &amp; CO CPAs LLP</t>
        </is>
      </c>
      <c r="D414" s="30" t="inlineStr">
        <is>
          <t>not reported</t>
        </is>
      </c>
      <c r="E414" s="21" t="inlineStr">
        <is>
          <t>Form 990 Return Header, Paid Preparer block (return_header.preparer_person_name / preparer_firm_name); auditor: Part XII line 2 reports audited financial statements but does not name the firm.</t>
        </is>
      </c>
    </row>
    <row r="415" ht="42" customHeight="1">
      <c r="A415" s="27" t="inlineStr">
        <is>
          <t>FY2025</t>
        </is>
      </c>
      <c r="B415" s="8" t="inlineStr">
        <is>
          <t>WILLIAM H SERRITSLEV CPA</t>
        </is>
      </c>
      <c r="C415" s="8" t="inlineStr">
        <is>
          <t>Serritslev Norwine &amp; CO CPAs LLP</t>
        </is>
      </c>
      <c r="D415" s="30" t="inlineStr">
        <is>
          <t>not reported</t>
        </is>
      </c>
      <c r="E415" s="21" t="inlineStr">
        <is>
          <t>Form 990 Return Header, Paid Preparer block (return_header.preparer_person_name / preparer_firm_name); auditor: Part XII line 2 reports audited financial statements but does not name the firm.</t>
        </is>
      </c>
    </row>
    <row r="417" ht="42" customHeight="1">
      <c r="A417"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417:K417"/>
    <mergeCell ref="A3:K3"/>
    <mergeCell ref="A2:K2"/>
    <mergeCell ref="A5:K5"/>
    <mergeCell ref="A1:K1"/>
  </mergeCells>
  <conditionalFormatting sqref="F363:F406">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