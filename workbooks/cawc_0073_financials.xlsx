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Anomaly Flags" sheetId="17" state="visible" r:id="rId17"/>
    <sheet name="Sources &amp; audit" sheetId="18" state="visible" r:id="rId18"/>
    <sheet name="Provenance" sheetId="19" state="visible" r:id="rId19"/>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i val="1"/>
      <color rgb="007F4F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10" fillId="6" borderId="1" applyAlignment="1" pivotButton="0" quotePrefix="0" xfId="0">
      <alignment horizontal="left" vertical="top" wrapText="1"/>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Krista Mutual Water Company</t>
        </is>
      </c>
    </row>
    <row r="2">
      <c r="A2" s="2" t="inlineStr">
        <is>
          <t>Financial Summary - multi-year overview (USD)</t>
        </is>
      </c>
    </row>
    <row r="3">
      <c r="A3" s="2" t="inlineStr">
        <is>
          <t>Entity ID: cawc_0073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190589</v>
      </c>
      <c r="C10" s="9" t="n">
        <v>198238</v>
      </c>
      <c r="D10" s="9" t="n">
        <v>169301</v>
      </c>
      <c r="E10" s="9" t="n">
        <v>695730</v>
      </c>
      <c r="F10" s="9" t="n">
        <v>454170</v>
      </c>
    </row>
    <row r="11">
      <c r="A11" s="8" t="inlineStr">
        <is>
          <t xml:space="preserve">    Total expenses</t>
        </is>
      </c>
      <c r="B11" s="9" t="n">
        <v>160639</v>
      </c>
      <c r="C11" s="9" t="n">
        <v>181828</v>
      </c>
      <c r="D11" s="9" t="n">
        <v>179781</v>
      </c>
      <c r="E11" s="9" t="n">
        <v>678947</v>
      </c>
      <c r="F11" s="9" t="n">
        <v>415151</v>
      </c>
    </row>
    <row r="12">
      <c r="A12" s="10" t="inlineStr">
        <is>
          <t xml:space="preserve">    Net income</t>
        </is>
      </c>
      <c r="B12" s="11" t="n">
        <v>29950</v>
      </c>
      <c r="C12" s="11" t="n">
        <v>16410</v>
      </c>
      <c r="D12" s="11" t="n">
        <v>-10480</v>
      </c>
      <c r="E12" s="11" t="n">
        <v>16783</v>
      </c>
      <c r="F12" s="11" t="n">
        <v>39019</v>
      </c>
    </row>
    <row r="14">
      <c r="A14" s="6" t="inlineStr">
        <is>
          <t>Financial position (USD, end of year)</t>
        </is>
      </c>
      <c r="B14" s="7" t="n"/>
      <c r="C14" s="7" t="n"/>
      <c r="D14" s="7" t="n"/>
      <c r="E14" s="7" t="n"/>
      <c r="F14" s="7" t="n"/>
    </row>
    <row r="15">
      <c r="A15" s="8" t="inlineStr">
        <is>
          <t xml:space="preserve">    Total assets</t>
        </is>
      </c>
      <c r="B15" s="9" t="n">
        <v>175895</v>
      </c>
      <c r="C15" s="9" t="n">
        <v>187873</v>
      </c>
      <c r="D15" s="9" t="n">
        <v>224523</v>
      </c>
      <c r="E15" s="9" t="n">
        <v>498438</v>
      </c>
      <c r="F15" s="9" t="n">
        <v>243027</v>
      </c>
    </row>
    <row r="16">
      <c r="A16" s="8" t="inlineStr">
        <is>
          <t xml:space="preserve">    Total liabilities</t>
        </is>
      </c>
      <c r="B16" s="9" t="n">
        <v>11129</v>
      </c>
      <c r="C16" s="9" t="n">
        <v>6697</v>
      </c>
      <c r="D16" s="9" t="n">
        <v>96527</v>
      </c>
      <c r="E16" s="9" t="n">
        <v>301287</v>
      </c>
      <c r="F16" s="9" t="n">
        <v>6857</v>
      </c>
    </row>
    <row r="17">
      <c r="A17" s="10" t="inlineStr">
        <is>
          <t xml:space="preserve">    Net assets</t>
        </is>
      </c>
      <c r="B17" s="11" t="n">
        <v>164766</v>
      </c>
      <c r="C17" s="11" t="n">
        <v>181176</v>
      </c>
      <c r="D17" s="11" t="n">
        <v>127996</v>
      </c>
      <c r="E17" s="11" t="n">
        <v>197151</v>
      </c>
      <c r="F17" s="11" t="n">
        <v>236170</v>
      </c>
    </row>
    <row r="19">
      <c r="A19" s="6" t="inlineStr">
        <is>
          <t>Headline ratios</t>
        </is>
      </c>
      <c r="B19" s="7" t="n"/>
      <c r="C19" s="7" t="n"/>
      <c r="D19" s="7" t="n"/>
      <c r="E19" s="7" t="n"/>
      <c r="F19" s="7" t="n"/>
    </row>
    <row r="20">
      <c r="A20" s="8" t="inlineStr">
        <is>
          <t xml:space="preserve">    Operating margin</t>
        </is>
      </c>
      <c r="B20" s="12" t="n">
        <v>0.1571444312106155</v>
      </c>
      <c r="C20" s="12" t="n">
        <v>0.08277928550530171</v>
      </c>
      <c r="D20" s="12" t="n">
        <v>-0.06190158357009114</v>
      </c>
      <c r="E20" s="12" t="n">
        <v>0.02412286375461745</v>
      </c>
      <c r="F20" s="12" t="n">
        <v>0.08591276394301693</v>
      </c>
    </row>
    <row r="21">
      <c r="A21" s="8" t="inlineStr">
        <is>
          <t xml:space="preserve">    Revenue growth (YoY)</t>
        </is>
      </c>
      <c r="B21" s="12" t="n"/>
      <c r="C21" s="12" t="n"/>
      <c r="D21" s="12" t="n"/>
      <c r="E21" s="12" t="n"/>
      <c r="F21" s="12" t="n">
        <v>-0.3472036565909189</v>
      </c>
    </row>
    <row r="22">
      <c r="A22" s="8" t="inlineStr">
        <is>
          <t xml:space="preserve">    Return on assets</t>
        </is>
      </c>
      <c r="B22" s="12" t="n">
        <v>0.1702720372949771</v>
      </c>
      <c r="C22" s="12" t="n">
        <v>0.08734623921478871</v>
      </c>
      <c r="D22" s="12" t="n">
        <v>-0.04667673245057299</v>
      </c>
      <c r="E22" s="12" t="n">
        <v>0.03367118879379181</v>
      </c>
      <c r="F22" s="12" t="n">
        <v>0.1605541771078934</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Krista Mutual Water Company</t>
        </is>
      </c>
    </row>
    <row r="2">
      <c r="A2" s="2" t="inlineStr">
        <is>
          <t>Financial Statements - income statement, balance sheet, cash flow, member income test (USD)</t>
        </is>
      </c>
    </row>
    <row r="3">
      <c r="A3" s="2" t="inlineStr">
        <is>
          <t>Entity ID: cawc_0073   |   Fiscal year ends December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c r="C8" s="9" t="n"/>
      <c r="D8" s="9" t="n"/>
      <c r="E8" s="9" t="n">
        <v>182500</v>
      </c>
      <c r="F8" s="9" t="n">
        <v>453823</v>
      </c>
    </row>
    <row r="9">
      <c r="A9" s="8" t="inlineStr">
        <is>
          <t xml:space="preserve">    Investment income</t>
        </is>
      </c>
      <c r="B9" s="9" t="n"/>
      <c r="C9" s="9" t="n"/>
      <c r="D9" s="9" t="n"/>
      <c r="E9" s="9" t="n">
        <v>575</v>
      </c>
      <c r="F9" s="9" t="n">
        <v>347</v>
      </c>
    </row>
    <row r="10">
      <c r="A10" s="8" t="inlineStr">
        <is>
          <t xml:space="preserve">    Net rental income</t>
        </is>
      </c>
      <c r="B10" s="9" t="n"/>
      <c r="C10" s="9" t="n"/>
      <c r="D10" s="9" t="n"/>
      <c r="E10" s="9" t="n">
        <v>0</v>
      </c>
      <c r="F10" s="9" t="n"/>
    </row>
    <row r="11">
      <c r="A11" s="8" t="inlineStr">
        <is>
          <t xml:space="preserve">    Net gain/(loss) on investment sales</t>
        </is>
      </c>
      <c r="B11" s="9" t="n"/>
      <c r="C11" s="9" t="n"/>
      <c r="D11" s="9" t="n"/>
      <c r="E11" s="9" t="n">
        <v>0</v>
      </c>
      <c r="F11" s="9" t="n"/>
    </row>
    <row r="12">
      <c r="A12" s="8" t="inlineStr">
        <is>
          <t xml:space="preserve">    Other revenue</t>
        </is>
      </c>
      <c r="B12" s="9" t="n"/>
      <c r="C12" s="9" t="n"/>
      <c r="D12" s="9" t="n"/>
      <c r="E12" s="9" t="n">
        <v>0</v>
      </c>
      <c r="F12" s="9" t="n"/>
    </row>
    <row r="13">
      <c r="A13" s="8" t="inlineStr">
        <is>
          <t xml:space="preserve">    Contributions &amp; grants</t>
        </is>
      </c>
      <c r="B13" s="9" t="n"/>
      <c r="C13" s="9" t="n"/>
      <c r="D13" s="9" t="n"/>
      <c r="E13" s="9" t="n">
        <v>512655</v>
      </c>
      <c r="F13" s="9" t="n"/>
    </row>
    <row r="14">
      <c r="A14" s="10" t="inlineStr">
        <is>
          <t>Total revenue</t>
        </is>
      </c>
      <c r="B14" s="11" t="n"/>
      <c r="C14" s="11" t="n"/>
      <c r="D14" s="11" t="n"/>
      <c r="E14" s="11" t="n">
        <v>695730</v>
      </c>
      <c r="F14" s="11" t="n">
        <v>454170</v>
      </c>
    </row>
    <row r="16">
      <c r="A16" s="6" t="inlineStr">
        <is>
          <t>Expenses</t>
        </is>
      </c>
      <c r="B16" s="7" t="n"/>
      <c r="C16" s="7" t="n"/>
      <c r="D16" s="7" t="n"/>
      <c r="E16" s="7" t="n"/>
      <c r="F16" s="7" t="n"/>
    </row>
    <row r="17">
      <c r="A17" s="8" t="inlineStr">
        <is>
          <t xml:space="preserve">    Depreciation</t>
        </is>
      </c>
      <c r="B17" s="9" t="n"/>
      <c r="C17" s="9" t="n"/>
      <c r="D17" s="9" t="n"/>
      <c r="E17" s="9" t="n">
        <v>1914</v>
      </c>
      <c r="F17" s="9" t="n">
        <v>1903</v>
      </c>
    </row>
    <row r="18">
      <c r="A18" s="8" t="inlineStr">
        <is>
          <t xml:space="preserve">    Interest expense</t>
        </is>
      </c>
      <c r="B18" s="9" t="n"/>
      <c r="C18" s="9" t="n"/>
      <c r="D18" s="9" t="n"/>
      <c r="E18" s="9" t="n">
        <v>0</v>
      </c>
      <c r="F18" s="9" t="n">
        <v>74</v>
      </c>
    </row>
    <row r="19">
      <c r="A19" s="10" t="inlineStr">
        <is>
          <t>Total expenses</t>
        </is>
      </c>
      <c r="B19" s="11" t="n">
        <v>160639</v>
      </c>
      <c r="C19" s="11" t="n">
        <v>181828</v>
      </c>
      <c r="D19" s="11" t="n">
        <v>179781</v>
      </c>
      <c r="E19" s="11" t="n">
        <v>678947</v>
      </c>
      <c r="F19" s="11" t="n">
        <v>415151</v>
      </c>
    </row>
    <row r="21">
      <c r="A21" s="10" t="inlineStr">
        <is>
          <t>Net income</t>
        </is>
      </c>
      <c r="B21" s="11" t="n">
        <v>29950</v>
      </c>
      <c r="C21" s="11" t="n">
        <v>16410</v>
      </c>
      <c r="D21" s="11" t="n">
        <v>-10480</v>
      </c>
      <c r="E21" s="11" t="n">
        <v>16783</v>
      </c>
      <c r="F21" s="11" t="n">
        <v>39019</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123966</v>
      </c>
      <c r="C27" s="9" t="n">
        <v>144892</v>
      </c>
      <c r="D27" s="9" t="n">
        <v>158817</v>
      </c>
      <c r="E27" s="9" t="n">
        <v>169486</v>
      </c>
      <c r="F27" s="9" t="n">
        <v>196526</v>
      </c>
    </row>
    <row r="28">
      <c r="A28" s="8" t="inlineStr">
        <is>
          <t xml:space="preserve">    Savings &amp; temporary investments</t>
        </is>
      </c>
      <c r="B28" s="9" t="n"/>
      <c r="C28" s="9" t="n"/>
      <c r="D28" s="9" t="n"/>
      <c r="E28" s="9" t="n">
        <v>0</v>
      </c>
      <c r="F28" s="9" t="n"/>
    </row>
    <row r="29">
      <c r="A29" s="8" t="inlineStr">
        <is>
          <t xml:space="preserve">    Accounts receivable</t>
        </is>
      </c>
      <c r="B29" s="9" t="n"/>
      <c r="C29" s="9" t="n"/>
      <c r="D29" s="9" t="n"/>
      <c r="E29" s="9" t="n">
        <v>297116</v>
      </c>
      <c r="F29" s="9" t="n">
        <v>22136</v>
      </c>
    </row>
    <row r="30">
      <c r="A30" s="8" t="inlineStr">
        <is>
          <t xml:space="preserve">    Inventories</t>
        </is>
      </c>
      <c r="B30" s="9" t="n"/>
      <c r="C30" s="9" t="n"/>
      <c r="D30" s="9" t="n"/>
      <c r="E30" s="9" t="n">
        <v>0</v>
      </c>
      <c r="F30" s="9" t="n"/>
    </row>
    <row r="31">
      <c r="A31" s="8" t="inlineStr">
        <is>
          <t xml:space="preserve">    Prepaid expenses</t>
        </is>
      </c>
      <c r="B31" s="9" t="n"/>
      <c r="C31" s="9" t="n"/>
      <c r="D31" s="9" t="n"/>
      <c r="E31" s="9" t="n">
        <v>1727</v>
      </c>
      <c r="F31" s="9" t="n">
        <v>735</v>
      </c>
    </row>
    <row r="32">
      <c r="A32" s="8" t="inlineStr">
        <is>
          <t xml:space="preserve">    Property, plant &amp; equipment (gross)</t>
        </is>
      </c>
      <c r="B32" s="9" t="n"/>
      <c r="C32" s="9" t="n"/>
      <c r="D32" s="9" t="n"/>
      <c r="E32" s="9" t="n">
        <v>414658</v>
      </c>
      <c r="F32" s="9" t="n">
        <v>414658</v>
      </c>
    </row>
    <row r="33">
      <c r="A33" s="8" t="inlineStr">
        <is>
          <t xml:space="preserve">    Less: accumulated depreciation</t>
        </is>
      </c>
      <c r="B33" s="9" t="n"/>
      <c r="C33" s="9" t="n"/>
      <c r="D33" s="9" t="n"/>
      <c r="E33" s="9" t="n">
        <v>-389125</v>
      </c>
      <c r="F33" s="9" t="n">
        <v>-391028</v>
      </c>
    </row>
    <row r="34">
      <c r="A34" s="10" t="inlineStr">
        <is>
          <t xml:space="preserve">    Net property, plant &amp; equipment</t>
        </is>
      </c>
      <c r="B34" s="11" t="n"/>
      <c r="C34" s="11" t="n"/>
      <c r="D34" s="11" t="n"/>
      <c r="E34" s="11" t="n">
        <v>25533</v>
      </c>
      <c r="F34" s="11" t="n">
        <v>23630</v>
      </c>
    </row>
    <row r="35">
      <c r="A35" s="10" t="inlineStr">
        <is>
          <t>Total assets</t>
        </is>
      </c>
      <c r="B35" s="11" t="n">
        <v>175895</v>
      </c>
      <c r="C35" s="11" t="n">
        <v>187873</v>
      </c>
      <c r="D35" s="11" t="n">
        <v>224523</v>
      </c>
      <c r="E35" s="11" t="n">
        <v>498438</v>
      </c>
      <c r="F35" s="11" t="n">
        <v>243027</v>
      </c>
    </row>
    <row r="37">
      <c r="A37" s="6" t="inlineStr">
        <is>
          <t>Liabilities</t>
        </is>
      </c>
      <c r="B37" s="7" t="n"/>
      <c r="C37" s="7" t="n"/>
      <c r="D37" s="7" t="n"/>
      <c r="E37" s="7" t="n"/>
      <c r="F37" s="7" t="n"/>
    </row>
    <row r="38">
      <c r="A38" s="8" t="inlineStr">
        <is>
          <t xml:space="preserve">    Accounts payable</t>
        </is>
      </c>
      <c r="B38" s="9" t="n"/>
      <c r="C38" s="9" t="n"/>
      <c r="D38" s="9" t="n"/>
      <c r="E38" s="9" t="n">
        <v>40991</v>
      </c>
      <c r="F38" s="9" t="n"/>
    </row>
    <row r="39">
      <c r="A39" s="8" t="inlineStr">
        <is>
          <t xml:space="preserve">    Mortgages &amp; notes payable</t>
        </is>
      </c>
      <c r="B39" s="9" t="n"/>
      <c r="C39" s="9" t="n"/>
      <c r="D39" s="9" t="n"/>
      <c r="E39" s="9" t="n"/>
      <c r="F39" s="9" t="n"/>
    </row>
    <row r="40">
      <c r="A40" s="10" t="inlineStr">
        <is>
          <t>Total liabilities</t>
        </is>
      </c>
      <c r="B40" s="11" t="n">
        <v>11129</v>
      </c>
      <c r="C40" s="11" t="n">
        <v>6697</v>
      </c>
      <c r="D40" s="11" t="n">
        <v>96527</v>
      </c>
      <c r="E40" s="11" t="n">
        <v>301287</v>
      </c>
      <c r="F40" s="11" t="n">
        <v>6857</v>
      </c>
    </row>
    <row r="42">
      <c r="A42" s="6" t="inlineStr">
        <is>
          <t>Net Assets / Equity</t>
        </is>
      </c>
      <c r="B42" s="7" t="n"/>
      <c r="C42" s="7" t="n"/>
      <c r="D42" s="7" t="n"/>
      <c r="E42" s="7" t="n"/>
      <c r="F42" s="7" t="n"/>
    </row>
    <row r="43">
      <c r="A43" s="8" t="inlineStr">
        <is>
          <t xml:space="preserve">    Capital stock</t>
        </is>
      </c>
      <c r="B43" s="9" t="n"/>
      <c r="C43" s="9" t="n"/>
      <c r="D43" s="9" t="n"/>
      <c r="E43" s="9" t="n">
        <v>107502</v>
      </c>
      <c r="F43" s="9" t="n">
        <v>107502</v>
      </c>
    </row>
    <row r="44">
      <c r="A44" s="8" t="inlineStr">
        <is>
          <t xml:space="preserve">    Paid-in capital</t>
        </is>
      </c>
      <c r="B44" s="9" t="n"/>
      <c r="C44" s="9" t="n"/>
      <c r="D44" s="9" t="n"/>
      <c r="E44" s="9" t="n">
        <v>220469</v>
      </c>
      <c r="F44" s="9" t="n">
        <v>220469</v>
      </c>
    </row>
    <row r="45">
      <c r="A45" s="8" t="inlineStr">
        <is>
          <t xml:space="preserve">    Retained earnings</t>
        </is>
      </c>
      <c r="B45" s="9" t="n"/>
      <c r="C45" s="9" t="n"/>
      <c r="D45" s="9" t="n"/>
      <c r="E45" s="9" t="n">
        <v>-130820</v>
      </c>
      <c r="F45" s="9" t="n">
        <v>-91801</v>
      </c>
    </row>
    <row r="46">
      <c r="A46" s="10" t="inlineStr">
        <is>
          <t>Net assets</t>
        </is>
      </c>
      <c r="B46" s="11" t="n">
        <v>164766</v>
      </c>
      <c r="C46" s="11" t="n">
        <v>181176</v>
      </c>
      <c r="D46" s="11" t="n">
        <v>127996</v>
      </c>
      <c r="E46" s="11" t="n">
        <v>197151</v>
      </c>
      <c r="F46" s="11" t="n">
        <v>236170</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29950</v>
      </c>
      <c r="C52" s="9" t="n">
        <v>16410</v>
      </c>
      <c r="D52" s="9" t="n">
        <v>-10480</v>
      </c>
      <c r="E52" s="9" t="n">
        <v>16783</v>
      </c>
      <c r="F52" s="9" t="n">
        <v>39019</v>
      </c>
    </row>
    <row r="53">
      <c r="A53" s="8" t="inlineStr">
        <is>
          <t xml:space="preserve">    + Depreciation (reported)</t>
        </is>
      </c>
      <c r="B53" s="9" t="n"/>
      <c r="C53" s="9" t="n"/>
      <c r="D53" s="9" t="n"/>
      <c r="E53" s="9" t="n">
        <v>1914</v>
      </c>
      <c r="F53" s="9" t="n">
        <v>1903</v>
      </c>
    </row>
    <row r="54">
      <c r="A54" s="8" t="inlineStr">
        <is>
          <t xml:space="preserve">    − Δ Accounts receivable</t>
        </is>
      </c>
      <c r="B54" s="9" t="n"/>
      <c r="C54" s="9" t="n"/>
      <c r="D54" s="9" t="n"/>
      <c r="E54" s="9" t="n"/>
      <c r="F54" s="9" t="n">
        <v>274980</v>
      </c>
    </row>
    <row r="55">
      <c r="A55" s="8" t="inlineStr">
        <is>
          <t xml:space="preserve">    − Δ Inventories</t>
        </is>
      </c>
      <c r="B55" s="9" t="n"/>
      <c r="C55" s="9" t="n"/>
      <c r="D55" s="9" t="n"/>
      <c r="E55" s="9" t="n"/>
      <c r="F55" s="9" t="n"/>
    </row>
    <row r="56">
      <c r="A56" s="8" t="inlineStr">
        <is>
          <t xml:space="preserve">    − Δ Prepaid expenses</t>
        </is>
      </c>
      <c r="B56" s="9" t="n"/>
      <c r="C56" s="9" t="n"/>
      <c r="D56" s="9" t="n"/>
      <c r="E56" s="9" t="n"/>
      <c r="F56" s="9" t="n">
        <v>992</v>
      </c>
    </row>
    <row r="57">
      <c r="A57" s="8" t="inlineStr">
        <is>
          <t xml:space="preserve">    + Δ Accounts payable</t>
        </is>
      </c>
      <c r="B57" s="9" t="n"/>
      <c r="C57" s="9" t="n"/>
      <c r="D57" s="9" t="n"/>
      <c r="E57" s="9" t="n"/>
      <c r="F57" s="9" t="n"/>
    </row>
    <row r="58">
      <c r="A58" s="10" t="inlineStr">
        <is>
          <t xml:space="preserve">    Operating cash flow proxy</t>
        </is>
      </c>
      <c r="B58" s="11" t="n"/>
      <c r="C58" s="11" t="n">
        <v>16410</v>
      </c>
      <c r="D58" s="11" t="n">
        <v>-10480</v>
      </c>
      <c r="E58" s="11" t="n">
        <v>18697</v>
      </c>
      <c r="F58" s="11" t="n">
        <v>316894</v>
      </c>
    </row>
    <row r="60">
      <c r="A60" s="6" t="inlineStr">
        <is>
          <t>Investing</t>
        </is>
      </c>
      <c r="B60" s="7" t="n"/>
      <c r="C60" s="7" t="n"/>
      <c r="D60" s="7" t="n"/>
      <c r="E60" s="7" t="n"/>
      <c r="F60" s="7" t="n"/>
    </row>
    <row r="61">
      <c r="A61" s="8" t="inlineStr">
        <is>
          <t xml:space="preserve">    − Δ PP&amp;E gross (capex proxy)</t>
        </is>
      </c>
      <c r="B61" s="9" t="n"/>
      <c r="C61" s="9" t="n"/>
      <c r="D61" s="9" t="n"/>
      <c r="E61" s="9" t="n"/>
      <c r="F61" s="9" t="n">
        <v>0</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20926</v>
      </c>
      <c r="D67" s="11" t="n">
        <v>13925</v>
      </c>
      <c r="E67" s="11" t="n">
        <v>10669</v>
      </c>
      <c r="F67" s="11" t="n">
        <v>27040</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FY2023</t>
        </is>
      </c>
      <c r="C72" s="5" t="inlineStr">
        <is>
          <t>FY2024</t>
        </is>
      </c>
    </row>
    <row r="73">
      <c r="A73" s="8" t="inlineStr">
        <is>
          <t xml:space="preserve">    11a. Gross income from members or shareholders</t>
        </is>
      </c>
      <c r="B73" s="9" t="n">
        <v>182500</v>
      </c>
      <c r="C73" s="9" t="n">
        <v>453823</v>
      </c>
    </row>
    <row r="74">
      <c r="A74" s="8" t="inlineStr">
        <is>
          <t xml:space="preserve">    11b. Gross income from other sources</t>
        </is>
      </c>
      <c r="B74" s="14" t="inlineStr">
        <is>
          <t>not reported</t>
        </is>
      </c>
      <c r="C74" s="9" t="n">
        <v>0</v>
      </c>
    </row>
    <row r="75">
      <c r="A75" s="15" t="inlineStr">
        <is>
          <t>Total gross income (11a + 11b)</t>
        </is>
      </c>
      <c r="B75" s="16">
        <f>SUM(B73,B74)</f>
        <v/>
      </c>
      <c r="C75" s="16">
        <f>SUM(C73,C74)</f>
        <v/>
      </c>
    </row>
    <row r="76">
      <c r="A76" s="15" t="inlineStr">
        <is>
          <t>Member income share (11a / total)</t>
        </is>
      </c>
      <c r="B76" s="17">
        <f>IF(B75=0,"",B73/B75)</f>
        <v/>
      </c>
      <c r="C76" s="17">
        <f>IF(C75=0,"",C73/C75)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Krista Mutual Water Company</t>
        </is>
      </c>
    </row>
    <row r="2">
      <c r="A2" s="2" t="inlineStr">
        <is>
          <t>Balance Sheet - as reported (USD, end of year)</t>
        </is>
      </c>
    </row>
    <row r="3">
      <c r="A3" s="2" t="inlineStr">
        <is>
          <t>Entity ID: cawc_0073   |   Fiscal year ends December 31.</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123966</v>
      </c>
      <c r="C7" s="9" t="n">
        <v>144892</v>
      </c>
      <c r="D7" s="9" t="n">
        <v>158817</v>
      </c>
      <c r="E7" s="9" t="n">
        <v>169486</v>
      </c>
      <c r="F7" s="9" t="n">
        <v>196526</v>
      </c>
    </row>
    <row r="8">
      <c r="A8" s="8" t="inlineStr">
        <is>
          <t xml:space="preserve">    Savings &amp; temporary investments</t>
        </is>
      </c>
      <c r="B8" s="9" t="n"/>
      <c r="C8" s="9" t="n"/>
      <c r="D8" s="9" t="n"/>
      <c r="E8" s="9" t="n">
        <v>0</v>
      </c>
      <c r="F8" s="9" t="n"/>
    </row>
    <row r="9">
      <c r="A9" s="8" t="inlineStr">
        <is>
          <t xml:space="preserve">    Accounts receivable</t>
        </is>
      </c>
      <c r="B9" s="9" t="n"/>
      <c r="C9" s="9" t="n"/>
      <c r="D9" s="9" t="n"/>
      <c r="E9" s="9" t="n">
        <v>297116</v>
      </c>
      <c r="F9" s="9" t="n">
        <v>22136</v>
      </c>
    </row>
    <row r="10">
      <c r="A10" s="8" t="inlineStr">
        <is>
          <t xml:space="preserve">    Inventories</t>
        </is>
      </c>
      <c r="B10" s="9" t="n"/>
      <c r="C10" s="9" t="n"/>
      <c r="D10" s="9" t="n"/>
      <c r="E10" s="9" t="n">
        <v>0</v>
      </c>
      <c r="F10" s="9" t="n"/>
    </row>
    <row r="11">
      <c r="A11" s="8" t="inlineStr">
        <is>
          <t xml:space="preserve">    Prepaid expenses</t>
        </is>
      </c>
      <c r="B11" s="9" t="n"/>
      <c r="C11" s="9" t="n"/>
      <c r="D11" s="9" t="n"/>
      <c r="E11" s="9" t="n">
        <v>1727</v>
      </c>
      <c r="F11" s="9" t="n">
        <v>735</v>
      </c>
    </row>
    <row r="12">
      <c r="A12" s="8" t="inlineStr">
        <is>
          <t xml:space="preserve">    Property, plant &amp; equipment (gross)</t>
        </is>
      </c>
      <c r="B12" s="9" t="n"/>
      <c r="C12" s="9" t="n"/>
      <c r="D12" s="9" t="n"/>
      <c r="E12" s="9" t="n">
        <v>414658</v>
      </c>
      <c r="F12" s="9" t="n">
        <v>414658</v>
      </c>
    </row>
    <row r="13">
      <c r="A13" s="8" t="inlineStr">
        <is>
          <t xml:space="preserve">    Less: accumulated depreciation</t>
        </is>
      </c>
      <c r="B13" s="9" t="n"/>
      <c r="C13" s="9" t="n"/>
      <c r="D13" s="9" t="n"/>
      <c r="E13" s="9" t="n">
        <v>-389125</v>
      </c>
      <c r="F13" s="9" t="n">
        <v>-391028</v>
      </c>
    </row>
    <row r="14">
      <c r="A14" s="10" t="inlineStr">
        <is>
          <t xml:space="preserve">    Net property, plant &amp; equipment</t>
        </is>
      </c>
      <c r="B14" s="11" t="n"/>
      <c r="C14" s="11" t="n"/>
      <c r="D14" s="11" t="n"/>
      <c r="E14" s="11" t="n">
        <v>25533</v>
      </c>
      <c r="F14" s="11" t="n">
        <v>23630</v>
      </c>
    </row>
    <row r="15">
      <c r="A15" s="10" t="inlineStr">
        <is>
          <t>Total assets</t>
        </is>
      </c>
      <c r="B15" s="11" t="n">
        <v>175895</v>
      </c>
      <c r="C15" s="11" t="n">
        <v>187873</v>
      </c>
      <c r="D15" s="11" t="n">
        <v>224523</v>
      </c>
      <c r="E15" s="11" t="n">
        <v>498438</v>
      </c>
      <c r="F15" s="11" t="n">
        <v>243027</v>
      </c>
    </row>
    <row r="17">
      <c r="A17" s="6" t="inlineStr">
        <is>
          <t>Liabilities</t>
        </is>
      </c>
      <c r="B17" s="7" t="n"/>
      <c r="C17" s="7" t="n"/>
      <c r="D17" s="7" t="n"/>
      <c r="E17" s="7" t="n"/>
      <c r="F17" s="7" t="n"/>
    </row>
    <row r="18">
      <c r="A18" s="8" t="inlineStr">
        <is>
          <t xml:space="preserve">    Accounts payable</t>
        </is>
      </c>
      <c r="B18" s="9" t="n"/>
      <c r="C18" s="9" t="n"/>
      <c r="D18" s="9" t="n"/>
      <c r="E18" s="9" t="n">
        <v>40991</v>
      </c>
      <c r="F18" s="9" t="n"/>
    </row>
    <row r="19">
      <c r="A19" s="8" t="inlineStr">
        <is>
          <t xml:space="preserve">    Mortgages &amp; notes payable</t>
        </is>
      </c>
      <c r="B19" s="9" t="n"/>
      <c r="C19" s="9" t="n"/>
      <c r="D19" s="9" t="n"/>
      <c r="E19" s="9" t="n"/>
      <c r="F19" s="9" t="n"/>
    </row>
    <row r="20">
      <c r="A20" s="10" t="inlineStr">
        <is>
          <t>Total liabilities</t>
        </is>
      </c>
      <c r="B20" s="11" t="n">
        <v>11129</v>
      </c>
      <c r="C20" s="11" t="n">
        <v>6697</v>
      </c>
      <c r="D20" s="11" t="n">
        <v>96527</v>
      </c>
      <c r="E20" s="11" t="n">
        <v>301287</v>
      </c>
      <c r="F20" s="11" t="n">
        <v>6857</v>
      </c>
    </row>
    <row r="22">
      <c r="A22" s="6" t="inlineStr">
        <is>
          <t>Net Assets / Equity</t>
        </is>
      </c>
      <c r="B22" s="7" t="n"/>
      <c r="C22" s="7" t="n"/>
      <c r="D22" s="7" t="n"/>
      <c r="E22" s="7" t="n"/>
      <c r="F22" s="7" t="n"/>
    </row>
    <row r="23">
      <c r="A23" s="8" t="inlineStr">
        <is>
          <t xml:space="preserve">    Capital stock</t>
        </is>
      </c>
      <c r="B23" s="9" t="n"/>
      <c r="C23" s="9" t="n"/>
      <c r="D23" s="9" t="n"/>
      <c r="E23" s="9" t="n">
        <v>107502</v>
      </c>
      <c r="F23" s="9" t="n">
        <v>107502</v>
      </c>
    </row>
    <row r="24">
      <c r="A24" s="8" t="inlineStr">
        <is>
          <t xml:space="preserve">    Paid-in capital</t>
        </is>
      </c>
      <c r="B24" s="9" t="n"/>
      <c r="C24" s="9" t="n"/>
      <c r="D24" s="9" t="n"/>
      <c r="E24" s="9" t="n">
        <v>220469</v>
      </c>
      <c r="F24" s="9" t="n">
        <v>220469</v>
      </c>
    </row>
    <row r="25">
      <c r="A25" s="8" t="inlineStr">
        <is>
          <t xml:space="preserve">    Retained earnings</t>
        </is>
      </c>
      <c r="B25" s="9" t="n"/>
      <c r="C25" s="9" t="n"/>
      <c r="D25" s="9" t="n"/>
      <c r="E25" s="9" t="n">
        <v>-130820</v>
      </c>
      <c r="F25" s="9" t="n">
        <v>-91801</v>
      </c>
    </row>
    <row r="26">
      <c r="A26" s="10" t="inlineStr">
        <is>
          <t>Net assets</t>
        </is>
      </c>
      <c r="B26" s="11" t="n">
        <v>164766</v>
      </c>
      <c r="C26" s="11" t="n">
        <v>181176</v>
      </c>
      <c r="D26" s="11" t="n">
        <v>127996</v>
      </c>
      <c r="E26" s="11" t="n">
        <v>197151</v>
      </c>
      <c r="F26" s="11" t="n">
        <v>236170</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Krista Mutual Water Company</t>
        </is>
      </c>
    </row>
    <row r="2">
      <c r="A2" s="2" t="inlineStr">
        <is>
          <t>Officers, Directors &amp; Contractors - Form 990 Part VII (FY2024; USD)</t>
        </is>
      </c>
    </row>
    <row r="3">
      <c r="A3" s="2" t="inlineStr">
        <is>
          <t>Entity ID: cawc_0073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Sandra McElhenney</t>
        </is>
      </c>
      <c r="B7" s="8" t="inlineStr">
        <is>
          <t>President</t>
        </is>
      </c>
      <c r="C7" s="9" t="n">
        <v>0</v>
      </c>
      <c r="D7" s="9" t="n">
        <v>0</v>
      </c>
      <c r="E7" s="9" t="n">
        <v>0</v>
      </c>
      <c r="F7" s="9" t="n">
        <v>0</v>
      </c>
    </row>
    <row r="8">
      <c r="A8" s="8" t="inlineStr">
        <is>
          <t>Jonathon Paley</t>
        </is>
      </c>
      <c r="B8" s="8" t="inlineStr">
        <is>
          <t>Vice President</t>
        </is>
      </c>
      <c r="C8" s="9" t="n">
        <v>0</v>
      </c>
      <c r="D8" s="9" t="n">
        <v>0</v>
      </c>
      <c r="E8" s="9" t="n">
        <v>0</v>
      </c>
      <c r="F8" s="9" t="n">
        <v>0</v>
      </c>
    </row>
    <row r="9">
      <c r="A9" s="8" t="inlineStr">
        <is>
          <t>Richard Dickerson</t>
        </is>
      </c>
      <c r="B9" s="8" t="inlineStr">
        <is>
          <t>Secretary</t>
        </is>
      </c>
      <c r="C9" s="9" t="n">
        <v>0</v>
      </c>
      <c r="D9" s="9" t="n">
        <v>0</v>
      </c>
      <c r="E9" s="9" t="n">
        <v>0</v>
      </c>
      <c r="F9" s="9" t="n">
        <v>0</v>
      </c>
    </row>
    <row r="11">
      <c r="A11" s="6" t="inlineStr">
        <is>
          <t>Section B - Independent contractors (over $100,000)</t>
        </is>
      </c>
      <c r="B11" s="7" t="n"/>
      <c r="C11" s="7" t="n"/>
      <c r="D11" s="7" t="n"/>
      <c r="E11" s="7" t="n"/>
      <c r="F11" s="7" t="n"/>
    </row>
    <row r="12">
      <c r="A12" s="5" t="inlineStr">
        <is>
          <t>Contractor</t>
        </is>
      </c>
      <c r="B12" s="5" t="inlineStr">
        <is>
          <t>Services</t>
        </is>
      </c>
      <c r="C12" s="5" t="inlineStr">
        <is>
          <t>Compensation</t>
        </is>
      </c>
    </row>
    <row r="13">
      <c r="A13" s="8" t="inlineStr">
        <is>
          <t>Brough Construction Inc</t>
        </is>
      </c>
      <c r="B13" s="8" t="inlineStr">
        <is>
          <t>Construction</t>
        </is>
      </c>
      <c r="C13" s="9" t="n">
        <v>103661</v>
      </c>
    </row>
    <row r="14">
      <c r="A14" s="8" t="inlineStr">
        <is>
          <t>Quad Knopf Inc</t>
        </is>
      </c>
      <c r="B14" s="8" t="inlineStr">
        <is>
          <t>Engineering</t>
        </is>
      </c>
      <c r="C14" s="9" t="n">
        <v>118263</v>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2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s>
  <sheetData>
    <row r="1">
      <c r="A1" s="1" t="inlineStr">
        <is>
          <t>Krista Mutual Water Company</t>
        </is>
      </c>
    </row>
    <row r="2">
      <c r="A2" s="2" t="inlineStr">
        <is>
          <t>Revenue - Form 990 Part VIII (USD)</t>
        </is>
      </c>
    </row>
    <row r="3">
      <c r="A3" s="2" t="inlineStr">
        <is>
          <t>Entity ID: cawc_0073   |   Fiscal year ends December 31.</t>
        </is>
      </c>
    </row>
    <row r="5">
      <c r="A5" s="4" t="inlineStr">
        <is>
          <t>Part VIII line</t>
        </is>
      </c>
      <c r="B5" s="5" t="inlineStr">
        <is>
          <t>FY2023</t>
        </is>
      </c>
      <c r="C5" s="5" t="inlineStr">
        <is>
          <t>FY2024</t>
        </is>
      </c>
    </row>
    <row r="6">
      <c r="A6" s="6" t="inlineStr">
        <is>
          <t>Revenue by category</t>
        </is>
      </c>
      <c r="B6" s="7" t="n"/>
      <c r="C6" s="7" t="n"/>
    </row>
    <row r="7">
      <c r="A7" s="8" t="inlineStr">
        <is>
          <t xml:space="preserve">    1h. Total contributions, gifts, grants</t>
        </is>
      </c>
      <c r="B7" s="9" t="n">
        <v>512655</v>
      </c>
      <c r="C7" s="14" t="inlineStr">
        <is>
          <t>not reported</t>
        </is>
      </c>
    </row>
    <row r="8">
      <c r="A8" s="8" t="inlineStr">
        <is>
          <t xml:space="preserve">    2g. Total program service revenue</t>
        </is>
      </c>
      <c r="B8" s="9" t="n">
        <v>182500</v>
      </c>
      <c r="C8" s="9" t="n">
        <v>453823</v>
      </c>
    </row>
    <row r="9">
      <c r="A9" s="8" t="inlineStr">
        <is>
          <t xml:space="preserve">    3. Investment income</t>
        </is>
      </c>
      <c r="B9" s="9" t="n">
        <v>575</v>
      </c>
      <c r="C9" s="9" t="n">
        <v>347</v>
      </c>
    </row>
    <row r="10">
      <c r="A10" s="8" t="inlineStr">
        <is>
          <t xml:space="preserve">    6d. Net rental income</t>
        </is>
      </c>
      <c r="B10" s="9" t="n">
        <v>0</v>
      </c>
      <c r="C10" s="14" t="inlineStr">
        <is>
          <t>not reported</t>
        </is>
      </c>
    </row>
    <row r="11">
      <c r="A11" s="8" t="inlineStr">
        <is>
          <t xml:space="preserve">    7d. Net gain/(loss) from investment sales</t>
        </is>
      </c>
      <c r="B11" s="9" t="n">
        <v>0</v>
      </c>
      <c r="C11" s="14" t="inlineStr">
        <is>
          <t>not reported</t>
        </is>
      </c>
    </row>
    <row r="12">
      <c r="A12" s="8" t="inlineStr">
        <is>
          <t xml:space="preserve">    11e. Other revenue</t>
        </is>
      </c>
      <c r="B12" s="9" t="n">
        <v>0</v>
      </c>
      <c r="C12" s="14" t="inlineStr">
        <is>
          <t>not reported</t>
        </is>
      </c>
    </row>
    <row r="13">
      <c r="A13" s="10" t="inlineStr">
        <is>
          <t>12. Total revenue</t>
        </is>
      </c>
      <c r="B13" s="11">
        <f>SUM(B7:B12)</f>
        <v/>
      </c>
      <c r="C13" s="11">
        <f>SUM(C7:C12)</f>
        <v/>
      </c>
    </row>
    <row r="15">
      <c r="A15" s="6" t="inlineStr">
        <is>
          <t>Program service revenue detail - FY2024 (lines 2a-2f)</t>
        </is>
      </c>
      <c r="B15" s="7" t="n"/>
      <c r="C15" s="7" t="n"/>
    </row>
    <row r="16">
      <c r="A16" s="5" t="inlineStr">
        <is>
          <t>Description</t>
        </is>
      </c>
      <c r="B16" s="5" t="inlineStr">
        <is>
          <t>Business code</t>
        </is>
      </c>
      <c r="C16" s="5" t="inlineStr">
        <is>
          <t>Total revenue</t>
        </is>
      </c>
    </row>
    <row r="17">
      <c r="A17" s="8" t="inlineStr">
        <is>
          <t>Water Assessments</t>
        </is>
      </c>
      <c r="B17" s="8" t="inlineStr">
        <is>
          <t>221000</t>
        </is>
      </c>
      <c r="C17" s="9" t="n">
        <v>453823</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1:C1"/>
    <mergeCell ref="A18:C18"/>
    <mergeCell ref="A3:C3"/>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s>
  <sheetData>
    <row r="1">
      <c r="A1" s="1" t="inlineStr">
        <is>
          <t>Krista Mutual Water Company</t>
        </is>
      </c>
    </row>
    <row r="2">
      <c r="A2" s="2" t="inlineStr">
        <is>
          <t>Statement of Functional Expenses - Form 990 Part IX (USD)</t>
        </is>
      </c>
    </row>
    <row r="3">
      <c r="A3" s="2" t="inlineStr">
        <is>
          <t>Entity ID: cawc_0073   |   Fiscal year ends December 31.</t>
        </is>
      </c>
    </row>
    <row r="5">
      <c r="A5" s="4" t="inlineStr">
        <is>
          <t>Part IX line (column A Total)</t>
        </is>
      </c>
      <c r="B5" s="5" t="inlineStr">
        <is>
          <t>FY2023</t>
        </is>
      </c>
      <c r="C5" s="5" t="inlineStr">
        <is>
          <t>FY2024</t>
        </is>
      </c>
    </row>
    <row r="6">
      <c r="A6" s="6" t="inlineStr">
        <is>
          <t>Functional expenses, column A Total - by year</t>
        </is>
      </c>
      <c r="B6" s="7" t="n"/>
      <c r="C6" s="7" t="n"/>
    </row>
    <row r="7">
      <c r="A7" s="8" t="inlineStr">
        <is>
          <t xml:space="preserve">    1. Grants to domestic organizations and governments</t>
        </is>
      </c>
      <c r="B7" s="9" t="n">
        <v>0</v>
      </c>
      <c r="C7" s="14" t="inlineStr">
        <is>
          <t>not reported</t>
        </is>
      </c>
    </row>
    <row r="8">
      <c r="A8" s="8" t="inlineStr">
        <is>
          <t xml:space="preserve">    2. Grants to domestic individuals</t>
        </is>
      </c>
      <c r="B8" s="9" t="n">
        <v>0</v>
      </c>
      <c r="C8" s="14" t="inlineStr">
        <is>
          <t>not reported</t>
        </is>
      </c>
    </row>
    <row r="9">
      <c r="A9" s="8" t="inlineStr">
        <is>
          <t xml:space="preserve">    3. Grants to foreign organizations and individuals</t>
        </is>
      </c>
      <c r="B9" s="9" t="n">
        <v>0</v>
      </c>
      <c r="C9" s="14" t="inlineStr">
        <is>
          <t>not reported</t>
        </is>
      </c>
    </row>
    <row r="10">
      <c r="A10" s="8" t="inlineStr">
        <is>
          <t xml:space="preserve">    4. Benefits paid to or for members</t>
        </is>
      </c>
      <c r="B10" s="9" t="n">
        <v>0</v>
      </c>
      <c r="C10" s="14" t="inlineStr">
        <is>
          <t>not reported</t>
        </is>
      </c>
    </row>
    <row r="11">
      <c r="A11" s="8" t="inlineStr">
        <is>
          <t xml:space="preserve">    5. Compensation of current officers, directors, trustees</t>
        </is>
      </c>
      <c r="B11" s="9" t="n">
        <v>0</v>
      </c>
      <c r="C11" s="14" t="inlineStr">
        <is>
          <t>not reported</t>
        </is>
      </c>
    </row>
    <row r="12">
      <c r="A12" s="8" t="inlineStr">
        <is>
          <t xml:space="preserve">    6. Compensation to disqualified persons</t>
        </is>
      </c>
      <c r="B12" s="9" t="n">
        <v>0</v>
      </c>
      <c r="C12" s="14" t="inlineStr">
        <is>
          <t>not reported</t>
        </is>
      </c>
    </row>
    <row r="13">
      <c r="A13" s="8" t="inlineStr">
        <is>
          <t xml:space="preserve">    7. Other salaries and wages</t>
        </is>
      </c>
      <c r="B13" s="9" t="n">
        <v>53841</v>
      </c>
      <c r="C13" s="9" t="n">
        <v>55915</v>
      </c>
    </row>
    <row r="14">
      <c r="A14" s="8" t="inlineStr">
        <is>
          <t xml:space="preserve">    8. Pension plan accruals and contributions</t>
        </is>
      </c>
      <c r="B14" s="9" t="n">
        <v>0</v>
      </c>
      <c r="C14" s="14" t="inlineStr">
        <is>
          <t>not reported</t>
        </is>
      </c>
    </row>
    <row r="15">
      <c r="A15" s="8" t="inlineStr">
        <is>
          <t xml:space="preserve">    9. Other employee benefits</t>
        </is>
      </c>
      <c r="B15" s="9" t="n">
        <v>8292</v>
      </c>
      <c r="C15" s="14" t="inlineStr">
        <is>
          <t>not reported</t>
        </is>
      </c>
    </row>
    <row r="16">
      <c r="A16" s="8" t="inlineStr">
        <is>
          <t xml:space="preserve">    10. Payroll taxes</t>
        </is>
      </c>
      <c r="B16" s="9" t="n">
        <v>4342</v>
      </c>
      <c r="C16" s="9" t="n">
        <v>4543</v>
      </c>
    </row>
    <row r="17">
      <c r="A17" s="8" t="inlineStr">
        <is>
          <t xml:space="preserve">    11a. Fees for services: management</t>
        </is>
      </c>
      <c r="B17" s="9" t="n">
        <v>0</v>
      </c>
      <c r="C17" s="14" t="inlineStr">
        <is>
          <t>not reported</t>
        </is>
      </c>
    </row>
    <row r="18">
      <c r="A18" s="8" t="inlineStr">
        <is>
          <t xml:space="preserve">    11b. Fees for services: legal</t>
        </is>
      </c>
      <c r="B18" s="9" t="n">
        <v>2423</v>
      </c>
      <c r="C18" s="9" t="n">
        <v>12660</v>
      </c>
    </row>
    <row r="19">
      <c r="A19" s="8" t="inlineStr">
        <is>
          <t xml:space="preserve">    11c. Fees for services: accounting</t>
        </is>
      </c>
      <c r="B19" s="9" t="n">
        <v>13605</v>
      </c>
      <c r="C19" s="9" t="n">
        <v>968</v>
      </c>
    </row>
    <row r="20">
      <c r="A20" s="8" t="inlineStr">
        <is>
          <t xml:space="preserve">    11d. Fees for services: lobbying</t>
        </is>
      </c>
      <c r="B20" s="9" t="n">
        <v>0</v>
      </c>
      <c r="C20" s="14" t="inlineStr">
        <is>
          <t>not reported</t>
        </is>
      </c>
    </row>
    <row r="21">
      <c r="A21" s="8" t="inlineStr">
        <is>
          <t xml:space="preserve">    11e. Fees for services: professional fundraising</t>
        </is>
      </c>
      <c r="B21" s="9" t="n">
        <v>0</v>
      </c>
      <c r="C21" s="14" t="inlineStr">
        <is>
          <t>not reported</t>
        </is>
      </c>
    </row>
    <row r="22">
      <c r="A22" s="8" t="inlineStr">
        <is>
          <t xml:space="preserve">    11f. Fees for services: investment management</t>
        </is>
      </c>
      <c r="B22" s="9" t="n">
        <v>0</v>
      </c>
      <c r="C22" s="14" t="inlineStr">
        <is>
          <t>not reported</t>
        </is>
      </c>
    </row>
    <row r="23">
      <c r="A23" s="8" t="inlineStr">
        <is>
          <t xml:space="preserve">    11g. Fees for services: other</t>
        </is>
      </c>
      <c r="B23" s="9" t="n">
        <v>538521</v>
      </c>
      <c r="C23" s="14" t="inlineStr">
        <is>
          <t>not reported</t>
        </is>
      </c>
    </row>
    <row r="24">
      <c r="A24" s="8" t="inlineStr">
        <is>
          <t xml:space="preserve">    12. Advertising and promotion</t>
        </is>
      </c>
      <c r="B24" s="9" t="n">
        <v>0</v>
      </c>
      <c r="C24" s="14" t="inlineStr">
        <is>
          <t>not reported</t>
        </is>
      </c>
    </row>
    <row r="25">
      <c r="A25" s="8" t="inlineStr">
        <is>
          <t xml:space="preserve">    13. Office expenses</t>
        </is>
      </c>
      <c r="B25" s="9" t="n">
        <v>2410</v>
      </c>
      <c r="C25" s="9" t="n">
        <v>3548</v>
      </c>
    </row>
    <row r="26">
      <c r="A26" s="8" t="inlineStr">
        <is>
          <t xml:space="preserve">    14. Information technology</t>
        </is>
      </c>
      <c r="B26" s="9" t="n">
        <v>0</v>
      </c>
      <c r="C26" s="14" t="inlineStr">
        <is>
          <t>not reported</t>
        </is>
      </c>
    </row>
    <row r="27">
      <c r="A27" s="8" t="inlineStr">
        <is>
          <t xml:space="preserve">    15. Royalties</t>
        </is>
      </c>
      <c r="B27" s="9" t="n">
        <v>0</v>
      </c>
      <c r="C27" s="14" t="inlineStr">
        <is>
          <t>not reported</t>
        </is>
      </c>
    </row>
    <row r="28">
      <c r="A28" s="8" t="inlineStr">
        <is>
          <t xml:space="preserve">    16. Occupancy</t>
        </is>
      </c>
      <c r="B28" s="9" t="n">
        <v>3585</v>
      </c>
      <c r="C28" s="9" t="n">
        <v>4470</v>
      </c>
    </row>
    <row r="29">
      <c r="A29" s="8" t="inlineStr">
        <is>
          <t xml:space="preserve">    17. Travel</t>
        </is>
      </c>
      <c r="B29" s="9" t="n">
        <v>0</v>
      </c>
      <c r="C29" s="14" t="inlineStr">
        <is>
          <t>not reported</t>
        </is>
      </c>
    </row>
    <row r="30">
      <c r="A30" s="8" t="inlineStr">
        <is>
          <t xml:space="preserve">    18. Payments of travel/entertainment for public officials</t>
        </is>
      </c>
      <c r="B30" s="9" t="n">
        <v>0</v>
      </c>
      <c r="C30" s="14" t="inlineStr">
        <is>
          <t>not reported</t>
        </is>
      </c>
    </row>
    <row r="31">
      <c r="A31" s="8" t="inlineStr">
        <is>
          <t xml:space="preserve">    19. Conferences, conventions, and meetings</t>
        </is>
      </c>
      <c r="B31" s="9" t="n">
        <v>0</v>
      </c>
      <c r="C31" s="14" t="inlineStr">
        <is>
          <t>not reported</t>
        </is>
      </c>
    </row>
    <row r="32">
      <c r="A32" s="8" t="inlineStr">
        <is>
          <t xml:space="preserve">    20. Interest</t>
        </is>
      </c>
      <c r="B32" s="9" t="n">
        <v>0</v>
      </c>
      <c r="C32" s="9" t="n">
        <v>74</v>
      </c>
    </row>
    <row r="33">
      <c r="A33" s="8" t="inlineStr">
        <is>
          <t xml:space="preserve">    21. Payments to affiliates</t>
        </is>
      </c>
      <c r="B33" s="9" t="n">
        <v>0</v>
      </c>
      <c r="C33" s="14" t="inlineStr">
        <is>
          <t>not reported</t>
        </is>
      </c>
    </row>
    <row r="34">
      <c r="A34" s="8" t="inlineStr">
        <is>
          <t xml:space="preserve">    22. Depreciation, depletion, and amortization</t>
        </is>
      </c>
      <c r="B34" s="9" t="n">
        <v>1914</v>
      </c>
      <c r="C34" s="9" t="n">
        <v>1903</v>
      </c>
    </row>
    <row r="35">
      <c r="A35" s="8" t="inlineStr">
        <is>
          <t xml:space="preserve">    23. Insurance</t>
        </is>
      </c>
      <c r="B35" s="9" t="n">
        <v>10918</v>
      </c>
      <c r="C35" s="9" t="n">
        <v>18692</v>
      </c>
    </row>
    <row r="36">
      <c r="A36" s="8" t="inlineStr">
        <is>
          <t xml:space="preserve">    24. POWER</t>
        </is>
      </c>
      <c r="B36" s="9" t="n">
        <v>25425</v>
      </c>
      <c r="C36" s="14" t="inlineStr">
        <is>
          <t>not reported</t>
        </is>
      </c>
    </row>
    <row r="37">
      <c r="A37" s="8" t="inlineStr">
        <is>
          <t xml:space="preserve">    24. EQUIPMENT RENTAL</t>
        </is>
      </c>
      <c r="B37" s="9" t="n">
        <v>6028</v>
      </c>
      <c r="C37" s="14" t="inlineStr">
        <is>
          <t>not reported</t>
        </is>
      </c>
    </row>
    <row r="38">
      <c r="A38" s="8" t="inlineStr">
        <is>
          <t xml:space="preserve">    24. Postage and Shipping</t>
        </is>
      </c>
      <c r="B38" s="9" t="n">
        <v>2647</v>
      </c>
      <c r="C38" s="14" t="inlineStr">
        <is>
          <t>not reported</t>
        </is>
      </c>
    </row>
    <row r="39">
      <c r="A39" s="8" t="inlineStr">
        <is>
          <t xml:space="preserve">    24. TELEPHONE &amp; RELAY</t>
        </is>
      </c>
      <c r="B39" s="9" t="n">
        <v>2595</v>
      </c>
      <c r="C39" s="14" t="inlineStr">
        <is>
          <t>not reported</t>
        </is>
      </c>
    </row>
    <row r="40">
      <c r="A40" s="8" t="inlineStr">
        <is>
          <t xml:space="preserve">    24. Subcontractors</t>
        </is>
      </c>
      <c r="B40" s="14" t="inlineStr">
        <is>
          <t>not reported</t>
        </is>
      </c>
      <c r="C40" s="9" t="n">
        <v>257624</v>
      </c>
    </row>
    <row r="41">
      <c r="A41" s="8" t="inlineStr">
        <is>
          <t xml:space="preserve">    24. Dues &amp; Subscriptions</t>
        </is>
      </c>
      <c r="B41" s="14" t="inlineStr">
        <is>
          <t>not reported</t>
        </is>
      </c>
      <c r="C41" s="9" t="n">
        <v>2299</v>
      </c>
    </row>
    <row r="42">
      <c r="A42" s="8" t="inlineStr">
        <is>
          <t xml:space="preserve">    24. Supplies</t>
        </is>
      </c>
      <c r="B42" s="14" t="inlineStr">
        <is>
          <t>not reported</t>
        </is>
      </c>
      <c r="C42" s="9" t="n">
        <v>7235</v>
      </c>
    </row>
    <row r="43">
      <c r="A43" s="8" t="inlineStr">
        <is>
          <t xml:space="preserve">    24. Meals</t>
        </is>
      </c>
      <c r="B43" s="14" t="inlineStr">
        <is>
          <t>not reported</t>
        </is>
      </c>
      <c r="C43" s="9" t="n">
        <v>101</v>
      </c>
    </row>
    <row r="44">
      <c r="A44" s="8" t="inlineStr">
        <is>
          <t xml:space="preserve">    24e. All other expenses</t>
        </is>
      </c>
      <c r="B44" s="9" t="n">
        <v>2401</v>
      </c>
      <c r="C44" s="9" t="n">
        <v>45119</v>
      </c>
    </row>
    <row r="45">
      <c r="A45" s="10" t="inlineStr">
        <is>
          <t>25. Total functional expenses</t>
        </is>
      </c>
      <c r="B45" s="11">
        <f>SUM(B7:B44)</f>
        <v/>
      </c>
      <c r="C45" s="11">
        <f>SUM(C7:C44)</f>
        <v/>
      </c>
    </row>
    <row r="47">
      <c r="A47" s="6" t="inlineStr">
        <is>
          <t>Functional column split - FY2024 (col A = B + C + D)</t>
        </is>
      </c>
      <c r="B47" s="7" t="n"/>
      <c r="C47" s="7" t="n"/>
    </row>
    <row r="48">
      <c r="A48" s="5" t="inlineStr">
        <is>
          <t>Part IX line</t>
        </is>
      </c>
      <c r="B48" s="5" t="inlineStr">
        <is>
          <t>A. Total</t>
        </is>
      </c>
      <c r="C48" s="5" t="inlineStr">
        <is>
          <t>B. Program services</t>
        </is>
      </c>
      <c r="D48" s="5" t="inlineStr">
        <is>
          <t>C. Management &amp; general</t>
        </is>
      </c>
      <c r="E48" s="5" t="inlineStr">
        <is>
          <t>D. Fundraising</t>
        </is>
      </c>
    </row>
    <row r="49">
      <c r="A49" s="18" t="inlineStr">
        <is>
          <t>7. Other salaries and wages</t>
        </is>
      </c>
      <c r="B49" s="9" t="n">
        <v>55915</v>
      </c>
      <c r="C49" s="9" t="n">
        <v>55915</v>
      </c>
      <c r="D49" s="9" t="n">
        <v>0</v>
      </c>
      <c r="E49" s="9" t="n">
        <v>0</v>
      </c>
    </row>
    <row r="50">
      <c r="A50" s="18" t="inlineStr">
        <is>
          <t>10. Payroll taxes</t>
        </is>
      </c>
      <c r="B50" s="9" t="n">
        <v>4543</v>
      </c>
      <c r="C50" s="9" t="n">
        <v>4543</v>
      </c>
      <c r="D50" s="9" t="n">
        <v>0</v>
      </c>
      <c r="E50" s="9" t="n">
        <v>0</v>
      </c>
    </row>
    <row r="51">
      <c r="A51" s="18" t="inlineStr">
        <is>
          <t>11b. Fees for services: legal</t>
        </is>
      </c>
      <c r="B51" s="9" t="n">
        <v>12660</v>
      </c>
      <c r="C51" s="9" t="n">
        <v>12660</v>
      </c>
      <c r="D51" s="9" t="n">
        <v>0</v>
      </c>
      <c r="E51" s="9" t="n">
        <v>0</v>
      </c>
    </row>
    <row r="52">
      <c r="A52" s="18" t="inlineStr">
        <is>
          <t>11c. Fees for services: accounting</t>
        </is>
      </c>
      <c r="B52" s="9" t="n">
        <v>968</v>
      </c>
      <c r="C52" s="9" t="n">
        <v>968</v>
      </c>
      <c r="D52" s="9" t="n">
        <v>0</v>
      </c>
      <c r="E52" s="9" t="n">
        <v>0</v>
      </c>
    </row>
    <row r="53">
      <c r="A53" s="18" t="inlineStr">
        <is>
          <t>13. Office expenses</t>
        </is>
      </c>
      <c r="B53" s="9" t="n">
        <v>3548</v>
      </c>
      <c r="C53" s="9" t="n">
        <v>3548</v>
      </c>
      <c r="D53" s="9" t="n">
        <v>0</v>
      </c>
      <c r="E53" s="9" t="n">
        <v>0</v>
      </c>
    </row>
    <row r="54">
      <c r="A54" s="18" t="inlineStr">
        <is>
          <t>16. Occupancy</t>
        </is>
      </c>
      <c r="B54" s="9" t="n">
        <v>4470</v>
      </c>
      <c r="C54" s="9" t="n">
        <v>4470</v>
      </c>
      <c r="D54" s="9" t="n">
        <v>0</v>
      </c>
      <c r="E54" s="9" t="n">
        <v>0</v>
      </c>
    </row>
    <row r="55">
      <c r="A55" s="18" t="inlineStr">
        <is>
          <t>20. Interest</t>
        </is>
      </c>
      <c r="B55" s="9" t="n">
        <v>74</v>
      </c>
      <c r="C55" s="9" t="n">
        <v>74</v>
      </c>
      <c r="D55" s="9" t="n">
        <v>0</v>
      </c>
      <c r="E55" s="9" t="n">
        <v>0</v>
      </c>
    </row>
    <row r="56">
      <c r="A56" s="18" t="inlineStr">
        <is>
          <t>22. Depreciation, depletion, and amortization</t>
        </is>
      </c>
      <c r="B56" s="9" t="n">
        <v>1903</v>
      </c>
      <c r="C56" s="9" t="n">
        <v>1903</v>
      </c>
      <c r="D56" s="9" t="n">
        <v>0</v>
      </c>
      <c r="E56" s="9" t="n">
        <v>0</v>
      </c>
    </row>
    <row r="57">
      <c r="A57" s="18" t="inlineStr">
        <is>
          <t>23. Insurance</t>
        </is>
      </c>
      <c r="B57" s="9" t="n">
        <v>18692</v>
      </c>
      <c r="C57" s="9" t="n">
        <v>18692</v>
      </c>
      <c r="D57" s="9" t="n">
        <v>0</v>
      </c>
      <c r="E57" s="9" t="n">
        <v>0</v>
      </c>
    </row>
    <row r="58">
      <c r="A58" s="10" t="inlineStr">
        <is>
          <t>25. Total (filed col A / B / C / D)</t>
        </is>
      </c>
      <c r="B58" s="11" t="n">
        <v>415151</v>
      </c>
      <c r="C58" s="11" t="n">
        <v>415151</v>
      </c>
      <c r="D58" s="11" t="n">
        <v>0</v>
      </c>
      <c r="E58" s="11" t="n">
        <v>0</v>
      </c>
    </row>
    <row r="60" ht="42" customHeight="1">
      <c r="A60"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1:C1"/>
    <mergeCell ref="A60:C60"/>
    <mergeCell ref="A3:C3"/>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s>
  <sheetData>
    <row r="1">
      <c r="A1" s="1" t="inlineStr">
        <is>
          <t>Krista Mutual Water Company</t>
        </is>
      </c>
    </row>
    <row r="2">
      <c r="A2" s="2" t="inlineStr">
        <is>
          <t>Balance Sheet - Form 990 Part X (end of year, USD)</t>
        </is>
      </c>
    </row>
    <row r="3">
      <c r="A3" s="2" t="inlineStr">
        <is>
          <t>Entity ID: cawc_0073   |   Fiscal year ends December 31.</t>
        </is>
      </c>
    </row>
    <row r="5">
      <c r="A5" s="4" t="inlineStr">
        <is>
          <t>Part X line (column B, EOY)</t>
        </is>
      </c>
      <c r="B5" s="5" t="inlineStr">
        <is>
          <t>FY2023</t>
        </is>
      </c>
      <c r="C5" s="5" t="inlineStr">
        <is>
          <t>FY2024</t>
        </is>
      </c>
    </row>
    <row r="6">
      <c r="A6" s="6" t="inlineStr">
        <is>
          <t>Assets</t>
        </is>
      </c>
      <c r="B6" s="7" t="n"/>
      <c r="C6" s="7" t="n"/>
    </row>
    <row r="7">
      <c r="A7" s="8" t="inlineStr">
        <is>
          <t xml:space="preserve">    1. Cash - non-interest-bearing</t>
        </is>
      </c>
      <c r="B7" s="9" t="n">
        <v>169486</v>
      </c>
      <c r="C7" s="9" t="n">
        <v>196526</v>
      </c>
    </row>
    <row r="8">
      <c r="A8" s="8" t="inlineStr">
        <is>
          <t xml:space="preserve">    2. Savings and temporary cash investments</t>
        </is>
      </c>
      <c r="B8" s="9" t="n">
        <v>0</v>
      </c>
      <c r="C8" s="14" t="inlineStr">
        <is>
          <t>not reported</t>
        </is>
      </c>
    </row>
    <row r="9">
      <c r="A9" s="8" t="inlineStr">
        <is>
          <t xml:space="preserve">    3. Pledges and grants receivable, net</t>
        </is>
      </c>
      <c r="B9" s="9" t="n">
        <v>0</v>
      </c>
      <c r="C9" s="14" t="inlineStr">
        <is>
          <t>not reported</t>
        </is>
      </c>
    </row>
    <row r="10">
      <c r="A10" s="8" t="inlineStr">
        <is>
          <t xml:space="preserve">    4. Accounts receivable, net</t>
        </is>
      </c>
      <c r="B10" s="9" t="n">
        <v>297116</v>
      </c>
      <c r="C10" s="9" t="n">
        <v>22136</v>
      </c>
    </row>
    <row r="11">
      <c r="A11" s="8" t="inlineStr">
        <is>
          <t xml:space="preserve">    5. Receivables from officers/directors/trustees</t>
        </is>
      </c>
      <c r="B11" s="9" t="n">
        <v>0</v>
      </c>
      <c r="C11" s="14" t="inlineStr">
        <is>
          <t>not reported</t>
        </is>
      </c>
    </row>
    <row r="12">
      <c r="A12" s="8" t="inlineStr">
        <is>
          <t xml:space="preserve">    6. Receivables from disqualified persons</t>
        </is>
      </c>
      <c r="B12" s="9" t="n">
        <v>0</v>
      </c>
      <c r="C12" s="14" t="inlineStr">
        <is>
          <t>not reported</t>
        </is>
      </c>
    </row>
    <row r="13">
      <c r="A13" s="8" t="inlineStr">
        <is>
          <t xml:space="preserve">    7. Notes and loans receivable, net</t>
        </is>
      </c>
      <c r="B13" s="9" t="n">
        <v>0</v>
      </c>
      <c r="C13" s="14" t="inlineStr">
        <is>
          <t>not reported</t>
        </is>
      </c>
    </row>
    <row r="14">
      <c r="A14" s="8" t="inlineStr">
        <is>
          <t xml:space="preserve">    8. Inventories for sale or use</t>
        </is>
      </c>
      <c r="B14" s="9" t="n">
        <v>0</v>
      </c>
      <c r="C14" s="14" t="inlineStr">
        <is>
          <t>not reported</t>
        </is>
      </c>
    </row>
    <row r="15">
      <c r="A15" s="8" t="inlineStr">
        <is>
          <t xml:space="preserve">    9. Prepaid expenses and deferred charges</t>
        </is>
      </c>
      <c r="B15" s="9" t="n">
        <v>1727</v>
      </c>
      <c r="C15" s="9" t="n">
        <v>735</v>
      </c>
    </row>
    <row r="16">
      <c r="A16" s="8" t="inlineStr">
        <is>
          <t xml:space="preserve">    10c. Land, buildings, and equipment, net</t>
        </is>
      </c>
      <c r="B16" s="9" t="n">
        <v>25533</v>
      </c>
      <c r="C16" s="9" t="n">
        <v>23630</v>
      </c>
    </row>
    <row r="17">
      <c r="A17" s="8" t="inlineStr">
        <is>
          <t xml:space="preserve">    11. Investments - publicly traded securities</t>
        </is>
      </c>
      <c r="B17" s="9" t="n">
        <v>0</v>
      </c>
      <c r="C17" s="14" t="inlineStr">
        <is>
          <t>not reported</t>
        </is>
      </c>
    </row>
    <row r="18">
      <c r="A18" s="8" t="inlineStr">
        <is>
          <t xml:space="preserve">    12. Investments - other securities</t>
        </is>
      </c>
      <c r="B18" s="9" t="n">
        <v>0</v>
      </c>
      <c r="C18" s="14" t="inlineStr">
        <is>
          <t>not reported</t>
        </is>
      </c>
    </row>
    <row r="19">
      <c r="A19" s="8" t="inlineStr">
        <is>
          <t xml:space="preserve">    13. Investments - program-related</t>
        </is>
      </c>
      <c r="B19" s="9" t="n">
        <v>0</v>
      </c>
      <c r="C19" s="14" t="inlineStr">
        <is>
          <t>not reported</t>
        </is>
      </c>
    </row>
    <row r="20">
      <c r="A20" s="8" t="inlineStr">
        <is>
          <t xml:space="preserve">    14. Intangible assets</t>
        </is>
      </c>
      <c r="B20" s="9" t="n">
        <v>0</v>
      </c>
      <c r="C20" s="14" t="inlineStr">
        <is>
          <t>not reported</t>
        </is>
      </c>
    </row>
    <row r="21">
      <c r="A21" s="8" t="inlineStr">
        <is>
          <t xml:space="preserve">    15. Other assets</t>
        </is>
      </c>
      <c r="B21" s="9" t="n">
        <v>4576</v>
      </c>
      <c r="C21" s="14" t="inlineStr">
        <is>
          <t>not reported</t>
        </is>
      </c>
    </row>
    <row r="22">
      <c r="A22" s="10" t="inlineStr">
        <is>
          <t>16. Total assets</t>
        </is>
      </c>
      <c r="B22" s="11">
        <f>SUM(B7:B21)</f>
        <v/>
      </c>
      <c r="C22" s="11">
        <f>SUM(C7:C21)</f>
        <v/>
      </c>
    </row>
    <row r="24">
      <c r="A24" s="6" t="inlineStr">
        <is>
          <t>Liabilities</t>
        </is>
      </c>
      <c r="B24" s="7" t="n"/>
      <c r="C24" s="7" t="n"/>
    </row>
    <row r="25">
      <c r="A25" s="8" t="inlineStr">
        <is>
          <t xml:space="preserve">    17. Accounts payable and accrued expenses</t>
        </is>
      </c>
      <c r="B25" s="9" t="n">
        <v>40991</v>
      </c>
      <c r="C25" s="14" t="inlineStr">
        <is>
          <t>not reported</t>
        </is>
      </c>
    </row>
    <row r="26">
      <c r="A26" s="8" t="inlineStr">
        <is>
          <t xml:space="preserve">    19. Deferred revenue</t>
        </is>
      </c>
      <c r="B26" s="9" t="n">
        <v>14027</v>
      </c>
      <c r="C26" s="14" t="inlineStr">
        <is>
          <t>not reported</t>
        </is>
      </c>
    </row>
    <row r="27">
      <c r="A27" s="8" t="inlineStr">
        <is>
          <t xml:space="preserve">    25. Other liabilities</t>
        </is>
      </c>
      <c r="B27" s="9" t="n">
        <v>246269</v>
      </c>
      <c r="C27" s="9" t="n">
        <v>6857</v>
      </c>
    </row>
    <row r="28">
      <c r="A28" s="10" t="inlineStr">
        <is>
          <t>26. Total liabilities</t>
        </is>
      </c>
      <c r="B28" s="11">
        <f>SUM(B25:B27)</f>
        <v/>
      </c>
      <c r="C28" s="11">
        <f>SUM(C25:C27)</f>
        <v/>
      </c>
    </row>
    <row r="30">
      <c r="A30" s="6" t="inlineStr">
        <is>
          <t>Net assets / fund balances</t>
        </is>
      </c>
      <c r="B30" s="7" t="n"/>
      <c r="C30" s="7" t="n"/>
    </row>
    <row r="31">
      <c r="A31" s="8" t="inlineStr">
        <is>
          <t xml:space="preserve">    29. Capital stock or trust principal</t>
        </is>
      </c>
      <c r="B31" s="9" t="n">
        <v>107502</v>
      </c>
      <c r="C31" s="9" t="n">
        <v>107502</v>
      </c>
    </row>
    <row r="32">
      <c r="A32" s="8" t="inlineStr">
        <is>
          <t xml:space="preserve">    30. Paid-in or capital surplus</t>
        </is>
      </c>
      <c r="B32" s="9" t="n">
        <v>220469</v>
      </c>
      <c r="C32" s="9" t="n">
        <v>220469</v>
      </c>
    </row>
    <row r="33">
      <c r="A33" s="8" t="inlineStr">
        <is>
          <t xml:space="preserve">    31. Retained earnings / accumulated funds</t>
        </is>
      </c>
      <c r="B33" s="9" t="n">
        <v>-130820</v>
      </c>
      <c r="C33" s="9" t="n">
        <v>-91801</v>
      </c>
    </row>
    <row r="34">
      <c r="A34" s="10" t="inlineStr">
        <is>
          <t>32. Total net assets / fund balances</t>
        </is>
      </c>
      <c r="B34" s="11">
        <f>SUM(B31:B33)</f>
        <v/>
      </c>
      <c r="C34" s="11">
        <f>SUM(C31:C33)</f>
        <v/>
      </c>
    </row>
    <row r="36" ht="42" customHeight="1">
      <c r="A36"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1:C1"/>
    <mergeCell ref="A36:C36"/>
    <mergeCell ref="A3:C3"/>
    <mergeCell ref="A2:C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s>
  <sheetData>
    <row r="1">
      <c r="A1" s="1" t="inlineStr">
        <is>
          <t>Krista Mutual Water Company</t>
        </is>
      </c>
    </row>
    <row r="2">
      <c r="A2" s="2" t="inlineStr">
        <is>
          <t>Reconciliation of Net Assets - Form 990 Part XI (USD)</t>
        </is>
      </c>
    </row>
    <row r="3">
      <c r="A3" s="2" t="inlineStr">
        <is>
          <t>Entity ID: cawc_0073   |   Fiscal year ends December 31.</t>
        </is>
      </c>
    </row>
    <row r="5">
      <c r="A5" s="4" t="inlineStr">
        <is>
          <t>Part XI line</t>
        </is>
      </c>
      <c r="B5" s="5" t="inlineStr">
        <is>
          <t>FY2023</t>
        </is>
      </c>
      <c r="C5" s="5" t="inlineStr">
        <is>
          <t>FY2024</t>
        </is>
      </c>
    </row>
    <row r="6">
      <c r="A6" s="6" t="inlineStr">
        <is>
          <t>Reconciliation</t>
        </is>
      </c>
      <c r="B6" s="7" t="n"/>
      <c r="C6" s="7" t="n"/>
    </row>
    <row r="7">
      <c r="A7" s="8" t="inlineStr">
        <is>
          <t xml:space="preserve">    4. Net assets, beginning of year</t>
        </is>
      </c>
      <c r="B7" s="9" t="n">
        <v>127997</v>
      </c>
      <c r="C7" s="9" t="n">
        <v>197151</v>
      </c>
    </row>
    <row r="8">
      <c r="A8" s="8" t="inlineStr">
        <is>
          <t xml:space="preserve">    3. Revenue less expenses</t>
        </is>
      </c>
      <c r="B8" s="9" t="n">
        <v>16783</v>
      </c>
      <c r="C8" s="9" t="n">
        <v>39019</v>
      </c>
    </row>
    <row r="9">
      <c r="A9" s="8" t="inlineStr">
        <is>
          <t xml:space="preserve">    8. Prior period adjustments</t>
        </is>
      </c>
      <c r="B9" s="9" t="n">
        <v>52371</v>
      </c>
      <c r="C9" s="14" t="inlineStr">
        <is>
          <t>not reported</t>
        </is>
      </c>
    </row>
    <row r="10">
      <c r="A10" s="8" t="inlineStr">
        <is>
          <t xml:space="preserve">    9. Other changes in net assets</t>
        </is>
      </c>
      <c r="B10" s="14" t="inlineStr">
        <is>
          <t>not reported</t>
        </is>
      </c>
      <c r="C10" s="14" t="inlineStr">
        <is>
          <t>not reported</t>
        </is>
      </c>
    </row>
    <row r="11">
      <c r="A11" s="10" t="inlineStr">
        <is>
          <t>10. Net assets, end of year</t>
        </is>
      </c>
      <c r="B11" s="11">
        <f>SUM(B7,B8,B9,B10)</f>
        <v/>
      </c>
      <c r="C11" s="11">
        <f>SUM(C7,C8,C9,C10)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C1"/>
    <mergeCell ref="A13:C13"/>
    <mergeCell ref="A3:C3"/>
    <mergeCell ref="A2:C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Krista Mutual Water Company</t>
        </is>
      </c>
    </row>
    <row r="2">
      <c r="A2" s="2" t="inlineStr">
        <is>
          <t>Cash Flow Proxies - derived (USD)</t>
        </is>
      </c>
    </row>
    <row r="3">
      <c r="A3" s="2" t="inlineStr">
        <is>
          <t>Entity ID: cawc_0073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29950</v>
      </c>
      <c r="C9" s="9" t="n">
        <v>16410</v>
      </c>
      <c r="D9" s="9" t="n">
        <v>-10480</v>
      </c>
      <c r="E9" s="9" t="n">
        <v>16783</v>
      </c>
      <c r="F9" s="9" t="n">
        <v>39019</v>
      </c>
    </row>
    <row r="10">
      <c r="A10" s="8" t="inlineStr">
        <is>
          <t xml:space="preserve">    + Depreciation (reported)</t>
        </is>
      </c>
      <c r="B10" s="9" t="n"/>
      <c r="C10" s="9" t="n"/>
      <c r="D10" s="9" t="n"/>
      <c r="E10" s="9" t="n">
        <v>1914</v>
      </c>
      <c r="F10" s="9" t="n">
        <v>1903</v>
      </c>
    </row>
    <row r="11">
      <c r="A11" s="8" t="inlineStr">
        <is>
          <t xml:space="preserve">    − Δ Accounts receivable</t>
        </is>
      </c>
      <c r="B11" s="9" t="n"/>
      <c r="C11" s="9" t="n"/>
      <c r="D11" s="9" t="n"/>
      <c r="E11" s="9" t="n"/>
      <c r="F11" s="9" t="n">
        <v>274980</v>
      </c>
    </row>
    <row r="12">
      <c r="A12" s="8" t="inlineStr">
        <is>
          <t xml:space="preserve">    − Δ Inventories</t>
        </is>
      </c>
      <c r="B12" s="9" t="n"/>
      <c r="C12" s="9" t="n"/>
      <c r="D12" s="9" t="n"/>
      <c r="E12" s="9" t="n"/>
      <c r="F12" s="9" t="n"/>
    </row>
    <row r="13">
      <c r="A13" s="8" t="inlineStr">
        <is>
          <t xml:space="preserve">    − Δ Prepaid expenses</t>
        </is>
      </c>
      <c r="B13" s="9" t="n"/>
      <c r="C13" s="9" t="n"/>
      <c r="D13" s="9" t="n"/>
      <c r="E13" s="9" t="n"/>
      <c r="F13" s="9" t="n">
        <v>992</v>
      </c>
    </row>
    <row r="14">
      <c r="A14" s="8" t="inlineStr">
        <is>
          <t xml:space="preserve">    + Δ Accounts payable</t>
        </is>
      </c>
      <c r="B14" s="9" t="n"/>
      <c r="C14" s="9" t="n"/>
      <c r="D14" s="9" t="n"/>
      <c r="E14" s="9" t="n"/>
      <c r="F14" s="9" t="n"/>
    </row>
    <row r="15">
      <c r="A15" s="10" t="inlineStr">
        <is>
          <t xml:space="preserve">    Operating cash flow proxy</t>
        </is>
      </c>
      <c r="B15" s="11" t="n"/>
      <c r="C15" s="11" t="n">
        <v>16410</v>
      </c>
      <c r="D15" s="11" t="n">
        <v>-10480</v>
      </c>
      <c r="E15" s="11" t="n">
        <v>18697</v>
      </c>
      <c r="F15" s="11" t="n">
        <v>316894</v>
      </c>
    </row>
    <row r="17">
      <c r="A17" s="6" t="inlineStr">
        <is>
          <t>Investing</t>
        </is>
      </c>
      <c r="B17" s="7" t="n"/>
      <c r="C17" s="7" t="n"/>
      <c r="D17" s="7" t="n"/>
      <c r="E17" s="7" t="n"/>
      <c r="F17" s="7" t="n"/>
    </row>
    <row r="18">
      <c r="A18" s="8" t="inlineStr">
        <is>
          <t xml:space="preserve">    − Δ PP&amp;E gross (capex proxy)</t>
        </is>
      </c>
      <c r="B18" s="9" t="n"/>
      <c r="C18" s="9" t="n"/>
      <c r="D18" s="9" t="n"/>
      <c r="E18" s="9" t="n"/>
      <c r="F18" s="9" t="n">
        <v>0</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20926</v>
      </c>
      <c r="D24" s="11" t="n">
        <v>13925</v>
      </c>
      <c r="E24" s="11" t="n">
        <v>10669</v>
      </c>
      <c r="F24" s="11" t="n">
        <v>27040</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Krista Mutual Water Company</t>
        </is>
      </c>
    </row>
    <row r="2">
      <c r="A2" s="2" t="inlineStr">
        <is>
          <t>Financial Ratios</t>
        </is>
      </c>
    </row>
    <row r="3">
      <c r="A3" s="2" t="inlineStr">
        <is>
          <t>Entity ID: cawc_0073   |   Fiscal year ends December 31.</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0.1571444312106155</v>
      </c>
      <c r="C7" s="12" t="n">
        <v>0.08277928550530171</v>
      </c>
      <c r="D7" s="12" t="n">
        <v>-0.06190158357009114</v>
      </c>
      <c r="E7" s="12" t="n">
        <v>0.02412286375461745</v>
      </c>
      <c r="F7" s="12" t="n">
        <v>0.08591276394301693</v>
      </c>
    </row>
    <row r="8">
      <c r="A8" s="8" t="inlineStr">
        <is>
          <t xml:space="preserve">    Expense ratio (expenses / revenue)</t>
        </is>
      </c>
      <c r="B8" s="12" t="n">
        <v>0.8428555687893845</v>
      </c>
      <c r="C8" s="12" t="n">
        <v>0.9172207144946983</v>
      </c>
      <c r="D8" s="12" t="n">
        <v>1.061901583570091</v>
      </c>
      <c r="E8" s="12" t="n">
        <v>0.9758771362453825</v>
      </c>
      <c r="F8" s="12" t="n">
        <v>0.9140872360569831</v>
      </c>
    </row>
    <row r="9">
      <c r="A9" s="8" t="inlineStr">
        <is>
          <t xml:space="preserve">    Return on assets (NI / assets)</t>
        </is>
      </c>
      <c r="B9" s="12" t="n">
        <v>0.1702720372949771</v>
      </c>
      <c r="C9" s="12" t="n">
        <v>0.08734623921478871</v>
      </c>
      <c r="D9" s="12" t="n">
        <v>-0.04667673245057299</v>
      </c>
      <c r="E9" s="12" t="n">
        <v>0.03367118879379181</v>
      </c>
      <c r="F9" s="12" t="n">
        <v>0.1605541771078934</v>
      </c>
    </row>
    <row r="10">
      <c r="A10" s="8" t="inlineStr">
        <is>
          <t xml:space="preserve">    Revenue growth (YoY)</t>
        </is>
      </c>
      <c r="B10" s="12" t="n"/>
      <c r="C10" s="12" t="n"/>
      <c r="D10" s="12" t="n"/>
      <c r="E10" s="12" t="n"/>
      <c r="F10" s="12" t="n">
        <v>-0.3472036565909189</v>
      </c>
    </row>
    <row r="12">
      <c r="A12" s="6" t="inlineStr">
        <is>
          <t>Leverage &amp; solvency</t>
        </is>
      </c>
      <c r="B12" s="7" t="n"/>
      <c r="C12" s="7" t="n"/>
      <c r="D12" s="7" t="n"/>
      <c r="E12" s="7" t="n"/>
      <c r="F12" s="7" t="n"/>
    </row>
    <row r="13">
      <c r="A13" s="8" t="inlineStr">
        <is>
          <t xml:space="preserve">    Debt-to-assets (liab. / assets)</t>
        </is>
      </c>
      <c r="B13" s="12" t="n">
        <v>0.06327070127064442</v>
      </c>
      <c r="C13" s="12" t="n">
        <v>0.03564642072038025</v>
      </c>
      <c r="D13" s="12" t="n">
        <v>0.4299203199672194</v>
      </c>
      <c r="E13" s="12" t="n">
        <v>0.6044623403512573</v>
      </c>
      <c r="F13" s="12" t="n">
        <v>0.028214971998996</v>
      </c>
    </row>
    <row r="14">
      <c r="A14" s="8" t="inlineStr">
        <is>
          <t xml:space="preserve">    Equity ratio (net assets / assets)</t>
        </is>
      </c>
      <c r="B14" s="12" t="n">
        <v>0.9367292987293556</v>
      </c>
      <c r="C14" s="12" t="n">
        <v>0.9643535792796197</v>
      </c>
      <c r="D14" s="12" t="n">
        <v>0.5700796800327806</v>
      </c>
      <c r="E14" s="12" t="n">
        <v>0.3955376596487427</v>
      </c>
      <c r="F14" s="12" t="n">
        <v>0.971785028001004</v>
      </c>
    </row>
    <row r="16">
      <c r="A16" s="6" t="inlineStr">
        <is>
          <t>Liquidity &amp; asset profile (derived here)</t>
        </is>
      </c>
      <c r="B16" s="7" t="n"/>
      <c r="C16" s="7" t="n"/>
      <c r="D16" s="7" t="n"/>
      <c r="E16" s="7" t="n"/>
      <c r="F16" s="7" t="n"/>
    </row>
    <row r="17">
      <c r="A17" s="8" t="inlineStr">
        <is>
          <t xml:space="preserve">    Current ratio (current assets / AP)</t>
        </is>
      </c>
      <c r="B17" s="19" t="n"/>
      <c r="C17" s="19" t="n"/>
      <c r="D17" s="19" t="n"/>
      <c r="E17" s="19" t="n">
        <v>11.42516649996341</v>
      </c>
      <c r="F17" s="19" t="n"/>
    </row>
    <row r="18">
      <c r="A18" s="8" t="inlineStr">
        <is>
          <t xml:space="preserve">    Cash ratio ((cash+temp inv.) / total liab.)</t>
        </is>
      </c>
      <c r="B18" s="19" t="n">
        <v>11.13900620001797</v>
      </c>
      <c r="C18" s="19" t="n">
        <v>21.6353591160221</v>
      </c>
      <c r="D18" s="19" t="n">
        <v>1.64531167445378</v>
      </c>
      <c r="E18" s="19" t="n">
        <v>0.5625400365764205</v>
      </c>
      <c r="F18" s="19" t="n">
        <v>28.66063876330757</v>
      </c>
    </row>
    <row r="19">
      <c r="A19" s="8" t="inlineStr">
        <is>
          <t xml:space="preserve">    Asset age proxy (accum. deprec. / gross PP&amp;E)</t>
        </is>
      </c>
      <c r="B19" s="12" t="n"/>
      <c r="C19" s="12" t="n"/>
      <c r="D19" s="12" t="n"/>
      <c r="E19" s="12" t="n">
        <v>0.9384239541983996</v>
      </c>
      <c r="F19" s="12" t="n">
        <v>0.9430132784125713</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Krista Mutual Water Company</t>
        </is>
      </c>
    </row>
    <row r="2">
      <c r="A2" s="2" t="inlineStr">
        <is>
          <t>Unit economics - per-customer revenue by category (USD)</t>
        </is>
      </c>
    </row>
    <row r="3">
      <c r="A3" s="2" t="inlineStr">
        <is>
          <t>Entity ID: cawc_0073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Krista Mutual Water Company</t>
        </is>
      </c>
    </row>
    <row r="2">
      <c r="A2" s="2" t="inlineStr">
        <is>
          <t>Rate structure and representative bill - eAR Section 8a</t>
        </is>
      </c>
    </row>
    <row r="3">
      <c r="A3" s="2" t="inlineStr">
        <is>
          <t>Entity ID: cawc_0073   |   Fiscal year ends December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Krista Mutual Water Company</t>
        </is>
      </c>
    </row>
    <row r="2">
      <c r="A2" s="2" t="inlineStr">
        <is>
          <t>Operational metrics - plant per acre, density, terrain</t>
        </is>
      </c>
    </row>
    <row r="3">
      <c r="A3" s="2" t="inlineStr">
        <is>
          <t>Entity ID: cawc_0073   |   Fiscal year ends December 31.</t>
        </is>
      </c>
    </row>
    <row r="5">
      <c r="A5" s="6" t="inlineStr">
        <is>
          <t>Plant assets per acre</t>
        </is>
      </c>
      <c r="B5" s="7" t="n"/>
      <c r="C5" s="7" t="n"/>
    </row>
    <row r="6">
      <c r="A6" s="20" t="inlineStr">
        <is>
          <t>Service-area acres</t>
        </is>
      </c>
      <c r="B6" s="26" t="n">
        <v>89.40000000000001</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FY2020</t>
        </is>
      </c>
      <c r="B8" s="9" t="n"/>
      <c r="C8" s="9" t="n"/>
    </row>
    <row r="9">
      <c r="A9" s="18" t="inlineStr">
        <is>
          <t>FY2021</t>
        </is>
      </c>
      <c r="B9" s="9" t="n"/>
      <c r="C9" s="9" t="n"/>
    </row>
    <row r="10">
      <c r="A10" s="18" t="inlineStr">
        <is>
          <t>FY2022</t>
        </is>
      </c>
      <c r="B10" s="9" t="n"/>
      <c r="C10" s="9" t="n"/>
    </row>
    <row r="11">
      <c r="A11" s="18" t="inlineStr">
        <is>
          <t>FY2023</t>
        </is>
      </c>
      <c r="B11" s="9" t="n">
        <v>4638.2327</v>
      </c>
      <c r="C11" s="9" t="n">
        <v>285.604</v>
      </c>
    </row>
    <row r="12">
      <c r="A12" s="18" t="inlineStr">
        <is>
          <t>FY2024</t>
        </is>
      </c>
      <c r="B12" s="9" t="n">
        <v>4638.2327</v>
      </c>
      <c r="C12" s="9" t="n">
        <v>264.3177</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2</v>
      </c>
      <c r="C19" s="22" t="inlineStr">
        <is>
          <t>179 connections / 89.4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Krista Mutual Water Company</t>
        </is>
      </c>
    </row>
    <row r="2">
      <c r="A2" s="2" t="inlineStr">
        <is>
          <t>Supply and weather indicators (DWR water year)</t>
        </is>
      </c>
    </row>
    <row r="3">
      <c r="A3" s="2" t="inlineStr">
        <is>
          <t>Entity ID: cawc_0073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27" t="inlineStr">
        <is>
          <t>Dry</t>
        </is>
      </c>
      <c r="C8" s="27" t="inlineStr">
        <is>
          <t>Critical</t>
        </is>
      </c>
      <c r="D8" s="27" t="inlineStr">
        <is>
          <t>Critical</t>
        </is>
      </c>
      <c r="E8" s="27" t="inlineStr">
        <is>
          <t>Wet</t>
        </is>
      </c>
      <c r="F8" s="27" t="inlineStr">
        <is>
          <t>Above Normal</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63</t>
        </is>
      </c>
      <c r="C10" s="27" t="inlineStr">
        <is>
          <t>48</t>
        </is>
      </c>
      <c r="D10" s="27" t="inlineStr">
        <is>
          <t>86</t>
        </is>
      </c>
      <c r="E10" s="27" t="inlineStr">
        <is>
          <t>133</t>
        </is>
      </c>
      <c r="F10" s="27" t="inlineStr">
        <is>
          <t>96</t>
        </is>
      </c>
    </row>
    <row r="11">
      <c r="A11" s="8" t="inlineStr">
        <is>
          <t>Snowpack, April 1 percent of average</t>
        </is>
      </c>
      <c r="B11" s="27" t="inlineStr">
        <is>
          <t>53%</t>
        </is>
      </c>
      <c r="C11" s="27" t="inlineStr">
        <is>
          <t>59%</t>
        </is>
      </c>
      <c r="D11" s="27" t="inlineStr">
        <is>
          <t>38%</t>
        </is>
      </c>
      <c r="E11" s="27" t="inlineStr">
        <is>
          <t>237%</t>
        </is>
      </c>
      <c r="F11" s="27" t="inlineStr">
        <is>
          <t>110%</t>
        </is>
      </c>
    </row>
    <row r="12">
      <c r="A12" s="8" t="inlineStr">
        <is>
          <t>State Water Project allocation</t>
        </is>
      </c>
      <c r="B12" s="27" t="inlineStr">
        <is>
          <t>20%</t>
        </is>
      </c>
      <c r="C12" s="27" t="inlineStr">
        <is>
          <t>5%</t>
        </is>
      </c>
      <c r="D12" s="27" t="inlineStr">
        <is>
          <t>5%</t>
        </is>
      </c>
      <c r="E12" s="27" t="inlineStr">
        <is>
          <t>100%</t>
        </is>
      </c>
      <c r="F12" s="27"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Krista Mutual Water Company</t>
        </is>
      </c>
    </row>
    <row r="2">
      <c r="A2" s="2" t="inlineStr">
        <is>
          <t>How this was built - forensic lineage</t>
        </is>
      </c>
    </row>
    <row r="3">
      <c r="A3" s="2" t="inlineStr">
        <is>
          <t>Entity ID: cawc_0073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23"/>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Krista Mutual Water Company</t>
        </is>
      </c>
    </row>
    <row r="2">
      <c r="A2" s="2" t="inlineStr">
        <is>
          <t>Anomaly Flags (automated; kept separate from the clean statements)</t>
        </is>
      </c>
    </row>
    <row r="3">
      <c r="A3" s="2" t="inlineStr">
        <is>
          <t>Entity ID: cawc_0073   |   Fiscal year ends December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FY2022 opening net assets differ from FY2021 closing</t>
        </is>
      </c>
      <c r="B7" s="7" t="n"/>
    </row>
    <row r="8">
      <c r="A8" s="20" t="inlineStr">
        <is>
          <t>Affected figure</t>
        </is>
      </c>
      <c r="B8" s="22" t="inlineStr">
        <is>
          <t>Net assets FY2022</t>
        </is>
      </c>
    </row>
    <row r="9">
      <c r="A9" s="20" t="inlineStr">
        <is>
          <t>Confidence</t>
        </is>
      </c>
      <c r="B9" s="22" t="inlineStr">
        <is>
          <t>high</t>
        </is>
      </c>
    </row>
    <row r="10" ht="72" customHeight="1">
      <c r="A10" s="20" t="inlineStr">
        <is>
          <t>What happened (filed, sourced)</t>
        </is>
      </c>
      <c r="B10" s="22" t="inlineStr">
        <is>
          <t>The company filed $138,476 as its beginning net assets for FY2022 and $181,176 as its ending net assets for FY2021, a difference of $-42,700. Both figures are carried exactly as each year's own filing reports them. Neither is adjusted to match the other.</t>
        </is>
      </c>
    </row>
    <row r="11" ht="54" customHeight="1">
      <c r="A11" s="20" t="inlineStr">
        <is>
          <t>Source lines</t>
        </is>
      </c>
      <c r="B11" s="22" t="inlineStr">
        <is>
          <t>- FY2022 net assets, beginning of year (as filed): $138,476
- FY2021 net assets, end of year (as filed): $181,176
- Difference: $-42,700</t>
        </is>
      </c>
    </row>
    <row r="12" ht="72" customHeight="1">
      <c r="A12" s="20" t="inlineStr">
        <is>
          <t>Confidence reasoning</t>
        </is>
      </c>
      <c r="B12" s="22" t="inlineStr">
        <is>
          <t>Both are direct filed line items read from two different returns, so the difference between them is high confidence as an observation. What caused it is not stated on either form.</t>
        </is>
      </c>
    </row>
    <row r="13">
      <c r="A13" s="20" t="inlineStr">
        <is>
          <t>Why (not stated in the filing)</t>
        </is>
      </c>
      <c r="B13" s="22" t="inlineStr">
        <is>
          <t>The filing does not state a reason.</t>
        </is>
      </c>
    </row>
    <row r="14" ht="60" customHeight="1">
      <c r="A14" s="20" t="inlineStr">
        <is>
          <t>Possible explanation (guess)</t>
        </is>
      </c>
      <c r="B14" s="29"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row r="16">
      <c r="A16" s="6" t="inlineStr">
        <is>
          <t>Flag: FY2023 opening net assets differ from FY2022 closing</t>
        </is>
      </c>
      <c r="B16" s="7" t="n"/>
    </row>
    <row r="17">
      <c r="A17" s="20" t="inlineStr">
        <is>
          <t>Affected figure</t>
        </is>
      </c>
      <c r="B17" s="22" t="inlineStr">
        <is>
          <t>Net assets FY2023</t>
        </is>
      </c>
    </row>
    <row r="18">
      <c r="A18" s="20" t="inlineStr">
        <is>
          <t>Confidence</t>
        </is>
      </c>
      <c r="B18" s="22" t="inlineStr">
        <is>
          <t>high</t>
        </is>
      </c>
    </row>
    <row r="19" ht="72" customHeight="1">
      <c r="A19" s="20" t="inlineStr">
        <is>
          <t>What happened (filed, sourced)</t>
        </is>
      </c>
      <c r="B19" s="22" t="inlineStr">
        <is>
          <t>The company filed $127,997 as its beginning net assets for FY2023 and $127,996 as its ending net assets for FY2022, a difference of $1. Both figures are carried exactly as each year's own filing reports them. Neither is adjusted to match the other.</t>
        </is>
      </c>
    </row>
    <row r="20" ht="54" customHeight="1">
      <c r="A20" s="20" t="inlineStr">
        <is>
          <t>Source lines</t>
        </is>
      </c>
      <c r="B20" s="22" t="inlineStr">
        <is>
          <t>- FY2023 net assets, beginning of year (as filed): $127,997
- FY2022 net assets, end of year (as filed): $127,996
- Difference: $1</t>
        </is>
      </c>
    </row>
    <row r="21" ht="72" customHeight="1">
      <c r="A21" s="20" t="inlineStr">
        <is>
          <t>Confidence reasoning</t>
        </is>
      </c>
      <c r="B21" s="22" t="inlineStr">
        <is>
          <t>Both are direct filed line items read from two different returns, so the difference between them is high confidence as an observation. What caused it is not stated on either form.</t>
        </is>
      </c>
    </row>
    <row r="22">
      <c r="A22" s="20" t="inlineStr">
        <is>
          <t>Why (not stated in the filing)</t>
        </is>
      </c>
      <c r="B22" s="22" t="inlineStr">
        <is>
          <t>The filing does not state a reason.</t>
        </is>
      </c>
    </row>
    <row r="23" ht="60" customHeight="1">
      <c r="A23" s="20" t="inlineStr">
        <is>
          <t>Possible explanation (guess)</t>
        </is>
      </c>
      <c r="B23" s="29"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sheetData>
  <mergeCells count="4">
    <mergeCell ref="A3:B3"/>
    <mergeCell ref="A2:B2"/>
    <mergeCell ref="A1:B1"/>
    <mergeCell ref="A5:B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28"/>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Krista Mutual Water Company</t>
        </is>
      </c>
    </row>
    <row r="2">
      <c r="A2" s="2" t="inlineStr">
        <is>
          <t>Sources &amp; audit - full provenance and tie-outs (kept off the statements so they read clean)</t>
        </is>
      </c>
    </row>
    <row r="3">
      <c r="A3" s="2" t="inlineStr">
        <is>
          <t>Entity ID: cawc_0073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0"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2020-12-31</t>
        </is>
      </c>
      <c r="C10" s="8" t="inlineStr">
        <is>
          <t>990-EZ</t>
        </is>
      </c>
      <c r="D10" s="8" t="inlineStr">
        <is>
          <t>high</t>
        </is>
      </c>
      <c r="E10" s="8" t="inlineStr">
        <is>
          <t>51def515-6152-4616-9c3b-c689d9b31084</t>
        </is>
      </c>
      <c r="F10" s="8" t="inlineStr">
        <is>
          <t>202112879349200936</t>
        </is>
      </c>
      <c r="G10" s="8" t="inlineStr">
        <is>
          <t>claude-opus-5</t>
        </is>
      </c>
      <c r="H10" s="8" t="inlineStr">
        <is>
          <t>2026-09-21T02:49:59+00:00</t>
        </is>
      </c>
      <c r="I10" s="8" t="inlineStr">
        <is>
          <t>https://apps.irs.gov/pub/epostcard/990/xml/2021/2021_TEOS_XML_01A.zip#202112879349200936_public.xml</t>
        </is>
      </c>
    </row>
    <row r="11">
      <c r="A11" s="27" t="inlineStr">
        <is>
          <t>FY2021</t>
        </is>
      </c>
      <c r="B11" s="8" t="inlineStr">
        <is>
          <t>2021-12-31</t>
        </is>
      </c>
      <c r="C11" s="8" t="inlineStr">
        <is>
          <t>990-EZ</t>
        </is>
      </c>
      <c r="D11" s="8" t="inlineStr">
        <is>
          <t>high</t>
        </is>
      </c>
      <c r="E11" s="8" t="inlineStr">
        <is>
          <t>87661124-09d9-4898-98a4-a73c7e4d75c7</t>
        </is>
      </c>
      <c r="F11" s="8" t="inlineStr">
        <is>
          <t>202242729349200139</t>
        </is>
      </c>
      <c r="G11" s="8" t="inlineStr">
        <is>
          <t>claude-opus-5</t>
        </is>
      </c>
      <c r="H11" s="8" t="inlineStr">
        <is>
          <t>2026-09-21T02:49:59+00:00</t>
        </is>
      </c>
      <c r="I11" s="8" t="inlineStr">
        <is>
          <t>https://apps.irs.gov/pub/epostcard/990/xml/2022/2022_TEOS_XML_01A.zip#202242729349200139_public.xml</t>
        </is>
      </c>
    </row>
    <row r="12">
      <c r="A12" s="27" t="inlineStr">
        <is>
          <t>FY2022</t>
        </is>
      </c>
      <c r="B12" s="8" t="inlineStr">
        <is>
          <t>2022-12-31</t>
        </is>
      </c>
      <c r="C12" s="8" t="inlineStr">
        <is>
          <t>990-EZ</t>
        </is>
      </c>
      <c r="D12" s="8" t="inlineStr">
        <is>
          <t>high</t>
        </is>
      </c>
      <c r="E12" s="8" t="inlineStr">
        <is>
          <t>64b67970-2ed4-4837-b45f-73e820805765</t>
        </is>
      </c>
      <c r="F12" s="8" t="inlineStr">
        <is>
          <t>202331799349200443</t>
        </is>
      </c>
      <c r="G12" s="8" t="inlineStr">
        <is>
          <t>claude-opus-5</t>
        </is>
      </c>
      <c r="H12" s="8" t="inlineStr">
        <is>
          <t>2026-09-21T02:49:59+00:00</t>
        </is>
      </c>
      <c r="I12" s="8" t="inlineStr">
        <is>
          <t>https://apps.irs.gov/pub/epostcard/990/xml/2023/2023_TEOS_XML_07A.zip#202331799349200443_public.xml</t>
        </is>
      </c>
    </row>
    <row r="13">
      <c r="A13" s="27" t="inlineStr">
        <is>
          <t>FY2023</t>
        </is>
      </c>
      <c r="B13" s="8" t="inlineStr">
        <is>
          <t>2023-12-31</t>
        </is>
      </c>
      <c r="C13" s="8" t="inlineStr">
        <is>
          <t>990</t>
        </is>
      </c>
      <c r="D13" s="8" t="inlineStr">
        <is>
          <t>high</t>
        </is>
      </c>
      <c r="E13" s="8" t="inlineStr">
        <is>
          <t>a192608d-f184-4294-af6f-a2554f1b00c9</t>
        </is>
      </c>
      <c r="F13" s="8" t="inlineStr">
        <is>
          <t>202432569349301238</t>
        </is>
      </c>
      <c r="G13" s="8" t="inlineStr">
        <is>
          <t>claude-opus-5</t>
        </is>
      </c>
      <c r="H13" s="8" t="inlineStr">
        <is>
          <t>2026-09-21T02:49:59+00:00</t>
        </is>
      </c>
      <c r="I13" s="8" t="inlineStr">
        <is>
          <t>https://apps.irs.gov/pub/epostcard/990/xml/2024/2024_TEOS_XML_09A.zip#202432569349301238_public.xml</t>
        </is>
      </c>
    </row>
    <row r="14">
      <c r="A14" s="27" t="inlineStr">
        <is>
          <t>FY2024</t>
        </is>
      </c>
      <c r="B14" s="8" t="inlineStr">
        <is>
          <t>2024-12-31</t>
        </is>
      </c>
      <c r="C14" s="8" t="inlineStr">
        <is>
          <t>990</t>
        </is>
      </c>
      <c r="D14" s="8" t="inlineStr">
        <is>
          <t>high</t>
        </is>
      </c>
      <c r="E14" s="8" t="inlineStr">
        <is>
          <t>7985e235-79df-475e-9908-b8036ffc631e</t>
        </is>
      </c>
      <c r="F14" s="8" t="inlineStr">
        <is>
          <t>202511329349305721</t>
        </is>
      </c>
      <c r="G14" s="8" t="inlineStr">
        <is>
          <t>claude-opus-5</t>
        </is>
      </c>
      <c r="H14" s="8" t="inlineStr">
        <is>
          <t>2026-09-21T02:49:59+00:00</t>
        </is>
      </c>
      <c r="I14" s="8" t="inlineStr">
        <is>
          <t>https://apps.irs.gov/pub/epostcard/990/xml/2025/2025_TEOS_XML_05A.zip#202511329349305721_public.xml</t>
        </is>
      </c>
    </row>
    <row r="16">
      <c r="A16" s="30"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182500</v>
      </c>
    </row>
    <row r="19">
      <c r="A19" s="8" t="inlineStr">
        <is>
          <t>Financial Statements</t>
        </is>
      </c>
      <c r="B19" s="8" t="inlineStr">
        <is>
          <t>C73</t>
        </is>
      </c>
      <c r="C19" s="8" t="inlineStr">
        <is>
          <t>11a. Gross income from members or shareholders</t>
        </is>
      </c>
      <c r="D19" s="8" t="inlineStr">
        <is>
          <t>11a</t>
        </is>
      </c>
      <c r="E19" s="8" t="inlineStr">
        <is>
          <t>part_v_other_irs_filings.members_and_shareholders_gross_income</t>
        </is>
      </c>
      <c r="F19" s="8" t="inlineStr">
        <is>
          <t>high</t>
        </is>
      </c>
      <c r="G19" s="9" t="n">
        <v>453823</v>
      </c>
    </row>
    <row r="20">
      <c r="A20" s="8" t="inlineStr">
        <is>
          <t>Financial Statements</t>
        </is>
      </c>
      <c r="B20" s="8" t="inlineStr">
        <is>
          <t>C74</t>
        </is>
      </c>
      <c r="C20" s="8" t="inlineStr">
        <is>
          <t>11b. Gross income from other sources</t>
        </is>
      </c>
      <c r="D20" s="8" t="inlineStr">
        <is>
          <t>11b</t>
        </is>
      </c>
      <c r="E20" s="8" t="inlineStr">
        <is>
          <t>part_v_other_irs_filings.other_sources_gross_income</t>
        </is>
      </c>
      <c r="F20" s="8" t="inlineStr">
        <is>
          <t>high</t>
        </is>
      </c>
      <c r="G20" s="9" t="n">
        <v>0</v>
      </c>
    </row>
    <row r="21">
      <c r="A21" s="8" t="inlineStr">
        <is>
          <t>Revenue (detail)</t>
        </is>
      </c>
      <c r="B21" s="8" t="inlineStr">
        <is>
          <t>B7</t>
        </is>
      </c>
      <c r="C21" s="8" t="inlineStr">
        <is>
          <t>1h. Total contributions, gifts, grants</t>
        </is>
      </c>
      <c r="D21" s="8" t="inlineStr">
        <is>
          <t>1h</t>
        </is>
      </c>
      <c r="E21" s="8" t="inlineStr">
        <is>
          <t>part_viii_revenue.total_contributions</t>
        </is>
      </c>
      <c r="F21" s="8" t="inlineStr">
        <is>
          <t>high</t>
        </is>
      </c>
      <c r="G21" s="9" t="n">
        <v>512655</v>
      </c>
    </row>
    <row r="22">
      <c r="A22" s="8" t="inlineStr">
        <is>
          <t>Revenue (detail)</t>
        </is>
      </c>
      <c r="B22" s="8" t="inlineStr">
        <is>
          <t>B8</t>
        </is>
      </c>
      <c r="C22" s="8" t="inlineStr">
        <is>
          <t>2g. Total program service revenue</t>
        </is>
      </c>
      <c r="D22" s="8" t="inlineStr">
        <is>
          <t>2g</t>
        </is>
      </c>
      <c r="E22" s="8" t="inlineStr">
        <is>
          <t>part_viii_revenue.total_program_service_revenue</t>
        </is>
      </c>
      <c r="F22" s="8" t="inlineStr">
        <is>
          <t>high</t>
        </is>
      </c>
      <c r="G22" s="9" t="n">
        <v>182500</v>
      </c>
    </row>
    <row r="23">
      <c r="A23" s="8" t="inlineStr">
        <is>
          <t>Revenue (detail)</t>
        </is>
      </c>
      <c r="B23" s="8" t="inlineStr">
        <is>
          <t>C8</t>
        </is>
      </c>
      <c r="C23" s="8" t="inlineStr">
        <is>
          <t>2g. Total program service revenue</t>
        </is>
      </c>
      <c r="D23" s="8" t="inlineStr">
        <is>
          <t>2g</t>
        </is>
      </c>
      <c r="E23" s="8" t="inlineStr">
        <is>
          <t>part_viii_revenue.total_program_service_revenue</t>
        </is>
      </c>
      <c r="F23" s="8" t="inlineStr">
        <is>
          <t>high</t>
        </is>
      </c>
      <c r="G23" s="9" t="n">
        <v>453823</v>
      </c>
    </row>
    <row r="24">
      <c r="A24" s="8" t="inlineStr">
        <is>
          <t>Revenue (detail)</t>
        </is>
      </c>
      <c r="B24" s="8" t="inlineStr">
        <is>
          <t>B9</t>
        </is>
      </c>
      <c r="C24" s="8" t="inlineStr">
        <is>
          <t>3. Investment income</t>
        </is>
      </c>
      <c r="D24" s="8" t="inlineStr">
        <is>
          <t>3</t>
        </is>
      </c>
      <c r="E24" s="8" t="inlineStr">
        <is>
          <t>part_viii_revenue.investment_income</t>
        </is>
      </c>
      <c r="F24" s="8" t="inlineStr">
        <is>
          <t>high</t>
        </is>
      </c>
      <c r="G24" s="9" t="n">
        <v>575</v>
      </c>
    </row>
    <row r="25">
      <c r="A25" s="8" t="inlineStr">
        <is>
          <t>Revenue (detail)</t>
        </is>
      </c>
      <c r="B25" s="8" t="inlineStr">
        <is>
          <t>C9</t>
        </is>
      </c>
      <c r="C25" s="8" t="inlineStr">
        <is>
          <t>3. Investment income</t>
        </is>
      </c>
      <c r="D25" s="8" t="inlineStr">
        <is>
          <t>3</t>
        </is>
      </c>
      <c r="E25" s="8" t="inlineStr">
        <is>
          <t>part_viii_revenue.investment_income</t>
        </is>
      </c>
      <c r="F25" s="8" t="inlineStr">
        <is>
          <t>high</t>
        </is>
      </c>
      <c r="G25" s="9" t="n">
        <v>347</v>
      </c>
    </row>
    <row r="26">
      <c r="A26" s="8" t="inlineStr">
        <is>
          <t>Revenue (detail)</t>
        </is>
      </c>
      <c r="B26" s="8" t="inlineStr">
        <is>
          <t>B10</t>
        </is>
      </c>
      <c r="C26" s="8" t="inlineStr">
        <is>
          <t>6d. Net rental income</t>
        </is>
      </c>
      <c r="D26" s="8" t="inlineStr">
        <is>
          <t>6d</t>
        </is>
      </c>
      <c r="E26" s="8" t="inlineStr">
        <is>
          <t>part_viii_revenue.net_rental_income</t>
        </is>
      </c>
      <c r="F26" s="8" t="inlineStr">
        <is>
          <t>high</t>
        </is>
      </c>
      <c r="G26" s="9" t="n">
        <v>0</v>
      </c>
    </row>
    <row r="27">
      <c r="A27" s="8" t="inlineStr">
        <is>
          <t>Revenue (detail)</t>
        </is>
      </c>
      <c r="B27" s="8" t="inlineStr">
        <is>
          <t>B11</t>
        </is>
      </c>
      <c r="C27" s="8" t="inlineStr">
        <is>
          <t>7d. Net gain/(loss) from investment sales</t>
        </is>
      </c>
      <c r="D27" s="8" t="inlineStr">
        <is>
          <t>7d</t>
        </is>
      </c>
      <c r="E27" s="8" t="inlineStr">
        <is>
          <t>part_viii_revenue.net_gain_or_loss_investments</t>
        </is>
      </c>
      <c r="F27" s="8" t="inlineStr">
        <is>
          <t>high</t>
        </is>
      </c>
      <c r="G27" s="9" t="n">
        <v>0</v>
      </c>
    </row>
    <row r="28">
      <c r="A28" s="8" t="inlineStr">
        <is>
          <t>Revenue (detail)</t>
        </is>
      </c>
      <c r="B28" s="8" t="inlineStr">
        <is>
          <t>B12</t>
        </is>
      </c>
      <c r="C28" s="8" t="inlineStr">
        <is>
          <t>11e. Other revenue</t>
        </is>
      </c>
      <c r="D28" s="8" t="inlineStr">
        <is>
          <t>11e</t>
        </is>
      </c>
      <c r="E28" s="8" t="inlineStr">
        <is>
          <t>part_viii_revenue.other_revenue_total</t>
        </is>
      </c>
      <c r="F28" s="8" t="inlineStr">
        <is>
          <t>high</t>
        </is>
      </c>
      <c r="G28" s="9" t="n">
        <v>0</v>
      </c>
    </row>
    <row r="29">
      <c r="A29" s="8" t="inlineStr">
        <is>
          <t>Operating expenses (detail)</t>
        </is>
      </c>
      <c r="B29" s="8" t="inlineStr">
        <is>
          <t>B7</t>
        </is>
      </c>
      <c r="C29" s="8" t="inlineStr">
        <is>
          <t>1. Grants to domestic organizations and governments</t>
        </is>
      </c>
      <c r="D29" s="8" t="inlineStr">
        <is>
          <t>1</t>
        </is>
      </c>
      <c r="E29" s="8" t="inlineStr">
        <is>
          <t>part_ix_expenses.grants_domestic_orgs</t>
        </is>
      </c>
      <c r="F29" s="8" t="inlineStr">
        <is>
          <t>high</t>
        </is>
      </c>
      <c r="G29" s="9" t="n">
        <v>0</v>
      </c>
    </row>
    <row r="30">
      <c r="A30" s="8" t="inlineStr">
        <is>
          <t>Operating expenses (detail)</t>
        </is>
      </c>
      <c r="B30" s="8" t="inlineStr">
        <is>
          <t>B8</t>
        </is>
      </c>
      <c r="C30" s="8" t="inlineStr">
        <is>
          <t>2. Grants to domestic individuals</t>
        </is>
      </c>
      <c r="D30" s="8" t="inlineStr">
        <is>
          <t>2</t>
        </is>
      </c>
      <c r="E30" s="8" t="inlineStr">
        <is>
          <t>part_ix_expenses.grants_domestic_individuals</t>
        </is>
      </c>
      <c r="F30" s="8" t="inlineStr">
        <is>
          <t>high</t>
        </is>
      </c>
      <c r="G30" s="9" t="n">
        <v>0</v>
      </c>
    </row>
    <row r="31">
      <c r="A31" s="8" t="inlineStr">
        <is>
          <t>Operating expenses (detail)</t>
        </is>
      </c>
      <c r="B31" s="8" t="inlineStr">
        <is>
          <t>B9</t>
        </is>
      </c>
      <c r="C31" s="8" t="inlineStr">
        <is>
          <t>3. Grants to foreign organizations and individuals</t>
        </is>
      </c>
      <c r="D31" s="8" t="inlineStr">
        <is>
          <t>3</t>
        </is>
      </c>
      <c r="E31" s="8" t="inlineStr">
        <is>
          <t>part_ix_expenses.foreign_grants</t>
        </is>
      </c>
      <c r="F31" s="8" t="inlineStr">
        <is>
          <t>high</t>
        </is>
      </c>
      <c r="G31" s="9" t="n">
        <v>0</v>
      </c>
    </row>
    <row r="32">
      <c r="A32" s="8" t="inlineStr">
        <is>
          <t>Operating expenses (detail)</t>
        </is>
      </c>
      <c r="B32" s="8" t="inlineStr">
        <is>
          <t>B10</t>
        </is>
      </c>
      <c r="C32" s="8" t="inlineStr">
        <is>
          <t>4. Benefits paid to or for members</t>
        </is>
      </c>
      <c r="D32" s="8" t="inlineStr">
        <is>
          <t>4</t>
        </is>
      </c>
      <c r="E32" s="8" t="inlineStr">
        <is>
          <t>part_ix_expenses.benefits_to_members</t>
        </is>
      </c>
      <c r="F32" s="8" t="inlineStr">
        <is>
          <t>high</t>
        </is>
      </c>
      <c r="G32" s="9" t="n">
        <v>0</v>
      </c>
    </row>
    <row r="33">
      <c r="A33" s="8" t="inlineStr">
        <is>
          <t>Operating expenses (detail)</t>
        </is>
      </c>
      <c r="B33" s="8" t="inlineStr">
        <is>
          <t>B11</t>
        </is>
      </c>
      <c r="C33" s="8" t="inlineStr">
        <is>
          <t>5. Compensation of current officers, directors, trustees</t>
        </is>
      </c>
      <c r="D33" s="8" t="inlineStr">
        <is>
          <t>5</t>
        </is>
      </c>
      <c r="E33" s="8" t="inlineStr">
        <is>
          <t>part_ix_expenses.comp_current_officers</t>
        </is>
      </c>
      <c r="F33" s="8" t="inlineStr">
        <is>
          <t>high</t>
        </is>
      </c>
      <c r="G33" s="9" t="n">
        <v>0</v>
      </c>
    </row>
    <row r="34">
      <c r="A34" s="8" t="inlineStr">
        <is>
          <t>Operating expenses (detail)</t>
        </is>
      </c>
      <c r="B34" s="8" t="inlineStr">
        <is>
          <t>B12</t>
        </is>
      </c>
      <c r="C34" s="8" t="inlineStr">
        <is>
          <t>6. Compensation to disqualified persons</t>
        </is>
      </c>
      <c r="D34" s="8" t="inlineStr">
        <is>
          <t>6</t>
        </is>
      </c>
      <c r="E34" s="8" t="inlineStr">
        <is>
          <t>part_ix_expenses.comp_disqualified_persons</t>
        </is>
      </c>
      <c r="F34" s="8" t="inlineStr">
        <is>
          <t>high</t>
        </is>
      </c>
      <c r="G34" s="9" t="n">
        <v>0</v>
      </c>
    </row>
    <row r="35">
      <c r="A35" s="8" t="inlineStr">
        <is>
          <t>Operating expenses (detail)</t>
        </is>
      </c>
      <c r="B35" s="8" t="inlineStr">
        <is>
          <t>B13</t>
        </is>
      </c>
      <c r="C35" s="8" t="inlineStr">
        <is>
          <t>7. Other salaries and wages</t>
        </is>
      </c>
      <c r="D35" s="8" t="inlineStr">
        <is>
          <t>7</t>
        </is>
      </c>
      <c r="E35" s="8" t="inlineStr">
        <is>
          <t>part_ix_expenses.other_salaries_and_wages</t>
        </is>
      </c>
      <c r="F35" s="8" t="inlineStr">
        <is>
          <t>high</t>
        </is>
      </c>
      <c r="G35" s="9" t="n">
        <v>53841</v>
      </c>
    </row>
    <row r="36">
      <c r="A36" s="8" t="inlineStr">
        <is>
          <t>Operating expenses (detail)</t>
        </is>
      </c>
      <c r="B36" s="8" t="inlineStr">
        <is>
          <t>C13</t>
        </is>
      </c>
      <c r="C36" s="8" t="inlineStr">
        <is>
          <t>7. Other salaries and wages</t>
        </is>
      </c>
      <c r="D36" s="8" t="inlineStr">
        <is>
          <t>7</t>
        </is>
      </c>
      <c r="E36" s="8" t="inlineStr">
        <is>
          <t>part_ix_expenses.other_salaries_and_wages</t>
        </is>
      </c>
      <c r="F36" s="8" t="inlineStr">
        <is>
          <t>high</t>
        </is>
      </c>
      <c r="G36" s="9" t="n">
        <v>55915</v>
      </c>
    </row>
    <row r="37">
      <c r="A37" s="8" t="inlineStr">
        <is>
          <t>Operating expenses (detail)</t>
        </is>
      </c>
      <c r="B37" s="8" t="inlineStr">
        <is>
          <t>B14</t>
        </is>
      </c>
      <c r="C37" s="8" t="inlineStr">
        <is>
          <t>8. Pension plan accruals and contributions</t>
        </is>
      </c>
      <c r="D37" s="8" t="inlineStr">
        <is>
          <t>8</t>
        </is>
      </c>
      <c r="E37" s="8" t="inlineStr">
        <is>
          <t>part_ix_expenses.pension_plan_contributions</t>
        </is>
      </c>
      <c r="F37" s="8" t="inlineStr">
        <is>
          <t>high</t>
        </is>
      </c>
      <c r="G37" s="9" t="n">
        <v>0</v>
      </c>
    </row>
    <row r="38">
      <c r="A38" s="8" t="inlineStr">
        <is>
          <t>Operating expenses (detail)</t>
        </is>
      </c>
      <c r="B38" s="8" t="inlineStr">
        <is>
          <t>B15</t>
        </is>
      </c>
      <c r="C38" s="8" t="inlineStr">
        <is>
          <t>9. Other employee benefits</t>
        </is>
      </c>
      <c r="D38" s="8" t="inlineStr">
        <is>
          <t>9</t>
        </is>
      </c>
      <c r="E38" s="8" t="inlineStr">
        <is>
          <t>part_ix_expenses.other_employee_benefits</t>
        </is>
      </c>
      <c r="F38" s="8" t="inlineStr">
        <is>
          <t>high</t>
        </is>
      </c>
      <c r="G38" s="9" t="n">
        <v>8292</v>
      </c>
    </row>
    <row r="39">
      <c r="A39" s="8" t="inlineStr">
        <is>
          <t>Operating expenses (detail)</t>
        </is>
      </c>
      <c r="B39" s="8" t="inlineStr">
        <is>
          <t>B16</t>
        </is>
      </c>
      <c r="C39" s="8" t="inlineStr">
        <is>
          <t>10. Payroll taxes</t>
        </is>
      </c>
      <c r="D39" s="8" t="inlineStr">
        <is>
          <t>10</t>
        </is>
      </c>
      <c r="E39" s="8" t="inlineStr">
        <is>
          <t>part_ix_expenses.payroll_taxes</t>
        </is>
      </c>
      <c r="F39" s="8" t="inlineStr">
        <is>
          <t>high</t>
        </is>
      </c>
      <c r="G39" s="9" t="n">
        <v>4342</v>
      </c>
    </row>
    <row r="40">
      <c r="A40" s="8" t="inlineStr">
        <is>
          <t>Operating expenses (detail)</t>
        </is>
      </c>
      <c r="B40" s="8" t="inlineStr">
        <is>
          <t>C16</t>
        </is>
      </c>
      <c r="C40" s="8" t="inlineStr">
        <is>
          <t>10. Payroll taxes</t>
        </is>
      </c>
      <c r="D40" s="8" t="inlineStr">
        <is>
          <t>10</t>
        </is>
      </c>
      <c r="E40" s="8" t="inlineStr">
        <is>
          <t>part_ix_expenses.payroll_taxes</t>
        </is>
      </c>
      <c r="F40" s="8" t="inlineStr">
        <is>
          <t>high</t>
        </is>
      </c>
      <c r="G40" s="9" t="n">
        <v>4543</v>
      </c>
    </row>
    <row r="41">
      <c r="A41" s="8" t="inlineStr">
        <is>
          <t>Operating expenses (detail)</t>
        </is>
      </c>
      <c r="B41" s="8" t="inlineStr">
        <is>
          <t>B17</t>
        </is>
      </c>
      <c r="C41" s="8" t="inlineStr">
        <is>
          <t>11a. Fees for services: management</t>
        </is>
      </c>
      <c r="D41" s="8" t="inlineStr">
        <is>
          <t>11a</t>
        </is>
      </c>
      <c r="E41" s="8" t="inlineStr">
        <is>
          <t>part_ix_expenses.fees_management</t>
        </is>
      </c>
      <c r="F41" s="8" t="inlineStr">
        <is>
          <t>high</t>
        </is>
      </c>
      <c r="G41" s="9" t="n">
        <v>0</v>
      </c>
    </row>
    <row r="42">
      <c r="A42" s="8" t="inlineStr">
        <is>
          <t>Operating expenses (detail)</t>
        </is>
      </c>
      <c r="B42" s="8" t="inlineStr">
        <is>
          <t>B18</t>
        </is>
      </c>
      <c r="C42" s="8" t="inlineStr">
        <is>
          <t>11b. Fees for services: legal</t>
        </is>
      </c>
      <c r="D42" s="8" t="inlineStr">
        <is>
          <t>11b</t>
        </is>
      </c>
      <c r="E42" s="8" t="inlineStr">
        <is>
          <t>part_ix_expenses.fees_legal</t>
        </is>
      </c>
      <c r="F42" s="8" t="inlineStr">
        <is>
          <t>high</t>
        </is>
      </c>
      <c r="G42" s="9" t="n">
        <v>2423</v>
      </c>
    </row>
    <row r="43">
      <c r="A43" s="8" t="inlineStr">
        <is>
          <t>Operating expenses (detail)</t>
        </is>
      </c>
      <c r="B43" s="8" t="inlineStr">
        <is>
          <t>C18</t>
        </is>
      </c>
      <c r="C43" s="8" t="inlineStr">
        <is>
          <t>11b. Fees for services: legal</t>
        </is>
      </c>
      <c r="D43" s="8" t="inlineStr">
        <is>
          <t>11b</t>
        </is>
      </c>
      <c r="E43" s="8" t="inlineStr">
        <is>
          <t>part_ix_expenses.fees_legal</t>
        </is>
      </c>
      <c r="F43" s="8" t="inlineStr">
        <is>
          <t>high</t>
        </is>
      </c>
      <c r="G43" s="9" t="n">
        <v>12660</v>
      </c>
    </row>
    <row r="44">
      <c r="A44" s="8" t="inlineStr">
        <is>
          <t>Operating expenses (detail)</t>
        </is>
      </c>
      <c r="B44" s="8" t="inlineStr">
        <is>
          <t>B19</t>
        </is>
      </c>
      <c r="C44" s="8" t="inlineStr">
        <is>
          <t>11c. Fees for services: accounting</t>
        </is>
      </c>
      <c r="D44" s="8" t="inlineStr">
        <is>
          <t>11c</t>
        </is>
      </c>
      <c r="E44" s="8" t="inlineStr">
        <is>
          <t>part_ix_expenses.fees_accounting</t>
        </is>
      </c>
      <c r="F44" s="8" t="inlineStr">
        <is>
          <t>high</t>
        </is>
      </c>
      <c r="G44" s="9" t="n">
        <v>13605</v>
      </c>
    </row>
    <row r="45">
      <c r="A45" s="8" t="inlineStr">
        <is>
          <t>Operating expenses (detail)</t>
        </is>
      </c>
      <c r="B45" s="8" t="inlineStr">
        <is>
          <t>C19</t>
        </is>
      </c>
      <c r="C45" s="8" t="inlineStr">
        <is>
          <t>11c. Fees for services: accounting</t>
        </is>
      </c>
      <c r="D45" s="8" t="inlineStr">
        <is>
          <t>11c</t>
        </is>
      </c>
      <c r="E45" s="8" t="inlineStr">
        <is>
          <t>part_ix_expenses.fees_accounting</t>
        </is>
      </c>
      <c r="F45" s="8" t="inlineStr">
        <is>
          <t>high</t>
        </is>
      </c>
      <c r="G45" s="9" t="n">
        <v>968</v>
      </c>
    </row>
    <row r="46">
      <c r="A46" s="8" t="inlineStr">
        <is>
          <t>Operating expenses (detail)</t>
        </is>
      </c>
      <c r="B46" s="8" t="inlineStr">
        <is>
          <t>B20</t>
        </is>
      </c>
      <c r="C46" s="8" t="inlineStr">
        <is>
          <t>11d. Fees for services: lobbying</t>
        </is>
      </c>
      <c r="D46" s="8" t="inlineStr">
        <is>
          <t>11d</t>
        </is>
      </c>
      <c r="E46" s="8" t="inlineStr">
        <is>
          <t>part_ix_expenses.fees_lobbying</t>
        </is>
      </c>
      <c r="F46" s="8" t="inlineStr">
        <is>
          <t>high</t>
        </is>
      </c>
      <c r="G46" s="9" t="n">
        <v>0</v>
      </c>
    </row>
    <row r="47">
      <c r="A47" s="8" t="inlineStr">
        <is>
          <t>Operating expenses (detail)</t>
        </is>
      </c>
      <c r="B47" s="8" t="inlineStr">
        <is>
          <t>B21</t>
        </is>
      </c>
      <c r="C47" s="8" t="inlineStr">
        <is>
          <t>11e. Fees for services: professional fundraising</t>
        </is>
      </c>
      <c r="D47" s="8" t="inlineStr">
        <is>
          <t>11e</t>
        </is>
      </c>
      <c r="E47" s="8" t="inlineStr">
        <is>
          <t>part_ix_expenses.fees_prof_fundraising</t>
        </is>
      </c>
      <c r="F47" s="8" t="inlineStr">
        <is>
          <t>high</t>
        </is>
      </c>
      <c r="G47" s="9" t="n">
        <v>0</v>
      </c>
    </row>
    <row r="48">
      <c r="A48" s="8" t="inlineStr">
        <is>
          <t>Operating expenses (detail)</t>
        </is>
      </c>
      <c r="B48" s="8" t="inlineStr">
        <is>
          <t>B22</t>
        </is>
      </c>
      <c r="C48" s="8" t="inlineStr">
        <is>
          <t>11f. Fees for services: investment management</t>
        </is>
      </c>
      <c r="D48" s="8" t="inlineStr">
        <is>
          <t>11f</t>
        </is>
      </c>
      <c r="E48" s="8" t="inlineStr">
        <is>
          <t>part_ix_expenses.fees_investment_mgmt</t>
        </is>
      </c>
      <c r="F48" s="8" t="inlineStr">
        <is>
          <t>high</t>
        </is>
      </c>
      <c r="G48" s="9" t="n">
        <v>0</v>
      </c>
    </row>
    <row r="49">
      <c r="A49" s="8" t="inlineStr">
        <is>
          <t>Operating expenses (detail)</t>
        </is>
      </c>
      <c r="B49" s="8" t="inlineStr">
        <is>
          <t>B23</t>
        </is>
      </c>
      <c r="C49" s="8" t="inlineStr">
        <is>
          <t>11g. Fees for services: other</t>
        </is>
      </c>
      <c r="D49" s="8" t="inlineStr">
        <is>
          <t>11g</t>
        </is>
      </c>
      <c r="E49" s="8" t="inlineStr">
        <is>
          <t>part_ix_expenses.fees_other</t>
        </is>
      </c>
      <c r="F49" s="8" t="inlineStr">
        <is>
          <t>high</t>
        </is>
      </c>
      <c r="G49" s="9" t="n">
        <v>538521</v>
      </c>
    </row>
    <row r="50">
      <c r="A50" s="8" t="inlineStr">
        <is>
          <t>Operating expenses (detail)</t>
        </is>
      </c>
      <c r="B50" s="8" t="inlineStr">
        <is>
          <t>B24</t>
        </is>
      </c>
      <c r="C50" s="8" t="inlineStr">
        <is>
          <t>12. Advertising and promotion</t>
        </is>
      </c>
      <c r="D50" s="8" t="inlineStr">
        <is>
          <t>12</t>
        </is>
      </c>
      <c r="E50" s="8" t="inlineStr">
        <is>
          <t>part_ix_expenses.advertising</t>
        </is>
      </c>
      <c r="F50" s="8" t="inlineStr">
        <is>
          <t>high</t>
        </is>
      </c>
      <c r="G50" s="9" t="n">
        <v>0</v>
      </c>
    </row>
    <row r="51">
      <c r="A51" s="8" t="inlineStr">
        <is>
          <t>Operating expenses (detail)</t>
        </is>
      </c>
      <c r="B51" s="8" t="inlineStr">
        <is>
          <t>B25</t>
        </is>
      </c>
      <c r="C51" s="8" t="inlineStr">
        <is>
          <t>13. Office expenses</t>
        </is>
      </c>
      <c r="D51" s="8" t="inlineStr">
        <is>
          <t>13</t>
        </is>
      </c>
      <c r="E51" s="8" t="inlineStr">
        <is>
          <t>part_ix_expenses.office_expenses</t>
        </is>
      </c>
      <c r="F51" s="8" t="inlineStr">
        <is>
          <t>high</t>
        </is>
      </c>
      <c r="G51" s="9" t="n">
        <v>2410</v>
      </c>
    </row>
    <row r="52">
      <c r="A52" s="8" t="inlineStr">
        <is>
          <t>Operating expenses (detail)</t>
        </is>
      </c>
      <c r="B52" s="8" t="inlineStr">
        <is>
          <t>C25</t>
        </is>
      </c>
      <c r="C52" s="8" t="inlineStr">
        <is>
          <t>13. Office expenses</t>
        </is>
      </c>
      <c r="D52" s="8" t="inlineStr">
        <is>
          <t>13</t>
        </is>
      </c>
      <c r="E52" s="8" t="inlineStr">
        <is>
          <t>part_ix_expenses.office_expenses</t>
        </is>
      </c>
      <c r="F52" s="8" t="inlineStr">
        <is>
          <t>high</t>
        </is>
      </c>
      <c r="G52" s="9" t="n">
        <v>3548</v>
      </c>
    </row>
    <row r="53">
      <c r="A53" s="8" t="inlineStr">
        <is>
          <t>Operating expenses (detail)</t>
        </is>
      </c>
      <c r="B53" s="8" t="inlineStr">
        <is>
          <t>B26</t>
        </is>
      </c>
      <c r="C53" s="8" t="inlineStr">
        <is>
          <t>14. Information technology</t>
        </is>
      </c>
      <c r="D53" s="8" t="inlineStr">
        <is>
          <t>14</t>
        </is>
      </c>
      <c r="E53" s="8" t="inlineStr">
        <is>
          <t>part_ix_expenses.information_technology</t>
        </is>
      </c>
      <c r="F53" s="8" t="inlineStr">
        <is>
          <t>high</t>
        </is>
      </c>
      <c r="G53" s="9" t="n">
        <v>0</v>
      </c>
    </row>
    <row r="54">
      <c r="A54" s="8" t="inlineStr">
        <is>
          <t>Operating expenses (detail)</t>
        </is>
      </c>
      <c r="B54" s="8" t="inlineStr">
        <is>
          <t>B27</t>
        </is>
      </c>
      <c r="C54" s="8" t="inlineStr">
        <is>
          <t>15. Royalties</t>
        </is>
      </c>
      <c r="D54" s="8" t="inlineStr">
        <is>
          <t>15</t>
        </is>
      </c>
      <c r="E54" s="8" t="inlineStr">
        <is>
          <t>part_ix_expenses.royalties</t>
        </is>
      </c>
      <c r="F54" s="8" t="inlineStr">
        <is>
          <t>high</t>
        </is>
      </c>
      <c r="G54" s="9" t="n">
        <v>0</v>
      </c>
    </row>
    <row r="55">
      <c r="A55" s="8" t="inlineStr">
        <is>
          <t>Operating expenses (detail)</t>
        </is>
      </c>
      <c r="B55" s="8" t="inlineStr">
        <is>
          <t>B28</t>
        </is>
      </c>
      <c r="C55" s="8" t="inlineStr">
        <is>
          <t>16. Occupancy</t>
        </is>
      </c>
      <c r="D55" s="8" t="inlineStr">
        <is>
          <t>16</t>
        </is>
      </c>
      <c r="E55" s="8" t="inlineStr">
        <is>
          <t>part_ix_expenses.occupancy</t>
        </is>
      </c>
      <c r="F55" s="8" t="inlineStr">
        <is>
          <t>high</t>
        </is>
      </c>
      <c r="G55" s="9" t="n">
        <v>3585</v>
      </c>
    </row>
    <row r="56">
      <c r="A56" s="8" t="inlineStr">
        <is>
          <t>Operating expenses (detail)</t>
        </is>
      </c>
      <c r="B56" s="8" t="inlineStr">
        <is>
          <t>C28</t>
        </is>
      </c>
      <c r="C56" s="8" t="inlineStr">
        <is>
          <t>16. Occupancy</t>
        </is>
      </c>
      <c r="D56" s="8" t="inlineStr">
        <is>
          <t>16</t>
        </is>
      </c>
      <c r="E56" s="8" t="inlineStr">
        <is>
          <t>part_ix_expenses.occupancy</t>
        </is>
      </c>
      <c r="F56" s="8" t="inlineStr">
        <is>
          <t>high</t>
        </is>
      </c>
      <c r="G56" s="9" t="n">
        <v>4470</v>
      </c>
    </row>
    <row r="57">
      <c r="A57" s="8" t="inlineStr">
        <is>
          <t>Operating expenses (detail)</t>
        </is>
      </c>
      <c r="B57" s="8" t="inlineStr">
        <is>
          <t>B29</t>
        </is>
      </c>
      <c r="C57" s="8" t="inlineStr">
        <is>
          <t>17. Travel</t>
        </is>
      </c>
      <c r="D57" s="8" t="inlineStr">
        <is>
          <t>17</t>
        </is>
      </c>
      <c r="E57" s="8" t="inlineStr">
        <is>
          <t>part_ix_expenses.travel</t>
        </is>
      </c>
      <c r="F57" s="8" t="inlineStr">
        <is>
          <t>high</t>
        </is>
      </c>
      <c r="G57" s="9" t="n">
        <v>0</v>
      </c>
    </row>
    <row r="58">
      <c r="A58" s="8" t="inlineStr">
        <is>
          <t>Operating expenses (detail)</t>
        </is>
      </c>
      <c r="B58" s="8" t="inlineStr">
        <is>
          <t>B30</t>
        </is>
      </c>
      <c r="C58" s="8" t="inlineStr">
        <is>
          <t>18. Payments of travel/entertainment for public officials</t>
        </is>
      </c>
      <c r="D58" s="8" t="inlineStr">
        <is>
          <t>18</t>
        </is>
      </c>
      <c r="E58" s="8" t="inlineStr">
        <is>
          <t>part_ix_expenses.travel_entertainment_public_officials</t>
        </is>
      </c>
      <c r="F58" s="8" t="inlineStr">
        <is>
          <t>high</t>
        </is>
      </c>
      <c r="G58" s="9" t="n">
        <v>0</v>
      </c>
    </row>
    <row r="59">
      <c r="A59" s="8" t="inlineStr">
        <is>
          <t>Operating expenses (detail)</t>
        </is>
      </c>
      <c r="B59" s="8" t="inlineStr">
        <is>
          <t>B31</t>
        </is>
      </c>
      <c r="C59" s="8" t="inlineStr">
        <is>
          <t>19. Conferences, conventions, and meetings</t>
        </is>
      </c>
      <c r="D59" s="8" t="inlineStr">
        <is>
          <t>19</t>
        </is>
      </c>
      <c r="E59" s="8" t="inlineStr">
        <is>
          <t>part_ix_expenses.conferences_conventions_meetings</t>
        </is>
      </c>
      <c r="F59" s="8" t="inlineStr">
        <is>
          <t>high</t>
        </is>
      </c>
      <c r="G59" s="9" t="n">
        <v>0</v>
      </c>
    </row>
    <row r="60">
      <c r="A60" s="8" t="inlineStr">
        <is>
          <t>Operating expenses (detail)</t>
        </is>
      </c>
      <c r="B60" s="8" t="inlineStr">
        <is>
          <t>B32</t>
        </is>
      </c>
      <c r="C60" s="8" t="inlineStr">
        <is>
          <t>20. Interest</t>
        </is>
      </c>
      <c r="D60" s="8" t="inlineStr">
        <is>
          <t>20</t>
        </is>
      </c>
      <c r="E60" s="8" t="inlineStr">
        <is>
          <t>part_ix_expenses.interest</t>
        </is>
      </c>
      <c r="F60" s="8" t="inlineStr">
        <is>
          <t>high</t>
        </is>
      </c>
      <c r="G60" s="9" t="n">
        <v>0</v>
      </c>
    </row>
    <row r="61">
      <c r="A61" s="8" t="inlineStr">
        <is>
          <t>Operating expenses (detail)</t>
        </is>
      </c>
      <c r="B61" s="8" t="inlineStr">
        <is>
          <t>C32</t>
        </is>
      </c>
      <c r="C61" s="8" t="inlineStr">
        <is>
          <t>20. Interest</t>
        </is>
      </c>
      <c r="D61" s="8" t="inlineStr">
        <is>
          <t>20</t>
        </is>
      </c>
      <c r="E61" s="8" t="inlineStr">
        <is>
          <t>part_ix_expenses.interest</t>
        </is>
      </c>
      <c r="F61" s="8" t="inlineStr">
        <is>
          <t>high</t>
        </is>
      </c>
      <c r="G61" s="9" t="n">
        <v>74</v>
      </c>
    </row>
    <row r="62">
      <c r="A62" s="8" t="inlineStr">
        <is>
          <t>Operating expenses (detail)</t>
        </is>
      </c>
      <c r="B62" s="8" t="inlineStr">
        <is>
          <t>B33</t>
        </is>
      </c>
      <c r="C62" s="8" t="inlineStr">
        <is>
          <t>21. Payments to affiliates</t>
        </is>
      </c>
      <c r="D62" s="8" t="inlineStr">
        <is>
          <t>21</t>
        </is>
      </c>
      <c r="E62" s="8" t="inlineStr">
        <is>
          <t>part_ix_expenses.payments_to_affiliates</t>
        </is>
      </c>
      <c r="F62" s="8" t="inlineStr">
        <is>
          <t>high</t>
        </is>
      </c>
      <c r="G62" s="9" t="n">
        <v>0</v>
      </c>
    </row>
    <row r="63">
      <c r="A63" s="8" t="inlineStr">
        <is>
          <t>Operating expenses (detail)</t>
        </is>
      </c>
      <c r="B63" s="8" t="inlineStr">
        <is>
          <t>B34</t>
        </is>
      </c>
      <c r="C63" s="8" t="inlineStr">
        <is>
          <t>22. Depreciation, depletion, and amortization</t>
        </is>
      </c>
      <c r="D63" s="8" t="inlineStr">
        <is>
          <t>22</t>
        </is>
      </c>
      <c r="E63" s="8" t="inlineStr">
        <is>
          <t>part_ix_expenses.depreciation</t>
        </is>
      </c>
      <c r="F63" s="8" t="inlineStr">
        <is>
          <t>high</t>
        </is>
      </c>
      <c r="G63" s="9" t="n">
        <v>1914</v>
      </c>
    </row>
    <row r="64">
      <c r="A64" s="8" t="inlineStr">
        <is>
          <t>Operating expenses (detail)</t>
        </is>
      </c>
      <c r="B64" s="8" t="inlineStr">
        <is>
          <t>C34</t>
        </is>
      </c>
      <c r="C64" s="8" t="inlineStr">
        <is>
          <t>22. Depreciation, depletion, and amortization</t>
        </is>
      </c>
      <c r="D64" s="8" t="inlineStr">
        <is>
          <t>22</t>
        </is>
      </c>
      <c r="E64" s="8" t="inlineStr">
        <is>
          <t>part_ix_expenses.depreciation</t>
        </is>
      </c>
      <c r="F64" s="8" t="inlineStr">
        <is>
          <t>high</t>
        </is>
      </c>
      <c r="G64" s="9" t="n">
        <v>1903</v>
      </c>
    </row>
    <row r="65">
      <c r="A65" s="8" t="inlineStr">
        <is>
          <t>Operating expenses (detail)</t>
        </is>
      </c>
      <c r="B65" s="8" t="inlineStr">
        <is>
          <t>B35</t>
        </is>
      </c>
      <c r="C65" s="8" t="inlineStr">
        <is>
          <t>23. Insurance</t>
        </is>
      </c>
      <c r="D65" s="8" t="inlineStr">
        <is>
          <t>23</t>
        </is>
      </c>
      <c r="E65" s="8" t="inlineStr">
        <is>
          <t>part_ix_expenses.insurance</t>
        </is>
      </c>
      <c r="F65" s="8" t="inlineStr">
        <is>
          <t>high</t>
        </is>
      </c>
      <c r="G65" s="9" t="n">
        <v>10918</v>
      </c>
    </row>
    <row r="66">
      <c r="A66" s="8" t="inlineStr">
        <is>
          <t>Operating expenses (detail)</t>
        </is>
      </c>
      <c r="B66" s="8" t="inlineStr">
        <is>
          <t>C35</t>
        </is>
      </c>
      <c r="C66" s="8" t="inlineStr">
        <is>
          <t>23. Insurance</t>
        </is>
      </c>
      <c r="D66" s="8" t="inlineStr">
        <is>
          <t>23</t>
        </is>
      </c>
      <c r="E66" s="8" t="inlineStr">
        <is>
          <t>part_ix_expenses.insurance</t>
        </is>
      </c>
      <c r="F66" s="8" t="inlineStr">
        <is>
          <t>high</t>
        </is>
      </c>
      <c r="G66" s="9" t="n">
        <v>18692</v>
      </c>
    </row>
    <row r="67">
      <c r="A67" s="8" t="inlineStr">
        <is>
          <t>Operating expenses (detail)</t>
        </is>
      </c>
      <c r="B67" s="8" t="inlineStr">
        <is>
          <t>B44</t>
        </is>
      </c>
      <c r="C67" s="8" t="inlineStr">
        <is>
          <t>24e. All other expenses</t>
        </is>
      </c>
      <c r="D67" s="8" t="inlineStr">
        <is>
          <t>24e</t>
        </is>
      </c>
      <c r="E67" s="8" t="inlineStr">
        <is>
          <t>part_ix_expenses.all_other_expenses</t>
        </is>
      </c>
      <c r="F67" s="8" t="inlineStr">
        <is>
          <t>high</t>
        </is>
      </c>
      <c r="G67" s="9" t="n">
        <v>2401</v>
      </c>
    </row>
    <row r="68">
      <c r="A68" s="8" t="inlineStr">
        <is>
          <t>Operating expenses (detail)</t>
        </is>
      </c>
      <c r="B68" s="8" t="inlineStr">
        <is>
          <t>C44</t>
        </is>
      </c>
      <c r="C68" s="8" t="inlineStr">
        <is>
          <t>24e. All other expenses</t>
        </is>
      </c>
      <c r="D68" s="8" t="inlineStr">
        <is>
          <t>24e</t>
        </is>
      </c>
      <c r="E68" s="8" t="inlineStr">
        <is>
          <t>part_ix_expenses.all_other_expenses</t>
        </is>
      </c>
      <c r="F68" s="8" t="inlineStr">
        <is>
          <t>high</t>
        </is>
      </c>
      <c r="G68" s="9" t="n">
        <v>45119</v>
      </c>
    </row>
    <row r="69">
      <c r="A69" s="8" t="inlineStr">
        <is>
          <t>Balance sheet (detail)</t>
        </is>
      </c>
      <c r="B69" s="8" t="inlineStr">
        <is>
          <t>B7</t>
        </is>
      </c>
      <c r="C69" s="8" t="inlineStr">
        <is>
          <t>1. Cash - non-interest-bearing</t>
        </is>
      </c>
      <c r="D69" s="8" t="inlineStr">
        <is>
          <t>1E</t>
        </is>
      </c>
      <c r="E69" s="8" t="inlineStr">
        <is>
          <t>part_x_balance_sheet.cash_noninterest_eoy</t>
        </is>
      </c>
      <c r="F69" s="8" t="inlineStr">
        <is>
          <t>high</t>
        </is>
      </c>
      <c r="G69" s="9" t="n">
        <v>169486</v>
      </c>
    </row>
    <row r="70">
      <c r="A70" s="8" t="inlineStr">
        <is>
          <t>Balance sheet (detail)</t>
        </is>
      </c>
      <c r="B70" s="8" t="inlineStr">
        <is>
          <t>C7</t>
        </is>
      </c>
      <c r="C70" s="8" t="inlineStr">
        <is>
          <t>1. Cash - non-interest-bearing</t>
        </is>
      </c>
      <c r="D70" s="8" t="inlineStr">
        <is>
          <t>1E</t>
        </is>
      </c>
      <c r="E70" s="8" t="inlineStr">
        <is>
          <t>part_x_balance_sheet.cash_noninterest_eoy</t>
        </is>
      </c>
      <c r="F70" s="8" t="inlineStr">
        <is>
          <t>high</t>
        </is>
      </c>
      <c r="G70" s="9" t="n">
        <v>196526</v>
      </c>
    </row>
    <row r="71">
      <c r="A71" s="8" t="inlineStr">
        <is>
          <t>Balance sheet (detail)</t>
        </is>
      </c>
      <c r="B71" s="8" t="inlineStr">
        <is>
          <t>B8</t>
        </is>
      </c>
      <c r="C71" s="8" t="inlineStr">
        <is>
          <t>2. Savings and temporary cash investments</t>
        </is>
      </c>
      <c r="D71" s="8" t="inlineStr">
        <is>
          <t>2E</t>
        </is>
      </c>
      <c r="E71" s="8" t="inlineStr">
        <is>
          <t>part_x_balance_sheet.savings_temp_invest_eoy</t>
        </is>
      </c>
      <c r="F71" s="8" t="inlineStr">
        <is>
          <t>high</t>
        </is>
      </c>
      <c r="G71" s="9" t="n">
        <v>0</v>
      </c>
    </row>
    <row r="72">
      <c r="A72" s="8" t="inlineStr">
        <is>
          <t>Balance sheet (detail)</t>
        </is>
      </c>
      <c r="B72" s="8" t="inlineStr">
        <is>
          <t>B9</t>
        </is>
      </c>
      <c r="C72" s="8" t="inlineStr">
        <is>
          <t>3. Pledges and grants receivable, net</t>
        </is>
      </c>
      <c r="D72" s="8" t="inlineStr">
        <is>
          <t>3E</t>
        </is>
      </c>
      <c r="E72" s="8" t="inlineStr">
        <is>
          <t>part_x_balance_sheet.pledges_grants_receivable_eoy</t>
        </is>
      </c>
      <c r="F72" s="8" t="inlineStr">
        <is>
          <t>high</t>
        </is>
      </c>
      <c r="G72" s="9" t="n">
        <v>0</v>
      </c>
    </row>
    <row r="73">
      <c r="A73" s="8" t="inlineStr">
        <is>
          <t>Balance sheet (detail)</t>
        </is>
      </c>
      <c r="B73" s="8" t="inlineStr">
        <is>
          <t>B10</t>
        </is>
      </c>
      <c r="C73" s="8" t="inlineStr">
        <is>
          <t>4. Accounts receivable, net</t>
        </is>
      </c>
      <c r="D73" s="8" t="inlineStr">
        <is>
          <t>4E</t>
        </is>
      </c>
      <c r="E73" s="8" t="inlineStr">
        <is>
          <t>part_x_balance_sheet.accounts_receivable_eoy</t>
        </is>
      </c>
      <c r="F73" s="8" t="inlineStr">
        <is>
          <t>high</t>
        </is>
      </c>
      <c r="G73" s="9" t="n">
        <v>297116</v>
      </c>
    </row>
    <row r="74">
      <c r="A74" s="8" t="inlineStr">
        <is>
          <t>Balance sheet (detail)</t>
        </is>
      </c>
      <c r="B74" s="8" t="inlineStr">
        <is>
          <t>C10</t>
        </is>
      </c>
      <c r="C74" s="8" t="inlineStr">
        <is>
          <t>4. Accounts receivable, net</t>
        </is>
      </c>
      <c r="D74" s="8" t="inlineStr">
        <is>
          <t>4E</t>
        </is>
      </c>
      <c r="E74" s="8" t="inlineStr">
        <is>
          <t>part_x_balance_sheet.accounts_receivable_eoy</t>
        </is>
      </c>
      <c r="F74" s="8" t="inlineStr">
        <is>
          <t>high</t>
        </is>
      </c>
      <c r="G74" s="9" t="n">
        <v>22136</v>
      </c>
    </row>
    <row r="75">
      <c r="A75" s="8" t="inlineStr">
        <is>
          <t>Balance sheet (detail)</t>
        </is>
      </c>
      <c r="B75" s="8" t="inlineStr">
        <is>
          <t>B11</t>
        </is>
      </c>
      <c r="C75" s="8" t="inlineStr">
        <is>
          <t>5. Receivables from officers/directors/trustees</t>
        </is>
      </c>
      <c r="D75" s="8" t="inlineStr">
        <is>
          <t>5E</t>
        </is>
      </c>
      <c r="E75" s="8" t="inlineStr">
        <is>
          <t>part_x_balance_sheet.receivables_officers_eoy</t>
        </is>
      </c>
      <c r="F75" s="8" t="inlineStr">
        <is>
          <t>high</t>
        </is>
      </c>
      <c r="G75" s="9" t="n">
        <v>0</v>
      </c>
    </row>
    <row r="76">
      <c r="A76" s="8" t="inlineStr">
        <is>
          <t>Balance sheet (detail)</t>
        </is>
      </c>
      <c r="B76" s="8" t="inlineStr">
        <is>
          <t>B12</t>
        </is>
      </c>
      <c r="C76" s="8" t="inlineStr">
        <is>
          <t>6. Receivables from disqualified persons</t>
        </is>
      </c>
      <c r="D76" s="8" t="inlineStr">
        <is>
          <t>6E</t>
        </is>
      </c>
      <c r="E76" s="8" t="inlineStr">
        <is>
          <t>part_x_balance_sheet.receivables_disqualified_eoy</t>
        </is>
      </c>
      <c r="F76" s="8" t="inlineStr">
        <is>
          <t>high</t>
        </is>
      </c>
      <c r="G76" s="9" t="n">
        <v>0</v>
      </c>
    </row>
    <row r="77">
      <c r="A77" s="8" t="inlineStr">
        <is>
          <t>Balance sheet (detail)</t>
        </is>
      </c>
      <c r="B77" s="8" t="inlineStr">
        <is>
          <t>B13</t>
        </is>
      </c>
      <c r="C77" s="8" t="inlineStr">
        <is>
          <t>7. Notes and loans receivable, net</t>
        </is>
      </c>
      <c r="D77" s="8" t="inlineStr">
        <is>
          <t>7E</t>
        </is>
      </c>
      <c r="E77" s="8" t="inlineStr">
        <is>
          <t>part_x_balance_sheet.notes_loans_receivable_eoy</t>
        </is>
      </c>
      <c r="F77" s="8" t="inlineStr">
        <is>
          <t>high</t>
        </is>
      </c>
      <c r="G77" s="9" t="n">
        <v>0</v>
      </c>
    </row>
    <row r="78">
      <c r="A78" s="8" t="inlineStr">
        <is>
          <t>Balance sheet (detail)</t>
        </is>
      </c>
      <c r="B78" s="8" t="inlineStr">
        <is>
          <t>B14</t>
        </is>
      </c>
      <c r="C78" s="8" t="inlineStr">
        <is>
          <t>8. Inventories for sale or use</t>
        </is>
      </c>
      <c r="D78" s="8" t="inlineStr">
        <is>
          <t>8E</t>
        </is>
      </c>
      <c r="E78" s="8" t="inlineStr">
        <is>
          <t>part_x_balance_sheet.inventories_eoy</t>
        </is>
      </c>
      <c r="F78" s="8" t="inlineStr">
        <is>
          <t>high</t>
        </is>
      </c>
      <c r="G78" s="9" t="n">
        <v>0</v>
      </c>
    </row>
    <row r="79">
      <c r="A79" s="8" t="inlineStr">
        <is>
          <t>Balance sheet (detail)</t>
        </is>
      </c>
      <c r="B79" s="8" t="inlineStr">
        <is>
          <t>B15</t>
        </is>
      </c>
      <c r="C79" s="8" t="inlineStr">
        <is>
          <t>9. Prepaid expenses and deferred charges</t>
        </is>
      </c>
      <c r="D79" s="8" t="inlineStr">
        <is>
          <t>9E</t>
        </is>
      </c>
      <c r="E79" s="8" t="inlineStr">
        <is>
          <t>part_x_balance_sheet.prepaid_expenses_eoy</t>
        </is>
      </c>
      <c r="F79" s="8" t="inlineStr">
        <is>
          <t>high</t>
        </is>
      </c>
      <c r="G79" s="9" t="n">
        <v>1727</v>
      </c>
    </row>
    <row r="80">
      <c r="A80" s="8" t="inlineStr">
        <is>
          <t>Balance sheet (detail)</t>
        </is>
      </c>
      <c r="B80" s="8" t="inlineStr">
        <is>
          <t>C15</t>
        </is>
      </c>
      <c r="C80" s="8" t="inlineStr">
        <is>
          <t>9. Prepaid expenses and deferred charges</t>
        </is>
      </c>
      <c r="D80" s="8" t="inlineStr">
        <is>
          <t>9E</t>
        </is>
      </c>
      <c r="E80" s="8" t="inlineStr">
        <is>
          <t>part_x_balance_sheet.prepaid_expenses_eoy</t>
        </is>
      </c>
      <c r="F80" s="8" t="inlineStr">
        <is>
          <t>high</t>
        </is>
      </c>
      <c r="G80" s="9" t="n">
        <v>735</v>
      </c>
    </row>
    <row r="81">
      <c r="A81" s="8" t="inlineStr">
        <is>
          <t>Balance sheet (detail)</t>
        </is>
      </c>
      <c r="B81" s="8" t="inlineStr">
        <is>
          <t>B16</t>
        </is>
      </c>
      <c r="C81" s="8" t="inlineStr">
        <is>
          <t>10c. Land, buildings, and equipment, net</t>
        </is>
      </c>
      <c r="D81" s="8" t="inlineStr">
        <is>
          <t>10cE</t>
        </is>
      </c>
      <c r="E81" s="8" t="inlineStr">
        <is>
          <t>part_x_balance_sheet.land_bldg_equip_net_eoy</t>
        </is>
      </c>
      <c r="F81" s="8" t="inlineStr">
        <is>
          <t>high</t>
        </is>
      </c>
      <c r="G81" s="9" t="n">
        <v>25533</v>
      </c>
    </row>
    <row r="82">
      <c r="A82" s="8" t="inlineStr">
        <is>
          <t>Balance sheet (detail)</t>
        </is>
      </c>
      <c r="B82" s="8" t="inlineStr">
        <is>
          <t>C16</t>
        </is>
      </c>
      <c r="C82" s="8" t="inlineStr">
        <is>
          <t>10c. Land, buildings, and equipment, net</t>
        </is>
      </c>
      <c r="D82" s="8" t="inlineStr">
        <is>
          <t>10cE</t>
        </is>
      </c>
      <c r="E82" s="8" t="inlineStr">
        <is>
          <t>part_x_balance_sheet.land_bldg_equip_net_eoy</t>
        </is>
      </c>
      <c r="F82" s="8" t="inlineStr">
        <is>
          <t>high</t>
        </is>
      </c>
      <c r="G82" s="9" t="n">
        <v>23630</v>
      </c>
    </row>
    <row r="83">
      <c r="A83" s="8" t="inlineStr">
        <is>
          <t>Balance sheet (detail)</t>
        </is>
      </c>
      <c r="B83" s="8" t="inlineStr">
        <is>
          <t>B17</t>
        </is>
      </c>
      <c r="C83" s="8" t="inlineStr">
        <is>
          <t>11. Investments - publicly traded securities</t>
        </is>
      </c>
      <c r="D83" s="8" t="inlineStr">
        <is>
          <t>11E</t>
        </is>
      </c>
      <c r="E83" s="8" t="inlineStr">
        <is>
          <t>part_x_balance_sheet.investments_public_securities_eoy</t>
        </is>
      </c>
      <c r="F83" s="8" t="inlineStr">
        <is>
          <t>high</t>
        </is>
      </c>
      <c r="G83" s="9" t="n">
        <v>0</v>
      </c>
    </row>
    <row r="84">
      <c r="A84" s="8" t="inlineStr">
        <is>
          <t>Balance sheet (detail)</t>
        </is>
      </c>
      <c r="B84" s="8" t="inlineStr">
        <is>
          <t>B18</t>
        </is>
      </c>
      <c r="C84" s="8" t="inlineStr">
        <is>
          <t>12. Investments - other securities</t>
        </is>
      </c>
      <c r="D84" s="8" t="inlineStr">
        <is>
          <t>12E</t>
        </is>
      </c>
      <c r="E84" s="8" t="inlineStr">
        <is>
          <t>part_x_balance_sheet.investments_other_securities_eoy</t>
        </is>
      </c>
      <c r="F84" s="8" t="inlineStr">
        <is>
          <t>high</t>
        </is>
      </c>
      <c r="G84" s="9" t="n">
        <v>0</v>
      </c>
    </row>
    <row r="85">
      <c r="A85" s="8" t="inlineStr">
        <is>
          <t>Balance sheet (detail)</t>
        </is>
      </c>
      <c r="B85" s="8" t="inlineStr">
        <is>
          <t>B19</t>
        </is>
      </c>
      <c r="C85" s="8" t="inlineStr">
        <is>
          <t>13. Investments - program-related</t>
        </is>
      </c>
      <c r="D85" s="8" t="inlineStr">
        <is>
          <t>13E</t>
        </is>
      </c>
      <c r="E85" s="8" t="inlineStr">
        <is>
          <t>part_x_balance_sheet.investments_program_related_eoy</t>
        </is>
      </c>
      <c r="F85" s="8" t="inlineStr">
        <is>
          <t>high</t>
        </is>
      </c>
      <c r="G85" s="9" t="n">
        <v>0</v>
      </c>
    </row>
    <row r="86">
      <c r="A86" s="8" t="inlineStr">
        <is>
          <t>Balance sheet (detail)</t>
        </is>
      </c>
      <c r="B86" s="8" t="inlineStr">
        <is>
          <t>B20</t>
        </is>
      </c>
      <c r="C86" s="8" t="inlineStr">
        <is>
          <t>14. Intangible assets</t>
        </is>
      </c>
      <c r="D86" s="8" t="inlineStr">
        <is>
          <t>14E</t>
        </is>
      </c>
      <c r="E86" s="8" t="inlineStr">
        <is>
          <t>part_x_balance_sheet.intangible_assets_eoy</t>
        </is>
      </c>
      <c r="F86" s="8" t="inlineStr">
        <is>
          <t>high</t>
        </is>
      </c>
      <c r="G86" s="9" t="n">
        <v>0</v>
      </c>
    </row>
    <row r="87">
      <c r="A87" s="8" t="inlineStr">
        <is>
          <t>Balance sheet (detail)</t>
        </is>
      </c>
      <c r="B87" s="8" t="inlineStr">
        <is>
          <t>B21</t>
        </is>
      </c>
      <c r="C87" s="8" t="inlineStr">
        <is>
          <t>15. Other assets</t>
        </is>
      </c>
      <c r="D87" s="8" t="inlineStr">
        <is>
          <t>15E</t>
        </is>
      </c>
      <c r="E87" s="8" t="inlineStr">
        <is>
          <t>part_x_balance_sheet.other_assets_eoy</t>
        </is>
      </c>
      <c r="F87" s="8" t="inlineStr">
        <is>
          <t>high</t>
        </is>
      </c>
      <c r="G87" s="9" t="n">
        <v>4576</v>
      </c>
    </row>
    <row r="88">
      <c r="A88" s="8" t="inlineStr">
        <is>
          <t>Balance sheet (detail)</t>
        </is>
      </c>
      <c r="B88" s="8" t="inlineStr">
        <is>
          <t>B25</t>
        </is>
      </c>
      <c r="C88" s="8" t="inlineStr">
        <is>
          <t>17. Accounts payable and accrued expenses</t>
        </is>
      </c>
      <c r="D88" s="8" t="inlineStr">
        <is>
          <t>17E</t>
        </is>
      </c>
      <c r="E88" s="8" t="inlineStr">
        <is>
          <t>part_x_balance_sheet.accounts_payable_eoy</t>
        </is>
      </c>
      <c r="F88" s="8" t="inlineStr">
        <is>
          <t>high</t>
        </is>
      </c>
      <c r="G88" s="9" t="n">
        <v>40991</v>
      </c>
    </row>
    <row r="89">
      <c r="A89" s="8" t="inlineStr">
        <is>
          <t>Balance sheet (detail)</t>
        </is>
      </c>
      <c r="B89" s="8" t="inlineStr">
        <is>
          <t>B26</t>
        </is>
      </c>
      <c r="C89" s="8" t="inlineStr">
        <is>
          <t>19. Deferred revenue</t>
        </is>
      </c>
      <c r="D89" s="8" t="inlineStr">
        <is>
          <t>19E</t>
        </is>
      </c>
      <c r="E89" s="8" t="inlineStr">
        <is>
          <t>part_x_balance_sheet.deferred_revenue_eoy</t>
        </is>
      </c>
      <c r="F89" s="8" t="inlineStr">
        <is>
          <t>high</t>
        </is>
      </c>
      <c r="G89" s="9" t="n">
        <v>14027</v>
      </c>
    </row>
    <row r="90">
      <c r="A90" s="8" t="inlineStr">
        <is>
          <t>Balance sheet (detail)</t>
        </is>
      </c>
      <c r="B90" s="8" t="inlineStr">
        <is>
          <t>B27</t>
        </is>
      </c>
      <c r="C90" s="8" t="inlineStr">
        <is>
          <t>25. Other liabilities</t>
        </is>
      </c>
      <c r="D90" s="8" t="inlineStr">
        <is>
          <t>25E</t>
        </is>
      </c>
      <c r="E90" s="8" t="inlineStr">
        <is>
          <t>part_x_balance_sheet.other_liabilities_eoy</t>
        </is>
      </c>
      <c r="F90" s="8" t="inlineStr">
        <is>
          <t>high</t>
        </is>
      </c>
      <c r="G90" s="9" t="n">
        <v>246269</v>
      </c>
    </row>
    <row r="91">
      <c r="A91" s="8" t="inlineStr">
        <is>
          <t>Balance sheet (detail)</t>
        </is>
      </c>
      <c r="B91" s="8" t="inlineStr">
        <is>
          <t>C27</t>
        </is>
      </c>
      <c r="C91" s="8" t="inlineStr">
        <is>
          <t>25. Other liabilities</t>
        </is>
      </c>
      <c r="D91" s="8" t="inlineStr">
        <is>
          <t>25E</t>
        </is>
      </c>
      <c r="E91" s="8" t="inlineStr">
        <is>
          <t>part_x_balance_sheet.other_liabilities_eoy</t>
        </is>
      </c>
      <c r="F91" s="8" t="inlineStr">
        <is>
          <t>high</t>
        </is>
      </c>
      <c r="G91" s="9" t="n">
        <v>6857</v>
      </c>
    </row>
    <row r="92">
      <c r="A92" s="8" t="inlineStr">
        <is>
          <t>Balance sheet (detail)</t>
        </is>
      </c>
      <c r="B92" s="8" t="inlineStr">
        <is>
          <t>B31</t>
        </is>
      </c>
      <c r="C92" s="8" t="inlineStr">
        <is>
          <t>29. Capital stock or trust principal</t>
        </is>
      </c>
      <c r="D92" s="8" t="inlineStr">
        <is>
          <t>29E</t>
        </is>
      </c>
      <c r="E92" s="8" t="inlineStr">
        <is>
          <t>part_x_balance_sheet.cap_stock_eoy</t>
        </is>
      </c>
      <c r="F92" s="8" t="inlineStr">
        <is>
          <t>high</t>
        </is>
      </c>
      <c r="G92" s="9" t="n">
        <v>107502</v>
      </c>
    </row>
    <row r="93">
      <c r="A93" s="8" t="inlineStr">
        <is>
          <t>Balance sheet (detail)</t>
        </is>
      </c>
      <c r="B93" s="8" t="inlineStr">
        <is>
          <t>C31</t>
        </is>
      </c>
      <c r="C93" s="8" t="inlineStr">
        <is>
          <t>29. Capital stock or trust principal</t>
        </is>
      </c>
      <c r="D93" s="8" t="inlineStr">
        <is>
          <t>29E</t>
        </is>
      </c>
      <c r="E93" s="8" t="inlineStr">
        <is>
          <t>part_x_balance_sheet.cap_stock_eoy</t>
        </is>
      </c>
      <c r="F93" s="8" t="inlineStr">
        <is>
          <t>high</t>
        </is>
      </c>
      <c r="G93" s="9" t="n">
        <v>107502</v>
      </c>
    </row>
    <row r="94">
      <c r="A94" s="8" t="inlineStr">
        <is>
          <t>Balance sheet (detail)</t>
        </is>
      </c>
      <c r="B94" s="8" t="inlineStr">
        <is>
          <t>B32</t>
        </is>
      </c>
      <c r="C94" s="8" t="inlineStr">
        <is>
          <t>30. Paid-in or capital surplus</t>
        </is>
      </c>
      <c r="D94" s="8" t="inlineStr">
        <is>
          <t>30E</t>
        </is>
      </c>
      <c r="E94" s="8" t="inlineStr">
        <is>
          <t>part_x_balance_sheet.paid_in_capital_eoy</t>
        </is>
      </c>
      <c r="F94" s="8" t="inlineStr">
        <is>
          <t>high</t>
        </is>
      </c>
      <c r="G94" s="9" t="n">
        <v>220469</v>
      </c>
    </row>
    <row r="95">
      <c r="A95" s="8" t="inlineStr">
        <is>
          <t>Balance sheet (detail)</t>
        </is>
      </c>
      <c r="B95" s="8" t="inlineStr">
        <is>
          <t>C32</t>
        </is>
      </c>
      <c r="C95" s="8" t="inlineStr">
        <is>
          <t>30. Paid-in or capital surplus</t>
        </is>
      </c>
      <c r="D95" s="8" t="inlineStr">
        <is>
          <t>30E</t>
        </is>
      </c>
      <c r="E95" s="8" t="inlineStr">
        <is>
          <t>part_x_balance_sheet.paid_in_capital_eoy</t>
        </is>
      </c>
      <c r="F95" s="8" t="inlineStr">
        <is>
          <t>high</t>
        </is>
      </c>
      <c r="G95" s="9" t="n">
        <v>220469</v>
      </c>
    </row>
    <row r="96">
      <c r="A96" s="8" t="inlineStr">
        <is>
          <t>Balance sheet (detail)</t>
        </is>
      </c>
      <c r="B96" s="8" t="inlineStr">
        <is>
          <t>B33</t>
        </is>
      </c>
      <c r="C96" s="8" t="inlineStr">
        <is>
          <t>31. Retained earnings / accumulated funds</t>
        </is>
      </c>
      <c r="D96" s="8" t="inlineStr">
        <is>
          <t>31E</t>
        </is>
      </c>
      <c r="E96" s="8" t="inlineStr">
        <is>
          <t>part_x_balance_sheet.retained_earnings_eoy</t>
        </is>
      </c>
      <c r="F96" s="8" t="inlineStr">
        <is>
          <t>high</t>
        </is>
      </c>
      <c r="G96" s="9" t="n">
        <v>-130820</v>
      </c>
    </row>
    <row r="97">
      <c r="A97" s="8" t="inlineStr">
        <is>
          <t>Balance sheet (detail)</t>
        </is>
      </c>
      <c r="B97" s="8" t="inlineStr">
        <is>
          <t>C33</t>
        </is>
      </c>
      <c r="C97" s="8" t="inlineStr">
        <is>
          <t>31. Retained earnings / accumulated funds</t>
        </is>
      </c>
      <c r="D97" s="8" t="inlineStr">
        <is>
          <t>31E</t>
        </is>
      </c>
      <c r="E97" s="8" t="inlineStr">
        <is>
          <t>part_x_balance_sheet.retained_earnings_eoy</t>
        </is>
      </c>
      <c r="F97" s="8" t="inlineStr">
        <is>
          <t>high</t>
        </is>
      </c>
      <c r="G97" s="9" t="n">
        <v>-91801</v>
      </c>
    </row>
    <row r="98">
      <c r="A98" s="8" t="inlineStr">
        <is>
          <t>Net-assets reconciliation</t>
        </is>
      </c>
      <c r="B98" s="8" t="inlineStr">
        <is>
          <t>B7</t>
        </is>
      </c>
      <c r="C98" s="8" t="inlineStr">
        <is>
          <t>4. Net assets, beginning of year</t>
        </is>
      </c>
      <c r="D98" s="8" t="inlineStr">
        <is>
          <t>Part XI line 4</t>
        </is>
      </c>
      <c r="E98" s="8" t="inlineStr">
        <is>
          <t>part_xi_reconciliation.net_assets_boy</t>
        </is>
      </c>
      <c r="F98" s="8" t="inlineStr">
        <is>
          <t>high</t>
        </is>
      </c>
      <c r="G98" s="9" t="n">
        <v>127997</v>
      </c>
    </row>
    <row r="99">
      <c r="A99" s="8" t="inlineStr">
        <is>
          <t>Net-assets reconciliation</t>
        </is>
      </c>
      <c r="B99" s="8" t="inlineStr">
        <is>
          <t>C7</t>
        </is>
      </c>
      <c r="C99" s="8" t="inlineStr">
        <is>
          <t>4. Net assets, beginning of year</t>
        </is>
      </c>
      <c r="D99" s="8" t="inlineStr">
        <is>
          <t>Part XI line 4</t>
        </is>
      </c>
      <c r="E99" s="8" t="inlineStr">
        <is>
          <t>part_xi_reconciliation.net_assets_boy</t>
        </is>
      </c>
      <c r="F99" s="8" t="inlineStr">
        <is>
          <t>high</t>
        </is>
      </c>
      <c r="G99" s="9" t="n">
        <v>197151</v>
      </c>
    </row>
    <row r="100">
      <c r="A100" s="8" t="inlineStr">
        <is>
          <t>Net-assets reconciliation</t>
        </is>
      </c>
      <c r="B100" s="8" t="inlineStr">
        <is>
          <t>B8</t>
        </is>
      </c>
      <c r="C100" s="8" t="inlineStr">
        <is>
          <t>3. Revenue less expenses</t>
        </is>
      </c>
      <c r="D100" s="8" t="inlineStr">
        <is>
          <t>Part XI line 3</t>
        </is>
      </c>
      <c r="E100" s="8" t="inlineStr">
        <is>
          <t>part_xi_reconciliation.reconciliation_revenue_expenses</t>
        </is>
      </c>
      <c r="F100" s="8" t="inlineStr">
        <is>
          <t>high</t>
        </is>
      </c>
      <c r="G100" s="9" t="n">
        <v>16783</v>
      </c>
    </row>
    <row r="101">
      <c r="A101" s="8" t="inlineStr">
        <is>
          <t>Net-assets reconciliation</t>
        </is>
      </c>
      <c r="B101" s="8" t="inlineStr">
        <is>
          <t>C8</t>
        </is>
      </c>
      <c r="C101" s="8" t="inlineStr">
        <is>
          <t>3. Revenue less expenses</t>
        </is>
      </c>
      <c r="D101" s="8" t="inlineStr">
        <is>
          <t>Part XI line 3</t>
        </is>
      </c>
      <c r="E101" s="8" t="inlineStr">
        <is>
          <t>part_xi_reconciliation.reconciliation_revenue_expenses</t>
        </is>
      </c>
      <c r="F101" s="8" t="inlineStr">
        <is>
          <t>high</t>
        </is>
      </c>
      <c r="G101" s="9" t="n">
        <v>39019</v>
      </c>
    </row>
    <row r="102">
      <c r="A102" s="8" t="inlineStr">
        <is>
          <t>Net-assets reconciliation</t>
        </is>
      </c>
      <c r="B102" s="8" t="inlineStr">
        <is>
          <t>B9</t>
        </is>
      </c>
      <c r="C102" s="8" t="inlineStr">
        <is>
          <t>8. Prior period adjustments</t>
        </is>
      </c>
      <c r="D102" s="8" t="inlineStr">
        <is>
          <t>Part XI line 8</t>
        </is>
      </c>
      <c r="E102" s="8" t="inlineStr">
        <is>
          <t>part_xi_reconciliation.prior_period_adjustments</t>
        </is>
      </c>
      <c r="F102" s="8" t="inlineStr">
        <is>
          <t>high</t>
        </is>
      </c>
      <c r="G102" s="9" t="n">
        <v>52371</v>
      </c>
    </row>
    <row r="104">
      <c r="A104" s="30" t="inlineStr">
        <is>
          <t>C. Tie-out checks (filed vs computed; any nonzero variance is flagged red)</t>
        </is>
      </c>
      <c r="B104" s="7" t="n"/>
      <c r="C104" s="7" t="n"/>
      <c r="D104" s="7" t="n"/>
      <c r="E104" s="7" t="n"/>
      <c r="F104" s="7" t="n"/>
      <c r="G104" s="7" t="n"/>
      <c r="H104" s="7" t="n"/>
      <c r="I104" s="7" t="n"/>
      <c r="J104" s="7" t="n"/>
      <c r="K104" s="7" t="n"/>
    </row>
    <row r="105">
      <c r="A105" s="5" t="inlineStr">
        <is>
          <t>Tab</t>
        </is>
      </c>
      <c r="B105" s="5" t="inlineStr">
        <is>
          <t>Check</t>
        </is>
      </c>
      <c r="C105" s="5" t="inlineStr">
        <is>
          <t>Fiscal year</t>
        </is>
      </c>
      <c r="D105" s="5" t="inlineStr">
        <is>
          <t>Filed</t>
        </is>
      </c>
      <c r="E105" s="5" t="inlineStr">
        <is>
          <t>Computed</t>
        </is>
      </c>
      <c r="F105" s="5" t="inlineStr">
        <is>
          <t>Variance (computed - filed)</t>
        </is>
      </c>
    </row>
    <row r="106">
      <c r="A106" s="18" t="inlineStr">
        <is>
          <t>Revenue (detail)</t>
        </is>
      </c>
      <c r="B106" s="18" t="inlineStr">
        <is>
          <t>12. Total revenue</t>
        </is>
      </c>
      <c r="C106" s="18" t="inlineStr">
        <is>
          <t>FY2023</t>
        </is>
      </c>
      <c r="D106" s="9" t="n">
        <v>695730</v>
      </c>
      <c r="E106" s="9">
        <f>'Revenue (detail)'!B13</f>
        <v/>
      </c>
      <c r="F106" s="9">
        <f>E106-D106</f>
        <v/>
      </c>
    </row>
    <row r="107">
      <c r="A107" s="18" t="inlineStr">
        <is>
          <t>Revenue (detail)</t>
        </is>
      </c>
      <c r="B107" s="18" t="inlineStr">
        <is>
          <t>12. Total revenue</t>
        </is>
      </c>
      <c r="C107" s="18" t="inlineStr">
        <is>
          <t>FY2024</t>
        </is>
      </c>
      <c r="D107" s="9" t="n">
        <v>454170</v>
      </c>
      <c r="E107" s="9">
        <f>'Revenue (detail)'!C13</f>
        <v/>
      </c>
      <c r="F107" s="9">
        <f>E107-D107</f>
        <v/>
      </c>
    </row>
    <row r="108">
      <c r="A108" s="18" t="inlineStr">
        <is>
          <t>Revenue (detail)</t>
        </is>
      </c>
      <c r="B108" s="18" t="inlineStr">
        <is>
          <t>2g program service revenue = sum of lines 2a-2f (FY2024)</t>
        </is>
      </c>
      <c r="C108" s="18" t="inlineStr">
        <is>
          <t>FY2024</t>
        </is>
      </c>
      <c r="D108" s="9" t="n">
        <v>453823</v>
      </c>
      <c r="E108" s="9">
        <f>SUM('Revenue (detail)'!C17:C17)</f>
        <v/>
      </c>
      <c r="F108" s="9">
        <f>E108-D108</f>
        <v/>
      </c>
    </row>
    <row r="109">
      <c r="A109" s="18" t="inlineStr">
        <is>
          <t>Operating expenses (detail)</t>
        </is>
      </c>
      <c r="B109" s="18" t="inlineStr">
        <is>
          <t>25. Total functional expenses</t>
        </is>
      </c>
      <c r="C109" s="18" t="inlineStr">
        <is>
          <t>FY2023</t>
        </is>
      </c>
      <c r="D109" s="9" t="n">
        <v>678947</v>
      </c>
      <c r="E109" s="9">
        <f>'Operating expenses (detail)'!B45</f>
        <v/>
      </c>
      <c r="F109" s="9">
        <f>E109-D109</f>
        <v/>
      </c>
    </row>
    <row r="110">
      <c r="A110" s="18" t="inlineStr">
        <is>
          <t>Operating expenses (detail)</t>
        </is>
      </c>
      <c r="B110" s="18" t="inlineStr">
        <is>
          <t>25. Total functional expenses</t>
        </is>
      </c>
      <c r="C110" s="18" t="inlineStr">
        <is>
          <t>FY2024</t>
        </is>
      </c>
      <c r="D110" s="9" t="n">
        <v>415151</v>
      </c>
      <c r="E110" s="9">
        <f>'Operating expenses (detail)'!C45</f>
        <v/>
      </c>
      <c r="F110" s="9">
        <f>E110-D110</f>
        <v/>
      </c>
    </row>
    <row r="111">
      <c r="A111" s="18" t="inlineStr">
        <is>
          <t>Operating expenses (detail)</t>
        </is>
      </c>
      <c r="B111" s="18" t="inlineStr">
        <is>
          <t>Part IX column split: col A = B + C + D (FY2024)</t>
        </is>
      </c>
      <c r="C111" s="18" t="inlineStr">
        <is>
          <t>FY2024</t>
        </is>
      </c>
      <c r="D111" s="9">
        <f>'Operating expenses (detail)'!B58</f>
        <v/>
      </c>
      <c r="E111" s="9">
        <f>'Operating expenses (detail)'!C58+'Operating expenses (detail)'!D58+'Operating expenses (detail)'!E58</f>
        <v/>
      </c>
      <c r="F111" s="9">
        <f>E111-D111</f>
        <v/>
      </c>
    </row>
    <row r="112">
      <c r="A112" s="18" t="inlineStr">
        <is>
          <t>Balance sheet (detail)</t>
        </is>
      </c>
      <c r="B112" s="18" t="inlineStr">
        <is>
          <t>16. Total assets</t>
        </is>
      </c>
      <c r="C112" s="18" t="inlineStr">
        <is>
          <t>FY2023</t>
        </is>
      </c>
      <c r="D112" s="9" t="n">
        <v>498438</v>
      </c>
      <c r="E112" s="9">
        <f>'Balance sheet (detail)'!B22</f>
        <v/>
      </c>
      <c r="F112" s="9">
        <f>E112-D112</f>
        <v/>
      </c>
    </row>
    <row r="113">
      <c r="A113" s="18" t="inlineStr">
        <is>
          <t>Balance sheet (detail)</t>
        </is>
      </c>
      <c r="B113" s="18" t="inlineStr">
        <is>
          <t>16. Total assets</t>
        </is>
      </c>
      <c r="C113" s="18" t="inlineStr">
        <is>
          <t>FY2024</t>
        </is>
      </c>
      <c r="D113" s="9" t="n">
        <v>243027</v>
      </c>
      <c r="E113" s="9">
        <f>'Balance sheet (detail)'!C22</f>
        <v/>
      </c>
      <c r="F113" s="9">
        <f>E113-D113</f>
        <v/>
      </c>
    </row>
    <row r="114">
      <c r="A114" s="18" t="inlineStr">
        <is>
          <t>Balance sheet (detail)</t>
        </is>
      </c>
      <c r="B114" s="18" t="inlineStr">
        <is>
          <t>26. Total liabilities</t>
        </is>
      </c>
      <c r="C114" s="18" t="inlineStr">
        <is>
          <t>FY2023</t>
        </is>
      </c>
      <c r="D114" s="9" t="n">
        <v>301287</v>
      </c>
      <c r="E114" s="9">
        <f>'Balance sheet (detail)'!B28</f>
        <v/>
      </c>
      <c r="F114" s="9">
        <f>E114-D114</f>
        <v/>
      </c>
    </row>
    <row r="115">
      <c r="A115" s="18" t="inlineStr">
        <is>
          <t>Balance sheet (detail)</t>
        </is>
      </c>
      <c r="B115" s="18" t="inlineStr">
        <is>
          <t>26. Total liabilities</t>
        </is>
      </c>
      <c r="C115" s="18" t="inlineStr">
        <is>
          <t>FY2024</t>
        </is>
      </c>
      <c r="D115" s="9" t="n">
        <v>6857</v>
      </c>
      <c r="E115" s="9">
        <f>'Balance sheet (detail)'!C28</f>
        <v/>
      </c>
      <c r="F115" s="9">
        <f>E115-D115</f>
        <v/>
      </c>
    </row>
    <row r="116">
      <c r="A116" s="18" t="inlineStr">
        <is>
          <t>Balance sheet (detail)</t>
        </is>
      </c>
      <c r="B116" s="18" t="inlineStr">
        <is>
          <t>32. Total net assets / fund balances</t>
        </is>
      </c>
      <c r="C116" s="18" t="inlineStr">
        <is>
          <t>FY2023</t>
        </is>
      </c>
      <c r="D116" s="9" t="n">
        <v>197151</v>
      </c>
      <c r="E116" s="9">
        <f>'Balance sheet (detail)'!B34</f>
        <v/>
      </c>
      <c r="F116" s="9">
        <f>E116-D116</f>
        <v/>
      </c>
    </row>
    <row r="117">
      <c r="A117" s="18" t="inlineStr">
        <is>
          <t>Balance sheet (detail)</t>
        </is>
      </c>
      <c r="B117" s="18" t="inlineStr">
        <is>
          <t>32. Total net assets / fund balances</t>
        </is>
      </c>
      <c r="C117" s="18" t="inlineStr">
        <is>
          <t>FY2024</t>
        </is>
      </c>
      <c r="D117" s="9" t="n">
        <v>236170</v>
      </c>
      <c r="E117" s="9">
        <f>'Balance sheet (detail)'!C34</f>
        <v/>
      </c>
      <c r="F117" s="9">
        <f>E117-D117</f>
        <v/>
      </c>
    </row>
    <row r="118">
      <c r="A118" s="18" t="inlineStr">
        <is>
          <t>Balance sheet (detail)</t>
        </is>
      </c>
      <c r="B118" s="18" t="inlineStr">
        <is>
          <t>Balance sheet identity: line 16 = line 26 + line 32 (EOY)</t>
        </is>
      </c>
      <c r="C118" s="18" t="inlineStr">
        <is>
          <t>FY2023</t>
        </is>
      </c>
      <c r="D118" s="9">
        <f>'Balance sheet (detail)'!B22</f>
        <v/>
      </c>
      <c r="E118" s="9">
        <f>SUM('Balance sheet (detail)'!B28,'Balance sheet (detail)'!B34)</f>
        <v/>
      </c>
      <c r="F118" s="9">
        <f>E118-D118</f>
        <v/>
      </c>
    </row>
    <row r="119">
      <c r="A119" s="18" t="inlineStr">
        <is>
          <t>Balance sheet (detail)</t>
        </is>
      </c>
      <c r="B119" s="18" t="inlineStr">
        <is>
          <t>Balance sheet identity: line 16 = line 26 + line 32 (EOY)</t>
        </is>
      </c>
      <c r="C119" s="18" t="inlineStr">
        <is>
          <t>FY2024</t>
        </is>
      </c>
      <c r="D119" s="9">
        <f>'Balance sheet (detail)'!C22</f>
        <v/>
      </c>
      <c r="E119" s="9">
        <f>SUM('Balance sheet (detail)'!C28,'Balance sheet (detail)'!C34)</f>
        <v/>
      </c>
      <c r="F119" s="9">
        <f>E119-D119</f>
        <v/>
      </c>
    </row>
    <row r="120">
      <c r="A120" s="18" t="inlineStr">
        <is>
          <t>Net-assets reconciliation</t>
        </is>
      </c>
      <c r="B120" s="18" t="inlineStr">
        <is>
          <t>10. Net assets, end of year</t>
        </is>
      </c>
      <c r="C120" s="18" t="inlineStr">
        <is>
          <t>FY2023</t>
        </is>
      </c>
      <c r="D120" s="9" t="n">
        <v>197151</v>
      </c>
      <c r="E120" s="9">
        <f>'Net-assets reconciliation'!B11</f>
        <v/>
      </c>
      <c r="F120" s="9">
        <f>E120-D120</f>
        <v/>
      </c>
    </row>
    <row r="121">
      <c r="A121" s="18" t="inlineStr">
        <is>
          <t>Net-assets reconciliation</t>
        </is>
      </c>
      <c r="B121" s="18" t="inlineStr">
        <is>
          <t>10. Net assets, end of year</t>
        </is>
      </c>
      <c r="C121" s="18" t="inlineStr">
        <is>
          <t>FY2024</t>
        </is>
      </c>
      <c r="D121" s="9" t="n">
        <v>236170</v>
      </c>
      <c r="E121" s="9">
        <f>'Net-assets reconciliation'!C11</f>
        <v/>
      </c>
      <c r="F121" s="9">
        <f>E121-D121</f>
        <v/>
      </c>
    </row>
    <row r="123">
      <c r="A123" s="30" t="inlineStr">
        <is>
          <t>D. Preparer / auditor trail (one row per fiscal year, as filed)</t>
        </is>
      </c>
      <c r="B123" s="7" t="n"/>
      <c r="C123" s="7" t="n"/>
      <c r="D123" s="7" t="n"/>
      <c r="E123" s="7" t="n"/>
      <c r="F123" s="7" t="n"/>
      <c r="G123" s="7" t="n"/>
      <c r="H123" s="7" t="n"/>
      <c r="I123" s="7" t="n"/>
      <c r="J123" s="7" t="n"/>
      <c r="K123" s="7" t="n"/>
    </row>
    <row r="124">
      <c r="A124" s="5" t="inlineStr">
        <is>
          <t>Fiscal year</t>
        </is>
      </c>
      <c r="B124" s="5" t="inlineStr">
        <is>
          <t>Paid preparer</t>
        </is>
      </c>
      <c r="C124" s="5" t="inlineStr">
        <is>
          <t>Preparer firm</t>
        </is>
      </c>
      <c r="D124" s="5" t="inlineStr">
        <is>
          <t>Independent auditor</t>
        </is>
      </c>
      <c r="E124" s="5" t="inlineStr">
        <is>
          <t>Citation</t>
        </is>
      </c>
    </row>
    <row r="125" ht="42" customHeight="1">
      <c r="A125" s="27" t="inlineStr">
        <is>
          <t>FY2023</t>
        </is>
      </c>
      <c r="B125" s="8" t="inlineStr">
        <is>
          <t>DONALD R HARDAWAY JR</t>
        </is>
      </c>
      <c r="C125" s="8" t="inlineStr">
        <is>
          <t>Hardaway Axume Weir CPAs LLP</t>
        </is>
      </c>
      <c r="D125" s="31" t="inlineStr">
        <is>
          <t>not reported</t>
        </is>
      </c>
      <c r="E125" s="21" t="inlineStr">
        <is>
          <t>Form 990 Return Header, Paid Preparer block (return_header.preparer_person_name / preparer_firm_name); auditor: Part XII line 2 reports audited financial statements but does not name the firm.</t>
        </is>
      </c>
    </row>
    <row r="126" ht="42" customHeight="1">
      <c r="A126" s="27" t="inlineStr">
        <is>
          <t>FY2024</t>
        </is>
      </c>
      <c r="B126" s="8" t="inlineStr">
        <is>
          <t>Mark Sturm</t>
        </is>
      </c>
      <c r="C126" s="8" t="inlineStr">
        <is>
          <t>Sturm Industries Inc</t>
        </is>
      </c>
      <c r="D126" s="31" t="inlineStr">
        <is>
          <t>not reported</t>
        </is>
      </c>
      <c r="E126" s="21" t="inlineStr">
        <is>
          <t>Form 990 Return Header, Paid Preparer block (return_header.preparer_person_name / preparer_firm_name); auditor: Part XII line 2 reports audited financial statements but does not name the firm.</t>
        </is>
      </c>
    </row>
    <row r="128" ht="42" customHeight="1">
      <c r="A128"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128:K128"/>
    <mergeCell ref="A2:K2"/>
    <mergeCell ref="A5:K5"/>
    <mergeCell ref="A1:K1"/>
  </mergeCells>
  <conditionalFormatting sqref="F106:F121">
    <cfRule type="cellIs" priority="1" operator="notEqual" dxfId="0">
      <formula>0</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