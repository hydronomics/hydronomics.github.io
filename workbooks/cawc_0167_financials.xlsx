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6" fillId="0" borderId="1" applyAlignment="1" pivotButton="0" quotePrefix="0" xfId="0">
      <alignment horizontal="left" vertical="top" wrapText="1"/>
    </xf>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6" borderId="1" applyAlignment="1" pivotButton="0" quotePrefix="0" xfId="0">
      <alignment horizontal="left" vertical="top" wrapText="1"/>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Michele Mutual Water Co</t>
        </is>
      </c>
    </row>
    <row r="2">
      <c r="A2" s="2" t="inlineStr">
        <is>
          <t>Financial Summary - multi-year overview (USD)</t>
        </is>
      </c>
    </row>
    <row r="3">
      <c r="A3" s="2" t="inlineStr">
        <is>
          <t>Entity ID: cawc_0167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51917</v>
      </c>
      <c r="C10" s="9" t="n">
        <v>36463</v>
      </c>
      <c r="D10" s="9" t="n">
        <v>85549</v>
      </c>
      <c r="E10" s="9" t="n">
        <v>187039</v>
      </c>
      <c r="F10" s="9" t="n">
        <v>138800</v>
      </c>
    </row>
    <row r="11">
      <c r="A11" s="8" t="inlineStr">
        <is>
          <t xml:space="preserve">    Total expenses</t>
        </is>
      </c>
      <c r="B11" s="9" t="n">
        <v>11039</v>
      </c>
      <c r="C11" s="9" t="n">
        <v>25703</v>
      </c>
      <c r="D11" s="9" t="n">
        <v>34912</v>
      </c>
      <c r="E11" s="9" t="n">
        <v>47578</v>
      </c>
      <c r="F11" s="9" t="n">
        <v>84366</v>
      </c>
    </row>
    <row r="12">
      <c r="A12" s="10" t="inlineStr">
        <is>
          <t xml:space="preserve">    Net income</t>
        </is>
      </c>
      <c r="B12" s="11" t="n">
        <v>40878</v>
      </c>
      <c r="C12" s="11" t="n">
        <v>10760</v>
      </c>
      <c r="D12" s="11" t="n">
        <v>50637</v>
      </c>
      <c r="E12" s="11" t="n">
        <v>139461</v>
      </c>
      <c r="F12" s="11" t="n">
        <v>54434</v>
      </c>
    </row>
    <row r="14">
      <c r="A14" s="6" t="inlineStr">
        <is>
          <t>Financial position (USD, end of year)</t>
        </is>
      </c>
      <c r="B14" s="7" t="n"/>
      <c r="C14" s="7" t="n"/>
      <c r="D14" s="7" t="n"/>
      <c r="E14" s="7" t="n"/>
      <c r="F14" s="7" t="n"/>
    </row>
    <row r="15">
      <c r="A15" s="8" t="inlineStr">
        <is>
          <t xml:space="preserve">    Total assets</t>
        </is>
      </c>
      <c r="B15" s="9" t="n">
        <v>280083</v>
      </c>
      <c r="C15" s="9" t="n">
        <v>291267</v>
      </c>
      <c r="D15" s="9" t="n">
        <v>950618</v>
      </c>
      <c r="E15" s="9" t="n">
        <v>975609</v>
      </c>
      <c r="F15" s="9" t="n">
        <v>1001358</v>
      </c>
    </row>
    <row r="16">
      <c r="A16" s="8" t="inlineStr">
        <is>
          <t xml:space="preserve">    Total liabilities</t>
        </is>
      </c>
      <c r="B16" s="9" t="n">
        <v>12600</v>
      </c>
      <c r="C16" s="9" t="n">
        <v>13024</v>
      </c>
      <c r="D16" s="9" t="n">
        <v>11960</v>
      </c>
      <c r="E16" s="9" t="n">
        <v>10686</v>
      </c>
      <c r="F16" s="9" t="n">
        <v>8146</v>
      </c>
    </row>
    <row r="17">
      <c r="A17" s="10" t="inlineStr">
        <is>
          <t xml:space="preserve">    Net assets</t>
        </is>
      </c>
      <c r="B17" s="11" t="n">
        <v>267483</v>
      </c>
      <c r="C17" s="11" t="n">
        <v>278243</v>
      </c>
      <c r="D17" s="11" t="n">
        <v>938658</v>
      </c>
      <c r="E17" s="11" t="n">
        <v>964923</v>
      </c>
      <c r="F17" s="11" t="n">
        <v>993212</v>
      </c>
    </row>
    <row r="19">
      <c r="A19" s="6" t="inlineStr">
        <is>
          <t>Headline ratios</t>
        </is>
      </c>
      <c r="B19" s="7" t="n"/>
      <c r="C19" s="7" t="n"/>
      <c r="D19" s="7" t="n"/>
      <c r="E19" s="7" t="n"/>
      <c r="F19" s="7" t="n"/>
    </row>
    <row r="20">
      <c r="A20" s="8" t="inlineStr">
        <is>
          <t xml:space="preserve">    Operating margin</t>
        </is>
      </c>
      <c r="B20" s="12" t="n">
        <v>0.7873721517036809</v>
      </c>
      <c r="C20" s="12" t="n">
        <v>0.2950936565833859</v>
      </c>
      <c r="D20" s="12" t="n">
        <v>0.5919063928275023</v>
      </c>
      <c r="E20" s="12" t="n">
        <v>0.7456252439330835</v>
      </c>
      <c r="F20" s="12" t="n">
        <v>0.3921757925072046</v>
      </c>
    </row>
    <row r="21">
      <c r="A21" s="8" t="inlineStr">
        <is>
          <t xml:space="preserve">    Revenue growth (YoY)</t>
        </is>
      </c>
      <c r="B21" s="12" t="n"/>
      <c r="C21" s="12" t="n"/>
      <c r="D21" s="12" t="n">
        <v>1.346186545265063</v>
      </c>
      <c r="E21" s="12" t="n">
        <v>1.186337654443652</v>
      </c>
      <c r="F21" s="12" t="n">
        <v>-0.257908778383118</v>
      </c>
    </row>
    <row r="22">
      <c r="A22" s="8" t="inlineStr">
        <is>
          <t xml:space="preserve">    Return on assets</t>
        </is>
      </c>
      <c r="B22" s="12" t="n">
        <v>0.1459495935133514</v>
      </c>
      <c r="C22" s="12" t="n">
        <v>0.0369420497344361</v>
      </c>
      <c r="D22" s="12" t="n">
        <v>0.05326745338295719</v>
      </c>
      <c r="E22" s="12" t="n">
        <v>0.1429476357844177</v>
      </c>
      <c r="F22" s="12" t="n">
        <v>0.05436017887708492</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8" t="inlineStr">
        <is>
          <t>2026-10-05</t>
        </is>
      </c>
      <c r="B5" s="8" t="inlineStr">
        <is>
          <t>clarification</t>
        </is>
      </c>
      <c r="C5" s="8" t="inlineStr">
        <is>
          <t>Claude</t>
        </is>
      </c>
      <c r="D5" s="13" t="inlineStr">
        <is>
          <t>The website recorded for this company, michelemutualwater.org, is served through Squarespace: the page footer carries "POWERED BY SQUARESPACE". That is a fact about who serves the page and not about whose page it is, and unlike cawc_0136 and cawc_0112, where the company's page sits on the HOST'S subdomain, this company controls the name itself. The site names "Michele Mutual Water Company", describes itself as "a non-profit water utility that is owned and operated by its members", holds meetings at 1495 Michele Way, and publishes PO Box 523 Fulton, California, 95439 and MicheleMutualWater@gmail.com. Fulton is in Sonoma County, matching the registration. Fetched and read on 2026-10-03, re-fetched on 2026-10-05 before seeding, HTTP 200 on all three address forms. The same search that found this page also returned it as a candidate for cawc_0169 Gill Creek Mutual Water Company, which is a different Sonoma County mutual and is recorded as researched with nothing found; this domain is this company's and not that one's.</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Michele Mutual Water Co</t>
        </is>
      </c>
    </row>
    <row r="2">
      <c r="A2" s="2" t="inlineStr">
        <is>
          <t>Financial Statements - income statement, balance sheet, cash flow, member income test (USD)</t>
        </is>
      </c>
    </row>
    <row r="3">
      <c r="A3" s="2" t="inlineStr">
        <is>
          <t>Entity ID: cawc_0167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c r="C8" s="9" t="n"/>
      <c r="D8" s="9" t="n">
        <v>88822</v>
      </c>
      <c r="E8" s="9" t="n">
        <v>86489</v>
      </c>
      <c r="F8" s="9" t="n">
        <v>17588</v>
      </c>
    </row>
    <row r="9">
      <c r="A9" s="8" t="inlineStr">
        <is>
          <t xml:space="preserve">    Investment income</t>
        </is>
      </c>
      <c r="B9" s="9" t="n"/>
      <c r="C9" s="9" t="n"/>
      <c r="D9" s="9" t="n">
        <v>207</v>
      </c>
      <c r="E9" s="9" t="n">
        <v>451</v>
      </c>
      <c r="F9" s="9" t="n">
        <v>294</v>
      </c>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c r="C12" s="9" t="n"/>
      <c r="D12" s="9" t="n"/>
      <c r="E12" s="9" t="n">
        <v>14976</v>
      </c>
      <c r="F12" s="9" t="n">
        <v>460</v>
      </c>
    </row>
    <row r="13">
      <c r="A13" s="8" t="inlineStr">
        <is>
          <t xml:space="preserve">    Contributions &amp; grants</t>
        </is>
      </c>
      <c r="B13" s="9" t="n"/>
      <c r="C13" s="9" t="n"/>
      <c r="D13" s="9" t="n">
        <v>15424</v>
      </c>
      <c r="E13" s="9" t="n">
        <v>85123</v>
      </c>
      <c r="F13" s="9" t="n">
        <v>120458</v>
      </c>
    </row>
    <row r="14">
      <c r="A14" s="10" t="inlineStr">
        <is>
          <t>Total revenue</t>
        </is>
      </c>
      <c r="B14" s="11" t="n"/>
      <c r="C14" s="11" t="n"/>
      <c r="D14" s="11" t="n">
        <v>85549</v>
      </c>
      <c r="E14" s="11" t="n">
        <v>187039</v>
      </c>
      <c r="F14" s="11" t="n">
        <v>138800</v>
      </c>
    </row>
    <row r="16">
      <c r="A16" s="6" t="inlineStr">
        <is>
          <t>Expenses</t>
        </is>
      </c>
      <c r="B16" s="7" t="n"/>
      <c r="C16" s="7" t="n"/>
      <c r="D16" s="7" t="n"/>
      <c r="E16" s="7" t="n"/>
      <c r="F16" s="7" t="n"/>
    </row>
    <row r="17">
      <c r="A17" s="8" t="inlineStr">
        <is>
          <t xml:space="preserve">    Depreciation</t>
        </is>
      </c>
      <c r="B17" s="9" t="n"/>
      <c r="C17" s="9" t="n"/>
      <c r="D17" s="9" t="n">
        <v>4956</v>
      </c>
      <c r="E17" s="9" t="n"/>
      <c r="F17" s="9" t="n"/>
    </row>
    <row r="18">
      <c r="A18" s="8" t="inlineStr">
        <is>
          <t xml:space="preserve">    Interest expense</t>
        </is>
      </c>
      <c r="B18" s="9" t="n"/>
      <c r="C18" s="9" t="n"/>
      <c r="D18" s="9" t="n"/>
      <c r="E18" s="9" t="n"/>
      <c r="F18" s="9" t="n"/>
    </row>
    <row r="19">
      <c r="A19" s="10" t="inlineStr">
        <is>
          <t>Total expenses</t>
        </is>
      </c>
      <c r="B19" s="11" t="n">
        <v>11039</v>
      </c>
      <c r="C19" s="11" t="n">
        <v>25703</v>
      </c>
      <c r="D19" s="11" t="n">
        <v>34912</v>
      </c>
      <c r="E19" s="11" t="n">
        <v>47578</v>
      </c>
      <c r="F19" s="11" t="n">
        <v>84366</v>
      </c>
    </row>
    <row r="21">
      <c r="A21" s="10" t="inlineStr">
        <is>
          <t>Net income</t>
        </is>
      </c>
      <c r="B21" s="11" t="n">
        <v>40878</v>
      </c>
      <c r="C21" s="11" t="n">
        <v>10760</v>
      </c>
      <c r="D21" s="11" t="n">
        <v>50637</v>
      </c>
      <c r="E21" s="11" t="n">
        <v>139461</v>
      </c>
      <c r="F21" s="11" t="n">
        <v>54434</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89035</v>
      </c>
      <c r="C27" s="9" t="n">
        <v>63845</v>
      </c>
      <c r="D27" s="9" t="n">
        <v>55255</v>
      </c>
      <c r="E27" s="9" t="n">
        <v>150983</v>
      </c>
      <c r="F27" s="9" t="n">
        <v>215932</v>
      </c>
    </row>
    <row r="28">
      <c r="A28" s="8" t="inlineStr">
        <is>
          <t xml:space="preserve">    Savings &amp; temporary investments</t>
        </is>
      </c>
      <c r="B28" s="9" t="n"/>
      <c r="C28" s="9" t="n"/>
      <c r="D28" s="9" t="n">
        <v>34605</v>
      </c>
      <c r="E28" s="9" t="n"/>
      <c r="F28" s="9" t="n"/>
    </row>
    <row r="29">
      <c r="A29" s="8" t="inlineStr">
        <is>
          <t xml:space="preserve">    Accounts receivable</t>
        </is>
      </c>
      <c r="B29" s="9" t="n"/>
      <c r="C29" s="9" t="n"/>
      <c r="D29" s="9" t="n">
        <v>33420</v>
      </c>
      <c r="E29" s="9" t="n">
        <v>28445</v>
      </c>
      <c r="F29" s="9" t="n">
        <v>19000</v>
      </c>
    </row>
    <row r="30">
      <c r="A30" s="8" t="inlineStr">
        <is>
          <t xml:space="preserve">    Inventories</t>
        </is>
      </c>
      <c r="B30" s="9" t="n"/>
      <c r="C30" s="9" t="n"/>
      <c r="D30" s="9" t="n"/>
      <c r="E30" s="9" t="n"/>
      <c r="F30" s="9" t="n"/>
    </row>
    <row r="31">
      <c r="A31" s="8" t="inlineStr">
        <is>
          <t xml:space="preserve">    Prepaid expenses</t>
        </is>
      </c>
      <c r="B31" s="9" t="n"/>
      <c r="C31" s="9" t="n"/>
      <c r="D31" s="9" t="n"/>
      <c r="E31" s="9" t="n"/>
      <c r="F31" s="9" t="n"/>
    </row>
    <row r="32">
      <c r="A32" s="8" t="inlineStr">
        <is>
          <t xml:space="preserve">    Property, plant &amp; equipment (gross)</t>
        </is>
      </c>
      <c r="B32" s="9" t="n"/>
      <c r="C32" s="9" t="n"/>
      <c r="D32" s="9" t="n">
        <v>855691</v>
      </c>
      <c r="E32" s="9" t="n">
        <v>825936</v>
      </c>
      <c r="F32" s="9" t="n">
        <v>796181</v>
      </c>
    </row>
    <row r="33">
      <c r="A33" s="8" t="inlineStr">
        <is>
          <t xml:space="preserve">    Less: accumulated depreciation</t>
        </is>
      </c>
      <c r="B33" s="9" t="n"/>
      <c r="C33" s="9" t="n"/>
      <c r="D33" s="9" t="n">
        <v>-29755</v>
      </c>
      <c r="E33" s="9" t="n">
        <v>-29755</v>
      </c>
      <c r="F33" s="9" t="n">
        <v>-29755</v>
      </c>
    </row>
    <row r="34">
      <c r="A34" s="10" t="inlineStr">
        <is>
          <t xml:space="preserve">    Net property, plant &amp; equipment</t>
        </is>
      </c>
      <c r="B34" s="11" t="n">
        <v>163278</v>
      </c>
      <c r="C34" s="11" t="n">
        <v>195982</v>
      </c>
      <c r="D34" s="11" t="n">
        <v>825936</v>
      </c>
      <c r="E34" s="11" t="n">
        <v>796181</v>
      </c>
      <c r="F34" s="11" t="n">
        <v>766426</v>
      </c>
    </row>
    <row r="35">
      <c r="A35" s="10" t="inlineStr">
        <is>
          <t>Total assets</t>
        </is>
      </c>
      <c r="B35" s="11" t="n">
        <v>280083</v>
      </c>
      <c r="C35" s="11" t="n">
        <v>291267</v>
      </c>
      <c r="D35" s="11" t="n">
        <v>950618</v>
      </c>
      <c r="E35" s="11" t="n">
        <v>975609</v>
      </c>
      <c r="F35" s="11" t="n">
        <v>1001358</v>
      </c>
    </row>
    <row r="37">
      <c r="A37" s="6" t="inlineStr">
        <is>
          <t>Liabilities</t>
        </is>
      </c>
      <c r="B37" s="7" t="n"/>
      <c r="C37" s="7" t="n"/>
      <c r="D37" s="7" t="n"/>
      <c r="E37" s="7" t="n"/>
      <c r="F37" s="7" t="n"/>
    </row>
    <row r="38">
      <c r="A38" s="8" t="inlineStr">
        <is>
          <t xml:space="preserve">    Accounts payable</t>
        </is>
      </c>
      <c r="B38" s="9" t="n"/>
      <c r="C38" s="9" t="n"/>
      <c r="D38" s="9" t="n">
        <v>230</v>
      </c>
      <c r="E38" s="9" t="n"/>
      <c r="F38" s="9" t="n"/>
    </row>
    <row r="39">
      <c r="A39" s="8" t="inlineStr">
        <is>
          <t xml:space="preserve">    Mortgages &amp; notes payable</t>
        </is>
      </c>
      <c r="B39" s="9" t="n"/>
      <c r="C39" s="9" t="n"/>
      <c r="D39" s="9" t="n"/>
      <c r="E39" s="9" t="n"/>
      <c r="F39" s="9" t="n"/>
    </row>
    <row r="40">
      <c r="A40" s="10" t="inlineStr">
        <is>
          <t>Total liabilities</t>
        </is>
      </c>
      <c r="B40" s="11" t="n">
        <v>12600</v>
      </c>
      <c r="C40" s="11" t="n">
        <v>13024</v>
      </c>
      <c r="D40" s="11" t="n">
        <v>11960</v>
      </c>
      <c r="E40" s="11" t="n">
        <v>10686</v>
      </c>
      <c r="F40" s="11" t="n">
        <v>8146</v>
      </c>
    </row>
    <row r="42">
      <c r="A42" s="6" t="inlineStr">
        <is>
          <t>Net Assets / Equity</t>
        </is>
      </c>
      <c r="B42" s="7" t="n"/>
      <c r="C42" s="7" t="n"/>
      <c r="D42" s="7" t="n"/>
      <c r="E42" s="7" t="n"/>
      <c r="F42" s="7" t="n"/>
    </row>
    <row r="43">
      <c r="A43" s="8" t="inlineStr">
        <is>
          <t xml:space="preserve">    Capital stock</t>
        </is>
      </c>
      <c r="B43" s="9" t="n"/>
      <c r="C43" s="9" t="n"/>
      <c r="D43" s="9" t="n">
        <v>0</v>
      </c>
      <c r="E43" s="9" t="n"/>
      <c r="F43" s="9" t="n"/>
    </row>
    <row r="44">
      <c r="A44" s="8" t="inlineStr">
        <is>
          <t xml:space="preserve">    Paid-in capital</t>
        </is>
      </c>
      <c r="B44" s="9" t="n"/>
      <c r="C44" s="9" t="n"/>
      <c r="D44" s="9" t="n">
        <v>0</v>
      </c>
      <c r="E44" s="9" t="n"/>
      <c r="F44" s="9" t="n"/>
    </row>
    <row r="45">
      <c r="A45" s="8" t="inlineStr">
        <is>
          <t xml:space="preserve">    Retained earnings</t>
        </is>
      </c>
      <c r="B45" s="9" t="n"/>
      <c r="C45" s="9" t="n"/>
      <c r="D45" s="9" t="n">
        <v>938658</v>
      </c>
      <c r="E45" s="9" t="n">
        <v>964923</v>
      </c>
      <c r="F45" s="9" t="n">
        <v>993212</v>
      </c>
    </row>
    <row r="46">
      <c r="A46" s="10" t="inlineStr">
        <is>
          <t>Net assets</t>
        </is>
      </c>
      <c r="B46" s="11" t="n">
        <v>267483</v>
      </c>
      <c r="C46" s="11" t="n">
        <v>278243</v>
      </c>
      <c r="D46" s="11" t="n">
        <v>938658</v>
      </c>
      <c r="E46" s="11" t="n">
        <v>964923</v>
      </c>
      <c r="F46" s="11" t="n">
        <v>993212</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40878</v>
      </c>
      <c r="C52" s="9" t="n">
        <v>10760</v>
      </c>
      <c r="D52" s="9" t="n">
        <v>50637</v>
      </c>
      <c r="E52" s="9" t="n">
        <v>139461</v>
      </c>
      <c r="F52" s="9" t="n">
        <v>54434</v>
      </c>
    </row>
    <row r="53">
      <c r="A53" s="8" t="inlineStr">
        <is>
          <t xml:space="preserve">    + Depreciation (reported)</t>
        </is>
      </c>
      <c r="B53" s="9" t="n"/>
      <c r="C53" s="9" t="n"/>
      <c r="D53" s="9" t="n">
        <v>4956</v>
      </c>
      <c r="E53" s="9" t="n"/>
      <c r="F53" s="9" t="n"/>
    </row>
    <row r="54">
      <c r="A54" s="8" t="inlineStr">
        <is>
          <t xml:space="preserve">    − Δ Accounts receivable</t>
        </is>
      </c>
      <c r="B54" s="9" t="n"/>
      <c r="C54" s="9" t="n"/>
      <c r="D54" s="9" t="n"/>
      <c r="E54" s="9" t="n">
        <v>4975</v>
      </c>
      <c r="F54" s="9" t="n">
        <v>9445</v>
      </c>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row>
    <row r="57">
      <c r="A57" s="8" t="inlineStr">
        <is>
          <t xml:space="preserve">    + Δ Accounts payable</t>
        </is>
      </c>
      <c r="B57" s="9" t="n"/>
      <c r="C57" s="9" t="n"/>
      <c r="D57" s="9" t="n"/>
      <c r="E57" s="9" t="n"/>
      <c r="F57" s="9" t="n"/>
    </row>
    <row r="58">
      <c r="A58" s="10" t="inlineStr">
        <is>
          <t xml:space="preserve">    Operating cash flow proxy</t>
        </is>
      </c>
      <c r="B58" s="11" t="n"/>
      <c r="C58" s="11" t="n">
        <v>10760</v>
      </c>
      <c r="D58" s="11" t="n">
        <v>55593</v>
      </c>
      <c r="E58" s="11" t="n">
        <v>144436</v>
      </c>
      <c r="F58" s="11" t="n">
        <v>63879</v>
      </c>
    </row>
    <row r="60">
      <c r="A60" s="6" t="inlineStr">
        <is>
          <t>Investing</t>
        </is>
      </c>
      <c r="B60" s="7" t="n"/>
      <c r="C60" s="7" t="n"/>
      <c r="D60" s="7" t="n"/>
      <c r="E60" s="7" t="n"/>
      <c r="F60" s="7" t="n"/>
    </row>
    <row r="61">
      <c r="A61" s="8" t="inlineStr">
        <is>
          <t xml:space="preserve">    − Δ PP&amp;E gross (capex proxy)</t>
        </is>
      </c>
      <c r="B61" s="9" t="n"/>
      <c r="C61" s="9" t="n"/>
      <c r="D61" s="9" t="n"/>
      <c r="E61" s="9" t="n">
        <v>29755</v>
      </c>
      <c r="F61" s="9" t="n">
        <v>29755</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-25190</v>
      </c>
      <c r="D67" s="11" t="n">
        <v>26015</v>
      </c>
      <c r="E67" s="11" t="n">
        <v>61123</v>
      </c>
      <c r="F67" s="11" t="n">
        <v>64949</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FY2022</t>
        </is>
      </c>
      <c r="C72" s="5" t="inlineStr">
        <is>
          <t>FY2023</t>
        </is>
      </c>
      <c r="D72" s="5" t="inlineStr">
        <is>
          <t>FY2024</t>
        </is>
      </c>
    </row>
    <row r="73">
      <c r="A73" s="8" t="inlineStr">
        <is>
          <t xml:space="preserve">    11a. Gross income from members or shareholders</t>
        </is>
      </c>
      <c r="B73" s="9" t="n">
        <v>88822</v>
      </c>
      <c r="C73" s="9" t="n">
        <v>86489</v>
      </c>
      <c r="D73" s="9" t="n">
        <v>0</v>
      </c>
    </row>
    <row r="74">
      <c r="A74" s="8" t="inlineStr">
        <is>
          <t xml:space="preserve">    11b. Gross income from other sources</t>
        </is>
      </c>
      <c r="B74" s="9" t="n">
        <v>0</v>
      </c>
      <c r="C74" s="14" t="inlineStr">
        <is>
          <t>not reported</t>
        </is>
      </c>
      <c r="D74" s="9" t="n">
        <v>0</v>
      </c>
    </row>
    <row r="75">
      <c r="A75" s="15" t="inlineStr">
        <is>
          <t>Total gross income (11a + 11b)</t>
        </is>
      </c>
      <c r="B75" s="16">
        <f>SUM(B73,B74)</f>
        <v/>
      </c>
      <c r="C75" s="16">
        <f>SUM(C73,C74)</f>
        <v/>
      </c>
      <c r="D75" s="16">
        <f>SUM(D73,D74)</f>
        <v/>
      </c>
    </row>
    <row r="76">
      <c r="A76" s="15" t="inlineStr">
        <is>
          <t>Member income share (11a / total)</t>
        </is>
      </c>
      <c r="B76" s="17">
        <f>IF(B75=0,"",B73/B75)</f>
        <v/>
      </c>
      <c r="C76" s="17">
        <f>IF(C75=0,"",C73/C75)</f>
        <v/>
      </c>
      <c r="D76" s="17">
        <f>IF(D75=0,"",D73/D75)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Michele Mutual Water Co</t>
        </is>
      </c>
    </row>
    <row r="2">
      <c r="A2" s="2" t="inlineStr">
        <is>
          <t>Balance Sheet - as reported (USD, end of year)</t>
        </is>
      </c>
    </row>
    <row r="3">
      <c r="A3" s="2" t="inlineStr">
        <is>
          <t>Entity ID: cawc_0167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89035</v>
      </c>
      <c r="C7" s="9" t="n">
        <v>63845</v>
      </c>
      <c r="D7" s="9" t="n">
        <v>55255</v>
      </c>
      <c r="E7" s="9" t="n">
        <v>150983</v>
      </c>
      <c r="F7" s="9" t="n">
        <v>215932</v>
      </c>
    </row>
    <row r="8">
      <c r="A8" s="8" t="inlineStr">
        <is>
          <t xml:space="preserve">    Savings &amp; temporary investments</t>
        </is>
      </c>
      <c r="B8" s="9" t="n"/>
      <c r="C8" s="9" t="n"/>
      <c r="D8" s="9" t="n">
        <v>34605</v>
      </c>
      <c r="E8" s="9" t="n"/>
      <c r="F8" s="9" t="n"/>
    </row>
    <row r="9">
      <c r="A9" s="8" t="inlineStr">
        <is>
          <t xml:space="preserve">    Accounts receivable</t>
        </is>
      </c>
      <c r="B9" s="9" t="n"/>
      <c r="C9" s="9" t="n"/>
      <c r="D9" s="9" t="n">
        <v>33420</v>
      </c>
      <c r="E9" s="9" t="n">
        <v>28445</v>
      </c>
      <c r="F9" s="9" t="n">
        <v>19000</v>
      </c>
    </row>
    <row r="10">
      <c r="A10" s="8" t="inlineStr">
        <is>
          <t xml:space="preserve">    Inventories</t>
        </is>
      </c>
      <c r="B10" s="9" t="n"/>
      <c r="C10" s="9" t="n"/>
      <c r="D10" s="9" t="n"/>
      <c r="E10" s="9" t="n"/>
      <c r="F10" s="9" t="n"/>
    </row>
    <row r="11">
      <c r="A11" s="8" t="inlineStr">
        <is>
          <t xml:space="preserve">    Prepaid expenses</t>
        </is>
      </c>
      <c r="B11" s="9" t="n"/>
      <c r="C11" s="9" t="n"/>
      <c r="D11" s="9" t="n"/>
      <c r="E11" s="9" t="n"/>
      <c r="F11" s="9" t="n"/>
    </row>
    <row r="12">
      <c r="A12" s="8" t="inlineStr">
        <is>
          <t xml:space="preserve">    Property, plant &amp; equipment (gross)</t>
        </is>
      </c>
      <c r="B12" s="9" t="n"/>
      <c r="C12" s="9" t="n"/>
      <c r="D12" s="9" t="n">
        <v>855691</v>
      </c>
      <c r="E12" s="9" t="n">
        <v>825936</v>
      </c>
      <c r="F12" s="9" t="n">
        <v>796181</v>
      </c>
    </row>
    <row r="13">
      <c r="A13" s="8" t="inlineStr">
        <is>
          <t xml:space="preserve">    Less: accumulated depreciation</t>
        </is>
      </c>
      <c r="B13" s="9" t="n"/>
      <c r="C13" s="9" t="n"/>
      <c r="D13" s="9" t="n">
        <v>-29755</v>
      </c>
      <c r="E13" s="9" t="n">
        <v>-29755</v>
      </c>
      <c r="F13" s="9" t="n">
        <v>-29755</v>
      </c>
    </row>
    <row r="14">
      <c r="A14" s="10" t="inlineStr">
        <is>
          <t xml:space="preserve">    Net property, plant &amp; equipment</t>
        </is>
      </c>
      <c r="B14" s="11" t="n">
        <v>163278</v>
      </c>
      <c r="C14" s="11" t="n">
        <v>195982</v>
      </c>
      <c r="D14" s="11" t="n">
        <v>825936</v>
      </c>
      <c r="E14" s="11" t="n">
        <v>796181</v>
      </c>
      <c r="F14" s="11" t="n">
        <v>766426</v>
      </c>
    </row>
    <row r="15">
      <c r="A15" s="10" t="inlineStr">
        <is>
          <t>Total assets</t>
        </is>
      </c>
      <c r="B15" s="11" t="n">
        <v>280083</v>
      </c>
      <c r="C15" s="11" t="n">
        <v>291267</v>
      </c>
      <c r="D15" s="11" t="n">
        <v>950618</v>
      </c>
      <c r="E15" s="11" t="n">
        <v>975609</v>
      </c>
      <c r="F15" s="11" t="n">
        <v>1001358</v>
      </c>
    </row>
    <row r="17">
      <c r="A17" s="6" t="inlineStr">
        <is>
          <t>Liabilities</t>
        </is>
      </c>
      <c r="B17" s="7" t="n"/>
      <c r="C17" s="7" t="n"/>
      <c r="D17" s="7" t="n"/>
      <c r="E17" s="7" t="n"/>
      <c r="F17" s="7" t="n"/>
    </row>
    <row r="18">
      <c r="A18" s="8" t="inlineStr">
        <is>
          <t xml:space="preserve">    Accounts payable</t>
        </is>
      </c>
      <c r="B18" s="9" t="n"/>
      <c r="C18" s="9" t="n"/>
      <c r="D18" s="9" t="n">
        <v>230</v>
      </c>
      <c r="E18" s="9" t="n"/>
      <c r="F18" s="9" t="n"/>
    </row>
    <row r="19">
      <c r="A19" s="8" t="inlineStr">
        <is>
          <t xml:space="preserve">    Mortgages &amp; notes payable</t>
        </is>
      </c>
      <c r="B19" s="9" t="n"/>
      <c r="C19" s="9" t="n"/>
      <c r="D19" s="9" t="n"/>
      <c r="E19" s="9" t="n"/>
      <c r="F19" s="9" t="n"/>
    </row>
    <row r="20">
      <c r="A20" s="10" t="inlineStr">
        <is>
          <t>Total liabilities</t>
        </is>
      </c>
      <c r="B20" s="11" t="n">
        <v>12600</v>
      </c>
      <c r="C20" s="11" t="n">
        <v>13024</v>
      </c>
      <c r="D20" s="11" t="n">
        <v>11960</v>
      </c>
      <c r="E20" s="11" t="n">
        <v>10686</v>
      </c>
      <c r="F20" s="11" t="n">
        <v>8146</v>
      </c>
    </row>
    <row r="22">
      <c r="A22" s="6" t="inlineStr">
        <is>
          <t>Net Assets / Equity</t>
        </is>
      </c>
      <c r="B22" s="7" t="n"/>
      <c r="C22" s="7" t="n"/>
      <c r="D22" s="7" t="n"/>
      <c r="E22" s="7" t="n"/>
      <c r="F22" s="7" t="n"/>
    </row>
    <row r="23">
      <c r="A23" s="8" t="inlineStr">
        <is>
          <t xml:space="preserve">    Capital stock</t>
        </is>
      </c>
      <c r="B23" s="9" t="n"/>
      <c r="C23" s="9" t="n"/>
      <c r="D23" s="9" t="n">
        <v>0</v>
      </c>
      <c r="E23" s="9" t="n"/>
      <c r="F23" s="9" t="n"/>
    </row>
    <row r="24">
      <c r="A24" s="8" t="inlineStr">
        <is>
          <t xml:space="preserve">    Paid-in capital</t>
        </is>
      </c>
      <c r="B24" s="9" t="n"/>
      <c r="C24" s="9" t="n"/>
      <c r="D24" s="9" t="n">
        <v>0</v>
      </c>
      <c r="E24" s="9" t="n"/>
      <c r="F24" s="9" t="n"/>
    </row>
    <row r="25">
      <c r="A25" s="8" t="inlineStr">
        <is>
          <t xml:space="preserve">    Retained earnings</t>
        </is>
      </c>
      <c r="B25" s="9" t="n"/>
      <c r="C25" s="9" t="n"/>
      <c r="D25" s="9" t="n">
        <v>938658</v>
      </c>
      <c r="E25" s="9" t="n">
        <v>964923</v>
      </c>
      <c r="F25" s="9" t="n">
        <v>993212</v>
      </c>
    </row>
    <row r="26">
      <c r="A26" s="10" t="inlineStr">
        <is>
          <t>Net assets</t>
        </is>
      </c>
      <c r="B26" s="11" t="n">
        <v>267483</v>
      </c>
      <c r="C26" s="11" t="n">
        <v>278243</v>
      </c>
      <c r="D26" s="11" t="n">
        <v>938658</v>
      </c>
      <c r="E26" s="11" t="n">
        <v>964923</v>
      </c>
      <c r="F26" s="11" t="n">
        <v>993212</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Michele Mutual Water Co</t>
        </is>
      </c>
    </row>
    <row r="2">
      <c r="A2" s="2" t="inlineStr">
        <is>
          <t>Officers, Directors &amp; Contractors - Form 990 Part VII (FY2024; USD)</t>
        </is>
      </c>
    </row>
    <row r="3">
      <c r="A3" s="2" t="inlineStr">
        <is>
          <t>Entity ID: cawc_0167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DAVID GURLEY</t>
        </is>
      </c>
      <c r="B7" s="8" t="inlineStr">
        <is>
          <t>President</t>
        </is>
      </c>
      <c r="C7" s="9" t="n">
        <v>0</v>
      </c>
      <c r="D7" s="9" t="n">
        <v>0</v>
      </c>
      <c r="E7" s="9" t="n">
        <v>0</v>
      </c>
      <c r="F7" s="9" t="n">
        <v>0</v>
      </c>
    </row>
    <row r="8">
      <c r="A8" s="8" t="inlineStr">
        <is>
          <t>GREG WILSON</t>
        </is>
      </c>
      <c r="B8" s="8" t="inlineStr">
        <is>
          <t>Vice President</t>
        </is>
      </c>
      <c r="C8" s="9" t="n">
        <v>0</v>
      </c>
      <c r="D8" s="9" t="n">
        <v>0</v>
      </c>
      <c r="E8" s="9" t="n">
        <v>0</v>
      </c>
      <c r="F8" s="9" t="n">
        <v>0</v>
      </c>
    </row>
    <row r="9">
      <c r="A9" s="8" t="inlineStr">
        <is>
          <t>KAYLA PATANE</t>
        </is>
      </c>
      <c r="B9" s="8" t="inlineStr">
        <is>
          <t>Secretary</t>
        </is>
      </c>
      <c r="C9" s="9" t="n">
        <v>0</v>
      </c>
      <c r="D9" s="9" t="n">
        <v>0</v>
      </c>
      <c r="E9" s="9" t="n">
        <v>0</v>
      </c>
      <c r="F9" s="9" t="n">
        <v>0</v>
      </c>
    </row>
    <row r="10">
      <c r="A10" s="8" t="inlineStr">
        <is>
          <t>CATHY RECORD</t>
        </is>
      </c>
      <c r="B10" s="8" t="inlineStr">
        <is>
          <t>Treasurer</t>
        </is>
      </c>
      <c r="C10" s="9" t="n">
        <v>0</v>
      </c>
      <c r="D10" s="9" t="n">
        <v>0</v>
      </c>
      <c r="E10" s="9" t="n">
        <v>0</v>
      </c>
      <c r="F10" s="9" t="n">
        <v>0</v>
      </c>
    </row>
    <row r="11">
      <c r="A11" s="8" t="inlineStr">
        <is>
          <t>STEPHEN BARTKOWSKI</t>
        </is>
      </c>
      <c r="B11" s="8" t="inlineStr">
        <is>
          <t>Director</t>
        </is>
      </c>
      <c r="C11" s="9" t="n">
        <v>0</v>
      </c>
      <c r="D11" s="9" t="n">
        <v>0</v>
      </c>
      <c r="E11" s="9" t="n">
        <v>0</v>
      </c>
      <c r="F11" s="9" t="n">
        <v>0</v>
      </c>
    </row>
    <row r="12">
      <c r="A12" s="8" t="inlineStr">
        <is>
          <t>WENDY TROWBIRDGE</t>
        </is>
      </c>
      <c r="B12" s="8" t="inlineStr">
        <is>
          <t>Director</t>
        </is>
      </c>
      <c r="C12" s="9" t="n">
        <v>0</v>
      </c>
      <c r="D12" s="9" t="n">
        <v>0</v>
      </c>
      <c r="E12" s="9" t="n">
        <v>0</v>
      </c>
      <c r="F12" s="9" t="n">
        <v>0</v>
      </c>
    </row>
    <row r="13">
      <c r="A13" s="8" t="inlineStr">
        <is>
          <t>SARI SCHELLINGER</t>
        </is>
      </c>
      <c r="B13" s="8" t="inlineStr">
        <is>
          <t>Director</t>
        </is>
      </c>
      <c r="C13" s="9" t="n">
        <v>0</v>
      </c>
      <c r="D13" s="9" t="n">
        <v>0</v>
      </c>
      <c r="E13" s="9" t="n">
        <v>0</v>
      </c>
      <c r="F13" s="9" t="n">
        <v>0</v>
      </c>
    </row>
    <row r="15">
      <c r="A15" s="6" t="inlineStr">
        <is>
          <t>Section B - Independent contractors (over $100,000)</t>
        </is>
      </c>
      <c r="B15" s="7" t="n"/>
      <c r="C15" s="7" t="n"/>
      <c r="D15" s="7" t="n"/>
      <c r="E15" s="7" t="n"/>
      <c r="F15" s="7" t="n"/>
    </row>
    <row r="16">
      <c r="A16" s="5" t="inlineStr">
        <is>
          <t>Contractor</t>
        </is>
      </c>
      <c r="B16" s="5" t="inlineStr">
        <is>
          <t>Services</t>
        </is>
      </c>
      <c r="C16" s="5" t="inlineStr">
        <is>
          <t>Compensation</t>
        </is>
      </c>
    </row>
    <row r="18" ht="42" customHeight="1">
      <c r="A18"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F1"/>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Michele Mutual Water Co</t>
        </is>
      </c>
    </row>
    <row r="2">
      <c r="A2" s="2" t="inlineStr">
        <is>
          <t>Revenue - Form 990 Part VIII (USD)</t>
        </is>
      </c>
    </row>
    <row r="3">
      <c r="A3" s="2" t="inlineStr">
        <is>
          <t>Entity ID: cawc_0167   |   Fiscal year ends December 31.</t>
        </is>
      </c>
    </row>
    <row r="5">
      <c r="A5" s="4" t="inlineStr">
        <is>
          <t>Part VIII line</t>
        </is>
      </c>
      <c r="B5" s="5" t="inlineStr">
        <is>
          <t>FY2022</t>
        </is>
      </c>
      <c r="C5" s="5" t="inlineStr">
        <is>
          <t>FY2023</t>
        </is>
      </c>
      <c r="D5" s="5" t="inlineStr">
        <is>
          <t>FY2024</t>
        </is>
      </c>
    </row>
    <row r="6">
      <c r="A6" s="6" t="inlineStr">
        <is>
          <t>Revenue by category</t>
        </is>
      </c>
      <c r="B6" s="7" t="n"/>
      <c r="C6" s="7" t="n"/>
      <c r="D6" s="7" t="n"/>
    </row>
    <row r="7">
      <c r="A7" s="8" t="inlineStr">
        <is>
          <t xml:space="preserve">    1h. Total contributions, gifts, grants</t>
        </is>
      </c>
      <c r="B7" s="9" t="n">
        <v>15424</v>
      </c>
      <c r="C7" s="9" t="n">
        <v>85123</v>
      </c>
      <c r="D7" s="9" t="n">
        <v>120458</v>
      </c>
    </row>
    <row r="8">
      <c r="A8" s="8" t="inlineStr">
        <is>
          <t xml:space="preserve">    2g. Total program service revenue</t>
        </is>
      </c>
      <c r="B8" s="9" t="n">
        <v>88822</v>
      </c>
      <c r="C8" s="9" t="n">
        <v>86489</v>
      </c>
      <c r="D8" s="9" t="n">
        <v>17588</v>
      </c>
    </row>
    <row r="9">
      <c r="A9" s="8" t="inlineStr">
        <is>
          <t xml:space="preserve">    3. Investment income</t>
        </is>
      </c>
      <c r="B9" s="9" t="n">
        <v>207</v>
      </c>
      <c r="C9" s="9" t="n">
        <v>451</v>
      </c>
      <c r="D9" s="9" t="n">
        <v>294</v>
      </c>
    </row>
    <row r="10">
      <c r="A10" s="8" t="inlineStr">
        <is>
          <t xml:space="preserve">    6d. Net rental income</t>
        </is>
      </c>
      <c r="B10" s="14" t="inlineStr">
        <is>
          <t>not reported</t>
        </is>
      </c>
      <c r="C10" s="14" t="inlineStr">
        <is>
          <t>not reported</t>
        </is>
      </c>
      <c r="D10" s="14" t="inlineStr">
        <is>
          <t>not reported</t>
        </is>
      </c>
    </row>
    <row r="11">
      <c r="A11" s="8" t="inlineStr">
        <is>
          <t xml:space="preserve">    7d. Net gain/(loss) from investment sales</t>
        </is>
      </c>
      <c r="B11" s="14" t="inlineStr">
        <is>
          <t>not reported</t>
        </is>
      </c>
      <c r="C11" s="14" t="inlineStr">
        <is>
          <t>not reported</t>
        </is>
      </c>
      <c r="D11" s="14" t="inlineStr">
        <is>
          <t>not reported</t>
        </is>
      </c>
    </row>
    <row r="12">
      <c r="A12" s="8" t="inlineStr">
        <is>
          <t xml:space="preserve">    11e. Other revenue</t>
        </is>
      </c>
      <c r="B12" s="14" t="inlineStr">
        <is>
          <t>not reported</t>
        </is>
      </c>
      <c r="C12" s="9" t="n">
        <v>14976</v>
      </c>
      <c r="D12" s="9" t="n">
        <v>460</v>
      </c>
    </row>
    <row r="13">
      <c r="A13" s="10" t="inlineStr">
        <is>
          <t>12. Total revenue</t>
        </is>
      </c>
      <c r="B13" s="11">
        <f>SUM(B7:B12)</f>
        <v/>
      </c>
      <c r="C13" s="11">
        <f>SUM(C7:C12)</f>
        <v/>
      </c>
      <c r="D13" s="11">
        <f>SUM(D7:D12)</f>
        <v/>
      </c>
    </row>
    <row r="15">
      <c r="A15" s="6" t="inlineStr">
        <is>
          <t>Program service revenue detail - FY2024 (lines 2a-2f)</t>
        </is>
      </c>
      <c r="B15" s="7" t="n"/>
      <c r="C15" s="7" t="n"/>
      <c r="D15" s="7" t="n"/>
    </row>
    <row r="16">
      <c r="A16" s="5" t="inlineStr">
        <is>
          <t>Description</t>
        </is>
      </c>
      <c r="B16" s="5" t="inlineStr">
        <is>
          <t>Business code</t>
        </is>
      </c>
      <c r="C16" s="5" t="inlineStr">
        <is>
          <t>Total revenue</t>
        </is>
      </c>
    </row>
    <row r="17">
      <c r="A17" s="8" t="inlineStr">
        <is>
          <t>Pipeline Project (Permit</t>
        </is>
      </c>
      <c r="B17" s="8" t="n"/>
      <c r="C17" s="9" t="n">
        <v>17588</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1:D1"/>
    <mergeCell ref="A18:D18"/>
    <mergeCell ref="A3:D3"/>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s>
  <sheetData>
    <row r="1">
      <c r="A1" s="1" t="inlineStr">
        <is>
          <t>Michele Mutual Water Co</t>
        </is>
      </c>
    </row>
    <row r="2">
      <c r="A2" s="2" t="inlineStr">
        <is>
          <t>Statement of Functional Expenses - Form 990 Part IX (USD)</t>
        </is>
      </c>
    </row>
    <row r="3">
      <c r="A3" s="2" t="inlineStr">
        <is>
          <t>Entity ID: cawc_0167   |   Fiscal year ends December 31.</t>
        </is>
      </c>
    </row>
    <row r="5">
      <c r="A5" s="4" t="inlineStr">
        <is>
          <t>Part IX line (column A Total)</t>
        </is>
      </c>
      <c r="B5" s="5" t="inlineStr">
        <is>
          <t>FY2022</t>
        </is>
      </c>
      <c r="C5" s="5" t="inlineStr">
        <is>
          <t>FY2023</t>
        </is>
      </c>
      <c r="D5" s="5" t="inlineStr">
        <is>
          <t>FY2024</t>
        </is>
      </c>
    </row>
    <row r="6">
      <c r="A6" s="6" t="inlineStr">
        <is>
          <t>Functional expenses, column A Total - by year</t>
        </is>
      </c>
      <c r="B6" s="7" t="n"/>
      <c r="C6" s="7" t="n"/>
      <c r="D6" s="7" t="n"/>
    </row>
    <row r="7">
      <c r="A7" s="8" t="inlineStr">
        <is>
          <t xml:space="preserve">    9. Other employee benefits</t>
        </is>
      </c>
      <c r="B7" s="14" t="inlineStr">
        <is>
          <t>not reported</t>
        </is>
      </c>
      <c r="C7" s="9" t="n">
        <v>271</v>
      </c>
      <c r="D7" s="14" t="inlineStr">
        <is>
          <t>not reported</t>
        </is>
      </c>
    </row>
    <row r="8">
      <c r="A8" s="8" t="inlineStr">
        <is>
          <t xml:space="preserve">    11a. Fees for services: management</t>
        </is>
      </c>
      <c r="B8" s="14" t="inlineStr">
        <is>
          <t>not reported</t>
        </is>
      </c>
      <c r="C8" s="9" t="n">
        <v>4361</v>
      </c>
      <c r="D8" s="9" t="n">
        <v>29970</v>
      </c>
    </row>
    <row r="9">
      <c r="A9" s="8" t="inlineStr">
        <is>
          <t xml:space="preserve">    11b. Fees for services: legal</t>
        </is>
      </c>
      <c r="B9" s="9" t="n">
        <v>2334</v>
      </c>
      <c r="C9" s="9" t="n">
        <v>2343</v>
      </c>
      <c r="D9" s="9" t="n">
        <v>1131</v>
      </c>
    </row>
    <row r="10">
      <c r="A10" s="8" t="inlineStr">
        <is>
          <t xml:space="preserve">    11c. Fees for services: accounting</t>
        </is>
      </c>
      <c r="B10" s="9" t="n">
        <v>7268</v>
      </c>
      <c r="C10" s="9" t="n">
        <v>14190</v>
      </c>
      <c r="D10" s="9" t="n">
        <v>2906</v>
      </c>
    </row>
    <row r="11">
      <c r="A11" s="8" t="inlineStr">
        <is>
          <t xml:space="preserve">    11f. Fees for services: investment management</t>
        </is>
      </c>
      <c r="B11" s="14" t="inlineStr">
        <is>
          <t>not reported</t>
        </is>
      </c>
      <c r="C11" s="14" t="inlineStr">
        <is>
          <t>not reported</t>
        </is>
      </c>
      <c r="D11" s="9" t="n">
        <v>41037</v>
      </c>
    </row>
    <row r="12">
      <c r="A12" s="8" t="inlineStr">
        <is>
          <t xml:space="preserve">    11g. Fees for services: other</t>
        </is>
      </c>
      <c r="B12" s="9" t="n">
        <v>19060</v>
      </c>
      <c r="C12" s="14" t="inlineStr">
        <is>
          <t>not reported</t>
        </is>
      </c>
      <c r="D12" s="14" t="inlineStr">
        <is>
          <t>not reported</t>
        </is>
      </c>
    </row>
    <row r="13">
      <c r="A13" s="8" t="inlineStr">
        <is>
          <t xml:space="preserve">    12. Advertising and promotion</t>
        </is>
      </c>
      <c r="B13" s="14" t="inlineStr">
        <is>
          <t>not reported</t>
        </is>
      </c>
      <c r="C13" s="14" t="inlineStr">
        <is>
          <t>not reported</t>
        </is>
      </c>
      <c r="D13" s="9" t="n">
        <v>356</v>
      </c>
    </row>
    <row r="14">
      <c r="A14" s="8" t="inlineStr">
        <is>
          <t xml:space="preserve">    13. Office expenses</t>
        </is>
      </c>
      <c r="B14" s="9" t="n">
        <v>317</v>
      </c>
      <c r="C14" s="9" t="n">
        <v>11219</v>
      </c>
      <c r="D14" s="9" t="n">
        <v>943</v>
      </c>
    </row>
    <row r="15">
      <c r="A15" s="8" t="inlineStr">
        <is>
          <t xml:space="preserve">    14. Information technology</t>
        </is>
      </c>
      <c r="B15" s="14" t="inlineStr">
        <is>
          <t>not reported</t>
        </is>
      </c>
      <c r="C15" s="9" t="n">
        <v>9511</v>
      </c>
      <c r="D15" s="14" t="inlineStr">
        <is>
          <t>not reported</t>
        </is>
      </c>
    </row>
    <row r="16">
      <c r="A16" s="8" t="inlineStr">
        <is>
          <t xml:space="preserve">    22. Depreciation, depletion, and amortization</t>
        </is>
      </c>
      <c r="B16" s="9" t="n">
        <v>4956</v>
      </c>
      <c r="C16" s="14" t="inlineStr">
        <is>
          <t>not reported</t>
        </is>
      </c>
      <c r="D16" s="14" t="inlineStr">
        <is>
          <t>not reported</t>
        </is>
      </c>
    </row>
    <row r="17">
      <c r="A17" s="8" t="inlineStr">
        <is>
          <t xml:space="preserve">    23. Insurance</t>
        </is>
      </c>
      <c r="B17" s="9" t="n">
        <v>977</v>
      </c>
      <c r="C17" s="9" t="n">
        <v>1642</v>
      </c>
      <c r="D17" s="9" t="n">
        <v>1721</v>
      </c>
    </row>
    <row r="18">
      <c r="A18" s="8" t="inlineStr">
        <is>
          <t xml:space="preserve">    24. Utilities</t>
        </is>
      </c>
      <c r="B18" s="14" t="inlineStr">
        <is>
          <t>not reported</t>
        </is>
      </c>
      <c r="C18" s="9" t="n">
        <v>4041</v>
      </c>
      <c r="D18" s="9" t="n">
        <v>6302</v>
      </c>
    </row>
    <row r="19">
      <c r="A19" s="8" t="inlineStr">
        <is>
          <t xml:space="preserve">    24. Other</t>
        </is>
      </c>
      <c r="B19" s="14" t="inlineStr">
        <is>
          <t>not reported</t>
        </is>
      </c>
      <c r="C19" s="9" t="n">
        <v>0</v>
      </c>
      <c r="D19" s="14" t="inlineStr">
        <is>
          <t>not reported</t>
        </is>
      </c>
    </row>
    <row r="20">
      <c r="A20" s="8" t="inlineStr">
        <is>
          <t xml:space="preserve">    24e. All other expenses</t>
        </is>
      </c>
      <c r="B20" s="14" t="inlineStr">
        <is>
          <t>not reported</t>
        </is>
      </c>
      <c r="C20" s="14" t="inlineStr">
        <is>
          <t>not reported</t>
        </is>
      </c>
      <c r="D20" s="14" t="inlineStr">
        <is>
          <t>not reported</t>
        </is>
      </c>
    </row>
    <row r="21">
      <c r="A21" s="10" t="inlineStr">
        <is>
          <t>25. Total functional expenses</t>
        </is>
      </c>
      <c r="B21" s="11">
        <f>SUM(B7:B20)</f>
        <v/>
      </c>
      <c r="C21" s="11">
        <f>SUM(C7:C20)</f>
        <v/>
      </c>
      <c r="D21" s="11">
        <f>SUM(D7:D20)</f>
        <v/>
      </c>
    </row>
    <row r="23">
      <c r="A23" s="6" t="inlineStr">
        <is>
          <t>Functional column split - FY2024 (col A = B + C + D)</t>
        </is>
      </c>
      <c r="B23" s="7" t="n"/>
      <c r="C23" s="7" t="n"/>
      <c r="D23" s="7" t="n"/>
    </row>
    <row r="24">
      <c r="A24" s="5" t="inlineStr">
        <is>
          <t>Part IX line</t>
        </is>
      </c>
      <c r="B24" s="5" t="inlineStr">
        <is>
          <t>A. Total</t>
        </is>
      </c>
      <c r="C24" s="5" t="inlineStr">
        <is>
          <t>B. Program services</t>
        </is>
      </c>
      <c r="D24" s="5" t="inlineStr">
        <is>
          <t>C. Management &amp; general</t>
        </is>
      </c>
      <c r="E24" s="5" t="inlineStr">
        <is>
          <t>D. Fundraising</t>
        </is>
      </c>
    </row>
    <row r="25">
      <c r="A25" s="18" t="inlineStr">
        <is>
          <t>11a. Fees for services: management</t>
        </is>
      </c>
      <c r="B25" s="9" t="n">
        <v>29970</v>
      </c>
      <c r="C25" s="9" t="n">
        <v>15389</v>
      </c>
      <c r="D25" s="9" t="n">
        <v>4581</v>
      </c>
      <c r="E25" s="9" t="n">
        <v>10000</v>
      </c>
    </row>
    <row r="26">
      <c r="A26" s="18" t="inlineStr">
        <is>
          <t>11b. Fees for services: legal</t>
        </is>
      </c>
      <c r="B26" s="9" t="n">
        <v>1131</v>
      </c>
      <c r="C26" s="9" t="n"/>
      <c r="D26" s="9" t="n">
        <v>1131</v>
      </c>
      <c r="E26" s="9" t="n"/>
    </row>
    <row r="27">
      <c r="A27" s="18" t="inlineStr">
        <is>
          <t>11c. Fees for services: accounting</t>
        </is>
      </c>
      <c r="B27" s="9" t="n">
        <v>2906</v>
      </c>
      <c r="C27" s="9" t="n"/>
      <c r="D27" s="9" t="n">
        <v>2906</v>
      </c>
      <c r="E27" s="9" t="n"/>
    </row>
    <row r="28">
      <c r="A28" s="18" t="inlineStr">
        <is>
          <t>11f. Fees for services: investment management</t>
        </is>
      </c>
      <c r="B28" s="9" t="n">
        <v>41037</v>
      </c>
      <c r="C28" s="9" t="n">
        <v>41037</v>
      </c>
      <c r="D28" s="9" t="n"/>
      <c r="E28" s="9" t="n"/>
    </row>
    <row r="29">
      <c r="A29" s="18" t="inlineStr">
        <is>
          <t>12. Advertising and promotion</t>
        </is>
      </c>
      <c r="B29" s="9" t="n">
        <v>356</v>
      </c>
      <c r="C29" s="9" t="n"/>
      <c r="D29" s="9" t="n">
        <v>356</v>
      </c>
      <c r="E29" s="9" t="n"/>
    </row>
    <row r="30">
      <c r="A30" s="18" t="inlineStr">
        <is>
          <t>13. Office expenses</t>
        </is>
      </c>
      <c r="B30" s="9" t="n">
        <v>943</v>
      </c>
      <c r="C30" s="9" t="n"/>
      <c r="D30" s="9" t="n">
        <v>943</v>
      </c>
      <c r="E30" s="9" t="n"/>
    </row>
    <row r="31">
      <c r="A31" s="18" t="inlineStr">
        <is>
          <t>23. Insurance</t>
        </is>
      </c>
      <c r="B31" s="9" t="n">
        <v>1721</v>
      </c>
      <c r="C31" s="9" t="n"/>
      <c r="D31" s="9" t="n">
        <v>1721</v>
      </c>
      <c r="E31" s="9" t="n"/>
    </row>
    <row r="32">
      <c r="A32" s="10" t="inlineStr">
        <is>
          <t>25. Total (filed col A / B / C / D)</t>
        </is>
      </c>
      <c r="B32" s="11" t="n">
        <v>84366</v>
      </c>
      <c r="C32" s="11" t="n">
        <v>62728</v>
      </c>
      <c r="D32" s="11" t="n">
        <v>11638</v>
      </c>
      <c r="E32" s="11" t="n">
        <v>10000</v>
      </c>
    </row>
    <row r="34" ht="42" customHeight="1">
      <c r="A34"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1:D1"/>
    <mergeCell ref="A3:D3"/>
    <mergeCell ref="A2:D2"/>
    <mergeCell ref="A34:D3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Michele Mutual Water Co</t>
        </is>
      </c>
    </row>
    <row r="2">
      <c r="A2" s="2" t="inlineStr">
        <is>
          <t>Balance Sheet - Form 990 Part X (end of year, USD)</t>
        </is>
      </c>
    </row>
    <row r="3">
      <c r="A3" s="2" t="inlineStr">
        <is>
          <t>Entity ID: cawc_0167   |   Fiscal year ends December 31.</t>
        </is>
      </c>
    </row>
    <row r="5">
      <c r="A5" s="4" t="inlineStr">
        <is>
          <t>Part X line (column B, EOY)</t>
        </is>
      </c>
      <c r="B5" s="5" t="inlineStr">
        <is>
          <t>FY2022</t>
        </is>
      </c>
      <c r="C5" s="5" t="inlineStr">
        <is>
          <t>FY2023</t>
        </is>
      </c>
      <c r="D5" s="5" t="inlineStr">
        <is>
          <t>FY2024</t>
        </is>
      </c>
    </row>
    <row r="6">
      <c r="A6" s="6" t="inlineStr">
        <is>
          <t>Assets</t>
        </is>
      </c>
      <c r="B6" s="7" t="n"/>
      <c r="C6" s="7" t="n"/>
      <c r="D6" s="7" t="n"/>
    </row>
    <row r="7">
      <c r="A7" s="8" t="inlineStr">
        <is>
          <t xml:space="preserve">    1. Cash - non-interest-bearing</t>
        </is>
      </c>
      <c r="B7" s="9" t="n">
        <v>55255</v>
      </c>
      <c r="C7" s="9" t="n">
        <v>150983</v>
      </c>
      <c r="D7" s="9" t="n">
        <v>215932</v>
      </c>
    </row>
    <row r="8">
      <c r="A8" s="8" t="inlineStr">
        <is>
          <t xml:space="preserve">    2. Savings and temporary cash investments</t>
        </is>
      </c>
      <c r="B8" s="9" t="n">
        <v>34605</v>
      </c>
      <c r="C8" s="14" t="inlineStr">
        <is>
          <t>not reported</t>
        </is>
      </c>
      <c r="D8" s="14" t="inlineStr">
        <is>
          <t>not reported</t>
        </is>
      </c>
    </row>
    <row r="9">
      <c r="A9" s="8" t="inlineStr">
        <is>
          <t xml:space="preserve">    3. Pledges and grants receivable, net</t>
        </is>
      </c>
      <c r="B9" s="9" t="n">
        <v>1402</v>
      </c>
      <c r="C9" s="14" t="inlineStr">
        <is>
          <t>not reported</t>
        </is>
      </c>
      <c r="D9" s="14" t="inlineStr">
        <is>
          <t>not reported</t>
        </is>
      </c>
    </row>
    <row r="10">
      <c r="A10" s="8" t="inlineStr">
        <is>
          <t xml:space="preserve">    4. Accounts receivable, net</t>
        </is>
      </c>
      <c r="B10" s="9" t="n">
        <v>33420</v>
      </c>
      <c r="C10" s="9" t="n">
        <v>28445</v>
      </c>
      <c r="D10" s="9" t="n">
        <v>19000</v>
      </c>
    </row>
    <row r="11">
      <c r="A11" s="8" t="inlineStr">
        <is>
          <t xml:space="preserve">    10c. Land, buildings, and equipment, net</t>
        </is>
      </c>
      <c r="B11" s="9" t="n">
        <v>825936</v>
      </c>
      <c r="C11" s="9" t="n">
        <v>796181</v>
      </c>
      <c r="D11" s="9" t="n">
        <v>766426</v>
      </c>
    </row>
    <row r="12">
      <c r="A12" s="10" t="inlineStr">
        <is>
          <t>16. Total assets</t>
        </is>
      </c>
      <c r="B12" s="11">
        <f>SUM(B7:B11)</f>
        <v/>
      </c>
      <c r="C12" s="11">
        <f>SUM(C7:C11)</f>
        <v/>
      </c>
      <c r="D12" s="11">
        <f>SUM(D7:D11)</f>
        <v/>
      </c>
    </row>
    <row r="14">
      <c r="A14" s="6" t="inlineStr">
        <is>
          <t>Liabilities</t>
        </is>
      </c>
      <c r="B14" s="7" t="n"/>
      <c r="C14" s="7" t="n"/>
      <c r="D14" s="7" t="n"/>
    </row>
    <row r="15">
      <c r="A15" s="8" t="inlineStr">
        <is>
          <t xml:space="preserve">    17. Accounts payable and accrued expenses</t>
        </is>
      </c>
      <c r="B15" s="9" t="n">
        <v>230</v>
      </c>
      <c r="C15" s="14" t="inlineStr">
        <is>
          <t>not reported</t>
        </is>
      </c>
      <c r="D15" s="14" t="inlineStr">
        <is>
          <t>not reported</t>
        </is>
      </c>
    </row>
    <row r="16">
      <c r="A16" s="8" t="inlineStr">
        <is>
          <t xml:space="preserve">    24. Unsecured notes and loans payable</t>
        </is>
      </c>
      <c r="B16" s="9" t="n">
        <v>11730</v>
      </c>
      <c r="C16" s="9" t="n">
        <v>10686</v>
      </c>
      <c r="D16" s="9" t="n">
        <v>8146</v>
      </c>
    </row>
    <row r="17">
      <c r="A17" s="10" t="inlineStr">
        <is>
          <t>26. Total liabilities</t>
        </is>
      </c>
      <c r="B17" s="11">
        <f>SUM(B15:B16)</f>
        <v/>
      </c>
      <c r="C17" s="11">
        <f>SUM(C15:C16)</f>
        <v/>
      </c>
      <c r="D17" s="11">
        <f>SUM(D15:D16)</f>
        <v/>
      </c>
    </row>
    <row r="19">
      <c r="A19" s="6" t="inlineStr">
        <is>
          <t>Net assets / fund balances</t>
        </is>
      </c>
      <c r="B19" s="7" t="n"/>
      <c r="C19" s="7" t="n"/>
      <c r="D19" s="7" t="n"/>
    </row>
    <row r="20">
      <c r="A20" s="8" t="inlineStr">
        <is>
          <t xml:space="preserve">    29. Capital stock or trust principal</t>
        </is>
      </c>
      <c r="B20" s="9" t="n">
        <v>0</v>
      </c>
      <c r="C20" s="14" t="inlineStr">
        <is>
          <t>not reported</t>
        </is>
      </c>
      <c r="D20" s="14" t="inlineStr">
        <is>
          <t>not reported</t>
        </is>
      </c>
    </row>
    <row r="21">
      <c r="A21" s="8" t="inlineStr">
        <is>
          <t xml:space="preserve">    30. Paid-in or capital surplus</t>
        </is>
      </c>
      <c r="B21" s="9" t="n">
        <v>0</v>
      </c>
      <c r="C21" s="14" t="inlineStr">
        <is>
          <t>not reported</t>
        </is>
      </c>
      <c r="D21" s="14" t="inlineStr">
        <is>
          <t>not reported</t>
        </is>
      </c>
    </row>
    <row r="22">
      <c r="A22" s="8" t="inlineStr">
        <is>
          <t xml:space="preserve">    31. Retained earnings / accumulated funds</t>
        </is>
      </c>
      <c r="B22" s="9" t="n">
        <v>938658</v>
      </c>
      <c r="C22" s="9" t="n">
        <v>964923</v>
      </c>
      <c r="D22" s="9" t="n">
        <v>993212</v>
      </c>
    </row>
    <row r="23">
      <c r="A23" s="10" t="inlineStr">
        <is>
          <t>32. Total net assets / fund balances</t>
        </is>
      </c>
      <c r="B23" s="11">
        <f>SUM(B20:B22)</f>
        <v/>
      </c>
      <c r="C23" s="11">
        <f>SUM(C20:C22)</f>
        <v/>
      </c>
      <c r="D23" s="11">
        <f>SUM(D20:D22)</f>
        <v/>
      </c>
    </row>
    <row r="25" ht="42" customHeight="1">
      <c r="A25"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1:D1"/>
    <mergeCell ref="A25:D25"/>
    <mergeCell ref="A3:D3"/>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Michele Mutual Water Co</t>
        </is>
      </c>
    </row>
    <row r="2">
      <c r="A2" s="2" t="inlineStr">
        <is>
          <t>Reconciliation of Net Assets - Form 990 Part XI (USD)</t>
        </is>
      </c>
    </row>
    <row r="3">
      <c r="A3" s="2" t="inlineStr">
        <is>
          <t>Entity ID: cawc_0167   |   Fiscal year ends December 31.</t>
        </is>
      </c>
    </row>
    <row r="5">
      <c r="A5" s="4" t="inlineStr">
        <is>
          <t>Part XI line</t>
        </is>
      </c>
      <c r="B5" s="5" t="inlineStr">
        <is>
          <t>FY2022</t>
        </is>
      </c>
      <c r="C5" s="5" t="inlineStr">
        <is>
          <t>FY2023</t>
        </is>
      </c>
      <c r="D5" s="5" t="inlineStr">
        <is>
          <t>FY2024</t>
        </is>
      </c>
    </row>
    <row r="6">
      <c r="A6" s="6" t="inlineStr">
        <is>
          <t>Reconciliation</t>
        </is>
      </c>
      <c r="B6" s="7" t="n"/>
      <c r="C6" s="7" t="n"/>
      <c r="D6" s="7" t="n"/>
    </row>
    <row r="7">
      <c r="A7" s="8" t="inlineStr">
        <is>
          <t xml:space="preserve">    4. Net assets, beginning of year</t>
        </is>
      </c>
      <c r="B7" s="9" t="n">
        <v>278241</v>
      </c>
      <c r="C7" s="9" t="n">
        <v>938658</v>
      </c>
      <c r="D7" s="9" t="n">
        <v>964923</v>
      </c>
    </row>
    <row r="8">
      <c r="A8" s="8" t="inlineStr">
        <is>
          <t xml:space="preserve">    3. Revenue less expenses</t>
        </is>
      </c>
      <c r="B8" s="9" t="n">
        <v>50637</v>
      </c>
      <c r="C8" s="9" t="n">
        <v>139461</v>
      </c>
      <c r="D8" s="9" t="n">
        <v>54434</v>
      </c>
    </row>
    <row r="9">
      <c r="A9" s="8" t="inlineStr">
        <is>
          <t xml:space="preserve">    8. Prior period adjustments</t>
        </is>
      </c>
      <c r="B9" s="14" t="inlineStr">
        <is>
          <t>not reported</t>
        </is>
      </c>
      <c r="C9" s="14" t="inlineStr">
        <is>
          <t>not reported</t>
        </is>
      </c>
      <c r="D9" s="14" t="inlineStr">
        <is>
          <t>not reported</t>
        </is>
      </c>
    </row>
    <row r="10">
      <c r="A10" s="8" t="inlineStr">
        <is>
          <t xml:space="preserve">    9. Other changes in net assets</t>
        </is>
      </c>
      <c r="B10" s="9" t="n">
        <v>609780</v>
      </c>
      <c r="C10" s="14" t="inlineStr">
        <is>
          <t>not reported</t>
        </is>
      </c>
      <c r="D10" s="9" t="n">
        <v>0</v>
      </c>
    </row>
    <row r="11">
      <c r="A11" s="10" t="inlineStr">
        <is>
          <t>10. Net assets, end of year</t>
        </is>
      </c>
      <c r="B11" s="11">
        <f>SUM(B7,B8,B9,B10)</f>
        <v/>
      </c>
      <c r="C11" s="11">
        <f>SUM(C7,C8,C9,C10)</f>
        <v/>
      </c>
      <c r="D11" s="11">
        <f>SUM(D7,D8,D9,D10)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D1"/>
    <mergeCell ref="A13:D13"/>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Michele Mutual Water Co</t>
        </is>
      </c>
    </row>
    <row r="2">
      <c r="A2" s="2" t="inlineStr">
        <is>
          <t>Cash Flow Proxies - derived (USD)</t>
        </is>
      </c>
    </row>
    <row r="3">
      <c r="A3" s="2" t="inlineStr">
        <is>
          <t>Entity ID: cawc_0167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40878</v>
      </c>
      <c r="C9" s="9" t="n">
        <v>10760</v>
      </c>
      <c r="D9" s="9" t="n">
        <v>50637</v>
      </c>
      <c r="E9" s="9" t="n">
        <v>139461</v>
      </c>
      <c r="F9" s="9" t="n">
        <v>54434</v>
      </c>
    </row>
    <row r="10">
      <c r="A10" s="8" t="inlineStr">
        <is>
          <t xml:space="preserve">    + Depreciation (reported)</t>
        </is>
      </c>
      <c r="B10" s="9" t="n"/>
      <c r="C10" s="9" t="n"/>
      <c r="D10" s="9" t="n">
        <v>4956</v>
      </c>
      <c r="E10" s="9" t="n"/>
      <c r="F10" s="9" t="n"/>
    </row>
    <row r="11">
      <c r="A11" s="8" t="inlineStr">
        <is>
          <t xml:space="preserve">    − Δ Accounts receivable</t>
        </is>
      </c>
      <c r="B11" s="9" t="n"/>
      <c r="C11" s="9" t="n"/>
      <c r="D11" s="9" t="n"/>
      <c r="E11" s="9" t="n">
        <v>4975</v>
      </c>
      <c r="F11" s="9" t="n">
        <v>9445</v>
      </c>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row>
    <row r="14">
      <c r="A14" s="8" t="inlineStr">
        <is>
          <t xml:space="preserve">    + Δ Accounts payable</t>
        </is>
      </c>
      <c r="B14" s="9" t="n"/>
      <c r="C14" s="9" t="n"/>
      <c r="D14" s="9" t="n"/>
      <c r="E14" s="9" t="n"/>
      <c r="F14" s="9" t="n"/>
    </row>
    <row r="15">
      <c r="A15" s="10" t="inlineStr">
        <is>
          <t xml:space="preserve">    Operating cash flow proxy</t>
        </is>
      </c>
      <c r="B15" s="11" t="n"/>
      <c r="C15" s="11" t="n">
        <v>10760</v>
      </c>
      <c r="D15" s="11" t="n">
        <v>55593</v>
      </c>
      <c r="E15" s="11" t="n">
        <v>144436</v>
      </c>
      <c r="F15" s="11" t="n">
        <v>63879</v>
      </c>
    </row>
    <row r="17">
      <c r="A17" s="6" t="inlineStr">
        <is>
          <t>Investing</t>
        </is>
      </c>
      <c r="B17" s="7" t="n"/>
      <c r="C17" s="7" t="n"/>
      <c r="D17" s="7" t="n"/>
      <c r="E17" s="7" t="n"/>
      <c r="F17" s="7" t="n"/>
    </row>
    <row r="18">
      <c r="A18" s="8" t="inlineStr">
        <is>
          <t xml:space="preserve">    − Δ PP&amp;E gross (capex proxy)</t>
        </is>
      </c>
      <c r="B18" s="9" t="n"/>
      <c r="C18" s="9" t="n"/>
      <c r="D18" s="9" t="n"/>
      <c r="E18" s="9" t="n">
        <v>29755</v>
      </c>
      <c r="F18" s="9" t="n">
        <v>29755</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-25190</v>
      </c>
      <c r="D24" s="11" t="n">
        <v>26015</v>
      </c>
      <c r="E24" s="11" t="n">
        <v>61123</v>
      </c>
      <c r="F24" s="11" t="n">
        <v>64949</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Michele Mutual Water Co</t>
        </is>
      </c>
    </row>
    <row r="2">
      <c r="A2" s="2" t="inlineStr">
        <is>
          <t>Financial Ratios</t>
        </is>
      </c>
    </row>
    <row r="3">
      <c r="A3" s="2" t="inlineStr">
        <is>
          <t>Entity ID: cawc_0167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0.7873721517036809</v>
      </c>
      <c r="C7" s="12" t="n">
        <v>0.2950936565833859</v>
      </c>
      <c r="D7" s="12" t="n">
        <v>0.5919063928275023</v>
      </c>
      <c r="E7" s="12" t="n">
        <v>0.7456252439330835</v>
      </c>
      <c r="F7" s="12" t="n">
        <v>0.3921757925072046</v>
      </c>
    </row>
    <row r="8">
      <c r="A8" s="8" t="inlineStr">
        <is>
          <t xml:space="preserve">    Expense ratio (expenses / revenue)</t>
        </is>
      </c>
      <c r="B8" s="12" t="n">
        <v>0.2126278482963191</v>
      </c>
      <c r="C8" s="12" t="n">
        <v>0.7049063434166141</v>
      </c>
      <c r="D8" s="12" t="n">
        <v>0.4080936071724977</v>
      </c>
      <c r="E8" s="12" t="n">
        <v>0.2543747560669165</v>
      </c>
      <c r="F8" s="12" t="n">
        <v>0.6078242074927954</v>
      </c>
    </row>
    <row r="9">
      <c r="A9" s="8" t="inlineStr">
        <is>
          <t xml:space="preserve">    Return on assets (NI / assets)</t>
        </is>
      </c>
      <c r="B9" s="12" t="n">
        <v>0.1459495935133514</v>
      </c>
      <c r="C9" s="12" t="n">
        <v>0.0369420497344361</v>
      </c>
      <c r="D9" s="12" t="n">
        <v>0.05326745338295719</v>
      </c>
      <c r="E9" s="12" t="n">
        <v>0.1429476357844177</v>
      </c>
      <c r="F9" s="12" t="n">
        <v>0.05436017887708492</v>
      </c>
    </row>
    <row r="10">
      <c r="A10" s="8" t="inlineStr">
        <is>
          <t xml:space="preserve">    Revenue growth (YoY)</t>
        </is>
      </c>
      <c r="B10" s="12" t="n"/>
      <c r="C10" s="12" t="n"/>
      <c r="D10" s="12" t="n">
        <v>1.346186545265063</v>
      </c>
      <c r="E10" s="12" t="n">
        <v>1.186337654443652</v>
      </c>
      <c r="F10" s="12" t="n">
        <v>-0.257908778383118</v>
      </c>
    </row>
    <row r="12">
      <c r="A12" s="6" t="inlineStr">
        <is>
          <t>Leverage &amp; solvency</t>
        </is>
      </c>
      <c r="B12" s="7" t="n"/>
      <c r="C12" s="7" t="n"/>
      <c r="D12" s="7" t="n"/>
      <c r="E12" s="7" t="n"/>
      <c r="F12" s="7" t="n"/>
    </row>
    <row r="13">
      <c r="A13" s="8" t="inlineStr">
        <is>
          <t xml:space="preserve">    Debt-to-assets (liab. / assets)</t>
        </is>
      </c>
      <c r="B13" s="12" t="n">
        <v>0.04498666466725935</v>
      </c>
      <c r="C13" s="12" t="n">
        <v>0.04471498659305723</v>
      </c>
      <c r="D13" s="12" t="n">
        <v>0.01258128922448344</v>
      </c>
      <c r="E13" s="12" t="n">
        <v>0.01095315848869783</v>
      </c>
      <c r="F13" s="12" t="n">
        <v>0.008134952734186974</v>
      </c>
    </row>
    <row r="14">
      <c r="A14" s="8" t="inlineStr">
        <is>
          <t xml:space="preserve">    Equity ratio (net assets / assets)</t>
        </is>
      </c>
      <c r="B14" s="12" t="n">
        <v>0.9550133353327407</v>
      </c>
      <c r="C14" s="12" t="n">
        <v>0.9552850134069427</v>
      </c>
      <c r="D14" s="12" t="n">
        <v>0.9874187107755166</v>
      </c>
      <c r="E14" s="12" t="n">
        <v>0.9890468415113022</v>
      </c>
      <c r="F14" s="12" t="n">
        <v>0.991865047265813</v>
      </c>
    </row>
    <row r="16">
      <c r="A16" s="6" t="inlineStr">
        <is>
          <t>Liquidity &amp; asset profile (derived here)</t>
        </is>
      </c>
      <c r="B16" s="7" t="n"/>
      <c r="C16" s="7" t="n"/>
      <c r="D16" s="7" t="n"/>
      <c r="E16" s="7" t="n"/>
      <c r="F16" s="7" t="n"/>
    </row>
    <row r="17">
      <c r="A17" s="8" t="inlineStr">
        <is>
          <t xml:space="preserve">    Current ratio (current assets / AP)</t>
        </is>
      </c>
      <c r="B17" s="19" t="n"/>
      <c r="C17" s="19" t="n"/>
      <c r="D17" s="19" t="n">
        <v>536</v>
      </c>
      <c r="E17" s="19" t="n"/>
      <c r="F17" s="19" t="n"/>
    </row>
    <row r="18">
      <c r="A18" s="8" t="inlineStr">
        <is>
          <t xml:space="preserve">    Cash ratio ((cash+temp inv.) / total liab.)</t>
        </is>
      </c>
      <c r="B18" s="19" t="n">
        <v>7.066269841269841</v>
      </c>
      <c r="C18" s="19" t="n">
        <v>4.902103808353808</v>
      </c>
      <c r="D18" s="19" t="n">
        <v>7.513377926421405</v>
      </c>
      <c r="E18" s="19" t="n">
        <v>14.12904735167509</v>
      </c>
      <c r="F18" s="19" t="n">
        <v>26.50773385710778</v>
      </c>
    </row>
    <row r="19">
      <c r="A19" s="8" t="inlineStr">
        <is>
          <t xml:space="preserve">    Asset age proxy (accum. deprec. / gross PP&amp;E)</t>
        </is>
      </c>
      <c r="B19" s="12" t="n"/>
      <c r="C19" s="12" t="n"/>
      <c r="D19" s="12" t="n">
        <v>0.03477306644571463</v>
      </c>
      <c r="E19" s="12" t="n">
        <v>0.03602579376610295</v>
      </c>
      <c r="F19" s="12" t="n">
        <v>0.03737215532648983</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Michele Mutual Water Co</t>
        </is>
      </c>
    </row>
    <row r="2">
      <c r="A2" s="2" t="inlineStr">
        <is>
          <t>Unit economics - per-customer revenue by category (USD)</t>
        </is>
      </c>
    </row>
    <row r="3">
      <c r="A3" s="2" t="inlineStr">
        <is>
          <t>Entity ID: cawc_0167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13" t="n"/>
      <c r="C6" s="21" t="inlineStr">
        <is>
          <t>State Water Board eAR Section 4</t>
        </is>
      </c>
    </row>
    <row r="7">
      <c r="A7" s="20" t="inlineStr">
        <is>
          <t>Total annual revenue (eAR Section 8b B1.8)</t>
        </is>
      </c>
      <c r="B7" s="13" t="n"/>
      <c r="C7" s="21" t="inlineStr">
        <is>
          <t>eAR Section 8b total annual revenue not reported for this system.</t>
        </is>
      </c>
    </row>
    <row r="8">
      <c r="A8" s="20" t="inlineStr">
        <is>
          <t>Primary source</t>
        </is>
      </c>
      <c r="B8" s="13" t="inlineStr"/>
      <c r="C8" s="21"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2" t="inlineStr">
        <is>
          <t>not reported</t>
        </is>
      </c>
      <c r="C12" s="23" t="inlineStr">
        <is>
          <t>not reported</t>
        </is>
      </c>
      <c r="D12" s="23" t="inlineStr">
        <is>
          <t>not reported</t>
        </is>
      </c>
      <c r="E12" s="23" t="inlineStr">
        <is>
          <t>not reported</t>
        </is>
      </c>
    </row>
    <row r="13">
      <c r="A13" s="8" t="inlineStr">
        <is>
          <t>Assessment revenue (990 program-service revenue not matched to eAR water-rate revenue)</t>
        </is>
      </c>
      <c r="B13" s="22" t="inlineStr">
        <is>
          <t>IMPOSSIBLE</t>
        </is>
      </c>
      <c r="C13" s="23" t="inlineStr">
        <is>
          <t>IMPOSSIBLE</t>
        </is>
      </c>
      <c r="D13" s="23" t="inlineStr">
        <is>
          <t>IMPOSSIBLE</t>
        </is>
      </c>
      <c r="E13" s="23" t="inlineStr">
        <is>
          <t>IMPOSSIBLE</t>
        </is>
      </c>
    </row>
    <row r="14">
      <c r="A14" s="8" t="inlineStr">
        <is>
          <t>Meter revenue</t>
        </is>
      </c>
      <c r="B14" s="22" t="inlineStr">
        <is>
          <t>not reported</t>
        </is>
      </c>
      <c r="C14" s="23" t="inlineStr">
        <is>
          <t>not reported</t>
        </is>
      </c>
      <c r="D14" s="23" t="inlineStr">
        <is>
          <t>not reported</t>
        </is>
      </c>
      <c r="E14" s="23" t="inlineStr">
        <is>
          <t>not reported</t>
        </is>
      </c>
    </row>
    <row r="15">
      <c r="A15" s="8" t="inlineStr">
        <is>
          <t>Overage or tiered penalty revenue</t>
        </is>
      </c>
      <c r="B15" s="22" t="inlineStr">
        <is>
          <t>not reported</t>
        </is>
      </c>
      <c r="C15" s="23" t="inlineStr">
        <is>
          <t>not reported</t>
        </is>
      </c>
      <c r="D15" s="23" t="inlineStr">
        <is>
          <t>not reported</t>
        </is>
      </c>
      <c r="E15" s="23"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Michele Mutual Water Co</t>
        </is>
      </c>
    </row>
    <row r="2">
      <c r="A2" s="2" t="inlineStr">
        <is>
          <t>Rate structure and representative bill - eAR Section 8a</t>
        </is>
      </c>
    </row>
    <row r="3">
      <c r="A3" s="2" t="inlineStr">
        <is>
          <t>Entity ID: cawc_0167   |   Fiscal year ends December 31.</t>
        </is>
      </c>
    </row>
    <row r="5" ht="81" customHeight="1">
      <c r="A5" s="24"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Michele Mutual Water Co</t>
        </is>
      </c>
    </row>
    <row r="2">
      <c r="A2" s="2" t="inlineStr">
        <is>
          <t>Operational metrics - plant per acre, density, terrain</t>
        </is>
      </c>
    </row>
    <row r="3">
      <c r="A3" s="2" t="inlineStr">
        <is>
          <t>Entity ID: cawc_0167   |   Fiscal year ends December 31.</t>
        </is>
      </c>
    </row>
    <row r="5">
      <c r="A5" s="6" t="inlineStr">
        <is>
          <t>Plant assets per acre</t>
        </is>
      </c>
      <c r="B5" s="7" t="n"/>
      <c r="C5" s="7" t="n"/>
    </row>
    <row r="6">
      <c r="A6" s="20" t="inlineStr">
        <is>
          <t>Service-area acres</t>
        </is>
      </c>
      <c r="B6" s="25" t="n">
        <v>71.2</v>
      </c>
      <c r="C6" s="21"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FY2020</t>
        </is>
      </c>
      <c r="B8" s="9" t="n"/>
      <c r="C8" s="9" t="n">
        <v>2293.2303</v>
      </c>
    </row>
    <row r="9">
      <c r="A9" s="18" t="inlineStr">
        <is>
          <t>FY2021</t>
        </is>
      </c>
      <c r="B9" s="9" t="n"/>
      <c r="C9" s="9" t="n">
        <v>2752.5562</v>
      </c>
    </row>
    <row r="10">
      <c r="A10" s="18" t="inlineStr">
        <is>
          <t>FY2022</t>
        </is>
      </c>
      <c r="B10" s="9" t="n">
        <v>12018.132</v>
      </c>
      <c r="C10" s="9" t="n">
        <v>11600.2247</v>
      </c>
    </row>
    <row r="11">
      <c r="A11" s="18" t="inlineStr">
        <is>
          <t>FY2023</t>
        </is>
      </c>
      <c r="B11" s="9" t="n">
        <v>11600.2247</v>
      </c>
      <c r="C11" s="9" t="n">
        <v>11182.3174</v>
      </c>
    </row>
    <row r="12">
      <c r="A12" s="18" t="inlineStr">
        <is>
          <t>FY2024</t>
        </is>
      </c>
      <c r="B12" s="9" t="n">
        <v>11182.3174</v>
      </c>
      <c r="C12" s="9" t="n">
        <v>10764.4101</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0.66</v>
      </c>
      <c r="C19" s="21" t="inlineStr">
        <is>
          <t>47 connections / 71.2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Michele Mutual Water Co</t>
        </is>
      </c>
    </row>
    <row r="2">
      <c r="A2" s="2" t="inlineStr">
        <is>
          <t>Supply and weather indicators (DWR water year)</t>
        </is>
      </c>
    </row>
    <row r="3">
      <c r="A3" s="2" t="inlineStr">
        <is>
          <t>Entity ID: cawc_0167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26" t="inlineStr">
        <is>
          <t>Dry</t>
        </is>
      </c>
      <c r="C8" s="26" t="inlineStr">
        <is>
          <t>Critical</t>
        </is>
      </c>
      <c r="D8" s="26" t="inlineStr">
        <is>
          <t>Critical</t>
        </is>
      </c>
      <c r="E8" s="26" t="inlineStr">
        <is>
          <t>Wet</t>
        </is>
      </c>
      <c r="F8" s="26" t="inlineStr">
        <is>
          <t>Above Normal</t>
        </is>
      </c>
    </row>
    <row r="9">
      <c r="A9" s="8" t="inlineStr">
        <is>
          <t>Peak drought, county County</t>
        </is>
      </c>
      <c r="B9" s="27" t="inlineStr">
        <is>
          <t>not reported</t>
        </is>
      </c>
      <c r="C9" s="27" t="inlineStr">
        <is>
          <t>not reported</t>
        </is>
      </c>
      <c r="D9" s="27" t="inlineStr">
        <is>
          <t>not reported</t>
        </is>
      </c>
      <c r="E9" s="27" t="inlineStr">
        <is>
          <t>not reported</t>
        </is>
      </c>
      <c r="F9" s="27" t="inlineStr">
        <is>
          <t>not reported</t>
        </is>
      </c>
    </row>
    <row r="10">
      <c r="A10" s="8" t="inlineStr">
        <is>
          <t>Precip, percent of normal (8-Station Index)</t>
        </is>
      </c>
      <c r="B10" s="26" t="inlineStr">
        <is>
          <t>63</t>
        </is>
      </c>
      <c r="C10" s="26" t="inlineStr">
        <is>
          <t>48</t>
        </is>
      </c>
      <c r="D10" s="26" t="inlineStr">
        <is>
          <t>86</t>
        </is>
      </c>
      <c r="E10" s="26" t="inlineStr">
        <is>
          <t>133</t>
        </is>
      </c>
      <c r="F10" s="26" t="inlineStr">
        <is>
          <t>96</t>
        </is>
      </c>
    </row>
    <row r="11">
      <c r="A11" s="8" t="inlineStr">
        <is>
          <t>Snowpack, April 1 percent of average</t>
        </is>
      </c>
      <c r="B11" s="26" t="inlineStr">
        <is>
          <t>53%</t>
        </is>
      </c>
      <c r="C11" s="26" t="inlineStr">
        <is>
          <t>59%</t>
        </is>
      </c>
      <c r="D11" s="26" t="inlineStr">
        <is>
          <t>38%</t>
        </is>
      </c>
      <c r="E11" s="26" t="inlineStr">
        <is>
          <t>237%</t>
        </is>
      </c>
      <c r="F11" s="26" t="inlineStr">
        <is>
          <t>110%</t>
        </is>
      </c>
    </row>
    <row r="12">
      <c r="A12" s="8" t="inlineStr">
        <is>
          <t>State Water Project allocation</t>
        </is>
      </c>
      <c r="B12" s="26" t="inlineStr">
        <is>
          <t>20%</t>
        </is>
      </c>
      <c r="C12" s="26" t="inlineStr">
        <is>
          <t>5%</t>
        </is>
      </c>
      <c r="D12" s="26" t="inlineStr">
        <is>
          <t>5%</t>
        </is>
      </c>
      <c r="E12" s="26" t="inlineStr">
        <is>
          <t>100%</t>
        </is>
      </c>
      <c r="F12" s="26"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Michele Mutual Water Co</t>
        </is>
      </c>
    </row>
    <row r="2">
      <c r="A2" s="2" t="inlineStr">
        <is>
          <t>How this was built - forensic lineage</t>
        </is>
      </c>
    </row>
    <row r="3">
      <c r="A3" s="2" t="inlineStr">
        <is>
          <t>Entity ID: cawc_0167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1"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1"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1" t="inlineStr">
        <is>
          <t>Form 990 Part VIII line 2 (program-service revenue); State Water Board eAR Section 8b (water-rate revenue B1.1/B1.2); eAR Section 8b filer comment (WRRevenueComments)</t>
        </is>
      </c>
    </row>
    <row r="13" ht="72" customHeight="1">
      <c r="A13" s="20" t="inlineStr">
        <is>
          <t>What was found</t>
        </is>
      </c>
      <c r="B13" s="21" t="inlineStr">
        <is>
          <t>A period-aligned residual cannot be computed for this filer, so the metric is rendered IMPOSSIBLE rather than guessed.</t>
        </is>
      </c>
    </row>
    <row r="14" ht="72" customHeight="1">
      <c r="A14" s="20" t="inlineStr">
        <is>
          <t>Caveat</t>
        </is>
      </c>
      <c r="B14" s="21"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1" t="inlineStr">
        <is>
          <t>State Water Board eAR Section 8a (rate prices); State Water Board eAR Section 8b (revenue lines); audited financial statement</t>
        </is>
      </c>
    </row>
    <row r="18" ht="72" customHeight="1">
      <c r="A18" s="20" t="inlineStr">
        <is>
          <t>What was found</t>
        </is>
      </c>
      <c r="B18" s="21" t="inlineStr">
        <is>
          <t>The rate price exists in Section 8a but no revenue or tier volume is reported, and the base charge is already inside water sales.</t>
        </is>
      </c>
    </row>
    <row r="19" ht="72" customHeight="1">
      <c r="A19" s="20" t="inlineStr">
        <is>
          <t>Caveat</t>
        </is>
      </c>
      <c r="B19" s="21"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1" t="inlineStr">
        <is>
          <t>State Water Board eAR Section 8a (rate prices); State Water Board eAR Section 8b (revenue lines); audited financial statement</t>
        </is>
      </c>
    </row>
    <row r="23" ht="72" customHeight="1">
      <c r="A23" s="20" t="inlineStr">
        <is>
          <t>What was found</t>
        </is>
      </c>
      <c r="B23" s="21" t="inlineStr">
        <is>
          <t>The rate price exists in Section 8a but no revenue or tier volume is reported, and the base charge is already inside water sales.</t>
        </is>
      </c>
    </row>
    <row r="24" ht="72" customHeight="1">
      <c r="A24" s="20" t="inlineStr">
        <is>
          <t>Caveat</t>
        </is>
      </c>
      <c r="B24" s="21"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1" t="inlineStr">
        <is>
          <t>eAR Section 8b B0.1 (WRFinancialReportingPeriod); eAR Section 8b B0.2 (WRFiscalYearStartDate)</t>
        </is>
      </c>
    </row>
    <row r="28" ht="72" customHeight="1">
      <c r="A28" s="20" t="inlineStr">
        <is>
          <t>What was found</t>
        </is>
      </c>
      <c r="B28" s="21"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1" t="inlineStr">
        <is>
          <t>Form 990 (no member count stated); company website</t>
        </is>
      </c>
    </row>
    <row r="32" ht="72" customHeight="1">
      <c r="A32" s="20" t="inlineStr">
        <is>
          <t>What was found</t>
        </is>
      </c>
      <c r="B32" s="21"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1" t="inlineStr">
        <is>
          <t>Form 990 (not in the filing); Consumer Confidence Report; eAR Section 6 (PRA-gated)</t>
        </is>
      </c>
    </row>
    <row r="36" ht="72" customHeight="1">
      <c r="A36" s="20" t="inlineStr">
        <is>
          <t>What was found</t>
        </is>
      </c>
      <c r="B36" s="21"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32"/>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Michele Mutual Water Co</t>
        </is>
      </c>
    </row>
    <row r="2">
      <c r="A2" s="2" t="inlineStr">
        <is>
          <t>Anomaly Flags (automated; kept separate from the clean statements)</t>
        </is>
      </c>
    </row>
    <row r="3">
      <c r="A3" s="2" t="inlineStr">
        <is>
          <t>Entity ID: cawc_0167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FY2023 net assets do not sum to the lines we extract</t>
        </is>
      </c>
      <c r="B7" s="7" t="n"/>
    </row>
    <row r="8">
      <c r="A8" s="20" t="inlineStr">
        <is>
          <t>Affected figure</t>
        </is>
      </c>
      <c r="B8" s="21" t="inlineStr">
        <is>
          <t>Net assets FY2023</t>
        </is>
      </c>
    </row>
    <row r="9">
      <c r="A9" s="20" t="inlineStr">
        <is>
          <t>Confidence</t>
        </is>
      </c>
      <c r="B9" s="21" t="inlineStr">
        <is>
          <t>medium</t>
        </is>
      </c>
    </row>
    <row r="10" ht="72" customHeight="1">
      <c r="A10" s="20" t="inlineStr">
        <is>
          <t>What happened (filed, sourced)</t>
        </is>
      </c>
      <c r="B10" s="21" t="inlineStr">
        <is>
          <t>FY2023 net assets are carried exactly as filed at $964,923. The lines we extracted do not sum to that total: the ending net assets it reports (Form 990 Part XI line 10) should equal the beginning net assets (line 4) plus revenue less expenses (line 3) plus other changes (lines 5-9), which computes to $1,078,119 (a difference of $-113,196 against the $964,923 on the form). This may mean a line on the form that we do not yet read, rather than an error by the company. The filed figure is kept and the difference is flagged, not reconciled.</t>
        </is>
      </c>
    </row>
    <row r="11" ht="54" customHeight="1">
      <c r="A11" s="20" t="inlineStr">
        <is>
          <t>Source lines</t>
        </is>
      </c>
      <c r="B11" s="21" t="inlineStr">
        <is>
          <t>- Net assets, end of year (as filed): $964,923 (Form 990 Part XI line 10 / Part X line 32 (net assets, end of year))
- Net assets, end of year (recomputed from the lines we extract): $1,078,119
- Difference (as filed less our computed sum): $-113,196</t>
        </is>
      </c>
    </row>
    <row r="12" ht="72" customHeight="1">
      <c r="A12" s="20" t="inlineStr">
        <is>
          <t>Confidence reasoning</t>
        </is>
      </c>
      <c r="B12" s="21" t="inlineStr">
        <is>
          <t>The net-assets figure is a direct filed line item, carried exactly as filed; confidence is held to medium (not high) because the lines we extract do not sum to the total on the form, so the figure is flagged rather than presented as clean. That can mean a line we do not read as easily as an inconsistency in the filing, and this project has found the former three times. Nothing is reconciled.</t>
        </is>
      </c>
    </row>
    <row r="13">
      <c r="A13" s="20" t="inlineStr">
        <is>
          <t>Why (not stated in the filing)</t>
        </is>
      </c>
      <c r="B13" s="21" t="inlineStr">
        <is>
          <t>The filing does not state a reason.</t>
        </is>
      </c>
    </row>
    <row r="14" ht="60" customHeight="1">
      <c r="A14" s="20" t="inlineStr">
        <is>
          <t>Possible explanation (guess)</t>
        </is>
      </c>
      <c r="B14" s="28" t="inlineStr">
        <is>
          <t>Possible explanation, not stated in filing: an ending net-worth figure that does not equal the beginning balance plus the year's surplus or deficit usually reflects a prior-year adjustment, a reclassification between balance-sheet lines, or a rounding or transcription difference on the filed form. This is an educated guess, not something the filing actually says.</t>
        </is>
      </c>
    </row>
    <row r="16">
      <c r="A16" s="6" t="inlineStr">
        <is>
          <t>Flag: FY2024 net assets do not sum to the lines we extract</t>
        </is>
      </c>
      <c r="B16" s="7" t="n"/>
    </row>
    <row r="17">
      <c r="A17" s="20" t="inlineStr">
        <is>
          <t>Affected figure</t>
        </is>
      </c>
      <c r="B17" s="21" t="inlineStr">
        <is>
          <t>Net assets FY2024</t>
        </is>
      </c>
    </row>
    <row r="18">
      <c r="A18" s="20" t="inlineStr">
        <is>
          <t>Confidence</t>
        </is>
      </c>
      <c r="B18" s="21" t="inlineStr">
        <is>
          <t>medium</t>
        </is>
      </c>
    </row>
    <row r="19" ht="72" customHeight="1">
      <c r="A19" s="20" t="inlineStr">
        <is>
          <t>What happened (filed, sourced)</t>
        </is>
      </c>
      <c r="B19" s="21" t="inlineStr">
        <is>
          <t>FY2024 net assets are carried exactly as filed at $993,212. The lines we extracted do not sum to that total: the ending net assets it reports (Form 990 Part XI line 10) should equal the beginning net assets (line 4) plus revenue less expenses (line 3) plus other changes (lines 5-9), which computes to $1,019,357 (a difference of $-26,145 against the $993,212 on the form). This may mean a line on the form that we do not yet read, rather than an error by the company. The filed figure is kept and the difference is flagged, not reconciled.</t>
        </is>
      </c>
    </row>
    <row r="20" ht="54" customHeight="1">
      <c r="A20" s="20" t="inlineStr">
        <is>
          <t>Source lines</t>
        </is>
      </c>
      <c r="B20" s="21" t="inlineStr">
        <is>
          <t>- Net assets, end of year (as filed): $993,212 (Form 990 Part XI line 10 / Part X line 32 (net assets, end of year))
- Net assets, end of year (recomputed from the lines we extract): $1,019,357
- Difference (as filed less our computed sum): $-26,145</t>
        </is>
      </c>
    </row>
    <row r="21" ht="72" customHeight="1">
      <c r="A21" s="20" t="inlineStr">
        <is>
          <t>Confidence reasoning</t>
        </is>
      </c>
      <c r="B21" s="21" t="inlineStr">
        <is>
          <t>The net-assets figure is a direct filed line item, carried exactly as filed; confidence is held to medium (not high) because the lines we extract do not sum to the total on the form, so the figure is flagged rather than presented as clean. That can mean a line we do not read as easily as an inconsistency in the filing, and this project has found the former three times. Nothing is reconciled.</t>
        </is>
      </c>
    </row>
    <row r="22">
      <c r="A22" s="20" t="inlineStr">
        <is>
          <t>Why (not stated in the filing)</t>
        </is>
      </c>
      <c r="B22" s="21" t="inlineStr">
        <is>
          <t>The filing does not state a reason.</t>
        </is>
      </c>
    </row>
    <row r="23" ht="60" customHeight="1">
      <c r="A23" s="20" t="inlineStr">
        <is>
          <t>Possible explanation (guess)</t>
        </is>
      </c>
      <c r="B23" s="28" t="inlineStr">
        <is>
          <t>Possible explanation, not stated in filing: an ending net-worth figure that does not equal the beginning balance plus the year's surplus or deficit usually reflects a prior-year adjustment, a reclassification between balance-sheet lines, or a rounding or transcription difference on the filed form. This is an educated guess, not something the filing actually says.</t>
        </is>
      </c>
    </row>
    <row r="25">
      <c r="A25" s="6" t="inlineStr">
        <is>
          <t>Flag: FY2022 opening net assets differ from FY2021 closing</t>
        </is>
      </c>
      <c r="B25" s="7" t="n"/>
    </row>
    <row r="26">
      <c r="A26" s="20" t="inlineStr">
        <is>
          <t>Affected figure</t>
        </is>
      </c>
      <c r="B26" s="21" t="inlineStr">
        <is>
          <t>Net assets FY2022</t>
        </is>
      </c>
    </row>
    <row r="27">
      <c r="A27" s="20" t="inlineStr">
        <is>
          <t>Confidence</t>
        </is>
      </c>
      <c r="B27" s="21" t="inlineStr">
        <is>
          <t>high</t>
        </is>
      </c>
    </row>
    <row r="28" ht="72" customHeight="1">
      <c r="A28" s="20" t="inlineStr">
        <is>
          <t>What happened (filed, sourced)</t>
        </is>
      </c>
      <c r="B28" s="21" t="inlineStr">
        <is>
          <t>The company filed $278,241 as its beginning net assets for FY2022 and $278,243 as its ending net assets for FY2021, a difference of $-2. Both figures are carried exactly as each year's own filing reports them. Neither is adjusted to match the other.</t>
        </is>
      </c>
    </row>
    <row r="29" ht="54" customHeight="1">
      <c r="A29" s="20" t="inlineStr">
        <is>
          <t>Source lines</t>
        </is>
      </c>
      <c r="B29" s="21" t="inlineStr">
        <is>
          <t>- FY2022 net assets, beginning of year (as filed): $278,241
- FY2021 net assets, end of year (as filed): $278,243
- Difference: $-2</t>
        </is>
      </c>
    </row>
    <row r="30" ht="72" customHeight="1">
      <c r="A30" s="20" t="inlineStr">
        <is>
          <t>Confidence reasoning</t>
        </is>
      </c>
      <c r="B30" s="21" t="inlineStr">
        <is>
          <t>Both are direct filed line items read from two different returns, so the difference between them is high confidence as an observation. What caused it is not stated on either form.</t>
        </is>
      </c>
    </row>
    <row r="31">
      <c r="A31" s="20" t="inlineStr">
        <is>
          <t>Why (not stated in the filing)</t>
        </is>
      </c>
      <c r="B31" s="21" t="inlineStr">
        <is>
          <t>The filing does not state a reason.</t>
        </is>
      </c>
    </row>
    <row r="32" ht="60" customHeight="1">
      <c r="A32" s="20" t="inlineStr">
        <is>
          <t>Possible explanation (guess)</t>
        </is>
      </c>
      <c r="B32" s="28"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15"/>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Michele Mutual Water Co</t>
        </is>
      </c>
    </row>
    <row r="2">
      <c r="A2" s="2" t="inlineStr">
        <is>
          <t>Sources &amp; audit - full provenance and tie-outs (kept off the statements so they read clean)</t>
        </is>
      </c>
    </row>
    <row r="3">
      <c r="A3" s="2" t="inlineStr">
        <is>
          <t>Entity ID: cawc_0167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6" t="inlineStr">
        <is>
          <t>FY2020</t>
        </is>
      </c>
      <c r="B10" s="8" t="inlineStr">
        <is>
          <t>2020-12-31</t>
        </is>
      </c>
      <c r="C10" s="8" t="inlineStr">
        <is>
          <t>990-EZ</t>
        </is>
      </c>
      <c r="D10" s="8" t="inlineStr">
        <is>
          <t>high</t>
        </is>
      </c>
      <c r="E10" s="8" t="inlineStr">
        <is>
          <t>8f7e7c05-2f88-48d4-be8b-a05737e89329</t>
        </is>
      </c>
      <c r="F10" s="8" t="inlineStr">
        <is>
          <t>202142779349200139</t>
        </is>
      </c>
      <c r="G10" s="8" t="inlineStr">
        <is>
          <t>claude-opus-5</t>
        </is>
      </c>
      <c r="H10" s="8" t="inlineStr">
        <is>
          <t>2026-10-05T16:06:10+00:00</t>
        </is>
      </c>
      <c r="I10" s="8" t="inlineStr">
        <is>
          <t>https://apps.irs.gov/pub/epostcard/990/xml/2021/2021_TEOS_XML_01A.zip#202142779349200139_public.xml</t>
        </is>
      </c>
    </row>
    <row r="11">
      <c r="A11" s="26" t="inlineStr">
        <is>
          <t>FY2021</t>
        </is>
      </c>
      <c r="B11" s="8" t="inlineStr">
        <is>
          <t>2021-12-31</t>
        </is>
      </c>
      <c r="C11" s="8" t="inlineStr">
        <is>
          <t>990-EZ</t>
        </is>
      </c>
      <c r="D11" s="8" t="inlineStr">
        <is>
          <t>high</t>
        </is>
      </c>
      <c r="E11" s="8" t="inlineStr">
        <is>
          <t>5a21ee64-967e-4ac3-ac43-a0f30c2ea6b2</t>
        </is>
      </c>
      <c r="F11" s="8" t="inlineStr">
        <is>
          <t>202243199349212244</t>
        </is>
      </c>
      <c r="G11" s="8" t="inlineStr">
        <is>
          <t>claude-opus-5</t>
        </is>
      </c>
      <c r="H11" s="8" t="inlineStr">
        <is>
          <t>2026-10-05T16:06:10+00:00</t>
        </is>
      </c>
      <c r="I11" s="8" t="inlineStr">
        <is>
          <t>https://apps.irs.gov/pub/epostcard/990/xml/2022/2022_TEOS_XML_02A.zip#202243199349212244_public.xml</t>
        </is>
      </c>
    </row>
    <row r="12">
      <c r="A12" s="26" t="inlineStr">
        <is>
          <t>FY2022</t>
        </is>
      </c>
      <c r="B12" s="8" t="inlineStr">
        <is>
          <t>2022-12-31</t>
        </is>
      </c>
      <c r="C12" s="8" t="inlineStr">
        <is>
          <t>990</t>
        </is>
      </c>
      <c r="D12" s="8" t="inlineStr">
        <is>
          <t>high</t>
        </is>
      </c>
      <c r="E12" s="8" t="inlineStr">
        <is>
          <t>20fcf6fe-f2dd-462b-aecc-f2152f9b85b3</t>
        </is>
      </c>
      <c r="F12" s="8" t="inlineStr">
        <is>
          <t>202323199349321087</t>
        </is>
      </c>
      <c r="G12" s="8" t="inlineStr">
        <is>
          <t>claude-opus-5</t>
        </is>
      </c>
      <c r="H12" s="8" t="inlineStr">
        <is>
          <t>2026-10-05T16:06:10+00:00</t>
        </is>
      </c>
      <c r="I12" s="8" t="inlineStr">
        <is>
          <t>https://apps.irs.gov/pub/epostcard/990/xml/2023/2023_TEOS_XML_11A.zip#202323199349321087_public.xml</t>
        </is>
      </c>
    </row>
    <row r="13">
      <c r="A13" s="26" t="inlineStr">
        <is>
          <t>FY2023</t>
        </is>
      </c>
      <c r="B13" s="8" t="inlineStr">
        <is>
          <t>2023-12-31</t>
        </is>
      </c>
      <c r="C13" s="8" t="inlineStr">
        <is>
          <t>990</t>
        </is>
      </c>
      <c r="D13" s="8" t="inlineStr">
        <is>
          <t>medium</t>
        </is>
      </c>
      <c r="E13" s="8" t="inlineStr">
        <is>
          <t>ca97d22c-3923-4423-976f-de073e4fcfa9</t>
        </is>
      </c>
      <c r="F13" s="8" t="inlineStr">
        <is>
          <t>202413219349300431</t>
        </is>
      </c>
      <c r="G13" s="8" t="inlineStr">
        <is>
          <t>claude-opus-5</t>
        </is>
      </c>
      <c r="H13" s="8" t="inlineStr">
        <is>
          <t>2026-10-05T16:06:10+00:00</t>
        </is>
      </c>
      <c r="I13" s="8" t="inlineStr">
        <is>
          <t>https://apps.irs.gov/pub/epostcard/990/xml/2024/2024_TEOS_XML_11A.zip#202413219349300431_public.xml</t>
        </is>
      </c>
    </row>
    <row r="14">
      <c r="A14" s="26" t="inlineStr">
        <is>
          <t>FY2024</t>
        </is>
      </c>
      <c r="B14" s="8" t="inlineStr">
        <is>
          <t>2024-12-31</t>
        </is>
      </c>
      <c r="C14" s="8" t="inlineStr">
        <is>
          <t>990</t>
        </is>
      </c>
      <c r="D14" s="8" t="inlineStr">
        <is>
          <t>medium</t>
        </is>
      </c>
      <c r="E14" s="8" t="inlineStr">
        <is>
          <t>9845b888-2e44-4347-a53e-29f71464a8ed</t>
        </is>
      </c>
      <c r="F14" s="8" t="inlineStr">
        <is>
          <t>202630149349300618</t>
        </is>
      </c>
      <c r="G14" s="8" t="inlineStr">
        <is>
          <t>claude-opus-5</t>
        </is>
      </c>
      <c r="H14" s="8" t="inlineStr">
        <is>
          <t>2026-10-05T16:06:10+00:00</t>
        </is>
      </c>
      <c r="I14" s="8" t="inlineStr">
        <is>
          <t>https://apps.irs.gov/pub/epostcard/990/xml/2026/2026_TEOS_XML_01A.zip#202630149349300618_public.xml</t>
        </is>
      </c>
    </row>
    <row r="16">
      <c r="A16" s="29"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88822</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86489</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0</v>
      </c>
    </row>
    <row r="21">
      <c r="A21" s="8" t="inlineStr">
        <is>
          <t>Financial Statements</t>
        </is>
      </c>
      <c r="B21" s="8" t="inlineStr">
        <is>
          <t>B74</t>
        </is>
      </c>
      <c r="C21" s="8" t="inlineStr">
        <is>
          <t>11b. Gross income from other sources</t>
        </is>
      </c>
      <c r="D21" s="8" t="inlineStr">
        <is>
          <t>11b</t>
        </is>
      </c>
      <c r="E21" s="8" t="inlineStr">
        <is>
          <t>part_v_other_irs_filings.other_sources_gross_income</t>
        </is>
      </c>
      <c r="F21" s="8" t="inlineStr">
        <is>
          <t>high</t>
        </is>
      </c>
      <c r="G21" s="9" t="n">
        <v>0</v>
      </c>
    </row>
    <row r="22">
      <c r="A22" s="8" t="inlineStr">
        <is>
          <t>Financial Statements</t>
        </is>
      </c>
      <c r="B22" s="8" t="inlineStr">
        <is>
          <t>D74</t>
        </is>
      </c>
      <c r="C22" s="8" t="inlineStr">
        <is>
          <t>11b. Gross income from other sources</t>
        </is>
      </c>
      <c r="D22" s="8" t="inlineStr">
        <is>
          <t>11b</t>
        </is>
      </c>
      <c r="E22" s="8" t="inlineStr">
        <is>
          <t>part_v_other_irs_filings.other_sources_gross_income</t>
        </is>
      </c>
      <c r="F22" s="8" t="inlineStr">
        <is>
          <t>high</t>
        </is>
      </c>
      <c r="G22" s="9" t="n">
        <v>0</v>
      </c>
    </row>
    <row r="23">
      <c r="A23" s="8" t="inlineStr">
        <is>
          <t>Revenue (detail)</t>
        </is>
      </c>
      <c r="B23" s="8" t="inlineStr">
        <is>
          <t>B7</t>
        </is>
      </c>
      <c r="C23" s="8" t="inlineStr">
        <is>
          <t>1h. Total contributions, gifts, grants</t>
        </is>
      </c>
      <c r="D23" s="8" t="inlineStr">
        <is>
          <t>1h</t>
        </is>
      </c>
      <c r="E23" s="8" t="inlineStr">
        <is>
          <t>part_viii_revenue.total_contributions</t>
        </is>
      </c>
      <c r="F23" s="8" t="inlineStr">
        <is>
          <t>high</t>
        </is>
      </c>
      <c r="G23" s="9" t="n">
        <v>15424</v>
      </c>
    </row>
    <row r="24">
      <c r="A24" s="8" t="inlineStr">
        <is>
          <t>Revenue (detail)</t>
        </is>
      </c>
      <c r="B24" s="8" t="inlineStr">
        <is>
          <t>C7</t>
        </is>
      </c>
      <c r="C24" s="8" t="inlineStr">
        <is>
          <t>1h. Total contributions, gifts, grants</t>
        </is>
      </c>
      <c r="D24" s="8" t="inlineStr">
        <is>
          <t>1h</t>
        </is>
      </c>
      <c r="E24" s="8" t="inlineStr">
        <is>
          <t>part_viii_revenue.total_contributions</t>
        </is>
      </c>
      <c r="F24" s="8" t="inlineStr">
        <is>
          <t>high</t>
        </is>
      </c>
      <c r="G24" s="9" t="n">
        <v>85123</v>
      </c>
    </row>
    <row r="25">
      <c r="A25" s="8" t="inlineStr">
        <is>
          <t>Revenue (detail)</t>
        </is>
      </c>
      <c r="B25" s="8" t="inlineStr">
        <is>
          <t>D7</t>
        </is>
      </c>
      <c r="C25" s="8" t="inlineStr">
        <is>
          <t>1h. Total contributions, gifts, grants</t>
        </is>
      </c>
      <c r="D25" s="8" t="inlineStr">
        <is>
          <t>1h</t>
        </is>
      </c>
      <c r="E25" s="8" t="inlineStr">
        <is>
          <t>part_viii_revenue.total_contributions</t>
        </is>
      </c>
      <c r="F25" s="8" t="inlineStr">
        <is>
          <t>high</t>
        </is>
      </c>
      <c r="G25" s="9" t="n">
        <v>120458</v>
      </c>
    </row>
    <row r="26">
      <c r="A26" s="8" t="inlineStr">
        <is>
          <t>Revenue (detail)</t>
        </is>
      </c>
      <c r="B26" s="8" t="inlineStr">
        <is>
          <t>B8</t>
        </is>
      </c>
      <c r="C26" s="8" t="inlineStr">
        <is>
          <t>2g. Total program service revenue</t>
        </is>
      </c>
      <c r="D26" s="8" t="inlineStr">
        <is>
          <t>2g</t>
        </is>
      </c>
      <c r="E26" s="8" t="inlineStr">
        <is>
          <t>part_viii_revenue.total_program_service_revenue</t>
        </is>
      </c>
      <c r="F26" s="8" t="inlineStr">
        <is>
          <t>high</t>
        </is>
      </c>
      <c r="G26" s="9" t="n">
        <v>88822</v>
      </c>
    </row>
    <row r="27">
      <c r="A27" s="8" t="inlineStr">
        <is>
          <t>Revenue (detail)</t>
        </is>
      </c>
      <c r="B27" s="8" t="inlineStr">
        <is>
          <t>C8</t>
        </is>
      </c>
      <c r="C27" s="8" t="inlineStr">
        <is>
          <t>2g. Total program service revenue</t>
        </is>
      </c>
      <c r="D27" s="8" t="inlineStr">
        <is>
          <t>2g</t>
        </is>
      </c>
      <c r="E27" s="8" t="inlineStr">
        <is>
          <t>part_viii_revenue.total_program_service_revenue</t>
        </is>
      </c>
      <c r="F27" s="8" t="inlineStr">
        <is>
          <t>high</t>
        </is>
      </c>
      <c r="G27" s="9" t="n">
        <v>86489</v>
      </c>
    </row>
    <row r="28">
      <c r="A28" s="8" t="inlineStr">
        <is>
          <t>Revenue (detail)</t>
        </is>
      </c>
      <c r="B28" s="8" t="inlineStr">
        <is>
          <t>D8</t>
        </is>
      </c>
      <c r="C28" s="8" t="inlineStr">
        <is>
          <t>2g. Total program service revenue</t>
        </is>
      </c>
      <c r="D28" s="8" t="inlineStr">
        <is>
          <t>2g</t>
        </is>
      </c>
      <c r="E28" s="8" t="inlineStr">
        <is>
          <t>part_viii_revenue.total_program_service_revenue</t>
        </is>
      </c>
      <c r="F28" s="8" t="inlineStr">
        <is>
          <t>high</t>
        </is>
      </c>
      <c r="G28" s="9" t="n">
        <v>17588</v>
      </c>
    </row>
    <row r="29">
      <c r="A29" s="8" t="inlineStr">
        <is>
          <t>Revenue (detail)</t>
        </is>
      </c>
      <c r="B29" s="8" t="inlineStr">
        <is>
          <t>B9</t>
        </is>
      </c>
      <c r="C29" s="8" t="inlineStr">
        <is>
          <t>3. Investment income</t>
        </is>
      </c>
      <c r="D29" s="8" t="inlineStr">
        <is>
          <t>3</t>
        </is>
      </c>
      <c r="E29" s="8" t="inlineStr">
        <is>
          <t>part_viii_revenue.investment_income</t>
        </is>
      </c>
      <c r="F29" s="8" t="inlineStr">
        <is>
          <t>high</t>
        </is>
      </c>
      <c r="G29" s="9" t="n">
        <v>207</v>
      </c>
    </row>
    <row r="30">
      <c r="A30" s="8" t="inlineStr">
        <is>
          <t>Revenue (detail)</t>
        </is>
      </c>
      <c r="B30" s="8" t="inlineStr">
        <is>
          <t>C9</t>
        </is>
      </c>
      <c r="C30" s="8" t="inlineStr">
        <is>
          <t>3. Investment income</t>
        </is>
      </c>
      <c r="D30" s="8" t="inlineStr">
        <is>
          <t>3</t>
        </is>
      </c>
      <c r="E30" s="8" t="inlineStr">
        <is>
          <t>part_viii_revenue.investment_income</t>
        </is>
      </c>
      <c r="F30" s="8" t="inlineStr">
        <is>
          <t>high</t>
        </is>
      </c>
      <c r="G30" s="9" t="n">
        <v>451</v>
      </c>
    </row>
    <row r="31">
      <c r="A31" s="8" t="inlineStr">
        <is>
          <t>Revenue (detail)</t>
        </is>
      </c>
      <c r="B31" s="8" t="inlineStr">
        <is>
          <t>D9</t>
        </is>
      </c>
      <c r="C31" s="8" t="inlineStr">
        <is>
          <t>3. Investment income</t>
        </is>
      </c>
      <c r="D31" s="8" t="inlineStr">
        <is>
          <t>3</t>
        </is>
      </c>
      <c r="E31" s="8" t="inlineStr">
        <is>
          <t>part_viii_revenue.investment_income</t>
        </is>
      </c>
      <c r="F31" s="8" t="inlineStr">
        <is>
          <t>high</t>
        </is>
      </c>
      <c r="G31" s="9" t="n">
        <v>294</v>
      </c>
    </row>
    <row r="32">
      <c r="A32" s="8" t="inlineStr">
        <is>
          <t>Revenue (detail)</t>
        </is>
      </c>
      <c r="B32" s="8" t="inlineStr">
        <is>
          <t>C12</t>
        </is>
      </c>
      <c r="C32" s="8" t="inlineStr">
        <is>
          <t>11e. Other revenue</t>
        </is>
      </c>
      <c r="D32" s="8" t="inlineStr">
        <is>
          <t>11e</t>
        </is>
      </c>
      <c r="E32" s="8" t="inlineStr">
        <is>
          <t>part_viii_revenue.other_revenue_total</t>
        </is>
      </c>
      <c r="F32" s="8" t="inlineStr">
        <is>
          <t>high</t>
        </is>
      </c>
      <c r="G32" s="9" t="n">
        <v>14976</v>
      </c>
    </row>
    <row r="33">
      <c r="A33" s="8" t="inlineStr">
        <is>
          <t>Revenue (detail)</t>
        </is>
      </c>
      <c r="B33" s="8" t="inlineStr">
        <is>
          <t>D12</t>
        </is>
      </c>
      <c r="C33" s="8" t="inlineStr">
        <is>
          <t>11e. Other revenue</t>
        </is>
      </c>
      <c r="D33" s="8" t="inlineStr">
        <is>
          <t>11e</t>
        </is>
      </c>
      <c r="E33" s="8" t="inlineStr">
        <is>
          <t>part_viii_revenue.other_revenue_total</t>
        </is>
      </c>
      <c r="F33" s="8" t="inlineStr">
        <is>
          <t>high</t>
        </is>
      </c>
      <c r="G33" s="9" t="n">
        <v>460</v>
      </c>
    </row>
    <row r="34">
      <c r="A34" s="8" t="inlineStr">
        <is>
          <t>Operating expenses (detail)</t>
        </is>
      </c>
      <c r="B34" s="8" t="inlineStr">
        <is>
          <t>C7</t>
        </is>
      </c>
      <c r="C34" s="8" t="inlineStr">
        <is>
          <t>9. Other employee benefits</t>
        </is>
      </c>
      <c r="D34" s="8" t="inlineStr">
        <is>
          <t>9</t>
        </is>
      </c>
      <c r="E34" s="8" t="inlineStr">
        <is>
          <t>part_ix_expenses.other_employee_benefits</t>
        </is>
      </c>
      <c r="F34" s="8" t="inlineStr">
        <is>
          <t>high</t>
        </is>
      </c>
      <c r="G34" s="9" t="n">
        <v>271</v>
      </c>
    </row>
    <row r="35">
      <c r="A35" s="8" t="inlineStr">
        <is>
          <t>Operating expenses (detail)</t>
        </is>
      </c>
      <c r="B35" s="8" t="inlineStr">
        <is>
          <t>C8</t>
        </is>
      </c>
      <c r="C35" s="8" t="inlineStr">
        <is>
          <t>11a. Fees for services: management</t>
        </is>
      </c>
      <c r="D35" s="8" t="inlineStr">
        <is>
          <t>11a</t>
        </is>
      </c>
      <c r="E35" s="8" t="inlineStr">
        <is>
          <t>part_ix_expenses.fees_management</t>
        </is>
      </c>
      <c r="F35" s="8" t="inlineStr">
        <is>
          <t>high</t>
        </is>
      </c>
      <c r="G35" s="9" t="n">
        <v>4361</v>
      </c>
    </row>
    <row r="36">
      <c r="A36" s="8" t="inlineStr">
        <is>
          <t>Operating expenses (detail)</t>
        </is>
      </c>
      <c r="B36" s="8" t="inlineStr">
        <is>
          <t>D8</t>
        </is>
      </c>
      <c r="C36" s="8" t="inlineStr">
        <is>
          <t>11a. Fees for services: management</t>
        </is>
      </c>
      <c r="D36" s="8" t="inlineStr">
        <is>
          <t>11a</t>
        </is>
      </c>
      <c r="E36" s="8" t="inlineStr">
        <is>
          <t>part_ix_expenses.fees_management</t>
        </is>
      </c>
      <c r="F36" s="8" t="inlineStr">
        <is>
          <t>high</t>
        </is>
      </c>
      <c r="G36" s="9" t="n">
        <v>29970</v>
      </c>
    </row>
    <row r="37">
      <c r="A37" s="8" t="inlineStr">
        <is>
          <t>Operating expenses (detail)</t>
        </is>
      </c>
      <c r="B37" s="8" t="inlineStr">
        <is>
          <t>B9</t>
        </is>
      </c>
      <c r="C37" s="8" t="inlineStr">
        <is>
          <t>11b. Fees for services: legal</t>
        </is>
      </c>
      <c r="D37" s="8" t="inlineStr">
        <is>
          <t>11b</t>
        </is>
      </c>
      <c r="E37" s="8" t="inlineStr">
        <is>
          <t>part_ix_expenses.fees_legal</t>
        </is>
      </c>
      <c r="F37" s="8" t="inlineStr">
        <is>
          <t>high</t>
        </is>
      </c>
      <c r="G37" s="9" t="n">
        <v>2334</v>
      </c>
    </row>
    <row r="38">
      <c r="A38" s="8" t="inlineStr">
        <is>
          <t>Operating expenses (detail)</t>
        </is>
      </c>
      <c r="B38" s="8" t="inlineStr">
        <is>
          <t>C9</t>
        </is>
      </c>
      <c r="C38" s="8" t="inlineStr">
        <is>
          <t>11b. Fees for services: legal</t>
        </is>
      </c>
      <c r="D38" s="8" t="inlineStr">
        <is>
          <t>11b</t>
        </is>
      </c>
      <c r="E38" s="8" t="inlineStr">
        <is>
          <t>part_ix_expenses.fees_legal</t>
        </is>
      </c>
      <c r="F38" s="8" t="inlineStr">
        <is>
          <t>high</t>
        </is>
      </c>
      <c r="G38" s="9" t="n">
        <v>2343</v>
      </c>
    </row>
    <row r="39">
      <c r="A39" s="8" t="inlineStr">
        <is>
          <t>Operating expenses (detail)</t>
        </is>
      </c>
      <c r="B39" s="8" t="inlineStr">
        <is>
          <t>D9</t>
        </is>
      </c>
      <c r="C39" s="8" t="inlineStr">
        <is>
          <t>11b. Fees for services: legal</t>
        </is>
      </c>
      <c r="D39" s="8" t="inlineStr">
        <is>
          <t>11b</t>
        </is>
      </c>
      <c r="E39" s="8" t="inlineStr">
        <is>
          <t>part_ix_expenses.fees_legal</t>
        </is>
      </c>
      <c r="F39" s="8" t="inlineStr">
        <is>
          <t>high</t>
        </is>
      </c>
      <c r="G39" s="9" t="n">
        <v>1131</v>
      </c>
    </row>
    <row r="40">
      <c r="A40" s="8" t="inlineStr">
        <is>
          <t>Operating expenses (detail)</t>
        </is>
      </c>
      <c r="B40" s="8" t="inlineStr">
        <is>
          <t>B10</t>
        </is>
      </c>
      <c r="C40" s="8" t="inlineStr">
        <is>
          <t>11c. Fees for services: accounting</t>
        </is>
      </c>
      <c r="D40" s="8" t="inlineStr">
        <is>
          <t>11c</t>
        </is>
      </c>
      <c r="E40" s="8" t="inlineStr">
        <is>
          <t>part_ix_expenses.fees_accounting</t>
        </is>
      </c>
      <c r="F40" s="8" t="inlineStr">
        <is>
          <t>high</t>
        </is>
      </c>
      <c r="G40" s="9" t="n">
        <v>7268</v>
      </c>
    </row>
    <row r="41">
      <c r="A41" s="8" t="inlineStr">
        <is>
          <t>Operating expenses (detail)</t>
        </is>
      </c>
      <c r="B41" s="8" t="inlineStr">
        <is>
          <t>C10</t>
        </is>
      </c>
      <c r="C41" s="8" t="inlineStr">
        <is>
          <t>11c. Fees for services: accounting</t>
        </is>
      </c>
      <c r="D41" s="8" t="inlineStr">
        <is>
          <t>11c</t>
        </is>
      </c>
      <c r="E41" s="8" t="inlineStr">
        <is>
          <t>part_ix_expenses.fees_accounting</t>
        </is>
      </c>
      <c r="F41" s="8" t="inlineStr">
        <is>
          <t>high</t>
        </is>
      </c>
      <c r="G41" s="9" t="n">
        <v>14190</v>
      </c>
    </row>
    <row r="42">
      <c r="A42" s="8" t="inlineStr">
        <is>
          <t>Operating expenses (detail)</t>
        </is>
      </c>
      <c r="B42" s="8" t="inlineStr">
        <is>
          <t>D10</t>
        </is>
      </c>
      <c r="C42" s="8" t="inlineStr">
        <is>
          <t>11c. Fees for services: accounting</t>
        </is>
      </c>
      <c r="D42" s="8" t="inlineStr">
        <is>
          <t>11c</t>
        </is>
      </c>
      <c r="E42" s="8" t="inlineStr">
        <is>
          <t>part_ix_expenses.fees_accounting</t>
        </is>
      </c>
      <c r="F42" s="8" t="inlineStr">
        <is>
          <t>high</t>
        </is>
      </c>
      <c r="G42" s="9" t="n">
        <v>2906</v>
      </c>
    </row>
    <row r="43">
      <c r="A43" s="8" t="inlineStr">
        <is>
          <t>Operating expenses (detail)</t>
        </is>
      </c>
      <c r="B43" s="8" t="inlineStr">
        <is>
          <t>D11</t>
        </is>
      </c>
      <c r="C43" s="8" t="inlineStr">
        <is>
          <t>11f. Fees for services: investment management</t>
        </is>
      </c>
      <c r="D43" s="8" t="inlineStr">
        <is>
          <t>11f</t>
        </is>
      </c>
      <c r="E43" s="8" t="inlineStr">
        <is>
          <t>part_ix_expenses.fees_investment_mgmt</t>
        </is>
      </c>
      <c r="F43" s="8" t="inlineStr">
        <is>
          <t>high</t>
        </is>
      </c>
      <c r="G43" s="9" t="n">
        <v>41037</v>
      </c>
    </row>
    <row r="44">
      <c r="A44" s="8" t="inlineStr">
        <is>
          <t>Operating expenses (detail)</t>
        </is>
      </c>
      <c r="B44" s="8" t="inlineStr">
        <is>
          <t>B12</t>
        </is>
      </c>
      <c r="C44" s="8" t="inlineStr">
        <is>
          <t>11g. Fees for services: other</t>
        </is>
      </c>
      <c r="D44" s="8" t="inlineStr">
        <is>
          <t>11g</t>
        </is>
      </c>
      <c r="E44" s="8" t="inlineStr">
        <is>
          <t>part_ix_expenses.fees_other</t>
        </is>
      </c>
      <c r="F44" s="8" t="inlineStr">
        <is>
          <t>high</t>
        </is>
      </c>
      <c r="G44" s="9" t="n">
        <v>19060</v>
      </c>
    </row>
    <row r="45">
      <c r="A45" s="8" t="inlineStr">
        <is>
          <t>Operating expenses (detail)</t>
        </is>
      </c>
      <c r="B45" s="8" t="inlineStr">
        <is>
          <t>D13</t>
        </is>
      </c>
      <c r="C45" s="8" t="inlineStr">
        <is>
          <t>12. Advertising and promotion</t>
        </is>
      </c>
      <c r="D45" s="8" t="inlineStr">
        <is>
          <t>12</t>
        </is>
      </c>
      <c r="E45" s="8" t="inlineStr">
        <is>
          <t>part_ix_expenses.advertising</t>
        </is>
      </c>
      <c r="F45" s="8" t="inlineStr">
        <is>
          <t>high</t>
        </is>
      </c>
      <c r="G45" s="9" t="n">
        <v>356</v>
      </c>
    </row>
    <row r="46">
      <c r="A46" s="8" t="inlineStr">
        <is>
          <t>Operating expenses (detail)</t>
        </is>
      </c>
      <c r="B46" s="8" t="inlineStr">
        <is>
          <t>B14</t>
        </is>
      </c>
      <c r="C46" s="8" t="inlineStr">
        <is>
          <t>13. Office expenses</t>
        </is>
      </c>
      <c r="D46" s="8" t="inlineStr">
        <is>
          <t>13</t>
        </is>
      </c>
      <c r="E46" s="8" t="inlineStr">
        <is>
          <t>part_ix_expenses.office_expenses</t>
        </is>
      </c>
      <c r="F46" s="8" t="inlineStr">
        <is>
          <t>high</t>
        </is>
      </c>
      <c r="G46" s="9" t="n">
        <v>317</v>
      </c>
    </row>
    <row r="47">
      <c r="A47" s="8" t="inlineStr">
        <is>
          <t>Operating expenses (detail)</t>
        </is>
      </c>
      <c r="B47" s="8" t="inlineStr">
        <is>
          <t>C14</t>
        </is>
      </c>
      <c r="C47" s="8" t="inlineStr">
        <is>
          <t>13. Office expenses</t>
        </is>
      </c>
      <c r="D47" s="8" t="inlineStr">
        <is>
          <t>13</t>
        </is>
      </c>
      <c r="E47" s="8" t="inlineStr">
        <is>
          <t>part_ix_expenses.office_expenses</t>
        </is>
      </c>
      <c r="F47" s="8" t="inlineStr">
        <is>
          <t>high</t>
        </is>
      </c>
      <c r="G47" s="9" t="n">
        <v>11219</v>
      </c>
    </row>
    <row r="48">
      <c r="A48" s="8" t="inlineStr">
        <is>
          <t>Operating expenses (detail)</t>
        </is>
      </c>
      <c r="B48" s="8" t="inlineStr">
        <is>
          <t>D14</t>
        </is>
      </c>
      <c r="C48" s="8" t="inlineStr">
        <is>
          <t>13. Office expenses</t>
        </is>
      </c>
      <c r="D48" s="8" t="inlineStr">
        <is>
          <t>13</t>
        </is>
      </c>
      <c r="E48" s="8" t="inlineStr">
        <is>
          <t>part_ix_expenses.office_expenses</t>
        </is>
      </c>
      <c r="F48" s="8" t="inlineStr">
        <is>
          <t>high</t>
        </is>
      </c>
      <c r="G48" s="9" t="n">
        <v>943</v>
      </c>
    </row>
    <row r="49">
      <c r="A49" s="8" t="inlineStr">
        <is>
          <t>Operating expenses (detail)</t>
        </is>
      </c>
      <c r="B49" s="8" t="inlineStr">
        <is>
          <t>C15</t>
        </is>
      </c>
      <c r="C49" s="8" t="inlineStr">
        <is>
          <t>14. Information technology</t>
        </is>
      </c>
      <c r="D49" s="8" t="inlineStr">
        <is>
          <t>14</t>
        </is>
      </c>
      <c r="E49" s="8" t="inlineStr">
        <is>
          <t>part_ix_expenses.information_technology</t>
        </is>
      </c>
      <c r="F49" s="8" t="inlineStr">
        <is>
          <t>high</t>
        </is>
      </c>
      <c r="G49" s="9" t="n">
        <v>9511</v>
      </c>
    </row>
    <row r="50">
      <c r="A50" s="8" t="inlineStr">
        <is>
          <t>Operating expenses (detail)</t>
        </is>
      </c>
      <c r="B50" s="8" t="inlineStr">
        <is>
          <t>B16</t>
        </is>
      </c>
      <c r="C50" s="8" t="inlineStr">
        <is>
          <t>22. Depreciation, depletion, and amortization</t>
        </is>
      </c>
      <c r="D50" s="8" t="inlineStr">
        <is>
          <t>22</t>
        </is>
      </c>
      <c r="E50" s="8" t="inlineStr">
        <is>
          <t>part_ix_expenses.depreciation</t>
        </is>
      </c>
      <c r="F50" s="8" t="inlineStr">
        <is>
          <t>high</t>
        </is>
      </c>
      <c r="G50" s="9" t="n">
        <v>4956</v>
      </c>
    </row>
    <row r="51">
      <c r="A51" s="8" t="inlineStr">
        <is>
          <t>Operating expenses (detail)</t>
        </is>
      </c>
      <c r="B51" s="8" t="inlineStr">
        <is>
          <t>B17</t>
        </is>
      </c>
      <c r="C51" s="8" t="inlineStr">
        <is>
          <t>23. Insurance</t>
        </is>
      </c>
      <c r="D51" s="8" t="inlineStr">
        <is>
          <t>23</t>
        </is>
      </c>
      <c r="E51" s="8" t="inlineStr">
        <is>
          <t>part_ix_expenses.insurance</t>
        </is>
      </c>
      <c r="F51" s="8" t="inlineStr">
        <is>
          <t>high</t>
        </is>
      </c>
      <c r="G51" s="9" t="n">
        <v>977</v>
      </c>
    </row>
    <row r="52">
      <c r="A52" s="8" t="inlineStr">
        <is>
          <t>Operating expenses (detail)</t>
        </is>
      </c>
      <c r="B52" s="8" t="inlineStr">
        <is>
          <t>C17</t>
        </is>
      </c>
      <c r="C52" s="8" t="inlineStr">
        <is>
          <t>23. Insurance</t>
        </is>
      </c>
      <c r="D52" s="8" t="inlineStr">
        <is>
          <t>23</t>
        </is>
      </c>
      <c r="E52" s="8" t="inlineStr">
        <is>
          <t>part_ix_expenses.insurance</t>
        </is>
      </c>
      <c r="F52" s="8" t="inlineStr">
        <is>
          <t>high</t>
        </is>
      </c>
      <c r="G52" s="9" t="n">
        <v>1642</v>
      </c>
    </row>
    <row r="53">
      <c r="A53" s="8" t="inlineStr">
        <is>
          <t>Operating expenses (detail)</t>
        </is>
      </c>
      <c r="B53" s="8" t="inlineStr">
        <is>
          <t>D17</t>
        </is>
      </c>
      <c r="C53" s="8" t="inlineStr">
        <is>
          <t>23. Insurance</t>
        </is>
      </c>
      <c r="D53" s="8" t="inlineStr">
        <is>
          <t>23</t>
        </is>
      </c>
      <c r="E53" s="8" t="inlineStr">
        <is>
          <t>part_ix_expenses.insurance</t>
        </is>
      </c>
      <c r="F53" s="8" t="inlineStr">
        <is>
          <t>high</t>
        </is>
      </c>
      <c r="G53" s="9" t="n">
        <v>1721</v>
      </c>
    </row>
    <row r="54">
      <c r="A54" s="8" t="inlineStr">
        <is>
          <t>Balance sheet (detail)</t>
        </is>
      </c>
      <c r="B54" s="8" t="inlineStr">
        <is>
          <t>B7</t>
        </is>
      </c>
      <c r="C54" s="8" t="inlineStr">
        <is>
          <t>1. Cash - non-interest-bearing</t>
        </is>
      </c>
      <c r="D54" s="8" t="inlineStr">
        <is>
          <t>1E</t>
        </is>
      </c>
      <c r="E54" s="8" t="inlineStr">
        <is>
          <t>part_x_balance_sheet.cash_noninterest_eoy</t>
        </is>
      </c>
      <c r="F54" s="8" t="inlineStr">
        <is>
          <t>high</t>
        </is>
      </c>
      <c r="G54" s="9" t="n">
        <v>55255</v>
      </c>
    </row>
    <row r="55">
      <c r="A55" s="8" t="inlineStr">
        <is>
          <t>Balance sheet (detail)</t>
        </is>
      </c>
      <c r="B55" s="8" t="inlineStr">
        <is>
          <t>C7</t>
        </is>
      </c>
      <c r="C55" s="8" t="inlineStr">
        <is>
          <t>1. Cash - non-interest-bearing</t>
        </is>
      </c>
      <c r="D55" s="8" t="inlineStr">
        <is>
          <t>1E</t>
        </is>
      </c>
      <c r="E55" s="8" t="inlineStr">
        <is>
          <t>part_x_balance_sheet.cash_noninterest_eoy</t>
        </is>
      </c>
      <c r="F55" s="8" t="inlineStr">
        <is>
          <t>high</t>
        </is>
      </c>
      <c r="G55" s="9" t="n">
        <v>150983</v>
      </c>
    </row>
    <row r="56">
      <c r="A56" s="8" t="inlineStr">
        <is>
          <t>Balance sheet (detail)</t>
        </is>
      </c>
      <c r="B56" s="8" t="inlineStr">
        <is>
          <t>D7</t>
        </is>
      </c>
      <c r="C56" s="8" t="inlineStr">
        <is>
          <t>1. Cash - non-interest-bearing</t>
        </is>
      </c>
      <c r="D56" s="8" t="inlineStr">
        <is>
          <t>1E</t>
        </is>
      </c>
      <c r="E56" s="8" t="inlineStr">
        <is>
          <t>part_x_balance_sheet.cash_noninterest_eoy</t>
        </is>
      </c>
      <c r="F56" s="8" t="inlineStr">
        <is>
          <t>high</t>
        </is>
      </c>
      <c r="G56" s="9" t="n">
        <v>215932</v>
      </c>
    </row>
    <row r="57">
      <c r="A57" s="8" t="inlineStr">
        <is>
          <t>Balance sheet (detail)</t>
        </is>
      </c>
      <c r="B57" s="8" t="inlineStr">
        <is>
          <t>B8</t>
        </is>
      </c>
      <c r="C57" s="8" t="inlineStr">
        <is>
          <t>2. Savings and temporary cash investments</t>
        </is>
      </c>
      <c r="D57" s="8" t="inlineStr">
        <is>
          <t>2E</t>
        </is>
      </c>
      <c r="E57" s="8" t="inlineStr">
        <is>
          <t>part_x_balance_sheet.savings_temp_invest_eoy</t>
        </is>
      </c>
      <c r="F57" s="8" t="inlineStr">
        <is>
          <t>high</t>
        </is>
      </c>
      <c r="G57" s="9" t="n">
        <v>34605</v>
      </c>
    </row>
    <row r="58">
      <c r="A58" s="8" t="inlineStr">
        <is>
          <t>Balance sheet (detail)</t>
        </is>
      </c>
      <c r="B58" s="8" t="inlineStr">
        <is>
          <t>B9</t>
        </is>
      </c>
      <c r="C58" s="8" t="inlineStr">
        <is>
          <t>3. Pledges and grants receivable, net</t>
        </is>
      </c>
      <c r="D58" s="8" t="inlineStr">
        <is>
          <t>3E</t>
        </is>
      </c>
      <c r="E58" s="8" t="inlineStr">
        <is>
          <t>part_x_balance_sheet.pledges_grants_receivable_eoy</t>
        </is>
      </c>
      <c r="F58" s="8" t="inlineStr">
        <is>
          <t>high</t>
        </is>
      </c>
      <c r="G58" s="9" t="n">
        <v>1402</v>
      </c>
    </row>
    <row r="59">
      <c r="A59" s="8" t="inlineStr">
        <is>
          <t>Balance sheet (detail)</t>
        </is>
      </c>
      <c r="B59" s="8" t="inlineStr">
        <is>
          <t>B10</t>
        </is>
      </c>
      <c r="C59" s="8" t="inlineStr">
        <is>
          <t>4. Accounts receivable, net</t>
        </is>
      </c>
      <c r="D59" s="8" t="inlineStr">
        <is>
          <t>4E</t>
        </is>
      </c>
      <c r="E59" s="8" t="inlineStr">
        <is>
          <t>part_x_balance_sheet.accounts_receivable_eoy</t>
        </is>
      </c>
      <c r="F59" s="8" t="inlineStr">
        <is>
          <t>high</t>
        </is>
      </c>
      <c r="G59" s="9" t="n">
        <v>33420</v>
      </c>
    </row>
    <row r="60">
      <c r="A60" s="8" t="inlineStr">
        <is>
          <t>Balance sheet (detail)</t>
        </is>
      </c>
      <c r="B60" s="8" t="inlineStr">
        <is>
          <t>C10</t>
        </is>
      </c>
      <c r="C60" s="8" t="inlineStr">
        <is>
          <t>4. Accounts receivable, net</t>
        </is>
      </c>
      <c r="D60" s="8" t="inlineStr">
        <is>
          <t>4E</t>
        </is>
      </c>
      <c r="E60" s="8" t="inlineStr">
        <is>
          <t>part_x_balance_sheet.accounts_receivable_eoy</t>
        </is>
      </c>
      <c r="F60" s="8" t="inlineStr">
        <is>
          <t>high</t>
        </is>
      </c>
      <c r="G60" s="9" t="n">
        <v>28445</v>
      </c>
    </row>
    <row r="61">
      <c r="A61" s="8" t="inlineStr">
        <is>
          <t>Balance sheet (detail)</t>
        </is>
      </c>
      <c r="B61" s="8" t="inlineStr">
        <is>
          <t>D10</t>
        </is>
      </c>
      <c r="C61" s="8" t="inlineStr">
        <is>
          <t>4. Accounts receivable, net</t>
        </is>
      </c>
      <c r="D61" s="8" t="inlineStr">
        <is>
          <t>4E</t>
        </is>
      </c>
      <c r="E61" s="8" t="inlineStr">
        <is>
          <t>part_x_balance_sheet.accounts_receivable_eoy</t>
        </is>
      </c>
      <c r="F61" s="8" t="inlineStr">
        <is>
          <t>high</t>
        </is>
      </c>
      <c r="G61" s="9" t="n">
        <v>19000</v>
      </c>
    </row>
    <row r="62">
      <c r="A62" s="8" t="inlineStr">
        <is>
          <t>Balance sheet (detail)</t>
        </is>
      </c>
      <c r="B62" s="8" t="inlineStr">
        <is>
          <t>B11</t>
        </is>
      </c>
      <c r="C62" s="8" t="inlineStr">
        <is>
          <t>10c. Land, buildings, and equipment, net</t>
        </is>
      </c>
      <c r="D62" s="8" t="inlineStr">
        <is>
          <t>10cE</t>
        </is>
      </c>
      <c r="E62" s="8" t="inlineStr">
        <is>
          <t>part_x_balance_sheet.land_bldg_equip_net_eoy</t>
        </is>
      </c>
      <c r="F62" s="8" t="inlineStr">
        <is>
          <t>high</t>
        </is>
      </c>
      <c r="G62" s="9" t="n">
        <v>825936</v>
      </c>
    </row>
    <row r="63">
      <c r="A63" s="8" t="inlineStr">
        <is>
          <t>Balance sheet (detail)</t>
        </is>
      </c>
      <c r="B63" s="8" t="inlineStr">
        <is>
          <t>C11</t>
        </is>
      </c>
      <c r="C63" s="8" t="inlineStr">
        <is>
          <t>10c. Land, buildings, and equipment, net</t>
        </is>
      </c>
      <c r="D63" s="8" t="inlineStr">
        <is>
          <t>10cE</t>
        </is>
      </c>
      <c r="E63" s="8" t="inlineStr">
        <is>
          <t>part_x_balance_sheet.land_bldg_equip_net_eoy</t>
        </is>
      </c>
      <c r="F63" s="8" t="inlineStr">
        <is>
          <t>high</t>
        </is>
      </c>
      <c r="G63" s="9" t="n">
        <v>796181</v>
      </c>
    </row>
    <row r="64">
      <c r="A64" s="8" t="inlineStr">
        <is>
          <t>Balance sheet (detail)</t>
        </is>
      </c>
      <c r="B64" s="8" t="inlineStr">
        <is>
          <t>D11</t>
        </is>
      </c>
      <c r="C64" s="8" t="inlineStr">
        <is>
          <t>10c. Land, buildings, and equipment, net</t>
        </is>
      </c>
      <c r="D64" s="8" t="inlineStr">
        <is>
          <t>10cE</t>
        </is>
      </c>
      <c r="E64" s="8" t="inlineStr">
        <is>
          <t>part_x_balance_sheet.land_bldg_equip_net_eoy</t>
        </is>
      </c>
      <c r="F64" s="8" t="inlineStr">
        <is>
          <t>high</t>
        </is>
      </c>
      <c r="G64" s="9" t="n">
        <v>766426</v>
      </c>
    </row>
    <row r="65">
      <c r="A65" s="8" t="inlineStr">
        <is>
          <t>Balance sheet (detail)</t>
        </is>
      </c>
      <c r="B65" s="8" t="inlineStr">
        <is>
          <t>B15</t>
        </is>
      </c>
      <c r="C65" s="8" t="inlineStr">
        <is>
          <t>17. Accounts payable and accrued expenses</t>
        </is>
      </c>
      <c r="D65" s="8" t="inlineStr">
        <is>
          <t>17E</t>
        </is>
      </c>
      <c r="E65" s="8" t="inlineStr">
        <is>
          <t>part_x_balance_sheet.accounts_payable_eoy</t>
        </is>
      </c>
      <c r="F65" s="8" t="inlineStr">
        <is>
          <t>high</t>
        </is>
      </c>
      <c r="G65" s="9" t="n">
        <v>230</v>
      </c>
    </row>
    <row r="66">
      <c r="A66" s="8" t="inlineStr">
        <is>
          <t>Balance sheet (detail)</t>
        </is>
      </c>
      <c r="B66" s="8" t="inlineStr">
        <is>
          <t>B16</t>
        </is>
      </c>
      <c r="C66" s="8" t="inlineStr">
        <is>
          <t>24. Unsecured notes and loans payable</t>
        </is>
      </c>
      <c r="D66" s="8" t="inlineStr">
        <is>
          <t>24E</t>
        </is>
      </c>
      <c r="E66" s="8" t="inlineStr">
        <is>
          <t>part_x_balance_sheet.unsecured_notes_loans_payable_eoy</t>
        </is>
      </c>
      <c r="F66" s="8" t="inlineStr">
        <is>
          <t>high</t>
        </is>
      </c>
      <c r="G66" s="9" t="n">
        <v>11730</v>
      </c>
    </row>
    <row r="67">
      <c r="A67" s="8" t="inlineStr">
        <is>
          <t>Balance sheet (detail)</t>
        </is>
      </c>
      <c r="B67" s="8" t="inlineStr">
        <is>
          <t>C16</t>
        </is>
      </c>
      <c r="C67" s="8" t="inlineStr">
        <is>
          <t>24. Unsecured notes and loans payable</t>
        </is>
      </c>
      <c r="D67" s="8" t="inlineStr">
        <is>
          <t>24E</t>
        </is>
      </c>
      <c r="E67" s="8" t="inlineStr">
        <is>
          <t>part_x_balance_sheet.unsecured_notes_loans_payable_eoy</t>
        </is>
      </c>
      <c r="F67" s="8" t="inlineStr">
        <is>
          <t>high</t>
        </is>
      </c>
      <c r="G67" s="9" t="n">
        <v>10686</v>
      </c>
    </row>
    <row r="68">
      <c r="A68" s="8" t="inlineStr">
        <is>
          <t>Balance sheet (detail)</t>
        </is>
      </c>
      <c r="B68" s="8" t="inlineStr">
        <is>
          <t>D16</t>
        </is>
      </c>
      <c r="C68" s="8" t="inlineStr">
        <is>
          <t>24. Unsecured notes and loans payable</t>
        </is>
      </c>
      <c r="D68" s="8" t="inlineStr">
        <is>
          <t>24E</t>
        </is>
      </c>
      <c r="E68" s="8" t="inlineStr">
        <is>
          <t>part_x_balance_sheet.unsecured_notes_loans_payable_eoy</t>
        </is>
      </c>
      <c r="F68" s="8" t="inlineStr">
        <is>
          <t>high</t>
        </is>
      </c>
      <c r="G68" s="9" t="n">
        <v>8146</v>
      </c>
    </row>
    <row r="69">
      <c r="A69" s="8" t="inlineStr">
        <is>
          <t>Balance sheet (detail)</t>
        </is>
      </c>
      <c r="B69" s="8" t="inlineStr">
        <is>
          <t>B20</t>
        </is>
      </c>
      <c r="C69" s="8" t="inlineStr">
        <is>
          <t>29. Capital stock or trust principal</t>
        </is>
      </c>
      <c r="D69" s="8" t="inlineStr">
        <is>
          <t>29E</t>
        </is>
      </c>
      <c r="E69" s="8" t="inlineStr">
        <is>
          <t>part_x_balance_sheet.cap_stock_eoy</t>
        </is>
      </c>
      <c r="F69" s="8" t="inlineStr">
        <is>
          <t>high</t>
        </is>
      </c>
      <c r="G69" s="9" t="n">
        <v>0</v>
      </c>
    </row>
    <row r="70">
      <c r="A70" s="8" t="inlineStr">
        <is>
          <t>Balance sheet (detail)</t>
        </is>
      </c>
      <c r="B70" s="8" t="inlineStr">
        <is>
          <t>B21</t>
        </is>
      </c>
      <c r="C70" s="8" t="inlineStr">
        <is>
          <t>30. Paid-in or capital surplus</t>
        </is>
      </c>
      <c r="D70" s="8" t="inlineStr">
        <is>
          <t>30E</t>
        </is>
      </c>
      <c r="E70" s="8" t="inlineStr">
        <is>
          <t>part_x_balance_sheet.paid_in_capital_eoy</t>
        </is>
      </c>
      <c r="F70" s="8" t="inlineStr">
        <is>
          <t>high</t>
        </is>
      </c>
      <c r="G70" s="9" t="n">
        <v>0</v>
      </c>
    </row>
    <row r="71">
      <c r="A71" s="8" t="inlineStr">
        <is>
          <t>Balance sheet (detail)</t>
        </is>
      </c>
      <c r="B71" s="8" t="inlineStr">
        <is>
          <t>B22</t>
        </is>
      </c>
      <c r="C71" s="8" t="inlineStr">
        <is>
          <t>31. Retained earnings / accumulated funds</t>
        </is>
      </c>
      <c r="D71" s="8" t="inlineStr">
        <is>
          <t>31E</t>
        </is>
      </c>
      <c r="E71" s="8" t="inlineStr">
        <is>
          <t>part_x_balance_sheet.retained_earnings_eoy</t>
        </is>
      </c>
      <c r="F71" s="8" t="inlineStr">
        <is>
          <t>high</t>
        </is>
      </c>
      <c r="G71" s="9" t="n">
        <v>938658</v>
      </c>
    </row>
    <row r="72">
      <c r="A72" s="8" t="inlineStr">
        <is>
          <t>Balance sheet (detail)</t>
        </is>
      </c>
      <c r="B72" s="8" t="inlineStr">
        <is>
          <t>C22</t>
        </is>
      </c>
      <c r="C72" s="8" t="inlineStr">
        <is>
          <t>31. Retained earnings / accumulated funds</t>
        </is>
      </c>
      <c r="D72" s="8" t="inlineStr">
        <is>
          <t>31E</t>
        </is>
      </c>
      <c r="E72" s="8" t="inlineStr">
        <is>
          <t>part_x_balance_sheet.retained_earnings_eoy</t>
        </is>
      </c>
      <c r="F72" s="8" t="inlineStr">
        <is>
          <t>high</t>
        </is>
      </c>
      <c r="G72" s="9" t="n">
        <v>964923</v>
      </c>
    </row>
    <row r="73">
      <c r="A73" s="8" t="inlineStr">
        <is>
          <t>Balance sheet (detail)</t>
        </is>
      </c>
      <c r="B73" s="8" t="inlineStr">
        <is>
          <t>D22</t>
        </is>
      </c>
      <c r="C73" s="8" t="inlineStr">
        <is>
          <t>31. Retained earnings / accumulated funds</t>
        </is>
      </c>
      <c r="D73" s="8" t="inlineStr">
        <is>
          <t>31E</t>
        </is>
      </c>
      <c r="E73" s="8" t="inlineStr">
        <is>
          <t>part_x_balance_sheet.retained_earnings_eoy</t>
        </is>
      </c>
      <c r="F73" s="8" t="inlineStr">
        <is>
          <t>high</t>
        </is>
      </c>
      <c r="G73" s="9" t="n">
        <v>993212</v>
      </c>
    </row>
    <row r="74">
      <c r="A74" s="8" t="inlineStr">
        <is>
          <t>Net-assets reconciliation</t>
        </is>
      </c>
      <c r="B74" s="8" t="inlineStr">
        <is>
          <t>B7</t>
        </is>
      </c>
      <c r="C74" s="8" t="inlineStr">
        <is>
          <t>4. Net assets, beginning of year</t>
        </is>
      </c>
      <c r="D74" s="8" t="inlineStr">
        <is>
          <t>Part XI line 4</t>
        </is>
      </c>
      <c r="E74" s="8" t="inlineStr">
        <is>
          <t>part_xi_reconciliation.net_assets_boy</t>
        </is>
      </c>
      <c r="F74" s="8" t="inlineStr">
        <is>
          <t>high</t>
        </is>
      </c>
      <c r="G74" s="9" t="n">
        <v>278241</v>
      </c>
    </row>
    <row r="75">
      <c r="A75" s="8" t="inlineStr">
        <is>
          <t>Net-assets reconciliation</t>
        </is>
      </c>
      <c r="B75" s="8" t="inlineStr">
        <is>
          <t>C7</t>
        </is>
      </c>
      <c r="C75" s="8" t="inlineStr">
        <is>
          <t>4. Net assets, beginning of year</t>
        </is>
      </c>
      <c r="D75" s="8" t="inlineStr">
        <is>
          <t>Part XI line 4</t>
        </is>
      </c>
      <c r="E75" s="8" t="inlineStr">
        <is>
          <t>part_xi_reconciliation.net_assets_boy</t>
        </is>
      </c>
      <c r="F75" s="8" t="inlineStr">
        <is>
          <t>high</t>
        </is>
      </c>
      <c r="G75" s="9" t="n">
        <v>938658</v>
      </c>
    </row>
    <row r="76">
      <c r="A76" s="8" t="inlineStr">
        <is>
          <t>Net-assets reconciliation</t>
        </is>
      </c>
      <c r="B76" s="8" t="inlineStr">
        <is>
          <t>D7</t>
        </is>
      </c>
      <c r="C76" s="8" t="inlineStr">
        <is>
          <t>4. Net assets, beginning of year</t>
        </is>
      </c>
      <c r="D76" s="8" t="inlineStr">
        <is>
          <t>Part XI line 4</t>
        </is>
      </c>
      <c r="E76" s="8" t="inlineStr">
        <is>
          <t>part_xi_reconciliation.net_assets_boy</t>
        </is>
      </c>
      <c r="F76" s="8" t="inlineStr">
        <is>
          <t>high</t>
        </is>
      </c>
      <c r="G76" s="9" t="n">
        <v>964923</v>
      </c>
    </row>
    <row r="77">
      <c r="A77" s="8" t="inlineStr">
        <is>
          <t>Net-assets reconciliation</t>
        </is>
      </c>
      <c r="B77" s="8" t="inlineStr">
        <is>
          <t>B8</t>
        </is>
      </c>
      <c r="C77" s="8" t="inlineStr">
        <is>
          <t>3. Revenue less expenses</t>
        </is>
      </c>
      <c r="D77" s="8" t="inlineStr">
        <is>
          <t>Part XI line 3</t>
        </is>
      </c>
      <c r="E77" s="8" t="inlineStr">
        <is>
          <t>part_xi_reconciliation.reconciliation_revenue_expenses</t>
        </is>
      </c>
      <c r="F77" s="8" t="inlineStr">
        <is>
          <t>high</t>
        </is>
      </c>
      <c r="G77" s="9" t="n">
        <v>50637</v>
      </c>
    </row>
    <row r="78">
      <c r="A78" s="8" t="inlineStr">
        <is>
          <t>Net-assets reconciliation</t>
        </is>
      </c>
      <c r="B78" s="8" t="inlineStr">
        <is>
          <t>C8</t>
        </is>
      </c>
      <c r="C78" s="8" t="inlineStr">
        <is>
          <t>3. Revenue less expenses</t>
        </is>
      </c>
      <c r="D78" s="8" t="inlineStr">
        <is>
          <t>Part XI line 3</t>
        </is>
      </c>
      <c r="E78" s="8" t="inlineStr">
        <is>
          <t>part_xi_reconciliation.reconciliation_revenue_expenses</t>
        </is>
      </c>
      <c r="F78" s="8" t="inlineStr">
        <is>
          <t>high</t>
        </is>
      </c>
      <c r="G78" s="9" t="n">
        <v>139461</v>
      </c>
    </row>
    <row r="79">
      <c r="A79" s="8" t="inlineStr">
        <is>
          <t>Net-assets reconciliation</t>
        </is>
      </c>
      <c r="B79" s="8" t="inlineStr">
        <is>
          <t>D8</t>
        </is>
      </c>
      <c r="C79" s="8" t="inlineStr">
        <is>
          <t>3. Revenue less expenses</t>
        </is>
      </c>
      <c r="D79" s="8" t="inlineStr">
        <is>
          <t>Part XI line 3</t>
        </is>
      </c>
      <c r="E79" s="8" t="inlineStr">
        <is>
          <t>part_xi_reconciliation.reconciliation_revenue_expenses</t>
        </is>
      </c>
      <c r="F79" s="8" t="inlineStr">
        <is>
          <t>high</t>
        </is>
      </c>
      <c r="G79" s="9" t="n">
        <v>54434</v>
      </c>
    </row>
    <row r="80">
      <c r="A80" s="8" t="inlineStr">
        <is>
          <t>Net-assets reconciliation</t>
        </is>
      </c>
      <c r="B80" s="8" t="inlineStr">
        <is>
          <t>B10</t>
        </is>
      </c>
      <c r="C80" s="8" t="inlineStr">
        <is>
          <t>9. Other changes in net assets</t>
        </is>
      </c>
      <c r="D80" s="8" t="inlineStr">
        <is>
          <t>Part XI line 9</t>
        </is>
      </c>
      <c r="E80" s="8" t="inlineStr">
        <is>
          <t>part_xi_reconciliation.other_changes_net_assets</t>
        </is>
      </c>
      <c r="F80" s="8" t="inlineStr">
        <is>
          <t>high</t>
        </is>
      </c>
      <c r="G80" s="9" t="n">
        <v>609780</v>
      </c>
    </row>
    <row r="81">
      <c r="A81" s="8" t="inlineStr">
        <is>
          <t>Net-assets reconciliation</t>
        </is>
      </c>
      <c r="B81" s="8" t="inlineStr">
        <is>
          <t>D10</t>
        </is>
      </c>
      <c r="C81" s="8" t="inlineStr">
        <is>
          <t>9. Other changes in net assets</t>
        </is>
      </c>
      <c r="D81" s="8" t="inlineStr">
        <is>
          <t>Part XI line 9</t>
        </is>
      </c>
      <c r="E81" s="8" t="inlineStr">
        <is>
          <t>part_xi_reconciliation.other_changes_net_assets</t>
        </is>
      </c>
      <c r="F81" s="8" t="inlineStr">
        <is>
          <t>high</t>
        </is>
      </c>
      <c r="G81" s="9" t="n">
        <v>0</v>
      </c>
    </row>
    <row r="83">
      <c r="A83" s="29" t="inlineStr">
        <is>
          <t>C. Tie-out checks (filed vs computed; any nonzero variance is flagged red)</t>
        </is>
      </c>
      <c r="B83" s="7" t="n"/>
      <c r="C83" s="7" t="n"/>
      <c r="D83" s="7" t="n"/>
      <c r="E83" s="7" t="n"/>
      <c r="F83" s="7" t="n"/>
      <c r="G83" s="7" t="n"/>
      <c r="H83" s="7" t="n"/>
      <c r="I83" s="7" t="n"/>
      <c r="J83" s="7" t="n"/>
      <c r="K83" s="7" t="n"/>
    </row>
    <row r="84">
      <c r="A84" s="5" t="inlineStr">
        <is>
          <t>Tab</t>
        </is>
      </c>
      <c r="B84" s="5" t="inlineStr">
        <is>
          <t>Check</t>
        </is>
      </c>
      <c r="C84" s="5" t="inlineStr">
        <is>
          <t>Fiscal year</t>
        </is>
      </c>
      <c r="D84" s="5" t="inlineStr">
        <is>
          <t>Filed</t>
        </is>
      </c>
      <c r="E84" s="5" t="inlineStr">
        <is>
          <t>Computed</t>
        </is>
      </c>
      <c r="F84" s="5" t="inlineStr">
        <is>
          <t>Variance (computed - filed)</t>
        </is>
      </c>
    </row>
    <row r="85">
      <c r="A85" s="18" t="inlineStr">
        <is>
          <t>Revenue (detail)</t>
        </is>
      </c>
      <c r="B85" s="18" t="inlineStr">
        <is>
          <t>12. Total revenue</t>
        </is>
      </c>
      <c r="C85" s="18" t="inlineStr">
        <is>
          <t>FY2022</t>
        </is>
      </c>
      <c r="D85" s="9" t="n">
        <v>85549</v>
      </c>
      <c r="E85" s="9">
        <f>'Revenue (detail)'!B13</f>
        <v/>
      </c>
      <c r="F85" s="9">
        <f>E85-D85</f>
        <v/>
      </c>
    </row>
    <row r="86">
      <c r="A86" s="18" t="inlineStr">
        <is>
          <t>Revenue (detail)</t>
        </is>
      </c>
      <c r="B86" s="18" t="inlineStr">
        <is>
          <t>12. Total revenue</t>
        </is>
      </c>
      <c r="C86" s="18" t="inlineStr">
        <is>
          <t>FY2023</t>
        </is>
      </c>
      <c r="D86" s="9" t="n">
        <v>187039</v>
      </c>
      <c r="E86" s="9">
        <f>'Revenue (detail)'!C13</f>
        <v/>
      </c>
      <c r="F86" s="9">
        <f>E86-D86</f>
        <v/>
      </c>
    </row>
    <row r="87">
      <c r="A87" s="18" t="inlineStr">
        <is>
          <t>Revenue (detail)</t>
        </is>
      </c>
      <c r="B87" s="18" t="inlineStr">
        <is>
          <t>12. Total revenue</t>
        </is>
      </c>
      <c r="C87" s="18" t="inlineStr">
        <is>
          <t>FY2024</t>
        </is>
      </c>
      <c r="D87" s="9" t="n">
        <v>138800</v>
      </c>
      <c r="E87" s="9">
        <f>'Revenue (detail)'!D13</f>
        <v/>
      </c>
      <c r="F87" s="9">
        <f>E87-D87</f>
        <v/>
      </c>
    </row>
    <row r="88">
      <c r="A88" s="18" t="inlineStr">
        <is>
          <t>Revenue (detail)</t>
        </is>
      </c>
      <c r="B88" s="18" t="inlineStr">
        <is>
          <t>2g program service revenue = sum of lines 2a-2f (FY2024)</t>
        </is>
      </c>
      <c r="C88" s="18" t="inlineStr">
        <is>
          <t>FY2024</t>
        </is>
      </c>
      <c r="D88" s="9" t="n">
        <v>17588</v>
      </c>
      <c r="E88" s="9">
        <f>SUM('Revenue (detail)'!C17:C17)</f>
        <v/>
      </c>
      <c r="F88" s="9">
        <f>E88-D88</f>
        <v/>
      </c>
    </row>
    <row r="89">
      <c r="A89" s="18" t="inlineStr">
        <is>
          <t>Operating expenses (detail)</t>
        </is>
      </c>
      <c r="B89" s="18" t="inlineStr">
        <is>
          <t>25. Total functional expenses</t>
        </is>
      </c>
      <c r="C89" s="18" t="inlineStr">
        <is>
          <t>FY2022</t>
        </is>
      </c>
      <c r="D89" s="9" t="n">
        <v>34912</v>
      </c>
      <c r="E89" s="9">
        <f>'Operating expenses (detail)'!B21</f>
        <v/>
      </c>
      <c r="F89" s="9">
        <f>E89-D89</f>
        <v/>
      </c>
    </row>
    <row r="90">
      <c r="A90" s="18" t="inlineStr">
        <is>
          <t>Operating expenses (detail)</t>
        </is>
      </c>
      <c r="B90" s="18" t="inlineStr">
        <is>
          <t>25. Total functional expenses</t>
        </is>
      </c>
      <c r="C90" s="18" t="inlineStr">
        <is>
          <t>FY2023</t>
        </is>
      </c>
      <c r="D90" s="9" t="n">
        <v>47578</v>
      </c>
      <c r="E90" s="9">
        <f>'Operating expenses (detail)'!C21</f>
        <v/>
      </c>
      <c r="F90" s="9">
        <f>E90-D90</f>
        <v/>
      </c>
    </row>
    <row r="91">
      <c r="A91" s="18" t="inlineStr">
        <is>
          <t>Operating expenses (detail)</t>
        </is>
      </c>
      <c r="B91" s="18" t="inlineStr">
        <is>
          <t>25. Total functional expenses</t>
        </is>
      </c>
      <c r="C91" s="18" t="inlineStr">
        <is>
          <t>FY2024</t>
        </is>
      </c>
      <c r="D91" s="9" t="n">
        <v>84366</v>
      </c>
      <c r="E91" s="9">
        <f>'Operating expenses (detail)'!D21</f>
        <v/>
      </c>
      <c r="F91" s="9">
        <f>E91-D91</f>
        <v/>
      </c>
    </row>
    <row r="92">
      <c r="A92" s="18" t="inlineStr">
        <is>
          <t>Operating expenses (detail)</t>
        </is>
      </c>
      <c r="B92" s="18" t="inlineStr">
        <is>
          <t>Part IX column split: col A = B + C + D (FY2024)</t>
        </is>
      </c>
      <c r="C92" s="18" t="inlineStr">
        <is>
          <t>FY2024</t>
        </is>
      </c>
      <c r="D92" s="9">
        <f>'Operating expenses (detail)'!B32</f>
        <v/>
      </c>
      <c r="E92" s="9">
        <f>'Operating expenses (detail)'!C32+'Operating expenses (detail)'!D32+'Operating expenses (detail)'!E32</f>
        <v/>
      </c>
      <c r="F92" s="9">
        <f>E92-D92</f>
        <v/>
      </c>
    </row>
    <row r="93">
      <c r="A93" s="18" t="inlineStr">
        <is>
          <t>Balance sheet (detail)</t>
        </is>
      </c>
      <c r="B93" s="18" t="inlineStr">
        <is>
          <t>16. Total assets</t>
        </is>
      </c>
      <c r="C93" s="18" t="inlineStr">
        <is>
          <t>FY2022</t>
        </is>
      </c>
      <c r="D93" s="9" t="n">
        <v>950618</v>
      </c>
      <c r="E93" s="9">
        <f>'Balance sheet (detail)'!B12</f>
        <v/>
      </c>
      <c r="F93" s="9">
        <f>E93-D93</f>
        <v/>
      </c>
    </row>
    <row r="94">
      <c r="A94" s="18" t="inlineStr">
        <is>
          <t>Balance sheet (detail)</t>
        </is>
      </c>
      <c r="B94" s="18" t="inlineStr">
        <is>
          <t>16. Total assets</t>
        </is>
      </c>
      <c r="C94" s="18" t="inlineStr">
        <is>
          <t>FY2023</t>
        </is>
      </c>
      <c r="D94" s="9" t="n">
        <v>975609</v>
      </c>
      <c r="E94" s="9">
        <f>'Balance sheet (detail)'!C12</f>
        <v/>
      </c>
      <c r="F94" s="9">
        <f>E94-D94</f>
        <v/>
      </c>
    </row>
    <row r="95">
      <c r="A95" s="18" t="inlineStr">
        <is>
          <t>Balance sheet (detail)</t>
        </is>
      </c>
      <c r="B95" s="18" t="inlineStr">
        <is>
          <t>16. Total assets</t>
        </is>
      </c>
      <c r="C95" s="18" t="inlineStr">
        <is>
          <t>FY2024</t>
        </is>
      </c>
      <c r="D95" s="9" t="n">
        <v>1001358</v>
      </c>
      <c r="E95" s="9">
        <f>'Balance sheet (detail)'!D12</f>
        <v/>
      </c>
      <c r="F95" s="9">
        <f>E95-D95</f>
        <v/>
      </c>
    </row>
    <row r="96">
      <c r="A96" s="18" t="inlineStr">
        <is>
          <t>Balance sheet (detail)</t>
        </is>
      </c>
      <c r="B96" s="18" t="inlineStr">
        <is>
          <t>26. Total liabilities</t>
        </is>
      </c>
      <c r="C96" s="18" t="inlineStr">
        <is>
          <t>FY2022</t>
        </is>
      </c>
      <c r="D96" s="9" t="n">
        <v>11960</v>
      </c>
      <c r="E96" s="9">
        <f>'Balance sheet (detail)'!B17</f>
        <v/>
      </c>
      <c r="F96" s="9">
        <f>E96-D96</f>
        <v/>
      </c>
    </row>
    <row r="97">
      <c r="A97" s="18" t="inlineStr">
        <is>
          <t>Balance sheet (detail)</t>
        </is>
      </c>
      <c r="B97" s="18" t="inlineStr">
        <is>
          <t>26. Total liabilities</t>
        </is>
      </c>
      <c r="C97" s="18" t="inlineStr">
        <is>
          <t>FY2023</t>
        </is>
      </c>
      <c r="D97" s="9" t="n">
        <v>10686</v>
      </c>
      <c r="E97" s="9">
        <f>'Balance sheet (detail)'!C17</f>
        <v/>
      </c>
      <c r="F97" s="9">
        <f>E97-D97</f>
        <v/>
      </c>
    </row>
    <row r="98">
      <c r="A98" s="18" t="inlineStr">
        <is>
          <t>Balance sheet (detail)</t>
        </is>
      </c>
      <c r="B98" s="18" t="inlineStr">
        <is>
          <t>26. Total liabilities</t>
        </is>
      </c>
      <c r="C98" s="18" t="inlineStr">
        <is>
          <t>FY2024</t>
        </is>
      </c>
      <c r="D98" s="9" t="n">
        <v>8146</v>
      </c>
      <c r="E98" s="9">
        <f>'Balance sheet (detail)'!D17</f>
        <v/>
      </c>
      <c r="F98" s="9">
        <f>E98-D98</f>
        <v/>
      </c>
    </row>
    <row r="99">
      <c r="A99" s="18" t="inlineStr">
        <is>
          <t>Balance sheet (detail)</t>
        </is>
      </c>
      <c r="B99" s="18" t="inlineStr">
        <is>
          <t>32. Total net assets / fund balances</t>
        </is>
      </c>
      <c r="C99" s="18" t="inlineStr">
        <is>
          <t>FY2022</t>
        </is>
      </c>
      <c r="D99" s="9" t="n">
        <v>938658</v>
      </c>
      <c r="E99" s="9">
        <f>'Balance sheet (detail)'!B23</f>
        <v/>
      </c>
      <c r="F99" s="9">
        <f>E99-D99</f>
        <v/>
      </c>
    </row>
    <row r="100">
      <c r="A100" s="18" t="inlineStr">
        <is>
          <t>Balance sheet (detail)</t>
        </is>
      </c>
      <c r="B100" s="18" t="inlineStr">
        <is>
          <t>32. Total net assets / fund balances</t>
        </is>
      </c>
      <c r="C100" s="18" t="inlineStr">
        <is>
          <t>FY2023</t>
        </is>
      </c>
      <c r="D100" s="9" t="n">
        <v>964923</v>
      </c>
      <c r="E100" s="9">
        <f>'Balance sheet (detail)'!C23</f>
        <v/>
      </c>
      <c r="F100" s="9">
        <f>E100-D100</f>
        <v/>
      </c>
    </row>
    <row r="101">
      <c r="A101" s="18" t="inlineStr">
        <is>
          <t>Balance sheet (detail)</t>
        </is>
      </c>
      <c r="B101" s="18" t="inlineStr">
        <is>
          <t>32. Total net assets / fund balances</t>
        </is>
      </c>
      <c r="C101" s="18" t="inlineStr">
        <is>
          <t>FY2024</t>
        </is>
      </c>
      <c r="D101" s="9" t="n">
        <v>993212</v>
      </c>
      <c r="E101" s="9">
        <f>'Balance sheet (detail)'!D23</f>
        <v/>
      </c>
      <c r="F101" s="9">
        <f>E101-D101</f>
        <v/>
      </c>
    </row>
    <row r="102">
      <c r="A102" s="18" t="inlineStr">
        <is>
          <t>Balance sheet (detail)</t>
        </is>
      </c>
      <c r="B102" s="18" t="inlineStr">
        <is>
          <t>Balance sheet identity: line 16 = line 26 + line 32 (EOY)</t>
        </is>
      </c>
      <c r="C102" s="18" t="inlineStr">
        <is>
          <t>FY2022</t>
        </is>
      </c>
      <c r="D102" s="9">
        <f>'Balance sheet (detail)'!B12</f>
        <v/>
      </c>
      <c r="E102" s="9">
        <f>SUM('Balance sheet (detail)'!B17,'Balance sheet (detail)'!B23)</f>
        <v/>
      </c>
      <c r="F102" s="9">
        <f>E102-D102</f>
        <v/>
      </c>
    </row>
    <row r="103">
      <c r="A103" s="18" t="inlineStr">
        <is>
          <t>Balance sheet (detail)</t>
        </is>
      </c>
      <c r="B103" s="18" t="inlineStr">
        <is>
          <t>Balance sheet identity: line 16 = line 26 + line 32 (EOY)</t>
        </is>
      </c>
      <c r="C103" s="18" t="inlineStr">
        <is>
          <t>FY2023</t>
        </is>
      </c>
      <c r="D103" s="9">
        <f>'Balance sheet (detail)'!C12</f>
        <v/>
      </c>
      <c r="E103" s="9">
        <f>SUM('Balance sheet (detail)'!C17,'Balance sheet (detail)'!C23)</f>
        <v/>
      </c>
      <c r="F103" s="9">
        <f>E103-D103</f>
        <v/>
      </c>
    </row>
    <row r="104">
      <c r="A104" s="18" t="inlineStr">
        <is>
          <t>Balance sheet (detail)</t>
        </is>
      </c>
      <c r="B104" s="18" t="inlineStr">
        <is>
          <t>Balance sheet identity: line 16 = line 26 + line 32 (EOY)</t>
        </is>
      </c>
      <c r="C104" s="18" t="inlineStr">
        <is>
          <t>FY2024</t>
        </is>
      </c>
      <c r="D104" s="9">
        <f>'Balance sheet (detail)'!D12</f>
        <v/>
      </c>
      <c r="E104" s="9">
        <f>SUM('Balance sheet (detail)'!D17,'Balance sheet (detail)'!D23)</f>
        <v/>
      </c>
      <c r="F104" s="9">
        <f>E104-D104</f>
        <v/>
      </c>
    </row>
    <row r="105">
      <c r="A105" s="18" t="inlineStr">
        <is>
          <t>Net-assets reconciliation</t>
        </is>
      </c>
      <c r="B105" s="18" t="inlineStr">
        <is>
          <t>10. Net assets, end of year</t>
        </is>
      </c>
      <c r="C105" s="18" t="inlineStr">
        <is>
          <t>FY2022</t>
        </is>
      </c>
      <c r="D105" s="9" t="n">
        <v>938658</v>
      </c>
      <c r="E105" s="9">
        <f>'Net-assets reconciliation'!B11</f>
        <v/>
      </c>
      <c r="F105" s="9">
        <f>E105-D105</f>
        <v/>
      </c>
    </row>
    <row r="106">
      <c r="A106" s="18" t="inlineStr">
        <is>
          <t>Net-assets reconciliation</t>
        </is>
      </c>
      <c r="B106" s="18" t="inlineStr">
        <is>
          <t>10. Net assets, end of year</t>
        </is>
      </c>
      <c r="C106" s="18" t="inlineStr">
        <is>
          <t>FY2023</t>
        </is>
      </c>
      <c r="D106" s="9" t="n">
        <v>964923</v>
      </c>
      <c r="E106" s="9">
        <f>'Net-assets reconciliation'!C11</f>
        <v/>
      </c>
      <c r="F106" s="9">
        <f>E106-D106</f>
        <v/>
      </c>
    </row>
    <row r="107">
      <c r="A107" s="18" t="inlineStr">
        <is>
          <t>Net-assets reconciliation</t>
        </is>
      </c>
      <c r="B107" s="18" t="inlineStr">
        <is>
          <t>10. Net assets, end of year</t>
        </is>
      </c>
      <c r="C107" s="18" t="inlineStr">
        <is>
          <t>FY2024</t>
        </is>
      </c>
      <c r="D107" s="9" t="n">
        <v>993212</v>
      </c>
      <c r="E107" s="9">
        <f>'Net-assets reconciliation'!D11</f>
        <v/>
      </c>
      <c r="F107" s="9">
        <f>E107-D107</f>
        <v/>
      </c>
    </row>
    <row r="109">
      <c r="A109" s="29" t="inlineStr">
        <is>
          <t>D. Preparer / auditor trail (one row per fiscal year, as filed)</t>
        </is>
      </c>
      <c r="B109" s="7" t="n"/>
      <c r="C109" s="7" t="n"/>
      <c r="D109" s="7" t="n"/>
      <c r="E109" s="7" t="n"/>
      <c r="F109" s="7" t="n"/>
      <c r="G109" s="7" t="n"/>
      <c r="H109" s="7" t="n"/>
      <c r="I109" s="7" t="n"/>
      <c r="J109" s="7" t="n"/>
      <c r="K109" s="7" t="n"/>
    </row>
    <row r="110">
      <c r="A110" s="5" t="inlineStr">
        <is>
          <t>Fiscal year</t>
        </is>
      </c>
      <c r="B110" s="5" t="inlineStr">
        <is>
          <t>Paid preparer</t>
        </is>
      </c>
      <c r="C110" s="5" t="inlineStr">
        <is>
          <t>Preparer firm</t>
        </is>
      </c>
      <c r="D110" s="5" t="inlineStr">
        <is>
          <t>Independent auditor</t>
        </is>
      </c>
      <c r="E110" s="5" t="inlineStr">
        <is>
          <t>Citation</t>
        </is>
      </c>
    </row>
    <row r="111" ht="42" customHeight="1">
      <c r="A111" s="26" t="inlineStr">
        <is>
          <t>FY2022</t>
        </is>
      </c>
      <c r="B111" s="8" t="inlineStr">
        <is>
          <t>ALICIA CERRUTI</t>
        </is>
      </c>
      <c r="C111" s="8" t="inlineStr">
        <is>
          <t>PISENTI &amp; BRINKER LLP</t>
        </is>
      </c>
      <c r="D111" s="30" t="inlineStr">
        <is>
          <t>not reported</t>
        </is>
      </c>
      <c r="E111" s="13" t="inlineStr">
        <is>
          <t>Form 990 Return Header, Paid Preparer block (return_header.preparer_person_name / preparer_firm_name); auditor: Part XII line 2 reports audited financial statements but does not name the firm.</t>
        </is>
      </c>
    </row>
    <row r="112" ht="42" customHeight="1">
      <c r="A112" s="26" t="inlineStr">
        <is>
          <t>FY2023</t>
        </is>
      </c>
      <c r="B112" s="8" t="inlineStr">
        <is>
          <t>JACK DING EA</t>
        </is>
      </c>
      <c r="C112" s="8" t="inlineStr">
        <is>
          <t>UNICOM TAX SERVICES</t>
        </is>
      </c>
      <c r="D112" s="30" t="inlineStr">
        <is>
          <t>not reported</t>
        </is>
      </c>
      <c r="E112" s="13" t="inlineStr">
        <is>
          <t>Form 990 Return Header, Paid Preparer block (return_header.preparer_person_name / preparer_firm_name); auditor: Part XII line 2 reports audited financial statements but does not name the firm.</t>
        </is>
      </c>
    </row>
    <row r="113" ht="42" customHeight="1">
      <c r="A113" s="26" t="inlineStr">
        <is>
          <t>FY2024</t>
        </is>
      </c>
      <c r="B113" s="8" t="inlineStr">
        <is>
          <t>JACK DING EA</t>
        </is>
      </c>
      <c r="C113" s="8" t="inlineStr">
        <is>
          <t>UNICOM TAX SERVICES</t>
        </is>
      </c>
      <c r="D113" s="30" t="inlineStr">
        <is>
          <t>not reported</t>
        </is>
      </c>
      <c r="E113" s="13" t="inlineStr">
        <is>
          <t>Form 990 Return Header, Paid Preparer block (return_header.preparer_person_name / preparer_firm_name); auditor: Part XII line 2 reports audited financial statements but does not name the firm.</t>
        </is>
      </c>
    </row>
    <row r="115" ht="42" customHeight="1">
      <c r="A115"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115:K115"/>
    <mergeCell ref="A5:K5"/>
    <mergeCell ref="A1:K1"/>
  </mergeCells>
  <conditionalFormatting sqref="F85:F107">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