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South Kaweah Mutual Water Company</t>
        </is>
      </c>
    </row>
    <row r="2">
      <c r="A2" s="2" t="inlineStr">
        <is>
          <t>Financial Summary - multi-year overview (USD)</t>
        </is>
      </c>
    </row>
    <row r="3">
      <c r="A3" s="2" t="inlineStr">
        <is>
          <t>Entity ID: cawc_0082   |   Fiscal year ends August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128006</v>
      </c>
      <c r="C10" s="9" t="n">
        <v>246903</v>
      </c>
      <c r="D10" s="9" t="n">
        <v>188878</v>
      </c>
      <c r="E10" s="9" t="n">
        <v>207189</v>
      </c>
      <c r="F10" s="9" t="n">
        <v>231661</v>
      </c>
      <c r="G10" s="9" t="n">
        <v>232111</v>
      </c>
    </row>
    <row r="11">
      <c r="A11" s="8" t="inlineStr">
        <is>
          <t xml:space="preserve">    Total expenses</t>
        </is>
      </c>
      <c r="B11" s="9" t="n">
        <v>50902</v>
      </c>
      <c r="C11" s="9" t="n">
        <v>94552</v>
      </c>
      <c r="D11" s="9" t="n">
        <v>121681</v>
      </c>
      <c r="E11" s="9" t="n">
        <v>143516</v>
      </c>
      <c r="F11" s="9" t="n">
        <v>219345</v>
      </c>
      <c r="G11" s="9" t="n">
        <v>217955</v>
      </c>
    </row>
    <row r="12">
      <c r="A12" s="10" t="inlineStr">
        <is>
          <t xml:space="preserve">    Net income</t>
        </is>
      </c>
      <c r="B12" s="11" t="n">
        <v>77104</v>
      </c>
      <c r="C12" s="11" t="n">
        <v>152351</v>
      </c>
      <c r="D12" s="11" t="n">
        <v>67197</v>
      </c>
      <c r="E12" s="11" t="n">
        <v>63673</v>
      </c>
      <c r="F12" s="11" t="n">
        <v>12316</v>
      </c>
      <c r="G12" s="11" t="n">
        <v>14156</v>
      </c>
    </row>
    <row r="14">
      <c r="A14" s="6" t="inlineStr">
        <is>
          <t>Financial position (USD, end of year)</t>
        </is>
      </c>
      <c r="B14" s="7" t="n"/>
      <c r="C14" s="7" t="n"/>
      <c r="D14" s="7" t="n"/>
      <c r="E14" s="7" t="n"/>
      <c r="F14" s="7" t="n"/>
      <c r="G14" s="7" t="n"/>
    </row>
    <row r="15">
      <c r="A15" s="8" t="inlineStr">
        <is>
          <t xml:space="preserve">    Total assets</t>
        </is>
      </c>
      <c r="B15" s="9" t="n">
        <v>368192</v>
      </c>
      <c r="C15" s="9" t="n">
        <v>1117924</v>
      </c>
      <c r="D15" s="9" t="n">
        <v>965612</v>
      </c>
      <c r="E15" s="9" t="n">
        <v>1015696</v>
      </c>
      <c r="F15" s="9" t="n">
        <v>1013572</v>
      </c>
      <c r="G15" s="9" t="n">
        <v>1012633</v>
      </c>
    </row>
    <row r="16">
      <c r="A16" s="8" t="inlineStr">
        <is>
          <t xml:space="preserve">    Total liabilities</t>
        </is>
      </c>
      <c r="B16" s="9" t="n">
        <v>1300</v>
      </c>
      <c r="C16" s="9" t="n">
        <v>598681</v>
      </c>
      <c r="D16" s="9" t="n">
        <v>379172</v>
      </c>
      <c r="E16" s="9" t="n">
        <v>365583</v>
      </c>
      <c r="F16" s="9" t="n">
        <v>351143</v>
      </c>
      <c r="G16" s="9" t="n">
        <v>336048</v>
      </c>
    </row>
    <row r="17">
      <c r="A17" s="10" t="inlineStr">
        <is>
          <t xml:space="preserve">    Net assets</t>
        </is>
      </c>
      <c r="B17" s="11" t="n">
        <v>366892</v>
      </c>
      <c r="C17" s="11" t="n">
        <v>519243</v>
      </c>
      <c r="D17" s="11" t="n">
        <v>586440</v>
      </c>
      <c r="E17" s="11" t="n">
        <v>650113</v>
      </c>
      <c r="F17" s="11" t="n">
        <v>662429</v>
      </c>
      <c r="G17" s="11" t="n">
        <v>676585</v>
      </c>
    </row>
    <row r="19">
      <c r="A19" s="6" t="inlineStr">
        <is>
          <t>Headline ratios</t>
        </is>
      </c>
      <c r="B19" s="7" t="n"/>
      <c r="C19" s="7" t="n"/>
      <c r="D19" s="7" t="n"/>
      <c r="E19" s="7" t="n"/>
      <c r="F19" s="7" t="n"/>
      <c r="G19" s="7" t="n"/>
    </row>
    <row r="20">
      <c r="A20" s="8" t="inlineStr">
        <is>
          <t xml:space="preserve">    Operating margin</t>
        </is>
      </c>
      <c r="B20" s="12" t="n">
        <v>0.6023467649953909</v>
      </c>
      <c r="C20" s="12" t="n">
        <v>0.6170479905063933</v>
      </c>
      <c r="D20" s="12" t="n">
        <v>0.3557693325850549</v>
      </c>
      <c r="E20" s="12" t="n">
        <v>0.3073184387202023</v>
      </c>
      <c r="F20" s="12" t="n">
        <v>0.05316389033976371</v>
      </c>
      <c r="G20" s="12" t="n">
        <v>0.06098806174631965</v>
      </c>
    </row>
    <row r="21">
      <c r="A21" s="8" t="inlineStr">
        <is>
          <t xml:space="preserve">    Revenue growth (YoY)</t>
        </is>
      </c>
      <c r="B21" s="12" t="n"/>
      <c r="C21" s="12" t="n"/>
      <c r="D21" s="12" t="n">
        <v>-0.2350113202350721</v>
      </c>
      <c r="E21" s="12" t="n">
        <v>0.09694617689725643</v>
      </c>
      <c r="F21" s="12" t="n"/>
      <c r="G21" s="12" t="n">
        <v>0.001942493557396368</v>
      </c>
    </row>
    <row r="22">
      <c r="A22" s="8" t="inlineStr">
        <is>
          <t xml:space="preserve">    Return on assets</t>
        </is>
      </c>
      <c r="B22" s="12" t="n">
        <v>0.2094124804449852</v>
      </c>
      <c r="C22" s="12" t="n">
        <v>0.1362802838117797</v>
      </c>
      <c r="D22" s="12" t="n">
        <v>0.06959006308952249</v>
      </c>
      <c r="E22" s="12" t="n">
        <v>0.06268903293898961</v>
      </c>
      <c r="F22" s="12" t="n">
        <v>0.01215108546802792</v>
      </c>
      <c r="G22" s="12" t="n">
        <v>0.0139793982617592</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South Kaweah Mutual Water Company</t>
        </is>
      </c>
    </row>
    <row r="2">
      <c r="A2" s="2" t="inlineStr">
        <is>
          <t>Financial Statements - income statement, balance sheet, cash flow, member income test (USD)</t>
        </is>
      </c>
    </row>
    <row r="3">
      <c r="A3" s="2" t="inlineStr">
        <is>
          <t>Entity ID: cawc_0082   |   Fiscal year ends August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v>246791</v>
      </c>
      <c r="D8" s="9" t="n">
        <v>188724</v>
      </c>
      <c r="E8" s="9" t="n">
        <v>207139</v>
      </c>
      <c r="F8" s="9" t="n">
        <v>231581</v>
      </c>
      <c r="G8" s="9" t="n">
        <v>232024</v>
      </c>
    </row>
    <row r="9">
      <c r="A9" s="8" t="inlineStr">
        <is>
          <t xml:space="preserve">    Investment income</t>
        </is>
      </c>
      <c r="B9" s="9" t="n"/>
      <c r="C9" s="9" t="n">
        <v>112</v>
      </c>
      <c r="D9" s="9" t="n">
        <v>154</v>
      </c>
      <c r="E9" s="9" t="n">
        <v>50</v>
      </c>
      <c r="F9" s="9" t="n">
        <v>80</v>
      </c>
      <c r="G9" s="9" t="n">
        <v>87</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v>246903</v>
      </c>
      <c r="D14" s="11" t="n">
        <v>188878</v>
      </c>
      <c r="E14" s="11" t="n">
        <v>207189</v>
      </c>
      <c r="F14" s="11" t="n">
        <v>231661</v>
      </c>
      <c r="G14" s="11" t="n">
        <v>232111</v>
      </c>
    </row>
    <row r="16">
      <c r="A16" s="6" t="inlineStr">
        <is>
          <t>Expenses</t>
        </is>
      </c>
      <c r="B16" s="7" t="n"/>
      <c r="C16" s="7" t="n"/>
      <c r="D16" s="7" t="n"/>
      <c r="E16" s="7" t="n"/>
      <c r="F16" s="7" t="n"/>
      <c r="G16" s="7" t="n"/>
    </row>
    <row r="17">
      <c r="A17" s="8" t="inlineStr">
        <is>
          <t xml:space="preserve">    Depreciation</t>
        </is>
      </c>
      <c r="B17" s="9" t="n"/>
      <c r="C17" s="9" t="n">
        <v>11221</v>
      </c>
      <c r="D17" s="9" t="n">
        <v>40931</v>
      </c>
      <c r="E17" s="9" t="n">
        <v>43316</v>
      </c>
      <c r="F17" s="9" t="n">
        <v>47944</v>
      </c>
      <c r="G17" s="9" t="n">
        <v>48106</v>
      </c>
    </row>
    <row r="18">
      <c r="A18" s="8" t="inlineStr">
        <is>
          <t xml:space="preserve">    Interest expense</t>
        </is>
      </c>
      <c r="B18" s="9" t="n"/>
      <c r="C18" s="9" t="n">
        <v>1540</v>
      </c>
      <c r="D18" s="9" t="n">
        <v>18721</v>
      </c>
      <c r="E18" s="9" t="n">
        <v>18724</v>
      </c>
      <c r="F18" s="9" t="n">
        <v>17874</v>
      </c>
      <c r="G18" s="9" t="n">
        <v>17214</v>
      </c>
    </row>
    <row r="19">
      <c r="A19" s="10" t="inlineStr">
        <is>
          <t>Total expenses</t>
        </is>
      </c>
      <c r="B19" s="11" t="n">
        <v>50902</v>
      </c>
      <c r="C19" s="11" t="n">
        <v>94552</v>
      </c>
      <c r="D19" s="11" t="n">
        <v>121681</v>
      </c>
      <c r="E19" s="11" t="n">
        <v>143516</v>
      </c>
      <c r="F19" s="11" t="n">
        <v>219345</v>
      </c>
      <c r="G19" s="11" t="n">
        <v>217955</v>
      </c>
    </row>
    <row r="21">
      <c r="A21" s="10" t="inlineStr">
        <is>
          <t>Net income</t>
        </is>
      </c>
      <c r="B21" s="11" t="n">
        <v>77104</v>
      </c>
      <c r="C21" s="11" t="n">
        <v>152351</v>
      </c>
      <c r="D21" s="11" t="n">
        <v>67197</v>
      </c>
      <c r="E21" s="11" t="n">
        <v>63673</v>
      </c>
      <c r="F21" s="11" t="n">
        <v>12316</v>
      </c>
      <c r="G21" s="11" t="n">
        <v>14156</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73705</v>
      </c>
      <c r="C27" s="9" t="n"/>
      <c r="D27" s="9" t="n">
        <v>-1</v>
      </c>
      <c r="E27" s="9" t="n"/>
      <c r="F27" s="9" t="n">
        <v>146334</v>
      </c>
      <c r="G27" s="9" t="n">
        <v>199614</v>
      </c>
    </row>
    <row r="28">
      <c r="A28" s="8" t="inlineStr">
        <is>
          <t xml:space="preserve">    Savings &amp; temporary investments</t>
        </is>
      </c>
      <c r="B28" s="9" t="n"/>
      <c r="C28" s="9" t="n">
        <v>335896</v>
      </c>
      <c r="D28" s="9" t="n">
        <v>236088</v>
      </c>
      <c r="E28" s="9" t="n">
        <v>142909</v>
      </c>
      <c r="F28" s="9" t="n"/>
      <c r="G28" s="9" t="n"/>
    </row>
    <row r="29">
      <c r="A29" s="8" t="inlineStr">
        <is>
          <t xml:space="preserve">    Accounts receivable</t>
        </is>
      </c>
      <c r="B29" s="9" t="n"/>
      <c r="C29" s="9" t="n">
        <v>9371</v>
      </c>
      <c r="D29" s="9" t="n">
        <v>10342</v>
      </c>
      <c r="E29" s="9" t="n">
        <v>8911</v>
      </c>
      <c r="F29" s="9" t="n">
        <v>26793</v>
      </c>
      <c r="G29" s="9" t="n">
        <v>24819</v>
      </c>
    </row>
    <row r="30">
      <c r="A30" s="8" t="inlineStr">
        <is>
          <t xml:space="preserve">    Inventories</t>
        </is>
      </c>
      <c r="B30" s="9" t="n"/>
      <c r="C30" s="9" t="n">
        <v>2657</v>
      </c>
      <c r="D30" s="9" t="n">
        <v>4568</v>
      </c>
      <c r="E30" s="9" t="n">
        <v>3336</v>
      </c>
      <c r="F30" s="9" t="n">
        <v>3336</v>
      </c>
      <c r="G30" s="9" t="n">
        <v>750</v>
      </c>
    </row>
    <row r="31">
      <c r="A31" s="8" t="inlineStr">
        <is>
          <t xml:space="preserve">    Prepaid expenses</t>
        </is>
      </c>
      <c r="B31" s="9" t="n"/>
      <c r="C31" s="9" t="n"/>
      <c r="D31" s="9" t="n">
        <v>23</v>
      </c>
      <c r="E31" s="9" t="n">
        <v>23</v>
      </c>
      <c r="F31" s="9" t="n">
        <v>5338</v>
      </c>
      <c r="G31" s="9" t="n">
        <v>625</v>
      </c>
    </row>
    <row r="32">
      <c r="A32" s="8" t="inlineStr">
        <is>
          <t xml:space="preserve">    Property, plant &amp; equipment (gross)</t>
        </is>
      </c>
      <c r="B32" s="9" t="n"/>
      <c r="C32" s="9" t="n">
        <v>1048219</v>
      </c>
      <c r="D32" s="9" t="n">
        <v>1033742</v>
      </c>
      <c r="E32" s="9" t="n">
        <v>1223890</v>
      </c>
      <c r="F32" s="9" t="n">
        <v>1243088</v>
      </c>
      <c r="G32" s="9" t="n">
        <v>1243088</v>
      </c>
    </row>
    <row r="33">
      <c r="A33" s="8" t="inlineStr">
        <is>
          <t xml:space="preserve">    Less: accumulated depreciation</t>
        </is>
      </c>
      <c r="B33" s="9" t="n"/>
      <c r="C33" s="9" t="n">
        <v>-282122</v>
      </c>
      <c r="D33" s="9" t="n">
        <v>-322852</v>
      </c>
      <c r="E33" s="9" t="n">
        <v>-366874</v>
      </c>
      <c r="F33" s="9" t="n">
        <v>-414617</v>
      </c>
      <c r="G33" s="9" t="n">
        <v>-459362</v>
      </c>
    </row>
    <row r="34">
      <c r="A34" s="10" t="inlineStr">
        <is>
          <t xml:space="preserve">    Net property, plant &amp; equipment</t>
        </is>
      </c>
      <c r="B34" s="11" t="n">
        <v>113125</v>
      </c>
      <c r="C34" s="11" t="n">
        <v>766097</v>
      </c>
      <c r="D34" s="11" t="n">
        <v>710890</v>
      </c>
      <c r="E34" s="11" t="n">
        <v>857016</v>
      </c>
      <c r="F34" s="11" t="n">
        <v>828471</v>
      </c>
      <c r="G34" s="11" t="n">
        <v>783726</v>
      </c>
    </row>
    <row r="35">
      <c r="A35" s="10" t="inlineStr">
        <is>
          <t>Total assets</t>
        </is>
      </c>
      <c r="B35" s="11" t="n">
        <v>368192</v>
      </c>
      <c r="C35" s="11" t="n">
        <v>1117924</v>
      </c>
      <c r="D35" s="11" t="n">
        <v>965612</v>
      </c>
      <c r="E35" s="11" t="n">
        <v>1015696</v>
      </c>
      <c r="F35" s="11" t="n">
        <v>1013572</v>
      </c>
      <c r="G35" s="11" t="n">
        <v>1012633</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v>392763</v>
      </c>
      <c r="D39" s="9" t="n">
        <v>379172</v>
      </c>
      <c r="E39" s="9" t="n">
        <v>365583</v>
      </c>
      <c r="F39" s="9" t="n">
        <v>351143</v>
      </c>
      <c r="G39" s="9" t="n">
        <v>336048</v>
      </c>
    </row>
    <row r="40">
      <c r="A40" s="10" t="inlineStr">
        <is>
          <t>Total liabilities</t>
        </is>
      </c>
      <c r="B40" s="11" t="n">
        <v>1300</v>
      </c>
      <c r="C40" s="11" t="n">
        <v>598681</v>
      </c>
      <c r="D40" s="11" t="n">
        <v>379172</v>
      </c>
      <c r="E40" s="11" t="n">
        <v>365583</v>
      </c>
      <c r="F40" s="11" t="n">
        <v>351143</v>
      </c>
      <c r="G40" s="11" t="n">
        <v>336048</v>
      </c>
    </row>
    <row r="42">
      <c r="A42" s="6" t="inlineStr">
        <is>
          <t>Net Assets / Equity</t>
        </is>
      </c>
      <c r="B42" s="7" t="n"/>
      <c r="C42" s="7" t="n"/>
      <c r="D42" s="7" t="n"/>
      <c r="E42" s="7" t="n"/>
      <c r="F42" s="7" t="n"/>
      <c r="G42" s="7" t="n"/>
    </row>
    <row r="43">
      <c r="A43" s="8" t="inlineStr">
        <is>
          <t xml:space="preserve">    Capital stock</t>
        </is>
      </c>
      <c r="B43" s="9" t="n"/>
      <c r="C43" s="9" t="n">
        <v>0</v>
      </c>
      <c r="D43" s="9" t="n">
        <v>0</v>
      </c>
      <c r="E43" s="9" t="n">
        <v>0</v>
      </c>
      <c r="F43" s="9" t="n"/>
      <c r="G43" s="9" t="n"/>
    </row>
    <row r="44">
      <c r="A44" s="8" t="inlineStr">
        <is>
          <t xml:space="preserve">    Paid-in capital</t>
        </is>
      </c>
      <c r="B44" s="9" t="n"/>
      <c r="C44" s="9" t="n">
        <v>63892</v>
      </c>
      <c r="D44" s="9" t="n">
        <v>63892</v>
      </c>
      <c r="E44" s="9" t="n">
        <v>63892</v>
      </c>
      <c r="F44" s="9" t="n">
        <v>63892</v>
      </c>
      <c r="G44" s="9" t="n">
        <v>63892</v>
      </c>
    </row>
    <row r="45">
      <c r="A45" s="8" t="inlineStr">
        <is>
          <t xml:space="preserve">    Retained earnings</t>
        </is>
      </c>
      <c r="B45" s="9" t="n"/>
      <c r="C45" s="9" t="n">
        <v>455351</v>
      </c>
      <c r="D45" s="9" t="n">
        <v>522548</v>
      </c>
      <c r="E45" s="9" t="n">
        <v>586221</v>
      </c>
      <c r="F45" s="9" t="n">
        <v>598537</v>
      </c>
      <c r="G45" s="9" t="n">
        <v>612693</v>
      </c>
    </row>
    <row r="46">
      <c r="A46" s="10" t="inlineStr">
        <is>
          <t>Net assets</t>
        </is>
      </c>
      <c r="B46" s="11" t="n">
        <v>366892</v>
      </c>
      <c r="C46" s="11" t="n">
        <v>519243</v>
      </c>
      <c r="D46" s="11" t="n">
        <v>586440</v>
      </c>
      <c r="E46" s="11" t="n">
        <v>650113</v>
      </c>
      <c r="F46" s="11" t="n">
        <v>662429</v>
      </c>
      <c r="G46" s="11" t="n">
        <v>676585</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77104</v>
      </c>
      <c r="C52" s="9" t="n">
        <v>152351</v>
      </c>
      <c r="D52" s="9" t="n">
        <v>67197</v>
      </c>
      <c r="E52" s="9" t="n">
        <v>63673</v>
      </c>
      <c r="F52" s="9" t="n">
        <v>12316</v>
      </c>
      <c r="G52" s="9" t="n">
        <v>14156</v>
      </c>
    </row>
    <row r="53">
      <c r="A53" s="8" t="inlineStr">
        <is>
          <t xml:space="preserve">    + Depreciation (reported)</t>
        </is>
      </c>
      <c r="B53" s="9" t="n"/>
      <c r="C53" s="9" t="n">
        <v>11221</v>
      </c>
      <c r="D53" s="9" t="n">
        <v>40931</v>
      </c>
      <c r="E53" s="9" t="n">
        <v>43316</v>
      </c>
      <c r="F53" s="9" t="n">
        <v>47944</v>
      </c>
      <c r="G53" s="9" t="n">
        <v>48106</v>
      </c>
    </row>
    <row r="54">
      <c r="A54" s="8" t="inlineStr">
        <is>
          <t xml:space="preserve">    − Δ Accounts receivable</t>
        </is>
      </c>
      <c r="B54" s="9" t="n"/>
      <c r="C54" s="9" t="n"/>
      <c r="D54" s="9" t="n">
        <v>-971</v>
      </c>
      <c r="E54" s="9" t="n">
        <v>1431</v>
      </c>
      <c r="F54" s="9" t="n">
        <v>-17882</v>
      </c>
      <c r="G54" s="9" t="n">
        <v>1974</v>
      </c>
    </row>
    <row r="55">
      <c r="A55" s="8" t="inlineStr">
        <is>
          <t xml:space="preserve">    − Δ Inventories</t>
        </is>
      </c>
      <c r="B55" s="9" t="n"/>
      <c r="C55" s="9" t="n"/>
      <c r="D55" s="9" t="n">
        <v>-1911</v>
      </c>
      <c r="E55" s="9" t="n">
        <v>1232</v>
      </c>
      <c r="F55" s="9" t="n">
        <v>0</v>
      </c>
      <c r="G55" s="9" t="n">
        <v>2586</v>
      </c>
    </row>
    <row r="56">
      <c r="A56" s="8" t="inlineStr">
        <is>
          <t xml:space="preserve">    − Δ Prepaid expenses</t>
        </is>
      </c>
      <c r="B56" s="9" t="n"/>
      <c r="C56" s="9" t="n"/>
      <c r="D56" s="9" t="n"/>
      <c r="E56" s="9" t="n">
        <v>0</v>
      </c>
      <c r="F56" s="9" t="n">
        <v>-5315</v>
      </c>
      <c r="G56" s="9" t="n">
        <v>4713</v>
      </c>
    </row>
    <row r="57">
      <c r="A57" s="8" t="inlineStr">
        <is>
          <t xml:space="preserve">    + Δ Accounts payable</t>
        </is>
      </c>
      <c r="B57" s="9" t="n"/>
      <c r="C57" s="9" t="n"/>
      <c r="D57" s="9" t="n"/>
      <c r="E57" s="9" t="n"/>
      <c r="F57" s="9" t="n"/>
      <c r="G57" s="9" t="n"/>
    </row>
    <row r="58">
      <c r="A58" s="10" t="inlineStr">
        <is>
          <t xml:space="preserve">    Operating cash flow proxy</t>
        </is>
      </c>
      <c r="B58" s="11" t="n"/>
      <c r="C58" s="11" t="n">
        <v>163572</v>
      </c>
      <c r="D58" s="11" t="n">
        <v>105246</v>
      </c>
      <c r="E58" s="11" t="n">
        <v>109652</v>
      </c>
      <c r="F58" s="11" t="n">
        <v>37063</v>
      </c>
      <c r="G58" s="11" t="n">
        <v>71535</v>
      </c>
    </row>
    <row r="60">
      <c r="A60" s="6" t="inlineStr">
        <is>
          <t>Investing</t>
        </is>
      </c>
      <c r="B60" s="7" t="n"/>
      <c r="C60" s="7" t="n"/>
      <c r="D60" s="7" t="n"/>
      <c r="E60" s="7" t="n"/>
      <c r="F60" s="7" t="n"/>
      <c r="G60" s="7" t="n"/>
    </row>
    <row r="61">
      <c r="A61" s="8" t="inlineStr">
        <is>
          <t xml:space="preserve">    − Δ PP&amp;E gross (capex proxy)</t>
        </is>
      </c>
      <c r="B61" s="9" t="n"/>
      <c r="C61" s="9" t="n"/>
      <c r="D61" s="9" t="n">
        <v>14477</v>
      </c>
      <c r="E61" s="9" t="n">
        <v>-190148</v>
      </c>
      <c r="F61" s="9" t="n">
        <v>-19198</v>
      </c>
      <c r="G61" s="9" t="n">
        <v>0</v>
      </c>
    </row>
    <row r="63">
      <c r="A63" s="6" t="inlineStr">
        <is>
          <t>Financing</t>
        </is>
      </c>
      <c r="B63" s="7" t="n"/>
      <c r="C63" s="7" t="n"/>
      <c r="D63" s="7" t="n"/>
      <c r="E63" s="7" t="n"/>
      <c r="F63" s="7" t="n"/>
      <c r="G63" s="7" t="n"/>
    </row>
    <row r="64">
      <c r="A64" s="8" t="inlineStr">
        <is>
          <t xml:space="preserve">    Δ Mortgages &amp; notes payable</t>
        </is>
      </c>
      <c r="B64" s="9" t="n"/>
      <c r="C64" s="9" t="n"/>
      <c r="D64" s="9" t="n">
        <v>-13591</v>
      </c>
      <c r="E64" s="9" t="n">
        <v>-13589</v>
      </c>
      <c r="F64" s="9" t="n">
        <v>-14440</v>
      </c>
      <c r="G64" s="9" t="n">
        <v>-15095</v>
      </c>
    </row>
    <row r="66">
      <c r="A66" s="6" t="inlineStr">
        <is>
          <t>Reconciliation</t>
        </is>
      </c>
      <c r="B66" s="7" t="n"/>
      <c r="C66" s="7" t="n"/>
      <c r="D66" s="7" t="n"/>
      <c r="E66" s="7" t="n"/>
      <c r="F66" s="7" t="n"/>
      <c r="G66" s="7" t="n"/>
    </row>
    <row r="67">
      <c r="A67" s="10" t="inlineStr">
        <is>
          <t xml:space="preserve">    Δ Cash + temp. investments (actual)</t>
        </is>
      </c>
      <c r="B67" s="11" t="n"/>
      <c r="C67" s="11" t="n">
        <v>262191</v>
      </c>
      <c r="D67" s="11" t="n">
        <v>-99809</v>
      </c>
      <c r="E67" s="11" t="n">
        <v>-93178</v>
      </c>
      <c r="F67" s="11" t="n">
        <v>3425</v>
      </c>
      <c r="G67" s="11" t="n">
        <v>53280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9" t="n">
        <v>246791</v>
      </c>
      <c r="C73" s="9" t="n">
        <v>188724</v>
      </c>
      <c r="D73" s="9" t="n">
        <v>207139</v>
      </c>
      <c r="E73" s="9" t="n">
        <v>231581</v>
      </c>
      <c r="F73" s="9" t="n">
        <v>232024</v>
      </c>
    </row>
    <row r="74">
      <c r="A74" s="8" t="inlineStr">
        <is>
          <t xml:space="preserve">    11b. Gross income from other sources</t>
        </is>
      </c>
      <c r="B74" s="9" t="n">
        <v>112</v>
      </c>
      <c r="C74" s="9" t="n">
        <v>154</v>
      </c>
      <c r="D74" s="9" t="n">
        <v>0</v>
      </c>
      <c r="E74" s="9" t="n">
        <v>80</v>
      </c>
      <c r="F74" s="9" t="n">
        <v>87</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South Kaweah Mutual Water Company</t>
        </is>
      </c>
    </row>
    <row r="2">
      <c r="A2" s="2" t="inlineStr">
        <is>
          <t>Balance Sheet - as reported (USD, end of year)</t>
        </is>
      </c>
    </row>
    <row r="3">
      <c r="A3" s="2" t="inlineStr">
        <is>
          <t>Entity ID: cawc_0082   |   Fiscal year ends August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73705</v>
      </c>
      <c r="C7" s="9" t="n"/>
      <c r="D7" s="9" t="n">
        <v>-1</v>
      </c>
      <c r="E7" s="9" t="n"/>
      <c r="F7" s="9" t="n">
        <v>146334</v>
      </c>
      <c r="G7" s="9" t="n">
        <v>199614</v>
      </c>
    </row>
    <row r="8">
      <c r="A8" s="8" t="inlineStr">
        <is>
          <t xml:space="preserve">    Savings &amp; temporary investments</t>
        </is>
      </c>
      <c r="B8" s="9" t="n"/>
      <c r="C8" s="9" t="n">
        <v>335896</v>
      </c>
      <c r="D8" s="9" t="n">
        <v>236088</v>
      </c>
      <c r="E8" s="9" t="n">
        <v>142909</v>
      </c>
      <c r="F8" s="9" t="n"/>
      <c r="G8" s="9" t="n"/>
    </row>
    <row r="9">
      <c r="A9" s="8" t="inlineStr">
        <is>
          <t xml:space="preserve">    Accounts receivable</t>
        </is>
      </c>
      <c r="B9" s="9" t="n"/>
      <c r="C9" s="9" t="n">
        <v>9371</v>
      </c>
      <c r="D9" s="9" t="n">
        <v>10342</v>
      </c>
      <c r="E9" s="9" t="n">
        <v>8911</v>
      </c>
      <c r="F9" s="9" t="n">
        <v>26793</v>
      </c>
      <c r="G9" s="9" t="n">
        <v>24819</v>
      </c>
    </row>
    <row r="10">
      <c r="A10" s="8" t="inlineStr">
        <is>
          <t xml:space="preserve">    Inventories</t>
        </is>
      </c>
      <c r="B10" s="9" t="n"/>
      <c r="C10" s="9" t="n">
        <v>2657</v>
      </c>
      <c r="D10" s="9" t="n">
        <v>4568</v>
      </c>
      <c r="E10" s="9" t="n">
        <v>3336</v>
      </c>
      <c r="F10" s="9" t="n">
        <v>3336</v>
      </c>
      <c r="G10" s="9" t="n">
        <v>750</v>
      </c>
    </row>
    <row r="11">
      <c r="A11" s="8" t="inlineStr">
        <is>
          <t xml:space="preserve">    Prepaid expenses</t>
        </is>
      </c>
      <c r="B11" s="9" t="n"/>
      <c r="C11" s="9" t="n"/>
      <c r="D11" s="9" t="n">
        <v>23</v>
      </c>
      <c r="E11" s="9" t="n">
        <v>23</v>
      </c>
      <c r="F11" s="9" t="n">
        <v>5338</v>
      </c>
      <c r="G11" s="9" t="n">
        <v>625</v>
      </c>
    </row>
    <row r="12">
      <c r="A12" s="8" t="inlineStr">
        <is>
          <t xml:space="preserve">    Property, plant &amp; equipment (gross)</t>
        </is>
      </c>
      <c r="B12" s="9" t="n"/>
      <c r="C12" s="9" t="n">
        <v>1048219</v>
      </c>
      <c r="D12" s="9" t="n">
        <v>1033742</v>
      </c>
      <c r="E12" s="9" t="n">
        <v>1223890</v>
      </c>
      <c r="F12" s="9" t="n">
        <v>1243088</v>
      </c>
      <c r="G12" s="9" t="n">
        <v>1243088</v>
      </c>
    </row>
    <row r="13">
      <c r="A13" s="8" t="inlineStr">
        <is>
          <t xml:space="preserve">    Less: accumulated depreciation</t>
        </is>
      </c>
      <c r="B13" s="9" t="n"/>
      <c r="C13" s="9" t="n">
        <v>-282122</v>
      </c>
      <c r="D13" s="9" t="n">
        <v>-322852</v>
      </c>
      <c r="E13" s="9" t="n">
        <v>-366874</v>
      </c>
      <c r="F13" s="9" t="n">
        <v>-414617</v>
      </c>
      <c r="G13" s="9" t="n">
        <v>-459362</v>
      </c>
    </row>
    <row r="14">
      <c r="A14" s="10" t="inlineStr">
        <is>
          <t xml:space="preserve">    Net property, plant &amp; equipment</t>
        </is>
      </c>
      <c r="B14" s="11" t="n">
        <v>113125</v>
      </c>
      <c r="C14" s="11" t="n">
        <v>766097</v>
      </c>
      <c r="D14" s="11" t="n">
        <v>710890</v>
      </c>
      <c r="E14" s="11" t="n">
        <v>857016</v>
      </c>
      <c r="F14" s="11" t="n">
        <v>828471</v>
      </c>
      <c r="G14" s="11" t="n">
        <v>783726</v>
      </c>
    </row>
    <row r="15">
      <c r="A15" s="10" t="inlineStr">
        <is>
          <t>Total assets</t>
        </is>
      </c>
      <c r="B15" s="11" t="n">
        <v>368192</v>
      </c>
      <c r="C15" s="11" t="n">
        <v>1117924</v>
      </c>
      <c r="D15" s="11" t="n">
        <v>965612</v>
      </c>
      <c r="E15" s="11" t="n">
        <v>1015696</v>
      </c>
      <c r="F15" s="11" t="n">
        <v>1013572</v>
      </c>
      <c r="G15" s="11" t="n">
        <v>1012633</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v>392763</v>
      </c>
      <c r="D19" s="9" t="n">
        <v>379172</v>
      </c>
      <c r="E19" s="9" t="n">
        <v>365583</v>
      </c>
      <c r="F19" s="9" t="n">
        <v>351143</v>
      </c>
      <c r="G19" s="9" t="n">
        <v>336048</v>
      </c>
    </row>
    <row r="20">
      <c r="A20" s="10" t="inlineStr">
        <is>
          <t>Total liabilities</t>
        </is>
      </c>
      <c r="B20" s="11" t="n">
        <v>1300</v>
      </c>
      <c r="C20" s="11" t="n">
        <v>598681</v>
      </c>
      <c r="D20" s="11" t="n">
        <v>379172</v>
      </c>
      <c r="E20" s="11" t="n">
        <v>365583</v>
      </c>
      <c r="F20" s="11" t="n">
        <v>351143</v>
      </c>
      <c r="G20" s="11" t="n">
        <v>336048</v>
      </c>
    </row>
    <row r="22">
      <c r="A22" s="6" t="inlineStr">
        <is>
          <t>Net Assets / Equity</t>
        </is>
      </c>
      <c r="B22" s="7" t="n"/>
      <c r="C22" s="7" t="n"/>
      <c r="D22" s="7" t="n"/>
      <c r="E22" s="7" t="n"/>
      <c r="F22" s="7" t="n"/>
      <c r="G22" s="7" t="n"/>
    </row>
    <row r="23">
      <c r="A23" s="8" t="inlineStr">
        <is>
          <t xml:space="preserve">    Capital stock</t>
        </is>
      </c>
      <c r="B23" s="9" t="n"/>
      <c r="C23" s="9" t="n">
        <v>0</v>
      </c>
      <c r="D23" s="9" t="n">
        <v>0</v>
      </c>
      <c r="E23" s="9" t="n">
        <v>0</v>
      </c>
      <c r="F23" s="9" t="n"/>
      <c r="G23" s="9" t="n"/>
    </row>
    <row r="24">
      <c r="A24" s="8" t="inlineStr">
        <is>
          <t xml:space="preserve">    Paid-in capital</t>
        </is>
      </c>
      <c r="B24" s="9" t="n"/>
      <c r="C24" s="9" t="n">
        <v>63892</v>
      </c>
      <c r="D24" s="9" t="n">
        <v>63892</v>
      </c>
      <c r="E24" s="9" t="n">
        <v>63892</v>
      </c>
      <c r="F24" s="9" t="n">
        <v>63892</v>
      </c>
      <c r="G24" s="9" t="n">
        <v>63892</v>
      </c>
    </row>
    <row r="25">
      <c r="A25" s="8" t="inlineStr">
        <is>
          <t xml:space="preserve">    Retained earnings</t>
        </is>
      </c>
      <c r="B25" s="9" t="n"/>
      <c r="C25" s="9" t="n">
        <v>455351</v>
      </c>
      <c r="D25" s="9" t="n">
        <v>522548</v>
      </c>
      <c r="E25" s="9" t="n">
        <v>586221</v>
      </c>
      <c r="F25" s="9" t="n">
        <v>598537</v>
      </c>
      <c r="G25" s="9" t="n">
        <v>612693</v>
      </c>
    </row>
    <row r="26">
      <c r="A26" s="10" t="inlineStr">
        <is>
          <t>Net assets</t>
        </is>
      </c>
      <c r="B26" s="11" t="n">
        <v>366892</v>
      </c>
      <c r="C26" s="11" t="n">
        <v>519243</v>
      </c>
      <c r="D26" s="11" t="n">
        <v>586440</v>
      </c>
      <c r="E26" s="11" t="n">
        <v>650113</v>
      </c>
      <c r="F26" s="11" t="n">
        <v>662429</v>
      </c>
      <c r="G26" s="11" t="n">
        <v>676585</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South Kaweah Mutual Water Company</t>
        </is>
      </c>
    </row>
    <row r="2">
      <c r="A2" s="2" t="inlineStr">
        <is>
          <t>Officers, Directors &amp; Contractors - Form 990 Part VII (FY2025; USD)</t>
        </is>
      </c>
    </row>
    <row r="3">
      <c r="A3" s="2" t="inlineStr">
        <is>
          <t>Entity ID: cawc_0082   |   Fiscal year ends August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Richard Smith</t>
        </is>
      </c>
      <c r="B7" s="8" t="inlineStr">
        <is>
          <t>Treasurer</t>
        </is>
      </c>
      <c r="C7" s="9" t="n">
        <v>0</v>
      </c>
      <c r="D7" s="9" t="n">
        <v>0</v>
      </c>
      <c r="E7" s="9" t="n">
        <v>0</v>
      </c>
      <c r="F7" s="9" t="n">
        <v>0</v>
      </c>
    </row>
    <row r="8">
      <c r="A8" s="8" t="inlineStr">
        <is>
          <t>Geena Saenz</t>
        </is>
      </c>
      <c r="B8" s="8" t="inlineStr">
        <is>
          <t>President</t>
        </is>
      </c>
      <c r="C8" s="9" t="n">
        <v>0</v>
      </c>
      <c r="D8" s="9" t="n">
        <v>0</v>
      </c>
      <c r="E8" s="9" t="n">
        <v>0</v>
      </c>
      <c r="F8" s="9" t="n">
        <v>0</v>
      </c>
    </row>
    <row r="9">
      <c r="A9" s="8" t="inlineStr">
        <is>
          <t>Sheila Moore</t>
        </is>
      </c>
      <c r="B9" s="8" t="inlineStr">
        <is>
          <t>Vice President</t>
        </is>
      </c>
      <c r="C9" s="9" t="n">
        <v>0</v>
      </c>
      <c r="D9" s="9" t="n">
        <v>0</v>
      </c>
      <c r="E9" s="9" t="n">
        <v>0</v>
      </c>
      <c r="F9" s="9" t="n">
        <v>0</v>
      </c>
    </row>
    <row r="10">
      <c r="A10" s="8" t="inlineStr">
        <is>
          <t>Mary Andrade</t>
        </is>
      </c>
      <c r="B10" s="8" t="inlineStr">
        <is>
          <t>Director</t>
        </is>
      </c>
      <c r="C10" s="9" t="n">
        <v>0</v>
      </c>
      <c r="D10" s="9" t="n">
        <v>0</v>
      </c>
      <c r="E10" s="9" t="n">
        <v>0</v>
      </c>
      <c r="F10" s="9" t="n">
        <v>0</v>
      </c>
    </row>
    <row r="11">
      <c r="A11" s="8" t="inlineStr">
        <is>
          <t>T R Brousek</t>
        </is>
      </c>
      <c r="B11" s="8" t="inlineStr">
        <is>
          <t>Director</t>
        </is>
      </c>
      <c r="C11" s="9" t="n">
        <v>0</v>
      </c>
      <c r="D11" s="9" t="n">
        <v>0</v>
      </c>
      <c r="E11" s="9" t="n">
        <v>0</v>
      </c>
      <c r="F11" s="9" t="n">
        <v>0</v>
      </c>
    </row>
    <row r="12">
      <c r="A12" s="8" t="inlineStr">
        <is>
          <t>Susan Sherwood</t>
        </is>
      </c>
      <c r="B12" s="8" t="inlineStr">
        <is>
          <t>Secretary</t>
        </is>
      </c>
      <c r="C12" s="9" t="n">
        <v>0</v>
      </c>
      <c r="D12" s="9" t="n">
        <v>0</v>
      </c>
      <c r="E12" s="9" t="n">
        <v>0</v>
      </c>
      <c r="F12" s="9" t="n">
        <v>0</v>
      </c>
    </row>
    <row r="14">
      <c r="A14" s="6" t="inlineStr">
        <is>
          <t>Section B - Independent contractors (over $100,000)</t>
        </is>
      </c>
      <c r="B14" s="7" t="n"/>
      <c r="C14" s="7" t="n"/>
      <c r="D14" s="7" t="n"/>
      <c r="E14" s="7" t="n"/>
      <c r="F14" s="7" t="n"/>
    </row>
    <row r="15">
      <c r="A15" s="5" t="inlineStr">
        <is>
          <t>Contractor</t>
        </is>
      </c>
      <c r="B15" s="5" t="inlineStr">
        <is>
          <t>Services</t>
        </is>
      </c>
      <c r="C15" s="5" t="inlineStr">
        <is>
          <t>Compensation</t>
        </is>
      </c>
    </row>
    <row r="17" ht="42" customHeight="1">
      <c r="A17"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F1"/>
    <mergeCell ref="A17:F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South Kaweah Mutual Water Company</t>
        </is>
      </c>
    </row>
    <row r="2">
      <c r="A2" s="2" t="inlineStr">
        <is>
          <t>Revenue - Form 990 Part VIII (USD)</t>
        </is>
      </c>
    </row>
    <row r="3">
      <c r="A3" s="2" t="inlineStr">
        <is>
          <t>Entity ID: cawc_0082   |   Fiscal year ends August 31.</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17" t="inlineStr">
        <is>
          <t>not reported</t>
        </is>
      </c>
      <c r="C7" s="17" t="inlineStr">
        <is>
          <t>not reported</t>
        </is>
      </c>
      <c r="D7" s="17" t="inlineStr">
        <is>
          <t>not reported</t>
        </is>
      </c>
      <c r="E7" s="17" t="inlineStr">
        <is>
          <t>not reported</t>
        </is>
      </c>
      <c r="F7" s="17" t="inlineStr">
        <is>
          <t>not reported</t>
        </is>
      </c>
    </row>
    <row r="8">
      <c r="A8" s="8" t="inlineStr">
        <is>
          <t xml:space="preserve">    2g. Total program service revenue</t>
        </is>
      </c>
      <c r="B8" s="9" t="n">
        <v>246791</v>
      </c>
      <c r="C8" s="9" t="n">
        <v>188724</v>
      </c>
      <c r="D8" s="9" t="n">
        <v>207139</v>
      </c>
      <c r="E8" s="9" t="n">
        <v>231581</v>
      </c>
      <c r="F8" s="9" t="n">
        <v>232024</v>
      </c>
    </row>
    <row r="9">
      <c r="A9" s="8" t="inlineStr">
        <is>
          <t xml:space="preserve">    3. Investment income</t>
        </is>
      </c>
      <c r="B9" s="9" t="n">
        <v>112</v>
      </c>
      <c r="C9" s="9" t="n">
        <v>154</v>
      </c>
      <c r="D9" s="9" t="n">
        <v>50</v>
      </c>
      <c r="E9" s="9" t="n">
        <v>80</v>
      </c>
      <c r="F9" s="9" t="n">
        <v>87</v>
      </c>
    </row>
    <row r="10">
      <c r="A10" s="8" t="inlineStr">
        <is>
          <t xml:space="preserve">    6d. Net rental income</t>
        </is>
      </c>
      <c r="B10" s="17" t="inlineStr">
        <is>
          <t>not reported</t>
        </is>
      </c>
      <c r="C10" s="17" t="inlineStr">
        <is>
          <t>not reported</t>
        </is>
      </c>
      <c r="D10" s="17" t="inlineStr">
        <is>
          <t>not reported</t>
        </is>
      </c>
      <c r="E10" s="17" t="inlineStr">
        <is>
          <t>not reported</t>
        </is>
      </c>
      <c r="F10" s="17" t="inlineStr">
        <is>
          <t>not reported</t>
        </is>
      </c>
    </row>
    <row r="11">
      <c r="A11" s="8" t="inlineStr">
        <is>
          <t xml:space="preserve">    7d. Net gain/(loss) from investment sales</t>
        </is>
      </c>
      <c r="B11" s="17" t="inlineStr">
        <is>
          <t>not reported</t>
        </is>
      </c>
      <c r="C11" s="17" t="inlineStr">
        <is>
          <t>not reported</t>
        </is>
      </c>
      <c r="D11" s="17" t="inlineStr">
        <is>
          <t>not reported</t>
        </is>
      </c>
      <c r="E11" s="17" t="inlineStr">
        <is>
          <t>not reported</t>
        </is>
      </c>
      <c r="F11" s="17" t="inlineStr">
        <is>
          <t>not reported</t>
        </is>
      </c>
    </row>
    <row r="12">
      <c r="A12" s="8" t="inlineStr">
        <is>
          <t xml:space="preserve">    11e. Other revenue</t>
        </is>
      </c>
      <c r="B12" s="17" t="inlineStr">
        <is>
          <t>not reported</t>
        </is>
      </c>
      <c r="C12" s="17" t="inlineStr">
        <is>
          <t>not reported</t>
        </is>
      </c>
      <c r="D12" s="17" t="inlineStr">
        <is>
          <t>not reported</t>
        </is>
      </c>
      <c r="E12" s="17" t="inlineStr">
        <is>
          <t>not reported</t>
        </is>
      </c>
      <c r="F12" s="17" t="inlineStr">
        <is>
          <t>not reported</t>
        </is>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Providing water to memb</t>
        </is>
      </c>
      <c r="B17" s="8" t="inlineStr">
        <is>
          <t>221000</t>
        </is>
      </c>
      <c r="C17" s="9" t="n">
        <v>232024</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South Kaweah Mutual Water Company</t>
        </is>
      </c>
    </row>
    <row r="2">
      <c r="A2" s="2" t="inlineStr">
        <is>
          <t>Statement of Functional Expenses - Form 990 Part IX (USD)</t>
        </is>
      </c>
    </row>
    <row r="3">
      <c r="A3" s="2" t="inlineStr">
        <is>
          <t>Entity ID: cawc_0082   |   Fiscal year ends August 31.</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11c. Fees for services: accounting</t>
        </is>
      </c>
      <c r="B7" s="9" t="n">
        <v>13748</v>
      </c>
      <c r="C7" s="9" t="n">
        <v>19167</v>
      </c>
      <c r="D7" s="9" t="n">
        <v>25519</v>
      </c>
      <c r="E7" s="9" t="n">
        <v>10668</v>
      </c>
      <c r="F7" s="9" t="n">
        <v>16480</v>
      </c>
    </row>
    <row r="8">
      <c r="A8" s="8" t="inlineStr">
        <is>
          <t xml:space="preserve">    13. Office expenses</t>
        </is>
      </c>
      <c r="B8" s="9" t="n">
        <v>3793</v>
      </c>
      <c r="C8" s="9" t="n">
        <v>2337</v>
      </c>
      <c r="D8" s="9" t="n">
        <v>1987</v>
      </c>
      <c r="E8" s="9" t="n">
        <v>2125</v>
      </c>
      <c r="F8" s="9" t="n">
        <v>2379</v>
      </c>
    </row>
    <row r="9">
      <c r="A9" s="8" t="inlineStr">
        <is>
          <t xml:space="preserve">    20. Interest</t>
        </is>
      </c>
      <c r="B9" s="9" t="n">
        <v>1540</v>
      </c>
      <c r="C9" s="9" t="n">
        <v>18721</v>
      </c>
      <c r="D9" s="9" t="n">
        <v>18724</v>
      </c>
      <c r="E9" s="9" t="n">
        <v>17874</v>
      </c>
      <c r="F9" s="9" t="n">
        <v>17214</v>
      </c>
    </row>
    <row r="10">
      <c r="A10" s="8" t="inlineStr">
        <is>
          <t xml:space="preserve">    22. Depreciation, depletion, and amortization</t>
        </is>
      </c>
      <c r="B10" s="9" t="n">
        <v>11221</v>
      </c>
      <c r="C10" s="9" t="n">
        <v>40931</v>
      </c>
      <c r="D10" s="9" t="n">
        <v>43316</v>
      </c>
      <c r="E10" s="9" t="n">
        <v>47944</v>
      </c>
      <c r="F10" s="9" t="n">
        <v>48106</v>
      </c>
    </row>
    <row r="11">
      <c r="A11" s="8" t="inlineStr">
        <is>
          <t xml:space="preserve">    23. Insurance</t>
        </is>
      </c>
      <c r="B11" s="9" t="n">
        <v>3193</v>
      </c>
      <c r="C11" s="9" t="n">
        <v>3238</v>
      </c>
      <c r="D11" s="9" t="n">
        <v>6742</v>
      </c>
      <c r="E11" s="9" t="n">
        <v>6368</v>
      </c>
      <c r="F11" s="9" t="n">
        <v>15555</v>
      </c>
    </row>
    <row r="12">
      <c r="A12" s="8" t="inlineStr">
        <is>
          <t xml:space="preserve">    24. Repairs &amp; Maintenance</t>
        </is>
      </c>
      <c r="B12" s="9" t="n">
        <v>44062</v>
      </c>
      <c r="C12" s="9" t="n">
        <v>17166</v>
      </c>
      <c r="D12" s="9" t="n">
        <v>17945</v>
      </c>
      <c r="E12" s="9" t="n">
        <v>106623</v>
      </c>
      <c r="F12" s="9" t="n">
        <v>81278</v>
      </c>
    </row>
    <row r="13">
      <c r="A13" s="8" t="inlineStr">
        <is>
          <t xml:space="preserve">    24. Utilities</t>
        </is>
      </c>
      <c r="B13" s="9" t="n">
        <v>7497</v>
      </c>
      <c r="C13" s="9" t="n">
        <v>9083</v>
      </c>
      <c r="D13" s="9" t="n">
        <v>7989</v>
      </c>
      <c r="E13" s="9" t="n">
        <v>9762</v>
      </c>
      <c r="F13" s="9" t="n">
        <v>10829</v>
      </c>
    </row>
    <row r="14">
      <c r="A14" s="8" t="inlineStr">
        <is>
          <t xml:space="preserve">    24. Water testing &amp; analysi</t>
        </is>
      </c>
      <c r="B14" s="9" t="n">
        <v>3641</v>
      </c>
      <c r="C14" s="9" t="n">
        <v>3332</v>
      </c>
      <c r="D14" s="9" t="n">
        <v>4184</v>
      </c>
      <c r="E14" s="17" t="inlineStr">
        <is>
          <t>not reported</t>
        </is>
      </c>
      <c r="F14" s="17" t="inlineStr">
        <is>
          <t>not reported</t>
        </is>
      </c>
    </row>
    <row r="15">
      <c r="A15" s="8" t="inlineStr">
        <is>
          <t xml:space="preserve">    24. Distribution Operator</t>
        </is>
      </c>
      <c r="B15" s="9" t="n">
        <v>2150</v>
      </c>
      <c r="C15" s="9" t="n">
        <v>2920</v>
      </c>
      <c r="D15" s="9" t="n">
        <v>5275</v>
      </c>
      <c r="E15" s="9" t="n">
        <v>5250</v>
      </c>
      <c r="F15" s="9" t="n">
        <v>10105</v>
      </c>
    </row>
    <row r="16">
      <c r="A16" s="8" t="inlineStr">
        <is>
          <t xml:space="preserve">    24. Water Testing &amp; Analysis</t>
        </is>
      </c>
      <c r="B16" s="17" t="inlineStr">
        <is>
          <t>not reported</t>
        </is>
      </c>
      <c r="C16" s="17" t="inlineStr">
        <is>
          <t>not reported</t>
        </is>
      </c>
      <c r="D16" s="17" t="inlineStr">
        <is>
          <t>not reported</t>
        </is>
      </c>
      <c r="E16" s="9" t="n">
        <v>5010</v>
      </c>
      <c r="F16" s="9" t="n">
        <v>7546</v>
      </c>
    </row>
    <row r="17">
      <c r="A17" s="8" t="inlineStr">
        <is>
          <t xml:space="preserve">    24e. All other expenses</t>
        </is>
      </c>
      <c r="B17" s="9" t="n">
        <v>3707</v>
      </c>
      <c r="C17" s="9" t="n">
        <v>4786</v>
      </c>
      <c r="D17" s="9" t="n">
        <v>11835</v>
      </c>
      <c r="E17" s="9" t="n">
        <v>7721</v>
      </c>
      <c r="F17" s="9" t="n">
        <v>8463</v>
      </c>
    </row>
    <row r="18">
      <c r="A18" s="10" t="inlineStr">
        <is>
          <t>25. Total functional expenses</t>
        </is>
      </c>
      <c r="B18" s="11">
        <f>SUM(B7:B17)</f>
        <v/>
      </c>
      <c r="C18" s="11">
        <f>SUM(C7:C17)</f>
        <v/>
      </c>
      <c r="D18" s="11">
        <f>SUM(D7:D17)</f>
        <v/>
      </c>
      <c r="E18" s="11">
        <f>SUM(E7:E17)</f>
        <v/>
      </c>
      <c r="F18" s="11">
        <f>SUM(F7:F17)</f>
        <v/>
      </c>
    </row>
    <row r="20">
      <c r="A20" s="6" t="inlineStr">
        <is>
          <t>Functional column split - FY2025 (col A = B + C + D)</t>
        </is>
      </c>
      <c r="B20" s="7" t="n"/>
      <c r="C20" s="7" t="n"/>
      <c r="D20" s="7" t="n"/>
      <c r="E20" s="7" t="n"/>
      <c r="F20" s="7" t="n"/>
    </row>
    <row r="21">
      <c r="A21" s="5" t="inlineStr">
        <is>
          <t>Part IX line</t>
        </is>
      </c>
      <c r="B21" s="5" t="inlineStr">
        <is>
          <t>A. Total</t>
        </is>
      </c>
      <c r="C21" s="5" t="inlineStr">
        <is>
          <t>B. Program services</t>
        </is>
      </c>
      <c r="D21" s="5" t="inlineStr">
        <is>
          <t>C. Management &amp; general</t>
        </is>
      </c>
      <c r="E21" s="5" t="inlineStr">
        <is>
          <t>D. Fundraising</t>
        </is>
      </c>
    </row>
    <row r="22">
      <c r="A22" s="18" t="inlineStr">
        <is>
          <t>11c. Fees for services: accounting</t>
        </is>
      </c>
      <c r="B22" s="9" t="n">
        <v>16480</v>
      </c>
      <c r="C22" s="9" t="n">
        <v>16480</v>
      </c>
      <c r="D22" s="9" t="n"/>
      <c r="E22" s="9" t="n"/>
    </row>
    <row r="23">
      <c r="A23" s="18" t="inlineStr">
        <is>
          <t>13. Office expenses</t>
        </is>
      </c>
      <c r="B23" s="9" t="n">
        <v>2379</v>
      </c>
      <c r="C23" s="9" t="n">
        <v>2379</v>
      </c>
      <c r="D23" s="9" t="n"/>
      <c r="E23" s="9" t="n"/>
    </row>
    <row r="24">
      <c r="A24" s="18" t="inlineStr">
        <is>
          <t>20. Interest</t>
        </is>
      </c>
      <c r="B24" s="9" t="n">
        <v>17214</v>
      </c>
      <c r="C24" s="9" t="n">
        <v>17214</v>
      </c>
      <c r="D24" s="9" t="n"/>
      <c r="E24" s="9" t="n"/>
    </row>
    <row r="25">
      <c r="A25" s="18" t="inlineStr">
        <is>
          <t>22. Depreciation, depletion, and amortization</t>
        </is>
      </c>
      <c r="B25" s="9" t="n">
        <v>48106</v>
      </c>
      <c r="C25" s="9" t="n"/>
      <c r="D25" s="9" t="n">
        <v>48106</v>
      </c>
      <c r="E25" s="9" t="n"/>
    </row>
    <row r="26">
      <c r="A26" s="18" t="inlineStr">
        <is>
          <t>23. Insurance</t>
        </is>
      </c>
      <c r="B26" s="9" t="n">
        <v>15555</v>
      </c>
      <c r="C26" s="9" t="n">
        <v>15555</v>
      </c>
      <c r="D26" s="9" t="n"/>
      <c r="E26" s="9" t="n"/>
    </row>
    <row r="27">
      <c r="A27" s="10" t="inlineStr">
        <is>
          <t>25. Total (filed col A / B / C / D)</t>
        </is>
      </c>
      <c r="B27" s="11" t="n">
        <v>217955</v>
      </c>
      <c r="C27" s="11" t="n">
        <v>169849</v>
      </c>
      <c r="D27" s="11" t="n">
        <v>48106</v>
      </c>
      <c r="E27" s="11" t="n">
        <v>0</v>
      </c>
    </row>
    <row r="29" ht="42" customHeight="1">
      <c r="A2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29:F2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South Kaweah Mutual Water Company</t>
        </is>
      </c>
    </row>
    <row r="2">
      <c r="A2" s="2" t="inlineStr">
        <is>
          <t>Balance Sheet - Form 990 Part X (end of year, USD)</t>
        </is>
      </c>
    </row>
    <row r="3">
      <c r="A3" s="2" t="inlineStr">
        <is>
          <t>Entity ID: cawc_0082   |   Fiscal year ends August 31.</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17" t="inlineStr">
        <is>
          <t>not reported</t>
        </is>
      </c>
      <c r="C7" s="9" t="n">
        <v>-1</v>
      </c>
      <c r="D7" s="17" t="inlineStr">
        <is>
          <t>not reported</t>
        </is>
      </c>
      <c r="E7" s="9" t="n">
        <v>146334</v>
      </c>
      <c r="F7" s="9" t="n">
        <v>199614</v>
      </c>
    </row>
    <row r="8">
      <c r="A8" s="8" t="inlineStr">
        <is>
          <t xml:space="preserve">    2. Savings and temporary cash investments</t>
        </is>
      </c>
      <c r="B8" s="9" t="n">
        <v>335896</v>
      </c>
      <c r="C8" s="9" t="n">
        <v>236088</v>
      </c>
      <c r="D8" s="9" t="n">
        <v>142909</v>
      </c>
      <c r="E8" s="17" t="inlineStr">
        <is>
          <t>not reported</t>
        </is>
      </c>
      <c r="F8" s="17" t="inlineStr">
        <is>
          <t>not reported</t>
        </is>
      </c>
    </row>
    <row r="9">
      <c r="A9" s="8" t="inlineStr">
        <is>
          <t xml:space="preserve">    4. Accounts receivable, net</t>
        </is>
      </c>
      <c r="B9" s="9" t="n">
        <v>9371</v>
      </c>
      <c r="C9" s="9" t="n">
        <v>10342</v>
      </c>
      <c r="D9" s="9" t="n">
        <v>8911</v>
      </c>
      <c r="E9" s="9" t="n">
        <v>26793</v>
      </c>
      <c r="F9" s="9" t="n">
        <v>24819</v>
      </c>
    </row>
    <row r="10">
      <c r="A10" s="8" t="inlineStr">
        <is>
          <t xml:space="preserve">    8. Inventories for sale or use</t>
        </is>
      </c>
      <c r="B10" s="9" t="n">
        <v>2657</v>
      </c>
      <c r="C10" s="9" t="n">
        <v>4568</v>
      </c>
      <c r="D10" s="9" t="n">
        <v>3336</v>
      </c>
      <c r="E10" s="9" t="n">
        <v>3336</v>
      </c>
      <c r="F10" s="9" t="n">
        <v>750</v>
      </c>
    </row>
    <row r="11">
      <c r="A11" s="8" t="inlineStr">
        <is>
          <t xml:space="preserve">    9. Prepaid expenses and deferred charges</t>
        </is>
      </c>
      <c r="B11" s="17" t="inlineStr">
        <is>
          <t>not reported</t>
        </is>
      </c>
      <c r="C11" s="9" t="n">
        <v>23</v>
      </c>
      <c r="D11" s="9" t="n">
        <v>23</v>
      </c>
      <c r="E11" s="9" t="n">
        <v>5338</v>
      </c>
      <c r="F11" s="9" t="n">
        <v>625</v>
      </c>
    </row>
    <row r="12">
      <c r="A12" s="8" t="inlineStr">
        <is>
          <t xml:space="preserve">    10c. Land, buildings, and equipment, net</t>
        </is>
      </c>
      <c r="B12" s="9" t="n">
        <v>766097</v>
      </c>
      <c r="C12" s="9" t="n">
        <v>710890</v>
      </c>
      <c r="D12" s="9" t="n">
        <v>857016</v>
      </c>
      <c r="E12" s="9" t="n">
        <v>828471</v>
      </c>
      <c r="F12" s="9" t="n">
        <v>783726</v>
      </c>
    </row>
    <row r="13">
      <c r="A13" s="8" t="inlineStr">
        <is>
          <t xml:space="preserve">    14. Intangible assets</t>
        </is>
      </c>
      <c r="B13" s="9" t="n">
        <v>3903</v>
      </c>
      <c r="C13" s="9" t="n">
        <v>3702</v>
      </c>
      <c r="D13" s="9" t="n">
        <v>3501</v>
      </c>
      <c r="E13" s="9" t="n">
        <v>3300</v>
      </c>
      <c r="F13" s="9" t="n">
        <v>3099</v>
      </c>
    </row>
    <row r="14">
      <c r="A14" s="8" t="inlineStr">
        <is>
          <t xml:space="preserve">    15. Other assets</t>
        </is>
      </c>
      <c r="B14" s="9" t="n">
        <v>0</v>
      </c>
      <c r="C14" s="17" t="inlineStr">
        <is>
          <t>not reported</t>
        </is>
      </c>
      <c r="D14" s="17" t="inlineStr">
        <is>
          <t>not reported</t>
        </is>
      </c>
      <c r="E14" s="17" t="inlineStr">
        <is>
          <t>not reported</t>
        </is>
      </c>
      <c r="F14" s="17" t="inlineStr">
        <is>
          <t>not reported</t>
        </is>
      </c>
    </row>
    <row r="15">
      <c r="A15" s="10" t="inlineStr">
        <is>
          <t>16. Total assets</t>
        </is>
      </c>
      <c r="B15" s="11">
        <f>SUM(B7:B14)</f>
        <v/>
      </c>
      <c r="C15" s="11">
        <f>SUM(C7:C14)</f>
        <v/>
      </c>
      <c r="D15" s="11">
        <f>SUM(D7:D14)</f>
        <v/>
      </c>
      <c r="E15" s="11">
        <f>SUM(E7:E14)</f>
        <v/>
      </c>
      <c r="F15" s="11">
        <f>SUM(F7:F14)</f>
        <v/>
      </c>
    </row>
    <row r="17">
      <c r="A17" s="6" t="inlineStr">
        <is>
          <t>Liabilities</t>
        </is>
      </c>
      <c r="B17" s="7" t="n"/>
      <c r="C17" s="7" t="n"/>
      <c r="D17" s="7" t="n"/>
      <c r="E17" s="7" t="n"/>
      <c r="F17" s="7" t="n"/>
    </row>
    <row r="18">
      <c r="A18" s="8" t="inlineStr">
        <is>
          <t xml:space="preserve">    23. Secured mortgages and notes payable</t>
        </is>
      </c>
      <c r="B18" s="9" t="n">
        <v>392763</v>
      </c>
      <c r="C18" s="9" t="n">
        <v>379172</v>
      </c>
      <c r="D18" s="9" t="n">
        <v>365583</v>
      </c>
      <c r="E18" s="9" t="n">
        <v>351143</v>
      </c>
      <c r="F18" s="9" t="n">
        <v>336048</v>
      </c>
    </row>
    <row r="19">
      <c r="A19" s="8" t="inlineStr">
        <is>
          <t xml:space="preserve">    25. Other liabilities</t>
        </is>
      </c>
      <c r="B19" s="9" t="n">
        <v>205918</v>
      </c>
      <c r="C19" s="9" t="n">
        <v>0</v>
      </c>
      <c r="D19" s="17" t="inlineStr">
        <is>
          <t>not reported</t>
        </is>
      </c>
      <c r="E19" s="17" t="inlineStr">
        <is>
          <t>not reported</t>
        </is>
      </c>
      <c r="F19" s="17" t="inlineStr">
        <is>
          <t>not reported</t>
        </is>
      </c>
    </row>
    <row r="20">
      <c r="A20" s="10" t="inlineStr">
        <is>
          <t>26. Total liabilities</t>
        </is>
      </c>
      <c r="B20" s="11">
        <f>SUM(B18:B19)</f>
        <v/>
      </c>
      <c r="C20" s="11">
        <f>SUM(C18:C19)</f>
        <v/>
      </c>
      <c r="D20" s="11">
        <f>SUM(D18:D19)</f>
        <v/>
      </c>
      <c r="E20" s="11">
        <f>SUM(E18:E19)</f>
        <v/>
      </c>
      <c r="F20" s="11">
        <f>SUM(F18:F19)</f>
        <v/>
      </c>
    </row>
    <row r="22">
      <c r="A22" s="6" t="inlineStr">
        <is>
          <t>Net assets / fund balances</t>
        </is>
      </c>
      <c r="B22" s="7" t="n"/>
      <c r="C22" s="7" t="n"/>
      <c r="D22" s="7" t="n"/>
      <c r="E22" s="7" t="n"/>
      <c r="F22" s="7" t="n"/>
    </row>
    <row r="23">
      <c r="A23" s="8" t="inlineStr">
        <is>
          <t xml:space="preserve">    29. Capital stock or trust principal</t>
        </is>
      </c>
      <c r="B23" s="9" t="n">
        <v>0</v>
      </c>
      <c r="C23" s="9" t="n">
        <v>0</v>
      </c>
      <c r="D23" s="9" t="n">
        <v>0</v>
      </c>
      <c r="E23" s="17" t="inlineStr">
        <is>
          <t>not reported</t>
        </is>
      </c>
      <c r="F23" s="17" t="inlineStr">
        <is>
          <t>not reported</t>
        </is>
      </c>
    </row>
    <row r="24">
      <c r="A24" s="8" t="inlineStr">
        <is>
          <t xml:space="preserve">    30. Paid-in or capital surplus</t>
        </is>
      </c>
      <c r="B24" s="9" t="n">
        <v>63892</v>
      </c>
      <c r="C24" s="9" t="n">
        <v>63892</v>
      </c>
      <c r="D24" s="9" t="n">
        <v>63892</v>
      </c>
      <c r="E24" s="9" t="n">
        <v>63892</v>
      </c>
      <c r="F24" s="9" t="n">
        <v>63892</v>
      </c>
    </row>
    <row r="25">
      <c r="A25" s="8" t="inlineStr">
        <is>
          <t xml:space="preserve">    31. Retained earnings / accumulated funds</t>
        </is>
      </c>
      <c r="B25" s="9" t="n">
        <v>455351</v>
      </c>
      <c r="C25" s="9" t="n">
        <v>522548</v>
      </c>
      <c r="D25" s="9" t="n">
        <v>586221</v>
      </c>
      <c r="E25" s="9" t="n">
        <v>598537</v>
      </c>
      <c r="F25" s="9" t="n">
        <v>612693</v>
      </c>
    </row>
    <row r="26">
      <c r="A26" s="10" t="inlineStr">
        <is>
          <t>32. Total net assets / fund balances</t>
        </is>
      </c>
      <c r="B26" s="11">
        <f>SUM(B23:B25)</f>
        <v/>
      </c>
      <c r="C26" s="11">
        <f>SUM(C23:C25)</f>
        <v/>
      </c>
      <c r="D26" s="11">
        <f>SUM(D23:D25)</f>
        <v/>
      </c>
      <c r="E26" s="11">
        <f>SUM(E23:E25)</f>
        <v/>
      </c>
      <c r="F26" s="11">
        <f>SUM(F23:F25)</f>
        <v/>
      </c>
    </row>
    <row r="28" ht="42" customHeight="1">
      <c r="A28"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8:F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South Kaweah Mutual Water Company</t>
        </is>
      </c>
    </row>
    <row r="2">
      <c r="A2" s="2" t="inlineStr">
        <is>
          <t>Reconciliation of Net Assets - Form 990 Part XI (USD)</t>
        </is>
      </c>
    </row>
    <row r="3">
      <c r="A3" s="2" t="inlineStr">
        <is>
          <t>Entity ID: cawc_0082   |   Fiscal year ends August 31.</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366892</v>
      </c>
      <c r="C7" s="9" t="n">
        <v>519243</v>
      </c>
      <c r="D7" s="9" t="n">
        <v>586440</v>
      </c>
      <c r="E7" s="9" t="n">
        <v>650113</v>
      </c>
      <c r="F7" s="9" t="n">
        <v>662429</v>
      </c>
    </row>
    <row r="8">
      <c r="A8" s="8" t="inlineStr">
        <is>
          <t xml:space="preserve">    3. Revenue less expenses</t>
        </is>
      </c>
      <c r="B8" s="9" t="n">
        <v>152351</v>
      </c>
      <c r="C8" s="9" t="n">
        <v>67197</v>
      </c>
      <c r="D8" s="9" t="n">
        <v>63673</v>
      </c>
      <c r="E8" s="9" t="n">
        <v>12316</v>
      </c>
      <c r="F8" s="9" t="n">
        <v>14156</v>
      </c>
    </row>
    <row r="9">
      <c r="A9" s="8" t="inlineStr">
        <is>
          <t xml:space="preserve">    8. Prior period adjustments</t>
        </is>
      </c>
      <c r="B9" s="17" t="inlineStr">
        <is>
          <t>not reported</t>
        </is>
      </c>
      <c r="C9" s="17" t="inlineStr">
        <is>
          <t>not reported</t>
        </is>
      </c>
      <c r="D9" s="17" t="inlineStr">
        <is>
          <t>not reported</t>
        </is>
      </c>
      <c r="E9" s="17" t="inlineStr">
        <is>
          <t>not reported</t>
        </is>
      </c>
      <c r="F9" s="17" t="inlineStr">
        <is>
          <t>not reported</t>
        </is>
      </c>
    </row>
    <row r="10">
      <c r="A10" s="8" t="inlineStr">
        <is>
          <t xml:space="preserve">    9. Other changes in net assets</t>
        </is>
      </c>
      <c r="B10" s="9" t="n">
        <v>0</v>
      </c>
      <c r="C10" s="9" t="n">
        <v>0</v>
      </c>
      <c r="D10" s="9" t="n">
        <v>0</v>
      </c>
      <c r="E10" s="9" t="n">
        <v>0</v>
      </c>
      <c r="F10" s="9" t="n">
        <v>0</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South Kaweah Mutual Water Company</t>
        </is>
      </c>
    </row>
    <row r="2">
      <c r="A2" s="2" t="inlineStr">
        <is>
          <t>Cash Flow Proxies - derived (USD)</t>
        </is>
      </c>
    </row>
    <row r="3">
      <c r="A3" s="2" t="inlineStr">
        <is>
          <t>Entity ID: cawc_0082   |   Fiscal year ends August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77104</v>
      </c>
      <c r="C9" s="9" t="n">
        <v>152351</v>
      </c>
      <c r="D9" s="9" t="n">
        <v>67197</v>
      </c>
      <c r="E9" s="9" t="n">
        <v>63673</v>
      </c>
      <c r="F9" s="9" t="n">
        <v>12316</v>
      </c>
      <c r="G9" s="9" t="n">
        <v>14156</v>
      </c>
    </row>
    <row r="10">
      <c r="A10" s="8" t="inlineStr">
        <is>
          <t xml:space="preserve">    + Depreciation (reported)</t>
        </is>
      </c>
      <c r="B10" s="9" t="n"/>
      <c r="C10" s="9" t="n">
        <v>11221</v>
      </c>
      <c r="D10" s="9" t="n">
        <v>40931</v>
      </c>
      <c r="E10" s="9" t="n">
        <v>43316</v>
      </c>
      <c r="F10" s="9" t="n">
        <v>47944</v>
      </c>
      <c r="G10" s="9" t="n">
        <v>48106</v>
      </c>
    </row>
    <row r="11">
      <c r="A11" s="8" t="inlineStr">
        <is>
          <t xml:space="preserve">    − Δ Accounts receivable</t>
        </is>
      </c>
      <c r="B11" s="9" t="n"/>
      <c r="C11" s="9" t="n"/>
      <c r="D11" s="9" t="n">
        <v>-971</v>
      </c>
      <c r="E11" s="9" t="n">
        <v>1431</v>
      </c>
      <c r="F11" s="9" t="n">
        <v>-17882</v>
      </c>
      <c r="G11" s="9" t="n">
        <v>1974</v>
      </c>
    </row>
    <row r="12">
      <c r="A12" s="8" t="inlineStr">
        <is>
          <t xml:space="preserve">    − Δ Inventories</t>
        </is>
      </c>
      <c r="B12" s="9" t="n"/>
      <c r="C12" s="9" t="n"/>
      <c r="D12" s="9" t="n">
        <v>-1911</v>
      </c>
      <c r="E12" s="9" t="n">
        <v>1232</v>
      </c>
      <c r="F12" s="9" t="n">
        <v>0</v>
      </c>
      <c r="G12" s="9" t="n">
        <v>2586</v>
      </c>
    </row>
    <row r="13">
      <c r="A13" s="8" t="inlineStr">
        <is>
          <t xml:space="preserve">    − Δ Prepaid expenses</t>
        </is>
      </c>
      <c r="B13" s="9" t="n"/>
      <c r="C13" s="9" t="n"/>
      <c r="D13" s="9" t="n"/>
      <c r="E13" s="9" t="n">
        <v>0</v>
      </c>
      <c r="F13" s="9" t="n">
        <v>-5315</v>
      </c>
      <c r="G13" s="9" t="n">
        <v>4713</v>
      </c>
    </row>
    <row r="14">
      <c r="A14" s="8" t="inlineStr">
        <is>
          <t xml:space="preserve">    + Δ Accounts payable</t>
        </is>
      </c>
      <c r="B14" s="9" t="n"/>
      <c r="C14" s="9" t="n"/>
      <c r="D14" s="9" t="n"/>
      <c r="E14" s="9" t="n"/>
      <c r="F14" s="9" t="n"/>
      <c r="G14" s="9" t="n"/>
    </row>
    <row r="15">
      <c r="A15" s="10" t="inlineStr">
        <is>
          <t xml:space="preserve">    Operating cash flow proxy</t>
        </is>
      </c>
      <c r="B15" s="11" t="n"/>
      <c r="C15" s="11" t="n">
        <v>163572</v>
      </c>
      <c r="D15" s="11" t="n">
        <v>105246</v>
      </c>
      <c r="E15" s="11" t="n">
        <v>109652</v>
      </c>
      <c r="F15" s="11" t="n">
        <v>37063</v>
      </c>
      <c r="G15" s="11" t="n">
        <v>71535</v>
      </c>
    </row>
    <row r="17">
      <c r="A17" s="6" t="inlineStr">
        <is>
          <t>Investing</t>
        </is>
      </c>
      <c r="B17" s="7" t="n"/>
      <c r="C17" s="7" t="n"/>
      <c r="D17" s="7" t="n"/>
      <c r="E17" s="7" t="n"/>
      <c r="F17" s="7" t="n"/>
      <c r="G17" s="7" t="n"/>
    </row>
    <row r="18">
      <c r="A18" s="8" t="inlineStr">
        <is>
          <t xml:space="preserve">    − Δ PP&amp;E gross (capex proxy)</t>
        </is>
      </c>
      <c r="B18" s="9" t="n"/>
      <c r="C18" s="9" t="n"/>
      <c r="D18" s="9" t="n">
        <v>14477</v>
      </c>
      <c r="E18" s="9" t="n">
        <v>-190148</v>
      </c>
      <c r="F18" s="9" t="n">
        <v>-19198</v>
      </c>
      <c r="G18" s="9" t="n">
        <v>0</v>
      </c>
    </row>
    <row r="20">
      <c r="A20" s="6" t="inlineStr">
        <is>
          <t>Financing</t>
        </is>
      </c>
      <c r="B20" s="7" t="n"/>
      <c r="C20" s="7" t="n"/>
      <c r="D20" s="7" t="n"/>
      <c r="E20" s="7" t="n"/>
      <c r="F20" s="7" t="n"/>
      <c r="G20" s="7" t="n"/>
    </row>
    <row r="21">
      <c r="A21" s="8" t="inlineStr">
        <is>
          <t xml:space="preserve">    Δ Mortgages &amp; notes payable</t>
        </is>
      </c>
      <c r="B21" s="9" t="n"/>
      <c r="C21" s="9" t="n"/>
      <c r="D21" s="9" t="n">
        <v>-13591</v>
      </c>
      <c r="E21" s="9" t="n">
        <v>-13589</v>
      </c>
      <c r="F21" s="9" t="n">
        <v>-14440</v>
      </c>
      <c r="G21" s="9" t="n">
        <v>-15095</v>
      </c>
    </row>
    <row r="23">
      <c r="A23" s="6" t="inlineStr">
        <is>
          <t>Reconciliation</t>
        </is>
      </c>
      <c r="B23" s="7" t="n"/>
      <c r="C23" s="7" t="n"/>
      <c r="D23" s="7" t="n"/>
      <c r="E23" s="7" t="n"/>
      <c r="F23" s="7" t="n"/>
      <c r="G23" s="7" t="n"/>
    </row>
    <row r="24">
      <c r="A24" s="10" t="inlineStr">
        <is>
          <t xml:space="preserve">    Δ Cash + temp. investments (actual)</t>
        </is>
      </c>
      <c r="B24" s="11" t="n"/>
      <c r="C24" s="11" t="n">
        <v>262191</v>
      </c>
      <c r="D24" s="11" t="n">
        <v>-99809</v>
      </c>
      <c r="E24" s="11" t="n">
        <v>-93178</v>
      </c>
      <c r="F24" s="11" t="n">
        <v>3425</v>
      </c>
      <c r="G24" s="11" t="n">
        <v>53280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South Kaweah Mutual Water Company</t>
        </is>
      </c>
    </row>
    <row r="2">
      <c r="A2" s="2" t="inlineStr">
        <is>
          <t>Financial Ratios</t>
        </is>
      </c>
    </row>
    <row r="3">
      <c r="A3" s="2" t="inlineStr">
        <is>
          <t>Entity ID: cawc_0082   |   Fiscal year ends August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0.6023467649953909</v>
      </c>
      <c r="C7" s="12" t="n">
        <v>0.6170479905063933</v>
      </c>
      <c r="D7" s="12" t="n">
        <v>0.3557693325850549</v>
      </c>
      <c r="E7" s="12" t="n">
        <v>0.3073184387202023</v>
      </c>
      <c r="F7" s="12" t="n">
        <v>0.05316389033976371</v>
      </c>
      <c r="G7" s="12" t="n">
        <v>0.06098806174631965</v>
      </c>
    </row>
    <row r="8">
      <c r="A8" s="8" t="inlineStr">
        <is>
          <t xml:space="preserve">    Expense ratio (expenses / revenue)</t>
        </is>
      </c>
      <c r="B8" s="12" t="n">
        <v>0.3976532350046091</v>
      </c>
      <c r="C8" s="12" t="n">
        <v>0.3829520094936068</v>
      </c>
      <c r="D8" s="12" t="n">
        <v>0.6442306674149451</v>
      </c>
      <c r="E8" s="12" t="n">
        <v>0.6926815612797976</v>
      </c>
      <c r="F8" s="12" t="n">
        <v>0.9468361096602363</v>
      </c>
      <c r="G8" s="12" t="n">
        <v>0.9390119382536803</v>
      </c>
    </row>
    <row r="9">
      <c r="A9" s="8" t="inlineStr">
        <is>
          <t xml:space="preserve">    Return on assets (NI / assets)</t>
        </is>
      </c>
      <c r="B9" s="12" t="n">
        <v>0.2094124804449852</v>
      </c>
      <c r="C9" s="12" t="n">
        <v>0.1362802838117797</v>
      </c>
      <c r="D9" s="12" t="n">
        <v>0.06959006308952249</v>
      </c>
      <c r="E9" s="12" t="n">
        <v>0.06268903293898961</v>
      </c>
      <c r="F9" s="12" t="n">
        <v>0.01215108546802792</v>
      </c>
      <c r="G9" s="12" t="n">
        <v>0.0139793982617592</v>
      </c>
    </row>
    <row r="10">
      <c r="A10" s="8" t="inlineStr">
        <is>
          <t xml:space="preserve">    Revenue growth (YoY)</t>
        </is>
      </c>
      <c r="B10" s="12" t="n"/>
      <c r="C10" s="12" t="n"/>
      <c r="D10" s="12" t="n">
        <v>-0.2350113202350721</v>
      </c>
      <c r="E10" s="12" t="n">
        <v>0.09694617689725643</v>
      </c>
      <c r="F10" s="12" t="n"/>
      <c r="G10" s="12" t="n">
        <v>0.001942493557396368</v>
      </c>
    </row>
    <row r="12">
      <c r="A12" s="6" t="inlineStr">
        <is>
          <t>Leverage &amp; solvency</t>
        </is>
      </c>
      <c r="B12" s="7" t="n"/>
      <c r="C12" s="7" t="n"/>
      <c r="D12" s="7" t="n"/>
      <c r="E12" s="7" t="n"/>
      <c r="F12" s="7" t="n"/>
      <c r="G12" s="7" t="n"/>
    </row>
    <row r="13">
      <c r="A13" s="8" t="inlineStr">
        <is>
          <t xml:space="preserve">    Debt-to-assets (liab. / assets)</t>
        </is>
      </c>
      <c r="B13" s="12" t="n">
        <v>0.003530766556579176</v>
      </c>
      <c r="C13" s="12" t="n">
        <v>0.5355292488577041</v>
      </c>
      <c r="D13" s="12" t="n">
        <v>0.3926753188651342</v>
      </c>
      <c r="E13" s="12" t="n">
        <v>0.359933484034593</v>
      </c>
      <c r="F13" s="12" t="n">
        <v>0.3464411013721768</v>
      </c>
      <c r="G13" s="12" t="n">
        <v>0.331855667354313</v>
      </c>
    </row>
    <row r="14">
      <c r="A14" s="8" t="inlineStr">
        <is>
          <t xml:space="preserve">    Equity ratio (net assets / assets)</t>
        </is>
      </c>
      <c r="B14" s="12" t="n">
        <v>0.9964692334434209</v>
      </c>
      <c r="C14" s="12" t="n">
        <v>0.4644707511422959</v>
      </c>
      <c r="D14" s="12" t="n">
        <v>0.6073246811348658</v>
      </c>
      <c r="E14" s="12" t="n">
        <v>0.640066515965407</v>
      </c>
      <c r="F14" s="12" t="n">
        <v>0.6535588986278232</v>
      </c>
      <c r="G14" s="12" t="n">
        <v>0.6681443326456871</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c r="F17" s="19" t="n"/>
      <c r="G17" s="19" t="n"/>
    </row>
    <row r="18">
      <c r="A18" s="8" t="inlineStr">
        <is>
          <t xml:space="preserve">    Cash ratio ((cash+temp inv.) / total liab.)</t>
        </is>
      </c>
      <c r="B18" s="19" t="n">
        <v>56.69615384615385</v>
      </c>
      <c r="C18" s="19" t="n">
        <v>0.5610600637067152</v>
      </c>
      <c r="D18" s="19" t="n">
        <v>0.6226382749781102</v>
      </c>
      <c r="E18" s="19" t="n">
        <v>0.3909071264254629</v>
      </c>
      <c r="F18" s="19" t="n">
        <v>0.4167362014905608</v>
      </c>
      <c r="G18" s="19" t="n">
        <v>0.5940044279388659</v>
      </c>
    </row>
    <row r="19">
      <c r="A19" s="8" t="inlineStr">
        <is>
          <t xml:space="preserve">    Asset age proxy (accum. deprec. / gross PP&amp;E)</t>
        </is>
      </c>
      <c r="B19" s="12" t="n"/>
      <c r="C19" s="12" t="n">
        <v>0.2691441387725275</v>
      </c>
      <c r="D19" s="12" t="n">
        <v>0.3123139042430316</v>
      </c>
      <c r="E19" s="12" t="n">
        <v>0.2997605994002729</v>
      </c>
      <c r="F19" s="12" t="n">
        <v>0.3335379313451662</v>
      </c>
      <c r="G19" s="12" t="n">
        <v>0.3695329695081925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South Kaweah Mutual Water Company</t>
        </is>
      </c>
    </row>
    <row r="2">
      <c r="A2" s="2" t="inlineStr">
        <is>
          <t>Unit economics - per-customer revenue by category (USD)</t>
        </is>
      </c>
    </row>
    <row r="3">
      <c r="A3" s="2" t="inlineStr">
        <is>
          <t>Entity ID: cawc_0082   |   Fiscal year ends August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South Kaweah Mutual Water Company</t>
        </is>
      </c>
    </row>
    <row r="2">
      <c r="A2" s="2" t="inlineStr">
        <is>
          <t>Rate structure and representative bill - eAR Section 8a</t>
        </is>
      </c>
    </row>
    <row r="3">
      <c r="A3" s="2" t="inlineStr">
        <is>
          <t>Entity ID: cawc_0082   |   Fiscal year ends August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South Kaweah Mutual Water Company</t>
        </is>
      </c>
    </row>
    <row r="2">
      <c r="A2" s="2" t="inlineStr">
        <is>
          <t>Operational metrics - plant per acre, density, terrain</t>
        </is>
      </c>
    </row>
    <row r="3">
      <c r="A3" s="2" t="inlineStr">
        <is>
          <t>Entity ID: cawc_0082   |   Fiscal year ends August 31.</t>
        </is>
      </c>
    </row>
    <row r="5">
      <c r="A5" s="6" t="inlineStr">
        <is>
          <t>Plant assets per acre</t>
        </is>
      </c>
      <c r="B5" s="7" t="n"/>
      <c r="C5" s="7" t="n"/>
    </row>
    <row r="6">
      <c r="A6" s="20" t="inlineStr">
        <is>
          <t>Service-area acres</t>
        </is>
      </c>
      <c r="B6" s="26" t="n">
        <v>132</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7941.053</v>
      </c>
      <c r="C8" s="9" t="n">
        <v>5803.7652</v>
      </c>
    </row>
    <row r="9">
      <c r="A9" s="18" t="inlineStr">
        <is>
          <t>FY2022</t>
        </is>
      </c>
      <c r="B9" s="9" t="n">
        <v>7831.3788</v>
      </c>
      <c r="C9" s="9" t="n">
        <v>5385.5303</v>
      </c>
    </row>
    <row r="10">
      <c r="A10" s="18" t="inlineStr">
        <is>
          <t>FY2023</t>
        </is>
      </c>
      <c r="B10" s="9" t="n">
        <v>9271.893899999999</v>
      </c>
      <c r="C10" s="9" t="n">
        <v>6492.5455</v>
      </c>
    </row>
    <row r="11">
      <c r="A11" s="18" t="inlineStr">
        <is>
          <t>FY2024</t>
        </is>
      </c>
      <c r="B11" s="9" t="n">
        <v>9417.3333</v>
      </c>
      <c r="C11" s="9" t="n">
        <v>6276.2955</v>
      </c>
    </row>
    <row r="12">
      <c r="A12" s="18" t="inlineStr">
        <is>
          <t>FY2025</t>
        </is>
      </c>
      <c r="B12" s="9" t="n">
        <v>9417.3333</v>
      </c>
      <c r="C12" s="9" t="n">
        <v>5937.3182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1.08</v>
      </c>
      <c r="C19" s="22" t="inlineStr">
        <is>
          <t>142 connections / 132.0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South Kaweah Mutual Water Company</t>
        </is>
      </c>
    </row>
    <row r="2">
      <c r="A2" s="2" t="inlineStr">
        <is>
          <t>Supply and weather indicators (DWR water year)</t>
        </is>
      </c>
    </row>
    <row r="3">
      <c r="A3" s="2" t="inlineStr">
        <is>
          <t>Entity ID: cawc_0082   |   Fiscal year ends August 31.</t>
        </is>
      </c>
    </row>
    <row r="5" ht="96" customHeight="1">
      <c r="A5" s="3" t="inlineStr">
        <is>
          <t>Reporting calendar: Different reporting periods. The DWR water year runs October 1 to September 30; this system's fiscal year ends August 31, so the two period ends are one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South Kaweah Mutual Water Company</t>
        </is>
      </c>
    </row>
    <row r="2">
      <c r="A2" s="2" t="inlineStr">
        <is>
          <t>How this was built - forensic lineage</t>
        </is>
      </c>
    </row>
    <row r="3">
      <c r="A3" s="2" t="inlineStr">
        <is>
          <t>Entity ID: cawc_0082   |   Fiscal year ends August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91"/>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South Kaweah Mutual Water Company</t>
        </is>
      </c>
    </row>
    <row r="2">
      <c r="A2" s="2" t="inlineStr">
        <is>
          <t>Sources &amp; audit - full provenance and tie-outs (kept off the statements so they read clean)</t>
        </is>
      </c>
    </row>
    <row r="3">
      <c r="A3" s="2" t="inlineStr">
        <is>
          <t>Entity ID: cawc_0082   |   Fiscal year ends August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2020-08-31</t>
        </is>
      </c>
      <c r="C10" s="8" t="inlineStr">
        <is>
          <t>990-EZ</t>
        </is>
      </c>
      <c r="D10" s="8" t="inlineStr">
        <is>
          <t>high</t>
        </is>
      </c>
      <c r="E10" s="8" t="inlineStr">
        <is>
          <t>f730621d-b2d0-4ed3-921d-c96f2fcb59de</t>
        </is>
      </c>
      <c r="F10" s="8" t="inlineStr">
        <is>
          <t>202023119349201902</t>
        </is>
      </c>
      <c r="G10" s="8" t="inlineStr">
        <is>
          <t>claude-opus-5</t>
        </is>
      </c>
      <c r="H10" s="8" t="inlineStr">
        <is>
          <t>2026-09-21T02:50:01+00:00</t>
        </is>
      </c>
      <c r="I10" s="8" t="inlineStr">
        <is>
          <t>https://apps.irs.gov/pub/epostcard/990/xml/2020/download990xml_2020_5.zip#202023119349201902_public.xml</t>
        </is>
      </c>
    </row>
    <row r="11">
      <c r="A11" s="27" t="inlineStr">
        <is>
          <t>FY2021</t>
        </is>
      </c>
      <c r="B11" s="8" t="inlineStr">
        <is>
          <t>2021-08-31</t>
        </is>
      </c>
      <c r="C11" s="8" t="inlineStr">
        <is>
          <t>990</t>
        </is>
      </c>
      <c r="D11" s="8" t="inlineStr">
        <is>
          <t>high</t>
        </is>
      </c>
      <c r="E11" s="8" t="inlineStr">
        <is>
          <t>bd95c6c7-b465-4108-9361-4efdd6e9716e</t>
        </is>
      </c>
      <c r="F11" s="8" t="inlineStr">
        <is>
          <t>202221969349300837</t>
        </is>
      </c>
      <c r="G11" s="8" t="inlineStr">
        <is>
          <t>claude-opus-5</t>
        </is>
      </c>
      <c r="H11" s="8" t="inlineStr">
        <is>
          <t>2026-09-21T02:50:01+00:00</t>
        </is>
      </c>
      <c r="I11" s="8" t="inlineStr">
        <is>
          <t>https://apps.irs.gov/pub/epostcard/990/xml/2022/2022_TEOS_XML_01A.zip#202221969349300837_public.xml</t>
        </is>
      </c>
    </row>
    <row r="12">
      <c r="A12" s="27" t="inlineStr">
        <is>
          <t>FY2022</t>
        </is>
      </c>
      <c r="B12" s="8" t="inlineStr">
        <is>
          <t>2022-08-31</t>
        </is>
      </c>
      <c r="C12" s="8" t="inlineStr">
        <is>
          <t>990</t>
        </is>
      </c>
      <c r="D12" s="8" t="inlineStr">
        <is>
          <t>high</t>
        </is>
      </c>
      <c r="E12" s="8" t="inlineStr">
        <is>
          <t>24a0154f-235c-45aa-a5e8-89ecbc1dd7b6</t>
        </is>
      </c>
      <c r="F12" s="8" t="inlineStr">
        <is>
          <t>202311949349301976</t>
        </is>
      </c>
      <c r="G12" s="8" t="inlineStr">
        <is>
          <t>claude-opus-5</t>
        </is>
      </c>
      <c r="H12" s="8" t="inlineStr">
        <is>
          <t>2026-09-21T02:50:01+00:00</t>
        </is>
      </c>
      <c r="I12" s="8" t="inlineStr">
        <is>
          <t>https://apps.irs.gov/pub/epostcard/990/xml/2023/2023_TEOS_XML_07A.zip#202311949349301976_public.xml</t>
        </is>
      </c>
    </row>
    <row r="13">
      <c r="A13" s="27" t="inlineStr">
        <is>
          <t>FY2023</t>
        </is>
      </c>
      <c r="B13" s="8" t="inlineStr">
        <is>
          <t>2023-08-31</t>
        </is>
      </c>
      <c r="C13" s="8" t="inlineStr">
        <is>
          <t>990</t>
        </is>
      </c>
      <c r="D13" s="8" t="inlineStr">
        <is>
          <t>high</t>
        </is>
      </c>
      <c r="E13" s="8" t="inlineStr">
        <is>
          <t>c6a19f5b-e10a-4260-90f9-d8578a757a46</t>
        </is>
      </c>
      <c r="F13" s="8" t="inlineStr">
        <is>
          <t>202441929349301224</t>
        </is>
      </c>
      <c r="G13" s="8" t="inlineStr">
        <is>
          <t>claude-opus-5</t>
        </is>
      </c>
      <c r="H13" s="8" t="inlineStr">
        <is>
          <t>2026-09-21T02:50:01+00:00</t>
        </is>
      </c>
      <c r="I13" s="8" t="inlineStr">
        <is>
          <t>https://apps.irs.gov/pub/epostcard/990/xml/2024/2024_TEOS_XML_07A.zip#202441929349301224_public.xml</t>
        </is>
      </c>
    </row>
    <row r="14">
      <c r="A14" s="27" t="inlineStr">
        <is>
          <t>FY2024</t>
        </is>
      </c>
      <c r="B14" s="8" t="inlineStr">
        <is>
          <t>2024-08-31</t>
        </is>
      </c>
      <c r="C14" s="8" t="inlineStr">
        <is>
          <t>990</t>
        </is>
      </c>
      <c r="D14" s="8" t="inlineStr">
        <is>
          <t>high</t>
        </is>
      </c>
      <c r="E14" s="8" t="inlineStr">
        <is>
          <t>64fb2b04-f211-46c3-9b9f-50ab0fe93db0</t>
        </is>
      </c>
      <c r="F14" s="8" t="inlineStr">
        <is>
          <t>202501749349301270</t>
        </is>
      </c>
      <c r="G14" s="8" t="inlineStr">
        <is>
          <t>claude-opus-5</t>
        </is>
      </c>
      <c r="H14" s="8" t="inlineStr">
        <is>
          <t>2026-09-21T02:50:01+00:00</t>
        </is>
      </c>
      <c r="I14" s="8" t="inlineStr">
        <is>
          <t>https://apps.irs.gov/pub/epostcard/990/xml/2025/2025_TEOS_XML_06A.zip#202501749349301270_public.xml</t>
        </is>
      </c>
    </row>
    <row r="15">
      <c r="A15" s="27" t="inlineStr">
        <is>
          <t>FY2025</t>
        </is>
      </c>
      <c r="B15" s="8" t="inlineStr">
        <is>
          <t>2025-08-31</t>
        </is>
      </c>
      <c r="C15" s="8" t="inlineStr">
        <is>
          <t>990</t>
        </is>
      </c>
      <c r="D15" s="8" t="inlineStr">
        <is>
          <t>high</t>
        </is>
      </c>
      <c r="E15" s="8" t="inlineStr">
        <is>
          <t>8e60abd0-d5d9-493f-8da9-56653245f0c4</t>
        </is>
      </c>
      <c r="F15" s="8" t="inlineStr">
        <is>
          <t>202513299349301161</t>
        </is>
      </c>
      <c r="G15" s="8" t="inlineStr">
        <is>
          <t>claude-opus-5</t>
        </is>
      </c>
      <c r="H15" s="8" t="inlineStr">
        <is>
          <t>2026-09-21T02:50:01+00:00</t>
        </is>
      </c>
      <c r="I15" s="8" t="inlineStr">
        <is>
          <t>https://apps.irs.gov/pub/epostcard/990/xml/2025/2025_TEOS_XML_12A.zip#202513299349301161_public.xml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246791</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188724</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207139</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231581</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232024</v>
      </c>
    </row>
    <row r="24">
      <c r="A24" s="8" t="inlineStr">
        <is>
          <t>Financial Statements</t>
        </is>
      </c>
      <c r="B24" s="8" t="inlineStr">
        <is>
          <t>B74</t>
        </is>
      </c>
      <c r="C24" s="8" t="inlineStr">
        <is>
          <t>11b. Gross income from other sources</t>
        </is>
      </c>
      <c r="D24" s="8" t="inlineStr">
        <is>
          <t>11b</t>
        </is>
      </c>
      <c r="E24" s="8" t="inlineStr">
        <is>
          <t>part_v_other_irs_filings.other_sources_gross_income</t>
        </is>
      </c>
      <c r="F24" s="8" t="inlineStr">
        <is>
          <t>high</t>
        </is>
      </c>
      <c r="G24" s="9" t="n">
        <v>112</v>
      </c>
    </row>
    <row r="25">
      <c r="A25" s="8" t="inlineStr">
        <is>
          <t>Financial Statements</t>
        </is>
      </c>
      <c r="B25" s="8" t="inlineStr">
        <is>
          <t>C74</t>
        </is>
      </c>
      <c r="C25" s="8" t="inlineStr">
        <is>
          <t>11b. Gross income from other sources</t>
        </is>
      </c>
      <c r="D25" s="8" t="inlineStr">
        <is>
          <t>11b</t>
        </is>
      </c>
      <c r="E25" s="8" t="inlineStr">
        <is>
          <t>part_v_other_irs_filings.other_sources_gross_income</t>
        </is>
      </c>
      <c r="F25" s="8" t="inlineStr">
        <is>
          <t>high</t>
        </is>
      </c>
      <c r="G25" s="9" t="n">
        <v>154</v>
      </c>
    </row>
    <row r="26">
      <c r="A26" s="8" t="inlineStr">
        <is>
          <t>Financial Statements</t>
        </is>
      </c>
      <c r="B26" s="8" t="inlineStr">
        <is>
          <t>D74</t>
        </is>
      </c>
      <c r="C26" s="8" t="inlineStr">
        <is>
          <t>11b. Gross income from other sources</t>
        </is>
      </c>
      <c r="D26" s="8" t="inlineStr">
        <is>
          <t>11b</t>
        </is>
      </c>
      <c r="E26" s="8" t="inlineStr">
        <is>
          <t>part_v_other_irs_filings.other_sources_gross_income</t>
        </is>
      </c>
      <c r="F26" s="8" t="inlineStr">
        <is>
          <t>high</t>
        </is>
      </c>
      <c r="G26" s="9" t="n">
        <v>0</v>
      </c>
    </row>
    <row r="27">
      <c r="A27" s="8" t="inlineStr">
        <is>
          <t>Financial Statements</t>
        </is>
      </c>
      <c r="B27" s="8" t="inlineStr">
        <is>
          <t>E74</t>
        </is>
      </c>
      <c r="C27" s="8" t="inlineStr">
        <is>
          <t>11b. Gross income from other sources</t>
        </is>
      </c>
      <c r="D27" s="8" t="inlineStr">
        <is>
          <t>11b</t>
        </is>
      </c>
      <c r="E27" s="8" t="inlineStr">
        <is>
          <t>part_v_other_irs_filings.other_sources_gross_income</t>
        </is>
      </c>
      <c r="F27" s="8" t="inlineStr">
        <is>
          <t>high</t>
        </is>
      </c>
      <c r="G27" s="9" t="n">
        <v>80</v>
      </c>
    </row>
    <row r="28">
      <c r="A28" s="8" t="inlineStr">
        <is>
          <t>Financial Statements</t>
        </is>
      </c>
      <c r="B28" s="8" t="inlineStr">
        <is>
          <t>F74</t>
        </is>
      </c>
      <c r="C28" s="8" t="inlineStr">
        <is>
          <t>11b. Gross income from other sources</t>
        </is>
      </c>
      <c r="D28" s="8" t="inlineStr">
        <is>
          <t>11b</t>
        </is>
      </c>
      <c r="E28" s="8" t="inlineStr">
        <is>
          <t>part_v_other_irs_filings.other_sources_gross_income</t>
        </is>
      </c>
      <c r="F28" s="8" t="inlineStr">
        <is>
          <t>high</t>
        </is>
      </c>
      <c r="G28" s="9" t="n">
        <v>87</v>
      </c>
    </row>
    <row r="29">
      <c r="A29" s="8" t="inlineStr">
        <is>
          <t>Revenue (detail)</t>
        </is>
      </c>
      <c r="B29" s="8" t="inlineStr">
        <is>
          <t>B8</t>
        </is>
      </c>
      <c r="C29" s="8" t="inlineStr">
        <is>
          <t>2g. Total program service revenue</t>
        </is>
      </c>
      <c r="D29" s="8" t="inlineStr">
        <is>
          <t>2g</t>
        </is>
      </c>
      <c r="E29" s="8" t="inlineStr">
        <is>
          <t>part_viii_revenue.total_program_service_revenue</t>
        </is>
      </c>
      <c r="F29" s="8" t="inlineStr">
        <is>
          <t>high</t>
        </is>
      </c>
      <c r="G29" s="9" t="n">
        <v>246791</v>
      </c>
    </row>
    <row r="30">
      <c r="A30" s="8" t="inlineStr">
        <is>
          <t>Revenue (detail)</t>
        </is>
      </c>
      <c r="B30" s="8" t="inlineStr">
        <is>
          <t>C8</t>
        </is>
      </c>
      <c r="C30" s="8" t="inlineStr">
        <is>
          <t>2g. Total program service revenue</t>
        </is>
      </c>
      <c r="D30" s="8" t="inlineStr">
        <is>
          <t>2g</t>
        </is>
      </c>
      <c r="E30" s="8" t="inlineStr">
        <is>
          <t>part_viii_revenue.total_program_service_revenue</t>
        </is>
      </c>
      <c r="F30" s="8" t="inlineStr">
        <is>
          <t>high</t>
        </is>
      </c>
      <c r="G30" s="9" t="n">
        <v>188724</v>
      </c>
    </row>
    <row r="31">
      <c r="A31" s="8" t="inlineStr">
        <is>
          <t>Revenue (detail)</t>
        </is>
      </c>
      <c r="B31" s="8" t="inlineStr">
        <is>
          <t>D8</t>
        </is>
      </c>
      <c r="C31" s="8" t="inlineStr">
        <is>
          <t>2g. Total program service revenue</t>
        </is>
      </c>
      <c r="D31" s="8" t="inlineStr">
        <is>
          <t>2g</t>
        </is>
      </c>
      <c r="E31" s="8" t="inlineStr">
        <is>
          <t>part_viii_revenue.total_program_service_revenue</t>
        </is>
      </c>
      <c r="F31" s="8" t="inlineStr">
        <is>
          <t>high</t>
        </is>
      </c>
      <c r="G31" s="9" t="n">
        <v>207139</v>
      </c>
    </row>
    <row r="32">
      <c r="A32" s="8" t="inlineStr">
        <is>
          <t>Revenue (detail)</t>
        </is>
      </c>
      <c r="B32" s="8" t="inlineStr">
        <is>
          <t>E8</t>
        </is>
      </c>
      <c r="C32" s="8" t="inlineStr">
        <is>
          <t>2g. Total program service revenue</t>
        </is>
      </c>
      <c r="D32" s="8" t="inlineStr">
        <is>
          <t>2g</t>
        </is>
      </c>
      <c r="E32" s="8" t="inlineStr">
        <is>
          <t>part_viii_revenue.total_program_service_revenue</t>
        </is>
      </c>
      <c r="F32" s="8" t="inlineStr">
        <is>
          <t>high</t>
        </is>
      </c>
      <c r="G32" s="9" t="n">
        <v>231581</v>
      </c>
    </row>
    <row r="33">
      <c r="A33" s="8" t="inlineStr">
        <is>
          <t>Revenue (detail)</t>
        </is>
      </c>
      <c r="B33" s="8" t="inlineStr">
        <is>
          <t>F8</t>
        </is>
      </c>
      <c r="C33" s="8" t="inlineStr">
        <is>
          <t>2g. Total program service revenue</t>
        </is>
      </c>
      <c r="D33" s="8" t="inlineStr">
        <is>
          <t>2g</t>
        </is>
      </c>
      <c r="E33" s="8" t="inlineStr">
        <is>
          <t>part_viii_revenue.total_program_service_revenue</t>
        </is>
      </c>
      <c r="F33" s="8" t="inlineStr">
        <is>
          <t>high</t>
        </is>
      </c>
      <c r="G33" s="9" t="n">
        <v>232024</v>
      </c>
    </row>
    <row r="34">
      <c r="A34" s="8" t="inlineStr">
        <is>
          <t>Revenue (detail)</t>
        </is>
      </c>
      <c r="B34" s="8" t="inlineStr">
        <is>
          <t>B9</t>
        </is>
      </c>
      <c r="C34" s="8" t="inlineStr">
        <is>
          <t>3. Investment income</t>
        </is>
      </c>
      <c r="D34" s="8" t="inlineStr">
        <is>
          <t>3</t>
        </is>
      </c>
      <c r="E34" s="8" t="inlineStr">
        <is>
          <t>part_viii_revenue.investment_income</t>
        </is>
      </c>
      <c r="F34" s="8" t="inlineStr">
        <is>
          <t>high</t>
        </is>
      </c>
      <c r="G34" s="9" t="n">
        <v>112</v>
      </c>
    </row>
    <row r="35">
      <c r="A35" s="8" t="inlineStr">
        <is>
          <t>Revenue (detail)</t>
        </is>
      </c>
      <c r="B35" s="8" t="inlineStr">
        <is>
          <t>C9</t>
        </is>
      </c>
      <c r="C35" s="8" t="inlineStr">
        <is>
          <t>3. Investment income</t>
        </is>
      </c>
      <c r="D35" s="8" t="inlineStr">
        <is>
          <t>3</t>
        </is>
      </c>
      <c r="E35" s="8" t="inlineStr">
        <is>
          <t>part_viii_revenue.investment_income</t>
        </is>
      </c>
      <c r="F35" s="8" t="inlineStr">
        <is>
          <t>high</t>
        </is>
      </c>
      <c r="G35" s="9" t="n">
        <v>154</v>
      </c>
    </row>
    <row r="36">
      <c r="A36" s="8" t="inlineStr">
        <is>
          <t>Revenue (detail)</t>
        </is>
      </c>
      <c r="B36" s="8" t="inlineStr">
        <is>
          <t>D9</t>
        </is>
      </c>
      <c r="C36" s="8" t="inlineStr">
        <is>
          <t>3. Investment income</t>
        </is>
      </c>
      <c r="D36" s="8" t="inlineStr">
        <is>
          <t>3</t>
        </is>
      </c>
      <c r="E36" s="8" t="inlineStr">
        <is>
          <t>part_viii_revenue.investment_income</t>
        </is>
      </c>
      <c r="F36" s="8" t="inlineStr">
        <is>
          <t>high</t>
        </is>
      </c>
      <c r="G36" s="9" t="n">
        <v>50</v>
      </c>
    </row>
    <row r="37">
      <c r="A37" s="8" t="inlineStr">
        <is>
          <t>Revenue (detail)</t>
        </is>
      </c>
      <c r="B37" s="8" t="inlineStr">
        <is>
          <t>E9</t>
        </is>
      </c>
      <c r="C37" s="8" t="inlineStr">
        <is>
          <t>3. Investment income</t>
        </is>
      </c>
      <c r="D37" s="8" t="inlineStr">
        <is>
          <t>3</t>
        </is>
      </c>
      <c r="E37" s="8" t="inlineStr">
        <is>
          <t>part_viii_revenue.investment_income</t>
        </is>
      </c>
      <c r="F37" s="8" t="inlineStr">
        <is>
          <t>high</t>
        </is>
      </c>
      <c r="G37" s="9" t="n">
        <v>80</v>
      </c>
    </row>
    <row r="38">
      <c r="A38" s="8" t="inlineStr">
        <is>
          <t>Revenue (detail)</t>
        </is>
      </c>
      <c r="B38" s="8" t="inlineStr">
        <is>
          <t>F9</t>
        </is>
      </c>
      <c r="C38" s="8" t="inlineStr">
        <is>
          <t>3. Investment income</t>
        </is>
      </c>
      <c r="D38" s="8" t="inlineStr">
        <is>
          <t>3</t>
        </is>
      </c>
      <c r="E38" s="8" t="inlineStr">
        <is>
          <t>part_viii_revenue.investment_income</t>
        </is>
      </c>
      <c r="F38" s="8" t="inlineStr">
        <is>
          <t>high</t>
        </is>
      </c>
      <c r="G38" s="9" t="n">
        <v>87</v>
      </c>
    </row>
    <row r="39">
      <c r="A39" s="8" t="inlineStr">
        <is>
          <t>Operating expenses (detail)</t>
        </is>
      </c>
      <c r="B39" s="8" t="inlineStr">
        <is>
          <t>B7</t>
        </is>
      </c>
      <c r="C39" s="8" t="inlineStr">
        <is>
          <t>11c. Fees for services: accounting</t>
        </is>
      </c>
      <c r="D39" s="8" t="inlineStr">
        <is>
          <t>11c</t>
        </is>
      </c>
      <c r="E39" s="8" t="inlineStr">
        <is>
          <t>part_ix_expenses.fees_accounting</t>
        </is>
      </c>
      <c r="F39" s="8" t="inlineStr">
        <is>
          <t>high</t>
        </is>
      </c>
      <c r="G39" s="9" t="n">
        <v>13748</v>
      </c>
    </row>
    <row r="40">
      <c r="A40" s="8" t="inlineStr">
        <is>
          <t>Operating expenses (detail)</t>
        </is>
      </c>
      <c r="B40" s="8" t="inlineStr">
        <is>
          <t>C7</t>
        </is>
      </c>
      <c r="C40" s="8" t="inlineStr">
        <is>
          <t>11c. Fees for services: accounting</t>
        </is>
      </c>
      <c r="D40" s="8" t="inlineStr">
        <is>
          <t>11c</t>
        </is>
      </c>
      <c r="E40" s="8" t="inlineStr">
        <is>
          <t>part_ix_expenses.fees_accounting</t>
        </is>
      </c>
      <c r="F40" s="8" t="inlineStr">
        <is>
          <t>high</t>
        </is>
      </c>
      <c r="G40" s="9" t="n">
        <v>19167</v>
      </c>
    </row>
    <row r="41">
      <c r="A41" s="8" t="inlineStr">
        <is>
          <t>Operating expenses (detail)</t>
        </is>
      </c>
      <c r="B41" s="8" t="inlineStr">
        <is>
          <t>D7</t>
        </is>
      </c>
      <c r="C41" s="8" t="inlineStr">
        <is>
          <t>11c. Fees for services: accounting</t>
        </is>
      </c>
      <c r="D41" s="8" t="inlineStr">
        <is>
          <t>11c</t>
        </is>
      </c>
      <c r="E41" s="8" t="inlineStr">
        <is>
          <t>part_ix_expenses.fees_accounting</t>
        </is>
      </c>
      <c r="F41" s="8" t="inlineStr">
        <is>
          <t>high</t>
        </is>
      </c>
      <c r="G41" s="9" t="n">
        <v>25519</v>
      </c>
    </row>
    <row r="42">
      <c r="A42" s="8" t="inlineStr">
        <is>
          <t>Operating expenses (detail)</t>
        </is>
      </c>
      <c r="B42" s="8" t="inlineStr">
        <is>
          <t>E7</t>
        </is>
      </c>
      <c r="C42" s="8" t="inlineStr">
        <is>
          <t>11c. Fees for services: accounting</t>
        </is>
      </c>
      <c r="D42" s="8" t="inlineStr">
        <is>
          <t>11c</t>
        </is>
      </c>
      <c r="E42" s="8" t="inlineStr">
        <is>
          <t>part_ix_expenses.fees_accounting</t>
        </is>
      </c>
      <c r="F42" s="8" t="inlineStr">
        <is>
          <t>high</t>
        </is>
      </c>
      <c r="G42" s="9" t="n">
        <v>10668</v>
      </c>
    </row>
    <row r="43">
      <c r="A43" s="8" t="inlineStr">
        <is>
          <t>Operating expenses (detail)</t>
        </is>
      </c>
      <c r="B43" s="8" t="inlineStr">
        <is>
          <t>F7</t>
        </is>
      </c>
      <c r="C43" s="8" t="inlineStr">
        <is>
          <t>11c. Fees for services: accounting</t>
        </is>
      </c>
      <c r="D43" s="8" t="inlineStr">
        <is>
          <t>11c</t>
        </is>
      </c>
      <c r="E43" s="8" t="inlineStr">
        <is>
          <t>part_ix_expenses.fees_accounting</t>
        </is>
      </c>
      <c r="F43" s="8" t="inlineStr">
        <is>
          <t>high</t>
        </is>
      </c>
      <c r="G43" s="9" t="n">
        <v>16480</v>
      </c>
    </row>
    <row r="44">
      <c r="A44" s="8" t="inlineStr">
        <is>
          <t>Operating expenses (detail)</t>
        </is>
      </c>
      <c r="B44" s="8" t="inlineStr">
        <is>
          <t>B8</t>
        </is>
      </c>
      <c r="C44" s="8" t="inlineStr">
        <is>
          <t>13. Office expenses</t>
        </is>
      </c>
      <c r="D44" s="8" t="inlineStr">
        <is>
          <t>13</t>
        </is>
      </c>
      <c r="E44" s="8" t="inlineStr">
        <is>
          <t>part_ix_expenses.office_expenses</t>
        </is>
      </c>
      <c r="F44" s="8" t="inlineStr">
        <is>
          <t>high</t>
        </is>
      </c>
      <c r="G44" s="9" t="n">
        <v>3793</v>
      </c>
    </row>
    <row r="45">
      <c r="A45" s="8" t="inlineStr">
        <is>
          <t>Operating expenses (detail)</t>
        </is>
      </c>
      <c r="B45" s="8" t="inlineStr">
        <is>
          <t>C8</t>
        </is>
      </c>
      <c r="C45" s="8" t="inlineStr">
        <is>
          <t>13. Office expenses</t>
        </is>
      </c>
      <c r="D45" s="8" t="inlineStr">
        <is>
          <t>13</t>
        </is>
      </c>
      <c r="E45" s="8" t="inlineStr">
        <is>
          <t>part_ix_expenses.office_expenses</t>
        </is>
      </c>
      <c r="F45" s="8" t="inlineStr">
        <is>
          <t>high</t>
        </is>
      </c>
      <c r="G45" s="9" t="n">
        <v>2337</v>
      </c>
    </row>
    <row r="46">
      <c r="A46" s="8" t="inlineStr">
        <is>
          <t>Operating expenses (detail)</t>
        </is>
      </c>
      <c r="B46" s="8" t="inlineStr">
        <is>
          <t>D8</t>
        </is>
      </c>
      <c r="C46" s="8" t="inlineStr">
        <is>
          <t>13. Office expenses</t>
        </is>
      </c>
      <c r="D46" s="8" t="inlineStr">
        <is>
          <t>13</t>
        </is>
      </c>
      <c r="E46" s="8" t="inlineStr">
        <is>
          <t>part_ix_expenses.office_expenses</t>
        </is>
      </c>
      <c r="F46" s="8" t="inlineStr">
        <is>
          <t>high</t>
        </is>
      </c>
      <c r="G46" s="9" t="n">
        <v>1987</v>
      </c>
    </row>
    <row r="47">
      <c r="A47" s="8" t="inlineStr">
        <is>
          <t>Operating expenses (detail)</t>
        </is>
      </c>
      <c r="B47" s="8" t="inlineStr">
        <is>
          <t>E8</t>
        </is>
      </c>
      <c r="C47" s="8" t="inlineStr">
        <is>
          <t>13. Office expenses</t>
        </is>
      </c>
      <c r="D47" s="8" t="inlineStr">
        <is>
          <t>13</t>
        </is>
      </c>
      <c r="E47" s="8" t="inlineStr">
        <is>
          <t>part_ix_expenses.office_expenses</t>
        </is>
      </c>
      <c r="F47" s="8" t="inlineStr">
        <is>
          <t>high</t>
        </is>
      </c>
      <c r="G47" s="9" t="n">
        <v>2125</v>
      </c>
    </row>
    <row r="48">
      <c r="A48" s="8" t="inlineStr">
        <is>
          <t>Operating expenses (detail)</t>
        </is>
      </c>
      <c r="B48" s="8" t="inlineStr">
        <is>
          <t>F8</t>
        </is>
      </c>
      <c r="C48" s="8" t="inlineStr">
        <is>
          <t>13. Office expenses</t>
        </is>
      </c>
      <c r="D48" s="8" t="inlineStr">
        <is>
          <t>13</t>
        </is>
      </c>
      <c r="E48" s="8" t="inlineStr">
        <is>
          <t>part_ix_expenses.office_expenses</t>
        </is>
      </c>
      <c r="F48" s="8" t="inlineStr">
        <is>
          <t>high</t>
        </is>
      </c>
      <c r="G48" s="9" t="n">
        <v>2379</v>
      </c>
    </row>
    <row r="49">
      <c r="A49" s="8" t="inlineStr">
        <is>
          <t>Operating expenses (detail)</t>
        </is>
      </c>
      <c r="B49" s="8" t="inlineStr">
        <is>
          <t>B9</t>
        </is>
      </c>
      <c r="C49" s="8" t="inlineStr">
        <is>
          <t>20. Interest</t>
        </is>
      </c>
      <c r="D49" s="8" t="inlineStr">
        <is>
          <t>20</t>
        </is>
      </c>
      <c r="E49" s="8" t="inlineStr">
        <is>
          <t>part_ix_expenses.interest</t>
        </is>
      </c>
      <c r="F49" s="8" t="inlineStr">
        <is>
          <t>high</t>
        </is>
      </c>
      <c r="G49" s="9" t="n">
        <v>1540</v>
      </c>
    </row>
    <row r="50">
      <c r="A50" s="8" t="inlineStr">
        <is>
          <t>Operating expenses (detail)</t>
        </is>
      </c>
      <c r="B50" s="8" t="inlineStr">
        <is>
          <t>C9</t>
        </is>
      </c>
      <c r="C50" s="8" t="inlineStr">
        <is>
          <t>20. Interest</t>
        </is>
      </c>
      <c r="D50" s="8" t="inlineStr">
        <is>
          <t>20</t>
        </is>
      </c>
      <c r="E50" s="8" t="inlineStr">
        <is>
          <t>part_ix_expenses.interest</t>
        </is>
      </c>
      <c r="F50" s="8" t="inlineStr">
        <is>
          <t>high</t>
        </is>
      </c>
      <c r="G50" s="9" t="n">
        <v>18721</v>
      </c>
    </row>
    <row r="51">
      <c r="A51" s="8" t="inlineStr">
        <is>
          <t>Operating expenses (detail)</t>
        </is>
      </c>
      <c r="B51" s="8" t="inlineStr">
        <is>
          <t>D9</t>
        </is>
      </c>
      <c r="C51" s="8" t="inlineStr">
        <is>
          <t>20. Interest</t>
        </is>
      </c>
      <c r="D51" s="8" t="inlineStr">
        <is>
          <t>20</t>
        </is>
      </c>
      <c r="E51" s="8" t="inlineStr">
        <is>
          <t>part_ix_expenses.interest</t>
        </is>
      </c>
      <c r="F51" s="8" t="inlineStr">
        <is>
          <t>high</t>
        </is>
      </c>
      <c r="G51" s="9" t="n">
        <v>18724</v>
      </c>
    </row>
    <row r="52">
      <c r="A52" s="8" t="inlineStr">
        <is>
          <t>Operating expenses (detail)</t>
        </is>
      </c>
      <c r="B52" s="8" t="inlineStr">
        <is>
          <t>E9</t>
        </is>
      </c>
      <c r="C52" s="8" t="inlineStr">
        <is>
          <t>20. Interest</t>
        </is>
      </c>
      <c r="D52" s="8" t="inlineStr">
        <is>
          <t>20</t>
        </is>
      </c>
      <c r="E52" s="8" t="inlineStr">
        <is>
          <t>part_ix_expenses.interest</t>
        </is>
      </c>
      <c r="F52" s="8" t="inlineStr">
        <is>
          <t>high</t>
        </is>
      </c>
      <c r="G52" s="9" t="n">
        <v>17874</v>
      </c>
    </row>
    <row r="53">
      <c r="A53" s="8" t="inlineStr">
        <is>
          <t>Operating expenses (detail)</t>
        </is>
      </c>
      <c r="B53" s="8" t="inlineStr">
        <is>
          <t>F9</t>
        </is>
      </c>
      <c r="C53" s="8" t="inlineStr">
        <is>
          <t>20. Interest</t>
        </is>
      </c>
      <c r="D53" s="8" t="inlineStr">
        <is>
          <t>20</t>
        </is>
      </c>
      <c r="E53" s="8" t="inlineStr">
        <is>
          <t>part_ix_expenses.interest</t>
        </is>
      </c>
      <c r="F53" s="8" t="inlineStr">
        <is>
          <t>high</t>
        </is>
      </c>
      <c r="G53" s="9" t="n">
        <v>17214</v>
      </c>
    </row>
    <row r="54">
      <c r="A54" s="8" t="inlineStr">
        <is>
          <t>Operating expenses (detail)</t>
        </is>
      </c>
      <c r="B54" s="8" t="inlineStr">
        <is>
          <t>B10</t>
        </is>
      </c>
      <c r="C54" s="8" t="inlineStr">
        <is>
          <t>22. Depreciation, depletion, and amortization</t>
        </is>
      </c>
      <c r="D54" s="8" t="inlineStr">
        <is>
          <t>22</t>
        </is>
      </c>
      <c r="E54" s="8" t="inlineStr">
        <is>
          <t>part_ix_expenses.depreciation</t>
        </is>
      </c>
      <c r="F54" s="8" t="inlineStr">
        <is>
          <t>high</t>
        </is>
      </c>
      <c r="G54" s="9" t="n">
        <v>11221</v>
      </c>
    </row>
    <row r="55">
      <c r="A55" s="8" t="inlineStr">
        <is>
          <t>Operating expenses (detail)</t>
        </is>
      </c>
      <c r="B55" s="8" t="inlineStr">
        <is>
          <t>C10</t>
        </is>
      </c>
      <c r="C55" s="8" t="inlineStr">
        <is>
          <t>22. Depreciation, depletion, and amortization</t>
        </is>
      </c>
      <c r="D55" s="8" t="inlineStr">
        <is>
          <t>22</t>
        </is>
      </c>
      <c r="E55" s="8" t="inlineStr">
        <is>
          <t>part_ix_expenses.depreciation</t>
        </is>
      </c>
      <c r="F55" s="8" t="inlineStr">
        <is>
          <t>high</t>
        </is>
      </c>
      <c r="G55" s="9" t="n">
        <v>40931</v>
      </c>
    </row>
    <row r="56">
      <c r="A56" s="8" t="inlineStr">
        <is>
          <t>Operating expenses (detail)</t>
        </is>
      </c>
      <c r="B56" s="8" t="inlineStr">
        <is>
          <t>D10</t>
        </is>
      </c>
      <c r="C56" s="8" t="inlineStr">
        <is>
          <t>22. Depreciation, depletion, and amortization</t>
        </is>
      </c>
      <c r="D56" s="8" t="inlineStr">
        <is>
          <t>22</t>
        </is>
      </c>
      <c r="E56" s="8" t="inlineStr">
        <is>
          <t>part_ix_expenses.depreciation</t>
        </is>
      </c>
      <c r="F56" s="8" t="inlineStr">
        <is>
          <t>high</t>
        </is>
      </c>
      <c r="G56" s="9" t="n">
        <v>43316</v>
      </c>
    </row>
    <row r="57">
      <c r="A57" s="8" t="inlineStr">
        <is>
          <t>Operating expenses (detail)</t>
        </is>
      </c>
      <c r="B57" s="8" t="inlineStr">
        <is>
          <t>E10</t>
        </is>
      </c>
      <c r="C57" s="8" t="inlineStr">
        <is>
          <t>22. Depreciation, depletion, and amortization</t>
        </is>
      </c>
      <c r="D57" s="8" t="inlineStr">
        <is>
          <t>22</t>
        </is>
      </c>
      <c r="E57" s="8" t="inlineStr">
        <is>
          <t>part_ix_expenses.depreciation</t>
        </is>
      </c>
      <c r="F57" s="8" t="inlineStr">
        <is>
          <t>high</t>
        </is>
      </c>
      <c r="G57" s="9" t="n">
        <v>47944</v>
      </c>
    </row>
    <row r="58">
      <c r="A58" s="8" t="inlineStr">
        <is>
          <t>Operating expenses (detail)</t>
        </is>
      </c>
      <c r="B58" s="8" t="inlineStr">
        <is>
          <t>F10</t>
        </is>
      </c>
      <c r="C58" s="8" t="inlineStr">
        <is>
          <t>22. Depreciation, depletion, and amortization</t>
        </is>
      </c>
      <c r="D58" s="8" t="inlineStr">
        <is>
          <t>22</t>
        </is>
      </c>
      <c r="E58" s="8" t="inlineStr">
        <is>
          <t>part_ix_expenses.depreciation</t>
        </is>
      </c>
      <c r="F58" s="8" t="inlineStr">
        <is>
          <t>high</t>
        </is>
      </c>
      <c r="G58" s="9" t="n">
        <v>48106</v>
      </c>
    </row>
    <row r="59">
      <c r="A59" s="8" t="inlineStr">
        <is>
          <t>Operating expenses (detail)</t>
        </is>
      </c>
      <c r="B59" s="8" t="inlineStr">
        <is>
          <t>B11</t>
        </is>
      </c>
      <c r="C59" s="8" t="inlineStr">
        <is>
          <t>23. Insurance</t>
        </is>
      </c>
      <c r="D59" s="8" t="inlineStr">
        <is>
          <t>23</t>
        </is>
      </c>
      <c r="E59" s="8" t="inlineStr">
        <is>
          <t>part_ix_expenses.insurance</t>
        </is>
      </c>
      <c r="F59" s="8" t="inlineStr">
        <is>
          <t>high</t>
        </is>
      </c>
      <c r="G59" s="9" t="n">
        <v>3193</v>
      </c>
    </row>
    <row r="60">
      <c r="A60" s="8" t="inlineStr">
        <is>
          <t>Operating expenses (detail)</t>
        </is>
      </c>
      <c r="B60" s="8" t="inlineStr">
        <is>
          <t>C11</t>
        </is>
      </c>
      <c r="C60" s="8" t="inlineStr">
        <is>
          <t>23. Insurance</t>
        </is>
      </c>
      <c r="D60" s="8" t="inlineStr">
        <is>
          <t>23</t>
        </is>
      </c>
      <c r="E60" s="8" t="inlineStr">
        <is>
          <t>part_ix_expenses.insurance</t>
        </is>
      </c>
      <c r="F60" s="8" t="inlineStr">
        <is>
          <t>high</t>
        </is>
      </c>
      <c r="G60" s="9" t="n">
        <v>3238</v>
      </c>
    </row>
    <row r="61">
      <c r="A61" s="8" t="inlineStr">
        <is>
          <t>Operating expenses (detail)</t>
        </is>
      </c>
      <c r="B61" s="8" t="inlineStr">
        <is>
          <t>D11</t>
        </is>
      </c>
      <c r="C61" s="8" t="inlineStr">
        <is>
          <t>23. Insurance</t>
        </is>
      </c>
      <c r="D61" s="8" t="inlineStr">
        <is>
          <t>23</t>
        </is>
      </c>
      <c r="E61" s="8" t="inlineStr">
        <is>
          <t>part_ix_expenses.insurance</t>
        </is>
      </c>
      <c r="F61" s="8" t="inlineStr">
        <is>
          <t>high</t>
        </is>
      </c>
      <c r="G61" s="9" t="n">
        <v>6742</v>
      </c>
    </row>
    <row r="62">
      <c r="A62" s="8" t="inlineStr">
        <is>
          <t>Operating expenses (detail)</t>
        </is>
      </c>
      <c r="B62" s="8" t="inlineStr">
        <is>
          <t>E11</t>
        </is>
      </c>
      <c r="C62" s="8" t="inlineStr">
        <is>
          <t>23. Insurance</t>
        </is>
      </c>
      <c r="D62" s="8" t="inlineStr">
        <is>
          <t>23</t>
        </is>
      </c>
      <c r="E62" s="8" t="inlineStr">
        <is>
          <t>part_ix_expenses.insurance</t>
        </is>
      </c>
      <c r="F62" s="8" t="inlineStr">
        <is>
          <t>high</t>
        </is>
      </c>
      <c r="G62" s="9" t="n">
        <v>6368</v>
      </c>
    </row>
    <row r="63">
      <c r="A63" s="8" t="inlineStr">
        <is>
          <t>Operating expenses (detail)</t>
        </is>
      </c>
      <c r="B63" s="8" t="inlineStr">
        <is>
          <t>F11</t>
        </is>
      </c>
      <c r="C63" s="8" t="inlineStr">
        <is>
          <t>23. Insurance</t>
        </is>
      </c>
      <c r="D63" s="8" t="inlineStr">
        <is>
          <t>23</t>
        </is>
      </c>
      <c r="E63" s="8" t="inlineStr">
        <is>
          <t>part_ix_expenses.insurance</t>
        </is>
      </c>
      <c r="F63" s="8" t="inlineStr">
        <is>
          <t>high</t>
        </is>
      </c>
      <c r="G63" s="9" t="n">
        <v>15555</v>
      </c>
    </row>
    <row r="64">
      <c r="A64" s="8" t="inlineStr">
        <is>
          <t>Operating expenses (detail)</t>
        </is>
      </c>
      <c r="B64" s="8" t="inlineStr">
        <is>
          <t>B17</t>
        </is>
      </c>
      <c r="C64" s="8" t="inlineStr">
        <is>
          <t>24e. All other expenses</t>
        </is>
      </c>
      <c r="D64" s="8" t="inlineStr">
        <is>
          <t>24e</t>
        </is>
      </c>
      <c r="E64" s="8" t="inlineStr">
        <is>
          <t>part_ix_expenses.all_other_expenses</t>
        </is>
      </c>
      <c r="F64" s="8" t="inlineStr">
        <is>
          <t>high</t>
        </is>
      </c>
      <c r="G64" s="9" t="n">
        <v>3707</v>
      </c>
    </row>
    <row r="65">
      <c r="A65" s="8" t="inlineStr">
        <is>
          <t>Operating expenses (detail)</t>
        </is>
      </c>
      <c r="B65" s="8" t="inlineStr">
        <is>
          <t>C17</t>
        </is>
      </c>
      <c r="C65" s="8" t="inlineStr">
        <is>
          <t>24e. All other expenses</t>
        </is>
      </c>
      <c r="D65" s="8" t="inlineStr">
        <is>
          <t>24e</t>
        </is>
      </c>
      <c r="E65" s="8" t="inlineStr">
        <is>
          <t>part_ix_expenses.all_other_expenses</t>
        </is>
      </c>
      <c r="F65" s="8" t="inlineStr">
        <is>
          <t>high</t>
        </is>
      </c>
      <c r="G65" s="9" t="n">
        <v>4786</v>
      </c>
    </row>
    <row r="66">
      <c r="A66" s="8" t="inlineStr">
        <is>
          <t>Operating expenses (detail)</t>
        </is>
      </c>
      <c r="B66" s="8" t="inlineStr">
        <is>
          <t>D17</t>
        </is>
      </c>
      <c r="C66" s="8" t="inlineStr">
        <is>
          <t>24e. All other expenses</t>
        </is>
      </c>
      <c r="D66" s="8" t="inlineStr">
        <is>
          <t>24e</t>
        </is>
      </c>
      <c r="E66" s="8" t="inlineStr">
        <is>
          <t>part_ix_expenses.all_other_expenses</t>
        </is>
      </c>
      <c r="F66" s="8" t="inlineStr">
        <is>
          <t>high</t>
        </is>
      </c>
      <c r="G66" s="9" t="n">
        <v>11835</v>
      </c>
    </row>
    <row r="67">
      <c r="A67" s="8" t="inlineStr">
        <is>
          <t>Operating expenses (detail)</t>
        </is>
      </c>
      <c r="B67" s="8" t="inlineStr">
        <is>
          <t>E17</t>
        </is>
      </c>
      <c r="C67" s="8" t="inlineStr">
        <is>
          <t>24e. All other expenses</t>
        </is>
      </c>
      <c r="D67" s="8" t="inlineStr">
        <is>
          <t>24e</t>
        </is>
      </c>
      <c r="E67" s="8" t="inlineStr">
        <is>
          <t>part_ix_expenses.all_other_expenses</t>
        </is>
      </c>
      <c r="F67" s="8" t="inlineStr">
        <is>
          <t>high</t>
        </is>
      </c>
      <c r="G67" s="9" t="n">
        <v>7721</v>
      </c>
    </row>
    <row r="68">
      <c r="A68" s="8" t="inlineStr">
        <is>
          <t>Operating expenses (detail)</t>
        </is>
      </c>
      <c r="B68" s="8" t="inlineStr">
        <is>
          <t>F17</t>
        </is>
      </c>
      <c r="C68" s="8" t="inlineStr">
        <is>
          <t>24e. All other expenses</t>
        </is>
      </c>
      <c r="D68" s="8" t="inlineStr">
        <is>
          <t>24e</t>
        </is>
      </c>
      <c r="E68" s="8" t="inlineStr">
        <is>
          <t>part_ix_expenses.all_other_expenses</t>
        </is>
      </c>
      <c r="F68" s="8" t="inlineStr">
        <is>
          <t>high</t>
        </is>
      </c>
      <c r="G68" s="9" t="n">
        <v>8463</v>
      </c>
    </row>
    <row r="69">
      <c r="A69" s="8" t="inlineStr">
        <is>
          <t>Balance sheet (detail)</t>
        </is>
      </c>
      <c r="B69" s="8" t="inlineStr">
        <is>
          <t>C7</t>
        </is>
      </c>
      <c r="C69" s="8" t="inlineStr">
        <is>
          <t>1. Cash - non-interest-bearing</t>
        </is>
      </c>
      <c r="D69" s="8" t="inlineStr">
        <is>
          <t>1E</t>
        </is>
      </c>
      <c r="E69" s="8" t="inlineStr">
        <is>
          <t>part_x_balance_sheet.cash_noninterest_eoy</t>
        </is>
      </c>
      <c r="F69" s="8" t="inlineStr">
        <is>
          <t>high</t>
        </is>
      </c>
      <c r="G69" s="9" t="n">
        <v>-1</v>
      </c>
    </row>
    <row r="70">
      <c r="A70" s="8" t="inlineStr">
        <is>
          <t>Balance sheet (detail)</t>
        </is>
      </c>
      <c r="B70" s="8" t="inlineStr">
        <is>
          <t>E7</t>
        </is>
      </c>
      <c r="C70" s="8" t="inlineStr">
        <is>
          <t>1. Cash - non-interest-bearing</t>
        </is>
      </c>
      <c r="D70" s="8" t="inlineStr">
        <is>
          <t>1E</t>
        </is>
      </c>
      <c r="E70" s="8" t="inlineStr">
        <is>
          <t>part_x_balance_sheet.cash_noninterest_eoy</t>
        </is>
      </c>
      <c r="F70" s="8" t="inlineStr">
        <is>
          <t>high</t>
        </is>
      </c>
      <c r="G70" s="9" t="n">
        <v>146334</v>
      </c>
    </row>
    <row r="71">
      <c r="A71" s="8" t="inlineStr">
        <is>
          <t>Balance sheet (detail)</t>
        </is>
      </c>
      <c r="B71" s="8" t="inlineStr">
        <is>
          <t>F7</t>
        </is>
      </c>
      <c r="C71" s="8" t="inlineStr">
        <is>
          <t>1. Cash - non-interest-bearing</t>
        </is>
      </c>
      <c r="D71" s="8" t="inlineStr">
        <is>
          <t>1E</t>
        </is>
      </c>
      <c r="E71" s="8" t="inlineStr">
        <is>
          <t>part_x_balance_sheet.cash_noninterest_eoy</t>
        </is>
      </c>
      <c r="F71" s="8" t="inlineStr">
        <is>
          <t>high</t>
        </is>
      </c>
      <c r="G71" s="9" t="n">
        <v>199614</v>
      </c>
    </row>
    <row r="72">
      <c r="A72" s="8" t="inlineStr">
        <is>
          <t>Balance sheet (detail)</t>
        </is>
      </c>
      <c r="B72" s="8" t="inlineStr">
        <is>
          <t>B8</t>
        </is>
      </c>
      <c r="C72" s="8" t="inlineStr">
        <is>
          <t>2. Savings and temporary cash investments</t>
        </is>
      </c>
      <c r="D72" s="8" t="inlineStr">
        <is>
          <t>2E</t>
        </is>
      </c>
      <c r="E72" s="8" t="inlineStr">
        <is>
          <t>part_x_balance_sheet.savings_temp_invest_eoy</t>
        </is>
      </c>
      <c r="F72" s="8" t="inlineStr">
        <is>
          <t>high</t>
        </is>
      </c>
      <c r="G72" s="9" t="n">
        <v>335896</v>
      </c>
    </row>
    <row r="73">
      <c r="A73" s="8" t="inlineStr">
        <is>
          <t>Balance sheet (detail)</t>
        </is>
      </c>
      <c r="B73" s="8" t="inlineStr">
        <is>
          <t>C8</t>
        </is>
      </c>
      <c r="C73" s="8" t="inlineStr">
        <is>
          <t>2. Savings and temporary cash investments</t>
        </is>
      </c>
      <c r="D73" s="8" t="inlineStr">
        <is>
          <t>2E</t>
        </is>
      </c>
      <c r="E73" s="8" t="inlineStr">
        <is>
          <t>part_x_balance_sheet.savings_temp_invest_eoy</t>
        </is>
      </c>
      <c r="F73" s="8" t="inlineStr">
        <is>
          <t>high</t>
        </is>
      </c>
      <c r="G73" s="9" t="n">
        <v>236088</v>
      </c>
    </row>
    <row r="74">
      <c r="A74" s="8" t="inlineStr">
        <is>
          <t>Balance sheet (detail)</t>
        </is>
      </c>
      <c r="B74" s="8" t="inlineStr">
        <is>
          <t>D8</t>
        </is>
      </c>
      <c r="C74" s="8" t="inlineStr">
        <is>
          <t>2. Savings and temporary cash investments</t>
        </is>
      </c>
      <c r="D74" s="8" t="inlineStr">
        <is>
          <t>2E</t>
        </is>
      </c>
      <c r="E74" s="8" t="inlineStr">
        <is>
          <t>part_x_balance_sheet.savings_temp_invest_eoy</t>
        </is>
      </c>
      <c r="F74" s="8" t="inlineStr">
        <is>
          <t>high</t>
        </is>
      </c>
      <c r="G74" s="9" t="n">
        <v>142909</v>
      </c>
    </row>
    <row r="75">
      <c r="A75" s="8" t="inlineStr">
        <is>
          <t>Balance sheet (detail)</t>
        </is>
      </c>
      <c r="B75" s="8" t="inlineStr">
        <is>
          <t>B9</t>
        </is>
      </c>
      <c r="C75" s="8" t="inlineStr">
        <is>
          <t>4. Accounts receivable, net</t>
        </is>
      </c>
      <c r="D75" s="8" t="inlineStr">
        <is>
          <t>4E</t>
        </is>
      </c>
      <c r="E75" s="8" t="inlineStr">
        <is>
          <t>part_x_balance_sheet.accounts_receivable_eoy</t>
        </is>
      </c>
      <c r="F75" s="8" t="inlineStr">
        <is>
          <t>high</t>
        </is>
      </c>
      <c r="G75" s="9" t="n">
        <v>9371</v>
      </c>
    </row>
    <row r="76">
      <c r="A76" s="8" t="inlineStr">
        <is>
          <t>Balance sheet (detail)</t>
        </is>
      </c>
      <c r="B76" s="8" t="inlineStr">
        <is>
          <t>C9</t>
        </is>
      </c>
      <c r="C76" s="8" t="inlineStr">
        <is>
          <t>4. Accounts receivable, net</t>
        </is>
      </c>
      <c r="D76" s="8" t="inlineStr">
        <is>
          <t>4E</t>
        </is>
      </c>
      <c r="E76" s="8" t="inlineStr">
        <is>
          <t>part_x_balance_sheet.accounts_receivable_eoy</t>
        </is>
      </c>
      <c r="F76" s="8" t="inlineStr">
        <is>
          <t>high</t>
        </is>
      </c>
      <c r="G76" s="9" t="n">
        <v>10342</v>
      </c>
    </row>
    <row r="77">
      <c r="A77" s="8" t="inlineStr">
        <is>
          <t>Balance sheet (detail)</t>
        </is>
      </c>
      <c r="B77" s="8" t="inlineStr">
        <is>
          <t>D9</t>
        </is>
      </c>
      <c r="C77" s="8" t="inlineStr">
        <is>
          <t>4. Accounts receivable, net</t>
        </is>
      </c>
      <c r="D77" s="8" t="inlineStr">
        <is>
          <t>4E</t>
        </is>
      </c>
      <c r="E77" s="8" t="inlineStr">
        <is>
          <t>part_x_balance_sheet.accounts_receivable_eoy</t>
        </is>
      </c>
      <c r="F77" s="8" t="inlineStr">
        <is>
          <t>high</t>
        </is>
      </c>
      <c r="G77" s="9" t="n">
        <v>8911</v>
      </c>
    </row>
    <row r="78">
      <c r="A78" s="8" t="inlineStr">
        <is>
          <t>Balance sheet (detail)</t>
        </is>
      </c>
      <c r="B78" s="8" t="inlineStr">
        <is>
          <t>E9</t>
        </is>
      </c>
      <c r="C78" s="8" t="inlineStr">
        <is>
          <t>4. Accounts receivable, net</t>
        </is>
      </c>
      <c r="D78" s="8" t="inlineStr">
        <is>
          <t>4E</t>
        </is>
      </c>
      <c r="E78" s="8" t="inlineStr">
        <is>
          <t>part_x_balance_sheet.accounts_receivable_eoy</t>
        </is>
      </c>
      <c r="F78" s="8" t="inlineStr">
        <is>
          <t>high</t>
        </is>
      </c>
      <c r="G78" s="9" t="n">
        <v>26793</v>
      </c>
    </row>
    <row r="79">
      <c r="A79" s="8" t="inlineStr">
        <is>
          <t>Balance sheet (detail)</t>
        </is>
      </c>
      <c r="B79" s="8" t="inlineStr">
        <is>
          <t>F9</t>
        </is>
      </c>
      <c r="C79" s="8" t="inlineStr">
        <is>
          <t>4. Accounts receivable, net</t>
        </is>
      </c>
      <c r="D79" s="8" t="inlineStr">
        <is>
          <t>4E</t>
        </is>
      </c>
      <c r="E79" s="8" t="inlineStr">
        <is>
          <t>part_x_balance_sheet.accounts_receivable_eoy</t>
        </is>
      </c>
      <c r="F79" s="8" t="inlineStr">
        <is>
          <t>high</t>
        </is>
      </c>
      <c r="G79" s="9" t="n">
        <v>24819</v>
      </c>
    </row>
    <row r="80">
      <c r="A80" s="8" t="inlineStr">
        <is>
          <t>Balance sheet (detail)</t>
        </is>
      </c>
      <c r="B80" s="8" t="inlineStr">
        <is>
          <t>B10</t>
        </is>
      </c>
      <c r="C80" s="8" t="inlineStr">
        <is>
          <t>8. Inventories for sale or use</t>
        </is>
      </c>
      <c r="D80" s="8" t="inlineStr">
        <is>
          <t>8E</t>
        </is>
      </c>
      <c r="E80" s="8" t="inlineStr">
        <is>
          <t>part_x_balance_sheet.inventories_eoy</t>
        </is>
      </c>
      <c r="F80" s="8" t="inlineStr">
        <is>
          <t>high</t>
        </is>
      </c>
      <c r="G80" s="9" t="n">
        <v>2657</v>
      </c>
    </row>
    <row r="81">
      <c r="A81" s="8" t="inlineStr">
        <is>
          <t>Balance sheet (detail)</t>
        </is>
      </c>
      <c r="B81" s="8" t="inlineStr">
        <is>
          <t>C10</t>
        </is>
      </c>
      <c r="C81" s="8" t="inlineStr">
        <is>
          <t>8. Inventories for sale or use</t>
        </is>
      </c>
      <c r="D81" s="8" t="inlineStr">
        <is>
          <t>8E</t>
        </is>
      </c>
      <c r="E81" s="8" t="inlineStr">
        <is>
          <t>part_x_balance_sheet.inventories_eoy</t>
        </is>
      </c>
      <c r="F81" s="8" t="inlineStr">
        <is>
          <t>high</t>
        </is>
      </c>
      <c r="G81" s="9" t="n">
        <v>4568</v>
      </c>
    </row>
    <row r="82">
      <c r="A82" s="8" t="inlineStr">
        <is>
          <t>Balance sheet (detail)</t>
        </is>
      </c>
      <c r="B82" s="8" t="inlineStr">
        <is>
          <t>D10</t>
        </is>
      </c>
      <c r="C82" s="8" t="inlineStr">
        <is>
          <t>8. Inventories for sale or use</t>
        </is>
      </c>
      <c r="D82" s="8" t="inlineStr">
        <is>
          <t>8E</t>
        </is>
      </c>
      <c r="E82" s="8" t="inlineStr">
        <is>
          <t>part_x_balance_sheet.inventories_eoy</t>
        </is>
      </c>
      <c r="F82" s="8" t="inlineStr">
        <is>
          <t>high</t>
        </is>
      </c>
      <c r="G82" s="9" t="n">
        <v>3336</v>
      </c>
    </row>
    <row r="83">
      <c r="A83" s="8" t="inlineStr">
        <is>
          <t>Balance sheet (detail)</t>
        </is>
      </c>
      <c r="B83" s="8" t="inlineStr">
        <is>
          <t>E10</t>
        </is>
      </c>
      <c r="C83" s="8" t="inlineStr">
        <is>
          <t>8. Inventories for sale or use</t>
        </is>
      </c>
      <c r="D83" s="8" t="inlineStr">
        <is>
          <t>8E</t>
        </is>
      </c>
      <c r="E83" s="8" t="inlineStr">
        <is>
          <t>part_x_balance_sheet.inventories_eoy</t>
        </is>
      </c>
      <c r="F83" s="8" t="inlineStr">
        <is>
          <t>high</t>
        </is>
      </c>
      <c r="G83" s="9" t="n">
        <v>3336</v>
      </c>
    </row>
    <row r="84">
      <c r="A84" s="8" t="inlineStr">
        <is>
          <t>Balance sheet (detail)</t>
        </is>
      </c>
      <c r="B84" s="8" t="inlineStr">
        <is>
          <t>F10</t>
        </is>
      </c>
      <c r="C84" s="8" t="inlineStr">
        <is>
          <t>8. Inventories for sale or use</t>
        </is>
      </c>
      <c r="D84" s="8" t="inlineStr">
        <is>
          <t>8E</t>
        </is>
      </c>
      <c r="E84" s="8" t="inlineStr">
        <is>
          <t>part_x_balance_sheet.inventories_eoy</t>
        </is>
      </c>
      <c r="F84" s="8" t="inlineStr">
        <is>
          <t>high</t>
        </is>
      </c>
      <c r="G84" s="9" t="n">
        <v>750</v>
      </c>
    </row>
    <row r="85">
      <c r="A85" s="8" t="inlineStr">
        <is>
          <t>Balance sheet (detail)</t>
        </is>
      </c>
      <c r="B85" s="8" t="inlineStr">
        <is>
          <t>C11</t>
        </is>
      </c>
      <c r="C85" s="8" t="inlineStr">
        <is>
          <t>9. Prepaid expenses and deferred charges</t>
        </is>
      </c>
      <c r="D85" s="8" t="inlineStr">
        <is>
          <t>9E</t>
        </is>
      </c>
      <c r="E85" s="8" t="inlineStr">
        <is>
          <t>part_x_balance_sheet.prepaid_expenses_eoy</t>
        </is>
      </c>
      <c r="F85" s="8" t="inlineStr">
        <is>
          <t>high</t>
        </is>
      </c>
      <c r="G85" s="9" t="n">
        <v>23</v>
      </c>
    </row>
    <row r="86">
      <c r="A86" s="8" t="inlineStr">
        <is>
          <t>Balance sheet (detail)</t>
        </is>
      </c>
      <c r="B86" s="8" t="inlineStr">
        <is>
          <t>D11</t>
        </is>
      </c>
      <c r="C86" s="8" t="inlineStr">
        <is>
          <t>9. Prepaid expenses and deferred charges</t>
        </is>
      </c>
      <c r="D86" s="8" t="inlineStr">
        <is>
          <t>9E</t>
        </is>
      </c>
      <c r="E86" s="8" t="inlineStr">
        <is>
          <t>part_x_balance_sheet.prepaid_expenses_eoy</t>
        </is>
      </c>
      <c r="F86" s="8" t="inlineStr">
        <is>
          <t>high</t>
        </is>
      </c>
      <c r="G86" s="9" t="n">
        <v>23</v>
      </c>
    </row>
    <row r="87">
      <c r="A87" s="8" t="inlineStr">
        <is>
          <t>Balance sheet (detail)</t>
        </is>
      </c>
      <c r="B87" s="8" t="inlineStr">
        <is>
          <t>E11</t>
        </is>
      </c>
      <c r="C87" s="8" t="inlineStr">
        <is>
          <t>9. Prepaid expenses and deferred charges</t>
        </is>
      </c>
      <c r="D87" s="8" t="inlineStr">
        <is>
          <t>9E</t>
        </is>
      </c>
      <c r="E87" s="8" t="inlineStr">
        <is>
          <t>part_x_balance_sheet.prepaid_expenses_eoy</t>
        </is>
      </c>
      <c r="F87" s="8" t="inlineStr">
        <is>
          <t>high</t>
        </is>
      </c>
      <c r="G87" s="9" t="n">
        <v>5338</v>
      </c>
    </row>
    <row r="88">
      <c r="A88" s="8" t="inlineStr">
        <is>
          <t>Balance sheet (detail)</t>
        </is>
      </c>
      <c r="B88" s="8" t="inlineStr">
        <is>
          <t>F11</t>
        </is>
      </c>
      <c r="C88" s="8" t="inlineStr">
        <is>
          <t>9. Prepaid expenses and deferred charges</t>
        </is>
      </c>
      <c r="D88" s="8" t="inlineStr">
        <is>
          <t>9E</t>
        </is>
      </c>
      <c r="E88" s="8" t="inlineStr">
        <is>
          <t>part_x_balance_sheet.prepaid_expenses_eoy</t>
        </is>
      </c>
      <c r="F88" s="8" t="inlineStr">
        <is>
          <t>high</t>
        </is>
      </c>
      <c r="G88" s="9" t="n">
        <v>625</v>
      </c>
    </row>
    <row r="89">
      <c r="A89" s="8" t="inlineStr">
        <is>
          <t>Balance sheet (detail)</t>
        </is>
      </c>
      <c r="B89" s="8" t="inlineStr">
        <is>
          <t>B12</t>
        </is>
      </c>
      <c r="C89" s="8" t="inlineStr">
        <is>
          <t>10c. Land, buildings, and equipment, net</t>
        </is>
      </c>
      <c r="D89" s="8" t="inlineStr">
        <is>
          <t>10cE</t>
        </is>
      </c>
      <c r="E89" s="8" t="inlineStr">
        <is>
          <t>part_x_balance_sheet.land_bldg_equip_net_eoy</t>
        </is>
      </c>
      <c r="F89" s="8" t="inlineStr">
        <is>
          <t>high</t>
        </is>
      </c>
      <c r="G89" s="9" t="n">
        <v>766097</v>
      </c>
    </row>
    <row r="90">
      <c r="A90" s="8" t="inlineStr">
        <is>
          <t>Balance sheet (detail)</t>
        </is>
      </c>
      <c r="B90" s="8" t="inlineStr">
        <is>
          <t>C12</t>
        </is>
      </c>
      <c r="C90" s="8" t="inlineStr">
        <is>
          <t>10c. Land, buildings, and equipment, net</t>
        </is>
      </c>
      <c r="D90" s="8" t="inlineStr">
        <is>
          <t>10cE</t>
        </is>
      </c>
      <c r="E90" s="8" t="inlineStr">
        <is>
          <t>part_x_balance_sheet.land_bldg_equip_net_eoy</t>
        </is>
      </c>
      <c r="F90" s="8" t="inlineStr">
        <is>
          <t>high</t>
        </is>
      </c>
      <c r="G90" s="9" t="n">
        <v>710890</v>
      </c>
    </row>
    <row r="91">
      <c r="A91" s="8" t="inlineStr">
        <is>
          <t>Balance sheet (detail)</t>
        </is>
      </c>
      <c r="B91" s="8" t="inlineStr">
        <is>
          <t>D12</t>
        </is>
      </c>
      <c r="C91" s="8" t="inlineStr">
        <is>
          <t>10c. Land, buildings, and equipment, net</t>
        </is>
      </c>
      <c r="D91" s="8" t="inlineStr">
        <is>
          <t>10cE</t>
        </is>
      </c>
      <c r="E91" s="8" t="inlineStr">
        <is>
          <t>part_x_balance_sheet.land_bldg_equip_net_eoy</t>
        </is>
      </c>
      <c r="F91" s="8" t="inlineStr">
        <is>
          <t>high</t>
        </is>
      </c>
      <c r="G91" s="9" t="n">
        <v>857016</v>
      </c>
    </row>
    <row r="92">
      <c r="A92" s="8" t="inlineStr">
        <is>
          <t>Balance sheet (detail)</t>
        </is>
      </c>
      <c r="B92" s="8" t="inlineStr">
        <is>
          <t>E12</t>
        </is>
      </c>
      <c r="C92" s="8" t="inlineStr">
        <is>
          <t>10c. Land, buildings, and equipment, net</t>
        </is>
      </c>
      <c r="D92" s="8" t="inlineStr">
        <is>
          <t>10cE</t>
        </is>
      </c>
      <c r="E92" s="8" t="inlineStr">
        <is>
          <t>part_x_balance_sheet.land_bldg_equip_net_eoy</t>
        </is>
      </c>
      <c r="F92" s="8" t="inlineStr">
        <is>
          <t>high</t>
        </is>
      </c>
      <c r="G92" s="9" t="n">
        <v>828471</v>
      </c>
    </row>
    <row r="93">
      <c r="A93" s="8" t="inlineStr">
        <is>
          <t>Balance sheet (detail)</t>
        </is>
      </c>
      <c r="B93" s="8" t="inlineStr">
        <is>
          <t>F12</t>
        </is>
      </c>
      <c r="C93" s="8" t="inlineStr">
        <is>
          <t>10c. Land, buildings, and equipment, net</t>
        </is>
      </c>
      <c r="D93" s="8" t="inlineStr">
        <is>
          <t>10cE</t>
        </is>
      </c>
      <c r="E93" s="8" t="inlineStr">
        <is>
          <t>part_x_balance_sheet.land_bldg_equip_net_eoy</t>
        </is>
      </c>
      <c r="F93" s="8" t="inlineStr">
        <is>
          <t>high</t>
        </is>
      </c>
      <c r="G93" s="9" t="n">
        <v>783726</v>
      </c>
    </row>
    <row r="94">
      <c r="A94" s="8" t="inlineStr">
        <is>
          <t>Balance sheet (detail)</t>
        </is>
      </c>
      <c r="B94" s="8" t="inlineStr">
        <is>
          <t>B13</t>
        </is>
      </c>
      <c r="C94" s="8" t="inlineStr">
        <is>
          <t>14. Intangible assets</t>
        </is>
      </c>
      <c r="D94" s="8" t="inlineStr">
        <is>
          <t>14E</t>
        </is>
      </c>
      <c r="E94" s="8" t="inlineStr">
        <is>
          <t>part_x_balance_sheet.intangible_assets_eoy</t>
        </is>
      </c>
      <c r="F94" s="8" t="inlineStr">
        <is>
          <t>high</t>
        </is>
      </c>
      <c r="G94" s="9" t="n">
        <v>3903</v>
      </c>
    </row>
    <row r="95">
      <c r="A95" s="8" t="inlineStr">
        <is>
          <t>Balance sheet (detail)</t>
        </is>
      </c>
      <c r="B95" s="8" t="inlineStr">
        <is>
          <t>C13</t>
        </is>
      </c>
      <c r="C95" s="8" t="inlineStr">
        <is>
          <t>14. Intangible assets</t>
        </is>
      </c>
      <c r="D95" s="8" t="inlineStr">
        <is>
          <t>14E</t>
        </is>
      </c>
      <c r="E95" s="8" t="inlineStr">
        <is>
          <t>part_x_balance_sheet.intangible_assets_eoy</t>
        </is>
      </c>
      <c r="F95" s="8" t="inlineStr">
        <is>
          <t>high</t>
        </is>
      </c>
      <c r="G95" s="9" t="n">
        <v>3702</v>
      </c>
    </row>
    <row r="96">
      <c r="A96" s="8" t="inlineStr">
        <is>
          <t>Balance sheet (detail)</t>
        </is>
      </c>
      <c r="B96" s="8" t="inlineStr">
        <is>
          <t>D13</t>
        </is>
      </c>
      <c r="C96" s="8" t="inlineStr">
        <is>
          <t>14. Intangible assets</t>
        </is>
      </c>
      <c r="D96" s="8" t="inlineStr">
        <is>
          <t>14E</t>
        </is>
      </c>
      <c r="E96" s="8" t="inlineStr">
        <is>
          <t>part_x_balance_sheet.intangible_assets_eoy</t>
        </is>
      </c>
      <c r="F96" s="8" t="inlineStr">
        <is>
          <t>high</t>
        </is>
      </c>
      <c r="G96" s="9" t="n">
        <v>3501</v>
      </c>
    </row>
    <row r="97">
      <c r="A97" s="8" t="inlineStr">
        <is>
          <t>Balance sheet (detail)</t>
        </is>
      </c>
      <c r="B97" s="8" t="inlineStr">
        <is>
          <t>E13</t>
        </is>
      </c>
      <c r="C97" s="8" t="inlineStr">
        <is>
          <t>14. Intangible assets</t>
        </is>
      </c>
      <c r="D97" s="8" t="inlineStr">
        <is>
          <t>14E</t>
        </is>
      </c>
      <c r="E97" s="8" t="inlineStr">
        <is>
          <t>part_x_balance_sheet.intangible_assets_eoy</t>
        </is>
      </c>
      <c r="F97" s="8" t="inlineStr">
        <is>
          <t>high</t>
        </is>
      </c>
      <c r="G97" s="9" t="n">
        <v>3300</v>
      </c>
    </row>
    <row r="98">
      <c r="A98" s="8" t="inlineStr">
        <is>
          <t>Balance sheet (detail)</t>
        </is>
      </c>
      <c r="B98" s="8" t="inlineStr">
        <is>
          <t>F13</t>
        </is>
      </c>
      <c r="C98" s="8" t="inlineStr">
        <is>
          <t>14. Intangible assets</t>
        </is>
      </c>
      <c r="D98" s="8" t="inlineStr">
        <is>
          <t>14E</t>
        </is>
      </c>
      <c r="E98" s="8" t="inlineStr">
        <is>
          <t>part_x_balance_sheet.intangible_assets_eoy</t>
        </is>
      </c>
      <c r="F98" s="8" t="inlineStr">
        <is>
          <t>high</t>
        </is>
      </c>
      <c r="G98" s="9" t="n">
        <v>3099</v>
      </c>
    </row>
    <row r="99">
      <c r="A99" s="8" t="inlineStr">
        <is>
          <t>Balance sheet (detail)</t>
        </is>
      </c>
      <c r="B99" s="8" t="inlineStr">
        <is>
          <t>B14</t>
        </is>
      </c>
      <c r="C99" s="8" t="inlineStr">
        <is>
          <t>15. Other assets</t>
        </is>
      </c>
      <c r="D99" s="8" t="inlineStr">
        <is>
          <t>15E</t>
        </is>
      </c>
      <c r="E99" s="8" t="inlineStr">
        <is>
          <t>part_x_balance_sheet.other_assets_eoy</t>
        </is>
      </c>
      <c r="F99" s="8" t="inlineStr">
        <is>
          <t>high</t>
        </is>
      </c>
      <c r="G99" s="9" t="n">
        <v>0</v>
      </c>
    </row>
    <row r="100">
      <c r="A100" s="8" t="inlineStr">
        <is>
          <t>Balance sheet (detail)</t>
        </is>
      </c>
      <c r="B100" s="8" t="inlineStr">
        <is>
          <t>B18</t>
        </is>
      </c>
      <c r="C100" s="8" t="inlineStr">
        <is>
          <t>23. Secured mortgages and notes payable</t>
        </is>
      </c>
      <c r="D100" s="8" t="inlineStr">
        <is>
          <t>23E</t>
        </is>
      </c>
      <c r="E100" s="8" t="inlineStr">
        <is>
          <t>part_x_balance_sheet.mortgages_secured_notes_eoy</t>
        </is>
      </c>
      <c r="F100" s="8" t="inlineStr">
        <is>
          <t>high</t>
        </is>
      </c>
      <c r="G100" s="9" t="n">
        <v>392763</v>
      </c>
    </row>
    <row r="101">
      <c r="A101" s="8" t="inlineStr">
        <is>
          <t>Balance sheet (detail)</t>
        </is>
      </c>
      <c r="B101" s="8" t="inlineStr">
        <is>
          <t>C18</t>
        </is>
      </c>
      <c r="C101" s="8" t="inlineStr">
        <is>
          <t>23. Secured mortgages and notes payable</t>
        </is>
      </c>
      <c r="D101" s="8" t="inlineStr">
        <is>
          <t>23E</t>
        </is>
      </c>
      <c r="E101" s="8" t="inlineStr">
        <is>
          <t>part_x_balance_sheet.mortgages_secured_notes_eoy</t>
        </is>
      </c>
      <c r="F101" s="8" t="inlineStr">
        <is>
          <t>high</t>
        </is>
      </c>
      <c r="G101" s="9" t="n">
        <v>379172</v>
      </c>
    </row>
    <row r="102">
      <c r="A102" s="8" t="inlineStr">
        <is>
          <t>Balance sheet (detail)</t>
        </is>
      </c>
      <c r="B102" s="8" t="inlineStr">
        <is>
          <t>D18</t>
        </is>
      </c>
      <c r="C102" s="8" t="inlineStr">
        <is>
          <t>23. Secured mortgages and notes payable</t>
        </is>
      </c>
      <c r="D102" s="8" t="inlineStr">
        <is>
          <t>23E</t>
        </is>
      </c>
      <c r="E102" s="8" t="inlineStr">
        <is>
          <t>part_x_balance_sheet.mortgages_secured_notes_eoy</t>
        </is>
      </c>
      <c r="F102" s="8" t="inlineStr">
        <is>
          <t>high</t>
        </is>
      </c>
      <c r="G102" s="9" t="n">
        <v>365583</v>
      </c>
    </row>
    <row r="103">
      <c r="A103" s="8" t="inlineStr">
        <is>
          <t>Balance sheet (detail)</t>
        </is>
      </c>
      <c r="B103" s="8" t="inlineStr">
        <is>
          <t>E18</t>
        </is>
      </c>
      <c r="C103" s="8" t="inlineStr">
        <is>
          <t>23. Secured mortgages and notes payable</t>
        </is>
      </c>
      <c r="D103" s="8" t="inlineStr">
        <is>
          <t>23E</t>
        </is>
      </c>
      <c r="E103" s="8" t="inlineStr">
        <is>
          <t>part_x_balance_sheet.mortgages_secured_notes_eoy</t>
        </is>
      </c>
      <c r="F103" s="8" t="inlineStr">
        <is>
          <t>high</t>
        </is>
      </c>
      <c r="G103" s="9" t="n">
        <v>351143</v>
      </c>
    </row>
    <row r="104">
      <c r="A104" s="8" t="inlineStr">
        <is>
          <t>Balance sheet (detail)</t>
        </is>
      </c>
      <c r="B104" s="8" t="inlineStr">
        <is>
          <t>F18</t>
        </is>
      </c>
      <c r="C104" s="8" t="inlineStr">
        <is>
          <t>23. Secured mortgages and notes payable</t>
        </is>
      </c>
      <c r="D104" s="8" t="inlineStr">
        <is>
          <t>23E</t>
        </is>
      </c>
      <c r="E104" s="8" t="inlineStr">
        <is>
          <t>part_x_balance_sheet.mortgages_secured_notes_eoy</t>
        </is>
      </c>
      <c r="F104" s="8" t="inlineStr">
        <is>
          <t>high</t>
        </is>
      </c>
      <c r="G104" s="9" t="n">
        <v>336048</v>
      </c>
    </row>
    <row r="105">
      <c r="A105" s="8" t="inlineStr">
        <is>
          <t>Balance sheet (detail)</t>
        </is>
      </c>
      <c r="B105" s="8" t="inlineStr">
        <is>
          <t>B19</t>
        </is>
      </c>
      <c r="C105" s="8" t="inlineStr">
        <is>
          <t>25. Other liabilities</t>
        </is>
      </c>
      <c r="D105" s="8" t="inlineStr">
        <is>
          <t>25E</t>
        </is>
      </c>
      <c r="E105" s="8" t="inlineStr">
        <is>
          <t>part_x_balance_sheet.other_liabilities_eoy</t>
        </is>
      </c>
      <c r="F105" s="8" t="inlineStr">
        <is>
          <t>high</t>
        </is>
      </c>
      <c r="G105" s="9" t="n">
        <v>205918</v>
      </c>
    </row>
    <row r="106">
      <c r="A106" s="8" t="inlineStr">
        <is>
          <t>Balance sheet (detail)</t>
        </is>
      </c>
      <c r="B106" s="8" t="inlineStr">
        <is>
          <t>C19</t>
        </is>
      </c>
      <c r="C106" s="8" t="inlineStr">
        <is>
          <t>25. Other liabilities</t>
        </is>
      </c>
      <c r="D106" s="8" t="inlineStr">
        <is>
          <t>25E</t>
        </is>
      </c>
      <c r="E106" s="8" t="inlineStr">
        <is>
          <t>part_x_balance_sheet.other_liabilities_eoy</t>
        </is>
      </c>
      <c r="F106" s="8" t="inlineStr">
        <is>
          <t>high</t>
        </is>
      </c>
      <c r="G106" s="9" t="n">
        <v>0</v>
      </c>
    </row>
    <row r="107">
      <c r="A107" s="8" t="inlineStr">
        <is>
          <t>Balance sheet (detail)</t>
        </is>
      </c>
      <c r="B107" s="8" t="inlineStr">
        <is>
          <t>B23</t>
        </is>
      </c>
      <c r="C107" s="8" t="inlineStr">
        <is>
          <t>29. Capital stock or trust principal</t>
        </is>
      </c>
      <c r="D107" s="8" t="inlineStr">
        <is>
          <t>29E</t>
        </is>
      </c>
      <c r="E107" s="8" t="inlineStr">
        <is>
          <t>part_x_balance_sheet.cap_stock_eoy</t>
        </is>
      </c>
      <c r="F107" s="8" t="inlineStr">
        <is>
          <t>high</t>
        </is>
      </c>
      <c r="G107" s="9" t="n">
        <v>0</v>
      </c>
    </row>
    <row r="108">
      <c r="A108" s="8" t="inlineStr">
        <is>
          <t>Balance sheet (detail)</t>
        </is>
      </c>
      <c r="B108" s="8" t="inlineStr">
        <is>
          <t>C23</t>
        </is>
      </c>
      <c r="C108" s="8" t="inlineStr">
        <is>
          <t>29. Capital stock or trust principal</t>
        </is>
      </c>
      <c r="D108" s="8" t="inlineStr">
        <is>
          <t>29E</t>
        </is>
      </c>
      <c r="E108" s="8" t="inlineStr">
        <is>
          <t>part_x_balance_sheet.cap_stock_eoy</t>
        </is>
      </c>
      <c r="F108" s="8" t="inlineStr">
        <is>
          <t>high</t>
        </is>
      </c>
      <c r="G108" s="9" t="n">
        <v>0</v>
      </c>
    </row>
    <row r="109">
      <c r="A109" s="8" t="inlineStr">
        <is>
          <t>Balance sheet (detail)</t>
        </is>
      </c>
      <c r="B109" s="8" t="inlineStr">
        <is>
          <t>D23</t>
        </is>
      </c>
      <c r="C109" s="8" t="inlineStr">
        <is>
          <t>29. Capital stock or trust principal</t>
        </is>
      </c>
      <c r="D109" s="8" t="inlineStr">
        <is>
          <t>29E</t>
        </is>
      </c>
      <c r="E109" s="8" t="inlineStr">
        <is>
          <t>part_x_balance_sheet.cap_stock_eoy</t>
        </is>
      </c>
      <c r="F109" s="8" t="inlineStr">
        <is>
          <t>high</t>
        </is>
      </c>
      <c r="G109" s="9" t="n">
        <v>0</v>
      </c>
    </row>
    <row r="110">
      <c r="A110" s="8" t="inlineStr">
        <is>
          <t>Balance sheet (detail)</t>
        </is>
      </c>
      <c r="B110" s="8" t="inlineStr">
        <is>
          <t>B24</t>
        </is>
      </c>
      <c r="C110" s="8" t="inlineStr">
        <is>
          <t>30. Paid-in or capital surplus</t>
        </is>
      </c>
      <c r="D110" s="8" t="inlineStr">
        <is>
          <t>30E</t>
        </is>
      </c>
      <c r="E110" s="8" t="inlineStr">
        <is>
          <t>part_x_balance_sheet.paid_in_capital_eoy</t>
        </is>
      </c>
      <c r="F110" s="8" t="inlineStr">
        <is>
          <t>high</t>
        </is>
      </c>
      <c r="G110" s="9" t="n">
        <v>63892</v>
      </c>
    </row>
    <row r="111">
      <c r="A111" s="8" t="inlineStr">
        <is>
          <t>Balance sheet (detail)</t>
        </is>
      </c>
      <c r="B111" s="8" t="inlineStr">
        <is>
          <t>C24</t>
        </is>
      </c>
      <c r="C111" s="8" t="inlineStr">
        <is>
          <t>30. Paid-in or capital surplus</t>
        </is>
      </c>
      <c r="D111" s="8" t="inlineStr">
        <is>
          <t>30E</t>
        </is>
      </c>
      <c r="E111" s="8" t="inlineStr">
        <is>
          <t>part_x_balance_sheet.paid_in_capital_eoy</t>
        </is>
      </c>
      <c r="F111" s="8" t="inlineStr">
        <is>
          <t>high</t>
        </is>
      </c>
      <c r="G111" s="9" t="n">
        <v>63892</v>
      </c>
    </row>
    <row r="112">
      <c r="A112" s="8" t="inlineStr">
        <is>
          <t>Balance sheet (detail)</t>
        </is>
      </c>
      <c r="B112" s="8" t="inlineStr">
        <is>
          <t>D24</t>
        </is>
      </c>
      <c r="C112" s="8" t="inlineStr">
        <is>
          <t>30. Paid-in or capital surplus</t>
        </is>
      </c>
      <c r="D112" s="8" t="inlineStr">
        <is>
          <t>30E</t>
        </is>
      </c>
      <c r="E112" s="8" t="inlineStr">
        <is>
          <t>part_x_balance_sheet.paid_in_capital_eoy</t>
        </is>
      </c>
      <c r="F112" s="8" t="inlineStr">
        <is>
          <t>high</t>
        </is>
      </c>
      <c r="G112" s="9" t="n">
        <v>63892</v>
      </c>
    </row>
    <row r="113">
      <c r="A113" s="8" t="inlineStr">
        <is>
          <t>Balance sheet (detail)</t>
        </is>
      </c>
      <c r="B113" s="8" t="inlineStr">
        <is>
          <t>E24</t>
        </is>
      </c>
      <c r="C113" s="8" t="inlineStr">
        <is>
          <t>30. Paid-in or capital surplus</t>
        </is>
      </c>
      <c r="D113" s="8" t="inlineStr">
        <is>
          <t>30E</t>
        </is>
      </c>
      <c r="E113" s="8" t="inlineStr">
        <is>
          <t>part_x_balance_sheet.paid_in_capital_eoy</t>
        </is>
      </c>
      <c r="F113" s="8" t="inlineStr">
        <is>
          <t>high</t>
        </is>
      </c>
      <c r="G113" s="9" t="n">
        <v>63892</v>
      </c>
    </row>
    <row r="114">
      <c r="A114" s="8" t="inlineStr">
        <is>
          <t>Balance sheet (detail)</t>
        </is>
      </c>
      <c r="B114" s="8" t="inlineStr">
        <is>
          <t>F24</t>
        </is>
      </c>
      <c r="C114" s="8" t="inlineStr">
        <is>
          <t>30. Paid-in or capital surplus</t>
        </is>
      </c>
      <c r="D114" s="8" t="inlineStr">
        <is>
          <t>30E</t>
        </is>
      </c>
      <c r="E114" s="8" t="inlineStr">
        <is>
          <t>part_x_balance_sheet.paid_in_capital_eoy</t>
        </is>
      </c>
      <c r="F114" s="8" t="inlineStr">
        <is>
          <t>high</t>
        </is>
      </c>
      <c r="G114" s="9" t="n">
        <v>63892</v>
      </c>
    </row>
    <row r="115">
      <c r="A115" s="8" t="inlineStr">
        <is>
          <t>Balance sheet (detail)</t>
        </is>
      </c>
      <c r="B115" s="8" t="inlineStr">
        <is>
          <t>B25</t>
        </is>
      </c>
      <c r="C115" s="8" t="inlineStr">
        <is>
          <t>31. Retained earnings / accumulated funds</t>
        </is>
      </c>
      <c r="D115" s="8" t="inlineStr">
        <is>
          <t>31E</t>
        </is>
      </c>
      <c r="E115" s="8" t="inlineStr">
        <is>
          <t>part_x_balance_sheet.retained_earnings_eoy</t>
        </is>
      </c>
      <c r="F115" s="8" t="inlineStr">
        <is>
          <t>high</t>
        </is>
      </c>
      <c r="G115" s="9" t="n">
        <v>455351</v>
      </c>
    </row>
    <row r="116">
      <c r="A116" s="8" t="inlineStr">
        <is>
          <t>Balance sheet (detail)</t>
        </is>
      </c>
      <c r="B116" s="8" t="inlineStr">
        <is>
          <t>C25</t>
        </is>
      </c>
      <c r="C116" s="8" t="inlineStr">
        <is>
          <t>31. Retained earnings / accumulated funds</t>
        </is>
      </c>
      <c r="D116" s="8" t="inlineStr">
        <is>
          <t>31E</t>
        </is>
      </c>
      <c r="E116" s="8" t="inlineStr">
        <is>
          <t>part_x_balance_sheet.retained_earnings_eoy</t>
        </is>
      </c>
      <c r="F116" s="8" t="inlineStr">
        <is>
          <t>high</t>
        </is>
      </c>
      <c r="G116" s="9" t="n">
        <v>522548</v>
      </c>
    </row>
    <row r="117">
      <c r="A117" s="8" t="inlineStr">
        <is>
          <t>Balance sheet (detail)</t>
        </is>
      </c>
      <c r="B117" s="8" t="inlineStr">
        <is>
          <t>D25</t>
        </is>
      </c>
      <c r="C117" s="8" t="inlineStr">
        <is>
          <t>31. Retained earnings / accumulated funds</t>
        </is>
      </c>
      <c r="D117" s="8" t="inlineStr">
        <is>
          <t>31E</t>
        </is>
      </c>
      <c r="E117" s="8" t="inlineStr">
        <is>
          <t>part_x_balance_sheet.retained_earnings_eoy</t>
        </is>
      </c>
      <c r="F117" s="8" t="inlineStr">
        <is>
          <t>high</t>
        </is>
      </c>
      <c r="G117" s="9" t="n">
        <v>586221</v>
      </c>
    </row>
    <row r="118">
      <c r="A118" s="8" t="inlineStr">
        <is>
          <t>Balance sheet (detail)</t>
        </is>
      </c>
      <c r="B118" s="8" t="inlineStr">
        <is>
          <t>E25</t>
        </is>
      </c>
      <c r="C118" s="8" t="inlineStr">
        <is>
          <t>31. Retained earnings / accumulated funds</t>
        </is>
      </c>
      <c r="D118" s="8" t="inlineStr">
        <is>
          <t>31E</t>
        </is>
      </c>
      <c r="E118" s="8" t="inlineStr">
        <is>
          <t>part_x_balance_sheet.retained_earnings_eoy</t>
        </is>
      </c>
      <c r="F118" s="8" t="inlineStr">
        <is>
          <t>high</t>
        </is>
      </c>
      <c r="G118" s="9" t="n">
        <v>598537</v>
      </c>
    </row>
    <row r="119">
      <c r="A119" s="8" t="inlineStr">
        <is>
          <t>Balance sheet (detail)</t>
        </is>
      </c>
      <c r="B119" s="8" t="inlineStr">
        <is>
          <t>F25</t>
        </is>
      </c>
      <c r="C119" s="8" t="inlineStr">
        <is>
          <t>31. Retained earnings / accumulated funds</t>
        </is>
      </c>
      <c r="D119" s="8" t="inlineStr">
        <is>
          <t>31E</t>
        </is>
      </c>
      <c r="E119" s="8" t="inlineStr">
        <is>
          <t>part_x_balance_sheet.retained_earnings_eoy</t>
        </is>
      </c>
      <c r="F119" s="8" t="inlineStr">
        <is>
          <t>high</t>
        </is>
      </c>
      <c r="G119" s="9" t="n">
        <v>612693</v>
      </c>
    </row>
    <row r="120">
      <c r="A120" s="8" t="inlineStr">
        <is>
          <t>Net-assets reconciliation</t>
        </is>
      </c>
      <c r="B120" s="8" t="inlineStr">
        <is>
          <t>B7</t>
        </is>
      </c>
      <c r="C120" s="8" t="inlineStr">
        <is>
          <t>4. Net assets, beginning of year</t>
        </is>
      </c>
      <c r="D120" s="8" t="inlineStr">
        <is>
          <t>Part XI line 4</t>
        </is>
      </c>
      <c r="E120" s="8" t="inlineStr">
        <is>
          <t>part_xi_reconciliation.net_assets_boy</t>
        </is>
      </c>
      <c r="F120" s="8" t="inlineStr">
        <is>
          <t>high</t>
        </is>
      </c>
      <c r="G120" s="9" t="n">
        <v>366892</v>
      </c>
    </row>
    <row r="121">
      <c r="A121" s="8" t="inlineStr">
        <is>
          <t>Net-assets reconciliation</t>
        </is>
      </c>
      <c r="B121" s="8" t="inlineStr">
        <is>
          <t>C7</t>
        </is>
      </c>
      <c r="C121" s="8" t="inlineStr">
        <is>
          <t>4. Net assets, beginning of year</t>
        </is>
      </c>
      <c r="D121" s="8" t="inlineStr">
        <is>
          <t>Part XI line 4</t>
        </is>
      </c>
      <c r="E121" s="8" t="inlineStr">
        <is>
          <t>part_xi_reconciliation.net_assets_boy</t>
        </is>
      </c>
      <c r="F121" s="8" t="inlineStr">
        <is>
          <t>high</t>
        </is>
      </c>
      <c r="G121" s="9" t="n">
        <v>519243</v>
      </c>
    </row>
    <row r="122">
      <c r="A122" s="8" t="inlineStr">
        <is>
          <t>Net-assets reconciliation</t>
        </is>
      </c>
      <c r="B122" s="8" t="inlineStr">
        <is>
          <t>D7</t>
        </is>
      </c>
      <c r="C122" s="8" t="inlineStr">
        <is>
          <t>4. Net assets, beginning of year</t>
        </is>
      </c>
      <c r="D122" s="8" t="inlineStr">
        <is>
          <t>Part XI line 4</t>
        </is>
      </c>
      <c r="E122" s="8" t="inlineStr">
        <is>
          <t>part_xi_reconciliation.net_assets_boy</t>
        </is>
      </c>
      <c r="F122" s="8" t="inlineStr">
        <is>
          <t>high</t>
        </is>
      </c>
      <c r="G122" s="9" t="n">
        <v>586440</v>
      </c>
    </row>
    <row r="123">
      <c r="A123" s="8" t="inlineStr">
        <is>
          <t>Net-assets reconciliation</t>
        </is>
      </c>
      <c r="B123" s="8" t="inlineStr">
        <is>
          <t>E7</t>
        </is>
      </c>
      <c r="C123" s="8" t="inlineStr">
        <is>
          <t>4. Net assets, beginning of year</t>
        </is>
      </c>
      <c r="D123" s="8" t="inlineStr">
        <is>
          <t>Part XI line 4</t>
        </is>
      </c>
      <c r="E123" s="8" t="inlineStr">
        <is>
          <t>part_xi_reconciliation.net_assets_boy</t>
        </is>
      </c>
      <c r="F123" s="8" t="inlineStr">
        <is>
          <t>high</t>
        </is>
      </c>
      <c r="G123" s="9" t="n">
        <v>650113</v>
      </c>
    </row>
    <row r="124">
      <c r="A124" s="8" t="inlineStr">
        <is>
          <t>Net-assets reconciliation</t>
        </is>
      </c>
      <c r="B124" s="8" t="inlineStr">
        <is>
          <t>F7</t>
        </is>
      </c>
      <c r="C124" s="8" t="inlineStr">
        <is>
          <t>4. Net assets, beginning of year</t>
        </is>
      </c>
      <c r="D124" s="8" t="inlineStr">
        <is>
          <t>Part XI line 4</t>
        </is>
      </c>
      <c r="E124" s="8" t="inlineStr">
        <is>
          <t>part_xi_reconciliation.net_assets_boy</t>
        </is>
      </c>
      <c r="F124" s="8" t="inlineStr">
        <is>
          <t>high</t>
        </is>
      </c>
      <c r="G124" s="9" t="n">
        <v>662429</v>
      </c>
    </row>
    <row r="125">
      <c r="A125" s="8" t="inlineStr">
        <is>
          <t>Net-assets reconciliation</t>
        </is>
      </c>
      <c r="B125" s="8" t="inlineStr">
        <is>
          <t>B8</t>
        </is>
      </c>
      <c r="C125" s="8" t="inlineStr">
        <is>
          <t>3. Revenue less expenses</t>
        </is>
      </c>
      <c r="D125" s="8" t="inlineStr">
        <is>
          <t>Part XI line 3</t>
        </is>
      </c>
      <c r="E125" s="8" t="inlineStr">
        <is>
          <t>part_xi_reconciliation.reconciliation_revenue_expenses</t>
        </is>
      </c>
      <c r="F125" s="8" t="inlineStr">
        <is>
          <t>high</t>
        </is>
      </c>
      <c r="G125" s="9" t="n">
        <v>152351</v>
      </c>
    </row>
    <row r="126">
      <c r="A126" s="8" t="inlineStr">
        <is>
          <t>Net-assets reconciliation</t>
        </is>
      </c>
      <c r="B126" s="8" t="inlineStr">
        <is>
          <t>C8</t>
        </is>
      </c>
      <c r="C126" s="8" t="inlineStr">
        <is>
          <t>3. Revenue less expenses</t>
        </is>
      </c>
      <c r="D126" s="8" t="inlineStr">
        <is>
          <t>Part XI line 3</t>
        </is>
      </c>
      <c r="E126" s="8" t="inlineStr">
        <is>
          <t>part_xi_reconciliation.reconciliation_revenue_expenses</t>
        </is>
      </c>
      <c r="F126" s="8" t="inlineStr">
        <is>
          <t>high</t>
        </is>
      </c>
      <c r="G126" s="9" t="n">
        <v>67197</v>
      </c>
    </row>
    <row r="127">
      <c r="A127" s="8" t="inlineStr">
        <is>
          <t>Net-assets reconciliation</t>
        </is>
      </c>
      <c r="B127" s="8" t="inlineStr">
        <is>
          <t>D8</t>
        </is>
      </c>
      <c r="C127" s="8" t="inlineStr">
        <is>
          <t>3. Revenue less expenses</t>
        </is>
      </c>
      <c r="D127" s="8" t="inlineStr">
        <is>
          <t>Part XI line 3</t>
        </is>
      </c>
      <c r="E127" s="8" t="inlineStr">
        <is>
          <t>part_xi_reconciliation.reconciliation_revenue_expenses</t>
        </is>
      </c>
      <c r="F127" s="8" t="inlineStr">
        <is>
          <t>high</t>
        </is>
      </c>
      <c r="G127" s="9" t="n">
        <v>63673</v>
      </c>
    </row>
    <row r="128">
      <c r="A128" s="8" t="inlineStr">
        <is>
          <t>Net-assets reconciliation</t>
        </is>
      </c>
      <c r="B128" s="8" t="inlineStr">
        <is>
          <t>E8</t>
        </is>
      </c>
      <c r="C128" s="8" t="inlineStr">
        <is>
          <t>3. Revenue less expenses</t>
        </is>
      </c>
      <c r="D128" s="8" t="inlineStr">
        <is>
          <t>Part XI line 3</t>
        </is>
      </c>
      <c r="E128" s="8" t="inlineStr">
        <is>
          <t>part_xi_reconciliation.reconciliation_revenue_expenses</t>
        </is>
      </c>
      <c r="F128" s="8" t="inlineStr">
        <is>
          <t>high</t>
        </is>
      </c>
      <c r="G128" s="9" t="n">
        <v>12316</v>
      </c>
    </row>
    <row r="129">
      <c r="A129" s="8" t="inlineStr">
        <is>
          <t>Net-assets reconciliation</t>
        </is>
      </c>
      <c r="B129" s="8" t="inlineStr">
        <is>
          <t>F8</t>
        </is>
      </c>
      <c r="C129" s="8" t="inlineStr">
        <is>
          <t>3. Revenue less expenses</t>
        </is>
      </c>
      <c r="D129" s="8" t="inlineStr">
        <is>
          <t>Part XI line 3</t>
        </is>
      </c>
      <c r="E129" s="8" t="inlineStr">
        <is>
          <t>part_xi_reconciliation.reconciliation_revenue_expenses</t>
        </is>
      </c>
      <c r="F129" s="8" t="inlineStr">
        <is>
          <t>high</t>
        </is>
      </c>
      <c r="G129" s="9" t="n">
        <v>14156</v>
      </c>
    </row>
    <row r="130">
      <c r="A130" s="8" t="inlineStr">
        <is>
          <t>Net-assets reconciliation</t>
        </is>
      </c>
      <c r="B130" s="8" t="inlineStr">
        <is>
          <t>B10</t>
        </is>
      </c>
      <c r="C130" s="8" t="inlineStr">
        <is>
          <t>9. Other changes in net assets</t>
        </is>
      </c>
      <c r="D130" s="8" t="inlineStr">
        <is>
          <t>Part XI line 9</t>
        </is>
      </c>
      <c r="E130" s="8" t="inlineStr">
        <is>
          <t>part_xi_reconciliation.other_changes_net_assets</t>
        </is>
      </c>
      <c r="F130" s="8" t="inlineStr">
        <is>
          <t>high</t>
        </is>
      </c>
      <c r="G130" s="9" t="n">
        <v>0</v>
      </c>
    </row>
    <row r="131">
      <c r="A131" s="8" t="inlineStr">
        <is>
          <t>Net-assets reconciliation</t>
        </is>
      </c>
      <c r="B131" s="8" t="inlineStr">
        <is>
          <t>C10</t>
        </is>
      </c>
      <c r="C131" s="8" t="inlineStr">
        <is>
          <t>9. Other changes in net assets</t>
        </is>
      </c>
      <c r="D131" s="8" t="inlineStr">
        <is>
          <t>Part XI line 9</t>
        </is>
      </c>
      <c r="E131" s="8" t="inlineStr">
        <is>
          <t>part_xi_reconciliation.other_changes_net_assets</t>
        </is>
      </c>
      <c r="F131" s="8" t="inlineStr">
        <is>
          <t>high</t>
        </is>
      </c>
      <c r="G131" s="9" t="n">
        <v>0</v>
      </c>
    </row>
    <row r="132">
      <c r="A132" s="8" t="inlineStr">
        <is>
          <t>Net-assets reconciliation</t>
        </is>
      </c>
      <c r="B132" s="8" t="inlineStr">
        <is>
          <t>D10</t>
        </is>
      </c>
      <c r="C132" s="8" t="inlineStr">
        <is>
          <t>9. Other changes in net assets</t>
        </is>
      </c>
      <c r="D132" s="8" t="inlineStr">
        <is>
          <t>Part XI line 9</t>
        </is>
      </c>
      <c r="E132" s="8" t="inlineStr">
        <is>
          <t>part_xi_reconciliation.other_changes_net_assets</t>
        </is>
      </c>
      <c r="F132" s="8" t="inlineStr">
        <is>
          <t>high</t>
        </is>
      </c>
      <c r="G132" s="9" t="n">
        <v>0</v>
      </c>
    </row>
    <row r="133">
      <c r="A133" s="8" t="inlineStr">
        <is>
          <t>Net-assets reconciliation</t>
        </is>
      </c>
      <c r="B133" s="8" t="inlineStr">
        <is>
          <t>E10</t>
        </is>
      </c>
      <c r="C133" s="8" t="inlineStr">
        <is>
          <t>9. Other changes in net assets</t>
        </is>
      </c>
      <c r="D133" s="8" t="inlineStr">
        <is>
          <t>Part XI line 9</t>
        </is>
      </c>
      <c r="E133" s="8" t="inlineStr">
        <is>
          <t>part_xi_reconciliation.other_changes_net_assets</t>
        </is>
      </c>
      <c r="F133" s="8" t="inlineStr">
        <is>
          <t>high</t>
        </is>
      </c>
      <c r="G133" s="9" t="n">
        <v>0</v>
      </c>
    </row>
    <row r="134">
      <c r="A134" s="8" t="inlineStr">
        <is>
          <t>Net-assets reconciliation</t>
        </is>
      </c>
      <c r="B134" s="8" t="inlineStr">
        <is>
          <t>F10</t>
        </is>
      </c>
      <c r="C134" s="8" t="inlineStr">
        <is>
          <t>9. Other changes in net assets</t>
        </is>
      </c>
      <c r="D134" s="8" t="inlineStr">
        <is>
          <t>Part XI line 9</t>
        </is>
      </c>
      <c r="E134" s="8" t="inlineStr">
        <is>
          <t>part_xi_reconciliation.other_changes_net_assets</t>
        </is>
      </c>
      <c r="F134" s="8" t="inlineStr">
        <is>
          <t>high</t>
        </is>
      </c>
      <c r="G134" s="9" t="n">
        <v>0</v>
      </c>
    </row>
    <row r="136">
      <c r="A136" s="29" t="inlineStr">
        <is>
          <t>C. Tie-out checks (filed vs computed; any nonzero variance is flagged red)</t>
        </is>
      </c>
      <c r="B136" s="7" t="n"/>
      <c r="C136" s="7" t="n"/>
      <c r="D136" s="7" t="n"/>
      <c r="E136" s="7" t="n"/>
      <c r="F136" s="7" t="n"/>
      <c r="G136" s="7" t="n"/>
      <c r="H136" s="7" t="n"/>
      <c r="I136" s="7" t="n"/>
      <c r="J136" s="7" t="n"/>
      <c r="K136" s="7" t="n"/>
    </row>
    <row r="137">
      <c r="A137" s="5" t="inlineStr">
        <is>
          <t>Tab</t>
        </is>
      </c>
      <c r="B137" s="5" t="inlineStr">
        <is>
          <t>Check</t>
        </is>
      </c>
      <c r="C137" s="5" t="inlineStr">
        <is>
          <t>Fiscal year</t>
        </is>
      </c>
      <c r="D137" s="5" t="inlineStr">
        <is>
          <t>Filed</t>
        </is>
      </c>
      <c r="E137" s="5" t="inlineStr">
        <is>
          <t>Computed</t>
        </is>
      </c>
      <c r="F137" s="5" t="inlineStr">
        <is>
          <t>Variance (computed - filed)</t>
        </is>
      </c>
    </row>
    <row r="138">
      <c r="A138" s="18" t="inlineStr">
        <is>
          <t>Revenue (detail)</t>
        </is>
      </c>
      <c r="B138" s="18" t="inlineStr">
        <is>
          <t>12. Total revenue</t>
        </is>
      </c>
      <c r="C138" s="18" t="inlineStr">
        <is>
          <t>FY2021</t>
        </is>
      </c>
      <c r="D138" s="9" t="n">
        <v>246903</v>
      </c>
      <c r="E138" s="9">
        <f>'Revenue (detail)'!B13</f>
        <v/>
      </c>
      <c r="F138" s="9">
        <f>E138-D138</f>
        <v/>
      </c>
    </row>
    <row r="139">
      <c r="A139" s="18" t="inlineStr">
        <is>
          <t>Revenue (detail)</t>
        </is>
      </c>
      <c r="B139" s="18" t="inlineStr">
        <is>
          <t>12. Total revenue</t>
        </is>
      </c>
      <c r="C139" s="18" t="inlineStr">
        <is>
          <t>FY2022</t>
        </is>
      </c>
      <c r="D139" s="9" t="n">
        <v>188878</v>
      </c>
      <c r="E139" s="9">
        <f>'Revenue (detail)'!C13</f>
        <v/>
      </c>
      <c r="F139" s="9">
        <f>E139-D139</f>
        <v/>
      </c>
    </row>
    <row r="140">
      <c r="A140" s="18" t="inlineStr">
        <is>
          <t>Revenue (detail)</t>
        </is>
      </c>
      <c r="B140" s="18" t="inlineStr">
        <is>
          <t>12. Total revenue</t>
        </is>
      </c>
      <c r="C140" s="18" t="inlineStr">
        <is>
          <t>FY2023</t>
        </is>
      </c>
      <c r="D140" s="9" t="n">
        <v>207189</v>
      </c>
      <c r="E140" s="9">
        <f>'Revenue (detail)'!D13</f>
        <v/>
      </c>
      <c r="F140" s="9">
        <f>E140-D140</f>
        <v/>
      </c>
    </row>
    <row r="141">
      <c r="A141" s="18" t="inlineStr">
        <is>
          <t>Revenue (detail)</t>
        </is>
      </c>
      <c r="B141" s="18" t="inlineStr">
        <is>
          <t>12. Total revenue</t>
        </is>
      </c>
      <c r="C141" s="18" t="inlineStr">
        <is>
          <t>FY2024</t>
        </is>
      </c>
      <c r="D141" s="9" t="n">
        <v>231661</v>
      </c>
      <c r="E141" s="9">
        <f>'Revenue (detail)'!E13</f>
        <v/>
      </c>
      <c r="F141" s="9">
        <f>E141-D141</f>
        <v/>
      </c>
    </row>
    <row r="142">
      <c r="A142" s="18" t="inlineStr">
        <is>
          <t>Revenue (detail)</t>
        </is>
      </c>
      <c r="B142" s="18" t="inlineStr">
        <is>
          <t>12. Total revenue</t>
        </is>
      </c>
      <c r="C142" s="18" t="inlineStr">
        <is>
          <t>FY2025</t>
        </is>
      </c>
      <c r="D142" s="9" t="n">
        <v>232111</v>
      </c>
      <c r="E142" s="9">
        <f>'Revenue (detail)'!F13</f>
        <v/>
      </c>
      <c r="F142" s="9">
        <f>E142-D142</f>
        <v/>
      </c>
    </row>
    <row r="143">
      <c r="A143" s="18" t="inlineStr">
        <is>
          <t>Revenue (detail)</t>
        </is>
      </c>
      <c r="B143" s="18" t="inlineStr">
        <is>
          <t>2g program service revenue = sum of lines 2a-2f (FY2025)</t>
        </is>
      </c>
      <c r="C143" s="18" t="inlineStr">
        <is>
          <t>FY2025</t>
        </is>
      </c>
      <c r="D143" s="9" t="n">
        <v>232024</v>
      </c>
      <c r="E143" s="9">
        <f>SUM('Revenue (detail)'!C17:C17)</f>
        <v/>
      </c>
      <c r="F143" s="9">
        <f>E143-D143</f>
        <v/>
      </c>
    </row>
    <row r="144">
      <c r="A144" s="18" t="inlineStr">
        <is>
          <t>Operating expenses (detail)</t>
        </is>
      </c>
      <c r="B144" s="18" t="inlineStr">
        <is>
          <t>25. Total functional expenses</t>
        </is>
      </c>
      <c r="C144" s="18" t="inlineStr">
        <is>
          <t>FY2021</t>
        </is>
      </c>
      <c r="D144" s="9" t="n">
        <v>94552</v>
      </c>
      <c r="E144" s="9">
        <f>'Operating expenses (detail)'!B18</f>
        <v/>
      </c>
      <c r="F144" s="9">
        <f>E144-D144</f>
        <v/>
      </c>
    </row>
    <row r="145">
      <c r="A145" s="18" t="inlineStr">
        <is>
          <t>Operating expenses (detail)</t>
        </is>
      </c>
      <c r="B145" s="18" t="inlineStr">
        <is>
          <t>25. Total functional expenses</t>
        </is>
      </c>
      <c r="C145" s="18" t="inlineStr">
        <is>
          <t>FY2022</t>
        </is>
      </c>
      <c r="D145" s="9" t="n">
        <v>121681</v>
      </c>
      <c r="E145" s="9">
        <f>'Operating expenses (detail)'!C18</f>
        <v/>
      </c>
      <c r="F145" s="9">
        <f>E145-D145</f>
        <v/>
      </c>
    </row>
    <row r="146">
      <c r="A146" s="18" t="inlineStr">
        <is>
          <t>Operating expenses (detail)</t>
        </is>
      </c>
      <c r="B146" s="18" t="inlineStr">
        <is>
          <t>25. Total functional expenses</t>
        </is>
      </c>
      <c r="C146" s="18" t="inlineStr">
        <is>
          <t>FY2023</t>
        </is>
      </c>
      <c r="D146" s="9" t="n">
        <v>143516</v>
      </c>
      <c r="E146" s="9">
        <f>'Operating expenses (detail)'!D18</f>
        <v/>
      </c>
      <c r="F146" s="9">
        <f>E146-D146</f>
        <v/>
      </c>
    </row>
    <row r="147">
      <c r="A147" s="18" t="inlineStr">
        <is>
          <t>Operating expenses (detail)</t>
        </is>
      </c>
      <c r="B147" s="18" t="inlineStr">
        <is>
          <t>25. Total functional expenses</t>
        </is>
      </c>
      <c r="C147" s="18" t="inlineStr">
        <is>
          <t>FY2024</t>
        </is>
      </c>
      <c r="D147" s="9" t="n">
        <v>219345</v>
      </c>
      <c r="E147" s="9">
        <f>'Operating expenses (detail)'!E18</f>
        <v/>
      </c>
      <c r="F147" s="9">
        <f>E147-D147</f>
        <v/>
      </c>
    </row>
    <row r="148">
      <c r="A148" s="18" t="inlineStr">
        <is>
          <t>Operating expenses (detail)</t>
        </is>
      </c>
      <c r="B148" s="18" t="inlineStr">
        <is>
          <t>25. Total functional expenses</t>
        </is>
      </c>
      <c r="C148" s="18" t="inlineStr">
        <is>
          <t>FY2025</t>
        </is>
      </c>
      <c r="D148" s="9" t="n">
        <v>217955</v>
      </c>
      <c r="E148" s="9">
        <f>'Operating expenses (detail)'!F18</f>
        <v/>
      </c>
      <c r="F148" s="9">
        <f>E148-D148</f>
        <v/>
      </c>
    </row>
    <row r="149">
      <c r="A149" s="18" t="inlineStr">
        <is>
          <t>Operating expenses (detail)</t>
        </is>
      </c>
      <c r="B149" s="18" t="inlineStr">
        <is>
          <t>Part IX column split: col A = B + C + D (FY2025)</t>
        </is>
      </c>
      <c r="C149" s="18" t="inlineStr">
        <is>
          <t>FY2025</t>
        </is>
      </c>
      <c r="D149" s="9">
        <f>'Operating expenses (detail)'!B27</f>
        <v/>
      </c>
      <c r="E149" s="9">
        <f>'Operating expenses (detail)'!C27+'Operating expenses (detail)'!D27+'Operating expenses (detail)'!E27</f>
        <v/>
      </c>
      <c r="F149" s="9">
        <f>E149-D149</f>
        <v/>
      </c>
    </row>
    <row r="150">
      <c r="A150" s="18" t="inlineStr">
        <is>
          <t>Balance sheet (detail)</t>
        </is>
      </c>
      <c r="B150" s="18" t="inlineStr">
        <is>
          <t>16. Total assets</t>
        </is>
      </c>
      <c r="C150" s="18" t="inlineStr">
        <is>
          <t>FY2021</t>
        </is>
      </c>
      <c r="D150" s="9" t="n">
        <v>1117924</v>
      </c>
      <c r="E150" s="9">
        <f>'Balance sheet (detail)'!B15</f>
        <v/>
      </c>
      <c r="F150" s="9">
        <f>E150-D150</f>
        <v/>
      </c>
    </row>
    <row r="151">
      <c r="A151" s="18" t="inlineStr">
        <is>
          <t>Balance sheet (detail)</t>
        </is>
      </c>
      <c r="B151" s="18" t="inlineStr">
        <is>
          <t>16. Total assets</t>
        </is>
      </c>
      <c r="C151" s="18" t="inlineStr">
        <is>
          <t>FY2022</t>
        </is>
      </c>
      <c r="D151" s="9" t="n">
        <v>965612</v>
      </c>
      <c r="E151" s="9">
        <f>'Balance sheet (detail)'!C15</f>
        <v/>
      </c>
      <c r="F151" s="9">
        <f>E151-D151</f>
        <v/>
      </c>
    </row>
    <row r="152">
      <c r="A152" s="18" t="inlineStr">
        <is>
          <t>Balance sheet (detail)</t>
        </is>
      </c>
      <c r="B152" s="18" t="inlineStr">
        <is>
          <t>16. Total assets</t>
        </is>
      </c>
      <c r="C152" s="18" t="inlineStr">
        <is>
          <t>FY2023</t>
        </is>
      </c>
      <c r="D152" s="9" t="n">
        <v>1015696</v>
      </c>
      <c r="E152" s="9">
        <f>'Balance sheet (detail)'!D15</f>
        <v/>
      </c>
      <c r="F152" s="9">
        <f>E152-D152</f>
        <v/>
      </c>
    </row>
    <row r="153">
      <c r="A153" s="18" t="inlineStr">
        <is>
          <t>Balance sheet (detail)</t>
        </is>
      </c>
      <c r="B153" s="18" t="inlineStr">
        <is>
          <t>16. Total assets</t>
        </is>
      </c>
      <c r="C153" s="18" t="inlineStr">
        <is>
          <t>FY2024</t>
        </is>
      </c>
      <c r="D153" s="9" t="n">
        <v>1013572</v>
      </c>
      <c r="E153" s="9">
        <f>'Balance sheet (detail)'!E15</f>
        <v/>
      </c>
      <c r="F153" s="9">
        <f>E153-D153</f>
        <v/>
      </c>
    </row>
    <row r="154">
      <c r="A154" s="18" t="inlineStr">
        <is>
          <t>Balance sheet (detail)</t>
        </is>
      </c>
      <c r="B154" s="18" t="inlineStr">
        <is>
          <t>16. Total assets</t>
        </is>
      </c>
      <c r="C154" s="18" t="inlineStr">
        <is>
          <t>FY2025</t>
        </is>
      </c>
      <c r="D154" s="9" t="n">
        <v>1012633</v>
      </c>
      <c r="E154" s="9">
        <f>'Balance sheet (detail)'!F15</f>
        <v/>
      </c>
      <c r="F154" s="9">
        <f>E154-D154</f>
        <v/>
      </c>
    </row>
    <row r="155">
      <c r="A155" s="18" t="inlineStr">
        <is>
          <t>Balance sheet (detail)</t>
        </is>
      </c>
      <c r="B155" s="18" t="inlineStr">
        <is>
          <t>26. Total liabilities</t>
        </is>
      </c>
      <c r="C155" s="18" t="inlineStr">
        <is>
          <t>FY2021</t>
        </is>
      </c>
      <c r="D155" s="9" t="n">
        <v>598681</v>
      </c>
      <c r="E155" s="9">
        <f>'Balance sheet (detail)'!B20</f>
        <v/>
      </c>
      <c r="F155" s="9">
        <f>E155-D155</f>
        <v/>
      </c>
    </row>
    <row r="156">
      <c r="A156" s="18" t="inlineStr">
        <is>
          <t>Balance sheet (detail)</t>
        </is>
      </c>
      <c r="B156" s="18" t="inlineStr">
        <is>
          <t>26. Total liabilities</t>
        </is>
      </c>
      <c r="C156" s="18" t="inlineStr">
        <is>
          <t>FY2022</t>
        </is>
      </c>
      <c r="D156" s="9" t="n">
        <v>379172</v>
      </c>
      <c r="E156" s="9">
        <f>'Balance sheet (detail)'!C20</f>
        <v/>
      </c>
      <c r="F156" s="9">
        <f>E156-D156</f>
        <v/>
      </c>
    </row>
    <row r="157">
      <c r="A157" s="18" t="inlineStr">
        <is>
          <t>Balance sheet (detail)</t>
        </is>
      </c>
      <c r="B157" s="18" t="inlineStr">
        <is>
          <t>26. Total liabilities</t>
        </is>
      </c>
      <c r="C157" s="18" t="inlineStr">
        <is>
          <t>FY2023</t>
        </is>
      </c>
      <c r="D157" s="9" t="n">
        <v>365583</v>
      </c>
      <c r="E157" s="9">
        <f>'Balance sheet (detail)'!D20</f>
        <v/>
      </c>
      <c r="F157" s="9">
        <f>E157-D157</f>
        <v/>
      </c>
    </row>
    <row r="158">
      <c r="A158" s="18" t="inlineStr">
        <is>
          <t>Balance sheet (detail)</t>
        </is>
      </c>
      <c r="B158" s="18" t="inlineStr">
        <is>
          <t>26. Total liabilities</t>
        </is>
      </c>
      <c r="C158" s="18" t="inlineStr">
        <is>
          <t>FY2024</t>
        </is>
      </c>
      <c r="D158" s="9" t="n">
        <v>351143</v>
      </c>
      <c r="E158" s="9">
        <f>'Balance sheet (detail)'!E20</f>
        <v/>
      </c>
      <c r="F158" s="9">
        <f>E158-D158</f>
        <v/>
      </c>
    </row>
    <row r="159">
      <c r="A159" s="18" t="inlineStr">
        <is>
          <t>Balance sheet (detail)</t>
        </is>
      </c>
      <c r="B159" s="18" t="inlineStr">
        <is>
          <t>26. Total liabilities</t>
        </is>
      </c>
      <c r="C159" s="18" t="inlineStr">
        <is>
          <t>FY2025</t>
        </is>
      </c>
      <c r="D159" s="9" t="n">
        <v>336048</v>
      </c>
      <c r="E159" s="9">
        <f>'Balance sheet (detail)'!F20</f>
        <v/>
      </c>
      <c r="F159" s="9">
        <f>E159-D159</f>
        <v/>
      </c>
    </row>
    <row r="160">
      <c r="A160" s="18" t="inlineStr">
        <is>
          <t>Balance sheet (detail)</t>
        </is>
      </c>
      <c r="B160" s="18" t="inlineStr">
        <is>
          <t>32. Total net assets / fund balances</t>
        </is>
      </c>
      <c r="C160" s="18" t="inlineStr">
        <is>
          <t>FY2021</t>
        </is>
      </c>
      <c r="D160" s="9" t="n">
        <v>519243</v>
      </c>
      <c r="E160" s="9">
        <f>'Balance sheet (detail)'!B26</f>
        <v/>
      </c>
      <c r="F160" s="9">
        <f>E160-D160</f>
        <v/>
      </c>
    </row>
    <row r="161">
      <c r="A161" s="18" t="inlineStr">
        <is>
          <t>Balance sheet (detail)</t>
        </is>
      </c>
      <c r="B161" s="18" t="inlineStr">
        <is>
          <t>32. Total net assets / fund balances</t>
        </is>
      </c>
      <c r="C161" s="18" t="inlineStr">
        <is>
          <t>FY2022</t>
        </is>
      </c>
      <c r="D161" s="9" t="n">
        <v>586440</v>
      </c>
      <c r="E161" s="9">
        <f>'Balance sheet (detail)'!C26</f>
        <v/>
      </c>
      <c r="F161" s="9">
        <f>E161-D161</f>
        <v/>
      </c>
    </row>
    <row r="162">
      <c r="A162" s="18" t="inlineStr">
        <is>
          <t>Balance sheet (detail)</t>
        </is>
      </c>
      <c r="B162" s="18" t="inlineStr">
        <is>
          <t>32. Total net assets / fund balances</t>
        </is>
      </c>
      <c r="C162" s="18" t="inlineStr">
        <is>
          <t>FY2023</t>
        </is>
      </c>
      <c r="D162" s="9" t="n">
        <v>650113</v>
      </c>
      <c r="E162" s="9">
        <f>'Balance sheet (detail)'!D26</f>
        <v/>
      </c>
      <c r="F162" s="9">
        <f>E162-D162</f>
        <v/>
      </c>
    </row>
    <row r="163">
      <c r="A163" s="18" t="inlineStr">
        <is>
          <t>Balance sheet (detail)</t>
        </is>
      </c>
      <c r="B163" s="18" t="inlineStr">
        <is>
          <t>32. Total net assets / fund balances</t>
        </is>
      </c>
      <c r="C163" s="18" t="inlineStr">
        <is>
          <t>FY2024</t>
        </is>
      </c>
      <c r="D163" s="9" t="n">
        <v>662429</v>
      </c>
      <c r="E163" s="9">
        <f>'Balance sheet (detail)'!E26</f>
        <v/>
      </c>
      <c r="F163" s="9">
        <f>E163-D163</f>
        <v/>
      </c>
    </row>
    <row r="164">
      <c r="A164" s="18" t="inlineStr">
        <is>
          <t>Balance sheet (detail)</t>
        </is>
      </c>
      <c r="B164" s="18" t="inlineStr">
        <is>
          <t>32. Total net assets / fund balances</t>
        </is>
      </c>
      <c r="C164" s="18" t="inlineStr">
        <is>
          <t>FY2025</t>
        </is>
      </c>
      <c r="D164" s="9" t="n">
        <v>676585</v>
      </c>
      <c r="E164" s="9">
        <f>'Balance sheet (detail)'!F26</f>
        <v/>
      </c>
      <c r="F164" s="9">
        <f>E164-D164</f>
        <v/>
      </c>
    </row>
    <row r="165">
      <c r="A165" s="18" t="inlineStr">
        <is>
          <t>Balance sheet (detail)</t>
        </is>
      </c>
      <c r="B165" s="18" t="inlineStr">
        <is>
          <t>Balance sheet identity: line 16 = line 26 + line 32 (EOY)</t>
        </is>
      </c>
      <c r="C165" s="18" t="inlineStr">
        <is>
          <t>FY2021</t>
        </is>
      </c>
      <c r="D165" s="9">
        <f>'Balance sheet (detail)'!B15</f>
        <v/>
      </c>
      <c r="E165" s="9">
        <f>SUM('Balance sheet (detail)'!B20,'Balance sheet (detail)'!B26)</f>
        <v/>
      </c>
      <c r="F165" s="9">
        <f>E165-D165</f>
        <v/>
      </c>
    </row>
    <row r="166">
      <c r="A166" s="18" t="inlineStr">
        <is>
          <t>Balance sheet (detail)</t>
        </is>
      </c>
      <c r="B166" s="18" t="inlineStr">
        <is>
          <t>Balance sheet identity: line 16 = line 26 + line 32 (EOY)</t>
        </is>
      </c>
      <c r="C166" s="18" t="inlineStr">
        <is>
          <t>FY2022</t>
        </is>
      </c>
      <c r="D166" s="9">
        <f>'Balance sheet (detail)'!C15</f>
        <v/>
      </c>
      <c r="E166" s="9">
        <f>SUM('Balance sheet (detail)'!C20,'Balance sheet (detail)'!C26)</f>
        <v/>
      </c>
      <c r="F166" s="9">
        <f>E166-D166</f>
        <v/>
      </c>
    </row>
    <row r="167">
      <c r="A167" s="18" t="inlineStr">
        <is>
          <t>Balance sheet (detail)</t>
        </is>
      </c>
      <c r="B167" s="18" t="inlineStr">
        <is>
          <t>Balance sheet identity: line 16 = line 26 + line 32 (EOY)</t>
        </is>
      </c>
      <c r="C167" s="18" t="inlineStr">
        <is>
          <t>FY2023</t>
        </is>
      </c>
      <c r="D167" s="9">
        <f>'Balance sheet (detail)'!D15</f>
        <v/>
      </c>
      <c r="E167" s="9">
        <f>SUM('Balance sheet (detail)'!D20,'Balance sheet (detail)'!D26)</f>
        <v/>
      </c>
      <c r="F167" s="9">
        <f>E167-D167</f>
        <v/>
      </c>
    </row>
    <row r="168">
      <c r="A168" s="18" t="inlineStr">
        <is>
          <t>Balance sheet (detail)</t>
        </is>
      </c>
      <c r="B168" s="18" t="inlineStr">
        <is>
          <t>Balance sheet identity: line 16 = line 26 + line 32 (EOY)</t>
        </is>
      </c>
      <c r="C168" s="18" t="inlineStr">
        <is>
          <t>FY2024</t>
        </is>
      </c>
      <c r="D168" s="9">
        <f>'Balance sheet (detail)'!E15</f>
        <v/>
      </c>
      <c r="E168" s="9">
        <f>SUM('Balance sheet (detail)'!E20,'Balance sheet (detail)'!E26)</f>
        <v/>
      </c>
      <c r="F168" s="9">
        <f>E168-D168</f>
        <v/>
      </c>
    </row>
    <row r="169">
      <c r="A169" s="18" t="inlineStr">
        <is>
          <t>Balance sheet (detail)</t>
        </is>
      </c>
      <c r="B169" s="18" t="inlineStr">
        <is>
          <t>Balance sheet identity: line 16 = line 26 + line 32 (EOY)</t>
        </is>
      </c>
      <c r="C169" s="18" t="inlineStr">
        <is>
          <t>FY2025</t>
        </is>
      </c>
      <c r="D169" s="9">
        <f>'Balance sheet (detail)'!F15</f>
        <v/>
      </c>
      <c r="E169" s="9">
        <f>SUM('Balance sheet (detail)'!F20,'Balance sheet (detail)'!F26)</f>
        <v/>
      </c>
      <c r="F169" s="9">
        <f>E169-D169</f>
        <v/>
      </c>
    </row>
    <row r="170">
      <c r="A170" s="18" t="inlineStr">
        <is>
          <t>Net-assets reconciliation</t>
        </is>
      </c>
      <c r="B170" s="18" t="inlineStr">
        <is>
          <t>10. Net assets, end of year</t>
        </is>
      </c>
      <c r="C170" s="18" t="inlineStr">
        <is>
          <t>FY2021</t>
        </is>
      </c>
      <c r="D170" s="9" t="n">
        <v>519243</v>
      </c>
      <c r="E170" s="9">
        <f>'Net-assets reconciliation'!B11</f>
        <v/>
      </c>
      <c r="F170" s="9">
        <f>E170-D170</f>
        <v/>
      </c>
    </row>
    <row r="171">
      <c r="A171" s="18" t="inlineStr">
        <is>
          <t>Net-assets reconciliation</t>
        </is>
      </c>
      <c r="B171" s="18" t="inlineStr">
        <is>
          <t>10. Net assets, end of year</t>
        </is>
      </c>
      <c r="C171" s="18" t="inlineStr">
        <is>
          <t>FY2022</t>
        </is>
      </c>
      <c r="D171" s="9" t="n">
        <v>586440</v>
      </c>
      <c r="E171" s="9">
        <f>'Net-assets reconciliation'!C11</f>
        <v/>
      </c>
      <c r="F171" s="9">
        <f>E171-D171</f>
        <v/>
      </c>
    </row>
    <row r="172">
      <c r="A172" s="18" t="inlineStr">
        <is>
          <t>Net-assets reconciliation</t>
        </is>
      </c>
      <c r="B172" s="18" t="inlineStr">
        <is>
          <t>10. Net assets, end of year</t>
        </is>
      </c>
      <c r="C172" s="18" t="inlineStr">
        <is>
          <t>FY2023</t>
        </is>
      </c>
      <c r="D172" s="9" t="n">
        <v>650113</v>
      </c>
      <c r="E172" s="9">
        <f>'Net-assets reconciliation'!D11</f>
        <v/>
      </c>
      <c r="F172" s="9">
        <f>E172-D172</f>
        <v/>
      </c>
    </row>
    <row r="173">
      <c r="A173" s="18" t="inlineStr">
        <is>
          <t>Net-assets reconciliation</t>
        </is>
      </c>
      <c r="B173" s="18" t="inlineStr">
        <is>
          <t>10. Net assets, end of year</t>
        </is>
      </c>
      <c r="C173" s="18" t="inlineStr">
        <is>
          <t>FY2024</t>
        </is>
      </c>
      <c r="D173" s="9" t="n">
        <v>662429</v>
      </c>
      <c r="E173" s="9">
        <f>'Net-assets reconciliation'!E11</f>
        <v/>
      </c>
      <c r="F173" s="9">
        <f>E173-D173</f>
        <v/>
      </c>
    </row>
    <row r="174">
      <c r="A174" s="18" t="inlineStr">
        <is>
          <t>Net-assets reconciliation</t>
        </is>
      </c>
      <c r="B174" s="18" t="inlineStr">
        <is>
          <t>10. Net assets, end of year</t>
        </is>
      </c>
      <c r="C174" s="18" t="inlineStr">
        <is>
          <t>FY2025</t>
        </is>
      </c>
      <c r="D174" s="9" t="n">
        <v>676585</v>
      </c>
      <c r="E174" s="9">
        <f>'Net-assets reconciliation'!F11</f>
        <v/>
      </c>
      <c r="F174" s="9">
        <f>E174-D174</f>
        <v/>
      </c>
    </row>
    <row r="176">
      <c r="A176" s="29" t="inlineStr">
        <is>
          <t>D. Preparer / auditor trail (one row per fiscal year, as filed)</t>
        </is>
      </c>
      <c r="B176" s="7" t="n"/>
      <c r="C176" s="7" t="n"/>
      <c r="D176" s="7" t="n"/>
      <c r="E176" s="7" t="n"/>
      <c r="F176" s="7" t="n"/>
      <c r="G176" s="7" t="n"/>
      <c r="H176" s="7" t="n"/>
      <c r="I176" s="7" t="n"/>
      <c r="J176" s="7" t="n"/>
      <c r="K176" s="7" t="n"/>
    </row>
    <row r="177">
      <c r="A177" s="5" t="inlineStr">
        <is>
          <t>Fiscal year</t>
        </is>
      </c>
      <c r="B177" s="5" t="inlineStr">
        <is>
          <t>Paid preparer</t>
        </is>
      </c>
      <c r="C177" s="5" t="inlineStr">
        <is>
          <t>Preparer firm</t>
        </is>
      </c>
      <c r="D177" s="5" t="inlineStr">
        <is>
          <t>Independent auditor</t>
        </is>
      </c>
      <c r="E177" s="5" t="inlineStr">
        <is>
          <t>Citation</t>
        </is>
      </c>
    </row>
    <row r="178" ht="42" customHeight="1">
      <c r="A178" s="27" t="inlineStr">
        <is>
          <t>FY2021</t>
        </is>
      </c>
      <c r="B178" s="8" t="inlineStr">
        <is>
          <t>Christina M Wyneken</t>
        </is>
      </c>
      <c r="C178" s="8" t="inlineStr">
        <is>
          <t>Christina M Wyneken CPAMSTCGMA</t>
        </is>
      </c>
      <c r="D178" s="30" t="inlineStr">
        <is>
          <t>not reported</t>
        </is>
      </c>
      <c r="E178" s="21" t="inlineStr">
        <is>
          <t>Form 990 Return Header, Paid Preparer block (return_header.preparer_person_name / preparer_firm_name); auditor: Part XII line 2 reports audited financial statements but does not name the firm.</t>
        </is>
      </c>
    </row>
    <row r="179" ht="42" customHeight="1">
      <c r="A179" s="27" t="inlineStr">
        <is>
          <t>FY2022</t>
        </is>
      </c>
      <c r="B179" s="8" t="inlineStr">
        <is>
          <t>Christina M Wyneken</t>
        </is>
      </c>
      <c r="C179" s="8" t="inlineStr">
        <is>
          <t>Christina M Wyneken CPAMSTCGMA</t>
        </is>
      </c>
      <c r="D179" s="30" t="inlineStr">
        <is>
          <t>not reported</t>
        </is>
      </c>
      <c r="E179" s="21" t="inlineStr">
        <is>
          <t>Form 990 Return Header, Paid Preparer block (return_header.preparer_person_name / preparer_firm_name); auditor: Part XII line 2 reports audited financial statements but does not name the firm.</t>
        </is>
      </c>
    </row>
    <row r="180" ht="42" customHeight="1">
      <c r="A180" s="27" t="inlineStr">
        <is>
          <t>FY2023</t>
        </is>
      </c>
      <c r="B180" s="8" t="inlineStr">
        <is>
          <t>Christina M Wyneken</t>
        </is>
      </c>
      <c r="C180" s="8" t="inlineStr">
        <is>
          <t>Christina M Wyneken CPAMSTCGMA</t>
        </is>
      </c>
      <c r="D180" s="30" t="inlineStr">
        <is>
          <t>not reported</t>
        </is>
      </c>
      <c r="E180" s="21" t="inlineStr">
        <is>
          <t>Form 990 Return Header, Paid Preparer block (return_header.preparer_person_name / preparer_firm_name); auditor: Part XII line 2 reports audited financial statements but does not name the firm.</t>
        </is>
      </c>
    </row>
    <row r="181" ht="42" customHeight="1">
      <c r="A181" s="27" t="inlineStr">
        <is>
          <t>FY2024</t>
        </is>
      </c>
      <c r="B181" s="8" t="inlineStr">
        <is>
          <t>Michael S Hawkes CPA</t>
        </is>
      </c>
      <c r="C181" s="8" t="inlineStr">
        <is>
          <t>Associated Income Tax Services</t>
        </is>
      </c>
      <c r="D181" s="30" t="inlineStr">
        <is>
          <t>not reported</t>
        </is>
      </c>
      <c r="E181" s="21" t="inlineStr">
        <is>
          <t>Form 990 Return Header, Paid Preparer block (return_header.preparer_person_name / preparer_firm_name); auditor: Part XII line 2 reports audited financial statements but does not name the firm.</t>
        </is>
      </c>
    </row>
    <row r="182" ht="42" customHeight="1">
      <c r="A182" s="27" t="inlineStr">
        <is>
          <t>FY2025</t>
        </is>
      </c>
      <c r="B182" s="8" t="inlineStr">
        <is>
          <t>ASHLEY COX</t>
        </is>
      </c>
      <c r="C182" s="8" t="inlineStr">
        <is>
          <t>Associated Income Tax Services</t>
        </is>
      </c>
      <c r="D182" s="30" t="inlineStr">
        <is>
          <t>not reported</t>
        </is>
      </c>
      <c r="E182" s="21" t="inlineStr">
        <is>
          <t>Form 990 Return Header, Paid Preparer block (return_header.preparer_person_name / preparer_firm_name); auditor: Part XII line 2 reports audited financial statements but does not name the firm.</t>
        </is>
      </c>
    </row>
    <row r="184">
      <c r="A184" s="29" t="inlineStr">
        <is>
          <t>E. Filed-label variants (case/spacing-only wording consolidated to one row; displayed = most recent year)</t>
        </is>
      </c>
      <c r="B184" s="7" t="n"/>
      <c r="C184" s="7" t="n"/>
      <c r="D184" s="7" t="n"/>
      <c r="E184" s="7" t="n"/>
      <c r="F184" s="7" t="n"/>
      <c r="G184" s="7" t="n"/>
      <c r="H184" s="7" t="n"/>
      <c r="I184" s="7" t="n"/>
      <c r="J184" s="7" t="n"/>
      <c r="K184" s="7" t="n"/>
    </row>
    <row r="185">
      <c r="A185" s="5" t="inlineStr">
        <is>
          <t>Tab</t>
        </is>
      </c>
      <c r="B185" s="5" t="inlineStr">
        <is>
          <t>Displayed (most recent)</t>
        </is>
      </c>
      <c r="C185" s="5" t="inlineStr">
        <is>
          <t>As-filed variant</t>
        </is>
      </c>
      <c r="D185" s="5" t="inlineStr">
        <is>
          <t>Years filed</t>
        </is>
      </c>
      <c r="E185" s="5" t="inlineStr">
        <is>
          <t>Note</t>
        </is>
      </c>
    </row>
    <row r="186">
      <c r="A186" s="8" t="inlineStr">
        <is>
          <t>Operating expenses (detail)</t>
        </is>
      </c>
      <c r="B186" s="8" t="inlineStr">
        <is>
          <t>Repairs &amp; Maintenance</t>
        </is>
      </c>
      <c r="C186" s="8" t="inlineStr">
        <is>
          <t>Repairs &amp; maintenance</t>
        </is>
      </c>
      <c r="D186" s="8" t="inlineStr">
        <is>
          <t>FY2021, FY2022, FY2023</t>
        </is>
      </c>
      <c r="E186" s="21" t="inlineStr">
        <is>
          <t>Same line; differs only by capitalization / spacing.</t>
        </is>
      </c>
    </row>
    <row r="187">
      <c r="A187" s="8" t="inlineStr">
        <is>
          <t>Operating expenses (detail)</t>
        </is>
      </c>
      <c r="B187" s="8" t="inlineStr">
        <is>
          <t>Repairs &amp; Maintenance</t>
        </is>
      </c>
      <c r="C187" s="8" t="inlineStr">
        <is>
          <t>Repairs &amp; Maintenance</t>
        </is>
      </c>
      <c r="D187" s="8" t="inlineStr">
        <is>
          <t>FY2024, FY2025</t>
        </is>
      </c>
      <c r="E187" s="21" t="inlineStr">
        <is>
          <t>Same line; differs only by capitalization / spacing.</t>
        </is>
      </c>
    </row>
    <row r="188">
      <c r="A188" s="8" t="inlineStr">
        <is>
          <t>Operating expenses (detail)</t>
        </is>
      </c>
      <c r="B188" s="8" t="inlineStr">
        <is>
          <t>Distribution Operator</t>
        </is>
      </c>
      <c r="C188" s="8" t="inlineStr">
        <is>
          <t>Distribution operator</t>
        </is>
      </c>
      <c r="D188" s="8" t="inlineStr">
        <is>
          <t>FY2021, FY2022, FY2023</t>
        </is>
      </c>
      <c r="E188" s="21" t="inlineStr">
        <is>
          <t>Same line; differs only by capitalization / spacing.</t>
        </is>
      </c>
    </row>
    <row r="189">
      <c r="A189" s="8" t="inlineStr">
        <is>
          <t>Operating expenses (detail)</t>
        </is>
      </c>
      <c r="B189" s="8" t="inlineStr">
        <is>
          <t>Distribution Operator</t>
        </is>
      </c>
      <c r="C189" s="8" t="inlineStr">
        <is>
          <t>Distribution Operator</t>
        </is>
      </c>
      <c r="D189" s="8" t="inlineStr">
        <is>
          <t>FY2024, FY2025</t>
        </is>
      </c>
      <c r="E189" s="21" t="inlineStr">
        <is>
          <t>Same line; differs only by capitalization / spacing.</t>
        </is>
      </c>
    </row>
    <row r="191" ht="42" customHeight="1">
      <c r="A191"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191:K191"/>
    <mergeCell ref="A5:K5"/>
    <mergeCell ref="A1:K1"/>
  </mergeCells>
  <conditionalFormatting sqref="F138:F174">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