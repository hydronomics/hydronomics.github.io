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Anza Vineyard Estates Mutual Water Company</t>
        </is>
      </c>
    </row>
    <row r="2">
      <c r="A2" s="2" t="inlineStr">
        <is>
          <t>Financial Summary - multi-year overview (USD)</t>
        </is>
      </c>
    </row>
    <row r="3">
      <c r="A3" s="2" t="inlineStr">
        <is>
          <t>Entity ID: cawc_0079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153838</v>
      </c>
      <c r="C10" s="9" t="n">
        <v>311649</v>
      </c>
      <c r="D10" s="9" t="n">
        <v>223007</v>
      </c>
      <c r="E10" s="9" t="n">
        <v>271878</v>
      </c>
    </row>
    <row r="11">
      <c r="A11" s="8" t="inlineStr">
        <is>
          <t xml:space="preserve">    Total expenses</t>
        </is>
      </c>
      <c r="B11" s="9" t="n">
        <v>153838</v>
      </c>
      <c r="C11" s="9" t="n">
        <v>311649</v>
      </c>
      <c r="D11" s="9" t="n">
        <v>223007</v>
      </c>
      <c r="E11" s="9" t="n">
        <v>271878</v>
      </c>
    </row>
    <row r="12">
      <c r="A12" s="10" t="inlineStr">
        <is>
          <t xml:space="preserve">    Net income</t>
        </is>
      </c>
      <c r="B12" s="11" t="n"/>
      <c r="C12" s="11" t="n">
        <v>0</v>
      </c>
      <c r="D12" s="11" t="n">
        <v>0</v>
      </c>
      <c r="E12" s="11" t="n">
        <v>0</v>
      </c>
    </row>
    <row r="14">
      <c r="A14" s="6" t="inlineStr">
        <is>
          <t>Financial position (USD, end of year)</t>
        </is>
      </c>
      <c r="B14" s="7" t="n"/>
      <c r="C14" s="7" t="n"/>
      <c r="D14" s="7" t="n"/>
      <c r="E14" s="7" t="n"/>
    </row>
    <row r="15">
      <c r="A15" s="8" t="inlineStr">
        <is>
          <t xml:space="preserve">    Total assets</t>
        </is>
      </c>
      <c r="B15" s="9" t="n">
        <v>110832</v>
      </c>
      <c r="C15" s="9" t="n">
        <v>118551</v>
      </c>
      <c r="D15" s="9" t="n">
        <v>138234</v>
      </c>
      <c r="E15" s="9" t="n">
        <v>128007</v>
      </c>
    </row>
    <row r="16">
      <c r="A16" s="8" t="inlineStr">
        <is>
          <t xml:space="preserve">    Total liabilities</t>
        </is>
      </c>
      <c r="B16" s="9" t="n">
        <v>2500</v>
      </c>
      <c r="C16" s="9" t="n">
        <v>16380</v>
      </c>
      <c r="D16" s="9" t="n">
        <v>0</v>
      </c>
      <c r="E16" s="9" t="n">
        <v>0</v>
      </c>
    </row>
    <row r="17">
      <c r="A17" s="10" t="inlineStr">
        <is>
          <t xml:space="preserve">    Net assets</t>
        </is>
      </c>
      <c r="B17" s="11" t="n">
        <v>108332</v>
      </c>
      <c r="C17" s="11" t="n">
        <v>102171</v>
      </c>
      <c r="D17" s="11" t="n">
        <v>138234</v>
      </c>
      <c r="E17" s="11" t="n">
        <v>128007</v>
      </c>
    </row>
    <row r="19">
      <c r="A19" s="6" t="inlineStr">
        <is>
          <t>Headline ratios</t>
        </is>
      </c>
      <c r="B19" s="7" t="n"/>
      <c r="C19" s="7" t="n"/>
      <c r="D19" s="7" t="n"/>
      <c r="E19" s="7" t="n"/>
    </row>
    <row r="20">
      <c r="A20" s="8" t="inlineStr">
        <is>
          <t xml:space="preserve">    Operating margin</t>
        </is>
      </c>
      <c r="B20" s="12" t="n"/>
      <c r="C20" s="12" t="n">
        <v>0</v>
      </c>
      <c r="D20" s="12" t="n">
        <v>0</v>
      </c>
      <c r="E20" s="12" t="n">
        <v>0</v>
      </c>
    </row>
    <row r="21">
      <c r="A21" s="8" t="inlineStr">
        <is>
          <t xml:space="preserve">    Revenue growth (YoY)</t>
        </is>
      </c>
      <c r="B21" s="12" t="n"/>
      <c r="C21" s="12" t="n">
        <v>1.025825868771045</v>
      </c>
      <c r="D21" s="12" t="n">
        <v>-0.2844289569355268</v>
      </c>
      <c r="E21" s="12" t="n">
        <v>0.2191455873582444</v>
      </c>
    </row>
    <row r="22">
      <c r="A22" s="8" t="inlineStr">
        <is>
          <t xml:space="preserve">    Return on assets</t>
        </is>
      </c>
      <c r="B22" s="12" t="n"/>
      <c r="C22" s="12" t="n">
        <v>0</v>
      </c>
      <c r="D22" s="12" t="n">
        <v>0</v>
      </c>
      <c r="E22" s="12" t="n">
        <v>0</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Anza Vineyard Estates Mutual Water Company</t>
        </is>
      </c>
    </row>
    <row r="2">
      <c r="A2" s="2" t="inlineStr">
        <is>
          <t>Financial Statements - income statement, balance sheet, cash flow, member income test (USD)</t>
        </is>
      </c>
    </row>
    <row r="3">
      <c r="A3" s="2" t="inlineStr">
        <is>
          <t>Entity ID: cawc_0079   |   Fiscal year ends December 31.</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v>223161</v>
      </c>
      <c r="D12" s="9" t="n">
        <v>63937</v>
      </c>
      <c r="E12" s="9" t="n">
        <v>114227</v>
      </c>
    </row>
    <row r="13">
      <c r="A13" s="8" t="inlineStr">
        <is>
          <t xml:space="preserve">    Contributions &amp; grants</t>
        </is>
      </c>
      <c r="B13" s="9" t="n"/>
      <c r="C13" s="9" t="n">
        <v>88488</v>
      </c>
      <c r="D13" s="9" t="n">
        <v>159070</v>
      </c>
      <c r="E13" s="9" t="n">
        <v>157651</v>
      </c>
    </row>
    <row r="14">
      <c r="A14" s="10" t="inlineStr">
        <is>
          <t>Total revenue</t>
        </is>
      </c>
      <c r="B14" s="11" t="n"/>
      <c r="C14" s="11" t="n">
        <v>311649</v>
      </c>
      <c r="D14" s="11" t="n">
        <v>223007</v>
      </c>
      <c r="E14" s="11" t="n">
        <v>271878</v>
      </c>
    </row>
    <row r="16">
      <c r="A16" s="6" t="inlineStr">
        <is>
          <t>Expenses</t>
        </is>
      </c>
      <c r="B16" s="7" t="n"/>
      <c r="C16" s="7" t="n"/>
      <c r="D16" s="7" t="n"/>
      <c r="E16" s="7" t="n"/>
    </row>
    <row r="17">
      <c r="A17" s="8" t="inlineStr">
        <is>
          <t xml:space="preserve">    Depreciation</t>
        </is>
      </c>
      <c r="B17" s="9" t="n"/>
      <c r="C17" s="9" t="n">
        <v>9965</v>
      </c>
      <c r="D17" s="9" t="n">
        <v>14552</v>
      </c>
      <c r="E17" s="9" t="n">
        <v>15979</v>
      </c>
    </row>
    <row r="18">
      <c r="A18" s="8" t="inlineStr">
        <is>
          <t xml:space="preserve">    Interest expense</t>
        </is>
      </c>
      <c r="B18" s="9" t="n"/>
      <c r="C18" s="9" t="n"/>
      <c r="D18" s="9" t="n"/>
      <c r="E18" s="9" t="n"/>
    </row>
    <row r="19">
      <c r="A19" s="10" t="inlineStr">
        <is>
          <t>Total expenses</t>
        </is>
      </c>
      <c r="B19" s="11" t="n">
        <v>153838</v>
      </c>
      <c r="C19" s="11" t="n">
        <v>311649</v>
      </c>
      <c r="D19" s="11" t="n">
        <v>223007</v>
      </c>
      <c r="E19" s="11" t="n">
        <v>271878</v>
      </c>
    </row>
    <row r="21">
      <c r="A21" s="10" t="inlineStr">
        <is>
          <t>Net income</t>
        </is>
      </c>
      <c r="B21" s="11" t="n"/>
      <c r="C21" s="11" t="n">
        <v>0</v>
      </c>
      <c r="D21" s="11" t="n">
        <v>0</v>
      </c>
      <c r="E21" s="11" t="n">
        <v>0</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24292</v>
      </c>
      <c r="C27" s="9" t="n">
        <v>4369</v>
      </c>
      <c r="D27" s="9" t="n">
        <v>11546</v>
      </c>
      <c r="E27" s="9" t="n">
        <v>17298</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v>128661</v>
      </c>
      <c r="D32" s="9" t="n">
        <v>155719</v>
      </c>
      <c r="E32" s="9" t="n">
        <v>155719</v>
      </c>
    </row>
    <row r="33">
      <c r="A33" s="8" t="inlineStr">
        <is>
          <t xml:space="preserve">    Less: accumulated depreciation</t>
        </is>
      </c>
      <c r="B33" s="9" t="n"/>
      <c r="C33" s="9" t="n">
        <v>-14479</v>
      </c>
      <c r="D33" s="9" t="n">
        <v>-29031</v>
      </c>
      <c r="E33" s="9" t="n">
        <v>-45010</v>
      </c>
    </row>
    <row r="34">
      <c r="A34" s="10" t="inlineStr">
        <is>
          <t xml:space="preserve">    Net property, plant &amp; equipment</t>
        </is>
      </c>
      <c r="B34" s="11" t="n"/>
      <c r="C34" s="11" t="n">
        <v>114182</v>
      </c>
      <c r="D34" s="11" t="n">
        <v>126688</v>
      </c>
      <c r="E34" s="11" t="n">
        <v>110709</v>
      </c>
    </row>
    <row r="35">
      <c r="A35" s="10" t="inlineStr">
        <is>
          <t>Total assets</t>
        </is>
      </c>
      <c r="B35" s="11" t="n">
        <v>110832</v>
      </c>
      <c r="C35" s="11" t="n">
        <v>118551</v>
      </c>
      <c r="D35" s="11" t="n">
        <v>138234</v>
      </c>
      <c r="E35" s="11" t="n">
        <v>128007</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2500</v>
      </c>
      <c r="C40" s="11" t="n">
        <v>16380</v>
      </c>
      <c r="D40" s="11" t="n">
        <v>0</v>
      </c>
      <c r="E40" s="11" t="n">
        <v>0</v>
      </c>
    </row>
    <row r="42">
      <c r="A42" s="6" t="inlineStr">
        <is>
          <t>Net Assets / Equity</t>
        </is>
      </c>
      <c r="B42" s="7" t="n"/>
      <c r="C42" s="7" t="n"/>
      <c r="D42" s="7" t="n"/>
      <c r="E42" s="7" t="n"/>
    </row>
    <row r="43">
      <c r="A43" s="8" t="inlineStr">
        <is>
          <t xml:space="preserve">    Capital stock</t>
        </is>
      </c>
      <c r="B43" s="9" t="n"/>
      <c r="C43" s="9" t="n">
        <v>0</v>
      </c>
      <c r="D43" s="9" t="n">
        <v>0</v>
      </c>
      <c r="E43" s="9" t="n">
        <v>0</v>
      </c>
    </row>
    <row r="44">
      <c r="A44" s="8" t="inlineStr">
        <is>
          <t xml:space="preserve">    Paid-in capital</t>
        </is>
      </c>
      <c r="B44" s="9" t="n"/>
      <c r="C44" s="9" t="n">
        <v>0</v>
      </c>
      <c r="D44" s="9" t="n">
        <v>0</v>
      </c>
      <c r="E44" s="9" t="n">
        <v>0</v>
      </c>
    </row>
    <row r="45">
      <c r="A45" s="8" t="inlineStr">
        <is>
          <t xml:space="preserve">    Retained earnings</t>
        </is>
      </c>
      <c r="B45" s="9" t="n"/>
      <c r="C45" s="9" t="n">
        <v>102171</v>
      </c>
      <c r="D45" s="9" t="n">
        <v>138234</v>
      </c>
      <c r="E45" s="9" t="n">
        <v>128007</v>
      </c>
    </row>
    <row r="46">
      <c r="A46" s="10" t="inlineStr">
        <is>
          <t>Net assets</t>
        </is>
      </c>
      <c r="B46" s="11" t="n">
        <v>108332</v>
      </c>
      <c r="C46" s="11" t="n">
        <v>102171</v>
      </c>
      <c r="D46" s="11" t="n">
        <v>138234</v>
      </c>
      <c r="E46" s="11" t="n">
        <v>128007</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c r="C52" s="9" t="n">
        <v>0</v>
      </c>
      <c r="D52" s="9" t="n">
        <v>0</v>
      </c>
      <c r="E52" s="9" t="n">
        <v>0</v>
      </c>
    </row>
    <row r="53">
      <c r="A53" s="8" t="inlineStr">
        <is>
          <t xml:space="preserve">    + Depreciation (reported)</t>
        </is>
      </c>
      <c r="B53" s="9" t="n"/>
      <c r="C53" s="9" t="n">
        <v>9965</v>
      </c>
      <c r="D53" s="9" t="n">
        <v>14552</v>
      </c>
      <c r="E53" s="9" t="n">
        <v>15979</v>
      </c>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9965</v>
      </c>
      <c r="D58" s="11" t="n">
        <v>14552</v>
      </c>
      <c r="E58" s="11" t="n">
        <v>15979</v>
      </c>
    </row>
    <row r="60">
      <c r="A60" s="6" t="inlineStr">
        <is>
          <t>Investing</t>
        </is>
      </c>
      <c r="B60" s="7" t="n"/>
      <c r="C60" s="7" t="n"/>
      <c r="D60" s="7" t="n"/>
      <c r="E60" s="7" t="n"/>
    </row>
    <row r="61">
      <c r="A61" s="8" t="inlineStr">
        <is>
          <t xml:space="preserve">    − Δ PP&amp;E gross (capex proxy)</t>
        </is>
      </c>
      <c r="B61" s="9" t="n"/>
      <c r="C61" s="9" t="n"/>
      <c r="D61" s="9" t="n">
        <v>-27058</v>
      </c>
      <c r="E61" s="9" t="n">
        <v>0</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-19923</v>
      </c>
      <c r="D67" s="11" t="n">
        <v>7177</v>
      </c>
      <c r="E67" s="11" t="n">
        <v>5752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FY2022</t>
        </is>
      </c>
      <c r="C72" s="5" t="inlineStr">
        <is>
          <t>FY2023</t>
        </is>
      </c>
      <c r="D72" s="5" t="inlineStr">
        <is>
          <t>FY2024</t>
        </is>
      </c>
    </row>
    <row r="73">
      <c r="A73" s="8" t="inlineStr">
        <is>
          <t xml:space="preserve">    11a. Gross income from members or shareholders</t>
        </is>
      </c>
      <c r="B73" s="9" t="n">
        <v>0</v>
      </c>
      <c r="C73" s="9" t="n">
        <v>0</v>
      </c>
      <c r="D73" s="9" t="n">
        <v>157651</v>
      </c>
    </row>
    <row r="74">
      <c r="A74" s="8" t="inlineStr">
        <is>
          <t xml:space="preserve">    11b. Gross income from other sources</t>
        </is>
      </c>
      <c r="B74" s="9" t="n">
        <v>0</v>
      </c>
      <c r="C74" s="9" t="n">
        <v>0</v>
      </c>
      <c r="D74" s="9" t="n">
        <v>0</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Anza Vineyard Estates Mutual Water Company</t>
        </is>
      </c>
    </row>
    <row r="2">
      <c r="A2" s="2" t="inlineStr">
        <is>
          <t>Balance Sheet - as reported (USD, end of year)</t>
        </is>
      </c>
    </row>
    <row r="3">
      <c r="A3" s="2" t="inlineStr">
        <is>
          <t>Entity ID: cawc_0079   |   Fiscal year ends December 31.</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24292</v>
      </c>
      <c r="C7" s="9" t="n">
        <v>4369</v>
      </c>
      <c r="D7" s="9" t="n">
        <v>11546</v>
      </c>
      <c r="E7" s="9" t="n">
        <v>17298</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v>128661</v>
      </c>
      <c r="D12" s="9" t="n">
        <v>155719</v>
      </c>
      <c r="E12" s="9" t="n">
        <v>155719</v>
      </c>
    </row>
    <row r="13">
      <c r="A13" s="8" t="inlineStr">
        <is>
          <t xml:space="preserve">    Less: accumulated depreciation</t>
        </is>
      </c>
      <c r="B13" s="9" t="n"/>
      <c r="C13" s="9" t="n">
        <v>-14479</v>
      </c>
      <c r="D13" s="9" t="n">
        <v>-29031</v>
      </c>
      <c r="E13" s="9" t="n">
        <v>-45010</v>
      </c>
    </row>
    <row r="14">
      <c r="A14" s="10" t="inlineStr">
        <is>
          <t xml:space="preserve">    Net property, plant &amp; equipment</t>
        </is>
      </c>
      <c r="B14" s="11" t="n"/>
      <c r="C14" s="11" t="n">
        <v>114182</v>
      </c>
      <c r="D14" s="11" t="n">
        <v>126688</v>
      </c>
      <c r="E14" s="11" t="n">
        <v>110709</v>
      </c>
    </row>
    <row r="15">
      <c r="A15" s="10" t="inlineStr">
        <is>
          <t>Total assets</t>
        </is>
      </c>
      <c r="B15" s="11" t="n">
        <v>110832</v>
      </c>
      <c r="C15" s="11" t="n">
        <v>118551</v>
      </c>
      <c r="D15" s="11" t="n">
        <v>138234</v>
      </c>
      <c r="E15" s="11" t="n">
        <v>128007</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2500</v>
      </c>
      <c r="C20" s="11" t="n">
        <v>16380</v>
      </c>
      <c r="D20" s="11" t="n">
        <v>0</v>
      </c>
      <c r="E20" s="11" t="n">
        <v>0</v>
      </c>
    </row>
    <row r="22">
      <c r="A22" s="6" t="inlineStr">
        <is>
          <t>Net Assets / Equity</t>
        </is>
      </c>
      <c r="B22" s="7" t="n"/>
      <c r="C22" s="7" t="n"/>
      <c r="D22" s="7" t="n"/>
      <c r="E22" s="7" t="n"/>
    </row>
    <row r="23">
      <c r="A23" s="8" t="inlineStr">
        <is>
          <t xml:space="preserve">    Capital stock</t>
        </is>
      </c>
      <c r="B23" s="9" t="n"/>
      <c r="C23" s="9" t="n">
        <v>0</v>
      </c>
      <c r="D23" s="9" t="n">
        <v>0</v>
      </c>
      <c r="E23" s="9" t="n">
        <v>0</v>
      </c>
    </row>
    <row r="24">
      <c r="A24" s="8" t="inlineStr">
        <is>
          <t xml:space="preserve">    Paid-in capital</t>
        </is>
      </c>
      <c r="B24" s="9" t="n"/>
      <c r="C24" s="9" t="n">
        <v>0</v>
      </c>
      <c r="D24" s="9" t="n">
        <v>0</v>
      </c>
      <c r="E24" s="9" t="n">
        <v>0</v>
      </c>
    </row>
    <row r="25">
      <c r="A25" s="8" t="inlineStr">
        <is>
          <t xml:space="preserve">    Retained earnings</t>
        </is>
      </c>
      <c r="B25" s="9" t="n"/>
      <c r="C25" s="9" t="n">
        <v>102171</v>
      </c>
      <c r="D25" s="9" t="n">
        <v>138234</v>
      </c>
      <c r="E25" s="9" t="n">
        <v>128007</v>
      </c>
    </row>
    <row r="26">
      <c r="A26" s="10" t="inlineStr">
        <is>
          <t>Net assets</t>
        </is>
      </c>
      <c r="B26" s="11" t="n">
        <v>108332</v>
      </c>
      <c r="C26" s="11" t="n">
        <v>102171</v>
      </c>
      <c r="D26" s="11" t="n">
        <v>138234</v>
      </c>
      <c r="E26" s="11" t="n">
        <v>128007</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Anza Vineyard Estates Mutual Water Company</t>
        </is>
      </c>
    </row>
    <row r="2">
      <c r="A2" s="2" t="inlineStr">
        <is>
          <t>Officers, Directors &amp; Contractors - Form 990 Part VII (FY2024; USD)</t>
        </is>
      </c>
    </row>
    <row r="3">
      <c r="A3" s="2" t="inlineStr">
        <is>
          <t>Entity ID: cawc_0079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HENRY WARSHAW</t>
        </is>
      </c>
      <c r="B7" s="8" t="inlineStr">
        <is>
          <t>PRESIDENT</t>
        </is>
      </c>
      <c r="C7" s="9" t="n">
        <v>0</v>
      </c>
      <c r="D7" s="9" t="n">
        <v>0</v>
      </c>
      <c r="E7" s="9" t="n">
        <v>0</v>
      </c>
      <c r="F7" s="9" t="n">
        <v>0</v>
      </c>
    </row>
    <row r="8">
      <c r="A8" s="8" t="inlineStr">
        <is>
          <t>BILL SPRESSER</t>
        </is>
      </c>
      <c r="B8" s="8" t="inlineStr">
        <is>
          <t>VICE PRESIDENT</t>
        </is>
      </c>
      <c r="C8" s="9" t="n">
        <v>0</v>
      </c>
      <c r="D8" s="9" t="n">
        <v>0</v>
      </c>
      <c r="E8" s="9" t="n">
        <v>0</v>
      </c>
      <c r="F8" s="9" t="n">
        <v>0</v>
      </c>
    </row>
    <row r="9">
      <c r="A9" s="8" t="inlineStr">
        <is>
          <t>NANCY AHRENS</t>
        </is>
      </c>
      <c r="B9" s="8" t="inlineStr">
        <is>
          <t>SECRETARY</t>
        </is>
      </c>
      <c r="C9" s="9" t="n">
        <v>0</v>
      </c>
      <c r="D9" s="9" t="n">
        <v>0</v>
      </c>
      <c r="E9" s="9" t="n">
        <v>0</v>
      </c>
      <c r="F9" s="9" t="n">
        <v>0</v>
      </c>
    </row>
    <row r="10">
      <c r="A10" s="8" t="inlineStr">
        <is>
          <t>JUSTIN WICKERSHAM</t>
        </is>
      </c>
      <c r="B10" s="8" t="inlineStr">
        <is>
          <t>CEO</t>
        </is>
      </c>
      <c r="C10" s="9" t="n">
        <v>0</v>
      </c>
      <c r="D10" s="9" t="n">
        <v>0</v>
      </c>
      <c r="E10" s="9" t="n">
        <v>0</v>
      </c>
      <c r="F10" s="9" t="n">
        <v>0</v>
      </c>
    </row>
    <row r="11">
      <c r="A11" s="8" t="inlineStr">
        <is>
          <t>SHANE WOLF</t>
        </is>
      </c>
      <c r="B11" s="8" t="inlineStr">
        <is>
          <t>TREASURER, CFO</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Anza Vineyard Estates Mutual Water Company</t>
        </is>
      </c>
    </row>
    <row r="2">
      <c r="A2" s="2" t="inlineStr">
        <is>
          <t>Revenue - Form 990 Part VIII (USD)</t>
        </is>
      </c>
    </row>
    <row r="3">
      <c r="A3" s="2" t="inlineStr">
        <is>
          <t>Entity ID: cawc_0079   |   Fiscal year ends December 31.</t>
        </is>
      </c>
    </row>
    <row r="5">
      <c r="A5" s="4" t="inlineStr">
        <is>
          <t>Part VIII line</t>
        </is>
      </c>
      <c r="B5" s="5" t="inlineStr">
        <is>
          <t>FY2022</t>
        </is>
      </c>
      <c r="C5" s="5" t="inlineStr">
        <is>
          <t>FY2023</t>
        </is>
      </c>
      <c r="D5" s="5" t="inlineStr">
        <is>
          <t>FY2024</t>
        </is>
      </c>
    </row>
    <row r="6">
      <c r="A6" s="6" t="inlineStr">
        <is>
          <t>Revenue by category</t>
        </is>
      </c>
      <c r="B6" s="7" t="n"/>
      <c r="C6" s="7" t="n"/>
      <c r="D6" s="7" t="n"/>
    </row>
    <row r="7">
      <c r="A7" s="8" t="inlineStr">
        <is>
          <t xml:space="preserve">    1h. Total contributions, gifts, grants</t>
        </is>
      </c>
      <c r="B7" s="9" t="n">
        <v>88488</v>
      </c>
      <c r="C7" s="9" t="n">
        <v>159070</v>
      </c>
      <c r="D7" s="9" t="n">
        <v>157651</v>
      </c>
    </row>
    <row r="8">
      <c r="A8" s="8" t="inlineStr">
        <is>
          <t xml:space="preserve">    2g. Total program service revenue</t>
        </is>
      </c>
      <c r="B8" s="17" t="inlineStr">
        <is>
          <t>not reported</t>
        </is>
      </c>
      <c r="C8" s="17" t="inlineStr">
        <is>
          <t>not reported</t>
        </is>
      </c>
      <c r="D8" s="17" t="inlineStr">
        <is>
          <t>not reported</t>
        </is>
      </c>
    </row>
    <row r="9">
      <c r="A9" s="8" t="inlineStr">
        <is>
          <t xml:space="preserve">    3. Investment income</t>
        </is>
      </c>
      <c r="B9" s="17" t="inlineStr">
        <is>
          <t>not reported</t>
        </is>
      </c>
      <c r="C9" s="17" t="inlineStr">
        <is>
          <t>not reported</t>
        </is>
      </c>
      <c r="D9" s="17" t="inlineStr">
        <is>
          <t>not reported</t>
        </is>
      </c>
    </row>
    <row r="10">
      <c r="A10" s="8" t="inlineStr">
        <is>
          <t xml:space="preserve">    6d. Net rental income</t>
        </is>
      </c>
      <c r="B10" s="17" t="inlineStr">
        <is>
          <t>not reported</t>
        </is>
      </c>
      <c r="C10" s="17" t="inlineStr">
        <is>
          <t>not reported</t>
        </is>
      </c>
      <c r="D10" s="17" t="inlineStr">
        <is>
          <t>not reported</t>
        </is>
      </c>
    </row>
    <row r="11">
      <c r="A11" s="8" t="inlineStr">
        <is>
          <t xml:space="preserve">    7d. Net gain/(loss) from investment sales</t>
        </is>
      </c>
      <c r="B11" s="17" t="inlineStr">
        <is>
          <t>not reported</t>
        </is>
      </c>
      <c r="C11" s="17" t="inlineStr">
        <is>
          <t>not reported</t>
        </is>
      </c>
      <c r="D11" s="17" t="inlineStr">
        <is>
          <t>not reported</t>
        </is>
      </c>
    </row>
    <row r="12">
      <c r="A12" s="8" t="inlineStr">
        <is>
          <t xml:space="preserve">    11e. Other revenue</t>
        </is>
      </c>
      <c r="B12" s="9" t="n">
        <v>223161</v>
      </c>
      <c r="C12" s="9" t="n">
        <v>63937</v>
      </c>
      <c r="D12" s="9" t="n">
        <v>114227</v>
      </c>
    </row>
    <row r="13">
      <c r="A13" s="10" t="inlineStr">
        <is>
          <t>12. Total revenue</t>
        </is>
      </c>
      <c r="B13" s="11">
        <f>SUM(B7:B12)</f>
        <v/>
      </c>
      <c r="C13" s="11">
        <f>SUM(C7:C12)</f>
        <v/>
      </c>
      <c r="D13" s="11">
        <f>SUM(D7:D12)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3:D3"/>
    <mergeCell ref="A2:D2"/>
    <mergeCell ref="A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Anza Vineyard Estates Mutual Water Company</t>
        </is>
      </c>
    </row>
    <row r="2">
      <c r="A2" s="2" t="inlineStr">
        <is>
          <t>Statement of Functional Expenses - Form 990 Part IX (USD)</t>
        </is>
      </c>
    </row>
    <row r="3">
      <c r="A3" s="2" t="inlineStr">
        <is>
          <t>Entity ID: cawc_0079   |   Fiscal year ends December 31.</t>
        </is>
      </c>
    </row>
    <row r="5">
      <c r="A5" s="4" t="inlineStr">
        <is>
          <t>Part IX line (column A Total)</t>
        </is>
      </c>
      <c r="B5" s="5" t="inlineStr">
        <is>
          <t>FY2022</t>
        </is>
      </c>
      <c r="C5" s="5" t="inlineStr">
        <is>
          <t>FY2023</t>
        </is>
      </c>
      <c r="D5" s="5" t="inlineStr">
        <is>
          <t>FY2024</t>
        </is>
      </c>
    </row>
    <row r="6">
      <c r="A6" s="6" t="inlineStr">
        <is>
          <t>Functional expenses, column A Total - by year</t>
        </is>
      </c>
      <c r="B6" s="7" t="n"/>
      <c r="C6" s="7" t="n"/>
      <c r="D6" s="7" t="n"/>
    </row>
    <row r="7">
      <c r="A7" s="8" t="inlineStr">
        <is>
          <t xml:space="preserve">    16. Occupancy</t>
        </is>
      </c>
      <c r="B7" s="9" t="n">
        <v>90599</v>
      </c>
      <c r="C7" s="9" t="n">
        <v>37266</v>
      </c>
      <c r="D7" s="9" t="n">
        <v>46477</v>
      </c>
    </row>
    <row r="8">
      <c r="A8" s="8" t="inlineStr">
        <is>
          <t xml:space="preserve">    22. Depreciation, depletion, and amortization</t>
        </is>
      </c>
      <c r="B8" s="9" t="n">
        <v>9965</v>
      </c>
      <c r="C8" s="9" t="n">
        <v>14552</v>
      </c>
      <c r="D8" s="9" t="n">
        <v>15979</v>
      </c>
    </row>
    <row r="9">
      <c r="A9" s="8" t="inlineStr">
        <is>
          <t xml:space="preserve">    23. Insurance</t>
        </is>
      </c>
      <c r="B9" s="9" t="n">
        <v>23682</v>
      </c>
      <c r="C9" s="9" t="n">
        <v>23834</v>
      </c>
      <c r="D9" s="9" t="n">
        <v>2386</v>
      </c>
    </row>
    <row r="10">
      <c r="A10" s="8" t="inlineStr">
        <is>
          <t xml:space="preserve">    24. MANAGEMENT</t>
        </is>
      </c>
      <c r="B10" s="9" t="n">
        <v>146055</v>
      </c>
      <c r="C10" s="9" t="n">
        <v>101929</v>
      </c>
      <c r="D10" s="9" t="n">
        <v>132004</v>
      </c>
    </row>
    <row r="11">
      <c r="A11" s="8" t="inlineStr">
        <is>
          <t xml:space="preserve">    24. UTILITIES</t>
        </is>
      </c>
      <c r="B11" s="9" t="n">
        <v>39952</v>
      </c>
      <c r="C11" s="9" t="n">
        <v>25937</v>
      </c>
      <c r="D11" s="9" t="n">
        <v>37370</v>
      </c>
    </row>
    <row r="12">
      <c r="A12" s="8" t="inlineStr">
        <is>
          <t xml:space="preserve">    24. TAXES &amp; LICENSES</t>
        </is>
      </c>
      <c r="B12" s="9" t="n">
        <v>800</v>
      </c>
      <c r="C12" s="17" t="inlineStr">
        <is>
          <t>not reported</t>
        </is>
      </c>
      <c r="D12" s="17" t="inlineStr">
        <is>
          <t>not reported</t>
        </is>
      </c>
    </row>
    <row r="13">
      <c r="A13" s="8" t="inlineStr">
        <is>
          <t xml:space="preserve">    24. OFFICE EXPENSE</t>
        </is>
      </c>
      <c r="B13" s="9" t="n">
        <v>481</v>
      </c>
      <c r="C13" s="17" t="inlineStr">
        <is>
          <t>not reported</t>
        </is>
      </c>
      <c r="D13" s="17" t="inlineStr">
        <is>
          <t>not reported</t>
        </is>
      </c>
    </row>
    <row r="14">
      <c r="A14" s="8" t="inlineStr">
        <is>
          <t xml:space="preserve">    24. PROFESSIONAL FEES</t>
        </is>
      </c>
      <c r="B14" s="17" t="inlineStr">
        <is>
          <t>not reported</t>
        </is>
      </c>
      <c r="C14" s="9" t="n">
        <v>7725</v>
      </c>
      <c r="D14" s="9" t="n">
        <v>11983</v>
      </c>
    </row>
    <row r="15">
      <c r="A15" s="8" t="inlineStr">
        <is>
          <t xml:space="preserve">    24. WEED ABATEMENT</t>
        </is>
      </c>
      <c r="B15" s="17" t="inlineStr">
        <is>
          <t>not reported</t>
        </is>
      </c>
      <c r="C15" s="9" t="n">
        <v>6815</v>
      </c>
      <c r="D15" s="9" t="n">
        <v>18844</v>
      </c>
    </row>
    <row r="16">
      <c r="A16" s="8" t="inlineStr">
        <is>
          <t xml:space="preserve">    24e. All other expenses</t>
        </is>
      </c>
      <c r="B16" s="9" t="n">
        <v>115</v>
      </c>
      <c r="C16" s="9" t="n">
        <v>4949</v>
      </c>
      <c r="D16" s="9" t="n">
        <v>6835</v>
      </c>
    </row>
    <row r="17">
      <c r="A17" s="10" t="inlineStr">
        <is>
          <t>25. Total functional expenses</t>
        </is>
      </c>
      <c r="B17" s="11">
        <f>SUM(B7:B16)</f>
        <v/>
      </c>
      <c r="C17" s="11">
        <f>SUM(C7:C16)</f>
        <v/>
      </c>
      <c r="D17" s="11">
        <f>SUM(D7:D16)</f>
        <v/>
      </c>
    </row>
    <row r="19">
      <c r="A19" s="6" t="inlineStr">
        <is>
          <t>Functional column split - FY2024</t>
        </is>
      </c>
      <c r="B19" s="7" t="n"/>
      <c r="C19" s="7" t="n"/>
      <c r="D19" s="7" t="n"/>
    </row>
    <row r="20" ht="42" customHeight="1">
      <c r="A20" s="3" t="inlineStr">
        <is>
          <t>Not reported. This filer reports only column A (Total) of Part IX; the program / management / fundraising split (columns B-D) is not filed, so it is left as not reported rather than shown empty or inferred.</t>
        </is>
      </c>
    </row>
    <row r="21" ht="42" customHeight="1">
      <c r="A2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D1"/>
    <mergeCell ref="A20:D20"/>
    <mergeCell ref="A21:D2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Anza Vineyard Estates Mutual Water Company</t>
        </is>
      </c>
    </row>
    <row r="2">
      <c r="A2" s="2" t="inlineStr">
        <is>
          <t>Balance Sheet - Form 990 Part X (end of year, USD)</t>
        </is>
      </c>
    </row>
    <row r="3">
      <c r="A3" s="2" t="inlineStr">
        <is>
          <t>Entity ID: cawc_0079   |   Fiscal year ends December 31.</t>
        </is>
      </c>
    </row>
    <row r="5">
      <c r="A5" s="4" t="inlineStr">
        <is>
          <t>Part X line (column B, EOY)</t>
        </is>
      </c>
      <c r="B5" s="5" t="inlineStr">
        <is>
          <t>FY2022</t>
        </is>
      </c>
      <c r="C5" s="5" t="inlineStr">
        <is>
          <t>FY2023</t>
        </is>
      </c>
      <c r="D5" s="5" t="inlineStr">
        <is>
          <t>FY2024</t>
        </is>
      </c>
    </row>
    <row r="6">
      <c r="A6" s="6" t="inlineStr">
        <is>
          <t>Assets</t>
        </is>
      </c>
      <c r="B6" s="7" t="n"/>
      <c r="C6" s="7" t="n"/>
      <c r="D6" s="7" t="n"/>
    </row>
    <row r="7">
      <c r="A7" s="8" t="inlineStr">
        <is>
          <t xml:space="preserve">    1. Cash - non-interest-bearing</t>
        </is>
      </c>
      <c r="B7" s="9" t="n">
        <v>4369</v>
      </c>
      <c r="C7" s="9" t="n">
        <v>11546</v>
      </c>
      <c r="D7" s="9" t="n">
        <v>17298</v>
      </c>
    </row>
    <row r="8">
      <c r="A8" s="8" t="inlineStr">
        <is>
          <t xml:space="preserve">    10c. Land, buildings, and equipment, net</t>
        </is>
      </c>
      <c r="B8" s="9" t="n">
        <v>114182</v>
      </c>
      <c r="C8" s="9" t="n">
        <v>126688</v>
      </c>
      <c r="D8" s="9" t="n">
        <v>110709</v>
      </c>
    </row>
    <row r="9">
      <c r="A9" s="10" t="inlineStr">
        <is>
          <t>16. Total assets</t>
        </is>
      </c>
      <c r="B9" s="11">
        <f>SUM(B7:B8)</f>
        <v/>
      </c>
      <c r="C9" s="11">
        <f>SUM(C7:C8)</f>
        <v/>
      </c>
      <c r="D9" s="11">
        <f>SUM(D7:D8)</f>
        <v/>
      </c>
    </row>
    <row r="11">
      <c r="A11" s="6" t="inlineStr">
        <is>
          <t>Liabilities</t>
        </is>
      </c>
      <c r="B11" s="7" t="n"/>
      <c r="C11" s="7" t="n"/>
      <c r="D11" s="7" t="n"/>
    </row>
    <row r="12">
      <c r="A12" s="8" t="inlineStr">
        <is>
          <t xml:space="preserve">    25. Other liabilities</t>
        </is>
      </c>
      <c r="B12" s="9" t="n">
        <v>16380</v>
      </c>
      <c r="C12" s="9" t="n">
        <v>0</v>
      </c>
      <c r="D12" s="17" t="inlineStr">
        <is>
          <t>not reported</t>
        </is>
      </c>
    </row>
    <row r="13">
      <c r="A13" s="10" t="inlineStr">
        <is>
          <t>26. Total liabilities</t>
        </is>
      </c>
      <c r="B13" s="11">
        <f>SUM(B12:B12)</f>
        <v/>
      </c>
      <c r="C13" s="11">
        <f>SUM(C12:C12)</f>
        <v/>
      </c>
      <c r="D13" s="11">
        <f>SUM(D12:D12)</f>
        <v/>
      </c>
    </row>
    <row r="15">
      <c r="A15" s="6" t="inlineStr">
        <is>
          <t>Net assets / fund balances</t>
        </is>
      </c>
      <c r="B15" s="7" t="n"/>
      <c r="C15" s="7" t="n"/>
      <c r="D15" s="7" t="n"/>
    </row>
    <row r="16">
      <c r="A16" s="8" t="inlineStr">
        <is>
          <t xml:space="preserve">    29. Capital stock or trust principal</t>
        </is>
      </c>
      <c r="B16" s="9" t="n">
        <v>0</v>
      </c>
      <c r="C16" s="9" t="n">
        <v>0</v>
      </c>
      <c r="D16" s="9" t="n">
        <v>0</v>
      </c>
    </row>
    <row r="17">
      <c r="A17" s="8" t="inlineStr">
        <is>
          <t xml:space="preserve">    30. Paid-in or capital surplus</t>
        </is>
      </c>
      <c r="B17" s="9" t="n">
        <v>0</v>
      </c>
      <c r="C17" s="9" t="n">
        <v>0</v>
      </c>
      <c r="D17" s="9" t="n">
        <v>0</v>
      </c>
    </row>
    <row r="18">
      <c r="A18" s="8" t="inlineStr">
        <is>
          <t xml:space="preserve">    31. Retained earnings / accumulated funds</t>
        </is>
      </c>
      <c r="B18" s="9" t="n">
        <v>102171</v>
      </c>
      <c r="C18" s="9" t="n">
        <v>138234</v>
      </c>
      <c r="D18" s="9" t="n">
        <v>128007</v>
      </c>
    </row>
    <row r="19">
      <c r="A19" s="10" t="inlineStr">
        <is>
          <t>32. Total net assets / fund balances</t>
        </is>
      </c>
      <c r="B19" s="11">
        <f>SUM(B16:B18)</f>
        <v/>
      </c>
      <c r="C19" s="11">
        <f>SUM(C16:C18)</f>
        <v/>
      </c>
      <c r="D19" s="11">
        <f>SUM(D16:D18)</f>
        <v/>
      </c>
    </row>
    <row r="21" ht="42" customHeight="1">
      <c r="A21"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21:D21"/>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Anza Vineyard Estates Mutual Water Company</t>
        </is>
      </c>
    </row>
    <row r="2">
      <c r="A2" s="2" t="inlineStr">
        <is>
          <t>Reconciliation of Net Assets - Form 990 Part XI (USD)</t>
        </is>
      </c>
    </row>
    <row r="3">
      <c r="A3" s="2" t="inlineStr">
        <is>
          <t>Entity ID: cawc_0079   |   Fiscal year ends December 31.</t>
        </is>
      </c>
    </row>
    <row r="5">
      <c r="A5" s="4" t="inlineStr">
        <is>
          <t>Part XI line</t>
        </is>
      </c>
      <c r="B5" s="5" t="inlineStr">
        <is>
          <t>FY2022</t>
        </is>
      </c>
      <c r="C5" s="5" t="inlineStr">
        <is>
          <t>FY2023</t>
        </is>
      </c>
      <c r="D5" s="5" t="inlineStr">
        <is>
          <t>FY2024</t>
        </is>
      </c>
    </row>
    <row r="6">
      <c r="A6" s="6" t="inlineStr">
        <is>
          <t>Reconciliation</t>
        </is>
      </c>
      <c r="B6" s="7" t="n"/>
      <c r="C6" s="7" t="n"/>
      <c r="D6" s="7" t="n"/>
    </row>
    <row r="7">
      <c r="A7" s="8" t="inlineStr">
        <is>
          <t xml:space="preserve">    4. Net assets, beginning of year</t>
        </is>
      </c>
      <c r="B7" s="9" t="n">
        <v>108332</v>
      </c>
      <c r="C7" s="9" t="n">
        <v>102171</v>
      </c>
      <c r="D7" s="9" t="n">
        <v>138234</v>
      </c>
    </row>
    <row r="8">
      <c r="A8" s="8" t="inlineStr">
        <is>
          <t xml:space="preserve">    3. Revenue less expenses</t>
        </is>
      </c>
      <c r="B8" s="9" t="n">
        <v>0</v>
      </c>
      <c r="C8" s="9" t="n">
        <v>0</v>
      </c>
      <c r="D8" s="9" t="n">
        <v>0</v>
      </c>
    </row>
    <row r="9">
      <c r="A9" s="8" t="inlineStr">
        <is>
          <t xml:space="preserve">    8. Prior period adjustments</t>
        </is>
      </c>
      <c r="B9" s="17" t="inlineStr">
        <is>
          <t>not reported</t>
        </is>
      </c>
      <c r="C9" s="17" t="inlineStr">
        <is>
          <t>not reported</t>
        </is>
      </c>
      <c r="D9" s="17" t="inlineStr">
        <is>
          <t>not reported</t>
        </is>
      </c>
    </row>
    <row r="10">
      <c r="A10" s="8" t="inlineStr">
        <is>
          <t xml:space="preserve">    9. Other changes in net assets</t>
        </is>
      </c>
      <c r="B10" s="9" t="n">
        <v>-6161</v>
      </c>
      <c r="C10" s="9" t="n">
        <v>36063</v>
      </c>
      <c r="D10" s="9" t="n">
        <v>-10227</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Anza Vineyard Estates Mutual Water Company</t>
        </is>
      </c>
    </row>
    <row r="2">
      <c r="A2" s="2" t="inlineStr">
        <is>
          <t>Cash Flow Proxies - derived (USD)</t>
        </is>
      </c>
    </row>
    <row r="3">
      <c r="A3" s="2" t="inlineStr">
        <is>
          <t>Entity ID: cawc_0079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c r="C9" s="9" t="n">
        <v>0</v>
      </c>
      <c r="D9" s="9" t="n">
        <v>0</v>
      </c>
      <c r="E9" s="9" t="n">
        <v>0</v>
      </c>
    </row>
    <row r="10">
      <c r="A10" s="8" t="inlineStr">
        <is>
          <t xml:space="preserve">    + Depreciation (reported)</t>
        </is>
      </c>
      <c r="B10" s="9" t="n"/>
      <c r="C10" s="9" t="n">
        <v>9965</v>
      </c>
      <c r="D10" s="9" t="n">
        <v>14552</v>
      </c>
      <c r="E10" s="9" t="n">
        <v>15979</v>
      </c>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9965</v>
      </c>
      <c r="D15" s="11" t="n">
        <v>14552</v>
      </c>
      <c r="E15" s="11" t="n">
        <v>15979</v>
      </c>
    </row>
    <row r="17">
      <c r="A17" s="6" t="inlineStr">
        <is>
          <t>Investing</t>
        </is>
      </c>
      <c r="B17" s="7" t="n"/>
      <c r="C17" s="7" t="n"/>
      <c r="D17" s="7" t="n"/>
      <c r="E17" s="7" t="n"/>
    </row>
    <row r="18">
      <c r="A18" s="8" t="inlineStr">
        <is>
          <t xml:space="preserve">    − Δ PP&amp;E gross (capex proxy)</t>
        </is>
      </c>
      <c r="B18" s="9" t="n"/>
      <c r="C18" s="9" t="n"/>
      <c r="D18" s="9" t="n">
        <v>-27058</v>
      </c>
      <c r="E18" s="9" t="n">
        <v>0</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-19923</v>
      </c>
      <c r="D24" s="11" t="n">
        <v>7177</v>
      </c>
      <c r="E24" s="11" t="n">
        <v>5752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Anza Vineyard Estates Mutual Water Company</t>
        </is>
      </c>
    </row>
    <row r="2">
      <c r="A2" s="2" t="inlineStr">
        <is>
          <t>Financial Ratios</t>
        </is>
      </c>
    </row>
    <row r="3">
      <c r="A3" s="2" t="inlineStr">
        <is>
          <t>Entity ID: cawc_0079   |   Fiscal year ends December 31.</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c r="C7" s="12" t="n">
        <v>0</v>
      </c>
      <c r="D7" s="12" t="n">
        <v>0</v>
      </c>
      <c r="E7" s="12" t="n">
        <v>0</v>
      </c>
    </row>
    <row r="8">
      <c r="A8" s="8" t="inlineStr">
        <is>
          <t xml:space="preserve">    Expense ratio (expenses / revenue)</t>
        </is>
      </c>
      <c r="B8" s="12" t="n">
        <v>1</v>
      </c>
      <c r="C8" s="12" t="n">
        <v>1</v>
      </c>
      <c r="D8" s="12" t="n">
        <v>1</v>
      </c>
      <c r="E8" s="12" t="n">
        <v>1</v>
      </c>
    </row>
    <row r="9">
      <c r="A9" s="8" t="inlineStr">
        <is>
          <t xml:space="preserve">    Return on assets (NI / assets)</t>
        </is>
      </c>
      <c r="B9" s="12" t="n"/>
      <c r="C9" s="12" t="n">
        <v>0</v>
      </c>
      <c r="D9" s="12" t="n">
        <v>0</v>
      </c>
      <c r="E9" s="12" t="n">
        <v>0</v>
      </c>
    </row>
    <row r="10">
      <c r="A10" s="8" t="inlineStr">
        <is>
          <t xml:space="preserve">    Revenue growth (YoY)</t>
        </is>
      </c>
      <c r="B10" s="12" t="n"/>
      <c r="C10" s="12" t="n">
        <v>1.025825868771045</v>
      </c>
      <c r="D10" s="12" t="n">
        <v>-0.2844289569355268</v>
      </c>
      <c r="E10" s="12" t="n">
        <v>0.2191455873582444</v>
      </c>
    </row>
    <row r="12">
      <c r="A12" s="6" t="inlineStr">
        <is>
          <t>Leverage &amp; solvency</t>
        </is>
      </c>
      <c r="B12" s="7" t="n"/>
      <c r="C12" s="7" t="n"/>
      <c r="D12" s="7" t="n"/>
      <c r="E12" s="7" t="n"/>
    </row>
    <row r="13">
      <c r="A13" s="8" t="inlineStr">
        <is>
          <t xml:space="preserve">    Debt-to-assets (liab. / assets)</t>
        </is>
      </c>
      <c r="B13" s="12" t="n">
        <v>0.0225566623357875</v>
      </c>
      <c r="C13" s="12" t="n">
        <v>0.1381683832274717</v>
      </c>
      <c r="D13" s="12" t="n">
        <v>0</v>
      </c>
      <c r="E13" s="12" t="n">
        <v>0</v>
      </c>
    </row>
    <row r="14">
      <c r="A14" s="8" t="inlineStr">
        <is>
          <t xml:space="preserve">    Equity ratio (net assets / assets)</t>
        </is>
      </c>
      <c r="B14" s="12" t="n">
        <v>0.9774433376642125</v>
      </c>
      <c r="C14" s="12" t="n">
        <v>0.8618316167725283</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18" t="n"/>
      <c r="C17" s="18" t="n"/>
      <c r="D17" s="18" t="n"/>
      <c r="E17" s="18" t="n"/>
    </row>
    <row r="18">
      <c r="A18" s="8" t="inlineStr">
        <is>
          <t xml:space="preserve">    Cash ratio ((cash+temp inv.) / total liab.)</t>
        </is>
      </c>
      <c r="B18" s="18" t="n">
        <v>9.716799999999999</v>
      </c>
      <c r="C18" s="18" t="n">
        <v>0.2667277167277167</v>
      </c>
      <c r="D18" s="18" t="n"/>
      <c r="E18" s="18" t="n"/>
    </row>
    <row r="19">
      <c r="A19" s="8" t="inlineStr">
        <is>
          <t xml:space="preserve">    Asset age proxy (accum. deprec. / gross PP&amp;E)</t>
        </is>
      </c>
      <c r="B19" s="12" t="n"/>
      <c r="C19" s="12" t="n">
        <v>0.1125360443335587</v>
      </c>
      <c r="D19" s="12" t="n">
        <v>0.1864319704082353</v>
      </c>
      <c r="E19" s="12" t="n">
        <v>0.2890462949286857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Anza Vineyard Estates Mutual Water Company</t>
        </is>
      </c>
    </row>
    <row r="2">
      <c r="A2" s="2" t="inlineStr">
        <is>
          <t>Unit economics - per-customer revenue by category (USD)</t>
        </is>
      </c>
    </row>
    <row r="3">
      <c r="A3" s="2" t="inlineStr">
        <is>
          <t>Entity ID: cawc_0079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Anza Vineyard Estates Mutual Water Company</t>
        </is>
      </c>
    </row>
    <row r="2">
      <c r="A2" s="2" t="inlineStr">
        <is>
          <t>Rate structure and representative bill - eAR Section 8a</t>
        </is>
      </c>
    </row>
    <row r="3">
      <c r="A3" s="2" t="inlineStr">
        <is>
          <t>Entity ID: cawc_0079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Anza Vineyard Estates Mutual Water Company</t>
        </is>
      </c>
    </row>
    <row r="2">
      <c r="A2" s="2" t="inlineStr">
        <is>
          <t>Operational metrics - plant per acre, density, terrain</t>
        </is>
      </c>
    </row>
    <row r="3">
      <c r="A3" s="2" t="inlineStr">
        <is>
          <t>Entity ID: cawc_0079   |   Fiscal year ends December 31.</t>
        </is>
      </c>
    </row>
    <row r="5">
      <c r="A5" s="6" t="inlineStr">
        <is>
          <t>Plant assets per acre</t>
        </is>
      </c>
      <c r="B5" s="7" t="n"/>
      <c r="C5" s="7" t="n"/>
    </row>
    <row r="6">
      <c r="A6" s="19" t="inlineStr">
        <is>
          <t>Service-area acres</t>
        </is>
      </c>
      <c r="B6" s="25" t="n">
        <v>554.5</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c r="C8" s="9" t="n"/>
    </row>
    <row r="9">
      <c r="A9" s="26" t="inlineStr">
        <is>
          <t>FY2022</t>
        </is>
      </c>
      <c r="B9" s="9" t="n">
        <v>232.0307</v>
      </c>
      <c r="C9" s="9" t="n">
        <v>205.9188</v>
      </c>
    </row>
    <row r="10">
      <c r="A10" s="26" t="inlineStr">
        <is>
          <t>FY2023</t>
        </is>
      </c>
      <c r="B10" s="9" t="n">
        <v>280.8278</v>
      </c>
      <c r="C10" s="9" t="n">
        <v>228.4725</v>
      </c>
    </row>
    <row r="11">
      <c r="A11" s="26" t="inlineStr">
        <is>
          <t>FY2024</t>
        </is>
      </c>
      <c r="B11" s="9" t="n">
        <v>280.8278</v>
      </c>
      <c r="C11" s="9" t="n">
        <v>199.6555</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19" t="inlineStr">
        <is>
          <t>Connections per acre</t>
        </is>
      </c>
      <c r="B18" s="18" t="n">
        <v>0.02</v>
      </c>
      <c r="C18" s="21" t="inlineStr">
        <is>
          <t>13 connections / 554.5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Anza Vineyard Estates Mutual Water Company</t>
        </is>
      </c>
    </row>
    <row r="2">
      <c r="A2" s="2" t="inlineStr">
        <is>
          <t>Supply and weather indicators (DWR water year)</t>
        </is>
      </c>
    </row>
    <row r="3">
      <c r="A3" s="2" t="inlineStr">
        <is>
          <t>Entity ID: cawc_0079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row>
    <row r="8">
      <c r="A8" s="8" t="inlineStr">
        <is>
          <t>Water-year type (Sacramento Valley)</t>
        </is>
      </c>
      <c r="B8" s="27" t="inlineStr">
        <is>
          <t>Critical</t>
        </is>
      </c>
      <c r="C8" s="27" t="inlineStr">
        <is>
          <t>Critical</t>
        </is>
      </c>
      <c r="D8" s="27" t="inlineStr">
        <is>
          <t>Wet</t>
        </is>
      </c>
      <c r="E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row>
    <row r="10">
      <c r="A10" s="8" t="inlineStr">
        <is>
          <t>Precip, percent of normal (8-Station Index)</t>
        </is>
      </c>
      <c r="B10" s="27" t="inlineStr">
        <is>
          <t>48</t>
        </is>
      </c>
      <c r="C10" s="27" t="inlineStr">
        <is>
          <t>86</t>
        </is>
      </c>
      <c r="D10" s="27" t="inlineStr">
        <is>
          <t>133</t>
        </is>
      </c>
      <c r="E10" s="27" t="inlineStr">
        <is>
          <t>96</t>
        </is>
      </c>
    </row>
    <row r="11">
      <c r="A11" s="8" t="inlineStr">
        <is>
          <t>Snowpack, April 1 percent of average</t>
        </is>
      </c>
      <c r="B11" s="27" t="inlineStr">
        <is>
          <t>59%</t>
        </is>
      </c>
      <c r="C11" s="27" t="inlineStr">
        <is>
          <t>38%</t>
        </is>
      </c>
      <c r="D11" s="27" t="inlineStr">
        <is>
          <t>237%</t>
        </is>
      </c>
      <c r="E11" s="27" t="inlineStr">
        <is>
          <t>110%</t>
        </is>
      </c>
    </row>
    <row r="12">
      <c r="A12" s="8" t="inlineStr">
        <is>
          <t>State Water Project allocation</t>
        </is>
      </c>
      <c r="B12" s="27" t="inlineStr">
        <is>
          <t>5%</t>
        </is>
      </c>
      <c r="C12" s="27" t="inlineStr">
        <is>
          <t>5%</t>
        </is>
      </c>
      <c r="D12" s="27" t="inlineStr">
        <is>
          <t>100%</t>
        </is>
      </c>
      <c r="E12" s="27"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Anza Vineyard Estates Mutual Water Company</t>
        </is>
      </c>
    </row>
    <row r="2">
      <c r="A2" s="2" t="inlineStr">
        <is>
          <t>How this was built - forensic lineage</t>
        </is>
      </c>
    </row>
    <row r="3">
      <c r="A3" s="2" t="inlineStr">
        <is>
          <t>Entity ID: cawc_0079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Anza Vineyard Estates Mutual Water Company</t>
        </is>
      </c>
    </row>
    <row r="2">
      <c r="A2" s="2" t="inlineStr">
        <is>
          <t>Sources &amp; audit - full provenance and tie-outs (kept off the statements so they read clean)</t>
        </is>
      </c>
    </row>
    <row r="3">
      <c r="A3" s="2" t="inlineStr">
        <is>
          <t>Entity ID: cawc_0079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2021-12-31</t>
        </is>
      </c>
      <c r="C10" s="8" t="inlineStr">
        <is>
          <t>990-EZ</t>
        </is>
      </c>
      <c r="D10" s="8" t="inlineStr">
        <is>
          <t>high</t>
        </is>
      </c>
      <c r="E10" s="8" t="inlineStr">
        <is>
          <t>aa86d8b2-3c2a-4c0e-8c71-b98a5db50532</t>
        </is>
      </c>
      <c r="F10" s="8" t="inlineStr">
        <is>
          <t>202233189349208283</t>
        </is>
      </c>
      <c r="G10" s="8" t="inlineStr">
        <is>
          <t>claude-opus-5</t>
        </is>
      </c>
      <c r="H10" s="8" t="inlineStr">
        <is>
          <t>2026-09-21T02:50:00+00:00</t>
        </is>
      </c>
      <c r="I10" s="8" t="inlineStr">
        <is>
          <t>https://apps.irs.gov/pub/epostcard/990/xml/2022/2022_TEOS_XML_02A.zip#202233189349208283_public.xml</t>
        </is>
      </c>
    </row>
    <row r="11">
      <c r="A11" s="27" t="inlineStr">
        <is>
          <t>FY2022</t>
        </is>
      </c>
      <c r="B11" s="8" t="inlineStr">
        <is>
          <t>2022-12-31</t>
        </is>
      </c>
      <c r="C11" s="8" t="inlineStr">
        <is>
          <t>990</t>
        </is>
      </c>
      <c r="D11" s="8" t="inlineStr">
        <is>
          <t>high</t>
        </is>
      </c>
      <c r="E11" s="8" t="inlineStr">
        <is>
          <t>db489f9e-57b2-4b8c-bba7-42057b16cb6a</t>
        </is>
      </c>
      <c r="F11" s="8" t="inlineStr">
        <is>
          <t>202303199349321855</t>
        </is>
      </c>
      <c r="G11" s="8" t="inlineStr">
        <is>
          <t>claude-opus-5</t>
        </is>
      </c>
      <c r="H11" s="8" t="inlineStr">
        <is>
          <t>2026-09-21T02:50:00+00:00</t>
        </is>
      </c>
      <c r="I11" s="8" t="inlineStr">
        <is>
          <t>https://apps.irs.gov/pub/epostcard/990/xml/2023/2023_TEOS_XML_11A.zip#202303199349321855_public.xml</t>
        </is>
      </c>
    </row>
    <row r="12">
      <c r="A12" s="27" t="inlineStr">
        <is>
          <t>FY2023</t>
        </is>
      </c>
      <c r="B12" s="8" t="inlineStr">
        <is>
          <t>2023-12-31</t>
        </is>
      </c>
      <c r="C12" s="8" t="inlineStr">
        <is>
          <t>990</t>
        </is>
      </c>
      <c r="D12" s="8" t="inlineStr">
        <is>
          <t>high</t>
        </is>
      </c>
      <c r="E12" s="8" t="inlineStr">
        <is>
          <t>9c3335bb-c58c-47cf-94d8-9912aadf2c85</t>
        </is>
      </c>
      <c r="F12" s="8" t="inlineStr">
        <is>
          <t>202433209349325498</t>
        </is>
      </c>
      <c r="G12" s="8" t="inlineStr">
        <is>
          <t>claude-opus-5</t>
        </is>
      </c>
      <c r="H12" s="8" t="inlineStr">
        <is>
          <t>2026-09-21T02:50:00+00:00</t>
        </is>
      </c>
      <c r="I12" s="8" t="inlineStr">
        <is>
          <t>https://apps.irs.gov/pub/epostcard/990/xml/2024/2024_TEOS_XML_11A.zip#202433209349325498_public.xml</t>
        </is>
      </c>
    </row>
    <row r="13">
      <c r="A13" s="27" t="inlineStr">
        <is>
          <t>FY2024</t>
        </is>
      </c>
      <c r="B13" s="8" t="inlineStr">
        <is>
          <t>2024-12-31</t>
        </is>
      </c>
      <c r="C13" s="8" t="inlineStr">
        <is>
          <t>990</t>
        </is>
      </c>
      <c r="D13" s="8" t="inlineStr">
        <is>
          <t>high</t>
        </is>
      </c>
      <c r="E13" s="8" t="inlineStr">
        <is>
          <t>2c1c7930-1873-46db-8693-eb3beaa453e8</t>
        </is>
      </c>
      <c r="F13" s="8" t="inlineStr">
        <is>
          <t>202523199349301677</t>
        </is>
      </c>
      <c r="G13" s="8" t="inlineStr">
        <is>
          <t>claude-opus-5</t>
        </is>
      </c>
      <c r="H13" s="8" t="inlineStr">
        <is>
          <t>2026-09-21T02:50:00+00:00</t>
        </is>
      </c>
      <c r="I13" s="8" t="inlineStr">
        <is>
          <t>https://apps.irs.gov/pub/epostcard/990/xml/2025/2025_TEOS_XML_11C.zip#202523199349301677_public.xml</t>
        </is>
      </c>
    </row>
    <row r="15">
      <c r="A15" s="29"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0</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0</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157651</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Financial Statements</t>
        </is>
      </c>
      <c r="B21" s="8" t="inlineStr">
        <is>
          <t>C74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Financial Statements</t>
        </is>
      </c>
      <c r="B22" s="8" t="inlineStr">
        <is>
          <t>D74</t>
        </is>
      </c>
      <c r="C22" s="8" t="inlineStr">
        <is>
          <t>11b. Gross income from other sources</t>
        </is>
      </c>
      <c r="D22" s="8" t="inlineStr">
        <is>
          <t>11b</t>
        </is>
      </c>
      <c r="E22" s="8" t="inlineStr">
        <is>
          <t>part_v_other_irs_filings.other_sources_gross_income</t>
        </is>
      </c>
      <c r="F22" s="8" t="inlineStr">
        <is>
          <t>high</t>
        </is>
      </c>
      <c r="G22" s="9" t="n">
        <v>0</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88488</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159070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157651</v>
      </c>
    </row>
    <row r="26">
      <c r="A26" s="8" t="inlineStr">
        <is>
          <t>Revenue (detail)</t>
        </is>
      </c>
      <c r="B26" s="8" t="inlineStr">
        <is>
          <t>B12</t>
        </is>
      </c>
      <c r="C26" s="8" t="inlineStr">
        <is>
          <t>11e. Other revenue</t>
        </is>
      </c>
      <c r="D26" s="8" t="inlineStr">
        <is>
          <t>11e</t>
        </is>
      </c>
      <c r="E26" s="8" t="inlineStr">
        <is>
          <t>part_viii_revenue.other_revenue_total</t>
        </is>
      </c>
      <c r="F26" s="8" t="inlineStr">
        <is>
          <t>high</t>
        </is>
      </c>
      <c r="G26" s="9" t="n">
        <v>223161</v>
      </c>
    </row>
    <row r="27">
      <c r="A27" s="8" t="inlineStr">
        <is>
          <t>Revenue (detail)</t>
        </is>
      </c>
      <c r="B27" s="8" t="inlineStr">
        <is>
          <t>C12</t>
        </is>
      </c>
      <c r="C27" s="8" t="inlineStr">
        <is>
          <t>11e. Other revenue</t>
        </is>
      </c>
      <c r="D27" s="8" t="inlineStr">
        <is>
          <t>11e</t>
        </is>
      </c>
      <c r="E27" s="8" t="inlineStr">
        <is>
          <t>part_viii_revenue.other_revenue_total</t>
        </is>
      </c>
      <c r="F27" s="8" t="inlineStr">
        <is>
          <t>high</t>
        </is>
      </c>
      <c r="G27" s="9" t="n">
        <v>63937</v>
      </c>
    </row>
    <row r="28">
      <c r="A28" s="8" t="inlineStr">
        <is>
          <t>Revenue (detail)</t>
        </is>
      </c>
      <c r="B28" s="8" t="inlineStr">
        <is>
          <t>D12</t>
        </is>
      </c>
      <c r="C28" s="8" t="inlineStr">
        <is>
          <t>11e. Other revenue</t>
        </is>
      </c>
      <c r="D28" s="8" t="inlineStr">
        <is>
          <t>11e</t>
        </is>
      </c>
      <c r="E28" s="8" t="inlineStr">
        <is>
          <t>part_viii_revenue.other_revenue_total</t>
        </is>
      </c>
      <c r="F28" s="8" t="inlineStr">
        <is>
          <t>high</t>
        </is>
      </c>
      <c r="G28" s="9" t="n">
        <v>114227</v>
      </c>
    </row>
    <row r="29">
      <c r="A29" s="8" t="inlineStr">
        <is>
          <t>Operating expenses (detail)</t>
        </is>
      </c>
      <c r="B29" s="8" t="inlineStr">
        <is>
          <t>B7</t>
        </is>
      </c>
      <c r="C29" s="8" t="inlineStr">
        <is>
          <t>16. Occupancy</t>
        </is>
      </c>
      <c r="D29" s="8" t="inlineStr">
        <is>
          <t>16</t>
        </is>
      </c>
      <c r="E29" s="8" t="inlineStr">
        <is>
          <t>part_ix_expenses.occupancy</t>
        </is>
      </c>
      <c r="F29" s="8" t="inlineStr">
        <is>
          <t>high</t>
        </is>
      </c>
      <c r="G29" s="9" t="n">
        <v>90599</v>
      </c>
    </row>
    <row r="30">
      <c r="A30" s="8" t="inlineStr">
        <is>
          <t>Operating expenses (detail)</t>
        </is>
      </c>
      <c r="B30" s="8" t="inlineStr">
        <is>
          <t>C7</t>
        </is>
      </c>
      <c r="C30" s="8" t="inlineStr">
        <is>
          <t>16. Occupancy</t>
        </is>
      </c>
      <c r="D30" s="8" t="inlineStr">
        <is>
          <t>16</t>
        </is>
      </c>
      <c r="E30" s="8" t="inlineStr">
        <is>
          <t>part_ix_expenses.occupancy</t>
        </is>
      </c>
      <c r="F30" s="8" t="inlineStr">
        <is>
          <t>high</t>
        </is>
      </c>
      <c r="G30" s="9" t="n">
        <v>37266</v>
      </c>
    </row>
    <row r="31">
      <c r="A31" s="8" t="inlineStr">
        <is>
          <t>Operating expenses (detail)</t>
        </is>
      </c>
      <c r="B31" s="8" t="inlineStr">
        <is>
          <t>D7</t>
        </is>
      </c>
      <c r="C31" s="8" t="inlineStr">
        <is>
          <t>16. Occupancy</t>
        </is>
      </c>
      <c r="D31" s="8" t="inlineStr">
        <is>
          <t>16</t>
        </is>
      </c>
      <c r="E31" s="8" t="inlineStr">
        <is>
          <t>part_ix_expenses.occupancy</t>
        </is>
      </c>
      <c r="F31" s="8" t="inlineStr">
        <is>
          <t>high</t>
        </is>
      </c>
      <c r="G31" s="9" t="n">
        <v>46477</v>
      </c>
    </row>
    <row r="32">
      <c r="A32" s="8" t="inlineStr">
        <is>
          <t>Operating expenses (detail)</t>
        </is>
      </c>
      <c r="B32" s="8" t="inlineStr">
        <is>
          <t>B8</t>
        </is>
      </c>
      <c r="C32" s="8" t="inlineStr">
        <is>
          <t>22. Depreciation, depletion, and amortization</t>
        </is>
      </c>
      <c r="D32" s="8" t="inlineStr">
        <is>
          <t>22</t>
        </is>
      </c>
      <c r="E32" s="8" t="inlineStr">
        <is>
          <t>part_ix_expenses.depreciation</t>
        </is>
      </c>
      <c r="F32" s="8" t="inlineStr">
        <is>
          <t>high</t>
        </is>
      </c>
      <c r="G32" s="9" t="n">
        <v>9965</v>
      </c>
    </row>
    <row r="33">
      <c r="A33" s="8" t="inlineStr">
        <is>
          <t>Operating expenses (detail)</t>
        </is>
      </c>
      <c r="B33" s="8" t="inlineStr">
        <is>
          <t>C8</t>
        </is>
      </c>
      <c r="C33" s="8" t="inlineStr">
        <is>
          <t>22. Depreciation, depletion, and amortization</t>
        </is>
      </c>
      <c r="D33" s="8" t="inlineStr">
        <is>
          <t>22</t>
        </is>
      </c>
      <c r="E33" s="8" t="inlineStr">
        <is>
          <t>part_ix_expenses.depreciation</t>
        </is>
      </c>
      <c r="F33" s="8" t="inlineStr">
        <is>
          <t>high</t>
        </is>
      </c>
      <c r="G33" s="9" t="n">
        <v>14552</v>
      </c>
    </row>
    <row r="34">
      <c r="A34" s="8" t="inlineStr">
        <is>
          <t>Operating expenses (detail)</t>
        </is>
      </c>
      <c r="B34" s="8" t="inlineStr">
        <is>
          <t>D8</t>
        </is>
      </c>
      <c r="C34" s="8" t="inlineStr">
        <is>
          <t>22. Depreciation, depletion, and amortization</t>
        </is>
      </c>
      <c r="D34" s="8" t="inlineStr">
        <is>
          <t>22</t>
        </is>
      </c>
      <c r="E34" s="8" t="inlineStr">
        <is>
          <t>part_ix_expenses.depreciation</t>
        </is>
      </c>
      <c r="F34" s="8" t="inlineStr">
        <is>
          <t>high</t>
        </is>
      </c>
      <c r="G34" s="9" t="n">
        <v>15979</v>
      </c>
    </row>
    <row r="35">
      <c r="A35" s="8" t="inlineStr">
        <is>
          <t>Operating expenses (detail)</t>
        </is>
      </c>
      <c r="B35" s="8" t="inlineStr">
        <is>
          <t>B9</t>
        </is>
      </c>
      <c r="C35" s="8" t="inlineStr">
        <is>
          <t>23. Insurance</t>
        </is>
      </c>
      <c r="D35" s="8" t="inlineStr">
        <is>
          <t>23</t>
        </is>
      </c>
      <c r="E35" s="8" t="inlineStr">
        <is>
          <t>part_ix_expenses.insurance</t>
        </is>
      </c>
      <c r="F35" s="8" t="inlineStr">
        <is>
          <t>high</t>
        </is>
      </c>
      <c r="G35" s="9" t="n">
        <v>23682</v>
      </c>
    </row>
    <row r="36">
      <c r="A36" s="8" t="inlineStr">
        <is>
          <t>Operating expenses (detail)</t>
        </is>
      </c>
      <c r="B36" s="8" t="inlineStr">
        <is>
          <t>C9</t>
        </is>
      </c>
      <c r="C36" s="8" t="inlineStr">
        <is>
          <t>23. Insurance</t>
        </is>
      </c>
      <c r="D36" s="8" t="inlineStr">
        <is>
          <t>23</t>
        </is>
      </c>
      <c r="E36" s="8" t="inlineStr">
        <is>
          <t>part_ix_expenses.insurance</t>
        </is>
      </c>
      <c r="F36" s="8" t="inlineStr">
        <is>
          <t>high</t>
        </is>
      </c>
      <c r="G36" s="9" t="n">
        <v>23834</v>
      </c>
    </row>
    <row r="37">
      <c r="A37" s="8" t="inlineStr">
        <is>
          <t>Operating expenses (detail)</t>
        </is>
      </c>
      <c r="B37" s="8" t="inlineStr">
        <is>
          <t>D9</t>
        </is>
      </c>
      <c r="C37" s="8" t="inlineStr">
        <is>
          <t>23. Insurance</t>
        </is>
      </c>
      <c r="D37" s="8" t="inlineStr">
        <is>
          <t>23</t>
        </is>
      </c>
      <c r="E37" s="8" t="inlineStr">
        <is>
          <t>part_ix_expenses.insurance</t>
        </is>
      </c>
      <c r="F37" s="8" t="inlineStr">
        <is>
          <t>high</t>
        </is>
      </c>
      <c r="G37" s="9" t="n">
        <v>2386</v>
      </c>
    </row>
    <row r="38">
      <c r="A38" s="8" t="inlineStr">
        <is>
          <t>Operating expenses (detail)</t>
        </is>
      </c>
      <c r="B38" s="8" t="inlineStr">
        <is>
          <t>B16</t>
        </is>
      </c>
      <c r="C38" s="8" t="inlineStr">
        <is>
          <t>24e. All other expenses</t>
        </is>
      </c>
      <c r="D38" s="8" t="inlineStr">
        <is>
          <t>24e</t>
        </is>
      </c>
      <c r="E38" s="8" t="inlineStr">
        <is>
          <t>part_ix_expenses.all_other_expenses</t>
        </is>
      </c>
      <c r="F38" s="8" t="inlineStr">
        <is>
          <t>high</t>
        </is>
      </c>
      <c r="G38" s="9" t="n">
        <v>115</v>
      </c>
    </row>
    <row r="39">
      <c r="A39" s="8" t="inlineStr">
        <is>
          <t>Operating expenses (detail)</t>
        </is>
      </c>
      <c r="B39" s="8" t="inlineStr">
        <is>
          <t>C16</t>
        </is>
      </c>
      <c r="C39" s="8" t="inlineStr">
        <is>
          <t>24e. All other expenses</t>
        </is>
      </c>
      <c r="D39" s="8" t="inlineStr">
        <is>
          <t>24e</t>
        </is>
      </c>
      <c r="E39" s="8" t="inlineStr">
        <is>
          <t>part_ix_expenses.all_other_expenses</t>
        </is>
      </c>
      <c r="F39" s="8" t="inlineStr">
        <is>
          <t>high</t>
        </is>
      </c>
      <c r="G39" s="9" t="n">
        <v>4949</v>
      </c>
    </row>
    <row r="40">
      <c r="A40" s="8" t="inlineStr">
        <is>
          <t>Operating expenses (detail)</t>
        </is>
      </c>
      <c r="B40" s="8" t="inlineStr">
        <is>
          <t>D16</t>
        </is>
      </c>
      <c r="C40" s="8" t="inlineStr">
        <is>
          <t>24e. All other expenses</t>
        </is>
      </c>
      <c r="D40" s="8" t="inlineStr">
        <is>
          <t>24e</t>
        </is>
      </c>
      <c r="E40" s="8" t="inlineStr">
        <is>
          <t>part_ix_expenses.all_other_expenses</t>
        </is>
      </c>
      <c r="F40" s="8" t="inlineStr">
        <is>
          <t>high</t>
        </is>
      </c>
      <c r="G40" s="9" t="n">
        <v>6835</v>
      </c>
    </row>
    <row r="41">
      <c r="A41" s="8" t="inlineStr">
        <is>
          <t>Balance sheet (detail)</t>
        </is>
      </c>
      <c r="B41" s="8" t="inlineStr">
        <is>
          <t>B7</t>
        </is>
      </c>
      <c r="C41" s="8" t="inlineStr">
        <is>
          <t>1. Cash - non-interest-bearing</t>
        </is>
      </c>
      <c r="D41" s="8" t="inlineStr">
        <is>
          <t>1E</t>
        </is>
      </c>
      <c r="E41" s="8" t="inlineStr">
        <is>
          <t>part_x_balance_sheet.cash_noninterest_eoy</t>
        </is>
      </c>
      <c r="F41" s="8" t="inlineStr">
        <is>
          <t>high</t>
        </is>
      </c>
      <c r="G41" s="9" t="n">
        <v>4369</v>
      </c>
    </row>
    <row r="42">
      <c r="A42" s="8" t="inlineStr">
        <is>
          <t>Balance sheet (detail)</t>
        </is>
      </c>
      <c r="B42" s="8" t="inlineStr">
        <is>
          <t>C7</t>
        </is>
      </c>
      <c r="C42" s="8" t="inlineStr">
        <is>
          <t>1. Cash - non-interest-bearing</t>
        </is>
      </c>
      <c r="D42" s="8" t="inlineStr">
        <is>
          <t>1E</t>
        </is>
      </c>
      <c r="E42" s="8" t="inlineStr">
        <is>
          <t>part_x_balance_sheet.cash_noninterest_eoy</t>
        </is>
      </c>
      <c r="F42" s="8" t="inlineStr">
        <is>
          <t>high</t>
        </is>
      </c>
      <c r="G42" s="9" t="n">
        <v>11546</v>
      </c>
    </row>
    <row r="43">
      <c r="A43" s="8" t="inlineStr">
        <is>
          <t>Balance sheet (detail)</t>
        </is>
      </c>
      <c r="B43" s="8" t="inlineStr">
        <is>
          <t>D7</t>
        </is>
      </c>
      <c r="C43" s="8" t="inlineStr">
        <is>
          <t>1. Cash - non-interest-bearing</t>
        </is>
      </c>
      <c r="D43" s="8" t="inlineStr">
        <is>
          <t>1E</t>
        </is>
      </c>
      <c r="E43" s="8" t="inlineStr">
        <is>
          <t>part_x_balance_sheet.cash_noninterest_eoy</t>
        </is>
      </c>
      <c r="F43" s="8" t="inlineStr">
        <is>
          <t>high</t>
        </is>
      </c>
      <c r="G43" s="9" t="n">
        <v>17298</v>
      </c>
    </row>
    <row r="44">
      <c r="A44" s="8" t="inlineStr">
        <is>
          <t>Balance sheet (detail)</t>
        </is>
      </c>
      <c r="B44" s="8" t="inlineStr">
        <is>
          <t>B8</t>
        </is>
      </c>
      <c r="C44" s="8" t="inlineStr">
        <is>
          <t>10c. Land, buildings, and equipment, net</t>
        </is>
      </c>
      <c r="D44" s="8" t="inlineStr">
        <is>
          <t>10cE</t>
        </is>
      </c>
      <c r="E44" s="8" t="inlineStr">
        <is>
          <t>part_x_balance_sheet.land_bldg_equip_net_eoy</t>
        </is>
      </c>
      <c r="F44" s="8" t="inlineStr">
        <is>
          <t>high</t>
        </is>
      </c>
      <c r="G44" s="9" t="n">
        <v>114182</v>
      </c>
    </row>
    <row r="45">
      <c r="A45" s="8" t="inlineStr">
        <is>
          <t>Balance sheet (detail)</t>
        </is>
      </c>
      <c r="B45" s="8" t="inlineStr">
        <is>
          <t>C8</t>
        </is>
      </c>
      <c r="C45" s="8" t="inlineStr">
        <is>
          <t>10c. Land, buildings, and equipment, net</t>
        </is>
      </c>
      <c r="D45" s="8" t="inlineStr">
        <is>
          <t>10cE</t>
        </is>
      </c>
      <c r="E45" s="8" t="inlineStr">
        <is>
          <t>part_x_balance_sheet.land_bldg_equip_net_eoy</t>
        </is>
      </c>
      <c r="F45" s="8" t="inlineStr">
        <is>
          <t>high</t>
        </is>
      </c>
      <c r="G45" s="9" t="n">
        <v>126688</v>
      </c>
    </row>
    <row r="46">
      <c r="A46" s="8" t="inlineStr">
        <is>
          <t>Balance sheet (detail)</t>
        </is>
      </c>
      <c r="B46" s="8" t="inlineStr">
        <is>
          <t>D8</t>
        </is>
      </c>
      <c r="C46" s="8" t="inlineStr">
        <is>
          <t>10c. Land, buildings, and equipment, net</t>
        </is>
      </c>
      <c r="D46" s="8" t="inlineStr">
        <is>
          <t>10cE</t>
        </is>
      </c>
      <c r="E46" s="8" t="inlineStr">
        <is>
          <t>part_x_balance_sheet.land_bldg_equip_net_eoy</t>
        </is>
      </c>
      <c r="F46" s="8" t="inlineStr">
        <is>
          <t>high</t>
        </is>
      </c>
      <c r="G46" s="9" t="n">
        <v>110709</v>
      </c>
    </row>
    <row r="47">
      <c r="A47" s="8" t="inlineStr">
        <is>
          <t>Balance sheet (detail)</t>
        </is>
      </c>
      <c r="B47" s="8" t="inlineStr">
        <is>
          <t>B12</t>
        </is>
      </c>
      <c r="C47" s="8" t="inlineStr">
        <is>
          <t>25. Other liabilities</t>
        </is>
      </c>
      <c r="D47" s="8" t="inlineStr">
        <is>
          <t>25E</t>
        </is>
      </c>
      <c r="E47" s="8" t="inlineStr">
        <is>
          <t>part_x_balance_sheet.other_liabilities_eoy</t>
        </is>
      </c>
      <c r="F47" s="8" t="inlineStr">
        <is>
          <t>high</t>
        </is>
      </c>
      <c r="G47" s="9" t="n">
        <v>16380</v>
      </c>
    </row>
    <row r="48">
      <c r="A48" s="8" t="inlineStr">
        <is>
          <t>Balance sheet (detail)</t>
        </is>
      </c>
      <c r="B48" s="8" t="inlineStr">
        <is>
          <t>C12</t>
        </is>
      </c>
      <c r="C48" s="8" t="inlineStr">
        <is>
          <t>25. Other liabilities</t>
        </is>
      </c>
      <c r="D48" s="8" t="inlineStr">
        <is>
          <t>25E</t>
        </is>
      </c>
      <c r="E48" s="8" t="inlineStr">
        <is>
          <t>part_x_balance_sheet.other_liabilities_eoy</t>
        </is>
      </c>
      <c r="F48" s="8" t="inlineStr">
        <is>
          <t>high</t>
        </is>
      </c>
      <c r="G48" s="9" t="n">
        <v>0</v>
      </c>
    </row>
    <row r="49">
      <c r="A49" s="8" t="inlineStr">
        <is>
          <t>Balance sheet (detail)</t>
        </is>
      </c>
      <c r="B49" s="8" t="inlineStr">
        <is>
          <t>B16</t>
        </is>
      </c>
      <c r="C49" s="8" t="inlineStr">
        <is>
          <t>29. Capital stock or trust principal</t>
        </is>
      </c>
      <c r="D49" s="8" t="inlineStr">
        <is>
          <t>29E</t>
        </is>
      </c>
      <c r="E49" s="8" t="inlineStr">
        <is>
          <t>part_x_balance_sheet.cap_stock_eoy</t>
        </is>
      </c>
      <c r="F49" s="8" t="inlineStr">
        <is>
          <t>high</t>
        </is>
      </c>
      <c r="G49" s="9" t="n">
        <v>0</v>
      </c>
    </row>
    <row r="50">
      <c r="A50" s="8" t="inlineStr">
        <is>
          <t>Balance sheet (detail)</t>
        </is>
      </c>
      <c r="B50" s="8" t="inlineStr">
        <is>
          <t>C16</t>
        </is>
      </c>
      <c r="C50" s="8" t="inlineStr">
        <is>
          <t>29. Capital stock or trust principal</t>
        </is>
      </c>
      <c r="D50" s="8" t="inlineStr">
        <is>
          <t>29E</t>
        </is>
      </c>
      <c r="E50" s="8" t="inlineStr">
        <is>
          <t>part_x_balance_sheet.cap_stock_eoy</t>
        </is>
      </c>
      <c r="F50" s="8" t="inlineStr">
        <is>
          <t>high</t>
        </is>
      </c>
      <c r="G50" s="9" t="n">
        <v>0</v>
      </c>
    </row>
    <row r="51">
      <c r="A51" s="8" t="inlineStr">
        <is>
          <t>Balance sheet (detail)</t>
        </is>
      </c>
      <c r="B51" s="8" t="inlineStr">
        <is>
          <t>D16</t>
        </is>
      </c>
      <c r="C51" s="8" t="inlineStr">
        <is>
          <t>29. Capital stock or trust principal</t>
        </is>
      </c>
      <c r="D51" s="8" t="inlineStr">
        <is>
          <t>29E</t>
        </is>
      </c>
      <c r="E51" s="8" t="inlineStr">
        <is>
          <t>part_x_balance_sheet.cap_stock_eoy</t>
        </is>
      </c>
      <c r="F51" s="8" t="inlineStr">
        <is>
          <t>high</t>
        </is>
      </c>
      <c r="G51" s="9" t="n">
        <v>0</v>
      </c>
    </row>
    <row r="52">
      <c r="A52" s="8" t="inlineStr">
        <is>
          <t>Balance sheet (detail)</t>
        </is>
      </c>
      <c r="B52" s="8" t="inlineStr">
        <is>
          <t>B17</t>
        </is>
      </c>
      <c r="C52" s="8" t="inlineStr">
        <is>
          <t>30. Paid-in or capital surplus</t>
        </is>
      </c>
      <c r="D52" s="8" t="inlineStr">
        <is>
          <t>30E</t>
        </is>
      </c>
      <c r="E52" s="8" t="inlineStr">
        <is>
          <t>part_x_balance_sheet.paid_in_capital_eoy</t>
        </is>
      </c>
      <c r="F52" s="8" t="inlineStr">
        <is>
          <t>high</t>
        </is>
      </c>
      <c r="G52" s="9" t="n">
        <v>0</v>
      </c>
    </row>
    <row r="53">
      <c r="A53" s="8" t="inlineStr">
        <is>
          <t>Balance sheet (detail)</t>
        </is>
      </c>
      <c r="B53" s="8" t="inlineStr">
        <is>
          <t>C17</t>
        </is>
      </c>
      <c r="C53" s="8" t="inlineStr">
        <is>
          <t>30. Paid-in or capital surplus</t>
        </is>
      </c>
      <c r="D53" s="8" t="inlineStr">
        <is>
          <t>30E</t>
        </is>
      </c>
      <c r="E53" s="8" t="inlineStr">
        <is>
          <t>part_x_balance_sheet.paid_in_capital_eoy</t>
        </is>
      </c>
      <c r="F53" s="8" t="inlineStr">
        <is>
          <t>high</t>
        </is>
      </c>
      <c r="G53" s="9" t="n">
        <v>0</v>
      </c>
    </row>
    <row r="54">
      <c r="A54" s="8" t="inlineStr">
        <is>
          <t>Balance sheet (detail)</t>
        </is>
      </c>
      <c r="B54" s="8" t="inlineStr">
        <is>
          <t>D17</t>
        </is>
      </c>
      <c r="C54" s="8" t="inlineStr">
        <is>
          <t>30. Paid-in or capital surplus</t>
        </is>
      </c>
      <c r="D54" s="8" t="inlineStr">
        <is>
          <t>30E</t>
        </is>
      </c>
      <c r="E54" s="8" t="inlineStr">
        <is>
          <t>part_x_balance_sheet.paid_in_capital_eoy</t>
        </is>
      </c>
      <c r="F54" s="8" t="inlineStr">
        <is>
          <t>high</t>
        </is>
      </c>
      <c r="G54" s="9" t="n">
        <v>0</v>
      </c>
    </row>
    <row r="55">
      <c r="A55" s="8" t="inlineStr">
        <is>
          <t>Balance sheet (detail)</t>
        </is>
      </c>
      <c r="B55" s="8" t="inlineStr">
        <is>
          <t>B18</t>
        </is>
      </c>
      <c r="C55" s="8" t="inlineStr">
        <is>
          <t>31. Retained earnings / accumulated funds</t>
        </is>
      </c>
      <c r="D55" s="8" t="inlineStr">
        <is>
          <t>31E</t>
        </is>
      </c>
      <c r="E55" s="8" t="inlineStr">
        <is>
          <t>part_x_balance_sheet.retained_earnings_eoy</t>
        </is>
      </c>
      <c r="F55" s="8" t="inlineStr">
        <is>
          <t>high</t>
        </is>
      </c>
      <c r="G55" s="9" t="n">
        <v>102171</v>
      </c>
    </row>
    <row r="56">
      <c r="A56" s="8" t="inlineStr">
        <is>
          <t>Balance sheet (detail)</t>
        </is>
      </c>
      <c r="B56" s="8" t="inlineStr">
        <is>
          <t>C18</t>
        </is>
      </c>
      <c r="C56" s="8" t="inlineStr">
        <is>
          <t>31. Retained earnings / accumulated funds</t>
        </is>
      </c>
      <c r="D56" s="8" t="inlineStr">
        <is>
          <t>31E</t>
        </is>
      </c>
      <c r="E56" s="8" t="inlineStr">
        <is>
          <t>part_x_balance_sheet.retained_earnings_eoy</t>
        </is>
      </c>
      <c r="F56" s="8" t="inlineStr">
        <is>
          <t>high</t>
        </is>
      </c>
      <c r="G56" s="9" t="n">
        <v>138234</v>
      </c>
    </row>
    <row r="57">
      <c r="A57" s="8" t="inlineStr">
        <is>
          <t>Balance sheet (detail)</t>
        </is>
      </c>
      <c r="B57" s="8" t="inlineStr">
        <is>
          <t>D18</t>
        </is>
      </c>
      <c r="C57" s="8" t="inlineStr">
        <is>
          <t>31. Retained earnings / accumulated funds</t>
        </is>
      </c>
      <c r="D57" s="8" t="inlineStr">
        <is>
          <t>31E</t>
        </is>
      </c>
      <c r="E57" s="8" t="inlineStr">
        <is>
          <t>part_x_balance_sheet.retained_earnings_eoy</t>
        </is>
      </c>
      <c r="F57" s="8" t="inlineStr">
        <is>
          <t>high</t>
        </is>
      </c>
      <c r="G57" s="9" t="n">
        <v>128007</v>
      </c>
    </row>
    <row r="58">
      <c r="A58" s="8" t="inlineStr">
        <is>
          <t>Net-assets reconciliation</t>
        </is>
      </c>
      <c r="B58" s="8" t="inlineStr">
        <is>
          <t>B7</t>
        </is>
      </c>
      <c r="C58" s="8" t="inlineStr">
        <is>
          <t>4. Net assets, beginning of year</t>
        </is>
      </c>
      <c r="D58" s="8" t="inlineStr">
        <is>
          <t>Part XI line 4</t>
        </is>
      </c>
      <c r="E58" s="8" t="inlineStr">
        <is>
          <t>part_xi_reconciliation.net_assets_boy</t>
        </is>
      </c>
      <c r="F58" s="8" t="inlineStr">
        <is>
          <t>high</t>
        </is>
      </c>
      <c r="G58" s="9" t="n">
        <v>108332</v>
      </c>
    </row>
    <row r="59">
      <c r="A59" s="8" t="inlineStr">
        <is>
          <t>Net-assets reconciliation</t>
        </is>
      </c>
      <c r="B59" s="8" t="inlineStr">
        <is>
          <t>C7</t>
        </is>
      </c>
      <c r="C59" s="8" t="inlineStr">
        <is>
          <t>4. Net assets, beginning of year</t>
        </is>
      </c>
      <c r="D59" s="8" t="inlineStr">
        <is>
          <t>Part XI line 4</t>
        </is>
      </c>
      <c r="E59" s="8" t="inlineStr">
        <is>
          <t>part_xi_reconciliation.net_assets_boy</t>
        </is>
      </c>
      <c r="F59" s="8" t="inlineStr">
        <is>
          <t>high</t>
        </is>
      </c>
      <c r="G59" s="9" t="n">
        <v>102171</v>
      </c>
    </row>
    <row r="60">
      <c r="A60" s="8" t="inlineStr">
        <is>
          <t>Net-assets reconciliation</t>
        </is>
      </c>
      <c r="B60" s="8" t="inlineStr">
        <is>
          <t>D7</t>
        </is>
      </c>
      <c r="C60" s="8" t="inlineStr">
        <is>
          <t>4. Net assets, beginning of year</t>
        </is>
      </c>
      <c r="D60" s="8" t="inlineStr">
        <is>
          <t>Part XI line 4</t>
        </is>
      </c>
      <c r="E60" s="8" t="inlineStr">
        <is>
          <t>part_xi_reconciliation.net_assets_boy</t>
        </is>
      </c>
      <c r="F60" s="8" t="inlineStr">
        <is>
          <t>high</t>
        </is>
      </c>
      <c r="G60" s="9" t="n">
        <v>138234</v>
      </c>
    </row>
    <row r="61">
      <c r="A61" s="8" t="inlineStr">
        <is>
          <t>Net-assets reconciliation</t>
        </is>
      </c>
      <c r="B61" s="8" t="inlineStr">
        <is>
          <t>B8</t>
        </is>
      </c>
      <c r="C61" s="8" t="inlineStr">
        <is>
          <t>3. Revenue less expenses</t>
        </is>
      </c>
      <c r="D61" s="8" t="inlineStr">
        <is>
          <t>Part XI line 3</t>
        </is>
      </c>
      <c r="E61" s="8" t="inlineStr">
        <is>
          <t>part_xi_reconciliation.reconciliation_revenue_expenses</t>
        </is>
      </c>
      <c r="F61" s="8" t="inlineStr">
        <is>
          <t>high</t>
        </is>
      </c>
      <c r="G61" s="9" t="n">
        <v>0</v>
      </c>
    </row>
    <row r="62">
      <c r="A62" s="8" t="inlineStr">
        <is>
          <t>Net-assets reconciliation</t>
        </is>
      </c>
      <c r="B62" s="8" t="inlineStr">
        <is>
          <t>C8</t>
        </is>
      </c>
      <c r="C62" s="8" t="inlineStr">
        <is>
          <t>3. Revenue less expenses</t>
        </is>
      </c>
      <c r="D62" s="8" t="inlineStr">
        <is>
          <t>Part XI line 3</t>
        </is>
      </c>
      <c r="E62" s="8" t="inlineStr">
        <is>
          <t>part_xi_reconciliation.reconciliation_revenue_expenses</t>
        </is>
      </c>
      <c r="F62" s="8" t="inlineStr">
        <is>
          <t>high</t>
        </is>
      </c>
      <c r="G62" s="9" t="n">
        <v>0</v>
      </c>
    </row>
    <row r="63">
      <c r="A63" s="8" t="inlineStr">
        <is>
          <t>Net-assets reconciliation</t>
        </is>
      </c>
      <c r="B63" s="8" t="inlineStr">
        <is>
          <t>D8</t>
        </is>
      </c>
      <c r="C63" s="8" t="inlineStr">
        <is>
          <t>3. Revenue less expenses</t>
        </is>
      </c>
      <c r="D63" s="8" t="inlineStr">
        <is>
          <t>Part XI line 3</t>
        </is>
      </c>
      <c r="E63" s="8" t="inlineStr">
        <is>
          <t>part_xi_reconciliation.reconciliation_revenue_expenses</t>
        </is>
      </c>
      <c r="F63" s="8" t="inlineStr">
        <is>
          <t>high</t>
        </is>
      </c>
      <c r="G63" s="9" t="n">
        <v>0</v>
      </c>
    </row>
    <row r="64">
      <c r="A64" s="8" t="inlineStr">
        <is>
          <t>Net-assets reconciliation</t>
        </is>
      </c>
      <c r="B64" s="8" t="inlineStr">
        <is>
          <t>B10</t>
        </is>
      </c>
      <c r="C64" s="8" t="inlineStr">
        <is>
          <t>9. Other changes in net assets</t>
        </is>
      </c>
      <c r="D64" s="8" t="inlineStr">
        <is>
          <t>Part XI line 9</t>
        </is>
      </c>
      <c r="E64" s="8" t="inlineStr">
        <is>
          <t>part_xi_reconciliation.other_changes_net_assets</t>
        </is>
      </c>
      <c r="F64" s="8" t="inlineStr">
        <is>
          <t>high</t>
        </is>
      </c>
      <c r="G64" s="9" t="n">
        <v>-6161</v>
      </c>
    </row>
    <row r="65">
      <c r="A65" s="8" t="inlineStr">
        <is>
          <t>Net-assets reconciliation</t>
        </is>
      </c>
      <c r="B65" s="8" t="inlineStr">
        <is>
          <t>C10</t>
        </is>
      </c>
      <c r="C65" s="8" t="inlineStr">
        <is>
          <t>9. Other changes in net assets</t>
        </is>
      </c>
      <c r="D65" s="8" t="inlineStr">
        <is>
          <t>Part XI line 9</t>
        </is>
      </c>
      <c r="E65" s="8" t="inlineStr">
        <is>
          <t>part_xi_reconciliation.other_changes_net_assets</t>
        </is>
      </c>
      <c r="F65" s="8" t="inlineStr">
        <is>
          <t>high</t>
        </is>
      </c>
      <c r="G65" s="9" t="n">
        <v>36063</v>
      </c>
    </row>
    <row r="66">
      <c r="A66" s="8" t="inlineStr">
        <is>
          <t>Net-assets reconciliation</t>
        </is>
      </c>
      <c r="B66" s="8" t="inlineStr">
        <is>
          <t>D10</t>
        </is>
      </c>
      <c r="C66" s="8" t="inlineStr">
        <is>
          <t>9. Other changes in net assets</t>
        </is>
      </c>
      <c r="D66" s="8" t="inlineStr">
        <is>
          <t>Part XI line 9</t>
        </is>
      </c>
      <c r="E66" s="8" t="inlineStr">
        <is>
          <t>part_xi_reconciliation.other_changes_net_assets</t>
        </is>
      </c>
      <c r="F66" s="8" t="inlineStr">
        <is>
          <t>high</t>
        </is>
      </c>
      <c r="G66" s="9" t="n">
        <v>-10227</v>
      </c>
    </row>
    <row r="68">
      <c r="A68" s="29" t="inlineStr">
        <is>
          <t>C. Tie-out checks (filed vs computed; any nonzero variance is flagged red)</t>
        </is>
      </c>
      <c r="B68" s="7" t="n"/>
      <c r="C68" s="7" t="n"/>
      <c r="D68" s="7" t="n"/>
      <c r="E68" s="7" t="n"/>
      <c r="F68" s="7" t="n"/>
      <c r="G68" s="7" t="n"/>
      <c r="H68" s="7" t="n"/>
      <c r="I68" s="7" t="n"/>
      <c r="J68" s="7" t="n"/>
      <c r="K68" s="7" t="n"/>
    </row>
    <row r="69">
      <c r="A69" s="5" t="inlineStr">
        <is>
          <t>Tab</t>
        </is>
      </c>
      <c r="B69" s="5" t="inlineStr">
        <is>
          <t>Check</t>
        </is>
      </c>
      <c r="C69" s="5" t="inlineStr">
        <is>
          <t>Fiscal year</t>
        </is>
      </c>
      <c r="D69" s="5" t="inlineStr">
        <is>
          <t>Filed</t>
        </is>
      </c>
      <c r="E69" s="5" t="inlineStr">
        <is>
          <t>Computed</t>
        </is>
      </c>
      <c r="F69" s="5" t="inlineStr">
        <is>
          <t>Variance (computed - filed)</t>
        </is>
      </c>
    </row>
    <row r="70">
      <c r="A70" s="26" t="inlineStr">
        <is>
          <t>Revenue (detail)</t>
        </is>
      </c>
      <c r="B70" s="26" t="inlineStr">
        <is>
          <t>12. Total revenue</t>
        </is>
      </c>
      <c r="C70" s="26" t="inlineStr">
        <is>
          <t>FY2022</t>
        </is>
      </c>
      <c r="D70" s="9" t="n">
        <v>311649</v>
      </c>
      <c r="E70" s="9">
        <f>'Revenue (detail)'!B13</f>
        <v/>
      </c>
      <c r="F70" s="9">
        <f>E70-D70</f>
        <v/>
      </c>
    </row>
    <row r="71">
      <c r="A71" s="26" t="inlineStr">
        <is>
          <t>Revenue (detail)</t>
        </is>
      </c>
      <c r="B71" s="26" t="inlineStr">
        <is>
          <t>12. Total revenue</t>
        </is>
      </c>
      <c r="C71" s="26" t="inlineStr">
        <is>
          <t>FY2023</t>
        </is>
      </c>
      <c r="D71" s="9" t="n">
        <v>223007</v>
      </c>
      <c r="E71" s="9">
        <f>'Revenue (detail)'!C13</f>
        <v/>
      </c>
      <c r="F71" s="9">
        <f>E71-D71</f>
        <v/>
      </c>
    </row>
    <row r="72">
      <c r="A72" s="26" t="inlineStr">
        <is>
          <t>Revenue (detail)</t>
        </is>
      </c>
      <c r="B72" s="26" t="inlineStr">
        <is>
          <t>12. Total revenue</t>
        </is>
      </c>
      <c r="C72" s="26" t="inlineStr">
        <is>
          <t>FY2024</t>
        </is>
      </c>
      <c r="D72" s="9" t="n">
        <v>271878</v>
      </c>
      <c r="E72" s="9">
        <f>'Revenue (detail)'!D13</f>
        <v/>
      </c>
      <c r="F72" s="9">
        <f>E72-D72</f>
        <v/>
      </c>
    </row>
    <row r="73">
      <c r="A73" s="26" t="inlineStr">
        <is>
          <t>Operating expenses (detail)</t>
        </is>
      </c>
      <c r="B73" s="26" t="inlineStr">
        <is>
          <t>25. Total functional expenses</t>
        </is>
      </c>
      <c r="C73" s="26" t="inlineStr">
        <is>
          <t>FY2022</t>
        </is>
      </c>
      <c r="D73" s="9" t="n">
        <v>311649</v>
      </c>
      <c r="E73" s="9">
        <f>'Operating expenses (detail)'!B17</f>
        <v/>
      </c>
      <c r="F73" s="9">
        <f>E73-D73</f>
        <v/>
      </c>
    </row>
    <row r="74">
      <c r="A74" s="26" t="inlineStr">
        <is>
          <t>Operating expenses (detail)</t>
        </is>
      </c>
      <c r="B74" s="26" t="inlineStr">
        <is>
          <t>25. Total functional expenses</t>
        </is>
      </c>
      <c r="C74" s="26" t="inlineStr">
        <is>
          <t>FY2023</t>
        </is>
      </c>
      <c r="D74" s="9" t="n">
        <v>223007</v>
      </c>
      <c r="E74" s="9">
        <f>'Operating expenses (detail)'!C17</f>
        <v/>
      </c>
      <c r="F74" s="9">
        <f>E74-D74</f>
        <v/>
      </c>
    </row>
    <row r="75">
      <c r="A75" s="26" t="inlineStr">
        <is>
          <t>Operating expenses (detail)</t>
        </is>
      </c>
      <c r="B75" s="26" t="inlineStr">
        <is>
          <t>25. Total functional expenses</t>
        </is>
      </c>
      <c r="C75" s="26" t="inlineStr">
        <is>
          <t>FY2024</t>
        </is>
      </c>
      <c r="D75" s="9" t="n">
        <v>271878</v>
      </c>
      <c r="E75" s="9">
        <f>'Operating expenses (detail)'!D17</f>
        <v/>
      </c>
      <c r="F75" s="9">
        <f>E75-D75</f>
        <v/>
      </c>
    </row>
    <row r="76">
      <c r="A76" s="26" t="inlineStr">
        <is>
          <t>Balance sheet (detail)</t>
        </is>
      </c>
      <c r="B76" s="26" t="inlineStr">
        <is>
          <t>16. Total assets</t>
        </is>
      </c>
      <c r="C76" s="26" t="inlineStr">
        <is>
          <t>FY2022</t>
        </is>
      </c>
      <c r="D76" s="9" t="n">
        <v>118551</v>
      </c>
      <c r="E76" s="9">
        <f>'Balance sheet (detail)'!B9</f>
        <v/>
      </c>
      <c r="F76" s="9">
        <f>E76-D76</f>
        <v/>
      </c>
    </row>
    <row r="77">
      <c r="A77" s="26" t="inlineStr">
        <is>
          <t>Balance sheet (detail)</t>
        </is>
      </c>
      <c r="B77" s="26" t="inlineStr">
        <is>
          <t>16. Total assets</t>
        </is>
      </c>
      <c r="C77" s="26" t="inlineStr">
        <is>
          <t>FY2023</t>
        </is>
      </c>
      <c r="D77" s="9" t="n">
        <v>138234</v>
      </c>
      <c r="E77" s="9">
        <f>'Balance sheet (detail)'!C9</f>
        <v/>
      </c>
      <c r="F77" s="9">
        <f>E77-D77</f>
        <v/>
      </c>
    </row>
    <row r="78">
      <c r="A78" s="26" t="inlineStr">
        <is>
          <t>Balance sheet (detail)</t>
        </is>
      </c>
      <c r="B78" s="26" t="inlineStr">
        <is>
          <t>16. Total assets</t>
        </is>
      </c>
      <c r="C78" s="26" t="inlineStr">
        <is>
          <t>FY2024</t>
        </is>
      </c>
      <c r="D78" s="9" t="n">
        <v>128007</v>
      </c>
      <c r="E78" s="9">
        <f>'Balance sheet (detail)'!D9</f>
        <v/>
      </c>
      <c r="F78" s="9">
        <f>E78-D78</f>
        <v/>
      </c>
    </row>
    <row r="79">
      <c r="A79" s="26" t="inlineStr">
        <is>
          <t>Balance sheet (detail)</t>
        </is>
      </c>
      <c r="B79" s="26" t="inlineStr">
        <is>
          <t>26. Total liabilities</t>
        </is>
      </c>
      <c r="C79" s="26" t="inlineStr">
        <is>
          <t>FY2022</t>
        </is>
      </c>
      <c r="D79" s="9" t="n">
        <v>16380</v>
      </c>
      <c r="E79" s="9">
        <f>'Balance sheet (detail)'!B13</f>
        <v/>
      </c>
      <c r="F79" s="9">
        <f>E79-D79</f>
        <v/>
      </c>
    </row>
    <row r="80">
      <c r="A80" s="26" t="inlineStr">
        <is>
          <t>Balance sheet (detail)</t>
        </is>
      </c>
      <c r="B80" s="26" t="inlineStr">
        <is>
          <t>26. Total liabilities</t>
        </is>
      </c>
      <c r="C80" s="26" t="inlineStr">
        <is>
          <t>FY2023</t>
        </is>
      </c>
      <c r="D80" s="9" t="n">
        <v>0</v>
      </c>
      <c r="E80" s="9">
        <f>'Balance sheet (detail)'!C13</f>
        <v/>
      </c>
      <c r="F80" s="9">
        <f>E80-D80</f>
        <v/>
      </c>
    </row>
    <row r="81">
      <c r="A81" s="26" t="inlineStr">
        <is>
          <t>Balance sheet (detail)</t>
        </is>
      </c>
      <c r="B81" s="26" t="inlineStr">
        <is>
          <t>26. Total liabilities</t>
        </is>
      </c>
      <c r="C81" s="26" t="inlineStr">
        <is>
          <t>FY2024</t>
        </is>
      </c>
      <c r="D81" s="9" t="n">
        <v>0</v>
      </c>
      <c r="E81" s="9">
        <f>'Balance sheet (detail)'!D13</f>
        <v/>
      </c>
      <c r="F81" s="9">
        <f>E81-D81</f>
        <v/>
      </c>
    </row>
    <row r="82">
      <c r="A82" s="26" t="inlineStr">
        <is>
          <t>Balance sheet (detail)</t>
        </is>
      </c>
      <c r="B82" s="26" t="inlineStr">
        <is>
          <t>32. Total net assets / fund balances</t>
        </is>
      </c>
      <c r="C82" s="26" t="inlineStr">
        <is>
          <t>FY2022</t>
        </is>
      </c>
      <c r="D82" s="9" t="n">
        <v>102171</v>
      </c>
      <c r="E82" s="9">
        <f>'Balance sheet (detail)'!B19</f>
        <v/>
      </c>
      <c r="F82" s="9">
        <f>E82-D82</f>
        <v/>
      </c>
    </row>
    <row r="83">
      <c r="A83" s="26" t="inlineStr">
        <is>
          <t>Balance sheet (detail)</t>
        </is>
      </c>
      <c r="B83" s="26" t="inlineStr">
        <is>
          <t>32. Total net assets / fund balances</t>
        </is>
      </c>
      <c r="C83" s="26" t="inlineStr">
        <is>
          <t>FY2023</t>
        </is>
      </c>
      <c r="D83" s="9" t="n">
        <v>138234</v>
      </c>
      <c r="E83" s="9">
        <f>'Balance sheet (detail)'!C19</f>
        <v/>
      </c>
      <c r="F83" s="9">
        <f>E83-D83</f>
        <v/>
      </c>
    </row>
    <row r="84">
      <c r="A84" s="26" t="inlineStr">
        <is>
          <t>Balance sheet (detail)</t>
        </is>
      </c>
      <c r="B84" s="26" t="inlineStr">
        <is>
          <t>32. Total net assets / fund balances</t>
        </is>
      </c>
      <c r="C84" s="26" t="inlineStr">
        <is>
          <t>FY2024</t>
        </is>
      </c>
      <c r="D84" s="9" t="n">
        <v>128007</v>
      </c>
      <c r="E84" s="9">
        <f>'Balance sheet (detail)'!D19</f>
        <v/>
      </c>
      <c r="F84" s="9">
        <f>E84-D84</f>
        <v/>
      </c>
    </row>
    <row r="85">
      <c r="A85" s="26" t="inlineStr">
        <is>
          <t>Balance sheet (detail)</t>
        </is>
      </c>
      <c r="B85" s="26" t="inlineStr">
        <is>
          <t>Balance sheet identity: line 16 = line 26 + line 32 (EOY)</t>
        </is>
      </c>
      <c r="C85" s="26" t="inlineStr">
        <is>
          <t>FY2022</t>
        </is>
      </c>
      <c r="D85" s="9">
        <f>'Balance sheet (detail)'!B9</f>
        <v/>
      </c>
      <c r="E85" s="9">
        <f>SUM('Balance sheet (detail)'!B13,'Balance sheet (detail)'!B19)</f>
        <v/>
      </c>
      <c r="F85" s="9">
        <f>E85-D85</f>
        <v/>
      </c>
    </row>
    <row r="86">
      <c r="A86" s="26" t="inlineStr">
        <is>
          <t>Balance sheet (detail)</t>
        </is>
      </c>
      <c r="B86" s="26" t="inlineStr">
        <is>
          <t>Balance sheet identity: line 16 = line 26 + line 32 (EOY)</t>
        </is>
      </c>
      <c r="C86" s="26" t="inlineStr">
        <is>
          <t>FY2023</t>
        </is>
      </c>
      <c r="D86" s="9">
        <f>'Balance sheet (detail)'!C9</f>
        <v/>
      </c>
      <c r="E86" s="9">
        <f>SUM('Balance sheet (detail)'!C13,'Balance sheet (detail)'!C19)</f>
        <v/>
      </c>
      <c r="F86" s="9">
        <f>E86-D86</f>
        <v/>
      </c>
    </row>
    <row r="87">
      <c r="A87" s="26" t="inlineStr">
        <is>
          <t>Balance sheet (detail)</t>
        </is>
      </c>
      <c r="B87" s="26" t="inlineStr">
        <is>
          <t>Balance sheet identity: line 16 = line 26 + line 32 (EOY)</t>
        </is>
      </c>
      <c r="C87" s="26" t="inlineStr">
        <is>
          <t>FY2024</t>
        </is>
      </c>
      <c r="D87" s="9">
        <f>'Balance sheet (detail)'!D9</f>
        <v/>
      </c>
      <c r="E87" s="9">
        <f>SUM('Balance sheet (detail)'!D13,'Balance sheet (detail)'!D19)</f>
        <v/>
      </c>
      <c r="F87" s="9">
        <f>E87-D87</f>
        <v/>
      </c>
    </row>
    <row r="88">
      <c r="A88" s="26" t="inlineStr">
        <is>
          <t>Net-assets reconciliation</t>
        </is>
      </c>
      <c r="B88" s="26" t="inlineStr">
        <is>
          <t>10. Net assets, end of year</t>
        </is>
      </c>
      <c r="C88" s="26" t="inlineStr">
        <is>
          <t>FY2022</t>
        </is>
      </c>
      <c r="D88" s="9" t="n">
        <v>102171</v>
      </c>
      <c r="E88" s="9">
        <f>'Net-assets reconciliation'!B11</f>
        <v/>
      </c>
      <c r="F88" s="9">
        <f>E88-D88</f>
        <v/>
      </c>
    </row>
    <row r="89">
      <c r="A89" s="26" t="inlineStr">
        <is>
          <t>Net-assets reconciliation</t>
        </is>
      </c>
      <c r="B89" s="26" t="inlineStr">
        <is>
          <t>10. Net assets, end of year</t>
        </is>
      </c>
      <c r="C89" s="26" t="inlineStr">
        <is>
          <t>FY2023</t>
        </is>
      </c>
      <c r="D89" s="9" t="n">
        <v>138234</v>
      </c>
      <c r="E89" s="9">
        <f>'Net-assets reconciliation'!C11</f>
        <v/>
      </c>
      <c r="F89" s="9">
        <f>E89-D89</f>
        <v/>
      </c>
    </row>
    <row r="90">
      <c r="A90" s="26" t="inlineStr">
        <is>
          <t>Net-assets reconciliation</t>
        </is>
      </c>
      <c r="B90" s="26" t="inlineStr">
        <is>
          <t>10. Net assets, end of year</t>
        </is>
      </c>
      <c r="C90" s="26" t="inlineStr">
        <is>
          <t>FY2024</t>
        </is>
      </c>
      <c r="D90" s="9" t="n">
        <v>128007</v>
      </c>
      <c r="E90" s="9">
        <f>'Net-assets reconciliation'!D11</f>
        <v/>
      </c>
      <c r="F90" s="9">
        <f>E90-D90</f>
        <v/>
      </c>
    </row>
    <row r="92">
      <c r="A92" s="29" t="inlineStr">
        <is>
          <t>D. Preparer / auditor trail (one row per fiscal year, as filed)</t>
        </is>
      </c>
      <c r="B92" s="7" t="n"/>
      <c r="C92" s="7" t="n"/>
      <c r="D92" s="7" t="n"/>
      <c r="E92" s="7" t="n"/>
      <c r="F92" s="7" t="n"/>
      <c r="G92" s="7" t="n"/>
      <c r="H92" s="7" t="n"/>
      <c r="I92" s="7" t="n"/>
      <c r="J92" s="7" t="n"/>
      <c r="K92" s="7" t="n"/>
    </row>
    <row r="93">
      <c r="A93" s="5" t="inlineStr">
        <is>
          <t>Fiscal year</t>
        </is>
      </c>
      <c r="B93" s="5" t="inlineStr">
        <is>
          <t>Paid preparer</t>
        </is>
      </c>
      <c r="C93" s="5" t="inlineStr">
        <is>
          <t>Preparer firm</t>
        </is>
      </c>
      <c r="D93" s="5" t="inlineStr">
        <is>
          <t>Independent auditor</t>
        </is>
      </c>
      <c r="E93" s="5" t="inlineStr">
        <is>
          <t>Citation</t>
        </is>
      </c>
    </row>
    <row r="94" ht="42" customHeight="1">
      <c r="A94" s="27" t="inlineStr">
        <is>
          <t>FY2022</t>
        </is>
      </c>
      <c r="B94" s="8" t="inlineStr">
        <is>
          <t>MICHAEL D CHRISTOFERSON CPA</t>
        </is>
      </c>
      <c r="C94" s="8" t="inlineStr">
        <is>
          <t>GLENN BURDETTE INC</t>
        </is>
      </c>
      <c r="D94" s="30" t="inlineStr">
        <is>
          <t>not reported</t>
        </is>
      </c>
      <c r="E94" s="20" t="inlineStr">
        <is>
          <t>Form 990 Return Header, Paid Preparer block (return_header.preparer_person_name / preparer_firm_name); auditor: Part XII line 2 reports audited financial statements but does not name the firm.</t>
        </is>
      </c>
    </row>
    <row r="95" ht="42" customHeight="1">
      <c r="A95" s="27" t="inlineStr">
        <is>
          <t>FY2023</t>
        </is>
      </c>
      <c r="B95" s="8" t="inlineStr">
        <is>
          <t>MICHAEL D CHRISTOFERSON CPA</t>
        </is>
      </c>
      <c r="C95" s="8" t="inlineStr">
        <is>
          <t>GLENN BURDETTE INC</t>
        </is>
      </c>
      <c r="D95" s="30" t="inlineStr">
        <is>
          <t>not reported</t>
        </is>
      </c>
      <c r="E95" s="20" t="inlineStr">
        <is>
          <t>Form 990 Return Header, Paid Preparer block (return_header.preparer_person_name / preparer_firm_name); auditor: Part XII line 2 reports audited financial statements but does not name the firm.</t>
        </is>
      </c>
    </row>
    <row r="96" ht="42" customHeight="1">
      <c r="A96" s="27" t="inlineStr">
        <is>
          <t>FY2024</t>
        </is>
      </c>
      <c r="B96" s="8" t="inlineStr">
        <is>
          <t>MICHAEL D CHRISTOFERSON CPA</t>
        </is>
      </c>
      <c r="C96" s="8" t="inlineStr">
        <is>
          <t>GLENN BURDETTE</t>
        </is>
      </c>
      <c r="D96" s="30" t="inlineStr">
        <is>
          <t>not reported</t>
        </is>
      </c>
      <c r="E96" s="20" t="inlineStr">
        <is>
          <t>Form 990 Return Header, Paid Preparer block (return_header.preparer_person_name / preparer_firm_name); auditor: Part XII line 2 reports audited financial statements but does not name the firm.</t>
        </is>
      </c>
    </row>
    <row r="98" ht="42" customHeight="1">
      <c r="A9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98:K98"/>
    <mergeCell ref="A5:K5"/>
    <mergeCell ref="A1:K1"/>
  </mergeCells>
  <conditionalFormatting sqref="F70:F9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