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Anomaly Flags" sheetId="17" state="visible" r:id="rId17"/>
    <sheet name="Sources &amp; audit" sheetId="18" state="visible" r:id="rId18"/>
    <sheet name="Provenance" sheetId="19" state="visible" r:id="rId19"/>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i val="1"/>
      <color rgb="00A6A6A6"/>
      <sz val="10"/>
    </font>
    <font>
      <name val="Calibri"/>
      <i val="1"/>
      <color rgb="007F4F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10" fillId="6" borderId="1" applyAlignment="1" pivotButton="0" quotePrefix="0" xfId="0">
      <alignment horizontal="left" vertical="top" wrapText="1"/>
    </xf>
    <xf numFmtId="0" fontId="5" fillId="3" borderId="0" applyAlignment="1" pivotButton="0" quotePrefix="0" xfId="0">
      <alignment horizontal="left" vertical="center"/>
    </xf>
    <xf numFmtId="0" fontId="9"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Manon Manor Mutual Water Company</t>
        </is>
      </c>
    </row>
    <row r="2">
      <c r="A2" s="2" t="inlineStr">
        <is>
          <t>Financial Summary - multi-year overview (USD)</t>
        </is>
      </c>
    </row>
    <row r="3">
      <c r="A3" s="2" t="inlineStr">
        <is>
          <t>Entity ID: cawc_0095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FY2021</t>
        </is>
      </c>
      <c r="C8" s="5" t="inlineStr">
        <is>
          <t>FY2022</t>
        </is>
      </c>
      <c r="D8" s="5" t="inlineStr">
        <is>
          <t>FY2023</t>
        </is>
      </c>
      <c r="E8" s="5" t="inlineStr">
        <is>
          <t>FY2024</t>
        </is>
      </c>
      <c r="F8" s="5" t="inlineStr">
        <is>
          <t>FY2025</t>
        </is>
      </c>
    </row>
    <row r="9">
      <c r="A9" s="6" t="inlineStr">
        <is>
          <t>Operating results (USD)</t>
        </is>
      </c>
      <c r="B9" s="7" t="n"/>
      <c r="C9" s="7" t="n"/>
      <c r="D9" s="7" t="n"/>
      <c r="E9" s="7" t="n"/>
      <c r="F9" s="7" t="n"/>
    </row>
    <row r="10">
      <c r="A10" s="8" t="inlineStr">
        <is>
          <t xml:space="preserve">    Total revenue</t>
        </is>
      </c>
      <c r="B10" s="9" t="n">
        <v>62196</v>
      </c>
      <c r="C10" s="9" t="n">
        <v>98721</v>
      </c>
      <c r="D10" s="9" t="n">
        <v>124652</v>
      </c>
      <c r="E10" s="9" t="n">
        <v>0</v>
      </c>
      <c r="F10" s="9" t="n">
        <v>134085</v>
      </c>
    </row>
    <row r="11">
      <c r="A11" s="8" t="inlineStr">
        <is>
          <t xml:space="preserve">    Total expenses</t>
        </is>
      </c>
      <c r="B11" s="9" t="n">
        <v>66652</v>
      </c>
      <c r="C11" s="9" t="n">
        <v>228393</v>
      </c>
      <c r="D11" s="9" t="n">
        <v>133189</v>
      </c>
      <c r="E11" s="9" t="n">
        <v>112495</v>
      </c>
      <c r="F11" s="9" t="n">
        <v>116392</v>
      </c>
    </row>
    <row r="12">
      <c r="A12" s="10" t="inlineStr">
        <is>
          <t xml:space="preserve">    Net income</t>
        </is>
      </c>
      <c r="B12" s="11" t="n">
        <v>-4456</v>
      </c>
      <c r="C12" s="11" t="n">
        <v>-129672</v>
      </c>
      <c r="D12" s="11" t="n">
        <v>-8537</v>
      </c>
      <c r="E12" s="11" t="n">
        <v>-112495</v>
      </c>
      <c r="F12" s="11" t="n">
        <v>17693</v>
      </c>
    </row>
    <row r="14">
      <c r="A14" s="6" t="inlineStr">
        <is>
          <t>Financial position (USD, end of year)</t>
        </is>
      </c>
      <c r="B14" s="7" t="n"/>
      <c r="C14" s="7" t="n"/>
      <c r="D14" s="7" t="n"/>
      <c r="E14" s="7" t="n"/>
      <c r="F14" s="7" t="n"/>
    </row>
    <row r="15">
      <c r="A15" s="8" t="inlineStr">
        <is>
          <t xml:space="preserve">    Total assets</t>
        </is>
      </c>
      <c r="B15" s="9" t="n">
        <v>100949</v>
      </c>
      <c r="C15" s="9" t="n">
        <v>21277</v>
      </c>
      <c r="D15" s="9" t="n">
        <v>12740</v>
      </c>
      <c r="E15" s="9" t="n">
        <v>26495</v>
      </c>
      <c r="F15" s="9" t="n">
        <v>44188</v>
      </c>
    </row>
    <row r="16">
      <c r="A16" s="8" t="inlineStr">
        <is>
          <t xml:space="preserve">    Total liabilities</t>
        </is>
      </c>
      <c r="B16" s="9" t="n">
        <v>0</v>
      </c>
      <c r="C16" s="9" t="n">
        <v>0</v>
      </c>
      <c r="D16" s="9" t="n">
        <v>0</v>
      </c>
      <c r="E16" s="9" t="n">
        <v>0</v>
      </c>
      <c r="F16" s="9" t="n">
        <v>0</v>
      </c>
    </row>
    <row r="17">
      <c r="A17" s="10" t="inlineStr">
        <is>
          <t xml:space="preserve">    Net assets</t>
        </is>
      </c>
      <c r="B17" s="11" t="n">
        <v>100949</v>
      </c>
      <c r="C17" s="11" t="n">
        <v>21277</v>
      </c>
      <c r="D17" s="11" t="n">
        <v>12740</v>
      </c>
      <c r="E17" s="11" t="n">
        <v>26495</v>
      </c>
      <c r="F17" s="11" t="n">
        <v>44188</v>
      </c>
    </row>
    <row r="19">
      <c r="A19" s="6" t="inlineStr">
        <is>
          <t>Headline ratios</t>
        </is>
      </c>
      <c r="B19" s="7" t="n"/>
      <c r="C19" s="7" t="n"/>
      <c r="D19" s="7" t="n"/>
      <c r="E19" s="7" t="n"/>
      <c r="F19" s="7" t="n"/>
    </row>
    <row r="20">
      <c r="A20" s="8" t="inlineStr">
        <is>
          <t xml:space="preserve">    Operating margin</t>
        </is>
      </c>
      <c r="B20" s="12" t="n">
        <v>-0.0716444787446138</v>
      </c>
      <c r="C20" s="12" t="n">
        <v>-1.313519919773908</v>
      </c>
      <c r="D20" s="12" t="n">
        <v>-0.06848666688059558</v>
      </c>
      <c r="E20" s="12" t="n"/>
      <c r="F20" s="12" t="n">
        <v>0.1319536115150837</v>
      </c>
    </row>
    <row r="21">
      <c r="A21" s="8" t="inlineStr">
        <is>
          <t xml:space="preserve">    Revenue growth (YoY)</t>
        </is>
      </c>
      <c r="B21" s="12" t="n"/>
      <c r="C21" s="12" t="n"/>
      <c r="D21" s="12" t="n"/>
      <c r="E21" s="12" t="n"/>
      <c r="F21" s="12" t="n">
        <v>0</v>
      </c>
    </row>
    <row r="22">
      <c r="A22" s="8" t="inlineStr">
        <is>
          <t xml:space="preserve">    Return on assets</t>
        </is>
      </c>
      <c r="B22" s="12" t="n">
        <v>-0.04414110095196584</v>
      </c>
      <c r="C22" s="12" t="n">
        <v>-6.094468205104103</v>
      </c>
      <c r="D22" s="12" t="n">
        <v>-0.6700941915227629</v>
      </c>
      <c r="E22" s="12" t="n">
        <v>-4.24589545197207</v>
      </c>
      <c r="F22" s="12" t="n">
        <v>0.400402824296189</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Manon Manor Mutual Water Company</t>
        </is>
      </c>
    </row>
    <row r="2">
      <c r="A2" s="2" t="inlineStr">
        <is>
          <t>Financial Statements - income statement, balance sheet, cash flow, member income test (USD)</t>
        </is>
      </c>
    </row>
    <row r="3">
      <c r="A3" s="2" t="inlineStr">
        <is>
          <t>Entity ID: cawc_0095   |   Fiscal year ends December 31.</t>
        </is>
      </c>
    </row>
    <row r="5">
      <c r="A5" s="6" t="inlineStr">
        <is>
          <t>INCOME STATEMENT - as reported (USD)</t>
        </is>
      </c>
      <c r="B5" s="7" t="n"/>
      <c r="C5" s="7" t="n"/>
      <c r="D5" s="7" t="n"/>
      <c r="E5" s="7" t="n"/>
      <c r="F5" s="7" t="n"/>
    </row>
    <row r="6">
      <c r="A6" s="4" t="inlineStr">
        <is>
          <t>Line item</t>
        </is>
      </c>
      <c r="B6" s="5" t="inlineStr">
        <is>
          <t>FY2021</t>
        </is>
      </c>
      <c r="C6" s="5" t="inlineStr">
        <is>
          <t>FY2022</t>
        </is>
      </c>
      <c r="D6" s="5" t="inlineStr">
        <is>
          <t>FY2023</t>
        </is>
      </c>
      <c r="E6" s="5" t="inlineStr">
        <is>
          <t>FY2024</t>
        </is>
      </c>
      <c r="F6" s="5" t="inlineStr">
        <is>
          <t>FY2025</t>
        </is>
      </c>
    </row>
    <row r="7">
      <c r="A7" s="6" t="inlineStr">
        <is>
          <t>Revenue</t>
        </is>
      </c>
      <c r="B7" s="7" t="n"/>
      <c r="C7" s="7" t="n"/>
      <c r="D7" s="7" t="n"/>
      <c r="E7" s="7" t="n"/>
      <c r="F7" s="7" t="n"/>
    </row>
    <row r="8">
      <c r="A8" s="8" t="inlineStr">
        <is>
          <t xml:space="preserve">    Program service revenue</t>
        </is>
      </c>
      <c r="B8" s="9" t="n"/>
      <c r="C8" s="9" t="n"/>
      <c r="D8" s="9" t="n"/>
      <c r="E8" s="9" t="n">
        <v>0</v>
      </c>
      <c r="F8" s="9" t="n">
        <v>0</v>
      </c>
    </row>
    <row r="9">
      <c r="A9" s="8" t="inlineStr">
        <is>
          <t xml:space="preserve">    Investment income</t>
        </is>
      </c>
      <c r="B9" s="9" t="n"/>
      <c r="C9" s="9" t="n"/>
      <c r="D9" s="9" t="n"/>
      <c r="E9" s="9" t="n"/>
      <c r="F9" s="9" t="n"/>
    </row>
    <row r="10">
      <c r="A10" s="8" t="inlineStr">
        <is>
          <t xml:space="preserve">    Net rental income</t>
        </is>
      </c>
      <c r="B10" s="9" t="n"/>
      <c r="C10" s="9" t="n"/>
      <c r="D10" s="9" t="n"/>
      <c r="E10" s="9" t="n"/>
      <c r="F10" s="9" t="n"/>
    </row>
    <row r="11">
      <c r="A11" s="8" t="inlineStr">
        <is>
          <t xml:space="preserve">    Net gain/(loss) on investment sales</t>
        </is>
      </c>
      <c r="B11" s="9" t="n"/>
      <c r="C11" s="9" t="n"/>
      <c r="D11" s="9" t="n"/>
      <c r="E11" s="9" t="n"/>
      <c r="F11" s="9" t="n"/>
    </row>
    <row r="12">
      <c r="A12" s="8" t="inlineStr">
        <is>
          <t xml:space="preserve">    Other revenue</t>
        </is>
      </c>
      <c r="B12" s="9" t="n"/>
      <c r="C12" s="9" t="n"/>
      <c r="D12" s="9" t="n"/>
      <c r="E12" s="9" t="n">
        <v>0</v>
      </c>
      <c r="F12" s="9" t="n">
        <v>0</v>
      </c>
    </row>
    <row r="13">
      <c r="A13" s="8" t="inlineStr">
        <is>
          <t xml:space="preserve">    Contributions &amp; grants</t>
        </is>
      </c>
      <c r="B13" s="9" t="n"/>
      <c r="C13" s="9" t="n"/>
      <c r="D13" s="9" t="n"/>
      <c r="E13" s="9" t="n">
        <v>0</v>
      </c>
      <c r="F13" s="9" t="n">
        <v>134085</v>
      </c>
    </row>
    <row r="14">
      <c r="A14" s="10" t="inlineStr">
        <is>
          <t>Total revenue</t>
        </is>
      </c>
      <c r="B14" s="11" t="n"/>
      <c r="C14" s="11" t="n"/>
      <c r="D14" s="11" t="n"/>
      <c r="E14" s="11" t="n">
        <v>0</v>
      </c>
      <c r="F14" s="11" t="n">
        <v>134085</v>
      </c>
    </row>
    <row r="16">
      <c r="A16" s="6" t="inlineStr">
        <is>
          <t>Expenses</t>
        </is>
      </c>
      <c r="B16" s="7" t="n"/>
      <c r="C16" s="7" t="n"/>
      <c r="D16" s="7" t="n"/>
      <c r="E16" s="7" t="n"/>
      <c r="F16" s="7" t="n"/>
    </row>
    <row r="17">
      <c r="A17" s="8" t="inlineStr">
        <is>
          <t xml:space="preserve">    Depreciation</t>
        </is>
      </c>
      <c r="B17" s="9" t="n"/>
      <c r="C17" s="9" t="n"/>
      <c r="D17" s="9" t="n"/>
      <c r="E17" s="9" t="n">
        <v>0</v>
      </c>
      <c r="F17" s="9" t="n"/>
    </row>
    <row r="18">
      <c r="A18" s="8" t="inlineStr">
        <is>
          <t xml:space="preserve">    Interest expense</t>
        </is>
      </c>
      <c r="B18" s="9" t="n"/>
      <c r="C18" s="9" t="n"/>
      <c r="D18" s="9" t="n"/>
      <c r="E18" s="9" t="n">
        <v>0</v>
      </c>
      <c r="F18" s="9" t="n"/>
    </row>
    <row r="19">
      <c r="A19" s="10" t="inlineStr">
        <is>
          <t>Total expenses</t>
        </is>
      </c>
      <c r="B19" s="11" t="n">
        <v>66652</v>
      </c>
      <c r="C19" s="11" t="n">
        <v>228393</v>
      </c>
      <c r="D19" s="11" t="n">
        <v>133189</v>
      </c>
      <c r="E19" s="11" t="n">
        <v>112495</v>
      </c>
      <c r="F19" s="11" t="n">
        <v>116392</v>
      </c>
    </row>
    <row r="21">
      <c r="A21" s="10" t="inlineStr">
        <is>
          <t>Net income</t>
        </is>
      </c>
      <c r="B21" s="11" t="n">
        <v>-4456</v>
      </c>
      <c r="C21" s="11" t="n">
        <v>-129672</v>
      </c>
      <c r="D21" s="11" t="n">
        <v>-8537</v>
      </c>
      <c r="E21" s="11" t="n">
        <v>-112495</v>
      </c>
      <c r="F21" s="11" t="n">
        <v>17693</v>
      </c>
    </row>
    <row r="24">
      <c r="A24" s="6" t="inlineStr">
        <is>
          <t>BALANCE SHEET - as reported (USD, end of year)</t>
        </is>
      </c>
      <c r="B24" s="7" t="n"/>
      <c r="C24" s="7" t="n"/>
      <c r="D24" s="7" t="n"/>
      <c r="E24" s="7" t="n"/>
      <c r="F24" s="7" t="n"/>
    </row>
    <row r="25">
      <c r="A25" s="4" t="inlineStr">
        <is>
          <t>Line item</t>
        </is>
      </c>
      <c r="B25" s="5" t="inlineStr">
        <is>
          <t>FY2021</t>
        </is>
      </c>
      <c r="C25" s="5" t="inlineStr">
        <is>
          <t>FY2022</t>
        </is>
      </c>
      <c r="D25" s="5" t="inlineStr">
        <is>
          <t>FY2023</t>
        </is>
      </c>
      <c r="E25" s="5" t="inlineStr">
        <is>
          <t>FY2024</t>
        </is>
      </c>
      <c r="F25" s="5" t="inlineStr">
        <is>
          <t>FY2025</t>
        </is>
      </c>
    </row>
    <row r="26">
      <c r="A26" s="6" t="inlineStr">
        <is>
          <t>Assets</t>
        </is>
      </c>
      <c r="B26" s="7" t="n"/>
      <c r="C26" s="7" t="n"/>
      <c r="D26" s="7" t="n"/>
      <c r="E26" s="7" t="n"/>
      <c r="F26" s="7" t="n"/>
    </row>
    <row r="27">
      <c r="A27" s="8" t="inlineStr">
        <is>
          <t xml:space="preserve">    Cash</t>
        </is>
      </c>
      <c r="B27" s="9" t="n">
        <v>100949</v>
      </c>
      <c r="C27" s="9" t="n">
        <v>21277</v>
      </c>
      <c r="D27" s="9" t="n">
        <v>12740</v>
      </c>
      <c r="E27" s="9" t="n">
        <v>26495</v>
      </c>
      <c r="F27" s="9" t="n">
        <v>44188</v>
      </c>
    </row>
    <row r="28">
      <c r="A28" s="8" t="inlineStr">
        <is>
          <t xml:space="preserve">    Savings &amp; temporary investments</t>
        </is>
      </c>
      <c r="B28" s="9" t="n"/>
      <c r="C28" s="9" t="n"/>
      <c r="D28" s="9" t="n"/>
      <c r="E28" s="9" t="n"/>
      <c r="F28" s="9" t="n"/>
    </row>
    <row r="29">
      <c r="A29" s="8" t="inlineStr">
        <is>
          <t xml:space="preserve">    Accounts receivable</t>
        </is>
      </c>
      <c r="B29" s="9" t="n"/>
      <c r="C29" s="9" t="n"/>
      <c r="D29" s="9" t="n"/>
      <c r="E29" s="9" t="n"/>
      <c r="F29" s="9" t="n"/>
    </row>
    <row r="30">
      <c r="A30" s="8" t="inlineStr">
        <is>
          <t xml:space="preserve">    Inventories</t>
        </is>
      </c>
      <c r="B30" s="9" t="n"/>
      <c r="C30" s="9" t="n"/>
      <c r="D30" s="9" t="n"/>
      <c r="E30" s="9" t="n"/>
      <c r="F30" s="9" t="n"/>
    </row>
    <row r="31">
      <c r="A31" s="8" t="inlineStr">
        <is>
          <t xml:space="preserve">    Prepaid expenses</t>
        </is>
      </c>
      <c r="B31" s="9" t="n"/>
      <c r="C31" s="9" t="n"/>
      <c r="D31" s="9" t="n"/>
      <c r="E31" s="9" t="n"/>
      <c r="F31" s="9" t="n"/>
    </row>
    <row r="32">
      <c r="A32" s="8" t="inlineStr">
        <is>
          <t xml:space="preserve">    Property, plant &amp; equipment (gross)</t>
        </is>
      </c>
      <c r="B32" s="9" t="n"/>
      <c r="C32" s="9" t="n"/>
      <c r="D32" s="9" t="n"/>
      <c r="E32" s="9" t="n"/>
      <c r="F32" s="9" t="n"/>
    </row>
    <row r="33">
      <c r="A33" s="8" t="inlineStr">
        <is>
          <t xml:space="preserve">    Less: accumulated depreciation</t>
        </is>
      </c>
      <c r="B33" s="9" t="n"/>
      <c r="C33" s="9" t="n"/>
      <c r="D33" s="9" t="n"/>
      <c r="E33" s="9" t="n"/>
      <c r="F33" s="9" t="n"/>
    </row>
    <row r="34">
      <c r="A34" s="10" t="inlineStr">
        <is>
          <t xml:space="preserve">    Net property, plant &amp; equipment</t>
        </is>
      </c>
      <c r="B34" s="11" t="n">
        <v>0</v>
      </c>
      <c r="C34" s="11" t="n">
        <v>0</v>
      </c>
      <c r="D34" s="11" t="n">
        <v>0</v>
      </c>
      <c r="E34" s="11" t="n"/>
      <c r="F34" s="11" t="n"/>
    </row>
    <row r="35">
      <c r="A35" s="10" t="inlineStr">
        <is>
          <t>Total assets</t>
        </is>
      </c>
      <c r="B35" s="11" t="n">
        <v>100949</v>
      </c>
      <c r="C35" s="11" t="n">
        <v>21277</v>
      </c>
      <c r="D35" s="11" t="n">
        <v>12740</v>
      </c>
      <c r="E35" s="11" t="n">
        <v>26495</v>
      </c>
      <c r="F35" s="11" t="n">
        <v>44188</v>
      </c>
    </row>
    <row r="37">
      <c r="A37" s="6" t="inlineStr">
        <is>
          <t>Liabilities</t>
        </is>
      </c>
      <c r="B37" s="7" t="n"/>
      <c r="C37" s="7" t="n"/>
      <c r="D37" s="7" t="n"/>
      <c r="E37" s="7" t="n"/>
      <c r="F37" s="7" t="n"/>
    </row>
    <row r="38">
      <c r="A38" s="8" t="inlineStr">
        <is>
          <t xml:space="preserve">    Accounts payable</t>
        </is>
      </c>
      <c r="B38" s="9" t="n"/>
      <c r="C38" s="9" t="n"/>
      <c r="D38" s="9" t="n"/>
      <c r="E38" s="9" t="n"/>
      <c r="F38" s="9" t="n"/>
    </row>
    <row r="39">
      <c r="A39" s="8" t="inlineStr">
        <is>
          <t xml:space="preserve">    Mortgages &amp; notes payable</t>
        </is>
      </c>
      <c r="B39" s="9" t="n"/>
      <c r="C39" s="9" t="n"/>
      <c r="D39" s="9" t="n"/>
      <c r="E39" s="9" t="n"/>
      <c r="F39" s="9" t="n"/>
    </row>
    <row r="40">
      <c r="A40" s="10" t="inlineStr">
        <is>
          <t>Total liabilities</t>
        </is>
      </c>
      <c r="B40" s="11" t="n">
        <v>0</v>
      </c>
      <c r="C40" s="11" t="n">
        <v>0</v>
      </c>
      <c r="D40" s="11" t="n">
        <v>0</v>
      </c>
      <c r="E40" s="11" t="n">
        <v>0</v>
      </c>
      <c r="F40" s="11" t="n">
        <v>0</v>
      </c>
    </row>
    <row r="42">
      <c r="A42" s="6" t="inlineStr">
        <is>
          <t>Net Assets / Equity</t>
        </is>
      </c>
      <c r="B42" s="7" t="n"/>
      <c r="C42" s="7" t="n"/>
      <c r="D42" s="7" t="n"/>
      <c r="E42" s="7" t="n"/>
      <c r="F42" s="7" t="n"/>
    </row>
    <row r="43">
      <c r="A43" s="8" t="inlineStr">
        <is>
          <t xml:space="preserve">    Capital stock</t>
        </is>
      </c>
      <c r="B43" s="9" t="n"/>
      <c r="C43" s="9" t="n"/>
      <c r="D43" s="9" t="n"/>
      <c r="E43" s="9" t="n">
        <v>0</v>
      </c>
      <c r="F43" s="9" t="n">
        <v>0</v>
      </c>
    </row>
    <row r="44">
      <c r="A44" s="8" t="inlineStr">
        <is>
          <t xml:space="preserve">    Paid-in capital</t>
        </is>
      </c>
      <c r="B44" s="9" t="n"/>
      <c r="C44" s="9" t="n"/>
      <c r="D44" s="9" t="n"/>
      <c r="E44" s="9" t="n">
        <v>0</v>
      </c>
      <c r="F44" s="9" t="n">
        <v>0</v>
      </c>
    </row>
    <row r="45">
      <c r="A45" s="8" t="inlineStr">
        <is>
          <t xml:space="preserve">    Retained earnings</t>
        </is>
      </c>
      <c r="B45" s="9" t="n"/>
      <c r="C45" s="9" t="n"/>
      <c r="D45" s="9" t="n"/>
      <c r="E45" s="9" t="n">
        <v>26495</v>
      </c>
      <c r="F45" s="9" t="n">
        <v>44188</v>
      </c>
    </row>
    <row r="46">
      <c r="A46" s="10" t="inlineStr">
        <is>
          <t>Net assets</t>
        </is>
      </c>
      <c r="B46" s="11" t="n">
        <v>100949</v>
      </c>
      <c r="C46" s="11" t="n">
        <v>21277</v>
      </c>
      <c r="D46" s="11" t="n">
        <v>12740</v>
      </c>
      <c r="E46" s="11" t="n">
        <v>26495</v>
      </c>
      <c r="F46" s="11" t="n">
        <v>44188</v>
      </c>
    </row>
    <row r="49">
      <c r="A49" s="6" t="inlineStr">
        <is>
          <t>CASH FLOW - derived proxy (USD)</t>
        </is>
      </c>
      <c r="B49" s="7" t="n"/>
      <c r="C49" s="7" t="n"/>
      <c r="D49" s="7" t="n"/>
      <c r="E49" s="7" t="n"/>
      <c r="F49" s="7" t="n"/>
    </row>
    <row r="50">
      <c r="A50" s="4" t="inlineStr">
        <is>
          <t>Proxy line</t>
        </is>
      </c>
      <c r="B50" s="5" t="inlineStr">
        <is>
          <t>FY2021</t>
        </is>
      </c>
      <c r="C50" s="5" t="inlineStr">
        <is>
          <t>FY2022</t>
        </is>
      </c>
      <c r="D50" s="5" t="inlineStr">
        <is>
          <t>FY2023</t>
        </is>
      </c>
      <c r="E50" s="5" t="inlineStr">
        <is>
          <t>FY2024</t>
        </is>
      </c>
      <c r="F50" s="5" t="inlineStr">
        <is>
          <t>FY2025</t>
        </is>
      </c>
    </row>
    <row r="51">
      <c r="A51" s="6" t="inlineStr">
        <is>
          <t>Operating</t>
        </is>
      </c>
      <c r="B51" s="7" t="n"/>
      <c r="C51" s="7" t="n"/>
      <c r="D51" s="7" t="n"/>
      <c r="E51" s="7" t="n"/>
      <c r="F51" s="7" t="n"/>
    </row>
    <row r="52">
      <c r="A52" s="8" t="inlineStr">
        <is>
          <t xml:space="preserve">    Net income</t>
        </is>
      </c>
      <c r="B52" s="9" t="n">
        <v>-4456</v>
      </c>
      <c r="C52" s="9" t="n">
        <v>-129672</v>
      </c>
      <c r="D52" s="9" t="n">
        <v>-8537</v>
      </c>
      <c r="E52" s="9" t="n">
        <v>-112495</v>
      </c>
      <c r="F52" s="9" t="n">
        <v>17693</v>
      </c>
    </row>
    <row r="53">
      <c r="A53" s="8" t="inlineStr">
        <is>
          <t xml:space="preserve">    + Depreciation (reported)</t>
        </is>
      </c>
      <c r="B53" s="9" t="n"/>
      <c r="C53" s="9" t="n"/>
      <c r="D53" s="9" t="n"/>
      <c r="E53" s="9" t="n">
        <v>0</v>
      </c>
      <c r="F53" s="9" t="n"/>
    </row>
    <row r="54">
      <c r="A54" s="8" t="inlineStr">
        <is>
          <t xml:space="preserve">    − Δ Accounts receivable</t>
        </is>
      </c>
      <c r="B54" s="9" t="n"/>
      <c r="C54" s="9" t="n"/>
      <c r="D54" s="9" t="n"/>
      <c r="E54" s="9" t="n"/>
      <c r="F54" s="9" t="n"/>
    </row>
    <row r="55">
      <c r="A55" s="8" t="inlineStr">
        <is>
          <t xml:space="preserve">    − Δ Inventories</t>
        </is>
      </c>
      <c r="B55" s="9" t="n"/>
      <c r="C55" s="9" t="n"/>
      <c r="D55" s="9" t="n"/>
      <c r="E55" s="9" t="n"/>
      <c r="F55" s="9" t="n"/>
    </row>
    <row r="56">
      <c r="A56" s="8" t="inlineStr">
        <is>
          <t xml:space="preserve">    − Δ Prepaid expenses</t>
        </is>
      </c>
      <c r="B56" s="9" t="n"/>
      <c r="C56" s="9" t="n"/>
      <c r="D56" s="9" t="n"/>
      <c r="E56" s="9" t="n"/>
      <c r="F56" s="9" t="n"/>
    </row>
    <row r="57">
      <c r="A57" s="8" t="inlineStr">
        <is>
          <t xml:space="preserve">    + Δ Accounts payable</t>
        </is>
      </c>
      <c r="B57" s="9" t="n"/>
      <c r="C57" s="9" t="n"/>
      <c r="D57" s="9" t="n"/>
      <c r="E57" s="9" t="n"/>
      <c r="F57" s="9" t="n"/>
    </row>
    <row r="58">
      <c r="A58" s="10" t="inlineStr">
        <is>
          <t xml:space="preserve">    Operating cash flow proxy</t>
        </is>
      </c>
      <c r="B58" s="11" t="n"/>
      <c r="C58" s="11" t="n">
        <v>-129672</v>
      </c>
      <c r="D58" s="11" t="n">
        <v>-8537</v>
      </c>
      <c r="E58" s="11" t="n">
        <v>-112495</v>
      </c>
      <c r="F58" s="11" t="n">
        <v>17693</v>
      </c>
    </row>
    <row r="60">
      <c r="A60" s="6" t="inlineStr">
        <is>
          <t>Investing</t>
        </is>
      </c>
      <c r="B60" s="7" t="n"/>
      <c r="C60" s="7" t="n"/>
      <c r="D60" s="7" t="n"/>
      <c r="E60" s="7" t="n"/>
      <c r="F60" s="7" t="n"/>
    </row>
    <row r="61">
      <c r="A61" s="8" t="inlineStr">
        <is>
          <t xml:space="preserve">    − Δ PP&amp;E gross (capex proxy)</t>
        </is>
      </c>
      <c r="B61" s="9" t="n"/>
      <c r="C61" s="9" t="n"/>
      <c r="D61" s="9" t="n"/>
      <c r="E61" s="9" t="n"/>
      <c r="F61" s="9" t="n"/>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-79672</v>
      </c>
      <c r="D67" s="11" t="n">
        <v>-8537</v>
      </c>
      <c r="E67" s="11" t="n">
        <v>13755</v>
      </c>
      <c r="F67" s="11" t="n">
        <v>17693</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FY2024</t>
        </is>
      </c>
      <c r="C72" s="5" t="inlineStr">
        <is>
          <t>FY2025</t>
        </is>
      </c>
    </row>
    <row r="73">
      <c r="A73" s="8" t="inlineStr">
        <is>
          <t xml:space="preserve">    11a. Gross income from members or shareholders</t>
        </is>
      </c>
      <c r="B73" s="9" t="n">
        <v>125600</v>
      </c>
      <c r="C73" s="9" t="n">
        <v>134085</v>
      </c>
    </row>
    <row r="74">
      <c r="A74" s="8" t="inlineStr">
        <is>
          <t xml:space="preserve">    11b. Gross income from other sources</t>
        </is>
      </c>
      <c r="B74" s="9" t="n">
        <v>0</v>
      </c>
      <c r="C74" s="9" t="n">
        <v>0</v>
      </c>
    </row>
    <row r="75">
      <c r="A75" s="14" t="inlineStr">
        <is>
          <t>Total gross income (11a + 11b)</t>
        </is>
      </c>
      <c r="B75" s="15">
        <f>SUM(B73,B74)</f>
        <v/>
      </c>
      <c r="C75" s="15">
        <f>SUM(C73,C74)</f>
        <v/>
      </c>
    </row>
    <row r="76">
      <c r="A76" s="14" t="inlineStr">
        <is>
          <t>Member income share (11a / total)</t>
        </is>
      </c>
      <c r="B76" s="16">
        <f>IF(B75=0,"",B73/B75)</f>
        <v/>
      </c>
      <c r="C76" s="16">
        <f>IF(C75=0,"",C73/C75)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Manon Manor Mutual Water Company</t>
        </is>
      </c>
    </row>
    <row r="2">
      <c r="A2" s="2" t="inlineStr">
        <is>
          <t>Balance Sheet - as reported (USD, end of year)</t>
        </is>
      </c>
    </row>
    <row r="3">
      <c r="A3" s="2" t="inlineStr">
        <is>
          <t>Entity ID: cawc_0095   |   Fiscal year ends December 31.</t>
        </is>
      </c>
    </row>
    <row r="5">
      <c r="A5" s="4" t="inlineStr">
        <is>
          <t>Line item</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Cash</t>
        </is>
      </c>
      <c r="B7" s="9" t="n">
        <v>100949</v>
      </c>
      <c r="C7" s="9" t="n">
        <v>21277</v>
      </c>
      <c r="D7" s="9" t="n">
        <v>12740</v>
      </c>
      <c r="E7" s="9" t="n">
        <v>26495</v>
      </c>
      <c r="F7" s="9" t="n">
        <v>44188</v>
      </c>
    </row>
    <row r="8">
      <c r="A8" s="8" t="inlineStr">
        <is>
          <t xml:space="preserve">    Savings &amp; temporary investments</t>
        </is>
      </c>
      <c r="B8" s="9" t="n"/>
      <c r="C8" s="9" t="n"/>
      <c r="D8" s="9" t="n"/>
      <c r="E8" s="9" t="n"/>
      <c r="F8" s="9" t="n"/>
    </row>
    <row r="9">
      <c r="A9" s="8" t="inlineStr">
        <is>
          <t xml:space="preserve">    Accounts receivable</t>
        </is>
      </c>
      <c r="B9" s="9" t="n"/>
      <c r="C9" s="9" t="n"/>
      <c r="D9" s="9" t="n"/>
      <c r="E9" s="9" t="n"/>
      <c r="F9" s="9" t="n"/>
    </row>
    <row r="10">
      <c r="A10" s="8" t="inlineStr">
        <is>
          <t xml:space="preserve">    Inventories</t>
        </is>
      </c>
      <c r="B10" s="9" t="n"/>
      <c r="C10" s="9" t="n"/>
      <c r="D10" s="9" t="n"/>
      <c r="E10" s="9" t="n"/>
      <c r="F10" s="9" t="n"/>
    </row>
    <row r="11">
      <c r="A11" s="8" t="inlineStr">
        <is>
          <t xml:space="preserve">    Prepaid expenses</t>
        </is>
      </c>
      <c r="B11" s="9" t="n"/>
      <c r="C11" s="9" t="n"/>
      <c r="D11" s="9" t="n"/>
      <c r="E11" s="9" t="n"/>
      <c r="F11" s="9" t="n"/>
    </row>
    <row r="12">
      <c r="A12" s="8" t="inlineStr">
        <is>
          <t xml:space="preserve">    Property, plant &amp; equipment (gross)</t>
        </is>
      </c>
      <c r="B12" s="9" t="n"/>
      <c r="C12" s="9" t="n"/>
      <c r="D12" s="9" t="n"/>
      <c r="E12" s="9" t="n"/>
      <c r="F12" s="9" t="n"/>
    </row>
    <row r="13">
      <c r="A13" s="8" t="inlineStr">
        <is>
          <t xml:space="preserve">    Less: accumulated depreciation</t>
        </is>
      </c>
      <c r="B13" s="9" t="n"/>
      <c r="C13" s="9" t="n"/>
      <c r="D13" s="9" t="n"/>
      <c r="E13" s="9" t="n"/>
      <c r="F13" s="9" t="n"/>
    </row>
    <row r="14">
      <c r="A14" s="10" t="inlineStr">
        <is>
          <t xml:space="preserve">    Net property, plant &amp; equipment</t>
        </is>
      </c>
      <c r="B14" s="11" t="n">
        <v>0</v>
      </c>
      <c r="C14" s="11" t="n">
        <v>0</v>
      </c>
      <c r="D14" s="11" t="n">
        <v>0</v>
      </c>
      <c r="E14" s="11" t="n"/>
      <c r="F14" s="11" t="n"/>
    </row>
    <row r="15">
      <c r="A15" s="10" t="inlineStr">
        <is>
          <t>Total assets</t>
        </is>
      </c>
      <c r="B15" s="11" t="n">
        <v>100949</v>
      </c>
      <c r="C15" s="11" t="n">
        <v>21277</v>
      </c>
      <c r="D15" s="11" t="n">
        <v>12740</v>
      </c>
      <c r="E15" s="11" t="n">
        <v>26495</v>
      </c>
      <c r="F15" s="11" t="n">
        <v>44188</v>
      </c>
    </row>
    <row r="17">
      <c r="A17" s="6" t="inlineStr">
        <is>
          <t>Liabilities</t>
        </is>
      </c>
      <c r="B17" s="7" t="n"/>
      <c r="C17" s="7" t="n"/>
      <c r="D17" s="7" t="n"/>
      <c r="E17" s="7" t="n"/>
      <c r="F17" s="7" t="n"/>
    </row>
    <row r="18">
      <c r="A18" s="8" t="inlineStr">
        <is>
          <t xml:space="preserve">    Accounts payable</t>
        </is>
      </c>
      <c r="B18" s="9" t="n"/>
      <c r="C18" s="9" t="n"/>
      <c r="D18" s="9" t="n"/>
      <c r="E18" s="9" t="n"/>
      <c r="F18" s="9" t="n"/>
    </row>
    <row r="19">
      <c r="A19" s="8" t="inlineStr">
        <is>
          <t xml:space="preserve">    Mortgages &amp; notes payable</t>
        </is>
      </c>
      <c r="B19" s="9" t="n"/>
      <c r="C19" s="9" t="n"/>
      <c r="D19" s="9" t="n"/>
      <c r="E19" s="9" t="n"/>
      <c r="F19" s="9" t="n"/>
    </row>
    <row r="20">
      <c r="A20" s="10" t="inlineStr">
        <is>
          <t>Total liabilities</t>
        </is>
      </c>
      <c r="B20" s="11" t="n">
        <v>0</v>
      </c>
      <c r="C20" s="11" t="n">
        <v>0</v>
      </c>
      <c r="D20" s="11" t="n">
        <v>0</v>
      </c>
      <c r="E20" s="11" t="n">
        <v>0</v>
      </c>
      <c r="F20" s="11" t="n">
        <v>0</v>
      </c>
    </row>
    <row r="22">
      <c r="A22" s="6" t="inlineStr">
        <is>
          <t>Net Assets / Equity</t>
        </is>
      </c>
      <c r="B22" s="7" t="n"/>
      <c r="C22" s="7" t="n"/>
      <c r="D22" s="7" t="n"/>
      <c r="E22" s="7" t="n"/>
      <c r="F22" s="7" t="n"/>
    </row>
    <row r="23">
      <c r="A23" s="8" t="inlineStr">
        <is>
          <t xml:space="preserve">    Capital stock</t>
        </is>
      </c>
      <c r="B23" s="9" t="n"/>
      <c r="C23" s="9" t="n"/>
      <c r="D23" s="9" t="n"/>
      <c r="E23" s="9" t="n">
        <v>0</v>
      </c>
      <c r="F23" s="9" t="n">
        <v>0</v>
      </c>
    </row>
    <row r="24">
      <c r="A24" s="8" t="inlineStr">
        <is>
          <t xml:space="preserve">    Paid-in capital</t>
        </is>
      </c>
      <c r="B24" s="9" t="n"/>
      <c r="C24" s="9" t="n"/>
      <c r="D24" s="9" t="n"/>
      <c r="E24" s="9" t="n">
        <v>0</v>
      </c>
      <c r="F24" s="9" t="n">
        <v>0</v>
      </c>
    </row>
    <row r="25">
      <c r="A25" s="8" t="inlineStr">
        <is>
          <t xml:space="preserve">    Retained earnings</t>
        </is>
      </c>
      <c r="B25" s="9" t="n"/>
      <c r="C25" s="9" t="n"/>
      <c r="D25" s="9" t="n"/>
      <c r="E25" s="9" t="n">
        <v>26495</v>
      </c>
      <c r="F25" s="9" t="n">
        <v>44188</v>
      </c>
    </row>
    <row r="26">
      <c r="A26" s="10" t="inlineStr">
        <is>
          <t>Net assets</t>
        </is>
      </c>
      <c r="B26" s="11" t="n">
        <v>100949</v>
      </c>
      <c r="C26" s="11" t="n">
        <v>21277</v>
      </c>
      <c r="D26" s="11" t="n">
        <v>12740</v>
      </c>
      <c r="E26" s="11" t="n">
        <v>26495</v>
      </c>
      <c r="F26" s="11" t="n">
        <v>44188</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Manon Manor Mutual Water Company</t>
        </is>
      </c>
    </row>
    <row r="2">
      <c r="A2" s="2" t="inlineStr">
        <is>
          <t>Officers, Directors &amp; Contractors - Form 990 Part VII (FY2025; USD)</t>
        </is>
      </c>
    </row>
    <row r="3">
      <c r="A3" s="2" t="inlineStr">
        <is>
          <t>Entity ID: cawc_0095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Bob Swanson</t>
        </is>
      </c>
      <c r="B7" s="8" t="inlineStr">
        <is>
          <t>President, Treasurer</t>
        </is>
      </c>
      <c r="C7" s="9" t="n">
        <v>0</v>
      </c>
      <c r="D7" s="9" t="n">
        <v>0</v>
      </c>
      <c r="E7" s="9" t="n">
        <v>0</v>
      </c>
      <c r="F7" s="9" t="n">
        <v>0</v>
      </c>
    </row>
    <row r="8">
      <c r="A8" s="8" t="inlineStr">
        <is>
          <t>Steve King</t>
        </is>
      </c>
      <c r="B8" s="8" t="inlineStr">
        <is>
          <t>Vice President</t>
        </is>
      </c>
      <c r="C8" s="9" t="n">
        <v>0</v>
      </c>
      <c r="D8" s="9" t="n">
        <v>0</v>
      </c>
      <c r="E8" s="9" t="n">
        <v>0</v>
      </c>
      <c r="F8" s="9" t="n">
        <v>0</v>
      </c>
    </row>
    <row r="9">
      <c r="A9" s="8" t="inlineStr">
        <is>
          <t>Jose Marcial</t>
        </is>
      </c>
      <c r="B9" s="8" t="inlineStr">
        <is>
          <t>Secretary</t>
        </is>
      </c>
      <c r="C9" s="9" t="n">
        <v>0</v>
      </c>
      <c r="D9" s="9" t="n">
        <v>0</v>
      </c>
      <c r="E9" s="9" t="n">
        <v>0</v>
      </c>
      <c r="F9" s="9" t="n">
        <v>0</v>
      </c>
    </row>
    <row r="11">
      <c r="A11" s="6" t="inlineStr">
        <is>
          <t>Section B - Independent contractors (over $100,000)</t>
        </is>
      </c>
      <c r="B11" s="7" t="n"/>
      <c r="C11" s="7" t="n"/>
      <c r="D11" s="7" t="n"/>
      <c r="E11" s="7" t="n"/>
      <c r="F11" s="7" t="n"/>
    </row>
    <row r="12">
      <c r="A12" s="5" t="inlineStr">
        <is>
          <t>Contractor</t>
        </is>
      </c>
      <c r="B12" s="5" t="inlineStr">
        <is>
          <t>Services</t>
        </is>
      </c>
      <c r="C12" s="5" t="inlineStr">
        <is>
          <t>Compensation</t>
        </is>
      </c>
    </row>
    <row r="14" ht="42" customHeight="1">
      <c r="A14"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4:F14"/>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s>
  <sheetData>
    <row r="1">
      <c r="A1" s="1" t="inlineStr">
        <is>
          <t>Manon Manor Mutual Water Company</t>
        </is>
      </c>
    </row>
    <row r="2">
      <c r="A2" s="2" t="inlineStr">
        <is>
          <t>Revenue - Form 990 Part VIII (USD)</t>
        </is>
      </c>
    </row>
    <row r="3">
      <c r="A3" s="2" t="inlineStr">
        <is>
          <t>Entity ID: cawc_0095   |   Fiscal year ends December 31.</t>
        </is>
      </c>
    </row>
    <row r="5">
      <c r="A5" s="4" t="inlineStr">
        <is>
          <t>Part VIII line</t>
        </is>
      </c>
      <c r="B5" s="5" t="inlineStr">
        <is>
          <t>FY2024</t>
        </is>
      </c>
      <c r="C5" s="5" t="inlineStr">
        <is>
          <t>FY2025</t>
        </is>
      </c>
    </row>
    <row r="6">
      <c r="A6" s="6" t="inlineStr">
        <is>
          <t>Revenue by category</t>
        </is>
      </c>
      <c r="B6" s="7" t="n"/>
      <c r="C6" s="7" t="n"/>
    </row>
    <row r="7">
      <c r="A7" s="8" t="inlineStr">
        <is>
          <t xml:space="preserve">    1h. Total contributions, gifts, grants</t>
        </is>
      </c>
      <c r="B7" s="9" t="n">
        <v>0</v>
      </c>
      <c r="C7" s="9" t="n">
        <v>134085</v>
      </c>
    </row>
    <row r="8">
      <c r="A8" s="8" t="inlineStr">
        <is>
          <t xml:space="preserve">    2g. Total program service revenue</t>
        </is>
      </c>
      <c r="B8" s="9" t="n">
        <v>0</v>
      </c>
      <c r="C8" s="9" t="n">
        <v>0</v>
      </c>
    </row>
    <row r="9">
      <c r="A9" s="8" t="inlineStr">
        <is>
          <t xml:space="preserve">    3. Investment income</t>
        </is>
      </c>
      <c r="B9" s="17" t="inlineStr">
        <is>
          <t>not reported</t>
        </is>
      </c>
      <c r="C9" s="17" t="inlineStr">
        <is>
          <t>not reported</t>
        </is>
      </c>
    </row>
    <row r="10">
      <c r="A10" s="8" t="inlineStr">
        <is>
          <t xml:space="preserve">    6d. Net rental income</t>
        </is>
      </c>
      <c r="B10" s="17" t="inlineStr">
        <is>
          <t>not reported</t>
        </is>
      </c>
      <c r="C10" s="17" t="inlineStr">
        <is>
          <t>not reported</t>
        </is>
      </c>
    </row>
    <row r="11">
      <c r="A11" s="8" t="inlineStr">
        <is>
          <t xml:space="preserve">    7d. Net gain/(loss) from investment sales</t>
        </is>
      </c>
      <c r="B11" s="17" t="inlineStr">
        <is>
          <t>not reported</t>
        </is>
      </c>
      <c r="C11" s="17" t="inlineStr">
        <is>
          <t>not reported</t>
        </is>
      </c>
    </row>
    <row r="12">
      <c r="A12" s="8" t="inlineStr">
        <is>
          <t xml:space="preserve">    11e. Other revenue</t>
        </is>
      </c>
      <c r="B12" s="9" t="n">
        <v>0</v>
      </c>
      <c r="C12" s="9" t="n">
        <v>0</v>
      </c>
    </row>
    <row r="13">
      <c r="A13" s="10" t="inlineStr">
        <is>
          <t>12. Total revenue</t>
        </is>
      </c>
      <c r="B13" s="11">
        <f>SUM(B7:B12)</f>
        <v/>
      </c>
      <c r="C13" s="11">
        <f>SUM(C7:C12)</f>
        <v/>
      </c>
    </row>
    <row r="15" ht="42" customHeight="1">
      <c r="A15"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1:C1"/>
    <mergeCell ref="A3:C3"/>
    <mergeCell ref="A2:C2"/>
    <mergeCell ref="A15:C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s>
  <sheetData>
    <row r="1">
      <c r="A1" s="1" t="inlineStr">
        <is>
          <t>Manon Manor Mutual Water Company</t>
        </is>
      </c>
    </row>
    <row r="2">
      <c r="A2" s="2" t="inlineStr">
        <is>
          <t>Statement of Functional Expenses - Form 990 Part IX (USD)</t>
        </is>
      </c>
    </row>
    <row r="3">
      <c r="A3" s="2" t="inlineStr">
        <is>
          <t>Entity ID: cawc_0095   |   Fiscal year ends December 31.</t>
        </is>
      </c>
    </row>
    <row r="5">
      <c r="A5" s="4" t="inlineStr">
        <is>
          <t>Part IX line (column A Total)</t>
        </is>
      </c>
      <c r="B5" s="5" t="inlineStr">
        <is>
          <t>FY2024</t>
        </is>
      </c>
      <c r="C5" s="5" t="inlineStr">
        <is>
          <t>FY2025</t>
        </is>
      </c>
    </row>
    <row r="6">
      <c r="A6" s="6" t="inlineStr">
        <is>
          <t>Functional expenses, column A Total - by year</t>
        </is>
      </c>
      <c r="B6" s="7" t="n"/>
      <c r="C6" s="7" t="n"/>
    </row>
    <row r="7">
      <c r="A7" s="8" t="inlineStr">
        <is>
          <t xml:space="preserve">    1. Grants to domestic organizations and governments</t>
        </is>
      </c>
      <c r="B7" s="9" t="n">
        <v>0</v>
      </c>
      <c r="C7" s="17" t="inlineStr">
        <is>
          <t>not reported</t>
        </is>
      </c>
    </row>
    <row r="8">
      <c r="A8" s="8" t="inlineStr">
        <is>
          <t xml:space="preserve">    2. Grants to domestic individuals</t>
        </is>
      </c>
      <c r="B8" s="9" t="n">
        <v>0</v>
      </c>
      <c r="C8" s="17" t="inlineStr">
        <is>
          <t>not reported</t>
        </is>
      </c>
    </row>
    <row r="9">
      <c r="A9" s="8" t="inlineStr">
        <is>
          <t xml:space="preserve">    3. Grants to foreign organizations and individuals</t>
        </is>
      </c>
      <c r="B9" s="9" t="n">
        <v>0</v>
      </c>
      <c r="C9" s="17" t="inlineStr">
        <is>
          <t>not reported</t>
        </is>
      </c>
    </row>
    <row r="10">
      <c r="A10" s="8" t="inlineStr">
        <is>
          <t xml:space="preserve">    4. Benefits paid to or for members</t>
        </is>
      </c>
      <c r="B10" s="9" t="n">
        <v>0</v>
      </c>
      <c r="C10" s="17" t="inlineStr">
        <is>
          <t>not reported</t>
        </is>
      </c>
    </row>
    <row r="11">
      <c r="A11" s="8" t="inlineStr">
        <is>
          <t xml:space="preserve">    5. Compensation of current officers, directors, trustees</t>
        </is>
      </c>
      <c r="B11" s="9" t="n">
        <v>0</v>
      </c>
      <c r="C11" s="17" t="inlineStr">
        <is>
          <t>not reported</t>
        </is>
      </c>
    </row>
    <row r="12">
      <c r="A12" s="8" t="inlineStr">
        <is>
          <t xml:space="preserve">    6. Compensation to disqualified persons</t>
        </is>
      </c>
      <c r="B12" s="9" t="n">
        <v>0</v>
      </c>
      <c r="C12" s="17" t="inlineStr">
        <is>
          <t>not reported</t>
        </is>
      </c>
    </row>
    <row r="13">
      <c r="A13" s="8" t="inlineStr">
        <is>
          <t xml:space="preserve">    7. Other salaries and wages</t>
        </is>
      </c>
      <c r="B13" s="9" t="n">
        <v>0</v>
      </c>
      <c r="C13" s="17" t="inlineStr">
        <is>
          <t>not reported</t>
        </is>
      </c>
    </row>
    <row r="14">
      <c r="A14" s="8" t="inlineStr">
        <is>
          <t xml:space="preserve">    8. Pension plan accruals and contributions</t>
        </is>
      </c>
      <c r="B14" s="9" t="n">
        <v>0</v>
      </c>
      <c r="C14" s="17" t="inlineStr">
        <is>
          <t>not reported</t>
        </is>
      </c>
    </row>
    <row r="15">
      <c r="A15" s="8" t="inlineStr">
        <is>
          <t xml:space="preserve">    9. Other employee benefits</t>
        </is>
      </c>
      <c r="B15" s="9" t="n">
        <v>0</v>
      </c>
      <c r="C15" s="17" t="inlineStr">
        <is>
          <t>not reported</t>
        </is>
      </c>
    </row>
    <row r="16">
      <c r="A16" s="8" t="inlineStr">
        <is>
          <t xml:space="preserve">    10. Payroll taxes</t>
        </is>
      </c>
      <c r="B16" s="9" t="n">
        <v>0</v>
      </c>
      <c r="C16" s="17" t="inlineStr">
        <is>
          <t>not reported</t>
        </is>
      </c>
    </row>
    <row r="17">
      <c r="A17" s="8" t="inlineStr">
        <is>
          <t xml:space="preserve">    11a. Fees for services: management</t>
        </is>
      </c>
      <c r="B17" s="9" t="n">
        <v>0</v>
      </c>
      <c r="C17" s="17" t="inlineStr">
        <is>
          <t>not reported</t>
        </is>
      </c>
    </row>
    <row r="18">
      <c r="A18" s="8" t="inlineStr">
        <is>
          <t xml:space="preserve">    11b. Fees for services: legal</t>
        </is>
      </c>
      <c r="B18" s="9" t="n">
        <v>0</v>
      </c>
      <c r="C18" s="17" t="inlineStr">
        <is>
          <t>not reported</t>
        </is>
      </c>
    </row>
    <row r="19">
      <c r="A19" s="8" t="inlineStr">
        <is>
          <t xml:space="preserve">    11c. Fees for services: accounting</t>
        </is>
      </c>
      <c r="B19" s="9" t="n">
        <v>0</v>
      </c>
      <c r="C19" s="17" t="inlineStr">
        <is>
          <t>not reported</t>
        </is>
      </c>
    </row>
    <row r="20">
      <c r="A20" s="8" t="inlineStr">
        <is>
          <t xml:space="preserve">    11d. Fees for services: lobbying</t>
        </is>
      </c>
      <c r="B20" s="9" t="n">
        <v>0</v>
      </c>
      <c r="C20" s="17" t="inlineStr">
        <is>
          <t>not reported</t>
        </is>
      </c>
    </row>
    <row r="21">
      <c r="A21" s="8" t="inlineStr">
        <is>
          <t xml:space="preserve">    11e. Fees for services: professional fundraising</t>
        </is>
      </c>
      <c r="B21" s="9" t="n">
        <v>0</v>
      </c>
      <c r="C21" s="17" t="inlineStr">
        <is>
          <t>not reported</t>
        </is>
      </c>
    </row>
    <row r="22">
      <c r="A22" s="8" t="inlineStr">
        <is>
          <t xml:space="preserve">    11f. Fees for services: investment management</t>
        </is>
      </c>
      <c r="B22" s="9" t="n">
        <v>0</v>
      </c>
      <c r="C22" s="17" t="inlineStr">
        <is>
          <t>not reported</t>
        </is>
      </c>
    </row>
    <row r="23">
      <c r="A23" s="8" t="inlineStr">
        <is>
          <t xml:space="preserve">    11g. Fees for services: other</t>
        </is>
      </c>
      <c r="B23" s="9" t="n">
        <v>0</v>
      </c>
      <c r="C23" s="17" t="inlineStr">
        <is>
          <t>not reported</t>
        </is>
      </c>
    </row>
    <row r="24">
      <c r="A24" s="8" t="inlineStr">
        <is>
          <t xml:space="preserve">    12. Advertising and promotion</t>
        </is>
      </c>
      <c r="B24" s="9" t="n">
        <v>0</v>
      </c>
      <c r="C24" s="17" t="inlineStr">
        <is>
          <t>not reported</t>
        </is>
      </c>
    </row>
    <row r="25">
      <c r="A25" s="8" t="inlineStr">
        <is>
          <t xml:space="preserve">    13. Office expenses</t>
        </is>
      </c>
      <c r="B25" s="9" t="n">
        <v>1495</v>
      </c>
      <c r="C25" s="9" t="n">
        <v>798</v>
      </c>
    </row>
    <row r="26">
      <c r="A26" s="8" t="inlineStr">
        <is>
          <t xml:space="preserve">    14. Information technology</t>
        </is>
      </c>
      <c r="B26" s="9" t="n">
        <v>0</v>
      </c>
      <c r="C26" s="17" t="inlineStr">
        <is>
          <t>not reported</t>
        </is>
      </c>
    </row>
    <row r="27">
      <c r="A27" s="8" t="inlineStr">
        <is>
          <t xml:space="preserve">    15. Royalties</t>
        </is>
      </c>
      <c r="B27" s="9" t="n">
        <v>0</v>
      </c>
      <c r="C27" s="17" t="inlineStr">
        <is>
          <t>not reported</t>
        </is>
      </c>
    </row>
    <row r="28">
      <c r="A28" s="8" t="inlineStr">
        <is>
          <t xml:space="preserve">    16. Occupancy</t>
        </is>
      </c>
      <c r="B28" s="9" t="n">
        <v>0</v>
      </c>
      <c r="C28" s="17" t="inlineStr">
        <is>
          <t>not reported</t>
        </is>
      </c>
    </row>
    <row r="29">
      <c r="A29" s="8" t="inlineStr">
        <is>
          <t xml:space="preserve">    17. Travel</t>
        </is>
      </c>
      <c r="B29" s="9" t="n">
        <v>0</v>
      </c>
      <c r="C29" s="17" t="inlineStr">
        <is>
          <t>not reported</t>
        </is>
      </c>
    </row>
    <row r="30">
      <c r="A30" s="8" t="inlineStr">
        <is>
          <t xml:space="preserve">    18. Payments of travel/entertainment for public officials</t>
        </is>
      </c>
      <c r="B30" s="9" t="n">
        <v>0</v>
      </c>
      <c r="C30" s="17" t="inlineStr">
        <is>
          <t>not reported</t>
        </is>
      </c>
    </row>
    <row r="31">
      <c r="A31" s="8" t="inlineStr">
        <is>
          <t xml:space="preserve">    19. Conferences, conventions, and meetings</t>
        </is>
      </c>
      <c r="B31" s="9" t="n">
        <v>0</v>
      </c>
      <c r="C31" s="17" t="inlineStr">
        <is>
          <t>not reported</t>
        </is>
      </c>
    </row>
    <row r="32">
      <c r="A32" s="8" t="inlineStr">
        <is>
          <t xml:space="preserve">    20. Interest</t>
        </is>
      </c>
      <c r="B32" s="9" t="n">
        <v>0</v>
      </c>
      <c r="C32" s="17" t="inlineStr">
        <is>
          <t>not reported</t>
        </is>
      </c>
    </row>
    <row r="33">
      <c r="A33" s="8" t="inlineStr">
        <is>
          <t xml:space="preserve">    21. Payments to affiliates</t>
        </is>
      </c>
      <c r="B33" s="9" t="n">
        <v>0</v>
      </c>
      <c r="C33" s="17" t="inlineStr">
        <is>
          <t>not reported</t>
        </is>
      </c>
    </row>
    <row r="34">
      <c r="A34" s="8" t="inlineStr">
        <is>
          <t xml:space="preserve">    22. Depreciation, depletion, and amortization</t>
        </is>
      </c>
      <c r="B34" s="9" t="n">
        <v>0</v>
      </c>
      <c r="C34" s="17" t="inlineStr">
        <is>
          <t>not reported</t>
        </is>
      </c>
    </row>
    <row r="35">
      <c r="A35" s="8" t="inlineStr">
        <is>
          <t xml:space="preserve">    23. Insurance</t>
        </is>
      </c>
      <c r="B35" s="9" t="n">
        <v>1228</v>
      </c>
      <c r="C35" s="9" t="n">
        <v>1734</v>
      </c>
    </row>
    <row r="36">
      <c r="A36" s="8" t="inlineStr">
        <is>
          <t xml:space="preserve">    24e. All other expenses</t>
        </is>
      </c>
      <c r="B36" s="9" t="n">
        <v>109772</v>
      </c>
      <c r="C36" s="9" t="n">
        <v>113860</v>
      </c>
    </row>
    <row r="37">
      <c r="A37" s="10" t="inlineStr">
        <is>
          <t>25. Total functional expenses</t>
        </is>
      </c>
      <c r="B37" s="11">
        <f>SUM(B7:B36)</f>
        <v/>
      </c>
      <c r="C37" s="11">
        <f>SUM(C7:C36)</f>
        <v/>
      </c>
    </row>
    <row r="39">
      <c r="A39" s="6" t="inlineStr">
        <is>
          <t>Functional column split - FY2025 (col A = B + C + D)</t>
        </is>
      </c>
      <c r="B39" s="7" t="n"/>
      <c r="C39" s="7" t="n"/>
    </row>
    <row r="40">
      <c r="A40" s="5" t="inlineStr">
        <is>
          <t>Part IX line</t>
        </is>
      </c>
      <c r="B40" s="5" t="inlineStr">
        <is>
          <t>A. Total</t>
        </is>
      </c>
      <c r="C40" s="5" t="inlineStr">
        <is>
          <t>B. Program services</t>
        </is>
      </c>
      <c r="D40" s="5" t="inlineStr">
        <is>
          <t>C. Management &amp; general</t>
        </is>
      </c>
      <c r="E40" s="5" t="inlineStr">
        <is>
          <t>D. Fundraising</t>
        </is>
      </c>
    </row>
    <row r="41">
      <c r="A41" s="18" t="inlineStr">
        <is>
          <t>13. Office expenses</t>
        </is>
      </c>
      <c r="B41" s="9" t="n">
        <v>798</v>
      </c>
      <c r="C41" s="9" t="n"/>
      <c r="D41" s="9" t="n"/>
      <c r="E41" s="9" t="n"/>
    </row>
    <row r="42">
      <c r="A42" s="18" t="inlineStr">
        <is>
          <t>23. Insurance</t>
        </is>
      </c>
      <c r="B42" s="9" t="n">
        <v>1734</v>
      </c>
      <c r="C42" s="9" t="n"/>
      <c r="D42" s="9" t="n"/>
      <c r="E42" s="9" t="n"/>
    </row>
    <row r="43">
      <c r="A43" s="10" t="inlineStr">
        <is>
          <t>25. Total (filed col A / B / C / D)</t>
        </is>
      </c>
      <c r="B43" s="11" t="n">
        <v>116392</v>
      </c>
      <c r="C43" s="11" t="n">
        <v>0</v>
      </c>
      <c r="D43" s="11" t="n">
        <v>0</v>
      </c>
      <c r="E43" s="11" t="n">
        <v>0</v>
      </c>
    </row>
    <row r="45" ht="42" customHeight="1">
      <c r="A45"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1:C1"/>
    <mergeCell ref="A45:C45"/>
    <mergeCell ref="A3:C3"/>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s>
  <sheetData>
    <row r="1">
      <c r="A1" s="1" t="inlineStr">
        <is>
          <t>Manon Manor Mutual Water Company</t>
        </is>
      </c>
    </row>
    <row r="2">
      <c r="A2" s="2" t="inlineStr">
        <is>
          <t>Balance Sheet - Form 990 Part X (end of year, USD)</t>
        </is>
      </c>
    </row>
    <row r="3">
      <c r="A3" s="2" t="inlineStr">
        <is>
          <t>Entity ID: cawc_0095   |   Fiscal year ends December 31.</t>
        </is>
      </c>
    </row>
    <row r="5">
      <c r="A5" s="4" t="inlineStr">
        <is>
          <t>Part X line (column B, EOY)</t>
        </is>
      </c>
      <c r="B5" s="5" t="inlineStr">
        <is>
          <t>FY2024</t>
        </is>
      </c>
      <c r="C5" s="5" t="inlineStr">
        <is>
          <t>FY2025</t>
        </is>
      </c>
    </row>
    <row r="6">
      <c r="A6" s="6" t="inlineStr">
        <is>
          <t>Assets</t>
        </is>
      </c>
      <c r="B6" s="7" t="n"/>
      <c r="C6" s="7" t="n"/>
    </row>
    <row r="7">
      <c r="A7" s="8" t="inlineStr">
        <is>
          <t xml:space="preserve">    1. Cash - non-interest-bearing</t>
        </is>
      </c>
      <c r="B7" s="9" t="n">
        <v>26495</v>
      </c>
      <c r="C7" s="9" t="n">
        <v>44188</v>
      </c>
    </row>
    <row r="8">
      <c r="A8" s="10" t="inlineStr">
        <is>
          <t>16. Total assets</t>
        </is>
      </c>
      <c r="B8" s="11">
        <f>SUM(B7:B7)</f>
        <v/>
      </c>
      <c r="C8" s="11">
        <f>SUM(C7:C7)</f>
        <v/>
      </c>
    </row>
    <row r="10">
      <c r="A10" s="6" t="inlineStr">
        <is>
          <t>Liabilities</t>
        </is>
      </c>
      <c r="B10" s="7" t="n"/>
      <c r="C10" s="7" t="n"/>
    </row>
    <row r="11">
      <c r="A11" s="10" t="inlineStr">
        <is>
          <t>26. Total liabilities</t>
        </is>
      </c>
      <c r="B11" s="11">
        <f>SUM(B11:B10)</f>
        <v/>
      </c>
      <c r="C11" s="11">
        <f>SUM(C11:C10)</f>
        <v/>
      </c>
    </row>
    <row r="13">
      <c r="A13" s="6" t="inlineStr">
        <is>
          <t>Net assets / fund balances</t>
        </is>
      </c>
      <c r="B13" s="7" t="n"/>
      <c r="C13" s="7" t="n"/>
    </row>
    <row r="14">
      <c r="A14" s="8" t="inlineStr">
        <is>
          <t xml:space="preserve">    29. Capital stock or trust principal</t>
        </is>
      </c>
      <c r="B14" s="9" t="n">
        <v>0</v>
      </c>
      <c r="C14" s="9" t="n">
        <v>0</v>
      </c>
    </row>
    <row r="15">
      <c r="A15" s="8" t="inlineStr">
        <is>
          <t xml:space="preserve">    30. Paid-in or capital surplus</t>
        </is>
      </c>
      <c r="B15" s="9" t="n">
        <v>0</v>
      </c>
      <c r="C15" s="9" t="n">
        <v>0</v>
      </c>
    </row>
    <row r="16">
      <c r="A16" s="8" t="inlineStr">
        <is>
          <t xml:space="preserve">    31. Retained earnings / accumulated funds</t>
        </is>
      </c>
      <c r="B16" s="9" t="n">
        <v>26495</v>
      </c>
      <c r="C16" s="9" t="n">
        <v>44188</v>
      </c>
    </row>
    <row r="17">
      <c r="A17" s="10" t="inlineStr">
        <is>
          <t>32. Total net assets / fund balances</t>
        </is>
      </c>
      <c r="B17" s="11">
        <f>SUM(B14:B16)</f>
        <v/>
      </c>
      <c r="C17" s="11">
        <f>SUM(C14:C16)</f>
        <v/>
      </c>
    </row>
    <row r="19" ht="42" customHeight="1">
      <c r="A19"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1:C1"/>
    <mergeCell ref="A19:C19"/>
    <mergeCell ref="A3:C3"/>
    <mergeCell ref="A2:C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s>
  <sheetData>
    <row r="1">
      <c r="A1" s="1" t="inlineStr">
        <is>
          <t>Manon Manor Mutual Water Company</t>
        </is>
      </c>
    </row>
    <row r="2">
      <c r="A2" s="2" t="inlineStr">
        <is>
          <t>Reconciliation of Net Assets - Form 990 Part XI (USD)</t>
        </is>
      </c>
    </row>
    <row r="3">
      <c r="A3" s="2" t="inlineStr">
        <is>
          <t>Entity ID: cawc_0095   |   Fiscal year ends December 31.</t>
        </is>
      </c>
    </row>
    <row r="5">
      <c r="A5" s="4" t="inlineStr">
        <is>
          <t>Part XI line</t>
        </is>
      </c>
      <c r="B5" s="5" t="inlineStr">
        <is>
          <t>FY2024</t>
        </is>
      </c>
      <c r="C5" s="5" t="inlineStr">
        <is>
          <t>FY2025</t>
        </is>
      </c>
    </row>
    <row r="6">
      <c r="A6" s="6" t="inlineStr">
        <is>
          <t>Reconciliation</t>
        </is>
      </c>
      <c r="B6" s="7" t="n"/>
      <c r="C6" s="7" t="n"/>
    </row>
    <row r="7">
      <c r="A7" s="8" t="inlineStr">
        <is>
          <t xml:space="preserve">    4. Net assets, beginning of year</t>
        </is>
      </c>
      <c r="B7" s="9" t="n">
        <v>13390</v>
      </c>
      <c r="C7" s="9" t="n">
        <v>26495</v>
      </c>
    </row>
    <row r="8">
      <c r="A8" s="8" t="inlineStr">
        <is>
          <t xml:space="preserve">    3. Revenue less expenses</t>
        </is>
      </c>
      <c r="B8" s="9" t="n">
        <v>-112495</v>
      </c>
      <c r="C8" s="9" t="n">
        <v>17693</v>
      </c>
    </row>
    <row r="9">
      <c r="A9" s="8" t="inlineStr">
        <is>
          <t xml:space="preserve">    8. Prior period adjustments</t>
        </is>
      </c>
      <c r="B9" s="9" t="n">
        <v>0</v>
      </c>
      <c r="C9" s="9" t="n">
        <v>0</v>
      </c>
    </row>
    <row r="10">
      <c r="A10" s="8" t="inlineStr">
        <is>
          <t xml:space="preserve">    9. Other changes in net assets</t>
        </is>
      </c>
      <c r="B10" s="9" t="n">
        <v>0</v>
      </c>
      <c r="C10" s="9" t="n">
        <v>0</v>
      </c>
    </row>
    <row r="11">
      <c r="A11" s="10" t="inlineStr">
        <is>
          <t>10. Net assets, end of year</t>
        </is>
      </c>
      <c r="B11" s="11">
        <f>SUM(B7,B8,B9,B10)</f>
        <v/>
      </c>
      <c r="C11" s="11">
        <f>SUM(C7,C8,C9,C10)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C1"/>
    <mergeCell ref="A13:C13"/>
    <mergeCell ref="A3:C3"/>
    <mergeCell ref="A2:C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Manon Manor Mutual Water Company</t>
        </is>
      </c>
    </row>
    <row r="2">
      <c r="A2" s="2" t="inlineStr">
        <is>
          <t>Cash Flow Proxies - derived (USD)</t>
        </is>
      </c>
    </row>
    <row r="3">
      <c r="A3" s="2" t="inlineStr">
        <is>
          <t>Entity ID: cawc_0095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FY2021</t>
        </is>
      </c>
      <c r="C7" s="5" t="inlineStr">
        <is>
          <t>FY2022</t>
        </is>
      </c>
      <c r="D7" s="5" t="inlineStr">
        <is>
          <t>FY2023</t>
        </is>
      </c>
      <c r="E7" s="5" t="inlineStr">
        <is>
          <t>FY2024</t>
        </is>
      </c>
      <c r="F7" s="5" t="inlineStr">
        <is>
          <t>FY2025</t>
        </is>
      </c>
    </row>
    <row r="8">
      <c r="A8" s="6" t="inlineStr">
        <is>
          <t>Operating</t>
        </is>
      </c>
      <c r="B8" s="7" t="n"/>
      <c r="C8" s="7" t="n"/>
      <c r="D8" s="7" t="n"/>
      <c r="E8" s="7" t="n"/>
      <c r="F8" s="7" t="n"/>
    </row>
    <row r="9">
      <c r="A9" s="8" t="inlineStr">
        <is>
          <t xml:space="preserve">    Net income</t>
        </is>
      </c>
      <c r="B9" s="9" t="n">
        <v>-4456</v>
      </c>
      <c r="C9" s="9" t="n">
        <v>-129672</v>
      </c>
      <c r="D9" s="9" t="n">
        <v>-8537</v>
      </c>
      <c r="E9" s="9" t="n">
        <v>-112495</v>
      </c>
      <c r="F9" s="9" t="n">
        <v>17693</v>
      </c>
    </row>
    <row r="10">
      <c r="A10" s="8" t="inlineStr">
        <is>
          <t xml:space="preserve">    + Depreciation (reported)</t>
        </is>
      </c>
      <c r="B10" s="9" t="n"/>
      <c r="C10" s="9" t="n"/>
      <c r="D10" s="9" t="n"/>
      <c r="E10" s="9" t="n">
        <v>0</v>
      </c>
      <c r="F10" s="9" t="n"/>
    </row>
    <row r="11">
      <c r="A11" s="8" t="inlineStr">
        <is>
          <t xml:space="preserve">    − Δ Accounts receivable</t>
        </is>
      </c>
      <c r="B11" s="9" t="n"/>
      <c r="C11" s="9" t="n"/>
      <c r="D11" s="9" t="n"/>
      <c r="E11" s="9" t="n"/>
      <c r="F11" s="9" t="n"/>
    </row>
    <row r="12">
      <c r="A12" s="8" t="inlineStr">
        <is>
          <t xml:space="preserve">    − Δ Inventories</t>
        </is>
      </c>
      <c r="B12" s="9" t="n"/>
      <c r="C12" s="9" t="n"/>
      <c r="D12" s="9" t="n"/>
      <c r="E12" s="9" t="n"/>
      <c r="F12" s="9" t="n"/>
    </row>
    <row r="13">
      <c r="A13" s="8" t="inlineStr">
        <is>
          <t xml:space="preserve">    − Δ Prepaid expenses</t>
        </is>
      </c>
      <c r="B13" s="9" t="n"/>
      <c r="C13" s="9" t="n"/>
      <c r="D13" s="9" t="n"/>
      <c r="E13" s="9" t="n"/>
      <c r="F13" s="9" t="n"/>
    </row>
    <row r="14">
      <c r="A14" s="8" t="inlineStr">
        <is>
          <t xml:space="preserve">    + Δ Accounts payable</t>
        </is>
      </c>
      <c r="B14" s="9" t="n"/>
      <c r="C14" s="9" t="n"/>
      <c r="D14" s="9" t="n"/>
      <c r="E14" s="9" t="n"/>
      <c r="F14" s="9" t="n"/>
    </row>
    <row r="15">
      <c r="A15" s="10" t="inlineStr">
        <is>
          <t xml:space="preserve">    Operating cash flow proxy</t>
        </is>
      </c>
      <c r="B15" s="11" t="n"/>
      <c r="C15" s="11" t="n">
        <v>-129672</v>
      </c>
      <c r="D15" s="11" t="n">
        <v>-8537</v>
      </c>
      <c r="E15" s="11" t="n">
        <v>-112495</v>
      </c>
      <c r="F15" s="11" t="n">
        <v>17693</v>
      </c>
    </row>
    <row r="17">
      <c r="A17" s="6" t="inlineStr">
        <is>
          <t>Investing</t>
        </is>
      </c>
      <c r="B17" s="7" t="n"/>
      <c r="C17" s="7" t="n"/>
      <c r="D17" s="7" t="n"/>
      <c r="E17" s="7" t="n"/>
      <c r="F17" s="7" t="n"/>
    </row>
    <row r="18">
      <c r="A18" s="8" t="inlineStr">
        <is>
          <t xml:space="preserve">    − Δ PP&amp;E gross (capex proxy)</t>
        </is>
      </c>
      <c r="B18" s="9" t="n"/>
      <c r="C18" s="9" t="n"/>
      <c r="D18" s="9" t="n"/>
      <c r="E18" s="9" t="n"/>
      <c r="F18" s="9" t="n"/>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-79672</v>
      </c>
      <c r="D24" s="11" t="n">
        <v>-8537</v>
      </c>
      <c r="E24" s="11" t="n">
        <v>13755</v>
      </c>
      <c r="F24" s="11" t="n">
        <v>17693</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Manon Manor Mutual Water Company</t>
        </is>
      </c>
    </row>
    <row r="2">
      <c r="A2" s="2" t="inlineStr">
        <is>
          <t>Financial Ratios</t>
        </is>
      </c>
    </row>
    <row r="3">
      <c r="A3" s="2" t="inlineStr">
        <is>
          <t>Entity ID: cawc_0095   |   Fiscal year ends December 31.</t>
        </is>
      </c>
    </row>
    <row r="5">
      <c r="A5" s="4" t="inlineStr">
        <is>
          <t>Ratio</t>
        </is>
      </c>
      <c r="B5" s="5" t="inlineStr">
        <is>
          <t>FY2021</t>
        </is>
      </c>
      <c r="C5" s="5" t="inlineStr">
        <is>
          <t>FY2022</t>
        </is>
      </c>
      <c r="D5" s="5" t="inlineStr">
        <is>
          <t>FY2023</t>
        </is>
      </c>
      <c r="E5" s="5" t="inlineStr">
        <is>
          <t>FY2024</t>
        </is>
      </c>
      <c r="F5" s="5" t="inlineStr">
        <is>
          <t>FY2025</t>
        </is>
      </c>
    </row>
    <row r="6">
      <c r="A6" s="6" t="inlineStr">
        <is>
          <t>Profitability (computed upstream)</t>
        </is>
      </c>
      <c r="B6" s="7" t="n"/>
      <c r="C6" s="7" t="n"/>
      <c r="D6" s="7" t="n"/>
      <c r="E6" s="7" t="n"/>
      <c r="F6" s="7" t="n"/>
    </row>
    <row r="7">
      <c r="A7" s="8" t="inlineStr">
        <is>
          <t xml:space="preserve">    Operating margin (NI / revenue)</t>
        </is>
      </c>
      <c r="B7" s="12" t="n">
        <v>-0.0716444787446138</v>
      </c>
      <c r="C7" s="12" t="n">
        <v>-1.313519919773908</v>
      </c>
      <c r="D7" s="12" t="n">
        <v>-0.06848666688059558</v>
      </c>
      <c r="E7" s="12" t="n"/>
      <c r="F7" s="12" t="n">
        <v>0.1319536115150837</v>
      </c>
    </row>
    <row r="8">
      <c r="A8" s="8" t="inlineStr">
        <is>
          <t xml:space="preserve">    Expense ratio (expenses / revenue)</t>
        </is>
      </c>
      <c r="B8" s="12" t="n">
        <v>1.071644478744614</v>
      </c>
      <c r="C8" s="12" t="n">
        <v>2.313519919773908</v>
      </c>
      <c r="D8" s="12" t="n">
        <v>1.068486666880596</v>
      </c>
      <c r="E8" s="12" t="n"/>
      <c r="F8" s="12" t="n">
        <v>0.8680463884849163</v>
      </c>
    </row>
    <row r="9">
      <c r="A9" s="8" t="inlineStr">
        <is>
          <t xml:space="preserve">    Return on assets (NI / assets)</t>
        </is>
      </c>
      <c r="B9" s="12" t="n">
        <v>-0.04414110095196584</v>
      </c>
      <c r="C9" s="12" t="n">
        <v>-6.094468205104103</v>
      </c>
      <c r="D9" s="12" t="n">
        <v>-0.6700941915227629</v>
      </c>
      <c r="E9" s="12" t="n">
        <v>-4.24589545197207</v>
      </c>
      <c r="F9" s="12" t="n">
        <v>0.400402824296189</v>
      </c>
    </row>
    <row r="10">
      <c r="A10" s="8" t="inlineStr">
        <is>
          <t xml:space="preserve">    Revenue growth (YoY)</t>
        </is>
      </c>
      <c r="B10" s="12" t="n"/>
      <c r="C10" s="12" t="n"/>
      <c r="D10" s="12" t="n"/>
      <c r="E10" s="12" t="n"/>
      <c r="F10" s="12" t="n">
        <v>0</v>
      </c>
    </row>
    <row r="12">
      <c r="A12" s="6" t="inlineStr">
        <is>
          <t>Leverage &amp; solvency</t>
        </is>
      </c>
      <c r="B12" s="7" t="n"/>
      <c r="C12" s="7" t="n"/>
      <c r="D12" s="7" t="n"/>
      <c r="E12" s="7" t="n"/>
      <c r="F12" s="7" t="n"/>
    </row>
    <row r="13">
      <c r="A13" s="8" t="inlineStr">
        <is>
          <t xml:space="preserve">    Debt-to-assets (liab. / assets)</t>
        </is>
      </c>
      <c r="B13" s="12" t="n">
        <v>0</v>
      </c>
      <c r="C13" s="12" t="n">
        <v>0</v>
      </c>
      <c r="D13" s="12" t="n">
        <v>0</v>
      </c>
      <c r="E13" s="12" t="n">
        <v>0</v>
      </c>
      <c r="F13" s="12" t="n">
        <v>0</v>
      </c>
    </row>
    <row r="14">
      <c r="A14" s="8" t="inlineStr">
        <is>
          <t xml:space="preserve">    Equity ratio (net assets / assets)</t>
        </is>
      </c>
      <c r="B14" s="12" t="n">
        <v>1</v>
      </c>
      <c r="C14" s="12" t="n">
        <v>1</v>
      </c>
      <c r="D14" s="12" t="n">
        <v>1</v>
      </c>
      <c r="E14" s="12" t="n">
        <v>1</v>
      </c>
      <c r="F14" s="12" t="n">
        <v>1</v>
      </c>
    </row>
    <row r="16">
      <c r="A16" s="6" t="inlineStr">
        <is>
          <t>Liquidity &amp; asset profile (derived here)</t>
        </is>
      </c>
      <c r="B16" s="7" t="n"/>
      <c r="C16" s="7" t="n"/>
      <c r="D16" s="7" t="n"/>
      <c r="E16" s="7" t="n"/>
      <c r="F16" s="7" t="n"/>
    </row>
    <row r="17">
      <c r="A17" s="8" t="inlineStr">
        <is>
          <t xml:space="preserve">    Current ratio (current assets / AP)</t>
        </is>
      </c>
      <c r="B17" s="19" t="n"/>
      <c r="C17" s="19" t="n"/>
      <c r="D17" s="19" t="n"/>
      <c r="E17" s="19" t="n"/>
      <c r="F17" s="19" t="n"/>
    </row>
    <row r="18">
      <c r="A18" s="8" t="inlineStr">
        <is>
          <t xml:space="preserve">    Cash ratio ((cash+temp inv.) / total liab.)</t>
        </is>
      </c>
      <c r="B18" s="19" t="n"/>
      <c r="C18" s="19" t="n"/>
      <c r="D18" s="19" t="n"/>
      <c r="E18" s="19" t="n"/>
      <c r="F18" s="19" t="n"/>
    </row>
    <row r="19">
      <c r="A19" s="8" t="inlineStr">
        <is>
          <t xml:space="preserve">    Asset age proxy (accum. deprec. / gross PP&amp;E)</t>
        </is>
      </c>
      <c r="B19" s="12" t="n"/>
      <c r="C19" s="12" t="n"/>
      <c r="D19" s="12" t="n"/>
      <c r="E19" s="12" t="n"/>
      <c r="F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Manon Manor Mutual Water Company</t>
        </is>
      </c>
    </row>
    <row r="2">
      <c r="A2" s="2" t="inlineStr">
        <is>
          <t>Unit economics - per-customer revenue by category (USD)</t>
        </is>
      </c>
    </row>
    <row r="3">
      <c r="A3" s="2" t="inlineStr">
        <is>
          <t>Entity ID: cawc_0095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Manon Manor Mutual Water Company</t>
        </is>
      </c>
    </row>
    <row r="2">
      <c r="A2" s="2" t="inlineStr">
        <is>
          <t>Rate structure and representative bill - eAR Section 8a</t>
        </is>
      </c>
    </row>
    <row r="3">
      <c r="A3" s="2" t="inlineStr">
        <is>
          <t>Entity ID: cawc_0095   |   Fiscal year ends December 31.</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Manon Manor Mutual Water Company</t>
        </is>
      </c>
    </row>
    <row r="2">
      <c r="A2" s="2" t="inlineStr">
        <is>
          <t>Operational metrics - plant per acre, density, terrain</t>
        </is>
      </c>
    </row>
    <row r="3">
      <c r="A3" s="2" t="inlineStr">
        <is>
          <t>Entity ID: cawc_0095   |   Fiscal year ends December 31.</t>
        </is>
      </c>
    </row>
    <row r="5">
      <c r="A5" s="6" t="inlineStr">
        <is>
          <t>Connections per acre</t>
        </is>
      </c>
      <c r="B5" s="7" t="n"/>
      <c r="C5" s="7" t="n"/>
    </row>
    <row r="6">
      <c r="A6" s="20" t="inlineStr">
        <is>
          <t>Connections per acre</t>
        </is>
      </c>
      <c r="B6" s="19" t="n">
        <v>0.72</v>
      </c>
      <c r="C6" s="22" t="inlineStr">
        <is>
          <t>55 connections / 76.9 acres. CA State Water Board SABL SERVICE_CONNECTIONS; Geodesic area (WGS84 spherical excess) of the SABL service-area polygon.</t>
        </is>
      </c>
    </row>
  </sheetData>
  <mergeCells count="3">
    <mergeCell ref="A1:C1"/>
    <mergeCell ref="A3:C3"/>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Manon Manor Mutual Water Company</t>
        </is>
      </c>
    </row>
    <row r="2">
      <c r="A2" s="2" t="inlineStr">
        <is>
          <t>Supply and weather indicators (DWR water year)</t>
        </is>
      </c>
    </row>
    <row r="3">
      <c r="A3" s="2" t="inlineStr">
        <is>
          <t>Entity ID: cawc_0095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6" t="inlineStr">
        <is>
          <t>Critical</t>
        </is>
      </c>
      <c r="C8" s="26" t="inlineStr">
        <is>
          <t>Critical</t>
        </is>
      </c>
      <c r="D8" s="26" t="inlineStr">
        <is>
          <t>Wet</t>
        </is>
      </c>
      <c r="E8" s="26" t="inlineStr">
        <is>
          <t>Above Normal</t>
        </is>
      </c>
      <c r="F8" s="27" t="inlineStr">
        <is>
          <t>not reported</t>
        </is>
      </c>
    </row>
    <row r="9">
      <c r="A9" s="8" t="inlineStr">
        <is>
          <t>Peak drought, county County</t>
        </is>
      </c>
      <c r="B9" s="27" t="inlineStr">
        <is>
          <t>not reported</t>
        </is>
      </c>
      <c r="C9" s="27" t="inlineStr">
        <is>
          <t>not reported</t>
        </is>
      </c>
      <c r="D9" s="27" t="inlineStr">
        <is>
          <t>not reported</t>
        </is>
      </c>
      <c r="E9" s="27" t="inlineStr">
        <is>
          <t>not reported</t>
        </is>
      </c>
      <c r="F9" s="27" t="inlineStr">
        <is>
          <t>not reported</t>
        </is>
      </c>
    </row>
    <row r="10">
      <c r="A10" s="8" t="inlineStr">
        <is>
          <t>Precip, percent of normal (8-Station Index)</t>
        </is>
      </c>
      <c r="B10" s="26" t="inlineStr">
        <is>
          <t>48</t>
        </is>
      </c>
      <c r="C10" s="26" t="inlineStr">
        <is>
          <t>86</t>
        </is>
      </c>
      <c r="D10" s="26" t="inlineStr">
        <is>
          <t>133</t>
        </is>
      </c>
      <c r="E10" s="26" t="inlineStr">
        <is>
          <t>96</t>
        </is>
      </c>
      <c r="F10" s="26" t="inlineStr">
        <is>
          <t>113</t>
        </is>
      </c>
    </row>
    <row r="11">
      <c r="A11" s="8" t="inlineStr">
        <is>
          <t>Snowpack, April 1 percent of average</t>
        </is>
      </c>
      <c r="B11" s="26" t="inlineStr">
        <is>
          <t>59%</t>
        </is>
      </c>
      <c r="C11" s="26" t="inlineStr">
        <is>
          <t>38%</t>
        </is>
      </c>
      <c r="D11" s="26" t="inlineStr">
        <is>
          <t>237%</t>
        </is>
      </c>
      <c r="E11" s="26" t="inlineStr">
        <is>
          <t>110%</t>
        </is>
      </c>
      <c r="F11" s="26" t="inlineStr">
        <is>
          <t>96%</t>
        </is>
      </c>
    </row>
    <row r="12">
      <c r="A12" s="8" t="inlineStr">
        <is>
          <t>State Water Project allocation</t>
        </is>
      </c>
      <c r="B12" s="26" t="inlineStr">
        <is>
          <t>5%</t>
        </is>
      </c>
      <c r="C12" s="26" t="inlineStr">
        <is>
          <t>5%</t>
        </is>
      </c>
      <c r="D12" s="26" t="inlineStr">
        <is>
          <t>100%</t>
        </is>
      </c>
      <c r="E12" s="26" t="inlineStr">
        <is>
          <t>40%</t>
        </is>
      </c>
      <c r="F12" s="26"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Manon Manor Mutual Water Company</t>
        </is>
      </c>
    </row>
    <row r="2">
      <c r="A2" s="2" t="inlineStr">
        <is>
          <t>How this was built - forensic lineage</t>
        </is>
      </c>
    </row>
    <row r="3">
      <c r="A3" s="2" t="inlineStr">
        <is>
          <t>Entity ID: cawc_0095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Manon Manor Mutual Water Company</t>
        </is>
      </c>
    </row>
    <row r="2">
      <c r="A2" s="2" t="inlineStr">
        <is>
          <t>Anomaly Flags (automated; kept separate from the clean statements)</t>
        </is>
      </c>
    </row>
    <row r="3">
      <c r="A3" s="2" t="inlineStr">
        <is>
          <t>Entity ID: cawc_0095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FY2024 opening net assets differ from FY2023 closing</t>
        </is>
      </c>
      <c r="B7" s="7" t="n"/>
    </row>
    <row r="8">
      <c r="A8" s="20" t="inlineStr">
        <is>
          <t>Affected figure</t>
        </is>
      </c>
      <c r="B8" s="22" t="inlineStr">
        <is>
          <t>Net assets FY2024</t>
        </is>
      </c>
    </row>
    <row r="9">
      <c r="A9" s="20" t="inlineStr">
        <is>
          <t>Confidence</t>
        </is>
      </c>
      <c r="B9" s="22" t="inlineStr">
        <is>
          <t>high</t>
        </is>
      </c>
    </row>
    <row r="10" ht="72" customHeight="1">
      <c r="A10" s="20" t="inlineStr">
        <is>
          <t>What happened (filed, sourced)</t>
        </is>
      </c>
      <c r="B10" s="22" t="inlineStr">
        <is>
          <t>The company filed $13,390 as its beginning net assets for FY2024 and $12,740 as its ending net assets for FY2023, a difference of $650. Both figures are carried exactly as each year's own filing reports them. Neither is adjusted to match the other.</t>
        </is>
      </c>
    </row>
    <row r="11" ht="54" customHeight="1">
      <c r="A11" s="20" t="inlineStr">
        <is>
          <t>Source lines</t>
        </is>
      </c>
      <c r="B11" s="22" t="inlineStr">
        <is>
          <t>- FY2024 net assets, beginning of year (as filed): $13,390
- FY2023 net assets, end of year (as filed): $12,740
- Difference: $650</t>
        </is>
      </c>
    </row>
    <row r="12" ht="72" customHeight="1">
      <c r="A12" s="20" t="inlineStr">
        <is>
          <t>Confidence reasoning</t>
        </is>
      </c>
      <c r="B12" s="22" t="inlineStr">
        <is>
          <t>Both are direct filed line items read from two different returns, so the difference between them is high confidence as an observation. What caused it is not stated on either form.</t>
        </is>
      </c>
    </row>
    <row r="13">
      <c r="A13" s="20" t="inlineStr">
        <is>
          <t>Why (not stated in the filing)</t>
        </is>
      </c>
      <c r="B13" s="22" t="inlineStr">
        <is>
          <t>The filing does not state a reason.</t>
        </is>
      </c>
    </row>
    <row r="14" ht="60" customHeight="1">
      <c r="A14" s="20" t="inlineStr">
        <is>
          <t>Possible explanation (guess)</t>
        </is>
      </c>
      <c r="B14" s="28" t="inlineStr">
        <is>
          <t>Possible explanation, not stated in filing: a beginning balance that differs from the prior year's ending balance usually means the earlier year was restated, or a balance-sheet line was reclassified between the two filings. This is an educated guess, not something either filing says.</t>
        </is>
      </c>
    </row>
  </sheetData>
  <mergeCells count="4">
    <mergeCell ref="A3:B3"/>
    <mergeCell ref="A2:B2"/>
    <mergeCell ref="A1:B1"/>
    <mergeCell ref="A5:B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01"/>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Manon Manor Mutual Water Company</t>
        </is>
      </c>
    </row>
    <row r="2">
      <c r="A2" s="2" t="inlineStr">
        <is>
          <t>Sources &amp; audit - full provenance and tie-outs (kept off the statements so they read clean)</t>
        </is>
      </c>
    </row>
    <row r="3">
      <c r="A3" s="2" t="inlineStr">
        <is>
          <t>Entity ID: cawc_0095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9"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6" t="inlineStr">
        <is>
          <t>FY2021</t>
        </is>
      </c>
      <c r="B10" s="8" t="inlineStr">
        <is>
          <t>2021-12-31</t>
        </is>
      </c>
      <c r="C10" s="8" t="inlineStr">
        <is>
          <t>990-EZ</t>
        </is>
      </c>
      <c r="D10" s="8" t="inlineStr">
        <is>
          <t>high</t>
        </is>
      </c>
      <c r="E10" s="8" t="inlineStr">
        <is>
          <t>254275e7-8234-4498-a2b8-34eaa001aff3</t>
        </is>
      </c>
      <c r="F10" s="8" t="inlineStr">
        <is>
          <t>202211379349201521</t>
        </is>
      </c>
      <c r="G10" s="8" t="inlineStr">
        <is>
          <t>claude-opus-5</t>
        </is>
      </c>
      <c r="H10" s="8" t="inlineStr">
        <is>
          <t>2026-09-23T07:16:52+00:00</t>
        </is>
      </c>
      <c r="I10" s="8" t="inlineStr">
        <is>
          <t>https://apps.irs.gov/pub/epostcard/990/xml/2022/2022_TEOS_XML_01A.zip#202211379349201521_public.xml</t>
        </is>
      </c>
    </row>
    <row r="11">
      <c r="A11" s="26" t="inlineStr">
        <is>
          <t>FY2022</t>
        </is>
      </c>
      <c r="B11" s="8" t="inlineStr">
        <is>
          <t>2022-12-31</t>
        </is>
      </c>
      <c r="C11" s="8" t="inlineStr">
        <is>
          <t>990-EZ</t>
        </is>
      </c>
      <c r="D11" s="8" t="inlineStr">
        <is>
          <t>high</t>
        </is>
      </c>
      <c r="E11" s="8" t="inlineStr">
        <is>
          <t>4562d468-c166-4fcb-8d36-af5a452eab67</t>
        </is>
      </c>
      <c r="F11" s="8" t="inlineStr">
        <is>
          <t>202311349349201026</t>
        </is>
      </c>
      <c r="G11" s="8" t="inlineStr">
        <is>
          <t>claude-opus-5</t>
        </is>
      </c>
      <c r="H11" s="8" t="inlineStr">
        <is>
          <t>2026-09-23T07:16:52+00:00</t>
        </is>
      </c>
      <c r="I11" s="8" t="inlineStr">
        <is>
          <t>https://apps.irs.gov/pub/epostcard/990/xml/2023/2023_TEOS_XML_05A.zip#202311349349201026_public.xml</t>
        </is>
      </c>
    </row>
    <row r="12">
      <c r="A12" s="26" t="inlineStr">
        <is>
          <t>FY2023</t>
        </is>
      </c>
      <c r="B12" s="8" t="inlineStr">
        <is>
          <t>2023-12-31</t>
        </is>
      </c>
      <c r="C12" s="8" t="inlineStr">
        <is>
          <t>990-EZ</t>
        </is>
      </c>
      <c r="D12" s="8" t="inlineStr">
        <is>
          <t>high</t>
        </is>
      </c>
      <c r="E12" s="8" t="inlineStr">
        <is>
          <t>0d0840e6-232c-4e36-9d72-cd46d96aae6a</t>
        </is>
      </c>
      <c r="F12" s="8" t="inlineStr">
        <is>
          <t>202431339349200138</t>
        </is>
      </c>
      <c r="G12" s="8" t="inlineStr">
        <is>
          <t>claude-opus-5</t>
        </is>
      </c>
      <c r="H12" s="8" t="inlineStr">
        <is>
          <t>2026-09-23T07:16:52+00:00</t>
        </is>
      </c>
      <c r="I12" s="8" t="inlineStr">
        <is>
          <t>https://apps.irs.gov/pub/epostcard/990/xml/2024/2024_TEOS_XML_05A.zip#202431339349200138_public.xml</t>
        </is>
      </c>
    </row>
    <row r="13">
      <c r="A13" s="26" t="inlineStr">
        <is>
          <t>FY2024</t>
        </is>
      </c>
      <c r="B13" s="8" t="inlineStr">
        <is>
          <t>2024-12-31</t>
        </is>
      </c>
      <c r="C13" s="8" t="inlineStr">
        <is>
          <t>990</t>
        </is>
      </c>
      <c r="D13" s="8" t="inlineStr">
        <is>
          <t>high</t>
        </is>
      </c>
      <c r="E13" s="8" t="inlineStr">
        <is>
          <t>e222cc5c-5a24-4571-a5e5-121576a3aa9d</t>
        </is>
      </c>
      <c r="F13" s="8" t="inlineStr">
        <is>
          <t>202531309349301503</t>
        </is>
      </c>
      <c r="G13" s="8" t="inlineStr">
        <is>
          <t>claude-opus-5</t>
        </is>
      </c>
      <c r="H13" s="8" t="inlineStr">
        <is>
          <t>2026-09-23T07:16:52+00:00</t>
        </is>
      </c>
      <c r="I13" s="8" t="inlineStr">
        <is>
          <t>https://apps.irs.gov/pub/epostcard/990/xml/2025/2025_TEOS_XML_05B.zip#202531309349301503_public.xml</t>
        </is>
      </c>
    </row>
    <row r="14">
      <c r="A14" s="26" t="inlineStr">
        <is>
          <t>FY2025</t>
        </is>
      </c>
      <c r="B14" s="8" t="inlineStr">
        <is>
          <t>2025-12-31</t>
        </is>
      </c>
      <c r="C14" s="8" t="inlineStr">
        <is>
          <t>990</t>
        </is>
      </c>
      <c r="D14" s="8" t="inlineStr">
        <is>
          <t>high</t>
        </is>
      </c>
      <c r="E14" s="8" t="inlineStr">
        <is>
          <t>8992852a-996e-48e5-95a0-728a63f91ddd</t>
        </is>
      </c>
      <c r="F14" s="8" t="inlineStr">
        <is>
          <t>202611299349301316</t>
        </is>
      </c>
      <c r="G14" s="8" t="inlineStr">
        <is>
          <t>claude-opus-5</t>
        </is>
      </c>
      <c r="H14" s="8" t="inlineStr">
        <is>
          <t>2026-09-23T07:16:52+00:00</t>
        </is>
      </c>
      <c r="I14" s="8" t="inlineStr">
        <is>
          <t>https://apps.irs.gov/pub/epostcard/990/xml/2026/2026_TEOS_XML_05A.zip#202611299349301316_public.xml</t>
        </is>
      </c>
    </row>
    <row r="16">
      <c r="A16" s="29"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125600</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134085</v>
      </c>
    </row>
    <row r="20">
      <c r="A20" s="8" t="inlineStr">
        <is>
          <t>Financial Statements</t>
        </is>
      </c>
      <c r="B20" s="8" t="inlineStr">
        <is>
          <t>B74</t>
        </is>
      </c>
      <c r="C20" s="8" t="inlineStr">
        <is>
          <t>11b. Gross income from other sources</t>
        </is>
      </c>
      <c r="D20" s="8" t="inlineStr">
        <is>
          <t>11b</t>
        </is>
      </c>
      <c r="E20" s="8" t="inlineStr">
        <is>
          <t>part_v_other_irs_filings.other_sources_gross_income</t>
        </is>
      </c>
      <c r="F20" s="8" t="inlineStr">
        <is>
          <t>high</t>
        </is>
      </c>
      <c r="G20" s="9" t="n">
        <v>0</v>
      </c>
    </row>
    <row r="21">
      <c r="A21" s="8" t="inlineStr">
        <is>
          <t>Financial Statements</t>
        </is>
      </c>
      <c r="B21" s="8" t="inlineStr">
        <is>
          <t>C74</t>
        </is>
      </c>
      <c r="C21" s="8" t="inlineStr">
        <is>
          <t>11b. Gross income from other sources</t>
        </is>
      </c>
      <c r="D21" s="8" t="inlineStr">
        <is>
          <t>11b</t>
        </is>
      </c>
      <c r="E21" s="8" t="inlineStr">
        <is>
          <t>part_v_other_irs_filings.other_sources_gross_income</t>
        </is>
      </c>
      <c r="F21" s="8" t="inlineStr">
        <is>
          <t>high</t>
        </is>
      </c>
      <c r="G21" s="9" t="n">
        <v>0</v>
      </c>
    </row>
    <row r="22">
      <c r="A22" s="8" t="inlineStr">
        <is>
          <t>Revenue (detail)</t>
        </is>
      </c>
      <c r="B22" s="8" t="inlineStr">
        <is>
          <t>B7</t>
        </is>
      </c>
      <c r="C22" s="8" t="inlineStr">
        <is>
          <t>1h. Total contributions, gifts, grants</t>
        </is>
      </c>
      <c r="D22" s="8" t="inlineStr">
        <is>
          <t>1h</t>
        </is>
      </c>
      <c r="E22" s="8" t="inlineStr">
        <is>
          <t>part_viii_revenue.total_contributions</t>
        </is>
      </c>
      <c r="F22" s="8" t="inlineStr">
        <is>
          <t>high</t>
        </is>
      </c>
      <c r="G22" s="9" t="n">
        <v>0</v>
      </c>
    </row>
    <row r="23">
      <c r="A23" s="8" t="inlineStr">
        <is>
          <t>Revenue (detail)</t>
        </is>
      </c>
      <c r="B23" s="8" t="inlineStr">
        <is>
          <t>C7</t>
        </is>
      </c>
      <c r="C23" s="8" t="inlineStr">
        <is>
          <t>1h. Total contributions, gifts, grants</t>
        </is>
      </c>
      <c r="D23" s="8" t="inlineStr">
        <is>
          <t>1h</t>
        </is>
      </c>
      <c r="E23" s="8" t="inlineStr">
        <is>
          <t>part_viii_revenue.total_contributions</t>
        </is>
      </c>
      <c r="F23" s="8" t="inlineStr">
        <is>
          <t>high</t>
        </is>
      </c>
      <c r="G23" s="9" t="n">
        <v>134085</v>
      </c>
    </row>
    <row r="24">
      <c r="A24" s="8" t="inlineStr">
        <is>
          <t>Revenue (detail)</t>
        </is>
      </c>
      <c r="B24" s="8" t="inlineStr">
        <is>
          <t>B8</t>
        </is>
      </c>
      <c r="C24" s="8" t="inlineStr">
        <is>
          <t>2g. Total program service revenue</t>
        </is>
      </c>
      <c r="D24" s="8" t="inlineStr">
        <is>
          <t>2g</t>
        </is>
      </c>
      <c r="E24" s="8" t="inlineStr">
        <is>
          <t>part_viii_revenue.total_program_service_revenue</t>
        </is>
      </c>
      <c r="F24" s="8" t="inlineStr">
        <is>
          <t>high</t>
        </is>
      </c>
      <c r="G24" s="9" t="n">
        <v>0</v>
      </c>
    </row>
    <row r="25">
      <c r="A25" s="8" t="inlineStr">
        <is>
          <t>Revenue (detail)</t>
        </is>
      </c>
      <c r="B25" s="8" t="inlineStr">
        <is>
          <t>C8</t>
        </is>
      </c>
      <c r="C25" s="8" t="inlineStr">
        <is>
          <t>2g. Total program service revenue</t>
        </is>
      </c>
      <c r="D25" s="8" t="inlineStr">
        <is>
          <t>2g</t>
        </is>
      </c>
      <c r="E25" s="8" t="inlineStr">
        <is>
          <t>part_viii_revenue.total_program_service_revenue</t>
        </is>
      </c>
      <c r="F25" s="8" t="inlineStr">
        <is>
          <t>high</t>
        </is>
      </c>
      <c r="G25" s="9" t="n">
        <v>0</v>
      </c>
    </row>
    <row r="26">
      <c r="A26" s="8" t="inlineStr">
        <is>
          <t>Revenue (detail)</t>
        </is>
      </c>
      <c r="B26" s="8" t="inlineStr">
        <is>
          <t>B12</t>
        </is>
      </c>
      <c r="C26" s="8" t="inlineStr">
        <is>
          <t>11e. Other revenue</t>
        </is>
      </c>
      <c r="D26" s="8" t="inlineStr">
        <is>
          <t>11e</t>
        </is>
      </c>
      <c r="E26" s="8" t="inlineStr">
        <is>
          <t>part_viii_revenue.other_revenue_total</t>
        </is>
      </c>
      <c r="F26" s="8" t="inlineStr">
        <is>
          <t>high</t>
        </is>
      </c>
      <c r="G26" s="9" t="n">
        <v>0</v>
      </c>
    </row>
    <row r="27">
      <c r="A27" s="8" t="inlineStr">
        <is>
          <t>Revenue (detail)</t>
        </is>
      </c>
      <c r="B27" s="8" t="inlineStr">
        <is>
          <t>C12</t>
        </is>
      </c>
      <c r="C27" s="8" t="inlineStr">
        <is>
          <t>11e. Other revenue</t>
        </is>
      </c>
      <c r="D27" s="8" t="inlineStr">
        <is>
          <t>11e</t>
        </is>
      </c>
      <c r="E27" s="8" t="inlineStr">
        <is>
          <t>part_viii_revenue.other_revenue_total</t>
        </is>
      </c>
      <c r="F27" s="8" t="inlineStr">
        <is>
          <t>high</t>
        </is>
      </c>
      <c r="G27" s="9" t="n">
        <v>0</v>
      </c>
    </row>
    <row r="28">
      <c r="A28" s="8" t="inlineStr">
        <is>
          <t>Operating expenses (detail)</t>
        </is>
      </c>
      <c r="B28" s="8" t="inlineStr">
        <is>
          <t>B7</t>
        </is>
      </c>
      <c r="C28" s="8" t="inlineStr">
        <is>
          <t>1. Grants to domestic organizations and governments</t>
        </is>
      </c>
      <c r="D28" s="8" t="inlineStr">
        <is>
          <t>1</t>
        </is>
      </c>
      <c r="E28" s="8" t="inlineStr">
        <is>
          <t>part_ix_expenses.grants_domestic_orgs</t>
        </is>
      </c>
      <c r="F28" s="8" t="inlineStr">
        <is>
          <t>high</t>
        </is>
      </c>
      <c r="G28" s="9" t="n">
        <v>0</v>
      </c>
    </row>
    <row r="29">
      <c r="A29" s="8" t="inlineStr">
        <is>
          <t>Operating expenses (detail)</t>
        </is>
      </c>
      <c r="B29" s="8" t="inlineStr">
        <is>
          <t>B8</t>
        </is>
      </c>
      <c r="C29" s="8" t="inlineStr">
        <is>
          <t>2. Grants to domestic individuals</t>
        </is>
      </c>
      <c r="D29" s="8" t="inlineStr">
        <is>
          <t>2</t>
        </is>
      </c>
      <c r="E29" s="8" t="inlineStr">
        <is>
          <t>part_ix_expenses.grants_domestic_individuals</t>
        </is>
      </c>
      <c r="F29" s="8" t="inlineStr">
        <is>
          <t>high</t>
        </is>
      </c>
      <c r="G29" s="9" t="n">
        <v>0</v>
      </c>
    </row>
    <row r="30">
      <c r="A30" s="8" t="inlineStr">
        <is>
          <t>Operating expenses (detail)</t>
        </is>
      </c>
      <c r="B30" s="8" t="inlineStr">
        <is>
          <t>B9</t>
        </is>
      </c>
      <c r="C30" s="8" t="inlineStr">
        <is>
          <t>3. Grants to foreign organizations and individuals</t>
        </is>
      </c>
      <c r="D30" s="8" t="inlineStr">
        <is>
          <t>3</t>
        </is>
      </c>
      <c r="E30" s="8" t="inlineStr">
        <is>
          <t>part_ix_expenses.foreign_grants</t>
        </is>
      </c>
      <c r="F30" s="8" t="inlineStr">
        <is>
          <t>high</t>
        </is>
      </c>
      <c r="G30" s="9" t="n">
        <v>0</v>
      </c>
    </row>
    <row r="31">
      <c r="A31" s="8" t="inlineStr">
        <is>
          <t>Operating expenses (detail)</t>
        </is>
      </c>
      <c r="B31" s="8" t="inlineStr">
        <is>
          <t>B10</t>
        </is>
      </c>
      <c r="C31" s="8" t="inlineStr">
        <is>
          <t>4. Benefits paid to or for members</t>
        </is>
      </c>
      <c r="D31" s="8" t="inlineStr">
        <is>
          <t>4</t>
        </is>
      </c>
      <c r="E31" s="8" t="inlineStr">
        <is>
          <t>part_ix_expenses.benefits_to_members</t>
        </is>
      </c>
      <c r="F31" s="8" t="inlineStr">
        <is>
          <t>high</t>
        </is>
      </c>
      <c r="G31" s="9" t="n">
        <v>0</v>
      </c>
    </row>
    <row r="32">
      <c r="A32" s="8" t="inlineStr">
        <is>
          <t>Operating expenses (detail)</t>
        </is>
      </c>
      <c r="B32" s="8" t="inlineStr">
        <is>
          <t>B11</t>
        </is>
      </c>
      <c r="C32" s="8" t="inlineStr">
        <is>
          <t>5. Compensation of current officers, directors, trustees</t>
        </is>
      </c>
      <c r="D32" s="8" t="inlineStr">
        <is>
          <t>5</t>
        </is>
      </c>
      <c r="E32" s="8" t="inlineStr">
        <is>
          <t>part_ix_expenses.comp_current_officers</t>
        </is>
      </c>
      <c r="F32" s="8" t="inlineStr">
        <is>
          <t>high</t>
        </is>
      </c>
      <c r="G32" s="9" t="n">
        <v>0</v>
      </c>
    </row>
    <row r="33">
      <c r="A33" s="8" t="inlineStr">
        <is>
          <t>Operating expenses (detail)</t>
        </is>
      </c>
      <c r="B33" s="8" t="inlineStr">
        <is>
          <t>B12</t>
        </is>
      </c>
      <c r="C33" s="8" t="inlineStr">
        <is>
          <t>6. Compensation to disqualified persons</t>
        </is>
      </c>
      <c r="D33" s="8" t="inlineStr">
        <is>
          <t>6</t>
        </is>
      </c>
      <c r="E33" s="8" t="inlineStr">
        <is>
          <t>part_ix_expenses.comp_disqualified_persons</t>
        </is>
      </c>
      <c r="F33" s="8" t="inlineStr">
        <is>
          <t>high</t>
        </is>
      </c>
      <c r="G33" s="9" t="n">
        <v>0</v>
      </c>
    </row>
    <row r="34">
      <c r="A34" s="8" t="inlineStr">
        <is>
          <t>Operating expenses (detail)</t>
        </is>
      </c>
      <c r="B34" s="8" t="inlineStr">
        <is>
          <t>B13</t>
        </is>
      </c>
      <c r="C34" s="8" t="inlineStr">
        <is>
          <t>7. Other salaries and wages</t>
        </is>
      </c>
      <c r="D34" s="8" t="inlineStr">
        <is>
          <t>7</t>
        </is>
      </c>
      <c r="E34" s="8" t="inlineStr">
        <is>
          <t>part_ix_expenses.other_salaries_and_wages</t>
        </is>
      </c>
      <c r="F34" s="8" t="inlineStr">
        <is>
          <t>high</t>
        </is>
      </c>
      <c r="G34" s="9" t="n">
        <v>0</v>
      </c>
    </row>
    <row r="35">
      <c r="A35" s="8" t="inlineStr">
        <is>
          <t>Operating expenses (detail)</t>
        </is>
      </c>
      <c r="B35" s="8" t="inlineStr">
        <is>
          <t>B14</t>
        </is>
      </c>
      <c r="C35" s="8" t="inlineStr">
        <is>
          <t>8. Pension plan accruals and contributions</t>
        </is>
      </c>
      <c r="D35" s="8" t="inlineStr">
        <is>
          <t>8</t>
        </is>
      </c>
      <c r="E35" s="8" t="inlineStr">
        <is>
          <t>part_ix_expenses.pension_plan_contributions</t>
        </is>
      </c>
      <c r="F35" s="8" t="inlineStr">
        <is>
          <t>high</t>
        </is>
      </c>
      <c r="G35" s="9" t="n">
        <v>0</v>
      </c>
    </row>
    <row r="36">
      <c r="A36" s="8" t="inlineStr">
        <is>
          <t>Operating expenses (detail)</t>
        </is>
      </c>
      <c r="B36" s="8" t="inlineStr">
        <is>
          <t>B15</t>
        </is>
      </c>
      <c r="C36" s="8" t="inlineStr">
        <is>
          <t>9. Other employee benefits</t>
        </is>
      </c>
      <c r="D36" s="8" t="inlineStr">
        <is>
          <t>9</t>
        </is>
      </c>
      <c r="E36" s="8" t="inlineStr">
        <is>
          <t>part_ix_expenses.other_employee_benefits</t>
        </is>
      </c>
      <c r="F36" s="8" t="inlineStr">
        <is>
          <t>high</t>
        </is>
      </c>
      <c r="G36" s="9" t="n">
        <v>0</v>
      </c>
    </row>
    <row r="37">
      <c r="A37" s="8" t="inlineStr">
        <is>
          <t>Operating expenses (detail)</t>
        </is>
      </c>
      <c r="B37" s="8" t="inlineStr">
        <is>
          <t>B16</t>
        </is>
      </c>
      <c r="C37" s="8" t="inlineStr">
        <is>
          <t>10. Payroll taxes</t>
        </is>
      </c>
      <c r="D37" s="8" t="inlineStr">
        <is>
          <t>10</t>
        </is>
      </c>
      <c r="E37" s="8" t="inlineStr">
        <is>
          <t>part_ix_expenses.payroll_taxes</t>
        </is>
      </c>
      <c r="F37" s="8" t="inlineStr">
        <is>
          <t>high</t>
        </is>
      </c>
      <c r="G37" s="9" t="n">
        <v>0</v>
      </c>
    </row>
    <row r="38">
      <c r="A38" s="8" t="inlineStr">
        <is>
          <t>Operating expenses (detail)</t>
        </is>
      </c>
      <c r="B38" s="8" t="inlineStr">
        <is>
          <t>B17</t>
        </is>
      </c>
      <c r="C38" s="8" t="inlineStr">
        <is>
          <t>11a. Fees for services: management</t>
        </is>
      </c>
      <c r="D38" s="8" t="inlineStr">
        <is>
          <t>11a</t>
        </is>
      </c>
      <c r="E38" s="8" t="inlineStr">
        <is>
          <t>part_ix_expenses.fees_management</t>
        </is>
      </c>
      <c r="F38" s="8" t="inlineStr">
        <is>
          <t>high</t>
        </is>
      </c>
      <c r="G38" s="9" t="n">
        <v>0</v>
      </c>
    </row>
    <row r="39">
      <c r="A39" s="8" t="inlineStr">
        <is>
          <t>Operating expenses (detail)</t>
        </is>
      </c>
      <c r="B39" s="8" t="inlineStr">
        <is>
          <t>B18</t>
        </is>
      </c>
      <c r="C39" s="8" t="inlineStr">
        <is>
          <t>11b. Fees for services: legal</t>
        </is>
      </c>
      <c r="D39" s="8" t="inlineStr">
        <is>
          <t>11b</t>
        </is>
      </c>
      <c r="E39" s="8" t="inlineStr">
        <is>
          <t>part_ix_expenses.fees_legal</t>
        </is>
      </c>
      <c r="F39" s="8" t="inlineStr">
        <is>
          <t>high</t>
        </is>
      </c>
      <c r="G39" s="9" t="n">
        <v>0</v>
      </c>
    </row>
    <row r="40">
      <c r="A40" s="8" t="inlineStr">
        <is>
          <t>Operating expenses (detail)</t>
        </is>
      </c>
      <c r="B40" s="8" t="inlineStr">
        <is>
          <t>B19</t>
        </is>
      </c>
      <c r="C40" s="8" t="inlineStr">
        <is>
          <t>11c. Fees for services: accounting</t>
        </is>
      </c>
      <c r="D40" s="8" t="inlineStr">
        <is>
          <t>11c</t>
        </is>
      </c>
      <c r="E40" s="8" t="inlineStr">
        <is>
          <t>part_ix_expenses.fees_accounting</t>
        </is>
      </c>
      <c r="F40" s="8" t="inlineStr">
        <is>
          <t>high</t>
        </is>
      </c>
      <c r="G40" s="9" t="n">
        <v>0</v>
      </c>
    </row>
    <row r="41">
      <c r="A41" s="8" t="inlineStr">
        <is>
          <t>Operating expenses (detail)</t>
        </is>
      </c>
      <c r="B41" s="8" t="inlineStr">
        <is>
          <t>B20</t>
        </is>
      </c>
      <c r="C41" s="8" t="inlineStr">
        <is>
          <t>11d. Fees for services: lobbying</t>
        </is>
      </c>
      <c r="D41" s="8" t="inlineStr">
        <is>
          <t>11d</t>
        </is>
      </c>
      <c r="E41" s="8" t="inlineStr">
        <is>
          <t>part_ix_expenses.fees_lobbying</t>
        </is>
      </c>
      <c r="F41" s="8" t="inlineStr">
        <is>
          <t>high</t>
        </is>
      </c>
      <c r="G41" s="9" t="n">
        <v>0</v>
      </c>
    </row>
    <row r="42">
      <c r="A42" s="8" t="inlineStr">
        <is>
          <t>Operating expenses (detail)</t>
        </is>
      </c>
      <c r="B42" s="8" t="inlineStr">
        <is>
          <t>B21</t>
        </is>
      </c>
      <c r="C42" s="8" t="inlineStr">
        <is>
          <t>11e. Fees for services: professional fundraising</t>
        </is>
      </c>
      <c r="D42" s="8" t="inlineStr">
        <is>
          <t>11e</t>
        </is>
      </c>
      <c r="E42" s="8" t="inlineStr">
        <is>
          <t>part_ix_expenses.fees_prof_fundraising</t>
        </is>
      </c>
      <c r="F42" s="8" t="inlineStr">
        <is>
          <t>high</t>
        </is>
      </c>
      <c r="G42" s="9" t="n">
        <v>0</v>
      </c>
    </row>
    <row r="43">
      <c r="A43" s="8" t="inlineStr">
        <is>
          <t>Operating expenses (detail)</t>
        </is>
      </c>
      <c r="B43" s="8" t="inlineStr">
        <is>
          <t>B22</t>
        </is>
      </c>
      <c r="C43" s="8" t="inlineStr">
        <is>
          <t>11f. Fees for services: investment management</t>
        </is>
      </c>
      <c r="D43" s="8" t="inlineStr">
        <is>
          <t>11f</t>
        </is>
      </c>
      <c r="E43" s="8" t="inlineStr">
        <is>
          <t>part_ix_expenses.fees_investment_mgmt</t>
        </is>
      </c>
      <c r="F43" s="8" t="inlineStr">
        <is>
          <t>high</t>
        </is>
      </c>
      <c r="G43" s="9" t="n">
        <v>0</v>
      </c>
    </row>
    <row r="44">
      <c r="A44" s="8" t="inlineStr">
        <is>
          <t>Operating expenses (detail)</t>
        </is>
      </c>
      <c r="B44" s="8" t="inlineStr">
        <is>
          <t>B23</t>
        </is>
      </c>
      <c r="C44" s="8" t="inlineStr">
        <is>
          <t>11g. Fees for services: other</t>
        </is>
      </c>
      <c r="D44" s="8" t="inlineStr">
        <is>
          <t>11g</t>
        </is>
      </c>
      <c r="E44" s="8" t="inlineStr">
        <is>
          <t>part_ix_expenses.fees_other</t>
        </is>
      </c>
      <c r="F44" s="8" t="inlineStr">
        <is>
          <t>high</t>
        </is>
      </c>
      <c r="G44" s="9" t="n">
        <v>0</v>
      </c>
    </row>
    <row r="45">
      <c r="A45" s="8" t="inlineStr">
        <is>
          <t>Operating expenses (detail)</t>
        </is>
      </c>
      <c r="B45" s="8" t="inlineStr">
        <is>
          <t>B24</t>
        </is>
      </c>
      <c r="C45" s="8" t="inlineStr">
        <is>
          <t>12. Advertising and promotion</t>
        </is>
      </c>
      <c r="D45" s="8" t="inlineStr">
        <is>
          <t>12</t>
        </is>
      </c>
      <c r="E45" s="8" t="inlineStr">
        <is>
          <t>part_ix_expenses.advertising</t>
        </is>
      </c>
      <c r="F45" s="8" t="inlineStr">
        <is>
          <t>high</t>
        </is>
      </c>
      <c r="G45" s="9" t="n">
        <v>0</v>
      </c>
    </row>
    <row r="46">
      <c r="A46" s="8" t="inlineStr">
        <is>
          <t>Operating expenses (detail)</t>
        </is>
      </c>
      <c r="B46" s="8" t="inlineStr">
        <is>
          <t>B25</t>
        </is>
      </c>
      <c r="C46" s="8" t="inlineStr">
        <is>
          <t>13. Office expenses</t>
        </is>
      </c>
      <c r="D46" s="8" t="inlineStr">
        <is>
          <t>13</t>
        </is>
      </c>
      <c r="E46" s="8" t="inlineStr">
        <is>
          <t>part_ix_expenses.office_expenses</t>
        </is>
      </c>
      <c r="F46" s="8" t="inlineStr">
        <is>
          <t>high</t>
        </is>
      </c>
      <c r="G46" s="9" t="n">
        <v>1495</v>
      </c>
    </row>
    <row r="47">
      <c r="A47" s="8" t="inlineStr">
        <is>
          <t>Operating expenses (detail)</t>
        </is>
      </c>
      <c r="B47" s="8" t="inlineStr">
        <is>
          <t>C25</t>
        </is>
      </c>
      <c r="C47" s="8" t="inlineStr">
        <is>
          <t>13. Office expenses</t>
        </is>
      </c>
      <c r="D47" s="8" t="inlineStr">
        <is>
          <t>13</t>
        </is>
      </c>
      <c r="E47" s="8" t="inlineStr">
        <is>
          <t>part_ix_expenses.office_expenses</t>
        </is>
      </c>
      <c r="F47" s="8" t="inlineStr">
        <is>
          <t>high</t>
        </is>
      </c>
      <c r="G47" s="9" t="n">
        <v>798</v>
      </c>
    </row>
    <row r="48">
      <c r="A48" s="8" t="inlineStr">
        <is>
          <t>Operating expenses (detail)</t>
        </is>
      </c>
      <c r="B48" s="8" t="inlineStr">
        <is>
          <t>B26</t>
        </is>
      </c>
      <c r="C48" s="8" t="inlineStr">
        <is>
          <t>14. Information technology</t>
        </is>
      </c>
      <c r="D48" s="8" t="inlineStr">
        <is>
          <t>14</t>
        </is>
      </c>
      <c r="E48" s="8" t="inlineStr">
        <is>
          <t>part_ix_expenses.information_technology</t>
        </is>
      </c>
      <c r="F48" s="8" t="inlineStr">
        <is>
          <t>high</t>
        </is>
      </c>
      <c r="G48" s="9" t="n">
        <v>0</v>
      </c>
    </row>
    <row r="49">
      <c r="A49" s="8" t="inlineStr">
        <is>
          <t>Operating expenses (detail)</t>
        </is>
      </c>
      <c r="B49" s="8" t="inlineStr">
        <is>
          <t>B27</t>
        </is>
      </c>
      <c r="C49" s="8" t="inlineStr">
        <is>
          <t>15. Royalties</t>
        </is>
      </c>
      <c r="D49" s="8" t="inlineStr">
        <is>
          <t>15</t>
        </is>
      </c>
      <c r="E49" s="8" t="inlineStr">
        <is>
          <t>part_ix_expenses.royalties</t>
        </is>
      </c>
      <c r="F49" s="8" t="inlineStr">
        <is>
          <t>high</t>
        </is>
      </c>
      <c r="G49" s="9" t="n">
        <v>0</v>
      </c>
    </row>
    <row r="50">
      <c r="A50" s="8" t="inlineStr">
        <is>
          <t>Operating expenses (detail)</t>
        </is>
      </c>
      <c r="B50" s="8" t="inlineStr">
        <is>
          <t>B28</t>
        </is>
      </c>
      <c r="C50" s="8" t="inlineStr">
        <is>
          <t>16. Occupancy</t>
        </is>
      </c>
      <c r="D50" s="8" t="inlineStr">
        <is>
          <t>16</t>
        </is>
      </c>
      <c r="E50" s="8" t="inlineStr">
        <is>
          <t>part_ix_expenses.occupancy</t>
        </is>
      </c>
      <c r="F50" s="8" t="inlineStr">
        <is>
          <t>high</t>
        </is>
      </c>
      <c r="G50" s="9" t="n">
        <v>0</v>
      </c>
    </row>
    <row r="51">
      <c r="A51" s="8" t="inlineStr">
        <is>
          <t>Operating expenses (detail)</t>
        </is>
      </c>
      <c r="B51" s="8" t="inlineStr">
        <is>
          <t>B29</t>
        </is>
      </c>
      <c r="C51" s="8" t="inlineStr">
        <is>
          <t>17. Travel</t>
        </is>
      </c>
      <c r="D51" s="8" t="inlineStr">
        <is>
          <t>17</t>
        </is>
      </c>
      <c r="E51" s="8" t="inlineStr">
        <is>
          <t>part_ix_expenses.travel</t>
        </is>
      </c>
      <c r="F51" s="8" t="inlineStr">
        <is>
          <t>high</t>
        </is>
      </c>
      <c r="G51" s="9" t="n">
        <v>0</v>
      </c>
    </row>
    <row r="52">
      <c r="A52" s="8" t="inlineStr">
        <is>
          <t>Operating expenses (detail)</t>
        </is>
      </c>
      <c r="B52" s="8" t="inlineStr">
        <is>
          <t>B30</t>
        </is>
      </c>
      <c r="C52" s="8" t="inlineStr">
        <is>
          <t>18. Payments of travel/entertainment for public officials</t>
        </is>
      </c>
      <c r="D52" s="8" t="inlineStr">
        <is>
          <t>18</t>
        </is>
      </c>
      <c r="E52" s="8" t="inlineStr">
        <is>
          <t>part_ix_expenses.travel_entertainment_public_officials</t>
        </is>
      </c>
      <c r="F52" s="8" t="inlineStr">
        <is>
          <t>high</t>
        </is>
      </c>
      <c r="G52" s="9" t="n">
        <v>0</v>
      </c>
    </row>
    <row r="53">
      <c r="A53" s="8" t="inlineStr">
        <is>
          <t>Operating expenses (detail)</t>
        </is>
      </c>
      <c r="B53" s="8" t="inlineStr">
        <is>
          <t>B31</t>
        </is>
      </c>
      <c r="C53" s="8" t="inlineStr">
        <is>
          <t>19. Conferences, conventions, and meetings</t>
        </is>
      </c>
      <c r="D53" s="8" t="inlineStr">
        <is>
          <t>19</t>
        </is>
      </c>
      <c r="E53" s="8" t="inlineStr">
        <is>
          <t>part_ix_expenses.conferences_conventions_meetings</t>
        </is>
      </c>
      <c r="F53" s="8" t="inlineStr">
        <is>
          <t>high</t>
        </is>
      </c>
      <c r="G53" s="9" t="n">
        <v>0</v>
      </c>
    </row>
    <row r="54">
      <c r="A54" s="8" t="inlineStr">
        <is>
          <t>Operating expenses (detail)</t>
        </is>
      </c>
      <c r="B54" s="8" t="inlineStr">
        <is>
          <t>B32</t>
        </is>
      </c>
      <c r="C54" s="8" t="inlineStr">
        <is>
          <t>20. Interest</t>
        </is>
      </c>
      <c r="D54" s="8" t="inlineStr">
        <is>
          <t>20</t>
        </is>
      </c>
      <c r="E54" s="8" t="inlineStr">
        <is>
          <t>part_ix_expenses.interest</t>
        </is>
      </c>
      <c r="F54" s="8" t="inlineStr">
        <is>
          <t>high</t>
        </is>
      </c>
      <c r="G54" s="9" t="n">
        <v>0</v>
      </c>
    </row>
    <row r="55">
      <c r="A55" s="8" t="inlineStr">
        <is>
          <t>Operating expenses (detail)</t>
        </is>
      </c>
      <c r="B55" s="8" t="inlineStr">
        <is>
          <t>B33</t>
        </is>
      </c>
      <c r="C55" s="8" t="inlineStr">
        <is>
          <t>21. Payments to affiliates</t>
        </is>
      </c>
      <c r="D55" s="8" t="inlineStr">
        <is>
          <t>21</t>
        </is>
      </c>
      <c r="E55" s="8" t="inlineStr">
        <is>
          <t>part_ix_expenses.payments_to_affiliates</t>
        </is>
      </c>
      <c r="F55" s="8" t="inlineStr">
        <is>
          <t>high</t>
        </is>
      </c>
      <c r="G55" s="9" t="n">
        <v>0</v>
      </c>
    </row>
    <row r="56">
      <c r="A56" s="8" t="inlineStr">
        <is>
          <t>Operating expenses (detail)</t>
        </is>
      </c>
      <c r="B56" s="8" t="inlineStr">
        <is>
          <t>B34</t>
        </is>
      </c>
      <c r="C56" s="8" t="inlineStr">
        <is>
          <t>22. Depreciation, depletion, and amortization</t>
        </is>
      </c>
      <c r="D56" s="8" t="inlineStr">
        <is>
          <t>22</t>
        </is>
      </c>
      <c r="E56" s="8" t="inlineStr">
        <is>
          <t>part_ix_expenses.depreciation</t>
        </is>
      </c>
      <c r="F56" s="8" t="inlineStr">
        <is>
          <t>high</t>
        </is>
      </c>
      <c r="G56" s="9" t="n">
        <v>0</v>
      </c>
    </row>
    <row r="57">
      <c r="A57" s="8" t="inlineStr">
        <is>
          <t>Operating expenses (detail)</t>
        </is>
      </c>
      <c r="B57" s="8" t="inlineStr">
        <is>
          <t>B35</t>
        </is>
      </c>
      <c r="C57" s="8" t="inlineStr">
        <is>
          <t>23. Insurance</t>
        </is>
      </c>
      <c r="D57" s="8" t="inlineStr">
        <is>
          <t>23</t>
        </is>
      </c>
      <c r="E57" s="8" t="inlineStr">
        <is>
          <t>part_ix_expenses.insurance</t>
        </is>
      </c>
      <c r="F57" s="8" t="inlineStr">
        <is>
          <t>high</t>
        </is>
      </c>
      <c r="G57" s="9" t="n">
        <v>1228</v>
      </c>
    </row>
    <row r="58">
      <c r="A58" s="8" t="inlineStr">
        <is>
          <t>Operating expenses (detail)</t>
        </is>
      </c>
      <c r="B58" s="8" t="inlineStr">
        <is>
          <t>C35</t>
        </is>
      </c>
      <c r="C58" s="8" t="inlineStr">
        <is>
          <t>23. Insurance</t>
        </is>
      </c>
      <c r="D58" s="8" t="inlineStr">
        <is>
          <t>23</t>
        </is>
      </c>
      <c r="E58" s="8" t="inlineStr">
        <is>
          <t>part_ix_expenses.insurance</t>
        </is>
      </c>
      <c r="F58" s="8" t="inlineStr">
        <is>
          <t>high</t>
        </is>
      </c>
      <c r="G58" s="9" t="n">
        <v>1734</v>
      </c>
    </row>
    <row r="59">
      <c r="A59" s="8" t="inlineStr">
        <is>
          <t>Operating expenses (detail)</t>
        </is>
      </c>
      <c r="B59" s="8" t="inlineStr">
        <is>
          <t>B36</t>
        </is>
      </c>
      <c r="C59" s="8" t="inlineStr">
        <is>
          <t>24e. All other expenses</t>
        </is>
      </c>
      <c r="D59" s="8" t="inlineStr">
        <is>
          <t>24e</t>
        </is>
      </c>
      <c r="E59" s="8" t="inlineStr">
        <is>
          <t>part_ix_expenses.all_other_expenses</t>
        </is>
      </c>
      <c r="F59" s="8" t="inlineStr">
        <is>
          <t>high</t>
        </is>
      </c>
      <c r="G59" s="9" t="n">
        <v>109772</v>
      </c>
    </row>
    <row r="60">
      <c r="A60" s="8" t="inlineStr">
        <is>
          <t>Operating expenses (detail)</t>
        </is>
      </c>
      <c r="B60" s="8" t="inlineStr">
        <is>
          <t>C36</t>
        </is>
      </c>
      <c r="C60" s="8" t="inlineStr">
        <is>
          <t>24e. All other expenses</t>
        </is>
      </c>
      <c r="D60" s="8" t="inlineStr">
        <is>
          <t>24e</t>
        </is>
      </c>
      <c r="E60" s="8" t="inlineStr">
        <is>
          <t>part_ix_expenses.all_other_expenses</t>
        </is>
      </c>
      <c r="F60" s="8" t="inlineStr">
        <is>
          <t>high</t>
        </is>
      </c>
      <c r="G60" s="9" t="n">
        <v>113860</v>
      </c>
    </row>
    <row r="61">
      <c r="A61" s="8" t="inlineStr">
        <is>
          <t>Balance sheet (detail)</t>
        </is>
      </c>
      <c r="B61" s="8" t="inlineStr">
        <is>
          <t>B7</t>
        </is>
      </c>
      <c r="C61" s="8" t="inlineStr">
        <is>
          <t>1. Cash - non-interest-bearing</t>
        </is>
      </c>
      <c r="D61" s="8" t="inlineStr">
        <is>
          <t>1E</t>
        </is>
      </c>
      <c r="E61" s="8" t="inlineStr">
        <is>
          <t>part_x_balance_sheet.cash_noninterest_eoy</t>
        </is>
      </c>
      <c r="F61" s="8" t="inlineStr">
        <is>
          <t>high</t>
        </is>
      </c>
      <c r="G61" s="9" t="n">
        <v>26495</v>
      </c>
    </row>
    <row r="62">
      <c r="A62" s="8" t="inlineStr">
        <is>
          <t>Balance sheet (detail)</t>
        </is>
      </c>
      <c r="B62" s="8" t="inlineStr">
        <is>
          <t>C7</t>
        </is>
      </c>
      <c r="C62" s="8" t="inlineStr">
        <is>
          <t>1. Cash - non-interest-bearing</t>
        </is>
      </c>
      <c r="D62" s="8" t="inlineStr">
        <is>
          <t>1E</t>
        </is>
      </c>
      <c r="E62" s="8" t="inlineStr">
        <is>
          <t>part_x_balance_sheet.cash_noninterest_eoy</t>
        </is>
      </c>
      <c r="F62" s="8" t="inlineStr">
        <is>
          <t>high</t>
        </is>
      </c>
      <c r="G62" s="9" t="n">
        <v>44188</v>
      </c>
    </row>
    <row r="63">
      <c r="A63" s="8" t="inlineStr">
        <is>
          <t>Balance sheet (detail)</t>
        </is>
      </c>
      <c r="B63" s="8" t="inlineStr">
        <is>
          <t>B14</t>
        </is>
      </c>
      <c r="C63" s="8" t="inlineStr">
        <is>
          <t>29. Capital stock or trust principal</t>
        </is>
      </c>
      <c r="D63" s="8" t="inlineStr">
        <is>
          <t>29E</t>
        </is>
      </c>
      <c r="E63" s="8" t="inlineStr">
        <is>
          <t>part_x_balance_sheet.cap_stock_eoy</t>
        </is>
      </c>
      <c r="F63" s="8" t="inlineStr">
        <is>
          <t>high</t>
        </is>
      </c>
      <c r="G63" s="9" t="n">
        <v>0</v>
      </c>
    </row>
    <row r="64">
      <c r="A64" s="8" t="inlineStr">
        <is>
          <t>Balance sheet (detail)</t>
        </is>
      </c>
      <c r="B64" s="8" t="inlineStr">
        <is>
          <t>C14</t>
        </is>
      </c>
      <c r="C64" s="8" t="inlineStr">
        <is>
          <t>29. Capital stock or trust principal</t>
        </is>
      </c>
      <c r="D64" s="8" t="inlineStr">
        <is>
          <t>29E</t>
        </is>
      </c>
      <c r="E64" s="8" t="inlineStr">
        <is>
          <t>part_x_balance_sheet.cap_stock_eoy</t>
        </is>
      </c>
      <c r="F64" s="8" t="inlineStr">
        <is>
          <t>high</t>
        </is>
      </c>
      <c r="G64" s="9" t="n">
        <v>0</v>
      </c>
    </row>
    <row r="65">
      <c r="A65" s="8" t="inlineStr">
        <is>
          <t>Balance sheet (detail)</t>
        </is>
      </c>
      <c r="B65" s="8" t="inlineStr">
        <is>
          <t>B15</t>
        </is>
      </c>
      <c r="C65" s="8" t="inlineStr">
        <is>
          <t>30. Paid-in or capital surplus</t>
        </is>
      </c>
      <c r="D65" s="8" t="inlineStr">
        <is>
          <t>30E</t>
        </is>
      </c>
      <c r="E65" s="8" t="inlineStr">
        <is>
          <t>part_x_balance_sheet.paid_in_capital_eoy</t>
        </is>
      </c>
      <c r="F65" s="8" t="inlineStr">
        <is>
          <t>high</t>
        </is>
      </c>
      <c r="G65" s="9" t="n">
        <v>0</v>
      </c>
    </row>
    <row r="66">
      <c r="A66" s="8" t="inlineStr">
        <is>
          <t>Balance sheet (detail)</t>
        </is>
      </c>
      <c r="B66" s="8" t="inlineStr">
        <is>
          <t>C15</t>
        </is>
      </c>
      <c r="C66" s="8" t="inlineStr">
        <is>
          <t>30. Paid-in or capital surplus</t>
        </is>
      </c>
      <c r="D66" s="8" t="inlineStr">
        <is>
          <t>30E</t>
        </is>
      </c>
      <c r="E66" s="8" t="inlineStr">
        <is>
          <t>part_x_balance_sheet.paid_in_capital_eoy</t>
        </is>
      </c>
      <c r="F66" s="8" t="inlineStr">
        <is>
          <t>high</t>
        </is>
      </c>
      <c r="G66" s="9" t="n">
        <v>0</v>
      </c>
    </row>
    <row r="67">
      <c r="A67" s="8" t="inlineStr">
        <is>
          <t>Balance sheet (detail)</t>
        </is>
      </c>
      <c r="B67" s="8" t="inlineStr">
        <is>
          <t>B16</t>
        </is>
      </c>
      <c r="C67" s="8" t="inlineStr">
        <is>
          <t>31. Retained earnings / accumulated funds</t>
        </is>
      </c>
      <c r="D67" s="8" t="inlineStr">
        <is>
          <t>31E</t>
        </is>
      </c>
      <c r="E67" s="8" t="inlineStr">
        <is>
          <t>part_x_balance_sheet.retained_earnings_eoy</t>
        </is>
      </c>
      <c r="F67" s="8" t="inlineStr">
        <is>
          <t>high</t>
        </is>
      </c>
      <c r="G67" s="9" t="n">
        <v>26495</v>
      </c>
    </row>
    <row r="68">
      <c r="A68" s="8" t="inlineStr">
        <is>
          <t>Balance sheet (detail)</t>
        </is>
      </c>
      <c r="B68" s="8" t="inlineStr">
        <is>
          <t>C16</t>
        </is>
      </c>
      <c r="C68" s="8" t="inlineStr">
        <is>
          <t>31. Retained earnings / accumulated funds</t>
        </is>
      </c>
      <c r="D68" s="8" t="inlineStr">
        <is>
          <t>31E</t>
        </is>
      </c>
      <c r="E68" s="8" t="inlineStr">
        <is>
          <t>part_x_balance_sheet.retained_earnings_eoy</t>
        </is>
      </c>
      <c r="F68" s="8" t="inlineStr">
        <is>
          <t>high</t>
        </is>
      </c>
      <c r="G68" s="9" t="n">
        <v>44188</v>
      </c>
    </row>
    <row r="69">
      <c r="A69" s="8" t="inlineStr">
        <is>
          <t>Net-assets reconciliation</t>
        </is>
      </c>
      <c r="B69" s="8" t="inlineStr">
        <is>
          <t>B7</t>
        </is>
      </c>
      <c r="C69" s="8" t="inlineStr">
        <is>
          <t>4. Net assets, beginning of year</t>
        </is>
      </c>
      <c r="D69" s="8" t="inlineStr">
        <is>
          <t>Part XI line 4</t>
        </is>
      </c>
      <c r="E69" s="8" t="inlineStr">
        <is>
          <t>part_xi_reconciliation.net_assets_boy</t>
        </is>
      </c>
      <c r="F69" s="8" t="inlineStr">
        <is>
          <t>high</t>
        </is>
      </c>
      <c r="G69" s="9" t="n">
        <v>13390</v>
      </c>
    </row>
    <row r="70">
      <c r="A70" s="8" t="inlineStr">
        <is>
          <t>Net-assets reconciliation</t>
        </is>
      </c>
      <c r="B70" s="8" t="inlineStr">
        <is>
          <t>C7</t>
        </is>
      </c>
      <c r="C70" s="8" t="inlineStr">
        <is>
          <t>4. Net assets, beginning of year</t>
        </is>
      </c>
      <c r="D70" s="8" t="inlineStr">
        <is>
          <t>Part XI line 4</t>
        </is>
      </c>
      <c r="E70" s="8" t="inlineStr">
        <is>
          <t>part_xi_reconciliation.net_assets_boy</t>
        </is>
      </c>
      <c r="F70" s="8" t="inlineStr">
        <is>
          <t>high</t>
        </is>
      </c>
      <c r="G70" s="9" t="n">
        <v>26495</v>
      </c>
    </row>
    <row r="71">
      <c r="A71" s="8" t="inlineStr">
        <is>
          <t>Net-assets reconciliation</t>
        </is>
      </c>
      <c r="B71" s="8" t="inlineStr">
        <is>
          <t>B8</t>
        </is>
      </c>
      <c r="C71" s="8" t="inlineStr">
        <is>
          <t>3. Revenue less expenses</t>
        </is>
      </c>
      <c r="D71" s="8" t="inlineStr">
        <is>
          <t>Part XI line 3</t>
        </is>
      </c>
      <c r="E71" s="8" t="inlineStr">
        <is>
          <t>part_xi_reconciliation.reconciliation_revenue_expenses</t>
        </is>
      </c>
      <c r="F71" s="8" t="inlineStr">
        <is>
          <t>high</t>
        </is>
      </c>
      <c r="G71" s="9" t="n">
        <v>-112495</v>
      </c>
    </row>
    <row r="72">
      <c r="A72" s="8" t="inlineStr">
        <is>
          <t>Net-assets reconciliation</t>
        </is>
      </c>
      <c r="B72" s="8" t="inlineStr">
        <is>
          <t>C8</t>
        </is>
      </c>
      <c r="C72" s="8" t="inlineStr">
        <is>
          <t>3. Revenue less expenses</t>
        </is>
      </c>
      <c r="D72" s="8" t="inlineStr">
        <is>
          <t>Part XI line 3</t>
        </is>
      </c>
      <c r="E72" s="8" t="inlineStr">
        <is>
          <t>part_xi_reconciliation.reconciliation_revenue_expenses</t>
        </is>
      </c>
      <c r="F72" s="8" t="inlineStr">
        <is>
          <t>high</t>
        </is>
      </c>
      <c r="G72" s="9" t="n">
        <v>17693</v>
      </c>
    </row>
    <row r="73">
      <c r="A73" s="8" t="inlineStr">
        <is>
          <t>Net-assets reconciliation</t>
        </is>
      </c>
      <c r="B73" s="8" t="inlineStr">
        <is>
          <t>B9</t>
        </is>
      </c>
      <c r="C73" s="8" t="inlineStr">
        <is>
          <t>8. Prior period adjustments</t>
        </is>
      </c>
      <c r="D73" s="8" t="inlineStr">
        <is>
          <t>Part XI line 8</t>
        </is>
      </c>
      <c r="E73" s="8" t="inlineStr">
        <is>
          <t>part_xi_reconciliation.prior_period_adjustments</t>
        </is>
      </c>
      <c r="F73" s="8" t="inlineStr">
        <is>
          <t>high</t>
        </is>
      </c>
      <c r="G73" s="9" t="n">
        <v>0</v>
      </c>
    </row>
    <row r="74">
      <c r="A74" s="8" t="inlineStr">
        <is>
          <t>Net-assets reconciliation</t>
        </is>
      </c>
      <c r="B74" s="8" t="inlineStr">
        <is>
          <t>C9</t>
        </is>
      </c>
      <c r="C74" s="8" t="inlineStr">
        <is>
          <t>8. Prior period adjustments</t>
        </is>
      </c>
      <c r="D74" s="8" t="inlineStr">
        <is>
          <t>Part XI line 8</t>
        </is>
      </c>
      <c r="E74" s="8" t="inlineStr">
        <is>
          <t>part_xi_reconciliation.prior_period_adjustments</t>
        </is>
      </c>
      <c r="F74" s="8" t="inlineStr">
        <is>
          <t>high</t>
        </is>
      </c>
      <c r="G74" s="9" t="n">
        <v>0</v>
      </c>
    </row>
    <row r="75">
      <c r="A75" s="8" t="inlineStr">
        <is>
          <t>Net-assets reconciliation</t>
        </is>
      </c>
      <c r="B75" s="8" t="inlineStr">
        <is>
          <t>B10</t>
        </is>
      </c>
      <c r="C75" s="8" t="inlineStr">
        <is>
          <t>9. Other changes in net assets</t>
        </is>
      </c>
      <c r="D75" s="8" t="inlineStr">
        <is>
          <t>Part XI line 9</t>
        </is>
      </c>
      <c r="E75" s="8" t="inlineStr">
        <is>
          <t>part_xi_reconciliation.other_changes_net_assets</t>
        </is>
      </c>
      <c r="F75" s="8" t="inlineStr">
        <is>
          <t>high</t>
        </is>
      </c>
      <c r="G75" s="9" t="n">
        <v>0</v>
      </c>
    </row>
    <row r="76">
      <c r="A76" s="8" t="inlineStr">
        <is>
          <t>Net-assets reconciliation</t>
        </is>
      </c>
      <c r="B76" s="8" t="inlineStr">
        <is>
          <t>C10</t>
        </is>
      </c>
      <c r="C76" s="8" t="inlineStr">
        <is>
          <t>9. Other changes in net assets</t>
        </is>
      </c>
      <c r="D76" s="8" t="inlineStr">
        <is>
          <t>Part XI line 9</t>
        </is>
      </c>
      <c r="E76" s="8" t="inlineStr">
        <is>
          <t>part_xi_reconciliation.other_changes_net_assets</t>
        </is>
      </c>
      <c r="F76" s="8" t="inlineStr">
        <is>
          <t>high</t>
        </is>
      </c>
      <c r="G76" s="9" t="n">
        <v>0</v>
      </c>
    </row>
    <row r="78">
      <c r="A78" s="29" t="inlineStr">
        <is>
          <t>C. Tie-out checks (filed vs computed; any nonzero variance is flagged red)</t>
        </is>
      </c>
      <c r="B78" s="7" t="n"/>
      <c r="C78" s="7" t="n"/>
      <c r="D78" s="7" t="n"/>
      <c r="E78" s="7" t="n"/>
      <c r="F78" s="7" t="n"/>
      <c r="G78" s="7" t="n"/>
      <c r="H78" s="7" t="n"/>
      <c r="I78" s="7" t="n"/>
      <c r="J78" s="7" t="n"/>
      <c r="K78" s="7" t="n"/>
    </row>
    <row r="79">
      <c r="A79" s="5" t="inlineStr">
        <is>
          <t>Tab</t>
        </is>
      </c>
      <c r="B79" s="5" t="inlineStr">
        <is>
          <t>Check</t>
        </is>
      </c>
      <c r="C79" s="5" t="inlineStr">
        <is>
          <t>Fiscal year</t>
        </is>
      </c>
      <c r="D79" s="5" t="inlineStr">
        <is>
          <t>Filed</t>
        </is>
      </c>
      <c r="E79" s="5" t="inlineStr">
        <is>
          <t>Computed</t>
        </is>
      </c>
      <c r="F79" s="5" t="inlineStr">
        <is>
          <t>Variance (computed - filed)</t>
        </is>
      </c>
    </row>
    <row r="80">
      <c r="A80" s="18" t="inlineStr">
        <is>
          <t>Revenue (detail)</t>
        </is>
      </c>
      <c r="B80" s="18" t="inlineStr">
        <is>
          <t>12. Total revenue</t>
        </is>
      </c>
      <c r="C80" s="18" t="inlineStr">
        <is>
          <t>FY2024</t>
        </is>
      </c>
      <c r="D80" s="9" t="n">
        <v>0</v>
      </c>
      <c r="E80" s="9">
        <f>'Revenue (detail)'!B13</f>
        <v/>
      </c>
      <c r="F80" s="9">
        <f>E80-D80</f>
        <v/>
      </c>
    </row>
    <row r="81">
      <c r="A81" s="18" t="inlineStr">
        <is>
          <t>Revenue (detail)</t>
        </is>
      </c>
      <c r="B81" s="18" t="inlineStr">
        <is>
          <t>12. Total revenue</t>
        </is>
      </c>
      <c r="C81" s="18" t="inlineStr">
        <is>
          <t>FY2025</t>
        </is>
      </c>
      <c r="D81" s="9" t="n">
        <v>134085</v>
      </c>
      <c r="E81" s="9">
        <f>'Revenue (detail)'!C13</f>
        <v/>
      </c>
      <c r="F81" s="9">
        <f>E81-D81</f>
        <v/>
      </c>
    </row>
    <row r="82">
      <c r="A82" s="18" t="inlineStr">
        <is>
          <t>Operating expenses (detail)</t>
        </is>
      </c>
      <c r="B82" s="18" t="inlineStr">
        <is>
          <t>25. Total functional expenses</t>
        </is>
      </c>
      <c r="C82" s="18" t="inlineStr">
        <is>
          <t>FY2024</t>
        </is>
      </c>
      <c r="D82" s="9" t="n">
        <v>112495</v>
      </c>
      <c r="E82" s="9">
        <f>'Operating expenses (detail)'!B37</f>
        <v/>
      </c>
      <c r="F82" s="9">
        <f>E82-D82</f>
        <v/>
      </c>
    </row>
    <row r="83">
      <c r="A83" s="18" t="inlineStr">
        <is>
          <t>Operating expenses (detail)</t>
        </is>
      </c>
      <c r="B83" s="18" t="inlineStr">
        <is>
          <t>25. Total functional expenses</t>
        </is>
      </c>
      <c r="C83" s="18" t="inlineStr">
        <is>
          <t>FY2025</t>
        </is>
      </c>
      <c r="D83" s="9" t="n">
        <v>116392</v>
      </c>
      <c r="E83" s="9">
        <f>'Operating expenses (detail)'!C37</f>
        <v/>
      </c>
      <c r="F83" s="9">
        <f>E83-D83</f>
        <v/>
      </c>
    </row>
    <row r="84">
      <c r="A84" s="18" t="inlineStr">
        <is>
          <t>Operating expenses (detail)</t>
        </is>
      </c>
      <c r="B84" s="18" t="inlineStr">
        <is>
          <t>Part IX column split: col A = B + C + D (FY2025)</t>
        </is>
      </c>
      <c r="C84" s="18" t="inlineStr">
        <is>
          <t>FY2025</t>
        </is>
      </c>
      <c r="D84" s="9">
        <f>'Operating expenses (detail)'!B43</f>
        <v/>
      </c>
      <c r="E84" s="9">
        <f>'Operating expenses (detail)'!C43+'Operating expenses (detail)'!D43+'Operating expenses (detail)'!E43</f>
        <v/>
      </c>
      <c r="F84" s="9">
        <f>E84-D84</f>
        <v/>
      </c>
    </row>
    <row r="85">
      <c r="A85" s="18" t="inlineStr">
        <is>
          <t>Balance sheet (detail)</t>
        </is>
      </c>
      <c r="B85" s="18" t="inlineStr">
        <is>
          <t>16. Total assets</t>
        </is>
      </c>
      <c r="C85" s="18" t="inlineStr">
        <is>
          <t>FY2024</t>
        </is>
      </c>
      <c r="D85" s="9" t="n">
        <v>26495</v>
      </c>
      <c r="E85" s="9">
        <f>'Balance sheet (detail)'!B8</f>
        <v/>
      </c>
      <c r="F85" s="9">
        <f>E85-D85</f>
        <v/>
      </c>
    </row>
    <row r="86">
      <c r="A86" s="18" t="inlineStr">
        <is>
          <t>Balance sheet (detail)</t>
        </is>
      </c>
      <c r="B86" s="18" t="inlineStr">
        <is>
          <t>16. Total assets</t>
        </is>
      </c>
      <c r="C86" s="18" t="inlineStr">
        <is>
          <t>FY2025</t>
        </is>
      </c>
      <c r="D86" s="9" t="n">
        <v>44188</v>
      </c>
      <c r="E86" s="9">
        <f>'Balance sheet (detail)'!C8</f>
        <v/>
      </c>
      <c r="F86" s="9">
        <f>E86-D86</f>
        <v/>
      </c>
    </row>
    <row r="87">
      <c r="A87" s="18" t="inlineStr">
        <is>
          <t>Balance sheet (detail)</t>
        </is>
      </c>
      <c r="B87" s="18" t="inlineStr">
        <is>
          <t>26. Total liabilities</t>
        </is>
      </c>
      <c r="C87" s="18" t="inlineStr">
        <is>
          <t>FY2024</t>
        </is>
      </c>
      <c r="D87" s="9" t="n">
        <v>0</v>
      </c>
      <c r="E87" s="9">
        <f>'Balance sheet (detail)'!B11</f>
        <v/>
      </c>
      <c r="F87" s="9">
        <f>E87-D87</f>
        <v/>
      </c>
    </row>
    <row r="88">
      <c r="A88" s="18" t="inlineStr">
        <is>
          <t>Balance sheet (detail)</t>
        </is>
      </c>
      <c r="B88" s="18" t="inlineStr">
        <is>
          <t>26. Total liabilities</t>
        </is>
      </c>
      <c r="C88" s="18" t="inlineStr">
        <is>
          <t>FY2025</t>
        </is>
      </c>
      <c r="D88" s="9" t="n">
        <v>0</v>
      </c>
      <c r="E88" s="9">
        <f>'Balance sheet (detail)'!C11</f>
        <v/>
      </c>
      <c r="F88" s="9">
        <f>E88-D88</f>
        <v/>
      </c>
    </row>
    <row r="89">
      <c r="A89" s="18" t="inlineStr">
        <is>
          <t>Balance sheet (detail)</t>
        </is>
      </c>
      <c r="B89" s="18" t="inlineStr">
        <is>
          <t>32. Total net assets / fund balances</t>
        </is>
      </c>
      <c r="C89" s="18" t="inlineStr">
        <is>
          <t>FY2024</t>
        </is>
      </c>
      <c r="D89" s="9" t="n">
        <v>26495</v>
      </c>
      <c r="E89" s="9">
        <f>'Balance sheet (detail)'!B17</f>
        <v/>
      </c>
      <c r="F89" s="9">
        <f>E89-D89</f>
        <v/>
      </c>
    </row>
    <row r="90">
      <c r="A90" s="18" t="inlineStr">
        <is>
          <t>Balance sheet (detail)</t>
        </is>
      </c>
      <c r="B90" s="18" t="inlineStr">
        <is>
          <t>32. Total net assets / fund balances</t>
        </is>
      </c>
      <c r="C90" s="18" t="inlineStr">
        <is>
          <t>FY2025</t>
        </is>
      </c>
      <c r="D90" s="9" t="n">
        <v>44188</v>
      </c>
      <c r="E90" s="9">
        <f>'Balance sheet (detail)'!C17</f>
        <v/>
      </c>
      <c r="F90" s="9">
        <f>E90-D90</f>
        <v/>
      </c>
    </row>
    <row r="91">
      <c r="A91" s="18" t="inlineStr">
        <is>
          <t>Balance sheet (detail)</t>
        </is>
      </c>
      <c r="B91" s="18" t="inlineStr">
        <is>
          <t>Balance sheet identity: line 16 = line 26 + line 32 (EOY)</t>
        </is>
      </c>
      <c r="C91" s="18" t="inlineStr">
        <is>
          <t>FY2024</t>
        </is>
      </c>
      <c r="D91" s="9">
        <f>'Balance sheet (detail)'!B8</f>
        <v/>
      </c>
      <c r="E91" s="9">
        <f>SUM('Balance sheet (detail)'!B11,'Balance sheet (detail)'!B17)</f>
        <v/>
      </c>
      <c r="F91" s="9">
        <f>E91-D91</f>
        <v/>
      </c>
    </row>
    <row r="92">
      <c r="A92" s="18" t="inlineStr">
        <is>
          <t>Balance sheet (detail)</t>
        </is>
      </c>
      <c r="B92" s="18" t="inlineStr">
        <is>
          <t>Balance sheet identity: line 16 = line 26 + line 32 (EOY)</t>
        </is>
      </c>
      <c r="C92" s="18" t="inlineStr">
        <is>
          <t>FY2025</t>
        </is>
      </c>
      <c r="D92" s="9">
        <f>'Balance sheet (detail)'!C8</f>
        <v/>
      </c>
      <c r="E92" s="9">
        <f>SUM('Balance sheet (detail)'!C11,'Balance sheet (detail)'!C17)</f>
        <v/>
      </c>
      <c r="F92" s="9">
        <f>E92-D92</f>
        <v/>
      </c>
    </row>
    <row r="93">
      <c r="A93" s="18" t="inlineStr">
        <is>
          <t>Net-assets reconciliation</t>
        </is>
      </c>
      <c r="B93" s="18" t="inlineStr">
        <is>
          <t>10. Net assets, end of year</t>
        </is>
      </c>
      <c r="C93" s="18" t="inlineStr">
        <is>
          <t>FY2024</t>
        </is>
      </c>
      <c r="D93" s="9" t="n">
        <v>26495</v>
      </c>
      <c r="E93" s="9">
        <f>'Net-assets reconciliation'!B11</f>
        <v/>
      </c>
      <c r="F93" s="9">
        <f>E93-D93</f>
        <v/>
      </c>
    </row>
    <row r="94">
      <c r="A94" s="18" t="inlineStr">
        <is>
          <t>Net-assets reconciliation</t>
        </is>
      </c>
      <c r="B94" s="18" t="inlineStr">
        <is>
          <t>10. Net assets, end of year</t>
        </is>
      </c>
      <c r="C94" s="18" t="inlineStr">
        <is>
          <t>FY2025</t>
        </is>
      </c>
      <c r="D94" s="9" t="n">
        <v>44188</v>
      </c>
      <c r="E94" s="9">
        <f>'Net-assets reconciliation'!C11</f>
        <v/>
      </c>
      <c r="F94" s="9">
        <f>E94-D94</f>
        <v/>
      </c>
    </row>
    <row r="96">
      <c r="A96" s="29" t="inlineStr">
        <is>
          <t>D. Preparer / auditor trail (one row per fiscal year, as filed)</t>
        </is>
      </c>
      <c r="B96" s="7" t="n"/>
      <c r="C96" s="7" t="n"/>
      <c r="D96" s="7" t="n"/>
      <c r="E96" s="7" t="n"/>
      <c r="F96" s="7" t="n"/>
      <c r="G96" s="7" t="n"/>
      <c r="H96" s="7" t="n"/>
      <c r="I96" s="7" t="n"/>
      <c r="J96" s="7" t="n"/>
      <c r="K96" s="7" t="n"/>
    </row>
    <row r="97">
      <c r="A97" s="5" t="inlineStr">
        <is>
          <t>Fiscal year</t>
        </is>
      </c>
      <c r="B97" s="5" t="inlineStr">
        <is>
          <t>Paid preparer</t>
        </is>
      </c>
      <c r="C97" s="5" t="inlineStr">
        <is>
          <t>Preparer firm</t>
        </is>
      </c>
      <c r="D97" s="5" t="inlineStr">
        <is>
          <t>Independent auditor</t>
        </is>
      </c>
      <c r="E97" s="5" t="inlineStr">
        <is>
          <t>Citation</t>
        </is>
      </c>
    </row>
    <row r="98" ht="42" customHeight="1">
      <c r="A98" s="26" t="inlineStr">
        <is>
          <t>FY2024</t>
        </is>
      </c>
      <c r="B98" s="30" t="inlineStr">
        <is>
          <t>not reported</t>
        </is>
      </c>
      <c r="C98" s="30" t="inlineStr">
        <is>
          <t>not reported</t>
        </is>
      </c>
      <c r="D98" s="30" t="inlineStr">
        <is>
          <t>not reported</t>
        </is>
      </c>
      <c r="E98" s="21" t="inlineStr">
        <is>
          <t>Form 990 Return Header, Paid Preparer block (return_header.preparer_person_name / preparer_firm_name); auditor: Part XII line 2 reports audited financial statements but does not name the firm.</t>
        </is>
      </c>
    </row>
    <row r="99" ht="42" customHeight="1">
      <c r="A99" s="26" t="inlineStr">
        <is>
          <t>FY2025</t>
        </is>
      </c>
      <c r="B99" s="30" t="inlineStr">
        <is>
          <t>not reported</t>
        </is>
      </c>
      <c r="C99" s="30" t="inlineStr">
        <is>
          <t>not reported</t>
        </is>
      </c>
      <c r="D99" s="30" t="inlineStr">
        <is>
          <t>not reported</t>
        </is>
      </c>
      <c r="E99" s="21" t="inlineStr">
        <is>
          <t>Form 990 Return Header, Paid Preparer block (return_header.preparer_person_name / preparer_firm_name); auditor: Part XII line 2 reports audited financial statements but does not name the firm.</t>
        </is>
      </c>
    </row>
    <row r="101" ht="42" customHeight="1">
      <c r="A101"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101:K101"/>
    <mergeCell ref="A2:K2"/>
    <mergeCell ref="A5:K5"/>
    <mergeCell ref="A1:K1"/>
  </mergeCells>
  <conditionalFormatting sqref="F80:F94">
    <cfRule type="cellIs" priority="1" operator="notEqual" dxfId="0">
      <formula>0</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