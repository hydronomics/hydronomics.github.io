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Anomaly Flags" sheetId="20" state="visible" r:id="rId20"/>
    <sheet name="Sources &amp; audit" sheetId="21" state="visible" r:id="rId21"/>
    <sheet name="Provenance" sheetId="22" state="visible" r:id="rId22"/>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3">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b val="1"/>
      <color rgb="007F6000"/>
      <sz val="10"/>
    </font>
    <font>
      <name val="Calibri"/>
      <i val="1"/>
      <color rgb="007F4F00"/>
      <sz val="10"/>
    </font>
  </fonts>
  <fills count="9">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12" fillId="8" borderId="1" applyAlignment="1" pivotButton="0" quotePrefix="0" xfId="0">
      <alignment horizontal="left" vertical="top" wrapText="1"/>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(extreme)</t>
      </text>
    </comment>
    <comment ref="F9" authorId="0" shapeId="0">
      <text>
        <t>peak weekly category over Jul 2023-Jun 2024 (moderate)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South Mesa Water Company</t>
        </is>
      </c>
    </row>
    <row r="2">
      <c r="A2" s="2" t="inlineStr">
        <is>
          <t>Financial Summary - multi-year overview (USD)</t>
        </is>
      </c>
    </row>
    <row r="3">
      <c r="A3" s="2" t="inlineStr">
        <is>
          <t>Entity ID: cawc_0035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3047628</v>
      </c>
      <c r="C10" s="9" t="n">
        <v>3271155</v>
      </c>
      <c r="D10" s="9" t="n">
        <v>4337868</v>
      </c>
      <c r="E10" s="9" t="n">
        <v>3923449</v>
      </c>
      <c r="F10" s="9" t="n">
        <v>5271327</v>
      </c>
    </row>
    <row r="11">
      <c r="A11" s="8" t="inlineStr">
        <is>
          <t xml:space="preserve">    Total expenses</t>
        </is>
      </c>
      <c r="B11" s="9" t="n">
        <v>2679973</v>
      </c>
      <c r="C11" s="9" t="n">
        <v>2766672</v>
      </c>
      <c r="D11" s="9" t="n">
        <v>3619573</v>
      </c>
      <c r="E11" s="9" t="n">
        <v>3749598</v>
      </c>
      <c r="F11" s="9" t="n">
        <v>3613581</v>
      </c>
    </row>
    <row r="12">
      <c r="A12" s="10" t="inlineStr">
        <is>
          <t xml:space="preserve">    Net income</t>
        </is>
      </c>
      <c r="B12" s="11" t="n">
        <v>367655</v>
      </c>
      <c r="C12" s="11" t="n">
        <v>504483</v>
      </c>
      <c r="D12" s="11" t="n">
        <v>718295</v>
      </c>
      <c r="E12" s="11" t="n">
        <v>173851</v>
      </c>
      <c r="F12" s="11" t="n">
        <v>1657746</v>
      </c>
    </row>
    <row r="14">
      <c r="A14" s="6" t="inlineStr">
        <is>
          <t>Financial position (USD, end of year)</t>
        </is>
      </c>
      <c r="B14" s="7" t="n"/>
      <c r="C14" s="7" t="n"/>
      <c r="D14" s="7" t="n"/>
      <c r="E14" s="7" t="n"/>
      <c r="F14" s="7" t="n"/>
    </row>
    <row r="15">
      <c r="A15" s="8" t="inlineStr">
        <is>
          <t xml:space="preserve">    Total assets</t>
        </is>
      </c>
      <c r="B15" s="9" t="n">
        <v>11697930</v>
      </c>
      <c r="C15" s="9" t="n">
        <v>12251571</v>
      </c>
      <c r="D15" s="9" t="n">
        <v>13991397</v>
      </c>
      <c r="E15" s="9" t="n">
        <v>14621435</v>
      </c>
      <c r="F15" s="9" t="n">
        <v>21775059</v>
      </c>
    </row>
    <row r="16">
      <c r="A16" s="8" t="inlineStr">
        <is>
          <t xml:space="preserve">    Total liabilities</t>
        </is>
      </c>
      <c r="B16" s="9" t="n">
        <v>88747</v>
      </c>
      <c r="C16" s="9" t="n">
        <v>157394</v>
      </c>
      <c r="D16" s="9" t="n">
        <v>403642</v>
      </c>
      <c r="E16" s="9" t="n">
        <v>668337</v>
      </c>
      <c r="F16" s="9" t="n">
        <v>300750</v>
      </c>
    </row>
    <row r="17">
      <c r="A17" s="10" t="inlineStr">
        <is>
          <t xml:space="preserve">    Net assets</t>
        </is>
      </c>
      <c r="B17" s="11" t="n">
        <v>11609183</v>
      </c>
      <c r="C17" s="11" t="n">
        <v>12094177</v>
      </c>
      <c r="D17" s="11" t="n">
        <v>13587755</v>
      </c>
      <c r="E17" s="11" t="n">
        <v>13953098</v>
      </c>
      <c r="F17" s="11" t="n">
        <v>21474309</v>
      </c>
    </row>
    <row r="19">
      <c r="A19" s="6" t="inlineStr">
        <is>
          <t>Headline ratios</t>
        </is>
      </c>
      <c r="B19" s="7" t="n"/>
      <c r="C19" s="7" t="n"/>
      <c r="D19" s="7" t="n"/>
      <c r="E19" s="7" t="n"/>
      <c r="F19" s="7" t="n"/>
    </row>
    <row r="20">
      <c r="A20" s="8" t="inlineStr">
        <is>
          <t xml:space="preserve">    Operating margin</t>
        </is>
      </c>
      <c r="B20" s="12" t="n">
        <v>0.1206364425054501</v>
      </c>
      <c r="C20" s="12" t="n">
        <v>0.1542216739958822</v>
      </c>
      <c r="D20" s="12" t="n">
        <v>0.1655871040797</v>
      </c>
      <c r="E20" s="12" t="n">
        <v>0.04431075821299067</v>
      </c>
      <c r="F20" s="12" t="n">
        <v>0.3144836205380543</v>
      </c>
    </row>
    <row r="21">
      <c r="A21" s="8" t="inlineStr">
        <is>
          <t xml:space="preserve">    Revenue growth (YoY)</t>
        </is>
      </c>
      <c r="B21" s="12" t="n">
        <v>0.09010019558383994</v>
      </c>
      <c r="C21" s="12" t="n">
        <v>0.07334458142529206</v>
      </c>
      <c r="D21" s="12" t="n">
        <v>0.3260967456448869</v>
      </c>
      <c r="E21" s="12" t="n">
        <v>-0.09553517995476118</v>
      </c>
      <c r="F21" s="12" t="n">
        <v>0.3435441622919018</v>
      </c>
    </row>
    <row r="22">
      <c r="A22" s="8" t="inlineStr">
        <is>
          <t xml:space="preserve">    Return on assets</t>
        </is>
      </c>
      <c r="B22" s="12" t="n">
        <v>0.03142906480035357</v>
      </c>
      <c r="C22" s="12" t="n">
        <v>0.04117700497348462</v>
      </c>
      <c r="D22" s="12" t="n">
        <v>0.05133833311998795</v>
      </c>
      <c r="E22" s="12" t="n">
        <v>0.01189014621341886</v>
      </c>
      <c r="F22" s="12" t="n">
        <v>0.07613049406662917</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South Mesa Water Company</t>
        </is>
      </c>
    </row>
    <row r="2">
      <c r="A2" s="2" t="inlineStr">
        <is>
          <t>Financial Statements - income statement, balance sheet, cash flow, member income test (USD)</t>
        </is>
      </c>
    </row>
    <row r="3">
      <c r="A3" s="2" t="inlineStr">
        <is>
          <t>Entity ID: cawc_0035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2999615</v>
      </c>
      <c r="C8" s="9" t="n">
        <v>3228223</v>
      </c>
      <c r="D8" s="9" t="n">
        <v>4287930</v>
      </c>
      <c r="E8" s="9" t="n">
        <v>3856154</v>
      </c>
      <c r="F8" s="9" t="n">
        <v>5210276</v>
      </c>
    </row>
    <row r="9">
      <c r="A9" s="8" t="inlineStr">
        <is>
          <t xml:space="preserve">    Investment income</t>
        </is>
      </c>
      <c r="B9" s="9" t="n">
        <v>3569</v>
      </c>
      <c r="C9" s="9" t="n">
        <v>668</v>
      </c>
      <c r="D9" s="9" t="n">
        <v>6406</v>
      </c>
      <c r="E9" s="9" t="n">
        <v>22457</v>
      </c>
      <c r="F9" s="9" t="n">
        <v>14868</v>
      </c>
    </row>
    <row r="10">
      <c r="A10" s="8" t="inlineStr">
        <is>
          <t xml:space="preserve">    Net rental income</t>
        </is>
      </c>
      <c r="B10" s="9" t="n">
        <v>44444</v>
      </c>
      <c r="C10" s="9" t="n">
        <v>42264</v>
      </c>
      <c r="D10" s="9" t="n">
        <v>43532</v>
      </c>
      <c r="E10" s="9" t="n">
        <v>44838</v>
      </c>
      <c r="F10" s="9" t="n">
        <v>46183</v>
      </c>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c r="F12" s="9" t="n"/>
    </row>
    <row r="13">
      <c r="A13" s="8" t="inlineStr">
        <is>
          <t xml:space="preserve">    Contributions &amp; grants</t>
        </is>
      </c>
      <c r="B13" s="9" t="n"/>
      <c r="C13" s="9" t="n"/>
      <c r="D13" s="9" t="n"/>
      <c r="E13" s="9" t="n"/>
      <c r="F13" s="9" t="n"/>
    </row>
    <row r="14">
      <c r="A14" s="10" t="inlineStr">
        <is>
          <t>Total revenue</t>
        </is>
      </c>
      <c r="B14" s="11" t="n">
        <v>3047628</v>
      </c>
      <c r="C14" s="11" t="n">
        <v>3271155</v>
      </c>
      <c r="D14" s="11" t="n">
        <v>4337868</v>
      </c>
      <c r="E14" s="11" t="n">
        <v>3923449</v>
      </c>
      <c r="F14" s="11" t="n">
        <v>5271327</v>
      </c>
    </row>
    <row r="16">
      <c r="A16" s="6" t="inlineStr">
        <is>
          <t>Expenses</t>
        </is>
      </c>
      <c r="B16" s="7" t="n"/>
      <c r="C16" s="7" t="n"/>
      <c r="D16" s="7" t="n"/>
      <c r="E16" s="7" t="n"/>
      <c r="F16" s="7" t="n"/>
    </row>
    <row r="17">
      <c r="A17" s="8" t="inlineStr">
        <is>
          <t xml:space="preserve">    Depreciation</t>
        </is>
      </c>
      <c r="B17" s="9" t="n">
        <v>390322</v>
      </c>
      <c r="C17" s="9" t="n">
        <v>420886</v>
      </c>
      <c r="D17" s="9" t="n">
        <v>449426</v>
      </c>
      <c r="E17" s="9" t="n">
        <v>451237</v>
      </c>
      <c r="F17" s="9" t="n">
        <v>430772</v>
      </c>
    </row>
    <row r="18">
      <c r="A18" s="8" t="inlineStr">
        <is>
          <t xml:space="preserve">    Interest expense</t>
        </is>
      </c>
      <c r="B18" s="9" t="n"/>
      <c r="C18" s="9" t="n"/>
      <c r="D18" s="9" t="n"/>
      <c r="E18" s="9" t="n"/>
      <c r="F18" s="9" t="n"/>
    </row>
    <row r="19">
      <c r="A19" s="10" t="inlineStr">
        <is>
          <t>Total expenses</t>
        </is>
      </c>
      <c r="B19" s="11" t="n">
        <v>2679973</v>
      </c>
      <c r="C19" s="11" t="n">
        <v>2766672</v>
      </c>
      <c r="D19" s="11" t="n">
        <v>3619573</v>
      </c>
      <c r="E19" s="11" t="n">
        <v>3749598</v>
      </c>
      <c r="F19" s="11" t="n">
        <v>3613581</v>
      </c>
    </row>
    <row r="21">
      <c r="A21" s="10" t="inlineStr">
        <is>
          <t>Net income</t>
        </is>
      </c>
      <c r="B21" s="11" t="n">
        <v>367655</v>
      </c>
      <c r="C21" s="11" t="n">
        <v>504483</v>
      </c>
      <c r="D21" s="11" t="n">
        <v>718295</v>
      </c>
      <c r="E21" s="11" t="n">
        <v>173851</v>
      </c>
      <c r="F21" s="11" t="n">
        <v>1657746</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314976</v>
      </c>
      <c r="C27" s="9" t="n">
        <v>169823</v>
      </c>
      <c r="D27" s="9" t="n">
        <v>221108</v>
      </c>
      <c r="E27" s="9" t="n">
        <v>201015</v>
      </c>
      <c r="F27" s="9" t="n">
        <v>179090</v>
      </c>
    </row>
    <row r="28">
      <c r="A28" s="8" t="inlineStr">
        <is>
          <t xml:space="preserve">    Savings &amp; temporary investments</t>
        </is>
      </c>
      <c r="B28" s="9" t="n">
        <v>1375895</v>
      </c>
      <c r="C28" s="9" t="n">
        <v>2102695</v>
      </c>
      <c r="D28" s="9" t="n">
        <v>2122646</v>
      </c>
      <c r="E28" s="9" t="n">
        <v>2542502</v>
      </c>
      <c r="F28" s="9" t="n">
        <v>1832303</v>
      </c>
    </row>
    <row r="29">
      <c r="A29" s="8" t="inlineStr">
        <is>
          <t xml:space="preserve">    Accounts receivable</t>
        </is>
      </c>
      <c r="B29" s="9" t="n">
        <v>203110</v>
      </c>
      <c r="C29" s="9" t="n">
        <v>166132</v>
      </c>
      <c r="D29" s="9" t="n">
        <v>176718</v>
      </c>
      <c r="E29" s="9" t="n">
        <v>183236</v>
      </c>
      <c r="F29" s="9" t="n">
        <v>245792</v>
      </c>
    </row>
    <row r="30">
      <c r="A30" s="8" t="inlineStr">
        <is>
          <t xml:space="preserve">    Inventories</t>
        </is>
      </c>
      <c r="B30" s="9" t="n">
        <v>168262</v>
      </c>
      <c r="C30" s="9" t="n">
        <v>160722</v>
      </c>
      <c r="D30" s="9" t="n">
        <v>149440</v>
      </c>
      <c r="E30" s="9" t="n">
        <v>124995</v>
      </c>
      <c r="F30" s="9" t="n">
        <v>177049</v>
      </c>
    </row>
    <row r="31">
      <c r="A31" s="8" t="inlineStr">
        <is>
          <t xml:space="preserve">    Prepaid expenses</t>
        </is>
      </c>
      <c r="B31" s="9" t="n"/>
      <c r="C31" s="9" t="n"/>
      <c r="D31" s="9" t="n">
        <v>149025</v>
      </c>
      <c r="E31" s="9" t="n">
        <v>403209</v>
      </c>
      <c r="F31" s="9" t="n">
        <v>202034</v>
      </c>
    </row>
    <row r="32">
      <c r="A32" s="8" t="inlineStr">
        <is>
          <t xml:space="preserve">    Property, plant &amp; equipment (gross)</t>
        </is>
      </c>
      <c r="B32" s="9" t="n">
        <v>18885594</v>
      </c>
      <c r="C32" s="9" t="n">
        <v>19402570</v>
      </c>
      <c r="D32" s="9" t="n">
        <v>21404984</v>
      </c>
      <c r="E32" s="9" t="n">
        <v>21893247</v>
      </c>
      <c r="F32" s="9" t="n">
        <v>28843397</v>
      </c>
    </row>
    <row r="33">
      <c r="A33" s="8" t="inlineStr">
        <is>
          <t xml:space="preserve">    Less: accumulated depreciation</t>
        </is>
      </c>
      <c r="B33" s="9" t="n">
        <v>-9349907</v>
      </c>
      <c r="C33" s="9" t="n">
        <v>-9850371</v>
      </c>
      <c r="D33" s="9" t="n">
        <v>-10332524</v>
      </c>
      <c r="E33" s="9" t="n">
        <v>-10826769</v>
      </c>
      <c r="F33" s="9" t="n">
        <v>-11304606</v>
      </c>
    </row>
    <row r="34">
      <c r="A34" s="10" t="inlineStr">
        <is>
          <t xml:space="preserve">    Net property, plant &amp; equipment</t>
        </is>
      </c>
      <c r="B34" s="11" t="n">
        <v>9535687</v>
      </c>
      <c r="C34" s="11" t="n">
        <v>9552199</v>
      </c>
      <c r="D34" s="11" t="n">
        <v>11072460</v>
      </c>
      <c r="E34" s="11" t="n">
        <v>11066478</v>
      </c>
      <c r="F34" s="11" t="n">
        <v>17538791</v>
      </c>
    </row>
    <row r="35">
      <c r="A35" s="10" t="inlineStr">
        <is>
          <t>Total assets</t>
        </is>
      </c>
      <c r="B35" s="11" t="n">
        <v>11697930</v>
      </c>
      <c r="C35" s="11" t="n">
        <v>12251571</v>
      </c>
      <c r="D35" s="11" t="n">
        <v>13991397</v>
      </c>
      <c r="E35" s="11" t="n">
        <v>14621435</v>
      </c>
      <c r="F35" s="11" t="n">
        <v>21775059</v>
      </c>
    </row>
    <row r="37">
      <c r="A37" s="6" t="inlineStr">
        <is>
          <t>Liabilities</t>
        </is>
      </c>
      <c r="B37" s="7" t="n"/>
      <c r="C37" s="7" t="n"/>
      <c r="D37" s="7" t="n"/>
      <c r="E37" s="7" t="n"/>
      <c r="F37" s="7" t="n"/>
    </row>
    <row r="38">
      <c r="A38" s="8" t="inlineStr">
        <is>
          <t xml:space="preserve">    Accounts payable</t>
        </is>
      </c>
      <c r="B38" s="9" t="n">
        <v>88747</v>
      </c>
      <c r="C38" s="9" t="n">
        <v>157394</v>
      </c>
      <c r="D38" s="9" t="n">
        <v>403642</v>
      </c>
      <c r="E38" s="9" t="n">
        <v>668337</v>
      </c>
      <c r="F38" s="9" t="n">
        <v>300750</v>
      </c>
    </row>
    <row r="39">
      <c r="A39" s="8" t="inlineStr">
        <is>
          <t xml:space="preserve">    Mortgages &amp; notes payable</t>
        </is>
      </c>
      <c r="B39" s="9" t="n"/>
      <c r="C39" s="9" t="n"/>
      <c r="D39" s="9" t="n"/>
      <c r="E39" s="9" t="n"/>
      <c r="F39" s="9" t="n"/>
    </row>
    <row r="40">
      <c r="A40" s="10" t="inlineStr">
        <is>
          <t>Total liabilities</t>
        </is>
      </c>
      <c r="B40" s="11" t="n">
        <v>88747</v>
      </c>
      <c r="C40" s="11" t="n">
        <v>157394</v>
      </c>
      <c r="D40" s="11" t="n">
        <v>403642</v>
      </c>
      <c r="E40" s="11" t="n">
        <v>668337</v>
      </c>
      <c r="F40" s="11" t="n">
        <v>300750</v>
      </c>
    </row>
    <row r="42">
      <c r="A42" s="6" t="inlineStr">
        <is>
          <t>Net Assets / Equity</t>
        </is>
      </c>
      <c r="B42" s="7" t="n"/>
      <c r="C42" s="7" t="n"/>
      <c r="D42" s="7" t="n"/>
      <c r="E42" s="7" t="n"/>
      <c r="F42" s="7" t="n"/>
    </row>
    <row r="43">
      <c r="A43" s="8" t="inlineStr">
        <is>
          <t xml:space="preserve">    Capital stock</t>
        </is>
      </c>
      <c r="B43" s="9" t="n">
        <v>923550</v>
      </c>
      <c r="C43" s="9" t="n">
        <v>940050</v>
      </c>
      <c r="D43" s="9" t="n">
        <v>1008200</v>
      </c>
      <c r="E43" s="9" t="n">
        <v>1051700</v>
      </c>
      <c r="F43" s="9" t="n">
        <v>1114700</v>
      </c>
    </row>
    <row r="44">
      <c r="A44" s="8" t="inlineStr">
        <is>
          <t xml:space="preserve">    Paid-in capital</t>
        </is>
      </c>
      <c r="B44" s="9" t="n">
        <v>2341845</v>
      </c>
      <c r="C44" s="9" t="n">
        <v>2305856</v>
      </c>
      <c r="D44" s="9" t="n">
        <v>3012989</v>
      </c>
      <c r="E44" s="9" t="n">
        <v>3160981</v>
      </c>
      <c r="F44" s="9" t="n">
        <v>8961446</v>
      </c>
    </row>
    <row r="45">
      <c r="A45" s="8" t="inlineStr">
        <is>
          <t xml:space="preserve">    Retained earnings</t>
        </is>
      </c>
      <c r="B45" s="9" t="n">
        <v>8343788</v>
      </c>
      <c r="C45" s="9" t="n">
        <v>8848271</v>
      </c>
      <c r="D45" s="9" t="n">
        <v>9566566</v>
      </c>
      <c r="E45" s="9" t="n">
        <v>9740417</v>
      </c>
      <c r="F45" s="9" t="n">
        <v>11398163</v>
      </c>
    </row>
    <row r="46">
      <c r="A46" s="10" t="inlineStr">
        <is>
          <t>Net assets</t>
        </is>
      </c>
      <c r="B46" s="11" t="n">
        <v>11609183</v>
      </c>
      <c r="C46" s="11" t="n">
        <v>12094177</v>
      </c>
      <c r="D46" s="11" t="n">
        <v>13587755</v>
      </c>
      <c r="E46" s="11" t="n">
        <v>13953098</v>
      </c>
      <c r="F46" s="11" t="n">
        <v>21474309</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367655</v>
      </c>
      <c r="C52" s="9" t="n">
        <v>504483</v>
      </c>
      <c r="D52" s="9" t="n">
        <v>718295</v>
      </c>
      <c r="E52" s="9" t="n">
        <v>173851</v>
      </c>
      <c r="F52" s="9" t="n">
        <v>1657746</v>
      </c>
    </row>
    <row r="53">
      <c r="A53" s="8" t="inlineStr">
        <is>
          <t xml:space="preserve">    + Depreciation (reported)</t>
        </is>
      </c>
      <c r="B53" s="9" t="n">
        <v>390322</v>
      </c>
      <c r="C53" s="9" t="n">
        <v>420886</v>
      </c>
      <c r="D53" s="9" t="n">
        <v>449426</v>
      </c>
      <c r="E53" s="9" t="n">
        <v>451237</v>
      </c>
      <c r="F53" s="9" t="n">
        <v>430772</v>
      </c>
    </row>
    <row r="54">
      <c r="A54" s="8" t="inlineStr">
        <is>
          <t xml:space="preserve">    − Δ Accounts receivable</t>
        </is>
      </c>
      <c r="B54" s="9" t="n"/>
      <c r="C54" s="9" t="n">
        <v>36978</v>
      </c>
      <c r="D54" s="9" t="n">
        <v>-10586</v>
      </c>
      <c r="E54" s="9" t="n">
        <v>-6518</v>
      </c>
      <c r="F54" s="9" t="n">
        <v>-62556</v>
      </c>
    </row>
    <row r="55">
      <c r="A55" s="8" t="inlineStr">
        <is>
          <t xml:space="preserve">    − Δ Inventories</t>
        </is>
      </c>
      <c r="B55" s="9" t="n"/>
      <c r="C55" s="9" t="n">
        <v>7540</v>
      </c>
      <c r="D55" s="9" t="n">
        <v>11282</v>
      </c>
      <c r="E55" s="9" t="n">
        <v>24445</v>
      </c>
      <c r="F55" s="9" t="n">
        <v>-52054</v>
      </c>
    </row>
    <row r="56">
      <c r="A56" s="8" t="inlineStr">
        <is>
          <t xml:space="preserve">    − Δ Prepaid expenses</t>
        </is>
      </c>
      <c r="B56" s="9" t="n"/>
      <c r="C56" s="9" t="n"/>
      <c r="D56" s="9" t="n"/>
      <c r="E56" s="9" t="n">
        <v>-254184</v>
      </c>
      <c r="F56" s="9" t="n">
        <v>201175</v>
      </c>
    </row>
    <row r="57">
      <c r="A57" s="8" t="inlineStr">
        <is>
          <t xml:space="preserve">    + Δ Accounts payable</t>
        </is>
      </c>
      <c r="B57" s="9" t="n"/>
      <c r="C57" s="9" t="n">
        <v>68647</v>
      </c>
      <c r="D57" s="9" t="n">
        <v>246248</v>
      </c>
      <c r="E57" s="9" t="n">
        <v>264695</v>
      </c>
      <c r="F57" s="9" t="n">
        <v>-367587</v>
      </c>
    </row>
    <row r="58">
      <c r="A58" s="10" t="inlineStr">
        <is>
          <t xml:space="preserve">    Operating cash flow proxy</t>
        </is>
      </c>
      <c r="B58" s="11" t="n"/>
      <c r="C58" s="11" t="n">
        <v>1038534</v>
      </c>
      <c r="D58" s="11" t="n">
        <v>1414665</v>
      </c>
      <c r="E58" s="11" t="n">
        <v>653526</v>
      </c>
      <c r="F58" s="11" t="n">
        <v>1807496</v>
      </c>
    </row>
    <row r="60">
      <c r="A60" s="6" t="inlineStr">
        <is>
          <t>Investing</t>
        </is>
      </c>
      <c r="B60" s="7" t="n"/>
      <c r="C60" s="7" t="n"/>
      <c r="D60" s="7" t="n"/>
      <c r="E60" s="7" t="n"/>
      <c r="F60" s="7" t="n"/>
    </row>
    <row r="61">
      <c r="A61" s="8" t="inlineStr">
        <is>
          <t xml:space="preserve">    − Δ PP&amp;E gross (capex proxy)</t>
        </is>
      </c>
      <c r="B61" s="9" t="n"/>
      <c r="C61" s="9" t="n">
        <v>-516976</v>
      </c>
      <c r="D61" s="9" t="n">
        <v>-2002414</v>
      </c>
      <c r="E61" s="9" t="n">
        <v>-488263</v>
      </c>
      <c r="F61" s="9" t="n">
        <v>-6950150</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581647</v>
      </c>
      <c r="D67" s="11" t="n">
        <v>71236</v>
      </c>
      <c r="E67" s="11" t="n">
        <v>399763</v>
      </c>
      <c r="F67" s="11" t="n">
        <v>-732124</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2999615</v>
      </c>
      <c r="C73" s="9" t="n">
        <v>3228223</v>
      </c>
      <c r="D73" s="9" t="n">
        <v>4287930</v>
      </c>
      <c r="E73" s="9" t="n">
        <v>3856154</v>
      </c>
      <c r="F73" s="9" t="n">
        <v>5210276</v>
      </c>
    </row>
    <row r="74">
      <c r="A74" s="8" t="inlineStr">
        <is>
          <t xml:space="preserve">    11b. Gross income from other sources</t>
        </is>
      </c>
      <c r="B74" s="9" t="n">
        <v>48013</v>
      </c>
      <c r="C74" s="9" t="n">
        <v>42932</v>
      </c>
      <c r="D74" s="9" t="n">
        <v>49938</v>
      </c>
      <c r="E74" s="9" t="n">
        <v>67295</v>
      </c>
      <c r="F74" s="9" t="n">
        <v>61051</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South Mesa Water Company</t>
        </is>
      </c>
    </row>
    <row r="2">
      <c r="A2" s="2" t="inlineStr">
        <is>
          <t>Balance Sheet - as reported (USD, end of year)</t>
        </is>
      </c>
    </row>
    <row r="3">
      <c r="A3" s="2" t="inlineStr">
        <is>
          <t>Entity ID: cawc_0035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314976</v>
      </c>
      <c r="C7" s="9" t="n">
        <v>169823</v>
      </c>
      <c r="D7" s="9" t="n">
        <v>221108</v>
      </c>
      <c r="E7" s="9" t="n">
        <v>201015</v>
      </c>
      <c r="F7" s="9" t="n">
        <v>179090</v>
      </c>
    </row>
    <row r="8">
      <c r="A8" s="8" t="inlineStr">
        <is>
          <t xml:space="preserve">    Savings &amp; temporary investments</t>
        </is>
      </c>
      <c r="B8" s="9" t="n">
        <v>1375895</v>
      </c>
      <c r="C8" s="9" t="n">
        <v>2102695</v>
      </c>
      <c r="D8" s="9" t="n">
        <v>2122646</v>
      </c>
      <c r="E8" s="9" t="n">
        <v>2542502</v>
      </c>
      <c r="F8" s="9" t="n">
        <v>1832303</v>
      </c>
    </row>
    <row r="9">
      <c r="A9" s="8" t="inlineStr">
        <is>
          <t xml:space="preserve">    Accounts receivable</t>
        </is>
      </c>
      <c r="B9" s="9" t="n">
        <v>203110</v>
      </c>
      <c r="C9" s="9" t="n">
        <v>166132</v>
      </c>
      <c r="D9" s="9" t="n">
        <v>176718</v>
      </c>
      <c r="E9" s="9" t="n">
        <v>183236</v>
      </c>
      <c r="F9" s="9" t="n">
        <v>245792</v>
      </c>
    </row>
    <row r="10">
      <c r="A10" s="8" t="inlineStr">
        <is>
          <t xml:space="preserve">    Inventories</t>
        </is>
      </c>
      <c r="B10" s="9" t="n">
        <v>168262</v>
      </c>
      <c r="C10" s="9" t="n">
        <v>160722</v>
      </c>
      <c r="D10" s="9" t="n">
        <v>149440</v>
      </c>
      <c r="E10" s="9" t="n">
        <v>124995</v>
      </c>
      <c r="F10" s="9" t="n">
        <v>177049</v>
      </c>
    </row>
    <row r="11">
      <c r="A11" s="8" t="inlineStr">
        <is>
          <t xml:space="preserve">    Prepaid expenses</t>
        </is>
      </c>
      <c r="B11" s="9" t="n"/>
      <c r="C11" s="9" t="n"/>
      <c r="D11" s="9" t="n">
        <v>149025</v>
      </c>
      <c r="E11" s="9" t="n">
        <v>403209</v>
      </c>
      <c r="F11" s="9" t="n">
        <v>202034</v>
      </c>
    </row>
    <row r="12">
      <c r="A12" s="8" t="inlineStr">
        <is>
          <t xml:space="preserve">    Property, plant &amp; equipment (gross)</t>
        </is>
      </c>
      <c r="B12" s="9" t="n">
        <v>18885594</v>
      </c>
      <c r="C12" s="9" t="n">
        <v>19402570</v>
      </c>
      <c r="D12" s="9" t="n">
        <v>21404984</v>
      </c>
      <c r="E12" s="9" t="n">
        <v>21893247</v>
      </c>
      <c r="F12" s="9" t="n">
        <v>28843397</v>
      </c>
    </row>
    <row r="13">
      <c r="A13" s="8" t="inlineStr">
        <is>
          <t xml:space="preserve">    Less: accumulated depreciation</t>
        </is>
      </c>
      <c r="B13" s="9" t="n">
        <v>-9349907</v>
      </c>
      <c r="C13" s="9" t="n">
        <v>-9850371</v>
      </c>
      <c r="D13" s="9" t="n">
        <v>-10332524</v>
      </c>
      <c r="E13" s="9" t="n">
        <v>-10826769</v>
      </c>
      <c r="F13" s="9" t="n">
        <v>-11304606</v>
      </c>
    </row>
    <row r="14">
      <c r="A14" s="10" t="inlineStr">
        <is>
          <t xml:space="preserve">    Net property, plant &amp; equipment</t>
        </is>
      </c>
      <c r="B14" s="11" t="n">
        <v>9535687</v>
      </c>
      <c r="C14" s="11" t="n">
        <v>9552199</v>
      </c>
      <c r="D14" s="11" t="n">
        <v>11072460</v>
      </c>
      <c r="E14" s="11" t="n">
        <v>11066478</v>
      </c>
      <c r="F14" s="11" t="n">
        <v>17538791</v>
      </c>
    </row>
    <row r="15">
      <c r="A15" s="10" t="inlineStr">
        <is>
          <t>Total assets</t>
        </is>
      </c>
      <c r="B15" s="11" t="n">
        <v>11697930</v>
      </c>
      <c r="C15" s="11" t="n">
        <v>12251571</v>
      </c>
      <c r="D15" s="11" t="n">
        <v>13991397</v>
      </c>
      <c r="E15" s="11" t="n">
        <v>14621435</v>
      </c>
      <c r="F15" s="11" t="n">
        <v>21775059</v>
      </c>
    </row>
    <row r="17">
      <c r="A17" s="6" t="inlineStr">
        <is>
          <t>Liabilities</t>
        </is>
      </c>
      <c r="B17" s="7" t="n"/>
      <c r="C17" s="7" t="n"/>
      <c r="D17" s="7" t="n"/>
      <c r="E17" s="7" t="n"/>
      <c r="F17" s="7" t="n"/>
    </row>
    <row r="18">
      <c r="A18" s="8" t="inlineStr">
        <is>
          <t xml:space="preserve">    Accounts payable</t>
        </is>
      </c>
      <c r="B18" s="9" t="n">
        <v>88747</v>
      </c>
      <c r="C18" s="9" t="n">
        <v>157394</v>
      </c>
      <c r="D18" s="9" t="n">
        <v>403642</v>
      </c>
      <c r="E18" s="9" t="n">
        <v>668337</v>
      </c>
      <c r="F18" s="9" t="n">
        <v>300750</v>
      </c>
    </row>
    <row r="19">
      <c r="A19" s="8" t="inlineStr">
        <is>
          <t xml:space="preserve">    Mortgages &amp; notes payable</t>
        </is>
      </c>
      <c r="B19" s="9" t="n"/>
      <c r="C19" s="9" t="n"/>
      <c r="D19" s="9" t="n"/>
      <c r="E19" s="9" t="n"/>
      <c r="F19" s="9" t="n"/>
    </row>
    <row r="20">
      <c r="A20" s="10" t="inlineStr">
        <is>
          <t>Total liabilities</t>
        </is>
      </c>
      <c r="B20" s="11" t="n">
        <v>88747</v>
      </c>
      <c r="C20" s="11" t="n">
        <v>157394</v>
      </c>
      <c r="D20" s="11" t="n">
        <v>403642</v>
      </c>
      <c r="E20" s="11" t="n">
        <v>668337</v>
      </c>
      <c r="F20" s="11" t="n">
        <v>300750</v>
      </c>
    </row>
    <row r="22">
      <c r="A22" s="6" t="inlineStr">
        <is>
          <t>Net Assets / Equity</t>
        </is>
      </c>
      <c r="B22" s="7" t="n"/>
      <c r="C22" s="7" t="n"/>
      <c r="D22" s="7" t="n"/>
      <c r="E22" s="7" t="n"/>
      <c r="F22" s="7" t="n"/>
    </row>
    <row r="23">
      <c r="A23" s="8" t="inlineStr">
        <is>
          <t xml:space="preserve">    Capital stock</t>
        </is>
      </c>
      <c r="B23" s="9" t="n">
        <v>923550</v>
      </c>
      <c r="C23" s="9" t="n">
        <v>940050</v>
      </c>
      <c r="D23" s="9" t="n">
        <v>1008200</v>
      </c>
      <c r="E23" s="9" t="n">
        <v>1051700</v>
      </c>
      <c r="F23" s="9" t="n">
        <v>1114700</v>
      </c>
    </row>
    <row r="24">
      <c r="A24" s="8" t="inlineStr">
        <is>
          <t xml:space="preserve">    Paid-in capital</t>
        </is>
      </c>
      <c r="B24" s="9" t="n">
        <v>2341845</v>
      </c>
      <c r="C24" s="9" t="n">
        <v>2305856</v>
      </c>
      <c r="D24" s="9" t="n">
        <v>3012989</v>
      </c>
      <c r="E24" s="9" t="n">
        <v>3160981</v>
      </c>
      <c r="F24" s="9" t="n">
        <v>8961446</v>
      </c>
    </row>
    <row r="25">
      <c r="A25" s="8" t="inlineStr">
        <is>
          <t xml:space="preserve">    Retained earnings</t>
        </is>
      </c>
      <c r="B25" s="9" t="n">
        <v>8343788</v>
      </c>
      <c r="C25" s="9" t="n">
        <v>8848271</v>
      </c>
      <c r="D25" s="9" t="n">
        <v>9566566</v>
      </c>
      <c r="E25" s="9" t="n">
        <v>9740417</v>
      </c>
      <c r="F25" s="9" t="n">
        <v>11398163</v>
      </c>
    </row>
    <row r="26">
      <c r="A26" s="10" t="inlineStr">
        <is>
          <t>Net assets</t>
        </is>
      </c>
      <c r="B26" s="11" t="n">
        <v>11609183</v>
      </c>
      <c r="C26" s="11" t="n">
        <v>12094177</v>
      </c>
      <c r="D26" s="11" t="n">
        <v>13587755</v>
      </c>
      <c r="E26" s="11" t="n">
        <v>13953098</v>
      </c>
      <c r="F26" s="11" t="n">
        <v>21474309</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South Mesa Water Company</t>
        </is>
      </c>
    </row>
    <row r="2">
      <c r="A2" s="2" t="inlineStr">
        <is>
          <t>Officers, Directors &amp; Contractors - Form 990 Part VII (FY2024; USD)</t>
        </is>
      </c>
    </row>
    <row r="3">
      <c r="A3" s="2" t="inlineStr">
        <is>
          <t>Entity ID: cawc_0035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DAVE ARMSTRONG</t>
        </is>
      </c>
      <c r="B7" s="17" t="inlineStr">
        <is>
          <t>GEN MGR</t>
        </is>
      </c>
      <c r="C7" s="18" t="n">
        <v>167108</v>
      </c>
      <c r="D7" s="18" t="n">
        <v>0</v>
      </c>
      <c r="E7" s="18" t="n">
        <v>0</v>
      </c>
      <c r="F7" s="18" t="n">
        <v>167108</v>
      </c>
    </row>
    <row r="8">
      <c r="A8" s="17" t="inlineStr">
        <is>
          <t>BONNIE HERNANDEZ</t>
        </is>
      </c>
      <c r="B8" s="17" t="inlineStr">
        <is>
          <t>SECRETARYTREASURER</t>
        </is>
      </c>
      <c r="C8" s="18" t="n">
        <v>83050</v>
      </c>
      <c r="D8" s="18" t="n">
        <v>0</v>
      </c>
      <c r="E8" s="18" t="n">
        <v>0</v>
      </c>
      <c r="F8" s="18" t="n">
        <v>83050</v>
      </c>
    </row>
    <row r="9">
      <c r="A9" s="8" t="inlineStr">
        <is>
          <t>GARY WILSON</t>
        </is>
      </c>
      <c r="B9" s="8" t="inlineStr">
        <is>
          <t>DIRECTOR</t>
        </is>
      </c>
      <c r="C9" s="9" t="n">
        <v>2600</v>
      </c>
      <c r="D9" s="9" t="n">
        <v>0</v>
      </c>
      <c r="E9" s="9" t="n">
        <v>0</v>
      </c>
      <c r="F9" s="9" t="n">
        <v>2600</v>
      </c>
    </row>
    <row r="10">
      <c r="A10" s="8" t="inlineStr">
        <is>
          <t>PAUL WAGNER</t>
        </is>
      </c>
      <c r="B10" s="8" t="inlineStr">
        <is>
          <t>DIRECTOR</t>
        </is>
      </c>
      <c r="C10" s="9" t="n">
        <v>2600</v>
      </c>
      <c r="D10" s="9" t="n">
        <v>0</v>
      </c>
      <c r="E10" s="9" t="n">
        <v>0</v>
      </c>
      <c r="F10" s="9" t="n">
        <v>2600</v>
      </c>
    </row>
    <row r="11">
      <c r="A11" s="8" t="inlineStr">
        <is>
          <t>DAVID DUTCHOVER</t>
        </is>
      </c>
      <c r="B11" s="8" t="inlineStr">
        <is>
          <t>PRESIDENT</t>
        </is>
      </c>
      <c r="C11" s="9" t="n">
        <v>2600</v>
      </c>
      <c r="D11" s="9" t="n">
        <v>0</v>
      </c>
      <c r="E11" s="9" t="n">
        <v>0</v>
      </c>
      <c r="F11" s="9" t="n">
        <v>2600</v>
      </c>
    </row>
    <row r="12">
      <c r="A12" s="8" t="inlineStr">
        <is>
          <t>LYLE HUGHES</t>
        </is>
      </c>
      <c r="B12" s="8" t="inlineStr">
        <is>
          <t>DIRECTOR</t>
        </is>
      </c>
      <c r="C12" s="9" t="n">
        <v>2400</v>
      </c>
      <c r="D12" s="9" t="n">
        <v>0</v>
      </c>
      <c r="E12" s="9" t="n">
        <v>0</v>
      </c>
      <c r="F12" s="9" t="n">
        <v>2400</v>
      </c>
    </row>
    <row r="13">
      <c r="A13" s="8" t="inlineStr">
        <is>
          <t>AARON JONES</t>
        </is>
      </c>
      <c r="B13" s="8" t="inlineStr">
        <is>
          <t>DIRECTOR</t>
        </is>
      </c>
      <c r="C13" s="9" t="n">
        <v>0</v>
      </c>
      <c r="D13" s="9" t="n">
        <v>0</v>
      </c>
      <c r="E13" s="9" t="n">
        <v>0</v>
      </c>
      <c r="F13" s="9" t="n">
        <v>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South Mesa Water Company</t>
        </is>
      </c>
    </row>
    <row r="2">
      <c r="A2" s="2" t="inlineStr">
        <is>
          <t>Revenue - Form 990 Part VIII (USD)</t>
        </is>
      </c>
    </row>
    <row r="3">
      <c r="A3" s="2" t="inlineStr">
        <is>
          <t>Entity ID: cawc_0035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19" t="inlineStr">
        <is>
          <t>not reported</t>
        </is>
      </c>
      <c r="C7" s="19" t="inlineStr">
        <is>
          <t>not reported</t>
        </is>
      </c>
      <c r="D7" s="19" t="inlineStr">
        <is>
          <t>not reported</t>
        </is>
      </c>
      <c r="E7" s="19" t="inlineStr">
        <is>
          <t>not reported</t>
        </is>
      </c>
      <c r="F7" s="19" t="inlineStr">
        <is>
          <t>not reported</t>
        </is>
      </c>
    </row>
    <row r="8">
      <c r="A8" s="8" t="inlineStr">
        <is>
          <t xml:space="preserve">    2g. Total program service revenue</t>
        </is>
      </c>
      <c r="B8" s="9" t="n">
        <v>2999615</v>
      </c>
      <c r="C8" s="9" t="n">
        <v>3228223</v>
      </c>
      <c r="D8" s="9" t="n">
        <v>4287930</v>
      </c>
      <c r="E8" s="9" t="n">
        <v>3856154</v>
      </c>
      <c r="F8" s="9" t="n">
        <v>5210276</v>
      </c>
    </row>
    <row r="9">
      <c r="A9" s="8" t="inlineStr">
        <is>
          <t xml:space="preserve">    3. Investment income</t>
        </is>
      </c>
      <c r="B9" s="9" t="n">
        <v>3569</v>
      </c>
      <c r="C9" s="9" t="n">
        <v>668</v>
      </c>
      <c r="D9" s="9" t="n">
        <v>6406</v>
      </c>
      <c r="E9" s="9" t="n">
        <v>22457</v>
      </c>
      <c r="F9" s="9" t="n">
        <v>14868</v>
      </c>
    </row>
    <row r="10">
      <c r="A10" s="8" t="inlineStr">
        <is>
          <t xml:space="preserve">    6d. Net rental income</t>
        </is>
      </c>
      <c r="B10" s="9" t="n">
        <v>44444</v>
      </c>
      <c r="C10" s="9" t="n">
        <v>42264</v>
      </c>
      <c r="D10" s="9" t="n">
        <v>43532</v>
      </c>
      <c r="E10" s="9" t="n">
        <v>44838</v>
      </c>
      <c r="F10" s="9" t="n">
        <v>46183</v>
      </c>
    </row>
    <row r="11">
      <c r="A11" s="8" t="inlineStr">
        <is>
          <t xml:space="preserve">    7d. Net gain/(loss) from investment sales</t>
        </is>
      </c>
      <c r="B11" s="19" t="inlineStr">
        <is>
          <t>not reported</t>
        </is>
      </c>
      <c r="C11" s="19" t="inlineStr">
        <is>
          <t>not reported</t>
        </is>
      </c>
      <c r="D11" s="19" t="inlineStr">
        <is>
          <t>not reported</t>
        </is>
      </c>
      <c r="E11" s="19" t="inlineStr">
        <is>
          <t>not reported</t>
        </is>
      </c>
      <c r="F11" s="19" t="inlineStr">
        <is>
          <t>not reported</t>
        </is>
      </c>
    </row>
    <row r="12">
      <c r="A12" s="8" t="inlineStr">
        <is>
          <t xml:space="preserve">    11e. Other revenue</t>
        </is>
      </c>
      <c r="B12" s="19" t="inlineStr">
        <is>
          <t>not reported</t>
        </is>
      </c>
      <c r="C12" s="19" t="inlineStr">
        <is>
          <t>not reported</t>
        </is>
      </c>
      <c r="D12" s="19" t="inlineStr">
        <is>
          <t>not reported</t>
        </is>
      </c>
      <c r="E12" s="19" t="inlineStr">
        <is>
          <t>not reported</t>
        </is>
      </c>
      <c r="F12" s="19" t="inlineStr">
        <is>
          <t>not reported</t>
        </is>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WATER SALESSERVICES</t>
        </is>
      </c>
      <c r="B17" s="8" t="inlineStr">
        <is>
          <t>221000</t>
        </is>
      </c>
      <c r="C17" s="9" t="n">
        <v>4992176</v>
      </c>
    </row>
    <row r="18">
      <c r="A18" s="8" t="inlineStr">
        <is>
          <t>MEMBER ASSESSMENTS</t>
        </is>
      </c>
      <c r="B18" s="8" t="inlineStr">
        <is>
          <t>221000</t>
        </is>
      </c>
      <c r="C18" s="9" t="n">
        <v>218100</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9:F19"/>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South Mesa Water Company</t>
        </is>
      </c>
    </row>
    <row r="2">
      <c r="A2" s="2" t="inlineStr">
        <is>
          <t>Statement of Functional Expenses - Form 990 Part IX (USD)</t>
        </is>
      </c>
    </row>
    <row r="3">
      <c r="A3" s="2" t="inlineStr">
        <is>
          <t>Entity ID: cawc_0035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5. Compensation of current officers, directors, trustees</t>
        </is>
      </c>
      <c r="B7" s="9" t="n">
        <v>207377</v>
      </c>
      <c r="C7" s="9" t="n">
        <v>189570</v>
      </c>
      <c r="D7" s="19" t="inlineStr">
        <is>
          <t>not reported</t>
        </is>
      </c>
      <c r="E7" s="9" t="n">
        <v>253346</v>
      </c>
      <c r="F7" s="9" t="n">
        <v>262958</v>
      </c>
    </row>
    <row r="8">
      <c r="A8" s="8" t="inlineStr">
        <is>
          <t xml:space="preserve">    6. Compensation to disqualified persons</t>
        </is>
      </c>
      <c r="B8" s="19" t="inlineStr">
        <is>
          <t>not reported</t>
        </is>
      </c>
      <c r="C8" s="19" t="inlineStr">
        <is>
          <t>not reported</t>
        </is>
      </c>
      <c r="D8" s="9" t="n">
        <v>182195</v>
      </c>
      <c r="E8" s="19" t="inlineStr">
        <is>
          <t>not reported</t>
        </is>
      </c>
      <c r="F8" s="19" t="inlineStr">
        <is>
          <t>not reported</t>
        </is>
      </c>
    </row>
    <row r="9">
      <c r="A9" s="8" t="inlineStr">
        <is>
          <t xml:space="preserve">    7. Other salaries and wages</t>
        </is>
      </c>
      <c r="B9" s="9" t="n">
        <v>415482</v>
      </c>
      <c r="C9" s="9" t="n">
        <v>539421</v>
      </c>
      <c r="D9" s="9" t="n">
        <v>567408</v>
      </c>
      <c r="E9" s="9" t="n">
        <v>603496</v>
      </c>
      <c r="F9" s="9" t="n">
        <v>645089</v>
      </c>
    </row>
    <row r="10">
      <c r="A10" s="8" t="inlineStr">
        <is>
          <t xml:space="preserve">    9. Other employee benefits</t>
        </is>
      </c>
      <c r="B10" s="9" t="n">
        <v>158732</v>
      </c>
      <c r="C10" s="9" t="n">
        <v>183597</v>
      </c>
      <c r="D10" s="9" t="n">
        <v>201844</v>
      </c>
      <c r="E10" s="9" t="n">
        <v>219275</v>
      </c>
      <c r="F10" s="9" t="n">
        <v>254018</v>
      </c>
    </row>
    <row r="11">
      <c r="A11" s="8" t="inlineStr">
        <is>
          <t xml:space="preserve">    10. Payroll taxes</t>
        </is>
      </c>
      <c r="B11" s="9" t="n">
        <v>63455</v>
      </c>
      <c r="C11" s="9" t="n">
        <v>66087</v>
      </c>
      <c r="D11" s="9" t="n">
        <v>81316</v>
      </c>
      <c r="E11" s="9" t="n">
        <v>80580</v>
      </c>
      <c r="F11" s="9" t="n">
        <v>81243</v>
      </c>
    </row>
    <row r="12">
      <c r="A12" s="8" t="inlineStr">
        <is>
          <t xml:space="preserve">    11b. Fees for services: legal</t>
        </is>
      </c>
      <c r="B12" s="9" t="n">
        <v>201766</v>
      </c>
      <c r="C12" s="9" t="n">
        <v>216500</v>
      </c>
      <c r="D12" s="9" t="n">
        <v>238401</v>
      </c>
      <c r="E12" s="9" t="n">
        <v>227782</v>
      </c>
      <c r="F12" s="9" t="n">
        <v>131494</v>
      </c>
    </row>
    <row r="13">
      <c r="A13" s="8" t="inlineStr">
        <is>
          <t xml:space="preserve">    11c. Fees for services: accounting</t>
        </is>
      </c>
      <c r="B13" s="9" t="n">
        <v>5620</v>
      </c>
      <c r="C13" s="9" t="n">
        <v>6550</v>
      </c>
      <c r="D13" s="9" t="n">
        <v>8000</v>
      </c>
      <c r="E13" s="9" t="n">
        <v>9400</v>
      </c>
      <c r="F13" s="9" t="n">
        <v>8000</v>
      </c>
    </row>
    <row r="14">
      <c r="A14" s="8" t="inlineStr">
        <is>
          <t xml:space="preserve">    11g. Fees for services: other</t>
        </is>
      </c>
      <c r="B14" s="9" t="n">
        <v>151347</v>
      </c>
      <c r="C14" s="9" t="n">
        <v>48630</v>
      </c>
      <c r="D14" s="9" t="n">
        <v>60042</v>
      </c>
      <c r="E14" s="9" t="n">
        <v>39250</v>
      </c>
      <c r="F14" s="9" t="n">
        <v>71925</v>
      </c>
    </row>
    <row r="15">
      <c r="A15" s="8" t="inlineStr">
        <is>
          <t xml:space="preserve">    13. Office expenses</t>
        </is>
      </c>
      <c r="B15" s="9" t="n">
        <v>89203</v>
      </c>
      <c r="C15" s="9" t="n">
        <v>85386</v>
      </c>
      <c r="D15" s="9" t="n">
        <v>112285</v>
      </c>
      <c r="E15" s="9" t="n">
        <v>135411</v>
      </c>
      <c r="F15" s="9" t="n">
        <v>137582</v>
      </c>
    </row>
    <row r="16">
      <c r="A16" s="8" t="inlineStr">
        <is>
          <t xml:space="preserve">    22. Depreciation, depletion, and amortization</t>
        </is>
      </c>
      <c r="B16" s="9" t="n">
        <v>390322</v>
      </c>
      <c r="C16" s="9" t="n">
        <v>420886</v>
      </c>
      <c r="D16" s="9" t="n">
        <v>449426</v>
      </c>
      <c r="E16" s="9" t="n">
        <v>451237</v>
      </c>
      <c r="F16" s="9" t="n">
        <v>430772</v>
      </c>
    </row>
    <row r="17">
      <c r="A17" s="8" t="inlineStr">
        <is>
          <t xml:space="preserve">    23. Insurance</t>
        </is>
      </c>
      <c r="B17" s="9" t="n">
        <v>35660</v>
      </c>
      <c r="C17" s="9" t="n">
        <v>33234</v>
      </c>
      <c r="D17" s="9" t="n">
        <v>37173</v>
      </c>
      <c r="E17" s="9" t="n">
        <v>47879</v>
      </c>
      <c r="F17" s="9" t="n">
        <v>47879</v>
      </c>
    </row>
    <row r="18">
      <c r="A18" s="8" t="inlineStr">
        <is>
          <t xml:space="preserve">    24. POWER</t>
        </is>
      </c>
      <c r="B18" s="9" t="n">
        <v>413556</v>
      </c>
      <c r="C18" s="9" t="n">
        <v>426526</v>
      </c>
      <c r="D18" s="9" t="n">
        <v>539109</v>
      </c>
      <c r="E18" s="9" t="n">
        <v>623384</v>
      </c>
      <c r="F18" s="9" t="n">
        <v>652347</v>
      </c>
    </row>
    <row r="19">
      <c r="A19" s="8" t="inlineStr">
        <is>
          <t xml:space="preserve">    24. TRUCK EXPENSES</t>
        </is>
      </c>
      <c r="B19" s="9" t="n">
        <v>30292</v>
      </c>
      <c r="C19" s="9" t="n">
        <v>45707</v>
      </c>
      <c r="D19" s="9" t="n">
        <v>64582</v>
      </c>
      <c r="E19" s="9" t="n">
        <v>56362</v>
      </c>
      <c r="F19" s="9" t="n">
        <v>50560</v>
      </c>
    </row>
    <row r="20">
      <c r="A20" s="8" t="inlineStr">
        <is>
          <t xml:space="preserve">    24. REPAIRSMAINTSUPPLIES</t>
        </is>
      </c>
      <c r="B20" s="9" t="n">
        <v>286997</v>
      </c>
      <c r="C20" s="9" t="n">
        <v>300845</v>
      </c>
      <c r="D20" s="9" t="n">
        <v>665533</v>
      </c>
      <c r="E20" s="9" t="n">
        <v>707448</v>
      </c>
      <c r="F20" s="9" t="n">
        <v>640507</v>
      </c>
    </row>
    <row r="21">
      <c r="A21" s="8" t="inlineStr">
        <is>
          <t xml:space="preserve">    24. OTHER GENERAL EXPENSES</t>
        </is>
      </c>
      <c r="B21" s="9" t="n">
        <v>69166</v>
      </c>
      <c r="C21" s="9" t="n">
        <v>65344</v>
      </c>
      <c r="D21" s="9" t="n">
        <v>58154</v>
      </c>
      <c r="E21" s="9" t="n">
        <v>61591</v>
      </c>
      <c r="F21" s="9" t="n">
        <v>53780</v>
      </c>
    </row>
    <row r="22">
      <c r="A22" s="8" t="inlineStr">
        <is>
          <t xml:space="preserve">    24e. All other expenses</t>
        </is>
      </c>
      <c r="B22" s="9" t="n">
        <v>160998</v>
      </c>
      <c r="C22" s="9" t="n">
        <v>138389</v>
      </c>
      <c r="D22" s="9" t="n">
        <v>354105</v>
      </c>
      <c r="E22" s="9" t="n">
        <v>233157</v>
      </c>
      <c r="F22" s="9" t="n">
        <v>145427</v>
      </c>
    </row>
    <row r="23">
      <c r="A23" s="10" t="inlineStr">
        <is>
          <t>25. Total functional expenses</t>
        </is>
      </c>
      <c r="B23" s="11">
        <f>SUM(B7:B22)</f>
        <v/>
      </c>
      <c r="C23" s="11">
        <f>SUM(C7:C22)</f>
        <v/>
      </c>
      <c r="D23" s="11">
        <f>SUM(D7:D22)</f>
        <v/>
      </c>
      <c r="E23" s="11">
        <f>SUM(E7:E22)</f>
        <v/>
      </c>
      <c r="F23" s="11">
        <f>SUM(F7:F22)</f>
        <v/>
      </c>
    </row>
    <row r="25">
      <c r="A25" s="6" t="inlineStr">
        <is>
          <t>Functional column split - FY2024 (col A = B + C + D)</t>
        </is>
      </c>
      <c r="B25" s="7" t="n"/>
      <c r="C25" s="7" t="n"/>
      <c r="D25" s="7" t="n"/>
      <c r="E25" s="7" t="n"/>
      <c r="F25" s="7" t="n"/>
    </row>
    <row r="26">
      <c r="A26" s="5" t="inlineStr">
        <is>
          <t>Part IX line</t>
        </is>
      </c>
      <c r="B26" s="5" t="inlineStr">
        <is>
          <t>A. Total</t>
        </is>
      </c>
      <c r="C26" s="5" t="inlineStr">
        <is>
          <t>B. Program services</t>
        </is>
      </c>
      <c r="D26" s="5" t="inlineStr">
        <is>
          <t>C. Management &amp; general</t>
        </is>
      </c>
      <c r="E26" s="5" t="inlineStr">
        <is>
          <t>D. Fundraising</t>
        </is>
      </c>
    </row>
    <row r="27">
      <c r="A27" s="20" t="inlineStr">
        <is>
          <t>5. Compensation of current officers, directors, trustees</t>
        </is>
      </c>
      <c r="B27" s="9" t="n">
        <v>262958</v>
      </c>
      <c r="C27" s="9" t="n"/>
      <c r="D27" s="9" t="n">
        <v>262958</v>
      </c>
      <c r="E27" s="9" t="n"/>
    </row>
    <row r="28">
      <c r="A28" s="20" t="inlineStr">
        <is>
          <t>7. Other salaries and wages</t>
        </is>
      </c>
      <c r="B28" s="9" t="n">
        <v>645089</v>
      </c>
      <c r="C28" s="9" t="n">
        <v>477726</v>
      </c>
      <c r="D28" s="9" t="n">
        <v>167363</v>
      </c>
      <c r="E28" s="9" t="n"/>
    </row>
    <row r="29">
      <c r="A29" s="20" t="inlineStr">
        <is>
          <t>9. Other employee benefits</t>
        </is>
      </c>
      <c r="B29" s="9" t="n">
        <v>254018</v>
      </c>
      <c r="C29" s="9" t="n">
        <v>154518</v>
      </c>
      <c r="D29" s="9" t="n">
        <v>99500</v>
      </c>
      <c r="E29" s="9" t="n"/>
    </row>
    <row r="30">
      <c r="A30" s="20" t="inlineStr">
        <is>
          <t>10. Payroll taxes</t>
        </is>
      </c>
      <c r="B30" s="9" t="n">
        <v>81243</v>
      </c>
      <c r="C30" s="9" t="n">
        <v>53193</v>
      </c>
      <c r="D30" s="9" t="n">
        <v>28050</v>
      </c>
      <c r="E30" s="9" t="n"/>
    </row>
    <row r="31">
      <c r="A31" s="20" t="inlineStr">
        <is>
          <t>11b. Fees for services: legal</t>
        </is>
      </c>
      <c r="B31" s="9" t="n">
        <v>131494</v>
      </c>
      <c r="C31" s="9" t="n">
        <v>131494</v>
      </c>
      <c r="D31" s="9" t="n"/>
      <c r="E31" s="9" t="n"/>
    </row>
    <row r="32">
      <c r="A32" s="20" t="inlineStr">
        <is>
          <t>11c. Fees for services: accounting</t>
        </is>
      </c>
      <c r="B32" s="9" t="n">
        <v>8000</v>
      </c>
      <c r="C32" s="9" t="n">
        <v>8000</v>
      </c>
      <c r="D32" s="9" t="n"/>
      <c r="E32" s="9" t="n"/>
    </row>
    <row r="33">
      <c r="A33" s="20" t="inlineStr">
        <is>
          <t>11g. Fees for services: other</t>
        </is>
      </c>
      <c r="B33" s="9" t="n">
        <v>71925</v>
      </c>
      <c r="C33" s="9" t="n">
        <v>71925</v>
      </c>
      <c r="D33" s="9" t="n"/>
      <c r="E33" s="9" t="n"/>
    </row>
    <row r="34">
      <c r="A34" s="20" t="inlineStr">
        <is>
          <t>13. Office expenses</t>
        </is>
      </c>
      <c r="B34" s="9" t="n">
        <v>137582</v>
      </c>
      <c r="C34" s="9" t="n">
        <v>137582</v>
      </c>
      <c r="D34" s="9" t="n"/>
      <c r="E34" s="9" t="n"/>
    </row>
    <row r="35">
      <c r="A35" s="20" t="inlineStr">
        <is>
          <t>22. Depreciation, depletion, and amortization</t>
        </is>
      </c>
      <c r="B35" s="9" t="n">
        <v>430772</v>
      </c>
      <c r="C35" s="9" t="n">
        <v>430772</v>
      </c>
      <c r="D35" s="9" t="n"/>
      <c r="E35" s="9" t="n"/>
    </row>
    <row r="36">
      <c r="A36" s="20" t="inlineStr">
        <is>
          <t>23. Insurance</t>
        </is>
      </c>
      <c r="B36" s="9" t="n">
        <v>47879</v>
      </c>
      <c r="C36" s="9" t="n">
        <v>47879</v>
      </c>
      <c r="D36" s="9" t="n"/>
      <c r="E36" s="9" t="n"/>
    </row>
    <row r="37">
      <c r="A37" s="10" t="inlineStr">
        <is>
          <t>25. Total (filed col A / B / C / D)</t>
        </is>
      </c>
      <c r="B37" s="11" t="n">
        <v>3613581</v>
      </c>
      <c r="C37" s="11" t="n">
        <v>3055710</v>
      </c>
      <c r="D37" s="11" t="n">
        <v>557871</v>
      </c>
      <c r="E37" s="11" t="n">
        <v>0</v>
      </c>
    </row>
    <row r="39" ht="42" customHeight="1">
      <c r="A3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39:F39"/>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South Mesa Water Company</t>
        </is>
      </c>
    </row>
    <row r="2">
      <c r="A2" s="2" t="inlineStr">
        <is>
          <t>Balance Sheet - Form 990 Part X (end of year, USD)</t>
        </is>
      </c>
    </row>
    <row r="3">
      <c r="A3" s="2" t="inlineStr">
        <is>
          <t>Entity ID: cawc_0035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314976</v>
      </c>
      <c r="C7" s="9" t="n">
        <v>169823</v>
      </c>
      <c r="D7" s="9" t="n">
        <v>221108</v>
      </c>
      <c r="E7" s="9" t="n">
        <v>201015</v>
      </c>
      <c r="F7" s="9" t="n">
        <v>179090</v>
      </c>
    </row>
    <row r="8">
      <c r="A8" s="8" t="inlineStr">
        <is>
          <t xml:space="preserve">    2. Savings and temporary cash investments</t>
        </is>
      </c>
      <c r="B8" s="9" t="n">
        <v>1375895</v>
      </c>
      <c r="C8" s="9" t="n">
        <v>2102695</v>
      </c>
      <c r="D8" s="9" t="n">
        <v>2122646</v>
      </c>
      <c r="E8" s="9" t="n">
        <v>2542502</v>
      </c>
      <c r="F8" s="9" t="n">
        <v>1832303</v>
      </c>
    </row>
    <row r="9">
      <c r="A9" s="8" t="inlineStr">
        <is>
          <t xml:space="preserve">    4. Accounts receivable, net</t>
        </is>
      </c>
      <c r="B9" s="9" t="n">
        <v>203110</v>
      </c>
      <c r="C9" s="9" t="n">
        <v>166132</v>
      </c>
      <c r="D9" s="9" t="n">
        <v>176718</v>
      </c>
      <c r="E9" s="9" t="n">
        <v>183236</v>
      </c>
      <c r="F9" s="9" t="n">
        <v>245792</v>
      </c>
    </row>
    <row r="10">
      <c r="A10" s="8" t="inlineStr">
        <is>
          <t xml:space="preserve">    8. Inventories for sale or use</t>
        </is>
      </c>
      <c r="B10" s="9" t="n">
        <v>168262</v>
      </c>
      <c r="C10" s="9" t="n">
        <v>160722</v>
      </c>
      <c r="D10" s="9" t="n">
        <v>149440</v>
      </c>
      <c r="E10" s="9" t="n">
        <v>124995</v>
      </c>
      <c r="F10" s="9" t="n">
        <v>177049</v>
      </c>
    </row>
    <row r="11">
      <c r="A11" s="8" t="inlineStr">
        <is>
          <t xml:space="preserve">    9. Prepaid expenses and deferred charges</t>
        </is>
      </c>
      <c r="B11" s="19" t="inlineStr">
        <is>
          <t>not reported</t>
        </is>
      </c>
      <c r="C11" s="19" t="inlineStr">
        <is>
          <t>not reported</t>
        </is>
      </c>
      <c r="D11" s="9" t="n">
        <v>149025</v>
      </c>
      <c r="E11" s="9" t="n">
        <v>403209</v>
      </c>
      <c r="F11" s="9" t="n">
        <v>202034</v>
      </c>
    </row>
    <row r="12">
      <c r="A12" s="8" t="inlineStr">
        <is>
          <t xml:space="preserve">    10c. Land, buildings, and equipment, net</t>
        </is>
      </c>
      <c r="B12" s="9" t="n">
        <v>9535687</v>
      </c>
      <c r="C12" s="9" t="n">
        <v>9552199</v>
      </c>
      <c r="D12" s="9" t="n">
        <v>11072460</v>
      </c>
      <c r="E12" s="9" t="n">
        <v>11066478</v>
      </c>
      <c r="F12" s="9" t="n">
        <v>17538791</v>
      </c>
    </row>
    <row r="13">
      <c r="A13" s="8" t="inlineStr">
        <is>
          <t xml:space="preserve">    11. Investments - publicly traded securities</t>
        </is>
      </c>
      <c r="B13" s="19" t="inlineStr">
        <is>
          <t>not reported</t>
        </is>
      </c>
      <c r="C13" s="19" t="inlineStr">
        <is>
          <t>not reported</t>
        </is>
      </c>
      <c r="D13" s="19" t="inlineStr">
        <is>
          <t>not reported</t>
        </is>
      </c>
      <c r="E13" s="19" t="inlineStr">
        <is>
          <t>not reported</t>
        </is>
      </c>
      <c r="F13" s="9" t="n">
        <v>1500000</v>
      </c>
    </row>
    <row r="14">
      <c r="A14" s="8" t="inlineStr">
        <is>
          <t xml:space="preserve">    15. Other assets</t>
        </is>
      </c>
      <c r="B14" s="9" t="n">
        <v>100000</v>
      </c>
      <c r="C14" s="9" t="n">
        <v>100000</v>
      </c>
      <c r="D14" s="9" t="n">
        <v>100000</v>
      </c>
      <c r="E14" s="9" t="n">
        <v>100000</v>
      </c>
      <c r="F14" s="9" t="n">
        <v>100000</v>
      </c>
    </row>
    <row r="15">
      <c r="A15" s="10" t="inlineStr">
        <is>
          <t>16. Total assets</t>
        </is>
      </c>
      <c r="B15" s="11">
        <f>SUM(B7:B14)</f>
        <v/>
      </c>
      <c r="C15" s="11">
        <f>SUM(C7:C14)</f>
        <v/>
      </c>
      <c r="D15" s="11">
        <f>SUM(D7:D14)</f>
        <v/>
      </c>
      <c r="E15" s="11">
        <f>SUM(E7:E14)</f>
        <v/>
      </c>
      <c r="F15" s="11">
        <f>SUM(F7:F14)</f>
        <v/>
      </c>
    </row>
    <row r="17">
      <c r="A17" s="6" t="inlineStr">
        <is>
          <t>Liabilities</t>
        </is>
      </c>
      <c r="B17" s="7" t="n"/>
      <c r="C17" s="7" t="n"/>
      <c r="D17" s="7" t="n"/>
      <c r="E17" s="7" t="n"/>
      <c r="F17" s="7" t="n"/>
    </row>
    <row r="18">
      <c r="A18" s="8" t="inlineStr">
        <is>
          <t xml:space="preserve">    17. Accounts payable and accrued expenses</t>
        </is>
      </c>
      <c r="B18" s="9" t="n">
        <v>88747</v>
      </c>
      <c r="C18" s="9" t="n">
        <v>157394</v>
      </c>
      <c r="D18" s="9" t="n">
        <v>403642</v>
      </c>
      <c r="E18" s="9" t="n">
        <v>668337</v>
      </c>
      <c r="F18" s="9" t="n">
        <v>300750</v>
      </c>
    </row>
    <row r="19">
      <c r="A19" s="10" t="inlineStr">
        <is>
          <t>26. Total liabilities</t>
        </is>
      </c>
      <c r="B19" s="11">
        <f>SUM(B18:B18)</f>
        <v/>
      </c>
      <c r="C19" s="11">
        <f>SUM(C18:C18)</f>
        <v/>
      </c>
      <c r="D19" s="11">
        <f>SUM(D18:D18)</f>
        <v/>
      </c>
      <c r="E19" s="11">
        <f>SUM(E18:E18)</f>
        <v/>
      </c>
      <c r="F19" s="11">
        <f>SUM(F18:F18)</f>
        <v/>
      </c>
    </row>
    <row r="21">
      <c r="A21" s="6" t="inlineStr">
        <is>
          <t>Net assets / fund balances</t>
        </is>
      </c>
      <c r="B21" s="7" t="n"/>
      <c r="C21" s="7" t="n"/>
      <c r="D21" s="7" t="n"/>
      <c r="E21" s="7" t="n"/>
      <c r="F21" s="7" t="n"/>
    </row>
    <row r="22">
      <c r="A22" s="8" t="inlineStr">
        <is>
          <t xml:space="preserve">    29. Capital stock or trust principal</t>
        </is>
      </c>
      <c r="B22" s="9" t="n">
        <v>923550</v>
      </c>
      <c r="C22" s="9" t="n">
        <v>940050</v>
      </c>
      <c r="D22" s="9" t="n">
        <v>1008200</v>
      </c>
      <c r="E22" s="9" t="n">
        <v>1051700</v>
      </c>
      <c r="F22" s="9" t="n">
        <v>1114700</v>
      </c>
    </row>
    <row r="23">
      <c r="A23" s="8" t="inlineStr">
        <is>
          <t xml:space="preserve">    30. Paid-in or capital surplus</t>
        </is>
      </c>
      <c r="B23" s="9" t="n">
        <v>2341845</v>
      </c>
      <c r="C23" s="9" t="n">
        <v>2305856</v>
      </c>
      <c r="D23" s="9" t="n">
        <v>3012989</v>
      </c>
      <c r="E23" s="9" t="n">
        <v>3160981</v>
      </c>
      <c r="F23" s="9" t="n">
        <v>8961446</v>
      </c>
    </row>
    <row r="24">
      <c r="A24" s="8" t="inlineStr">
        <is>
          <t xml:space="preserve">    31. Retained earnings / accumulated funds</t>
        </is>
      </c>
      <c r="B24" s="9" t="n">
        <v>8343788</v>
      </c>
      <c r="C24" s="9" t="n">
        <v>8848271</v>
      </c>
      <c r="D24" s="9" t="n">
        <v>9566566</v>
      </c>
      <c r="E24" s="9" t="n">
        <v>9740417</v>
      </c>
      <c r="F24" s="9" t="n">
        <v>11398163</v>
      </c>
    </row>
    <row r="25">
      <c r="A25" s="10" t="inlineStr">
        <is>
          <t>32. Total net assets / fund balances</t>
        </is>
      </c>
      <c r="B25" s="11">
        <f>SUM(B22:B24)</f>
        <v/>
      </c>
      <c r="C25" s="11">
        <f>SUM(C22:C24)</f>
        <v/>
      </c>
      <c r="D25" s="11">
        <f>SUM(D22:D24)</f>
        <v/>
      </c>
      <c r="E25" s="11">
        <f>SUM(E22:E24)</f>
        <v/>
      </c>
      <c r="F25" s="11">
        <f>SUM(F22:F24)</f>
        <v/>
      </c>
    </row>
    <row r="27" ht="42" customHeight="1">
      <c r="A2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27:F2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South Mesa Water Company</t>
        </is>
      </c>
    </row>
    <row r="2">
      <c r="A2" s="2" t="inlineStr">
        <is>
          <t>Reconciliation of Net Assets - Form 990 Part XI (USD)</t>
        </is>
      </c>
    </row>
    <row r="3">
      <c r="A3" s="2" t="inlineStr">
        <is>
          <t>Entity ID: cawc_0035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11270117</v>
      </c>
      <c r="C7" s="9" t="n">
        <v>11609183</v>
      </c>
      <c r="D7" s="9" t="n">
        <v>12094177</v>
      </c>
      <c r="E7" s="9" t="n">
        <v>13587755</v>
      </c>
      <c r="F7" s="9" t="n">
        <v>13953098</v>
      </c>
    </row>
    <row r="8">
      <c r="A8" s="8" t="inlineStr">
        <is>
          <t xml:space="preserve">    3. Revenue less expenses</t>
        </is>
      </c>
      <c r="B8" s="9" t="n">
        <v>367655</v>
      </c>
      <c r="C8" s="9" t="n">
        <v>504483</v>
      </c>
      <c r="D8" s="9" t="n">
        <v>718295</v>
      </c>
      <c r="E8" s="9" t="n">
        <v>173851</v>
      </c>
      <c r="F8" s="9" t="n">
        <v>1657746</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row>
    <row r="10">
      <c r="A10" s="8" t="inlineStr">
        <is>
          <t xml:space="preserve">    9. Other changes in net assets</t>
        </is>
      </c>
      <c r="B10" s="9" t="n">
        <v>-28589</v>
      </c>
      <c r="C10" s="9" t="n">
        <v>-19489</v>
      </c>
      <c r="D10" s="9" t="n">
        <v>775283</v>
      </c>
      <c r="E10" s="9" t="n">
        <v>191492</v>
      </c>
      <c r="F10" s="9" t="n">
        <v>5863465</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South Mesa Water Company</t>
        </is>
      </c>
    </row>
    <row r="2">
      <c r="A2" s="2" t="inlineStr">
        <is>
          <t>Cash Flow Proxies - derived (USD)</t>
        </is>
      </c>
    </row>
    <row r="3">
      <c r="A3" s="2" t="inlineStr">
        <is>
          <t>Entity ID: cawc_0035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367655</v>
      </c>
      <c r="C9" s="9" t="n">
        <v>504483</v>
      </c>
      <c r="D9" s="9" t="n">
        <v>718295</v>
      </c>
      <c r="E9" s="9" t="n">
        <v>173851</v>
      </c>
      <c r="F9" s="9" t="n">
        <v>1657746</v>
      </c>
    </row>
    <row r="10">
      <c r="A10" s="8" t="inlineStr">
        <is>
          <t xml:space="preserve">    + Depreciation (reported)</t>
        </is>
      </c>
      <c r="B10" s="9" t="n">
        <v>390322</v>
      </c>
      <c r="C10" s="9" t="n">
        <v>420886</v>
      </c>
      <c r="D10" s="9" t="n">
        <v>449426</v>
      </c>
      <c r="E10" s="9" t="n">
        <v>451237</v>
      </c>
      <c r="F10" s="9" t="n">
        <v>430772</v>
      </c>
    </row>
    <row r="11">
      <c r="A11" s="8" t="inlineStr">
        <is>
          <t xml:space="preserve">    − Δ Accounts receivable</t>
        </is>
      </c>
      <c r="B11" s="9" t="n"/>
      <c r="C11" s="9" t="n">
        <v>36978</v>
      </c>
      <c r="D11" s="9" t="n">
        <v>-10586</v>
      </c>
      <c r="E11" s="9" t="n">
        <v>-6518</v>
      </c>
      <c r="F11" s="9" t="n">
        <v>-62556</v>
      </c>
    </row>
    <row r="12">
      <c r="A12" s="8" t="inlineStr">
        <is>
          <t xml:space="preserve">    − Δ Inventories</t>
        </is>
      </c>
      <c r="B12" s="9" t="n"/>
      <c r="C12" s="9" t="n">
        <v>7540</v>
      </c>
      <c r="D12" s="9" t="n">
        <v>11282</v>
      </c>
      <c r="E12" s="9" t="n">
        <v>24445</v>
      </c>
      <c r="F12" s="9" t="n">
        <v>-52054</v>
      </c>
    </row>
    <row r="13">
      <c r="A13" s="8" t="inlineStr">
        <is>
          <t xml:space="preserve">    − Δ Prepaid expenses</t>
        </is>
      </c>
      <c r="B13" s="9" t="n"/>
      <c r="C13" s="9" t="n"/>
      <c r="D13" s="9" t="n"/>
      <c r="E13" s="9" t="n">
        <v>-254184</v>
      </c>
      <c r="F13" s="9" t="n">
        <v>201175</v>
      </c>
    </row>
    <row r="14">
      <c r="A14" s="8" t="inlineStr">
        <is>
          <t xml:space="preserve">    + Δ Accounts payable</t>
        </is>
      </c>
      <c r="B14" s="9" t="n"/>
      <c r="C14" s="9" t="n">
        <v>68647</v>
      </c>
      <c r="D14" s="9" t="n">
        <v>246248</v>
      </c>
      <c r="E14" s="9" t="n">
        <v>264695</v>
      </c>
      <c r="F14" s="9" t="n">
        <v>-367587</v>
      </c>
    </row>
    <row r="15">
      <c r="A15" s="10" t="inlineStr">
        <is>
          <t xml:space="preserve">    Operating cash flow proxy</t>
        </is>
      </c>
      <c r="B15" s="11" t="n"/>
      <c r="C15" s="11" t="n">
        <v>1038534</v>
      </c>
      <c r="D15" s="11" t="n">
        <v>1414665</v>
      </c>
      <c r="E15" s="11" t="n">
        <v>653526</v>
      </c>
      <c r="F15" s="11" t="n">
        <v>1807496</v>
      </c>
    </row>
    <row r="17">
      <c r="A17" s="6" t="inlineStr">
        <is>
          <t>Investing</t>
        </is>
      </c>
      <c r="B17" s="7" t="n"/>
      <c r="C17" s="7" t="n"/>
      <c r="D17" s="7" t="n"/>
      <c r="E17" s="7" t="n"/>
      <c r="F17" s="7" t="n"/>
    </row>
    <row r="18">
      <c r="A18" s="8" t="inlineStr">
        <is>
          <t xml:space="preserve">    − Δ PP&amp;E gross (capex proxy)</t>
        </is>
      </c>
      <c r="B18" s="9" t="n"/>
      <c r="C18" s="9" t="n">
        <v>-516976</v>
      </c>
      <c r="D18" s="9" t="n">
        <v>-2002414</v>
      </c>
      <c r="E18" s="9" t="n">
        <v>-488263</v>
      </c>
      <c r="F18" s="9" t="n">
        <v>-6950150</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581647</v>
      </c>
      <c r="D24" s="11" t="n">
        <v>71236</v>
      </c>
      <c r="E24" s="11" t="n">
        <v>399763</v>
      </c>
      <c r="F24" s="11" t="n">
        <v>-732124</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South Mesa Water Company</t>
        </is>
      </c>
    </row>
    <row r="2">
      <c r="A2" s="2" t="inlineStr">
        <is>
          <t>Financial Ratios</t>
        </is>
      </c>
    </row>
    <row r="3">
      <c r="A3" s="2" t="inlineStr">
        <is>
          <t>Entity ID: cawc_0035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0.1206364425054501</v>
      </c>
      <c r="C7" s="12" t="n">
        <v>0.1542216739958822</v>
      </c>
      <c r="D7" s="12" t="n">
        <v>0.1655871040797</v>
      </c>
      <c r="E7" s="12" t="n">
        <v>0.04431075821299067</v>
      </c>
      <c r="F7" s="12" t="n">
        <v>0.3144836205380543</v>
      </c>
    </row>
    <row r="8">
      <c r="A8" s="8" t="inlineStr">
        <is>
          <t xml:space="preserve">    Expense ratio (expenses / revenue)</t>
        </is>
      </c>
      <c r="B8" s="12" t="n">
        <v>0.8793635574945499</v>
      </c>
      <c r="C8" s="12" t="n">
        <v>0.8457783260041178</v>
      </c>
      <c r="D8" s="12" t="n">
        <v>0.8344128959203</v>
      </c>
      <c r="E8" s="12" t="n">
        <v>0.9556892417870093</v>
      </c>
      <c r="F8" s="12" t="n">
        <v>0.6855163794619458</v>
      </c>
    </row>
    <row r="9">
      <c r="A9" s="8" t="inlineStr">
        <is>
          <t xml:space="preserve">    Return on assets (NI / assets)</t>
        </is>
      </c>
      <c r="B9" s="12" t="n">
        <v>0.03142906480035357</v>
      </c>
      <c r="C9" s="12" t="n">
        <v>0.04117700497348462</v>
      </c>
      <c r="D9" s="12" t="n">
        <v>0.05133833311998795</v>
      </c>
      <c r="E9" s="12" t="n">
        <v>0.01189014621341886</v>
      </c>
      <c r="F9" s="12" t="n">
        <v>0.07613049406662917</v>
      </c>
    </row>
    <row r="10">
      <c r="A10" s="8" t="inlineStr">
        <is>
          <t xml:space="preserve">    Revenue growth (YoY)</t>
        </is>
      </c>
      <c r="B10" s="12" t="n">
        <v>0.09010019558383994</v>
      </c>
      <c r="C10" s="12" t="n">
        <v>0.07334458142529206</v>
      </c>
      <c r="D10" s="12" t="n">
        <v>0.3260967456448869</v>
      </c>
      <c r="E10" s="12" t="n">
        <v>-0.09553517995476118</v>
      </c>
      <c r="F10" s="12" t="n">
        <v>0.3435441622919018</v>
      </c>
    </row>
    <row r="12">
      <c r="A12" s="6" t="inlineStr">
        <is>
          <t>Leverage &amp; solvency</t>
        </is>
      </c>
      <c r="B12" s="7" t="n"/>
      <c r="C12" s="7" t="n"/>
      <c r="D12" s="7" t="n"/>
      <c r="E12" s="7" t="n"/>
      <c r="F12" s="7" t="n"/>
    </row>
    <row r="13">
      <c r="A13" s="8" t="inlineStr">
        <is>
          <t xml:space="preserve">    Debt-to-assets (liab. / assets)</t>
        </is>
      </c>
      <c r="B13" s="12" t="n">
        <v>0.00758655591202888</v>
      </c>
      <c r="C13" s="12" t="n">
        <v>0.01284684225394441</v>
      </c>
      <c r="D13" s="12" t="n">
        <v>0.02884929932300542</v>
      </c>
      <c r="E13" s="12" t="n">
        <v>0.04570939856450478</v>
      </c>
      <c r="F13" s="12" t="n">
        <v>0.01381167325424928</v>
      </c>
    </row>
    <row r="14">
      <c r="A14" s="8" t="inlineStr">
        <is>
          <t xml:space="preserve">    Equity ratio (net assets / assets)</t>
        </is>
      </c>
      <c r="B14" s="12" t="n">
        <v>0.9924134440879712</v>
      </c>
      <c r="C14" s="12" t="n">
        <v>0.9871531577460556</v>
      </c>
      <c r="D14" s="12" t="n">
        <v>0.9711507006769946</v>
      </c>
      <c r="E14" s="12" t="n">
        <v>0.9542906014354953</v>
      </c>
      <c r="F14" s="12" t="n">
        <v>0.9861883267457507</v>
      </c>
    </row>
    <row r="16">
      <c r="A16" s="6" t="inlineStr">
        <is>
          <t>Liquidity &amp; asset profile (derived here)</t>
        </is>
      </c>
      <c r="B16" s="7" t="n"/>
      <c r="C16" s="7" t="n"/>
      <c r="D16" s="7" t="n"/>
      <c r="E16" s="7" t="n"/>
      <c r="F16" s="7" t="n"/>
    </row>
    <row r="17">
      <c r="A17" s="8" t="inlineStr">
        <is>
          <t xml:space="preserve">    Current ratio (current assets / AP)</t>
        </is>
      </c>
      <c r="B17" s="21" t="n">
        <v>23.23732633215771</v>
      </c>
      <c r="C17" s="21" t="n">
        <v>16.51506410663685</v>
      </c>
      <c r="D17" s="21" t="n">
        <v>6.983755407019091</v>
      </c>
      <c r="E17" s="21" t="n">
        <v>5.169483359442916</v>
      </c>
      <c r="F17" s="21" t="n">
        <v>8.765645885286784</v>
      </c>
    </row>
    <row r="18">
      <c r="A18" s="8" t="inlineStr">
        <is>
          <t xml:space="preserve">    Cash ratio ((cash+temp inv.) / total liab.)</t>
        </is>
      </c>
      <c r="B18" s="21" t="n">
        <v>19.05271164095688</v>
      </c>
      <c r="C18" s="21" t="n">
        <v>14.43840298867809</v>
      </c>
      <c r="D18" s="21" t="n">
        <v>5.806516665758271</v>
      </c>
      <c r="E18" s="21" t="n">
        <v>4.104990446436453</v>
      </c>
      <c r="F18" s="21" t="n">
        <v>6.687923524522028</v>
      </c>
    </row>
    <row r="19">
      <c r="A19" s="8" t="inlineStr">
        <is>
          <t xml:space="preserve">    Asset age proxy (accum. deprec. / gross PP&amp;E)</t>
        </is>
      </c>
      <c r="B19" s="12" t="n">
        <v>0.4950814361465146</v>
      </c>
      <c r="C19" s="12" t="n">
        <v>0.5076838274517241</v>
      </c>
      <c r="D19" s="12" t="n">
        <v>0.4827158011423882</v>
      </c>
      <c r="E19" s="12" t="n">
        <v>0.4945255036861366</v>
      </c>
      <c r="F19" s="12" t="n">
        <v>0.3919304650558323</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South Mesa Water Company</t>
        </is>
      </c>
    </row>
    <row r="2">
      <c r="A2" s="2" t="inlineStr">
        <is>
          <t>Unit economics - per-customer revenue by category (USD)</t>
        </is>
      </c>
    </row>
    <row r="3">
      <c r="A3" s="2" t="inlineStr">
        <is>
          <t>Entity ID: cawc_0035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v>3063</v>
      </c>
      <c r="C6" s="24" t="inlineStr">
        <is>
          <t>State Water Board eAR Section 4 (CurTotalConnections), reporting year 2024</t>
        </is>
      </c>
    </row>
    <row r="7">
      <c r="A7" s="22" t="inlineStr">
        <is>
          <t>Total annual revenue (eAR Section 8b B1.8)</t>
        </is>
      </c>
      <c r="B7" s="9" t="n">
        <v>2841058</v>
      </c>
      <c r="C7" s="24" t="inlineStr">
        <is>
          <t>State Water Board eAR Section 8b, question B1.8 (total annual revenue), reporting year 2024</t>
        </is>
      </c>
    </row>
    <row r="8">
      <c r="A8" s="22" t="inlineStr">
        <is>
          <t>Primary source</t>
        </is>
      </c>
      <c r="B8" s="25" t="inlineStr"/>
      <c r="C8" s="24"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6" t="inlineStr">
        <is>
          <t>DIRECT</t>
        </is>
      </c>
      <c r="C12" s="9" t="n">
        <v>2749185</v>
      </c>
      <c r="D12" s="27" t="n">
        <v>897.55</v>
      </c>
      <c r="E12" s="28" t="n">
        <v>0.9677</v>
      </c>
    </row>
    <row r="13">
      <c r="A13" s="8" t="inlineStr">
        <is>
          <t>Assessment revenue (990 program-service revenue not matched to eAR water-rate revenue)</t>
        </is>
      </c>
      <c r="B13" s="26" t="inlineStr">
        <is>
          <t>DERIVED</t>
        </is>
      </c>
      <c r="C13" s="9" t="n">
        <v>2461091</v>
      </c>
      <c r="D13" s="27" t="n">
        <v>803.49</v>
      </c>
      <c r="E13" s="28" t="n">
        <v>0.4724</v>
      </c>
    </row>
    <row r="14">
      <c r="A14" s="8" t="inlineStr">
        <is>
          <t>Meter revenue</t>
        </is>
      </c>
      <c r="B14" s="26" t="inlineStr">
        <is>
          <t>not reported</t>
        </is>
      </c>
      <c r="C14" s="29" t="inlineStr">
        <is>
          <t>not reported</t>
        </is>
      </c>
      <c r="D14" s="29" t="inlineStr">
        <is>
          <t>not reported</t>
        </is>
      </c>
      <c r="E14" s="29" t="inlineStr">
        <is>
          <t>not reported</t>
        </is>
      </c>
    </row>
    <row r="15">
      <c r="A15" s="8" t="inlineStr">
        <is>
          <t>Overage or tiered penalty revenue</t>
        </is>
      </c>
      <c r="B15" s="26" t="inlineStr">
        <is>
          <t>not reported</t>
        </is>
      </c>
      <c r="C15" s="29" t="inlineStr">
        <is>
          <t>not reported</t>
        </is>
      </c>
      <c r="D15" s="29" t="inlineStr">
        <is>
          <t>not reported</t>
        </is>
      </c>
      <c r="E15" s="29"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2" t="inlineStr">
        <is>
          <t>Numerator: Water rate revenue</t>
        </is>
      </c>
      <c r="B19" s="9" t="n">
        <v>2749185</v>
      </c>
      <c r="C19" s="24" t="inlineStr">
        <is>
          <t>eAR Section 8b field B1.1 (residential water rates) + B1.2 (non-residential water rates). State Water Board eAR Section 8b, question B1.1 + B1.2 (revenue from water rates), reporting year 2024</t>
        </is>
      </c>
    </row>
    <row r="20">
      <c r="A20" s="22" t="inlineStr">
        <is>
          <t>Denominator: Total service connections</t>
        </is>
      </c>
      <c r="B20" s="23" t="n">
        <v>3063</v>
      </c>
      <c r="C20" s="24" t="inlineStr">
        <is>
          <t>eAR Section 4 CurTotalConnections, reporting year 2024. State Water Board eAR Section 4 (CurTotalConnections), reporting year 2024</t>
        </is>
      </c>
    </row>
    <row r="21" ht="36" customHeight="1">
      <c r="A21" s="3" t="inlineStr">
        <is>
          <t>Per customer: water rate revenue $2,749,185 / 3,063 connections = $897.55 per connection</t>
        </is>
      </c>
    </row>
    <row r="22" ht="36" customHeight="1">
      <c r="A22" s="3" t="inlineStr">
        <is>
          <t>Share of revenue: water rate revenue $2,749,185 / total annual revenue (eAR Section 8b B1.8) $2,841,058 = 96.77%</t>
        </is>
      </c>
    </row>
    <row r="23" ht="66" customHeight="1">
      <c r="A23" s="3" t="inlineStr">
        <is>
          <t>Period treatment: Numerator (eAR Section 8b, the calendar year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2" t="inlineStr">
        <is>
          <t>Input A: Form 990 program-service revenue</t>
        </is>
      </c>
      <c r="B28" s="9" t="n">
        <v>5210276</v>
      </c>
      <c r="C28" s="24" t="inlineStr">
        <is>
          <t>Form 990 Part VIII line 2 (total program-service revenue), fiscal year 2024 ending December 31, 2024</t>
        </is>
      </c>
    </row>
    <row r="29">
      <c r="A29" s="22" t="inlineStr">
        <is>
          <t>Input B: eAR water-rate revenue</t>
        </is>
      </c>
      <c r="B29" s="9" t="n">
        <v>2749185</v>
      </c>
      <c r="C29" s="24" t="inlineStr">
        <is>
          <t>State Water Board eAR Section 8b, question B1.1 + B1.2 (revenue from water rates), reporting year 2024</t>
        </is>
      </c>
    </row>
    <row r="30">
      <c r="A30" s="14" t="inlineStr">
        <is>
          <t>Residual (A minus B) = assessment revenue</t>
        </is>
      </c>
      <c r="B30" s="15">
        <f>B28-B29</f>
        <v/>
      </c>
      <c r="C30" s="24" t="inlineStr">
        <is>
          <t>$5,210,276 (990 program-service revenue) minus $2,749,185 (eAR water-rate revenue) = $2,461,091</t>
        </is>
      </c>
    </row>
    <row r="31" ht="66" customHeight="1">
      <c r="A31" s="3" t="inlineStr">
        <is>
          <t>Period alignment: Both inputs cover the same period: the eAR Section 8b is the calendar year 2024 and the Form 990 fiscal year 2024 ends December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2" t="inlineStr">
        <is>
          <t>Denominator: Total service connections</t>
        </is>
      </c>
      <c r="B34" s="23" t="n">
        <v>3063</v>
      </c>
      <c r="C34" s="24" t="inlineStr">
        <is>
          <t>eAR Section 4 CurTotalConnections, reporting year 2024. State Water Board eAR Section 4 (CurTotalConnections), reporting year 2024</t>
        </is>
      </c>
    </row>
    <row r="35" ht="36" customHeight="1">
      <c r="A35" s="3" t="inlineStr">
        <is>
          <t>Per customer: residual $2,461,091 / 3,063 connections = $803.49 per connection</t>
        </is>
      </c>
    </row>
    <row r="36" ht="36" customHeight="1">
      <c r="A36" s="3" t="inlineStr">
        <is>
          <t>Share of revenue: residual $2,461,091 / 990 program-service revenue $5,210,276 = 47.24%</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0"/>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South Mesa Water Company</t>
        </is>
      </c>
    </row>
    <row r="2">
      <c r="A2" s="2" t="inlineStr">
        <is>
          <t>Rate structure and representative bill - eAR Section 8a (RY2024)</t>
        </is>
      </c>
    </row>
    <row r="3">
      <c r="A3" s="2" t="inlineStr">
        <is>
          <t>Entity ID: cawc_0035   |   Fiscal year ends December 31.</t>
        </is>
      </c>
    </row>
    <row r="5" ht="81" customHeight="1">
      <c r="A5" s="30" t="inlineStr">
        <is>
          <t>This block is a rate-schedule illustration at defined usage levels. It is NOT billed revenue and not a claim about any real customer's usage. The revenue side of unit economics is the separate Unit Economics block.</t>
        </is>
      </c>
    </row>
    <row r="6" ht="51" customHeight="1">
      <c r="A6" s="31" t="inlineStr">
        <is>
          <t>Structure: Tiered increasing-block with a fixed base, billed monthly, priced per HCF. Rate schedule last updated 01/01/2024.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2" t="inlineStr"/>
      <c r="B10" s="5" t="inlineStr">
        <is>
          <t>Low</t>
        </is>
      </c>
      <c r="C10" s="5" t="inlineStr">
        <is>
          <t>Median</t>
        </is>
      </c>
      <c r="D10" s="5" t="inlineStr">
        <is>
          <t>High</t>
        </is>
      </c>
    </row>
    <row r="11">
      <c r="A11" s="8" t="inlineStr">
        <is>
          <t>Monthly usage (HCF)</t>
        </is>
      </c>
      <c r="B11" s="33" t="n">
        <v>5</v>
      </c>
      <c r="C11" s="33" t="n">
        <v>10</v>
      </c>
      <c r="D11" s="33" t="n">
        <v>25</v>
      </c>
    </row>
    <row r="12">
      <c r="A12" s="8" t="inlineStr">
        <is>
          <t>Months per bill (from filed billing frequency)</t>
        </is>
      </c>
      <c r="B12" s="34"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7" t="n">
        <v>18.13</v>
      </c>
    </row>
    <row r="16">
      <c r="A16" s="4" t="inlineStr">
        <is>
          <t>Tier</t>
        </is>
      </c>
      <c r="B16" s="4" t="inlineStr">
        <is>
          <t>Range (HCF)</t>
        </is>
      </c>
      <c r="C16" s="35" t="inlineStr">
        <is>
          <t>Price ($/HCF)</t>
        </is>
      </c>
      <c r="D16" s="35" t="inlineStr">
        <is>
          <t>Upper limit (HCF)</t>
        </is>
      </c>
    </row>
    <row r="17">
      <c r="A17" s="8" t="inlineStr">
        <is>
          <t>Tier 1</t>
        </is>
      </c>
      <c r="B17" s="8" t="inlineStr">
        <is>
          <t>0 to 14.5 HCF</t>
        </is>
      </c>
      <c r="C17" s="36" t="n">
        <v>1.67</v>
      </c>
      <c r="D17" s="37" t="n">
        <v>14.5</v>
      </c>
    </row>
    <row r="18">
      <c r="A18" s="8" t="inlineStr">
        <is>
          <t>Tier 2</t>
        </is>
      </c>
      <c r="B18" s="8" t="inlineStr">
        <is>
          <t>14.5 to 20 HCF</t>
        </is>
      </c>
      <c r="C18" s="36" t="n">
        <v>3.49</v>
      </c>
      <c r="D18" s="37" t="n">
        <v>20</v>
      </c>
    </row>
    <row r="19">
      <c r="A19" s="8" t="inlineStr">
        <is>
          <t>Tier 3</t>
        </is>
      </c>
      <c r="B19" s="8" t="inlineStr">
        <is>
          <t>over 20 HCF</t>
        </is>
      </c>
      <c r="C19" s="36" t="n">
        <v>4.29</v>
      </c>
      <c r="D19" s="37" t="inlineStr">
        <is>
          <t>no limit</t>
        </is>
      </c>
    </row>
    <row r="21">
      <c r="A21" s="6" t="inlineStr">
        <is>
          <t>Representative monthly bill - LIVE (edit a yellow usage cell to recompute)</t>
        </is>
      </c>
      <c r="B21" s="7" t="n"/>
      <c r="C21" s="7" t="n"/>
      <c r="D21" s="7" t="n"/>
    </row>
    <row r="22">
      <c r="A22" s="32" t="inlineStr"/>
      <c r="B22" s="5" t="inlineStr">
        <is>
          <t>Low</t>
        </is>
      </c>
      <c r="C22" s="5" t="inlineStr">
        <is>
          <t>Median</t>
        </is>
      </c>
      <c r="D22" s="5" t="inlineStr">
        <is>
          <t>High</t>
        </is>
      </c>
    </row>
    <row r="23">
      <c r="A23" s="8" t="inlineStr">
        <is>
          <t>Usage per bill (HCF)</t>
        </is>
      </c>
      <c r="B23" s="38">
        <f>B11*$B$12</f>
        <v/>
      </c>
      <c r="C23" s="38">
        <f>C11*$B$12</f>
        <v/>
      </c>
      <c r="D23" s="38">
        <f>D11*$B$12</f>
        <v/>
      </c>
    </row>
    <row r="24">
      <c r="A24" s="8" t="inlineStr">
        <is>
          <t xml:space="preserve">    Tier 1 charge per bill ($)</t>
        </is>
      </c>
      <c r="B24" s="39">
        <f>$C$17*MAX(0,MIN(B23,$D$17)-0)</f>
        <v/>
      </c>
      <c r="C24" s="39">
        <f>$C$17*MAX(0,MIN(C23,$D$17)-0)</f>
        <v/>
      </c>
      <c r="D24" s="39">
        <f>$C$17*MAX(0,MIN(D23,$D$17)-0)</f>
        <v/>
      </c>
    </row>
    <row r="25">
      <c r="A25" s="8" t="inlineStr">
        <is>
          <t xml:space="preserve">    Tier 2 charge per bill ($)</t>
        </is>
      </c>
      <c r="B25" s="39">
        <f>$C$18*MAX(0,MIN(B23,$D$18)-$D$17)</f>
        <v/>
      </c>
      <c r="C25" s="39">
        <f>$C$18*MAX(0,MIN(C23,$D$18)-$D$17)</f>
        <v/>
      </c>
      <c r="D25" s="39">
        <f>$C$18*MAX(0,MIN(D23,$D$18)-$D$17)</f>
        <v/>
      </c>
    </row>
    <row r="26">
      <c r="A26" s="8" t="inlineStr">
        <is>
          <t xml:space="preserve">    Tier 3 charge per bill ($)</t>
        </is>
      </c>
      <c r="B26" s="39">
        <f>$C$19*MAX(0,B23-$D$18)</f>
        <v/>
      </c>
      <c r="C26" s="39">
        <f>$C$19*MAX(0,C23-$D$18)</f>
        <v/>
      </c>
      <c r="D26" s="39">
        <f>$C$19*MAX(0,D23-$D$18)</f>
        <v/>
      </c>
    </row>
    <row r="27">
      <c r="A27" s="8" t="inlineStr">
        <is>
          <t>Volumetric charge per bill ($)</t>
        </is>
      </c>
      <c r="B27" s="39">
        <f>SUM(B24,B25,B26)</f>
        <v/>
      </c>
      <c r="C27" s="39">
        <f>SUM(C24,C25,C26)</f>
        <v/>
      </c>
      <c r="D27" s="39">
        <f>SUM(D24,D25,D26)</f>
        <v/>
      </c>
    </row>
    <row r="28">
      <c r="A28" s="8" t="inlineStr">
        <is>
          <t>Base charge per bill ($)</t>
        </is>
      </c>
      <c r="B28" s="39">
        <f>$B$15</f>
        <v/>
      </c>
      <c r="C28" s="39">
        <f>$B$15</f>
        <v/>
      </c>
      <c r="D28" s="39">
        <f>$B$15</f>
        <v/>
      </c>
    </row>
    <row r="29">
      <c r="A29" s="8" t="inlineStr">
        <is>
          <t>Total per bill ($)</t>
        </is>
      </c>
      <c r="B29" s="39">
        <f>B28+B27</f>
        <v/>
      </c>
      <c r="C29" s="39">
        <f>C28+C27</f>
        <v/>
      </c>
      <c r="D29" s="39">
        <f>D28+D27</f>
        <v/>
      </c>
    </row>
    <row r="30">
      <c r="A30" s="10" t="inlineStr">
        <is>
          <t>Total per MONTH ($)</t>
        </is>
      </c>
      <c r="B30" s="40">
        <f>B29/$B$12</f>
        <v/>
      </c>
      <c r="C30" s="40">
        <f>C29/$B$12</f>
        <v/>
      </c>
      <c r="D30" s="40">
        <f>D29/$B$12</f>
        <v/>
      </c>
    </row>
    <row r="31">
      <c r="A31" s="8" t="inlineStr">
        <is>
          <t xml:space="preserve">    Fixed per month ($)</t>
        </is>
      </c>
      <c r="B31" s="39">
        <f>$B$15/$B$12</f>
        <v/>
      </c>
      <c r="C31" s="39">
        <f>$B$15/$B$12</f>
        <v/>
      </c>
      <c r="D31" s="39">
        <f>$B$15/$B$12</f>
        <v/>
      </c>
    </row>
    <row r="32">
      <c r="A32" s="8" t="inlineStr">
        <is>
          <t xml:space="preserve">    Volumetric per month ($)</t>
        </is>
      </c>
      <c r="B32" s="39">
        <f>B27/$B$12</f>
        <v/>
      </c>
      <c r="C32" s="39">
        <f>C27/$B$12</f>
        <v/>
      </c>
      <c r="D32" s="39">
        <f>D27/$B$12</f>
        <v/>
      </c>
    </row>
    <row r="33">
      <c r="A33" s="8" t="inlineStr">
        <is>
          <t>Effective price ($/HCF)</t>
        </is>
      </c>
      <c r="B33" s="39">
        <f>IF(B11=0,"",B30/B11)</f>
        <v/>
      </c>
      <c r="C33" s="39">
        <f>IF(C11=0,"",C30/C11)</f>
        <v/>
      </c>
      <c r="D33" s="39">
        <f>IF(D11=0,"",D30/D11)</f>
        <v/>
      </c>
    </row>
    <row r="35">
      <c r="A35" s="6" t="inlineStr">
        <is>
          <t>Rate-structure comparison metrics</t>
        </is>
      </c>
      <c r="B35" s="7" t="n"/>
      <c r="C35" s="7" t="n"/>
      <c r="D35" s="7" t="n"/>
    </row>
    <row r="36">
      <c r="A36" s="8" t="inlineStr">
        <is>
          <t>Fixed share of the bill at median usage</t>
        </is>
      </c>
      <c r="B36" s="41">
        <f>C31/C30</f>
        <v/>
      </c>
      <c r="C36" s="13" t="inlineStr">
        <is>
          <t>fixed / total at 10 HCF/month</t>
        </is>
      </c>
    </row>
    <row r="37">
      <c r="A37" s="8" t="inlineStr">
        <is>
          <t>Tier price ratio (highest to lowest positive tier)</t>
        </is>
      </c>
      <c r="B37" s="42">
        <f>$C$19/$C$17</f>
        <v/>
      </c>
      <c r="C37" s="13" t="inlineStr">
        <is>
          <t>highest filed tier price divided by lowest filed tier price.</t>
        </is>
      </c>
    </row>
    <row r="38">
      <c r="A38" s="8" t="inlineStr">
        <is>
          <t>Rate structure (as filed)</t>
        </is>
      </c>
      <c r="B38" s="43" t="inlineStr">
        <is>
          <t>tiered (Variable Base)</t>
        </is>
      </c>
    </row>
    <row r="40" ht="66" customHeight="1">
      <c r="A40" s="3" t="inlineStr">
        <is>
          <t>State Water Board eAR Section 8a (Customer Charges), single- and multi-family residential charges grid, reporting year 2024. Rate structure only; no revenue.</t>
        </is>
      </c>
    </row>
  </sheetData>
  <mergeCells count="7">
    <mergeCell ref="A1:D1"/>
    <mergeCell ref="A5:D5"/>
    <mergeCell ref="A40:D40"/>
    <mergeCell ref="A6:D6"/>
    <mergeCell ref="A3:D3"/>
    <mergeCell ref="A7:D7"/>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South Mesa Water Company</t>
        </is>
      </c>
    </row>
    <row r="2">
      <c r="A2" s="2" t="inlineStr">
        <is>
          <t>eAR annual revenue and expenses - State Water Board eAR Section 8b (USD)</t>
        </is>
      </c>
    </row>
    <row r="3">
      <c r="A3" s="2" t="inlineStr">
        <is>
          <t>Entity ID: cawc_0035   |   Fiscal year ends December 31.</t>
        </is>
      </c>
    </row>
    <row r="5" ht="141" customHeight="1">
      <c r="A5" s="3" t="inlineStr">
        <is>
          <t>The water system's own annual figures from the public eAR Section 8b, on the calendar year 2024 the filer self-reported (B0.1/B0.2). Shown beside the period-aligned Form 990 with the variance flagged: a different source (a State Water Board self-report vs an IRS filing). Preserved as filed, never reconciled.</t>
        </is>
      </c>
    </row>
    <row r="6">
      <c r="A6" s="22" t="inlineStr">
        <is>
          <t>Reporting period basis (self-reported)</t>
        </is>
      </c>
      <c r="B6" s="25" t="inlineStr">
        <is>
          <t>calendar year 2024</t>
        </is>
      </c>
      <c r="C6" s="24"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2" t="inlineStr">
        <is>
          <t>Water rate revenue</t>
        </is>
      </c>
      <c r="B10" s="9" t="n">
        <v>2749185</v>
      </c>
      <c r="C10" s="24" t="inlineStr">
        <is>
          <t>State Water Board eAR Section 8b, question B1.1 + B1.2 (revenue from water rates), reporting year 2024</t>
        </is>
      </c>
    </row>
    <row r="11">
      <c r="A11" s="22" t="inlineStr">
        <is>
          <t>Other fees and charges</t>
        </is>
      </c>
      <c r="B11" s="9" t="n">
        <v>91873</v>
      </c>
      <c r="C11" s="24" t="inlineStr">
        <is>
          <t>State Water Board eAR Section 8b, question B1.3 + B1.4 (revenue from other fees), reporting year 2024</t>
        </is>
      </c>
    </row>
    <row r="12">
      <c r="A12" s="22" t="inlineStr">
        <is>
          <t>Non-customer revenue</t>
        </is>
      </c>
      <c r="B12" s="9" t="n">
        <v>0</v>
      </c>
      <c r="C12" s="24" t="inlineStr">
        <is>
          <t>State Water Board eAR Section 8b, question B1.7 (grants, interest, and other non-customer), reporting year 2024</t>
        </is>
      </c>
    </row>
    <row r="13">
      <c r="A13" s="22" t="inlineStr">
        <is>
          <t>Total annual revenue</t>
        </is>
      </c>
      <c r="B13" s="44" t="n">
        <v>2841058</v>
      </c>
      <c r="C13" s="24"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2" t="inlineStr">
        <is>
          <t>Operations and maintenance</t>
        </is>
      </c>
      <c r="B17" s="9" t="n">
        <v>2736244</v>
      </c>
      <c r="C17" s="24" t="inlineStr">
        <is>
          <t>State Water Board eAR Section 8b, question B2.1 (annual O and M expense), reporting year 2024</t>
        </is>
      </c>
    </row>
    <row r="18">
      <c r="A18" s="22" t="inlineStr">
        <is>
          <t>Capital</t>
        </is>
      </c>
      <c r="B18" s="9" t="n">
        <v>25372</v>
      </c>
      <c r="C18" s="24" t="inlineStr">
        <is>
          <t>State Water Board eAR Section 8b, question B2.2 (annual expenses from investing or capital), reporting year 2024</t>
        </is>
      </c>
    </row>
    <row r="19">
      <c r="A19" s="22" t="inlineStr">
        <is>
          <t>Financing</t>
        </is>
      </c>
      <c r="B19" s="9" t="n">
        <v>0</v>
      </c>
      <c r="C19" s="24" t="inlineStr">
        <is>
          <t>State Water Board eAR Section 8b, question B2.3 (annual expenses from financing), reporting year 2024</t>
        </is>
      </c>
    </row>
    <row r="20">
      <c r="A20" s="22" t="inlineStr">
        <is>
          <t>Other</t>
        </is>
      </c>
      <c r="B20" s="9" t="n">
        <v>0</v>
      </c>
      <c r="C20" s="24" t="inlineStr">
        <is>
          <t>State Water Board eAR Section 8b, question B2.4 (total other annual expenses), reporting year 2024</t>
        </is>
      </c>
    </row>
    <row r="21">
      <c r="A21" s="22" t="inlineStr">
        <is>
          <t>Total annual expenses</t>
        </is>
      </c>
      <c r="B21" s="44" t="n">
        <v>2761616</v>
      </c>
      <c r="C21" s="24"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2841058</v>
      </c>
      <c r="C25" s="9" t="n">
        <v>5271327</v>
      </c>
    </row>
    <row r="26">
      <c r="A26" s="14" t="inlineStr">
        <is>
          <t>Variance (eAR minus Form 990)</t>
        </is>
      </c>
      <c r="B26" s="15">
        <f>B25-C25</f>
        <v/>
      </c>
      <c r="C26" s="45" t="n"/>
    </row>
    <row r="27" ht="126" customHeight="1">
      <c r="A27" s="3" t="inlineStr">
        <is>
          <t>The eAR Section 8b total revenue (State Water Board self-report, calendar year 2024) and the Form 990 total revenue (IRS filing) are a different source and cover the same calendar year 2024. Both are carried as filed; the variance is surfaced, never reconciled.</t>
        </is>
      </c>
    </row>
    <row r="28">
      <c r="A28" s="8" t="inlineStr">
        <is>
          <t>total expenses</t>
        </is>
      </c>
      <c r="B28" s="9" t="n">
        <v>2761616</v>
      </c>
      <c r="C28" s="9" t="n">
        <v>3613581</v>
      </c>
    </row>
    <row r="29">
      <c r="A29" s="14" t="inlineStr">
        <is>
          <t>Variance (eAR minus Form 990)</t>
        </is>
      </c>
      <c r="B29" s="15">
        <f>B28-C28</f>
        <v/>
      </c>
      <c r="C29" s="45" t="n"/>
    </row>
    <row r="30" ht="126" customHeight="1">
      <c r="A30" s="3" t="inlineStr">
        <is>
          <t>The eAR Section 8b total expenses (State Water Board self-report, calendar year 2024) and the Form 990 total expenses (IRS filing) are a different source and cover the same calendar year 2024.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South Mesa Water Company</t>
        </is>
      </c>
    </row>
    <row r="2">
      <c r="A2" s="2" t="inlineStr">
        <is>
          <t>Denominators and calendar alignment</t>
        </is>
      </c>
    </row>
    <row r="3">
      <c r="A3" s="2" t="inlineStr">
        <is>
          <t>Entity ID: cawc_0035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2" t="inlineStr">
        <is>
          <t>Customer (service connection)</t>
        </is>
      </c>
      <c r="B7" s="23" t="n">
        <v>3063</v>
      </c>
      <c r="C7" s="24" t="inlineStr">
        <is>
          <t>State Water Board eAR Section 4 (CurTotalConnections), reporting year 2024</t>
        </is>
      </c>
    </row>
    <row r="8">
      <c r="A8" s="22" t="inlineStr">
        <is>
          <t>Member (shareholder)</t>
        </is>
      </c>
      <c r="B8" s="25" t="n"/>
      <c r="C8" s="24"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(2020-12-31)</t>
        </is>
      </c>
      <c r="B13" s="23" t="n">
        <v>2978</v>
      </c>
      <c r="C13" s="19" t="inlineStr">
        <is>
          <t>not reported</t>
        </is>
      </c>
      <c r="D13" s="23" t="n">
        <v>2754</v>
      </c>
      <c r="E13" s="19" t="inlineStr">
        <is>
          <t>not reported</t>
        </is>
      </c>
      <c r="F13" s="19" t="inlineStr">
        <is>
          <t>not reported</t>
        </is>
      </c>
      <c r="G13" s="25" t="inlineStr">
        <is>
          <t>eAR annual total, calendar filer, equals fiscal year (not a monthly recast)</t>
        </is>
      </c>
    </row>
    <row r="14" ht="40" customHeight="1">
      <c r="A14" s="8" t="inlineStr">
        <is>
          <t>FY2021 (2021-12-31)</t>
        </is>
      </c>
      <c r="B14" s="23" t="n">
        <v>2999</v>
      </c>
      <c r="C14" s="19" t="inlineStr">
        <is>
          <t>not reported</t>
        </is>
      </c>
      <c r="D14" s="23" t="n">
        <v>2754</v>
      </c>
      <c r="E14" s="19" t="inlineStr">
        <is>
          <t>not reported</t>
        </is>
      </c>
      <c r="F14" s="19" t="inlineStr">
        <is>
          <t>not reported</t>
        </is>
      </c>
      <c r="G14" s="25" t="inlineStr">
        <is>
          <t>eAR annual total, calendar filer, equals fiscal year (not a monthly recast)</t>
        </is>
      </c>
    </row>
    <row r="15" ht="40" customHeight="1">
      <c r="A15" s="8" t="inlineStr">
        <is>
          <t>FY2022 (2022-12-31)</t>
        </is>
      </c>
      <c r="B15" s="23" t="n">
        <v>3030</v>
      </c>
      <c r="C15" s="19" t="inlineStr">
        <is>
          <t>not reported</t>
        </is>
      </c>
      <c r="D15" s="23" t="n">
        <v>2754</v>
      </c>
      <c r="E15" s="19" t="inlineStr">
        <is>
          <t>not reported</t>
        </is>
      </c>
      <c r="F15" s="19" t="inlineStr">
        <is>
          <t>not reported</t>
        </is>
      </c>
      <c r="G15" s="25" t="inlineStr">
        <is>
          <t>eAR annual total, calendar filer, equals fiscal year (not a monthly recast)</t>
        </is>
      </c>
    </row>
    <row r="16" ht="40" customHeight="1">
      <c r="A16" s="8" t="inlineStr">
        <is>
          <t>FY2023 (2023-12-31)</t>
        </is>
      </c>
      <c r="B16" s="23" t="n">
        <v>3063</v>
      </c>
      <c r="C16" s="23" t="n">
        <v>10108</v>
      </c>
      <c r="D16" s="23" t="n">
        <v>2754</v>
      </c>
      <c r="E16" s="19" t="inlineStr">
        <is>
          <t>not reported</t>
        </is>
      </c>
      <c r="F16" s="19" t="inlineStr">
        <is>
          <t>not reported</t>
        </is>
      </c>
      <c r="G16" s="25" t="inlineStr">
        <is>
          <t>eAR annual total, calendar filer, equals fiscal year (not a monthly recast)</t>
        </is>
      </c>
    </row>
    <row r="17" ht="40" customHeight="1">
      <c r="A17" s="8" t="inlineStr">
        <is>
          <t>FY2024 (2024-12-31)</t>
        </is>
      </c>
      <c r="B17" s="23" t="n">
        <v>3063</v>
      </c>
      <c r="C17" s="23" t="n">
        <v>10108</v>
      </c>
      <c r="D17" s="23" t="n">
        <v>2754</v>
      </c>
      <c r="E17" s="19" t="inlineStr">
        <is>
          <t>not reported</t>
        </is>
      </c>
      <c r="F17" s="19" t="inlineStr">
        <is>
          <t>not reported</t>
        </is>
      </c>
      <c r="G17" s="25" t="inlineStr">
        <is>
          <t>eAR annual total, calendar filer, equals fiscal year (not a monthly recast)</t>
        </is>
      </c>
    </row>
    <row r="19">
      <c r="A19" s="6" t="inlineStr">
        <is>
          <t>Connections by class - FY2024 (eAR Section 4)</t>
        </is>
      </c>
      <c r="B19" s="7" t="n"/>
      <c r="C19" s="7" t="n"/>
      <c r="D19" s="7" t="n"/>
      <c r="E19" s="7" t="n"/>
      <c r="F19" s="7" t="n"/>
      <c r="G19" s="7" t="n"/>
    </row>
    <row r="20">
      <c r="A20" s="22" t="inlineStr">
        <is>
          <t>Single-family residential</t>
        </is>
      </c>
      <c r="B20" s="23" t="n">
        <v>2697</v>
      </c>
      <c r="C20" s="24" t="inlineStr"/>
    </row>
    <row r="21">
      <c r="A21" s="22" t="inlineStr">
        <is>
          <t>Multi-family residential</t>
        </is>
      </c>
      <c r="B21" s="23" t="n">
        <v>244</v>
      </c>
      <c r="C21" s="24" t="inlineStr"/>
    </row>
    <row r="22">
      <c r="A22" s="22" t="inlineStr">
        <is>
          <t>Commercial and institutional</t>
        </is>
      </c>
      <c r="B22" s="23" t="n">
        <v>143</v>
      </c>
      <c r="C22" s="24" t="inlineStr"/>
    </row>
    <row r="23">
      <c r="A23" s="22" t="inlineStr">
        <is>
          <t>Industrial</t>
        </is>
      </c>
      <c r="B23" s="23" t="n">
        <v>2</v>
      </c>
      <c r="C23" s="24" t="inlineStr"/>
    </row>
    <row r="24">
      <c r="A24" s="22" t="inlineStr">
        <is>
          <t>Landscape irrigation</t>
        </is>
      </c>
      <c r="B24" s="23" t="n">
        <v>22</v>
      </c>
      <c r="C24" s="24" t="inlineStr"/>
    </row>
    <row r="25" ht="81" customHeight="1">
      <c r="A25"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G2"/>
    <mergeCell ref="A25:G25"/>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South Mesa Water Company</t>
        </is>
      </c>
    </row>
    <row r="2">
      <c r="A2" s="2" t="inlineStr">
        <is>
          <t>Governance evidence status - Ostrom's eight design principles</t>
        </is>
      </c>
    </row>
    <row r="3">
      <c r="A3" s="2" t="inlineStr">
        <is>
          <t>Entity ID: cawc_0035   |   Fiscal year ends December 31.</t>
        </is>
      </c>
    </row>
    <row r="5">
      <c r="A5" s="46" t="inlineStr">
        <is>
          <t>Evidence summary: 4 documented, 2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6" t="inlineStr">
        <is>
          <t>DOCUMENTED</t>
        </is>
      </c>
      <c r="C10" s="25" t="inlineStr">
        <is>
          <t>The system is a defined public water system: 3,063 service connections over a State-published and field-verified service-area boundary of roughly 2,747.8 acres.</t>
        </is>
      </c>
      <c r="D10" s="25" t="inlineStr">
        <is>
          <t>SDWIS Community water system; SABL service-area boundary (Verified); connections defined.</t>
        </is>
      </c>
      <c r="E10" s="47" t="inlineStr">
        <is>
          <t>[C][G]</t>
        </is>
      </c>
    </row>
    <row r="11" ht="81" customHeight="1">
      <c r="A11" s="3" t="inlineStr">
        <is>
          <t>What the record shows: SDWIS defines the membership as a fixed set of service connections and the State Water Board publishes a SABL service-area polygon for it, so who is inside and outside the system is documented. The boundary is FIELD-VERIFIED by the Water Board rather than merely carried.</t>
        </is>
      </c>
    </row>
    <row r="12" ht="46" customHeight="1">
      <c r="A12" s="8" t="inlineStr">
        <is>
          <t>Rules fit local conditions</t>
        </is>
      </c>
      <c r="B12" s="26" t="inlineStr">
        <is>
          <t>DOCUMENTED</t>
        </is>
      </c>
      <c r="C12" s="25" t="inlineStr">
        <is>
          <t>Charges are tied to metered use under a filed rate schedule: a variable base residential structure billed m and priced per hundred cubic feet.</t>
        </is>
      </c>
      <c r="D12" s="25" t="inlineStr">
        <is>
          <t>eAR Section 8a customer charges; metered service; Variable Base residential rate structure.</t>
        </is>
      </c>
      <c r="E12" s="47" t="inlineStr">
        <is>
          <t>[E]</t>
        </is>
      </c>
    </row>
    <row r="13" ht="81" customHeight="1">
      <c r="A13" s="3" t="inlineStr">
        <is>
          <t>What the record shows: The record documents how charges are set: the filer reports metered service, a billing frequency, a residential rate structure and a filed rate schedule, so cost tracks service. Whether every tier scales precisely with use is not visible in the filing and is not claimed here.</t>
        </is>
      </c>
    </row>
    <row r="14" ht="46" customHeight="1">
      <c r="A14" s="8" t="inlineStr">
        <is>
          <t>Collective-choice arrangements</t>
        </is>
      </c>
      <c r="B14" s="26" t="inlineStr">
        <is>
          <t>PARTIAL</t>
        </is>
      </c>
      <c r="C14" s="25" t="inlineStr">
        <is>
          <t>The company is owned by its customer-shareholders, but the specific board, the election procedure and any record of member votes are not in a source this project holds.</t>
        </is>
      </c>
      <c r="D14" s="25" t="inlineStr">
        <is>
          <t>Mutual ownership; Form 990 governance section.</t>
        </is>
      </c>
      <c r="E14" s="47" t="inlineStr">
        <is>
          <t>[990]</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6" t="inlineStr">
        <is>
          <t>DOCUMENTED</t>
        </is>
      </c>
      <c r="C16" s="25" t="inlineStr">
        <is>
          <t>The system is monitored and reports on itself: it files an annual eAR, and it reports metered service, and a Consumer Confidence Report for 2024 was located at the State's own CCR portal, and it holds an emergency response plan dated 2/7/2024.</t>
        </is>
      </c>
      <c r="D16" s="25" t="inlineStr">
        <is>
          <t>Annual eAR reporting; metered connections; located Consumer Confidence Report</t>
        </is>
      </c>
      <c r="E16" s="47"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6" t="inlineStr">
        <is>
          <t>NOT DOCUMENTED</t>
        </is>
      </c>
      <c r="C18" s="25" t="inlineStr">
        <is>
          <t>No published shut-off, penalty, or delinquency policy was found for this system.</t>
        </is>
      </c>
      <c r="D18" s="25" t="inlineStr">
        <is>
          <t>No sourced graduated sanctions record.</t>
        </is>
      </c>
      <c r="E18" s="47"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6" t="inlineStr">
        <is>
          <t>NOT DOCUMENTED</t>
        </is>
      </c>
      <c r="C20" s="25" t="inlineStr">
        <is>
          <t>No published bylaws, dispute procedure, or grievance mechanism was found for this system.</t>
        </is>
      </c>
      <c r="D20" s="25" t="inlineStr">
        <is>
          <t>No sourced conflict-resolution mechanisms record.</t>
        </is>
      </c>
      <c r="E20" s="47"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6" t="inlineStr">
        <is>
          <t>DOCUMENTED</t>
        </is>
      </c>
      <c r="C22" s="25" t="inlineStr">
        <is>
          <t>An incorporated California mutual water company recognized by the IRS as a 501(c)(12) exempt filer and by the State Water Board as a Community public water system.</t>
        </is>
      </c>
      <c r="D22" s="25" t="inlineStr">
        <is>
          <t>IRS 501(c)(12) exempt filer (Form 990); SDWIS Community public water system; eAR ownership type 'Privately owned Mutual Water Company or Association'.</t>
        </is>
      </c>
      <c r="E22" s="47"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6" t="inlineStr">
        <is>
          <t>PARTIAL</t>
        </is>
      </c>
      <c r="C24" s="25" t="inlineStr">
        <is>
          <t>The system sits inside larger water systems: it pumps from 2 groundwater basin(s) shared with neighbors, and it holds 1 approved emergency intertie(s) with other systems, and it holds 7 State-recorded surface water right(s) on a shared river system. Its role in governing any of them is not documented.</t>
        </is>
      </c>
      <c r="D24" s="25" t="inlineStr">
        <is>
          <t>it pumps from 2 groundwater basin(s) shared with neighbors; it holds 1 approved emergency intertie(s) with other systems; it holds 7 State-recorded surface water right(s) on a shared river system</t>
        </is>
      </c>
      <c r="E24" s="47" t="inlineStr">
        <is>
          <t>[SG][E][WR]</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South Mesa Water Company</t>
        </is>
      </c>
    </row>
    <row r="2">
      <c r="A2" s="2" t="inlineStr">
        <is>
          <t>Operational metrics - plant per acre, density, terrain</t>
        </is>
      </c>
    </row>
    <row r="3">
      <c r="A3" s="2" t="inlineStr">
        <is>
          <t>Entity ID: cawc_0035   |   Fiscal year ends December 31.</t>
        </is>
      </c>
    </row>
    <row r="5">
      <c r="A5" s="6" t="inlineStr">
        <is>
          <t>Plant assets per acre</t>
        </is>
      </c>
      <c r="B5" s="7" t="n"/>
      <c r="C5" s="7" t="n"/>
    </row>
    <row r="6">
      <c r="A6" s="22" t="inlineStr">
        <is>
          <t>Service-area acres</t>
        </is>
      </c>
      <c r="B6" s="48" t="n">
        <v>2754</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6857.5142</v>
      </c>
      <c r="C8" s="9" t="n">
        <v>3462.4862</v>
      </c>
    </row>
    <row r="9">
      <c r="A9" s="20" t="inlineStr">
        <is>
          <t>FY2021</t>
        </is>
      </c>
      <c r="B9" s="9" t="n">
        <v>7045.2324</v>
      </c>
      <c r="C9" s="9" t="n">
        <v>3468.4818</v>
      </c>
    </row>
    <row r="10">
      <c r="A10" s="20" t="inlineStr">
        <is>
          <t>FY2022</t>
        </is>
      </c>
      <c r="B10" s="9" t="n">
        <v>7772.3253</v>
      </c>
      <c r="C10" s="9" t="n">
        <v>4020.5011</v>
      </c>
    </row>
    <row r="11">
      <c r="A11" s="20" t="inlineStr">
        <is>
          <t>FY2023</t>
        </is>
      </c>
      <c r="B11" s="9" t="n">
        <v>7949.6176</v>
      </c>
      <c r="C11" s="9" t="n">
        <v>4018.329</v>
      </c>
    </row>
    <row r="12">
      <c r="A12" s="20" t="inlineStr">
        <is>
          <t>FY2024</t>
        </is>
      </c>
      <c r="B12" s="9" t="n">
        <v>10473.2741</v>
      </c>
      <c r="C12" s="9" t="n">
        <v>6368.4789</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1.14</v>
      </c>
      <c r="C19" s="24" t="inlineStr">
        <is>
          <t>3,136 connections / 2,754.0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South Mesa Water Company</t>
        </is>
      </c>
    </row>
    <row r="2">
      <c r="A2" s="2" t="inlineStr">
        <is>
          <t>Supply and weather indicators (DWR water year)</t>
        </is>
      </c>
    </row>
    <row r="3">
      <c r="A3" s="2" t="inlineStr">
        <is>
          <t>Entity ID: cawc_0035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7" t="inlineStr">
        <is>
          <t>Dry</t>
        </is>
      </c>
      <c r="C8" s="47" t="inlineStr">
        <is>
          <t>Critical</t>
        </is>
      </c>
      <c r="D8" s="47" t="inlineStr">
        <is>
          <t>Critical</t>
        </is>
      </c>
      <c r="E8" s="47" t="inlineStr">
        <is>
          <t>Wet</t>
        </is>
      </c>
      <c r="F8" s="47" t="inlineStr">
        <is>
          <t>Above Normal</t>
        </is>
      </c>
    </row>
    <row r="9">
      <c r="A9" s="8" t="inlineStr">
        <is>
          <t>Peak drought, Riverside County</t>
        </is>
      </c>
      <c r="B9" s="47" t="inlineStr">
        <is>
          <t>D1</t>
        </is>
      </c>
      <c r="C9" s="47" t="inlineStr">
        <is>
          <t>D4</t>
        </is>
      </c>
      <c r="D9" s="47" t="inlineStr">
        <is>
          <t>D4</t>
        </is>
      </c>
      <c r="E9" s="47" t="inlineStr">
        <is>
          <t>D3</t>
        </is>
      </c>
      <c r="F9" s="47" t="inlineStr">
        <is>
          <t>D1</t>
        </is>
      </c>
    </row>
    <row r="10">
      <c r="A10" s="8" t="inlineStr">
        <is>
          <t>Precip, percent of normal (8-Station Index)</t>
        </is>
      </c>
      <c r="B10" s="47" t="inlineStr">
        <is>
          <t>63</t>
        </is>
      </c>
      <c r="C10" s="47" t="inlineStr">
        <is>
          <t>48</t>
        </is>
      </c>
      <c r="D10" s="47" t="inlineStr">
        <is>
          <t>86</t>
        </is>
      </c>
      <c r="E10" s="47" t="inlineStr">
        <is>
          <t>133</t>
        </is>
      </c>
      <c r="F10" s="47" t="inlineStr">
        <is>
          <t>96</t>
        </is>
      </c>
    </row>
    <row r="11">
      <c r="A11" s="8" t="inlineStr">
        <is>
          <t>Snowpack, April 1 percent of average</t>
        </is>
      </c>
      <c r="B11" s="47" t="inlineStr">
        <is>
          <t>53%</t>
        </is>
      </c>
      <c r="C11" s="47" t="inlineStr">
        <is>
          <t>59%</t>
        </is>
      </c>
      <c r="D11" s="47" t="inlineStr">
        <is>
          <t>38%</t>
        </is>
      </c>
      <c r="E11" s="47" t="inlineStr">
        <is>
          <t>237%</t>
        </is>
      </c>
      <c r="F11" s="47" t="inlineStr">
        <is>
          <t>110%</t>
        </is>
      </c>
    </row>
    <row r="12">
      <c r="A12" s="8" t="inlineStr">
        <is>
          <t>State Water Project allocation</t>
        </is>
      </c>
      <c r="B12" s="47" t="inlineStr">
        <is>
          <t>20%</t>
        </is>
      </c>
      <c r="C12" s="47" t="inlineStr">
        <is>
          <t>5%</t>
        </is>
      </c>
      <c r="D12" s="47" t="inlineStr">
        <is>
          <t>5%</t>
        </is>
      </c>
      <c r="E12" s="47" t="inlineStr">
        <is>
          <t>100%</t>
        </is>
      </c>
      <c r="F12" s="47"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South Mesa Water Company</t>
        </is>
      </c>
    </row>
    <row r="2">
      <c r="A2" s="2" t="inlineStr">
        <is>
          <t>How this was built - forensic lineage</t>
        </is>
      </c>
    </row>
    <row r="3">
      <c r="A3" s="2" t="inlineStr">
        <is>
          <t>Entity ID: cawc_0035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2" t="inlineStr">
        <is>
          <t>Sources checked</t>
        </is>
      </c>
      <c r="B12" s="24" t="inlineStr">
        <is>
          <t>Form 990 Part VIII line 2 (program-service revenue); State Water Board eAR Section 8b (water-rate revenue B1.1/B1.2)</t>
        </is>
      </c>
    </row>
    <row r="13" ht="72" customHeight="1">
      <c r="A13" s="22" t="inlineStr">
        <is>
          <t>What was found</t>
        </is>
      </c>
      <c r="B13" s="24" t="inlineStr">
        <is>
          <t>No source separately reports a member assessment, so it is DERIVED as a residual: $5,210,276 (990 program-service revenue) minus $2,749,185 (eAR water-rate revenue) = $2,461,091. Period-aligned; medium confidence.</t>
        </is>
      </c>
    </row>
    <row r="14" ht="72" customHeight="1">
      <c r="A14" s="22" t="inlineStr">
        <is>
          <t>Caveat</t>
        </is>
      </c>
      <c r="B14" s="24"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South Mesa Water Company</t>
        </is>
      </c>
    </row>
    <row r="2">
      <c r="A2" s="2" t="inlineStr">
        <is>
          <t>Anomaly Flags (automated; kept separate from the clean statements)</t>
        </is>
      </c>
    </row>
    <row r="3">
      <c r="A3" s="2" t="inlineStr">
        <is>
          <t>Entity ID: cawc_0035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total revenue swing</t>
        </is>
      </c>
      <c r="B7" s="7" t="n"/>
    </row>
    <row r="8">
      <c r="A8" s="22" t="inlineStr">
        <is>
          <t>Affected figure</t>
        </is>
      </c>
      <c r="B8" s="24" t="inlineStr">
        <is>
          <t>Operating revenue FY2024</t>
        </is>
      </c>
    </row>
    <row r="9">
      <c r="A9" s="22" t="inlineStr">
        <is>
          <t>Confidence</t>
        </is>
      </c>
      <c r="B9" s="24" t="inlineStr">
        <is>
          <t>high</t>
        </is>
      </c>
    </row>
    <row r="10" ht="72" customHeight="1">
      <c r="A10" s="22" t="inlineStr">
        <is>
          <t>What happened (filed, sourced)</t>
        </is>
      </c>
      <c r="B10" s="24" t="inlineStr">
        <is>
          <t>FY2024 total revenue rose to $5,271,327 from $3,923,449 in FY2023, a 34 percent move ($1,347,878 in absolute terms). Carried as filed and flagged as a documented anomaly, not smoothed.</t>
        </is>
      </c>
    </row>
    <row r="11" ht="22" customHeight="1">
      <c r="A11" s="22" t="inlineStr">
        <is>
          <t>Source lines</t>
        </is>
      </c>
      <c r="B11" s="24" t="inlineStr">
        <is>
          <t>- total revenue: $3,923,449 FY2023, $5,271,327 FY2024</t>
        </is>
      </c>
    </row>
    <row r="12" ht="72" customHeight="1">
      <c r="A12" s="22" t="inlineStr">
        <is>
          <t>Confidence reasoning</t>
        </is>
      </c>
      <c r="B12" s="24" t="inlineStr">
        <is>
          <t>A year-over-year move in a filed headline total that exceeds both the percentage and the dollar threshold; carried as filed.</t>
        </is>
      </c>
    </row>
    <row r="13">
      <c r="A13" s="22" t="inlineStr">
        <is>
          <t>Why (not stated in the filing)</t>
        </is>
      </c>
      <c r="B13" s="24" t="inlineStr">
        <is>
          <t>The filing does not state a reason.</t>
        </is>
      </c>
    </row>
    <row r="14" ht="60" customHeight="1">
      <c r="A14" s="22" t="inlineStr">
        <is>
          <t>Possible explanation (guess)</t>
        </is>
      </c>
      <c r="B14" s="49" t="inlineStr">
        <is>
          <t>Possible explanation, not stated in filing: a large one-year move in total revenue may reflect a one-time item or a change in how it was recorded.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1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South Mesa Water Company</t>
        </is>
      </c>
    </row>
    <row r="2">
      <c r="A2" s="2" t="inlineStr">
        <is>
          <t>Sources &amp; audit - full provenance and tie-outs (kept off the statements so they read clean)</t>
        </is>
      </c>
    </row>
    <row r="3">
      <c r="A3" s="2" t="inlineStr">
        <is>
          <t>Entity ID: cawc_0035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6"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7" t="inlineStr">
        <is>
          <t>FY2020</t>
        </is>
      </c>
      <c r="B10" s="8" t="inlineStr">
        <is>
          <t>2020-12-31</t>
        </is>
      </c>
      <c r="C10" s="8" t="inlineStr">
        <is>
          <t>990</t>
        </is>
      </c>
      <c r="D10" s="8" t="inlineStr">
        <is>
          <t>high</t>
        </is>
      </c>
      <c r="E10" s="8" t="inlineStr">
        <is>
          <t>587a8bcb-3fc5-4439-8418-4133c6fc0a2a</t>
        </is>
      </c>
      <c r="F10" s="8" t="inlineStr">
        <is>
          <t>202101589349301060</t>
        </is>
      </c>
      <c r="G10" s="8" t="inlineStr">
        <is>
          <t>claude-opus-5</t>
        </is>
      </c>
      <c r="H10" s="8" t="inlineStr">
        <is>
          <t>2026-09-14T20:40:25+00:00</t>
        </is>
      </c>
      <c r="I10" s="8" t="inlineStr">
        <is>
          <t>https://apps.irs.gov/pub/epostcard/990/xml/2021/2021_TEOS_XML_01A.zip#202101589349301060_public.xml</t>
        </is>
      </c>
    </row>
    <row r="11">
      <c r="A11" s="47" t="inlineStr">
        <is>
          <t>FY2021</t>
        </is>
      </c>
      <c r="B11" s="8" t="inlineStr">
        <is>
          <t>2021-12-31</t>
        </is>
      </c>
      <c r="C11" s="8" t="inlineStr">
        <is>
          <t>990</t>
        </is>
      </c>
      <c r="D11" s="8" t="inlineStr">
        <is>
          <t>high</t>
        </is>
      </c>
      <c r="E11" s="8" t="inlineStr">
        <is>
          <t>c1eb2a62-e1f9-4e7e-824a-c501385f37d6</t>
        </is>
      </c>
      <c r="F11" s="8" t="inlineStr">
        <is>
          <t>202211189349301906</t>
        </is>
      </c>
      <c r="G11" s="8" t="inlineStr">
        <is>
          <t>claude-opus-5</t>
        </is>
      </c>
      <c r="H11" s="8" t="inlineStr">
        <is>
          <t>2026-09-14T20:40:25+00:00</t>
        </is>
      </c>
      <c r="I11" s="8" t="inlineStr">
        <is>
          <t>https://apps.irs.gov/pub/epostcard/990/xml/2022/2022_TEOS_XML_01A.zip#202211189349301906_public.xml</t>
        </is>
      </c>
    </row>
    <row r="12">
      <c r="A12" s="47" t="inlineStr">
        <is>
          <t>FY2022</t>
        </is>
      </c>
      <c r="B12" s="8" t="inlineStr">
        <is>
          <t>2022-12-31</t>
        </is>
      </c>
      <c r="C12" s="8" t="inlineStr">
        <is>
          <t>990</t>
        </is>
      </c>
      <c r="D12" s="8" t="inlineStr">
        <is>
          <t>high</t>
        </is>
      </c>
      <c r="E12" s="8" t="inlineStr">
        <is>
          <t>b1ea4ee7-6b28-42ce-8e92-28288e3e9afb</t>
        </is>
      </c>
      <c r="F12" s="8" t="inlineStr">
        <is>
          <t>202301259349301630</t>
        </is>
      </c>
      <c r="G12" s="8" t="inlineStr">
        <is>
          <t>claude-opus-5</t>
        </is>
      </c>
      <c r="H12" s="8" t="inlineStr">
        <is>
          <t>2026-09-14T20:40:25+00:00</t>
        </is>
      </c>
      <c r="I12" s="8" t="inlineStr">
        <is>
          <t>https://apps.irs.gov/pub/epostcard/990/xml/2023/2023_TEOS_XML_05A.zip#202301259349301630_public.xml</t>
        </is>
      </c>
    </row>
    <row r="13">
      <c r="A13" s="47" t="inlineStr">
        <is>
          <t>FY2023</t>
        </is>
      </c>
      <c r="B13" s="8" t="inlineStr">
        <is>
          <t>2023-12-31</t>
        </is>
      </c>
      <c r="C13" s="8" t="inlineStr">
        <is>
          <t>990</t>
        </is>
      </c>
      <c r="D13" s="8" t="inlineStr">
        <is>
          <t>high</t>
        </is>
      </c>
      <c r="E13" s="8" t="inlineStr">
        <is>
          <t>2794d099-fb9c-429a-9a3b-c69c6d331442</t>
        </is>
      </c>
      <c r="F13" s="8" t="inlineStr">
        <is>
          <t>202401209349301095</t>
        </is>
      </c>
      <c r="G13" s="8" t="inlineStr">
        <is>
          <t>claude-opus-5</t>
        </is>
      </c>
      <c r="H13" s="8" t="inlineStr">
        <is>
          <t>2026-09-14T20:40:25+00:00</t>
        </is>
      </c>
      <c r="I13" s="8" t="inlineStr">
        <is>
          <t>https://apps.irs.gov/pub/epostcard/990/xml/2024/2024_TEOS_XML_05A.zip#202401209349301095_public.xml</t>
        </is>
      </c>
    </row>
    <row r="14">
      <c r="A14" s="47" t="inlineStr">
        <is>
          <t>FY2024</t>
        </is>
      </c>
      <c r="B14" s="8" t="inlineStr">
        <is>
          <t>2024-12-31</t>
        </is>
      </c>
      <c r="C14" s="8" t="inlineStr">
        <is>
          <t>990</t>
        </is>
      </c>
      <c r="D14" s="8" t="inlineStr">
        <is>
          <t>high</t>
        </is>
      </c>
      <c r="E14" s="8" t="inlineStr">
        <is>
          <t>68e4a508-d3ae-43e3-88e8-3b3e2b05cd26</t>
        </is>
      </c>
      <c r="F14" s="8" t="inlineStr">
        <is>
          <t>202531489349300218</t>
        </is>
      </c>
      <c r="G14" s="8" t="inlineStr">
        <is>
          <t>claude-opus-5</t>
        </is>
      </c>
      <c r="H14" s="8" t="inlineStr">
        <is>
          <t>2026-09-14T20:40:25+00:00</t>
        </is>
      </c>
      <c r="I14" s="8" t="inlineStr">
        <is>
          <t>https://apps.irs.gov/pub/epostcard/990/xml/2025/2025_TEOS_XML_06A.zip#202531489349300218_public.xml</t>
        </is>
      </c>
    </row>
    <row r="16">
      <c r="A16" s="46"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2999615</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3228223</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4287930</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3856154</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5210276</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48013</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42932</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49938</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67295</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61051</v>
      </c>
    </row>
    <row r="28">
      <c r="A28" s="8" t="inlineStr">
        <is>
          <t>Revenue (detail)</t>
        </is>
      </c>
      <c r="B28" s="8" t="inlineStr">
        <is>
          <t>B8</t>
        </is>
      </c>
      <c r="C28" s="8" t="inlineStr">
        <is>
          <t>2g. Total program service revenue</t>
        </is>
      </c>
      <c r="D28" s="8" t="inlineStr">
        <is>
          <t>2g</t>
        </is>
      </c>
      <c r="E28" s="8" t="inlineStr">
        <is>
          <t>part_viii_revenue.total_program_service_revenue</t>
        </is>
      </c>
      <c r="F28" s="8" t="inlineStr">
        <is>
          <t>high</t>
        </is>
      </c>
      <c r="G28" s="9" t="n">
        <v>2999615</v>
      </c>
    </row>
    <row r="29">
      <c r="A29" s="8" t="inlineStr">
        <is>
          <t>Revenue (detail)</t>
        </is>
      </c>
      <c r="B29" s="8" t="inlineStr">
        <is>
          <t>C8</t>
        </is>
      </c>
      <c r="C29" s="8" t="inlineStr">
        <is>
          <t>2g. Total program service revenue</t>
        </is>
      </c>
      <c r="D29" s="8" t="inlineStr">
        <is>
          <t>2g</t>
        </is>
      </c>
      <c r="E29" s="8" t="inlineStr">
        <is>
          <t>part_viii_revenue.total_program_service_revenue</t>
        </is>
      </c>
      <c r="F29" s="8" t="inlineStr">
        <is>
          <t>high</t>
        </is>
      </c>
      <c r="G29" s="9" t="n">
        <v>3228223</v>
      </c>
    </row>
    <row r="30">
      <c r="A30" s="8" t="inlineStr">
        <is>
          <t>Revenue (detail)</t>
        </is>
      </c>
      <c r="B30" s="8" t="inlineStr">
        <is>
          <t>D8</t>
        </is>
      </c>
      <c r="C30" s="8" t="inlineStr">
        <is>
          <t>2g. Total program service revenue</t>
        </is>
      </c>
      <c r="D30" s="8" t="inlineStr">
        <is>
          <t>2g</t>
        </is>
      </c>
      <c r="E30" s="8" t="inlineStr">
        <is>
          <t>part_viii_revenue.total_program_service_revenue</t>
        </is>
      </c>
      <c r="F30" s="8" t="inlineStr">
        <is>
          <t>high</t>
        </is>
      </c>
      <c r="G30" s="9" t="n">
        <v>4287930</v>
      </c>
    </row>
    <row r="31">
      <c r="A31" s="8" t="inlineStr">
        <is>
          <t>Revenue (detail)</t>
        </is>
      </c>
      <c r="B31" s="8" t="inlineStr">
        <is>
          <t>E8</t>
        </is>
      </c>
      <c r="C31" s="8" t="inlineStr">
        <is>
          <t>2g. Total program service revenue</t>
        </is>
      </c>
      <c r="D31" s="8" t="inlineStr">
        <is>
          <t>2g</t>
        </is>
      </c>
      <c r="E31" s="8" t="inlineStr">
        <is>
          <t>part_viii_revenue.total_program_service_revenue</t>
        </is>
      </c>
      <c r="F31" s="8" t="inlineStr">
        <is>
          <t>high</t>
        </is>
      </c>
      <c r="G31" s="9" t="n">
        <v>3856154</v>
      </c>
    </row>
    <row r="32">
      <c r="A32" s="8" t="inlineStr">
        <is>
          <t>Revenue (detail)</t>
        </is>
      </c>
      <c r="B32" s="8" t="inlineStr">
        <is>
          <t>F8</t>
        </is>
      </c>
      <c r="C32" s="8" t="inlineStr">
        <is>
          <t>2g. Total program service revenue</t>
        </is>
      </c>
      <c r="D32" s="8" t="inlineStr">
        <is>
          <t>2g</t>
        </is>
      </c>
      <c r="E32" s="8" t="inlineStr">
        <is>
          <t>part_viii_revenue.total_program_service_revenue</t>
        </is>
      </c>
      <c r="F32" s="8" t="inlineStr">
        <is>
          <t>high</t>
        </is>
      </c>
      <c r="G32" s="9" t="n">
        <v>5210276</v>
      </c>
    </row>
    <row r="33">
      <c r="A33" s="8" t="inlineStr">
        <is>
          <t>Revenue (detail)</t>
        </is>
      </c>
      <c r="B33" s="8" t="inlineStr">
        <is>
          <t>B9</t>
        </is>
      </c>
      <c r="C33" s="8" t="inlineStr">
        <is>
          <t>3. Investment income</t>
        </is>
      </c>
      <c r="D33" s="8" t="inlineStr">
        <is>
          <t>3</t>
        </is>
      </c>
      <c r="E33" s="8" t="inlineStr">
        <is>
          <t>part_viii_revenue.investment_income</t>
        </is>
      </c>
      <c r="F33" s="8" t="inlineStr">
        <is>
          <t>high</t>
        </is>
      </c>
      <c r="G33" s="9" t="n">
        <v>3569</v>
      </c>
    </row>
    <row r="34">
      <c r="A34" s="8" t="inlineStr">
        <is>
          <t>Revenue (detail)</t>
        </is>
      </c>
      <c r="B34" s="8" t="inlineStr">
        <is>
          <t>C9</t>
        </is>
      </c>
      <c r="C34" s="8" t="inlineStr">
        <is>
          <t>3. Investment income</t>
        </is>
      </c>
      <c r="D34" s="8" t="inlineStr">
        <is>
          <t>3</t>
        </is>
      </c>
      <c r="E34" s="8" t="inlineStr">
        <is>
          <t>part_viii_revenue.investment_income</t>
        </is>
      </c>
      <c r="F34" s="8" t="inlineStr">
        <is>
          <t>high</t>
        </is>
      </c>
      <c r="G34" s="9" t="n">
        <v>668</v>
      </c>
    </row>
    <row r="35">
      <c r="A35" s="8" t="inlineStr">
        <is>
          <t>Revenue (detail)</t>
        </is>
      </c>
      <c r="B35" s="8" t="inlineStr">
        <is>
          <t>D9</t>
        </is>
      </c>
      <c r="C35" s="8" t="inlineStr">
        <is>
          <t>3. Investment income</t>
        </is>
      </c>
      <c r="D35" s="8" t="inlineStr">
        <is>
          <t>3</t>
        </is>
      </c>
      <c r="E35" s="8" t="inlineStr">
        <is>
          <t>part_viii_revenue.investment_income</t>
        </is>
      </c>
      <c r="F35" s="8" t="inlineStr">
        <is>
          <t>high</t>
        </is>
      </c>
      <c r="G35" s="9" t="n">
        <v>6406</v>
      </c>
    </row>
    <row r="36">
      <c r="A36" s="8" t="inlineStr">
        <is>
          <t>Revenue (detail)</t>
        </is>
      </c>
      <c r="B36" s="8" t="inlineStr">
        <is>
          <t>E9</t>
        </is>
      </c>
      <c r="C36" s="8" t="inlineStr">
        <is>
          <t>3. Investment income</t>
        </is>
      </c>
      <c r="D36" s="8" t="inlineStr">
        <is>
          <t>3</t>
        </is>
      </c>
      <c r="E36" s="8" t="inlineStr">
        <is>
          <t>part_viii_revenue.investment_income</t>
        </is>
      </c>
      <c r="F36" s="8" t="inlineStr">
        <is>
          <t>high</t>
        </is>
      </c>
      <c r="G36" s="9" t="n">
        <v>22457</v>
      </c>
    </row>
    <row r="37">
      <c r="A37" s="8" t="inlineStr">
        <is>
          <t>Revenue (detail)</t>
        </is>
      </c>
      <c r="B37" s="8" t="inlineStr">
        <is>
          <t>F9</t>
        </is>
      </c>
      <c r="C37" s="8" t="inlineStr">
        <is>
          <t>3. Investment income</t>
        </is>
      </c>
      <c r="D37" s="8" t="inlineStr">
        <is>
          <t>3</t>
        </is>
      </c>
      <c r="E37" s="8" t="inlineStr">
        <is>
          <t>part_viii_revenue.investment_income</t>
        </is>
      </c>
      <c r="F37" s="8" t="inlineStr">
        <is>
          <t>high</t>
        </is>
      </c>
      <c r="G37" s="9" t="n">
        <v>14868</v>
      </c>
    </row>
    <row r="38">
      <c r="A38" s="8" t="inlineStr">
        <is>
          <t>Revenue (detail)</t>
        </is>
      </c>
      <c r="B38" s="8" t="inlineStr">
        <is>
          <t>B10</t>
        </is>
      </c>
      <c r="C38" s="8" t="inlineStr">
        <is>
          <t>6d. Net rental income</t>
        </is>
      </c>
      <c r="D38" s="8" t="inlineStr">
        <is>
          <t>6d</t>
        </is>
      </c>
      <c r="E38" s="8" t="inlineStr">
        <is>
          <t>part_viii_revenue.net_rental_income</t>
        </is>
      </c>
      <c r="F38" s="8" t="inlineStr">
        <is>
          <t>high</t>
        </is>
      </c>
      <c r="G38" s="9" t="n">
        <v>44444</v>
      </c>
    </row>
    <row r="39">
      <c r="A39" s="8" t="inlineStr">
        <is>
          <t>Revenue (detail)</t>
        </is>
      </c>
      <c r="B39" s="8" t="inlineStr">
        <is>
          <t>C10</t>
        </is>
      </c>
      <c r="C39" s="8" t="inlineStr">
        <is>
          <t>6d. Net rental income</t>
        </is>
      </c>
      <c r="D39" s="8" t="inlineStr">
        <is>
          <t>6d</t>
        </is>
      </c>
      <c r="E39" s="8" t="inlineStr">
        <is>
          <t>part_viii_revenue.net_rental_income</t>
        </is>
      </c>
      <c r="F39" s="8" t="inlineStr">
        <is>
          <t>high</t>
        </is>
      </c>
      <c r="G39" s="9" t="n">
        <v>42264</v>
      </c>
    </row>
    <row r="40">
      <c r="A40" s="8" t="inlineStr">
        <is>
          <t>Revenue (detail)</t>
        </is>
      </c>
      <c r="B40" s="8" t="inlineStr">
        <is>
          <t>D10</t>
        </is>
      </c>
      <c r="C40" s="8" t="inlineStr">
        <is>
          <t>6d. Net rental income</t>
        </is>
      </c>
      <c r="D40" s="8" t="inlineStr">
        <is>
          <t>6d</t>
        </is>
      </c>
      <c r="E40" s="8" t="inlineStr">
        <is>
          <t>part_viii_revenue.net_rental_income</t>
        </is>
      </c>
      <c r="F40" s="8" t="inlineStr">
        <is>
          <t>high</t>
        </is>
      </c>
      <c r="G40" s="9" t="n">
        <v>43532</v>
      </c>
    </row>
    <row r="41">
      <c r="A41" s="8" t="inlineStr">
        <is>
          <t>Revenue (detail)</t>
        </is>
      </c>
      <c r="B41" s="8" t="inlineStr">
        <is>
          <t>E10</t>
        </is>
      </c>
      <c r="C41" s="8" t="inlineStr">
        <is>
          <t>6d. Net rental income</t>
        </is>
      </c>
      <c r="D41" s="8" t="inlineStr">
        <is>
          <t>6d</t>
        </is>
      </c>
      <c r="E41" s="8" t="inlineStr">
        <is>
          <t>part_viii_revenue.net_rental_income</t>
        </is>
      </c>
      <c r="F41" s="8" t="inlineStr">
        <is>
          <t>high</t>
        </is>
      </c>
      <c r="G41" s="9" t="n">
        <v>44838</v>
      </c>
    </row>
    <row r="42">
      <c r="A42" s="8" t="inlineStr">
        <is>
          <t>Revenue (detail)</t>
        </is>
      </c>
      <c r="B42" s="8" t="inlineStr">
        <is>
          <t>F10</t>
        </is>
      </c>
      <c r="C42" s="8" t="inlineStr">
        <is>
          <t>6d. Net rental income</t>
        </is>
      </c>
      <c r="D42" s="8" t="inlineStr">
        <is>
          <t>6d</t>
        </is>
      </c>
      <c r="E42" s="8" t="inlineStr">
        <is>
          <t>part_viii_revenue.net_rental_income</t>
        </is>
      </c>
      <c r="F42" s="8" t="inlineStr">
        <is>
          <t>high</t>
        </is>
      </c>
      <c r="G42" s="9" t="n">
        <v>46183</v>
      </c>
    </row>
    <row r="43">
      <c r="A43" s="8" t="inlineStr">
        <is>
          <t>Operating expenses (detail)</t>
        </is>
      </c>
      <c r="B43" s="8" t="inlineStr">
        <is>
          <t>B7</t>
        </is>
      </c>
      <c r="C43" s="8" t="inlineStr">
        <is>
          <t>5. Compensation of current officers, directors, trustees</t>
        </is>
      </c>
      <c r="D43" s="8" t="inlineStr">
        <is>
          <t>5</t>
        </is>
      </c>
      <c r="E43" s="8" t="inlineStr">
        <is>
          <t>part_ix_expenses.comp_current_officers</t>
        </is>
      </c>
      <c r="F43" s="8" t="inlineStr">
        <is>
          <t>high</t>
        </is>
      </c>
      <c r="G43" s="9" t="n">
        <v>207377</v>
      </c>
    </row>
    <row r="44">
      <c r="A44" s="8" t="inlineStr">
        <is>
          <t>Operating expenses (detail)</t>
        </is>
      </c>
      <c r="B44" s="8" t="inlineStr">
        <is>
          <t>C7</t>
        </is>
      </c>
      <c r="C44" s="8" t="inlineStr">
        <is>
          <t>5. Compensation of current officers, directors, trustees</t>
        </is>
      </c>
      <c r="D44" s="8" t="inlineStr">
        <is>
          <t>5</t>
        </is>
      </c>
      <c r="E44" s="8" t="inlineStr">
        <is>
          <t>part_ix_expenses.comp_current_officers</t>
        </is>
      </c>
      <c r="F44" s="8" t="inlineStr">
        <is>
          <t>high</t>
        </is>
      </c>
      <c r="G44" s="9" t="n">
        <v>189570</v>
      </c>
    </row>
    <row r="45">
      <c r="A45" s="8" t="inlineStr">
        <is>
          <t>Operating expenses (detail)</t>
        </is>
      </c>
      <c r="B45" s="8" t="inlineStr">
        <is>
          <t>E7</t>
        </is>
      </c>
      <c r="C45" s="8" t="inlineStr">
        <is>
          <t>5. Compensation of current officers, directors, trustees</t>
        </is>
      </c>
      <c r="D45" s="8" t="inlineStr">
        <is>
          <t>5</t>
        </is>
      </c>
      <c r="E45" s="8" t="inlineStr">
        <is>
          <t>part_ix_expenses.comp_current_officers</t>
        </is>
      </c>
      <c r="F45" s="8" t="inlineStr">
        <is>
          <t>high</t>
        </is>
      </c>
      <c r="G45" s="9" t="n">
        <v>253346</v>
      </c>
    </row>
    <row r="46">
      <c r="A46" s="8" t="inlineStr">
        <is>
          <t>Operating expenses (detail)</t>
        </is>
      </c>
      <c r="B46" s="8" t="inlineStr">
        <is>
          <t>F7</t>
        </is>
      </c>
      <c r="C46" s="8" t="inlineStr">
        <is>
          <t>5. Compensation of current officers, directors, trustees</t>
        </is>
      </c>
      <c r="D46" s="8" t="inlineStr">
        <is>
          <t>5</t>
        </is>
      </c>
      <c r="E46" s="8" t="inlineStr">
        <is>
          <t>part_ix_expenses.comp_current_officers</t>
        </is>
      </c>
      <c r="F46" s="8" t="inlineStr">
        <is>
          <t>high</t>
        </is>
      </c>
      <c r="G46" s="9" t="n">
        <v>262958</v>
      </c>
    </row>
    <row r="47">
      <c r="A47" s="8" t="inlineStr">
        <is>
          <t>Operating expenses (detail)</t>
        </is>
      </c>
      <c r="B47" s="8" t="inlineStr">
        <is>
          <t>D8</t>
        </is>
      </c>
      <c r="C47" s="8" t="inlineStr">
        <is>
          <t>6. Compensation to disqualified persons</t>
        </is>
      </c>
      <c r="D47" s="8" t="inlineStr">
        <is>
          <t>6</t>
        </is>
      </c>
      <c r="E47" s="8" t="inlineStr">
        <is>
          <t>part_ix_expenses.comp_disqualified_persons</t>
        </is>
      </c>
      <c r="F47" s="8" t="inlineStr">
        <is>
          <t>high</t>
        </is>
      </c>
      <c r="G47" s="9" t="n">
        <v>182195</v>
      </c>
    </row>
    <row r="48">
      <c r="A48" s="8" t="inlineStr">
        <is>
          <t>Operating expenses (detail)</t>
        </is>
      </c>
      <c r="B48" s="8" t="inlineStr">
        <is>
          <t>B9</t>
        </is>
      </c>
      <c r="C48" s="8" t="inlineStr">
        <is>
          <t>7. Other salaries and wages</t>
        </is>
      </c>
      <c r="D48" s="8" t="inlineStr">
        <is>
          <t>7</t>
        </is>
      </c>
      <c r="E48" s="8" t="inlineStr">
        <is>
          <t>part_ix_expenses.other_salaries_and_wages</t>
        </is>
      </c>
      <c r="F48" s="8" t="inlineStr">
        <is>
          <t>high</t>
        </is>
      </c>
      <c r="G48" s="9" t="n">
        <v>415482</v>
      </c>
    </row>
    <row r="49">
      <c r="A49" s="8" t="inlineStr">
        <is>
          <t>Operating expenses (detail)</t>
        </is>
      </c>
      <c r="B49" s="8" t="inlineStr">
        <is>
          <t>C9</t>
        </is>
      </c>
      <c r="C49" s="8" t="inlineStr">
        <is>
          <t>7. Other salaries and wages</t>
        </is>
      </c>
      <c r="D49" s="8" t="inlineStr">
        <is>
          <t>7</t>
        </is>
      </c>
      <c r="E49" s="8" t="inlineStr">
        <is>
          <t>part_ix_expenses.other_salaries_and_wages</t>
        </is>
      </c>
      <c r="F49" s="8" t="inlineStr">
        <is>
          <t>high</t>
        </is>
      </c>
      <c r="G49" s="9" t="n">
        <v>539421</v>
      </c>
    </row>
    <row r="50">
      <c r="A50" s="8" t="inlineStr">
        <is>
          <t>Operating expenses (detail)</t>
        </is>
      </c>
      <c r="B50" s="8" t="inlineStr">
        <is>
          <t>D9</t>
        </is>
      </c>
      <c r="C50" s="8" t="inlineStr">
        <is>
          <t>7. Other salaries and wages</t>
        </is>
      </c>
      <c r="D50" s="8" t="inlineStr">
        <is>
          <t>7</t>
        </is>
      </c>
      <c r="E50" s="8" t="inlineStr">
        <is>
          <t>part_ix_expenses.other_salaries_and_wages</t>
        </is>
      </c>
      <c r="F50" s="8" t="inlineStr">
        <is>
          <t>high</t>
        </is>
      </c>
      <c r="G50" s="9" t="n">
        <v>567408</v>
      </c>
    </row>
    <row r="51">
      <c r="A51" s="8" t="inlineStr">
        <is>
          <t>Operating expenses (detail)</t>
        </is>
      </c>
      <c r="B51" s="8" t="inlineStr">
        <is>
          <t>E9</t>
        </is>
      </c>
      <c r="C51" s="8" t="inlineStr">
        <is>
          <t>7. Other salaries and wages</t>
        </is>
      </c>
      <c r="D51" s="8" t="inlineStr">
        <is>
          <t>7</t>
        </is>
      </c>
      <c r="E51" s="8" t="inlineStr">
        <is>
          <t>part_ix_expenses.other_salaries_and_wages</t>
        </is>
      </c>
      <c r="F51" s="8" t="inlineStr">
        <is>
          <t>high</t>
        </is>
      </c>
      <c r="G51" s="9" t="n">
        <v>603496</v>
      </c>
    </row>
    <row r="52">
      <c r="A52" s="8" t="inlineStr">
        <is>
          <t>Operating expenses (detail)</t>
        </is>
      </c>
      <c r="B52" s="8" t="inlineStr">
        <is>
          <t>F9</t>
        </is>
      </c>
      <c r="C52" s="8" t="inlineStr">
        <is>
          <t>7. Other salaries and wages</t>
        </is>
      </c>
      <c r="D52" s="8" t="inlineStr">
        <is>
          <t>7</t>
        </is>
      </c>
      <c r="E52" s="8" t="inlineStr">
        <is>
          <t>part_ix_expenses.other_salaries_and_wages</t>
        </is>
      </c>
      <c r="F52" s="8" t="inlineStr">
        <is>
          <t>high</t>
        </is>
      </c>
      <c r="G52" s="9" t="n">
        <v>645089</v>
      </c>
    </row>
    <row r="53">
      <c r="A53" s="8" t="inlineStr">
        <is>
          <t>Operating expenses (detail)</t>
        </is>
      </c>
      <c r="B53" s="8" t="inlineStr">
        <is>
          <t>B10</t>
        </is>
      </c>
      <c r="C53" s="8" t="inlineStr">
        <is>
          <t>9. Other employee benefits</t>
        </is>
      </c>
      <c r="D53" s="8" t="inlineStr">
        <is>
          <t>9</t>
        </is>
      </c>
      <c r="E53" s="8" t="inlineStr">
        <is>
          <t>part_ix_expenses.other_employee_benefits</t>
        </is>
      </c>
      <c r="F53" s="8" t="inlineStr">
        <is>
          <t>high</t>
        </is>
      </c>
      <c r="G53" s="9" t="n">
        <v>158732</v>
      </c>
    </row>
    <row r="54">
      <c r="A54" s="8" t="inlineStr">
        <is>
          <t>Operating expenses (detail)</t>
        </is>
      </c>
      <c r="B54" s="8" t="inlineStr">
        <is>
          <t>C10</t>
        </is>
      </c>
      <c r="C54" s="8" t="inlineStr">
        <is>
          <t>9. Other employee benefits</t>
        </is>
      </c>
      <c r="D54" s="8" t="inlineStr">
        <is>
          <t>9</t>
        </is>
      </c>
      <c r="E54" s="8" t="inlineStr">
        <is>
          <t>part_ix_expenses.other_employee_benefits</t>
        </is>
      </c>
      <c r="F54" s="8" t="inlineStr">
        <is>
          <t>high</t>
        </is>
      </c>
      <c r="G54" s="9" t="n">
        <v>183597</v>
      </c>
    </row>
    <row r="55">
      <c r="A55" s="8" t="inlineStr">
        <is>
          <t>Operating expenses (detail)</t>
        </is>
      </c>
      <c r="B55" s="8" t="inlineStr">
        <is>
          <t>D10</t>
        </is>
      </c>
      <c r="C55" s="8" t="inlineStr">
        <is>
          <t>9. Other employee benefits</t>
        </is>
      </c>
      <c r="D55" s="8" t="inlineStr">
        <is>
          <t>9</t>
        </is>
      </c>
      <c r="E55" s="8" t="inlineStr">
        <is>
          <t>part_ix_expenses.other_employee_benefits</t>
        </is>
      </c>
      <c r="F55" s="8" t="inlineStr">
        <is>
          <t>high</t>
        </is>
      </c>
      <c r="G55" s="9" t="n">
        <v>201844</v>
      </c>
    </row>
    <row r="56">
      <c r="A56" s="8" t="inlineStr">
        <is>
          <t>Operating expenses (detail)</t>
        </is>
      </c>
      <c r="B56" s="8" t="inlineStr">
        <is>
          <t>E10</t>
        </is>
      </c>
      <c r="C56" s="8" t="inlineStr">
        <is>
          <t>9. Other employee benefits</t>
        </is>
      </c>
      <c r="D56" s="8" t="inlineStr">
        <is>
          <t>9</t>
        </is>
      </c>
      <c r="E56" s="8" t="inlineStr">
        <is>
          <t>part_ix_expenses.other_employee_benefits</t>
        </is>
      </c>
      <c r="F56" s="8" t="inlineStr">
        <is>
          <t>high</t>
        </is>
      </c>
      <c r="G56" s="9" t="n">
        <v>219275</v>
      </c>
    </row>
    <row r="57">
      <c r="A57" s="8" t="inlineStr">
        <is>
          <t>Operating expenses (detail)</t>
        </is>
      </c>
      <c r="B57" s="8" t="inlineStr">
        <is>
          <t>F10</t>
        </is>
      </c>
      <c r="C57" s="8" t="inlineStr">
        <is>
          <t>9. Other employee benefits</t>
        </is>
      </c>
      <c r="D57" s="8" t="inlineStr">
        <is>
          <t>9</t>
        </is>
      </c>
      <c r="E57" s="8" t="inlineStr">
        <is>
          <t>part_ix_expenses.other_employee_benefits</t>
        </is>
      </c>
      <c r="F57" s="8" t="inlineStr">
        <is>
          <t>high</t>
        </is>
      </c>
      <c r="G57" s="9" t="n">
        <v>254018</v>
      </c>
    </row>
    <row r="58">
      <c r="A58" s="8" t="inlineStr">
        <is>
          <t>Operating expenses (detail)</t>
        </is>
      </c>
      <c r="B58" s="8" t="inlineStr">
        <is>
          <t>B11</t>
        </is>
      </c>
      <c r="C58" s="8" t="inlineStr">
        <is>
          <t>10. Payroll taxes</t>
        </is>
      </c>
      <c r="D58" s="8" t="inlineStr">
        <is>
          <t>10</t>
        </is>
      </c>
      <c r="E58" s="8" t="inlineStr">
        <is>
          <t>part_ix_expenses.payroll_taxes</t>
        </is>
      </c>
      <c r="F58" s="8" t="inlineStr">
        <is>
          <t>high</t>
        </is>
      </c>
      <c r="G58" s="9" t="n">
        <v>63455</v>
      </c>
    </row>
    <row r="59">
      <c r="A59" s="8" t="inlineStr">
        <is>
          <t>Operating expenses (detail)</t>
        </is>
      </c>
      <c r="B59" s="8" t="inlineStr">
        <is>
          <t>C11</t>
        </is>
      </c>
      <c r="C59" s="8" t="inlineStr">
        <is>
          <t>10. Payroll taxes</t>
        </is>
      </c>
      <c r="D59" s="8" t="inlineStr">
        <is>
          <t>10</t>
        </is>
      </c>
      <c r="E59" s="8" t="inlineStr">
        <is>
          <t>part_ix_expenses.payroll_taxes</t>
        </is>
      </c>
      <c r="F59" s="8" t="inlineStr">
        <is>
          <t>high</t>
        </is>
      </c>
      <c r="G59" s="9" t="n">
        <v>66087</v>
      </c>
    </row>
    <row r="60">
      <c r="A60" s="8" t="inlineStr">
        <is>
          <t>Operating expenses (detail)</t>
        </is>
      </c>
      <c r="B60" s="8" t="inlineStr">
        <is>
          <t>D11</t>
        </is>
      </c>
      <c r="C60" s="8" t="inlineStr">
        <is>
          <t>10. Payroll taxes</t>
        </is>
      </c>
      <c r="D60" s="8" t="inlineStr">
        <is>
          <t>10</t>
        </is>
      </c>
      <c r="E60" s="8" t="inlineStr">
        <is>
          <t>part_ix_expenses.payroll_taxes</t>
        </is>
      </c>
      <c r="F60" s="8" t="inlineStr">
        <is>
          <t>high</t>
        </is>
      </c>
      <c r="G60" s="9" t="n">
        <v>81316</v>
      </c>
    </row>
    <row r="61">
      <c r="A61" s="8" t="inlineStr">
        <is>
          <t>Operating expenses (detail)</t>
        </is>
      </c>
      <c r="B61" s="8" t="inlineStr">
        <is>
          <t>E11</t>
        </is>
      </c>
      <c r="C61" s="8" t="inlineStr">
        <is>
          <t>10. Payroll taxes</t>
        </is>
      </c>
      <c r="D61" s="8" t="inlineStr">
        <is>
          <t>10</t>
        </is>
      </c>
      <c r="E61" s="8" t="inlineStr">
        <is>
          <t>part_ix_expenses.payroll_taxes</t>
        </is>
      </c>
      <c r="F61" s="8" t="inlineStr">
        <is>
          <t>high</t>
        </is>
      </c>
      <c r="G61" s="9" t="n">
        <v>80580</v>
      </c>
    </row>
    <row r="62">
      <c r="A62" s="8" t="inlineStr">
        <is>
          <t>Operating expenses (detail)</t>
        </is>
      </c>
      <c r="B62" s="8" t="inlineStr">
        <is>
          <t>F11</t>
        </is>
      </c>
      <c r="C62" s="8" t="inlineStr">
        <is>
          <t>10. Payroll taxes</t>
        </is>
      </c>
      <c r="D62" s="8" t="inlineStr">
        <is>
          <t>10</t>
        </is>
      </c>
      <c r="E62" s="8" t="inlineStr">
        <is>
          <t>part_ix_expenses.payroll_taxes</t>
        </is>
      </c>
      <c r="F62" s="8" t="inlineStr">
        <is>
          <t>high</t>
        </is>
      </c>
      <c r="G62" s="9" t="n">
        <v>81243</v>
      </c>
    </row>
    <row r="63">
      <c r="A63" s="8" t="inlineStr">
        <is>
          <t>Operating expenses (detail)</t>
        </is>
      </c>
      <c r="B63" s="8" t="inlineStr">
        <is>
          <t>B12</t>
        </is>
      </c>
      <c r="C63" s="8" t="inlineStr">
        <is>
          <t>11b. Fees for services: legal</t>
        </is>
      </c>
      <c r="D63" s="8" t="inlineStr">
        <is>
          <t>11b</t>
        </is>
      </c>
      <c r="E63" s="8" t="inlineStr">
        <is>
          <t>part_ix_expenses.fees_legal</t>
        </is>
      </c>
      <c r="F63" s="8" t="inlineStr">
        <is>
          <t>high</t>
        </is>
      </c>
      <c r="G63" s="9" t="n">
        <v>201766</v>
      </c>
    </row>
    <row r="64">
      <c r="A64" s="8" t="inlineStr">
        <is>
          <t>Operating expenses (detail)</t>
        </is>
      </c>
      <c r="B64" s="8" t="inlineStr">
        <is>
          <t>C12</t>
        </is>
      </c>
      <c r="C64" s="8" t="inlineStr">
        <is>
          <t>11b. Fees for services: legal</t>
        </is>
      </c>
      <c r="D64" s="8" t="inlineStr">
        <is>
          <t>11b</t>
        </is>
      </c>
      <c r="E64" s="8" t="inlineStr">
        <is>
          <t>part_ix_expenses.fees_legal</t>
        </is>
      </c>
      <c r="F64" s="8" t="inlineStr">
        <is>
          <t>high</t>
        </is>
      </c>
      <c r="G64" s="9" t="n">
        <v>216500</v>
      </c>
    </row>
    <row r="65">
      <c r="A65" s="8" t="inlineStr">
        <is>
          <t>Operating expenses (detail)</t>
        </is>
      </c>
      <c r="B65" s="8" t="inlineStr">
        <is>
          <t>D12</t>
        </is>
      </c>
      <c r="C65" s="8" t="inlineStr">
        <is>
          <t>11b. Fees for services: legal</t>
        </is>
      </c>
      <c r="D65" s="8" t="inlineStr">
        <is>
          <t>11b</t>
        </is>
      </c>
      <c r="E65" s="8" t="inlineStr">
        <is>
          <t>part_ix_expenses.fees_legal</t>
        </is>
      </c>
      <c r="F65" s="8" t="inlineStr">
        <is>
          <t>high</t>
        </is>
      </c>
      <c r="G65" s="9" t="n">
        <v>238401</v>
      </c>
    </row>
    <row r="66">
      <c r="A66" s="8" t="inlineStr">
        <is>
          <t>Operating expenses (detail)</t>
        </is>
      </c>
      <c r="B66" s="8" t="inlineStr">
        <is>
          <t>E12</t>
        </is>
      </c>
      <c r="C66" s="8" t="inlineStr">
        <is>
          <t>11b. Fees for services: legal</t>
        </is>
      </c>
      <c r="D66" s="8" t="inlineStr">
        <is>
          <t>11b</t>
        </is>
      </c>
      <c r="E66" s="8" t="inlineStr">
        <is>
          <t>part_ix_expenses.fees_legal</t>
        </is>
      </c>
      <c r="F66" s="8" t="inlineStr">
        <is>
          <t>high</t>
        </is>
      </c>
      <c r="G66" s="9" t="n">
        <v>227782</v>
      </c>
    </row>
    <row r="67">
      <c r="A67" s="8" t="inlineStr">
        <is>
          <t>Operating expenses (detail)</t>
        </is>
      </c>
      <c r="B67" s="8" t="inlineStr">
        <is>
          <t>F12</t>
        </is>
      </c>
      <c r="C67" s="8" t="inlineStr">
        <is>
          <t>11b. Fees for services: legal</t>
        </is>
      </c>
      <c r="D67" s="8" t="inlineStr">
        <is>
          <t>11b</t>
        </is>
      </c>
      <c r="E67" s="8" t="inlineStr">
        <is>
          <t>part_ix_expenses.fees_legal</t>
        </is>
      </c>
      <c r="F67" s="8" t="inlineStr">
        <is>
          <t>high</t>
        </is>
      </c>
      <c r="G67" s="9" t="n">
        <v>131494</v>
      </c>
    </row>
    <row r="68">
      <c r="A68" s="8" t="inlineStr">
        <is>
          <t>Operating expenses (detail)</t>
        </is>
      </c>
      <c r="B68" s="8" t="inlineStr">
        <is>
          <t>B13</t>
        </is>
      </c>
      <c r="C68" s="8" t="inlineStr">
        <is>
          <t>11c. Fees for services: accounting</t>
        </is>
      </c>
      <c r="D68" s="8" t="inlineStr">
        <is>
          <t>11c</t>
        </is>
      </c>
      <c r="E68" s="8" t="inlineStr">
        <is>
          <t>part_ix_expenses.fees_accounting</t>
        </is>
      </c>
      <c r="F68" s="8" t="inlineStr">
        <is>
          <t>high</t>
        </is>
      </c>
      <c r="G68" s="9" t="n">
        <v>5620</v>
      </c>
    </row>
    <row r="69">
      <c r="A69" s="8" t="inlineStr">
        <is>
          <t>Operating expenses (detail)</t>
        </is>
      </c>
      <c r="B69" s="8" t="inlineStr">
        <is>
          <t>C13</t>
        </is>
      </c>
      <c r="C69" s="8" t="inlineStr">
        <is>
          <t>11c. Fees for services: accounting</t>
        </is>
      </c>
      <c r="D69" s="8" t="inlineStr">
        <is>
          <t>11c</t>
        </is>
      </c>
      <c r="E69" s="8" t="inlineStr">
        <is>
          <t>part_ix_expenses.fees_accounting</t>
        </is>
      </c>
      <c r="F69" s="8" t="inlineStr">
        <is>
          <t>high</t>
        </is>
      </c>
      <c r="G69" s="9" t="n">
        <v>6550</v>
      </c>
    </row>
    <row r="70">
      <c r="A70" s="8" t="inlineStr">
        <is>
          <t>Operating expenses (detail)</t>
        </is>
      </c>
      <c r="B70" s="8" t="inlineStr">
        <is>
          <t>D13</t>
        </is>
      </c>
      <c r="C70" s="8" t="inlineStr">
        <is>
          <t>11c. Fees for services: accounting</t>
        </is>
      </c>
      <c r="D70" s="8" t="inlineStr">
        <is>
          <t>11c</t>
        </is>
      </c>
      <c r="E70" s="8" t="inlineStr">
        <is>
          <t>part_ix_expenses.fees_accounting</t>
        </is>
      </c>
      <c r="F70" s="8" t="inlineStr">
        <is>
          <t>high</t>
        </is>
      </c>
      <c r="G70" s="9" t="n">
        <v>8000</v>
      </c>
    </row>
    <row r="71">
      <c r="A71" s="8" t="inlineStr">
        <is>
          <t>Operating expenses (detail)</t>
        </is>
      </c>
      <c r="B71" s="8" t="inlineStr">
        <is>
          <t>E13</t>
        </is>
      </c>
      <c r="C71" s="8" t="inlineStr">
        <is>
          <t>11c. Fees for services: accounting</t>
        </is>
      </c>
      <c r="D71" s="8" t="inlineStr">
        <is>
          <t>11c</t>
        </is>
      </c>
      <c r="E71" s="8" t="inlineStr">
        <is>
          <t>part_ix_expenses.fees_accounting</t>
        </is>
      </c>
      <c r="F71" s="8" t="inlineStr">
        <is>
          <t>high</t>
        </is>
      </c>
      <c r="G71" s="9" t="n">
        <v>9400</v>
      </c>
    </row>
    <row r="72">
      <c r="A72" s="8" t="inlineStr">
        <is>
          <t>Operating expenses (detail)</t>
        </is>
      </c>
      <c r="B72" s="8" t="inlineStr">
        <is>
          <t>F13</t>
        </is>
      </c>
      <c r="C72" s="8" t="inlineStr">
        <is>
          <t>11c. Fees for services: accounting</t>
        </is>
      </c>
      <c r="D72" s="8" t="inlineStr">
        <is>
          <t>11c</t>
        </is>
      </c>
      <c r="E72" s="8" t="inlineStr">
        <is>
          <t>part_ix_expenses.fees_accounting</t>
        </is>
      </c>
      <c r="F72" s="8" t="inlineStr">
        <is>
          <t>high</t>
        </is>
      </c>
      <c r="G72" s="9" t="n">
        <v>8000</v>
      </c>
    </row>
    <row r="73">
      <c r="A73" s="8" t="inlineStr">
        <is>
          <t>Operating expenses (detail)</t>
        </is>
      </c>
      <c r="B73" s="8" t="inlineStr">
        <is>
          <t>B14</t>
        </is>
      </c>
      <c r="C73" s="8" t="inlineStr">
        <is>
          <t>11g. Fees for services: other</t>
        </is>
      </c>
      <c r="D73" s="8" t="inlineStr">
        <is>
          <t>11g</t>
        </is>
      </c>
      <c r="E73" s="8" t="inlineStr">
        <is>
          <t>part_ix_expenses.fees_other</t>
        </is>
      </c>
      <c r="F73" s="8" t="inlineStr">
        <is>
          <t>high</t>
        </is>
      </c>
      <c r="G73" s="9" t="n">
        <v>151347</v>
      </c>
    </row>
    <row r="74">
      <c r="A74" s="8" t="inlineStr">
        <is>
          <t>Operating expenses (detail)</t>
        </is>
      </c>
      <c r="B74" s="8" t="inlineStr">
        <is>
          <t>C14</t>
        </is>
      </c>
      <c r="C74" s="8" t="inlineStr">
        <is>
          <t>11g. Fees for services: other</t>
        </is>
      </c>
      <c r="D74" s="8" t="inlineStr">
        <is>
          <t>11g</t>
        </is>
      </c>
      <c r="E74" s="8" t="inlineStr">
        <is>
          <t>part_ix_expenses.fees_other</t>
        </is>
      </c>
      <c r="F74" s="8" t="inlineStr">
        <is>
          <t>high</t>
        </is>
      </c>
      <c r="G74" s="9" t="n">
        <v>48630</v>
      </c>
    </row>
    <row r="75">
      <c r="A75" s="8" t="inlineStr">
        <is>
          <t>Operating expenses (detail)</t>
        </is>
      </c>
      <c r="B75" s="8" t="inlineStr">
        <is>
          <t>D14</t>
        </is>
      </c>
      <c r="C75" s="8" t="inlineStr">
        <is>
          <t>11g. Fees for services: other</t>
        </is>
      </c>
      <c r="D75" s="8" t="inlineStr">
        <is>
          <t>11g</t>
        </is>
      </c>
      <c r="E75" s="8" t="inlineStr">
        <is>
          <t>part_ix_expenses.fees_other</t>
        </is>
      </c>
      <c r="F75" s="8" t="inlineStr">
        <is>
          <t>high</t>
        </is>
      </c>
      <c r="G75" s="9" t="n">
        <v>60042</v>
      </c>
    </row>
    <row r="76">
      <c r="A76" s="8" t="inlineStr">
        <is>
          <t>Operating expenses (detail)</t>
        </is>
      </c>
      <c r="B76" s="8" t="inlineStr">
        <is>
          <t>E14</t>
        </is>
      </c>
      <c r="C76" s="8" t="inlineStr">
        <is>
          <t>11g. Fees for services: other</t>
        </is>
      </c>
      <c r="D76" s="8" t="inlineStr">
        <is>
          <t>11g</t>
        </is>
      </c>
      <c r="E76" s="8" t="inlineStr">
        <is>
          <t>part_ix_expenses.fees_other</t>
        </is>
      </c>
      <c r="F76" s="8" t="inlineStr">
        <is>
          <t>high</t>
        </is>
      </c>
      <c r="G76" s="9" t="n">
        <v>39250</v>
      </c>
    </row>
    <row r="77">
      <c r="A77" s="8" t="inlineStr">
        <is>
          <t>Operating expenses (detail)</t>
        </is>
      </c>
      <c r="B77" s="8" t="inlineStr">
        <is>
          <t>F14</t>
        </is>
      </c>
      <c r="C77" s="8" t="inlineStr">
        <is>
          <t>11g. Fees for services: other</t>
        </is>
      </c>
      <c r="D77" s="8" t="inlineStr">
        <is>
          <t>11g</t>
        </is>
      </c>
      <c r="E77" s="8" t="inlineStr">
        <is>
          <t>part_ix_expenses.fees_other</t>
        </is>
      </c>
      <c r="F77" s="8" t="inlineStr">
        <is>
          <t>high</t>
        </is>
      </c>
      <c r="G77" s="9" t="n">
        <v>71925</v>
      </c>
    </row>
    <row r="78">
      <c r="A78" s="8" t="inlineStr">
        <is>
          <t>Operating expenses (detail)</t>
        </is>
      </c>
      <c r="B78" s="8" t="inlineStr">
        <is>
          <t>B15</t>
        </is>
      </c>
      <c r="C78" s="8" t="inlineStr">
        <is>
          <t>13. Office expenses</t>
        </is>
      </c>
      <c r="D78" s="8" t="inlineStr">
        <is>
          <t>13</t>
        </is>
      </c>
      <c r="E78" s="8" t="inlineStr">
        <is>
          <t>part_ix_expenses.office_expenses</t>
        </is>
      </c>
      <c r="F78" s="8" t="inlineStr">
        <is>
          <t>high</t>
        </is>
      </c>
      <c r="G78" s="9" t="n">
        <v>89203</v>
      </c>
    </row>
    <row r="79">
      <c r="A79" s="8" t="inlineStr">
        <is>
          <t>Operating expenses (detail)</t>
        </is>
      </c>
      <c r="B79" s="8" t="inlineStr">
        <is>
          <t>C15</t>
        </is>
      </c>
      <c r="C79" s="8" t="inlineStr">
        <is>
          <t>13. Office expenses</t>
        </is>
      </c>
      <c r="D79" s="8" t="inlineStr">
        <is>
          <t>13</t>
        </is>
      </c>
      <c r="E79" s="8" t="inlineStr">
        <is>
          <t>part_ix_expenses.office_expenses</t>
        </is>
      </c>
      <c r="F79" s="8" t="inlineStr">
        <is>
          <t>high</t>
        </is>
      </c>
      <c r="G79" s="9" t="n">
        <v>85386</v>
      </c>
    </row>
    <row r="80">
      <c r="A80" s="8" t="inlineStr">
        <is>
          <t>Operating expenses (detail)</t>
        </is>
      </c>
      <c r="B80" s="8" t="inlineStr">
        <is>
          <t>D15</t>
        </is>
      </c>
      <c r="C80" s="8" t="inlineStr">
        <is>
          <t>13. Office expenses</t>
        </is>
      </c>
      <c r="D80" s="8" t="inlineStr">
        <is>
          <t>13</t>
        </is>
      </c>
      <c r="E80" s="8" t="inlineStr">
        <is>
          <t>part_ix_expenses.office_expenses</t>
        </is>
      </c>
      <c r="F80" s="8" t="inlineStr">
        <is>
          <t>high</t>
        </is>
      </c>
      <c r="G80" s="9" t="n">
        <v>112285</v>
      </c>
    </row>
    <row r="81">
      <c r="A81" s="8" t="inlineStr">
        <is>
          <t>Operating expenses (detail)</t>
        </is>
      </c>
      <c r="B81" s="8" t="inlineStr">
        <is>
          <t>E15</t>
        </is>
      </c>
      <c r="C81" s="8" t="inlineStr">
        <is>
          <t>13. Office expenses</t>
        </is>
      </c>
      <c r="D81" s="8" t="inlineStr">
        <is>
          <t>13</t>
        </is>
      </c>
      <c r="E81" s="8" t="inlineStr">
        <is>
          <t>part_ix_expenses.office_expenses</t>
        </is>
      </c>
      <c r="F81" s="8" t="inlineStr">
        <is>
          <t>high</t>
        </is>
      </c>
      <c r="G81" s="9" t="n">
        <v>135411</v>
      </c>
    </row>
    <row r="82">
      <c r="A82" s="8" t="inlineStr">
        <is>
          <t>Operating expenses (detail)</t>
        </is>
      </c>
      <c r="B82" s="8" t="inlineStr">
        <is>
          <t>F15</t>
        </is>
      </c>
      <c r="C82" s="8" t="inlineStr">
        <is>
          <t>13. Office expenses</t>
        </is>
      </c>
      <c r="D82" s="8" t="inlineStr">
        <is>
          <t>13</t>
        </is>
      </c>
      <c r="E82" s="8" t="inlineStr">
        <is>
          <t>part_ix_expenses.office_expenses</t>
        </is>
      </c>
      <c r="F82" s="8" t="inlineStr">
        <is>
          <t>high</t>
        </is>
      </c>
      <c r="G82" s="9" t="n">
        <v>137582</v>
      </c>
    </row>
    <row r="83">
      <c r="A83" s="8" t="inlineStr">
        <is>
          <t>Operating expenses (detail)</t>
        </is>
      </c>
      <c r="B83" s="8" t="inlineStr">
        <is>
          <t>B16</t>
        </is>
      </c>
      <c r="C83" s="8" t="inlineStr">
        <is>
          <t>22. Depreciation, depletion, and amortization</t>
        </is>
      </c>
      <c r="D83" s="8" t="inlineStr">
        <is>
          <t>22</t>
        </is>
      </c>
      <c r="E83" s="8" t="inlineStr">
        <is>
          <t>part_ix_expenses.depreciation</t>
        </is>
      </c>
      <c r="F83" s="8" t="inlineStr">
        <is>
          <t>high</t>
        </is>
      </c>
      <c r="G83" s="9" t="n">
        <v>390322</v>
      </c>
    </row>
    <row r="84">
      <c r="A84" s="8" t="inlineStr">
        <is>
          <t>Operating expenses (detail)</t>
        </is>
      </c>
      <c r="B84" s="8" t="inlineStr">
        <is>
          <t>C16</t>
        </is>
      </c>
      <c r="C84" s="8" t="inlineStr">
        <is>
          <t>22. Depreciation, depletion, and amortization</t>
        </is>
      </c>
      <c r="D84" s="8" t="inlineStr">
        <is>
          <t>22</t>
        </is>
      </c>
      <c r="E84" s="8" t="inlineStr">
        <is>
          <t>part_ix_expenses.depreciation</t>
        </is>
      </c>
      <c r="F84" s="8" t="inlineStr">
        <is>
          <t>high</t>
        </is>
      </c>
      <c r="G84" s="9" t="n">
        <v>420886</v>
      </c>
    </row>
    <row r="85">
      <c r="A85" s="8" t="inlineStr">
        <is>
          <t>Operating expenses (detail)</t>
        </is>
      </c>
      <c r="B85" s="8" t="inlineStr">
        <is>
          <t>D16</t>
        </is>
      </c>
      <c r="C85" s="8" t="inlineStr">
        <is>
          <t>22. Depreciation, depletion, and amortization</t>
        </is>
      </c>
      <c r="D85" s="8" t="inlineStr">
        <is>
          <t>22</t>
        </is>
      </c>
      <c r="E85" s="8" t="inlineStr">
        <is>
          <t>part_ix_expenses.depreciation</t>
        </is>
      </c>
      <c r="F85" s="8" t="inlineStr">
        <is>
          <t>high</t>
        </is>
      </c>
      <c r="G85" s="9" t="n">
        <v>449426</v>
      </c>
    </row>
    <row r="86">
      <c r="A86" s="8" t="inlineStr">
        <is>
          <t>Operating expenses (detail)</t>
        </is>
      </c>
      <c r="B86" s="8" t="inlineStr">
        <is>
          <t>E16</t>
        </is>
      </c>
      <c r="C86" s="8" t="inlineStr">
        <is>
          <t>22. Depreciation, depletion, and amortization</t>
        </is>
      </c>
      <c r="D86" s="8" t="inlineStr">
        <is>
          <t>22</t>
        </is>
      </c>
      <c r="E86" s="8" t="inlineStr">
        <is>
          <t>part_ix_expenses.depreciation</t>
        </is>
      </c>
      <c r="F86" s="8" t="inlineStr">
        <is>
          <t>high</t>
        </is>
      </c>
      <c r="G86" s="9" t="n">
        <v>451237</v>
      </c>
    </row>
    <row r="87">
      <c r="A87" s="8" t="inlineStr">
        <is>
          <t>Operating expenses (detail)</t>
        </is>
      </c>
      <c r="B87" s="8" t="inlineStr">
        <is>
          <t>F16</t>
        </is>
      </c>
      <c r="C87" s="8" t="inlineStr">
        <is>
          <t>22. Depreciation, depletion, and amortization</t>
        </is>
      </c>
      <c r="D87" s="8" t="inlineStr">
        <is>
          <t>22</t>
        </is>
      </c>
      <c r="E87" s="8" t="inlineStr">
        <is>
          <t>part_ix_expenses.depreciation</t>
        </is>
      </c>
      <c r="F87" s="8" t="inlineStr">
        <is>
          <t>high</t>
        </is>
      </c>
      <c r="G87" s="9" t="n">
        <v>430772</v>
      </c>
    </row>
    <row r="88">
      <c r="A88" s="8" t="inlineStr">
        <is>
          <t>Operating expenses (detail)</t>
        </is>
      </c>
      <c r="B88" s="8" t="inlineStr">
        <is>
          <t>B17</t>
        </is>
      </c>
      <c r="C88" s="8" t="inlineStr">
        <is>
          <t>23. Insurance</t>
        </is>
      </c>
      <c r="D88" s="8" t="inlineStr">
        <is>
          <t>23</t>
        </is>
      </c>
      <c r="E88" s="8" t="inlineStr">
        <is>
          <t>part_ix_expenses.insurance</t>
        </is>
      </c>
      <c r="F88" s="8" t="inlineStr">
        <is>
          <t>high</t>
        </is>
      </c>
      <c r="G88" s="9" t="n">
        <v>35660</v>
      </c>
    </row>
    <row r="89">
      <c r="A89" s="8" t="inlineStr">
        <is>
          <t>Operating expenses (detail)</t>
        </is>
      </c>
      <c r="B89" s="8" t="inlineStr">
        <is>
          <t>C17</t>
        </is>
      </c>
      <c r="C89" s="8" t="inlineStr">
        <is>
          <t>23. Insurance</t>
        </is>
      </c>
      <c r="D89" s="8" t="inlineStr">
        <is>
          <t>23</t>
        </is>
      </c>
      <c r="E89" s="8" t="inlineStr">
        <is>
          <t>part_ix_expenses.insurance</t>
        </is>
      </c>
      <c r="F89" s="8" t="inlineStr">
        <is>
          <t>high</t>
        </is>
      </c>
      <c r="G89" s="9" t="n">
        <v>33234</v>
      </c>
    </row>
    <row r="90">
      <c r="A90" s="8" t="inlineStr">
        <is>
          <t>Operating expenses (detail)</t>
        </is>
      </c>
      <c r="B90" s="8" t="inlineStr">
        <is>
          <t>D17</t>
        </is>
      </c>
      <c r="C90" s="8" t="inlineStr">
        <is>
          <t>23. Insurance</t>
        </is>
      </c>
      <c r="D90" s="8" t="inlineStr">
        <is>
          <t>23</t>
        </is>
      </c>
      <c r="E90" s="8" t="inlineStr">
        <is>
          <t>part_ix_expenses.insurance</t>
        </is>
      </c>
      <c r="F90" s="8" t="inlineStr">
        <is>
          <t>high</t>
        </is>
      </c>
      <c r="G90" s="9" t="n">
        <v>37173</v>
      </c>
    </row>
    <row r="91">
      <c r="A91" s="8" t="inlineStr">
        <is>
          <t>Operating expenses (detail)</t>
        </is>
      </c>
      <c r="B91" s="8" t="inlineStr">
        <is>
          <t>E17</t>
        </is>
      </c>
      <c r="C91" s="8" t="inlineStr">
        <is>
          <t>23. Insurance</t>
        </is>
      </c>
      <c r="D91" s="8" t="inlineStr">
        <is>
          <t>23</t>
        </is>
      </c>
      <c r="E91" s="8" t="inlineStr">
        <is>
          <t>part_ix_expenses.insurance</t>
        </is>
      </c>
      <c r="F91" s="8" t="inlineStr">
        <is>
          <t>high</t>
        </is>
      </c>
      <c r="G91" s="9" t="n">
        <v>47879</v>
      </c>
    </row>
    <row r="92">
      <c r="A92" s="8" t="inlineStr">
        <is>
          <t>Operating expenses (detail)</t>
        </is>
      </c>
      <c r="B92" s="8" t="inlineStr">
        <is>
          <t>F17</t>
        </is>
      </c>
      <c r="C92" s="8" t="inlineStr">
        <is>
          <t>23. Insurance</t>
        </is>
      </c>
      <c r="D92" s="8" t="inlineStr">
        <is>
          <t>23</t>
        </is>
      </c>
      <c r="E92" s="8" t="inlineStr">
        <is>
          <t>part_ix_expenses.insurance</t>
        </is>
      </c>
      <c r="F92" s="8" t="inlineStr">
        <is>
          <t>high</t>
        </is>
      </c>
      <c r="G92" s="9" t="n">
        <v>47879</v>
      </c>
    </row>
    <row r="93">
      <c r="A93" s="8" t="inlineStr">
        <is>
          <t>Operating expenses (detail)</t>
        </is>
      </c>
      <c r="B93" s="8" t="inlineStr">
        <is>
          <t>B22</t>
        </is>
      </c>
      <c r="C93" s="8" t="inlineStr">
        <is>
          <t>24e. All other expenses</t>
        </is>
      </c>
      <c r="D93" s="8" t="inlineStr">
        <is>
          <t>24e</t>
        </is>
      </c>
      <c r="E93" s="8" t="inlineStr">
        <is>
          <t>part_ix_expenses.all_other_expenses</t>
        </is>
      </c>
      <c r="F93" s="8" t="inlineStr">
        <is>
          <t>high</t>
        </is>
      </c>
      <c r="G93" s="9" t="n">
        <v>160998</v>
      </c>
    </row>
    <row r="94">
      <c r="A94" s="8" t="inlineStr">
        <is>
          <t>Operating expenses (detail)</t>
        </is>
      </c>
      <c r="B94" s="8" t="inlineStr">
        <is>
          <t>C22</t>
        </is>
      </c>
      <c r="C94" s="8" t="inlineStr">
        <is>
          <t>24e. All other expenses</t>
        </is>
      </c>
      <c r="D94" s="8" t="inlineStr">
        <is>
          <t>24e</t>
        </is>
      </c>
      <c r="E94" s="8" t="inlineStr">
        <is>
          <t>part_ix_expenses.all_other_expenses</t>
        </is>
      </c>
      <c r="F94" s="8" t="inlineStr">
        <is>
          <t>high</t>
        </is>
      </c>
      <c r="G94" s="9" t="n">
        <v>138389</v>
      </c>
    </row>
    <row r="95">
      <c r="A95" s="8" t="inlineStr">
        <is>
          <t>Operating expenses (detail)</t>
        </is>
      </c>
      <c r="B95" s="8" t="inlineStr">
        <is>
          <t>D22</t>
        </is>
      </c>
      <c r="C95" s="8" t="inlineStr">
        <is>
          <t>24e. All other expenses</t>
        </is>
      </c>
      <c r="D95" s="8" t="inlineStr">
        <is>
          <t>24e</t>
        </is>
      </c>
      <c r="E95" s="8" t="inlineStr">
        <is>
          <t>part_ix_expenses.all_other_expenses</t>
        </is>
      </c>
      <c r="F95" s="8" t="inlineStr">
        <is>
          <t>high</t>
        </is>
      </c>
      <c r="G95" s="9" t="n">
        <v>354105</v>
      </c>
    </row>
    <row r="96">
      <c r="A96" s="8" t="inlineStr">
        <is>
          <t>Operating expenses (detail)</t>
        </is>
      </c>
      <c r="B96" s="8" t="inlineStr">
        <is>
          <t>E22</t>
        </is>
      </c>
      <c r="C96" s="8" t="inlineStr">
        <is>
          <t>24e. All other expenses</t>
        </is>
      </c>
      <c r="D96" s="8" t="inlineStr">
        <is>
          <t>24e</t>
        </is>
      </c>
      <c r="E96" s="8" t="inlineStr">
        <is>
          <t>part_ix_expenses.all_other_expenses</t>
        </is>
      </c>
      <c r="F96" s="8" t="inlineStr">
        <is>
          <t>high</t>
        </is>
      </c>
      <c r="G96" s="9" t="n">
        <v>233157</v>
      </c>
    </row>
    <row r="97">
      <c r="A97" s="8" t="inlineStr">
        <is>
          <t>Operating expenses (detail)</t>
        </is>
      </c>
      <c r="B97" s="8" t="inlineStr">
        <is>
          <t>F22</t>
        </is>
      </c>
      <c r="C97" s="8" t="inlineStr">
        <is>
          <t>24e. All other expenses</t>
        </is>
      </c>
      <c r="D97" s="8" t="inlineStr">
        <is>
          <t>24e</t>
        </is>
      </c>
      <c r="E97" s="8" t="inlineStr">
        <is>
          <t>part_ix_expenses.all_other_expenses</t>
        </is>
      </c>
      <c r="F97" s="8" t="inlineStr">
        <is>
          <t>high</t>
        </is>
      </c>
      <c r="G97" s="9" t="n">
        <v>145427</v>
      </c>
    </row>
    <row r="98">
      <c r="A98" s="8" t="inlineStr">
        <is>
          <t>Balance sheet (detail)</t>
        </is>
      </c>
      <c r="B98" s="8" t="inlineStr">
        <is>
          <t>B7</t>
        </is>
      </c>
      <c r="C98" s="8" t="inlineStr">
        <is>
          <t>1. Cash - non-interest-bearing</t>
        </is>
      </c>
      <c r="D98" s="8" t="inlineStr">
        <is>
          <t>1E</t>
        </is>
      </c>
      <c r="E98" s="8" t="inlineStr">
        <is>
          <t>part_x_balance_sheet.cash_noninterest_eoy</t>
        </is>
      </c>
      <c r="F98" s="8" t="inlineStr">
        <is>
          <t>high</t>
        </is>
      </c>
      <c r="G98" s="9" t="n">
        <v>314976</v>
      </c>
    </row>
    <row r="99">
      <c r="A99" s="8" t="inlineStr">
        <is>
          <t>Balance sheet (detail)</t>
        </is>
      </c>
      <c r="B99" s="8" t="inlineStr">
        <is>
          <t>C7</t>
        </is>
      </c>
      <c r="C99" s="8" t="inlineStr">
        <is>
          <t>1. Cash - non-interest-bearing</t>
        </is>
      </c>
      <c r="D99" s="8" t="inlineStr">
        <is>
          <t>1E</t>
        </is>
      </c>
      <c r="E99" s="8" t="inlineStr">
        <is>
          <t>part_x_balance_sheet.cash_noninterest_eoy</t>
        </is>
      </c>
      <c r="F99" s="8" t="inlineStr">
        <is>
          <t>high</t>
        </is>
      </c>
      <c r="G99" s="9" t="n">
        <v>169823</v>
      </c>
    </row>
    <row r="100">
      <c r="A100" s="8" t="inlineStr">
        <is>
          <t>Balance sheet (detail)</t>
        </is>
      </c>
      <c r="B100" s="8" t="inlineStr">
        <is>
          <t>D7</t>
        </is>
      </c>
      <c r="C100" s="8" t="inlineStr">
        <is>
          <t>1. Cash - non-interest-bearing</t>
        </is>
      </c>
      <c r="D100" s="8" t="inlineStr">
        <is>
          <t>1E</t>
        </is>
      </c>
      <c r="E100" s="8" t="inlineStr">
        <is>
          <t>part_x_balance_sheet.cash_noninterest_eoy</t>
        </is>
      </c>
      <c r="F100" s="8" t="inlineStr">
        <is>
          <t>high</t>
        </is>
      </c>
      <c r="G100" s="9" t="n">
        <v>221108</v>
      </c>
    </row>
    <row r="101">
      <c r="A101" s="8" t="inlineStr">
        <is>
          <t>Balance sheet (detail)</t>
        </is>
      </c>
      <c r="B101" s="8" t="inlineStr">
        <is>
          <t>E7</t>
        </is>
      </c>
      <c r="C101" s="8" t="inlineStr">
        <is>
          <t>1. Cash - non-interest-bearing</t>
        </is>
      </c>
      <c r="D101" s="8" t="inlineStr">
        <is>
          <t>1E</t>
        </is>
      </c>
      <c r="E101" s="8" t="inlineStr">
        <is>
          <t>part_x_balance_sheet.cash_noninterest_eoy</t>
        </is>
      </c>
      <c r="F101" s="8" t="inlineStr">
        <is>
          <t>high</t>
        </is>
      </c>
      <c r="G101" s="9" t="n">
        <v>201015</v>
      </c>
    </row>
    <row r="102">
      <c r="A102" s="8" t="inlineStr">
        <is>
          <t>Balance sheet (detail)</t>
        </is>
      </c>
      <c r="B102" s="8" t="inlineStr">
        <is>
          <t>F7</t>
        </is>
      </c>
      <c r="C102" s="8" t="inlineStr">
        <is>
          <t>1. Cash - non-interest-bearing</t>
        </is>
      </c>
      <c r="D102" s="8" t="inlineStr">
        <is>
          <t>1E</t>
        </is>
      </c>
      <c r="E102" s="8" t="inlineStr">
        <is>
          <t>part_x_balance_sheet.cash_noninterest_eoy</t>
        </is>
      </c>
      <c r="F102" s="8" t="inlineStr">
        <is>
          <t>high</t>
        </is>
      </c>
      <c r="G102" s="9" t="n">
        <v>179090</v>
      </c>
    </row>
    <row r="103">
      <c r="A103" s="8" t="inlineStr">
        <is>
          <t>Balance sheet (detail)</t>
        </is>
      </c>
      <c r="B103" s="8" t="inlineStr">
        <is>
          <t>B8</t>
        </is>
      </c>
      <c r="C103" s="8" t="inlineStr">
        <is>
          <t>2. Savings and temporary cash investments</t>
        </is>
      </c>
      <c r="D103" s="8" t="inlineStr">
        <is>
          <t>2E</t>
        </is>
      </c>
      <c r="E103" s="8" t="inlineStr">
        <is>
          <t>part_x_balance_sheet.savings_temp_invest_eoy</t>
        </is>
      </c>
      <c r="F103" s="8" t="inlineStr">
        <is>
          <t>high</t>
        </is>
      </c>
      <c r="G103" s="9" t="n">
        <v>1375895</v>
      </c>
    </row>
    <row r="104">
      <c r="A104" s="8" t="inlineStr">
        <is>
          <t>Balance sheet (detail)</t>
        </is>
      </c>
      <c r="B104" s="8" t="inlineStr">
        <is>
          <t>C8</t>
        </is>
      </c>
      <c r="C104" s="8" t="inlineStr">
        <is>
          <t>2. Savings and temporary cash investments</t>
        </is>
      </c>
      <c r="D104" s="8" t="inlineStr">
        <is>
          <t>2E</t>
        </is>
      </c>
      <c r="E104" s="8" t="inlineStr">
        <is>
          <t>part_x_balance_sheet.savings_temp_invest_eoy</t>
        </is>
      </c>
      <c r="F104" s="8" t="inlineStr">
        <is>
          <t>high</t>
        </is>
      </c>
      <c r="G104" s="9" t="n">
        <v>2102695</v>
      </c>
    </row>
    <row r="105">
      <c r="A105" s="8" t="inlineStr">
        <is>
          <t>Balance sheet (detail)</t>
        </is>
      </c>
      <c r="B105" s="8" t="inlineStr">
        <is>
          <t>D8</t>
        </is>
      </c>
      <c r="C105" s="8" t="inlineStr">
        <is>
          <t>2. Savings and temporary cash investments</t>
        </is>
      </c>
      <c r="D105" s="8" t="inlineStr">
        <is>
          <t>2E</t>
        </is>
      </c>
      <c r="E105" s="8" t="inlineStr">
        <is>
          <t>part_x_balance_sheet.savings_temp_invest_eoy</t>
        </is>
      </c>
      <c r="F105" s="8" t="inlineStr">
        <is>
          <t>high</t>
        </is>
      </c>
      <c r="G105" s="9" t="n">
        <v>2122646</v>
      </c>
    </row>
    <row r="106">
      <c r="A106" s="8" t="inlineStr">
        <is>
          <t>Balance sheet (detail)</t>
        </is>
      </c>
      <c r="B106" s="8" t="inlineStr">
        <is>
          <t>E8</t>
        </is>
      </c>
      <c r="C106" s="8" t="inlineStr">
        <is>
          <t>2. Savings and temporary cash investments</t>
        </is>
      </c>
      <c r="D106" s="8" t="inlineStr">
        <is>
          <t>2E</t>
        </is>
      </c>
      <c r="E106" s="8" t="inlineStr">
        <is>
          <t>part_x_balance_sheet.savings_temp_invest_eoy</t>
        </is>
      </c>
      <c r="F106" s="8" t="inlineStr">
        <is>
          <t>high</t>
        </is>
      </c>
      <c r="G106" s="9" t="n">
        <v>2542502</v>
      </c>
    </row>
    <row r="107">
      <c r="A107" s="8" t="inlineStr">
        <is>
          <t>Balance sheet (detail)</t>
        </is>
      </c>
      <c r="B107" s="8" t="inlineStr">
        <is>
          <t>F8</t>
        </is>
      </c>
      <c r="C107" s="8" t="inlineStr">
        <is>
          <t>2. Savings and temporary cash investments</t>
        </is>
      </c>
      <c r="D107" s="8" t="inlineStr">
        <is>
          <t>2E</t>
        </is>
      </c>
      <c r="E107" s="8" t="inlineStr">
        <is>
          <t>part_x_balance_sheet.savings_temp_invest_eoy</t>
        </is>
      </c>
      <c r="F107" s="8" t="inlineStr">
        <is>
          <t>high</t>
        </is>
      </c>
      <c r="G107" s="9" t="n">
        <v>1832303</v>
      </c>
    </row>
    <row r="108">
      <c r="A108" s="8" t="inlineStr">
        <is>
          <t>Balance sheet (detail)</t>
        </is>
      </c>
      <c r="B108" s="8" t="inlineStr">
        <is>
          <t>B9</t>
        </is>
      </c>
      <c r="C108" s="8" t="inlineStr">
        <is>
          <t>4. Accounts receivable, net</t>
        </is>
      </c>
      <c r="D108" s="8" t="inlineStr">
        <is>
          <t>4E</t>
        </is>
      </c>
      <c r="E108" s="8" t="inlineStr">
        <is>
          <t>part_x_balance_sheet.accounts_receivable_eoy</t>
        </is>
      </c>
      <c r="F108" s="8" t="inlineStr">
        <is>
          <t>high</t>
        </is>
      </c>
      <c r="G108" s="9" t="n">
        <v>203110</v>
      </c>
    </row>
    <row r="109">
      <c r="A109" s="8" t="inlineStr">
        <is>
          <t>Balance sheet (detail)</t>
        </is>
      </c>
      <c r="B109" s="8" t="inlineStr">
        <is>
          <t>C9</t>
        </is>
      </c>
      <c r="C109" s="8" t="inlineStr">
        <is>
          <t>4. Accounts receivable, net</t>
        </is>
      </c>
      <c r="D109" s="8" t="inlineStr">
        <is>
          <t>4E</t>
        </is>
      </c>
      <c r="E109" s="8" t="inlineStr">
        <is>
          <t>part_x_balance_sheet.accounts_receivable_eoy</t>
        </is>
      </c>
      <c r="F109" s="8" t="inlineStr">
        <is>
          <t>high</t>
        </is>
      </c>
      <c r="G109" s="9" t="n">
        <v>166132</v>
      </c>
    </row>
    <row r="110">
      <c r="A110" s="8" t="inlineStr">
        <is>
          <t>Balance sheet (detail)</t>
        </is>
      </c>
      <c r="B110" s="8" t="inlineStr">
        <is>
          <t>D9</t>
        </is>
      </c>
      <c r="C110" s="8" t="inlineStr">
        <is>
          <t>4. Accounts receivable, net</t>
        </is>
      </c>
      <c r="D110" s="8" t="inlineStr">
        <is>
          <t>4E</t>
        </is>
      </c>
      <c r="E110" s="8" t="inlineStr">
        <is>
          <t>part_x_balance_sheet.accounts_receivable_eoy</t>
        </is>
      </c>
      <c r="F110" s="8" t="inlineStr">
        <is>
          <t>high</t>
        </is>
      </c>
      <c r="G110" s="9" t="n">
        <v>176718</v>
      </c>
    </row>
    <row r="111">
      <c r="A111" s="8" t="inlineStr">
        <is>
          <t>Balance sheet (detail)</t>
        </is>
      </c>
      <c r="B111" s="8" t="inlineStr">
        <is>
          <t>E9</t>
        </is>
      </c>
      <c r="C111" s="8" t="inlineStr">
        <is>
          <t>4. Accounts receivable, net</t>
        </is>
      </c>
      <c r="D111" s="8" t="inlineStr">
        <is>
          <t>4E</t>
        </is>
      </c>
      <c r="E111" s="8" t="inlineStr">
        <is>
          <t>part_x_balance_sheet.accounts_receivable_eoy</t>
        </is>
      </c>
      <c r="F111" s="8" t="inlineStr">
        <is>
          <t>high</t>
        </is>
      </c>
      <c r="G111" s="9" t="n">
        <v>183236</v>
      </c>
    </row>
    <row r="112">
      <c r="A112" s="8" t="inlineStr">
        <is>
          <t>Balance sheet (detail)</t>
        </is>
      </c>
      <c r="B112" s="8" t="inlineStr">
        <is>
          <t>F9</t>
        </is>
      </c>
      <c r="C112" s="8" t="inlineStr">
        <is>
          <t>4. Accounts receivable, net</t>
        </is>
      </c>
      <c r="D112" s="8" t="inlineStr">
        <is>
          <t>4E</t>
        </is>
      </c>
      <c r="E112" s="8" t="inlineStr">
        <is>
          <t>part_x_balance_sheet.accounts_receivable_eoy</t>
        </is>
      </c>
      <c r="F112" s="8" t="inlineStr">
        <is>
          <t>high</t>
        </is>
      </c>
      <c r="G112" s="9" t="n">
        <v>245792</v>
      </c>
    </row>
    <row r="113">
      <c r="A113" s="8" t="inlineStr">
        <is>
          <t>Balance sheet (detail)</t>
        </is>
      </c>
      <c r="B113" s="8" t="inlineStr">
        <is>
          <t>B10</t>
        </is>
      </c>
      <c r="C113" s="8" t="inlineStr">
        <is>
          <t>8. Inventories for sale or use</t>
        </is>
      </c>
      <c r="D113" s="8" t="inlineStr">
        <is>
          <t>8E</t>
        </is>
      </c>
      <c r="E113" s="8" t="inlineStr">
        <is>
          <t>part_x_balance_sheet.inventories_eoy</t>
        </is>
      </c>
      <c r="F113" s="8" t="inlineStr">
        <is>
          <t>high</t>
        </is>
      </c>
      <c r="G113" s="9" t="n">
        <v>168262</v>
      </c>
    </row>
    <row r="114">
      <c r="A114" s="8" t="inlineStr">
        <is>
          <t>Balance sheet (detail)</t>
        </is>
      </c>
      <c r="B114" s="8" t="inlineStr">
        <is>
          <t>C10</t>
        </is>
      </c>
      <c r="C114" s="8" t="inlineStr">
        <is>
          <t>8. Inventories for sale or use</t>
        </is>
      </c>
      <c r="D114" s="8" t="inlineStr">
        <is>
          <t>8E</t>
        </is>
      </c>
      <c r="E114" s="8" t="inlineStr">
        <is>
          <t>part_x_balance_sheet.inventories_eoy</t>
        </is>
      </c>
      <c r="F114" s="8" t="inlineStr">
        <is>
          <t>high</t>
        </is>
      </c>
      <c r="G114" s="9" t="n">
        <v>160722</v>
      </c>
    </row>
    <row r="115">
      <c r="A115" s="8" t="inlineStr">
        <is>
          <t>Balance sheet (detail)</t>
        </is>
      </c>
      <c r="B115" s="8" t="inlineStr">
        <is>
          <t>D10</t>
        </is>
      </c>
      <c r="C115" s="8" t="inlineStr">
        <is>
          <t>8. Inventories for sale or use</t>
        </is>
      </c>
      <c r="D115" s="8" t="inlineStr">
        <is>
          <t>8E</t>
        </is>
      </c>
      <c r="E115" s="8" t="inlineStr">
        <is>
          <t>part_x_balance_sheet.inventories_eoy</t>
        </is>
      </c>
      <c r="F115" s="8" t="inlineStr">
        <is>
          <t>high</t>
        </is>
      </c>
      <c r="G115" s="9" t="n">
        <v>149440</v>
      </c>
    </row>
    <row r="116">
      <c r="A116" s="8" t="inlineStr">
        <is>
          <t>Balance sheet (detail)</t>
        </is>
      </c>
      <c r="B116" s="8" t="inlineStr">
        <is>
          <t>E10</t>
        </is>
      </c>
      <c r="C116" s="8" t="inlineStr">
        <is>
          <t>8. Inventories for sale or use</t>
        </is>
      </c>
      <c r="D116" s="8" t="inlineStr">
        <is>
          <t>8E</t>
        </is>
      </c>
      <c r="E116" s="8" t="inlineStr">
        <is>
          <t>part_x_balance_sheet.inventories_eoy</t>
        </is>
      </c>
      <c r="F116" s="8" t="inlineStr">
        <is>
          <t>high</t>
        </is>
      </c>
      <c r="G116" s="9" t="n">
        <v>124995</v>
      </c>
    </row>
    <row r="117">
      <c r="A117" s="8" t="inlineStr">
        <is>
          <t>Balance sheet (detail)</t>
        </is>
      </c>
      <c r="B117" s="8" t="inlineStr">
        <is>
          <t>F10</t>
        </is>
      </c>
      <c r="C117" s="8" t="inlineStr">
        <is>
          <t>8. Inventories for sale or use</t>
        </is>
      </c>
      <c r="D117" s="8" t="inlineStr">
        <is>
          <t>8E</t>
        </is>
      </c>
      <c r="E117" s="8" t="inlineStr">
        <is>
          <t>part_x_balance_sheet.inventories_eoy</t>
        </is>
      </c>
      <c r="F117" s="8" t="inlineStr">
        <is>
          <t>high</t>
        </is>
      </c>
      <c r="G117" s="9" t="n">
        <v>177049</v>
      </c>
    </row>
    <row r="118">
      <c r="A118" s="8" t="inlineStr">
        <is>
          <t>Balance sheet (detail)</t>
        </is>
      </c>
      <c r="B118" s="8" t="inlineStr">
        <is>
          <t>D11</t>
        </is>
      </c>
      <c r="C118" s="8" t="inlineStr">
        <is>
          <t>9. Prepaid expenses and deferred charges</t>
        </is>
      </c>
      <c r="D118" s="8" t="inlineStr">
        <is>
          <t>9E</t>
        </is>
      </c>
      <c r="E118" s="8" t="inlineStr">
        <is>
          <t>part_x_balance_sheet.prepaid_expenses_eoy</t>
        </is>
      </c>
      <c r="F118" s="8" t="inlineStr">
        <is>
          <t>high</t>
        </is>
      </c>
      <c r="G118" s="9" t="n">
        <v>149025</v>
      </c>
    </row>
    <row r="119">
      <c r="A119" s="8" t="inlineStr">
        <is>
          <t>Balance sheet (detail)</t>
        </is>
      </c>
      <c r="B119" s="8" t="inlineStr">
        <is>
          <t>E11</t>
        </is>
      </c>
      <c r="C119" s="8" t="inlineStr">
        <is>
          <t>9. Prepaid expenses and deferred charges</t>
        </is>
      </c>
      <c r="D119" s="8" t="inlineStr">
        <is>
          <t>9E</t>
        </is>
      </c>
      <c r="E119" s="8" t="inlineStr">
        <is>
          <t>part_x_balance_sheet.prepaid_expenses_eoy</t>
        </is>
      </c>
      <c r="F119" s="8" t="inlineStr">
        <is>
          <t>high</t>
        </is>
      </c>
      <c r="G119" s="9" t="n">
        <v>403209</v>
      </c>
    </row>
    <row r="120">
      <c r="A120" s="8" t="inlineStr">
        <is>
          <t>Balance sheet (detail)</t>
        </is>
      </c>
      <c r="B120" s="8" t="inlineStr">
        <is>
          <t>F11</t>
        </is>
      </c>
      <c r="C120" s="8" t="inlineStr">
        <is>
          <t>9. Prepaid expenses and deferred charges</t>
        </is>
      </c>
      <c r="D120" s="8" t="inlineStr">
        <is>
          <t>9E</t>
        </is>
      </c>
      <c r="E120" s="8" t="inlineStr">
        <is>
          <t>part_x_balance_sheet.prepaid_expenses_eoy</t>
        </is>
      </c>
      <c r="F120" s="8" t="inlineStr">
        <is>
          <t>high</t>
        </is>
      </c>
      <c r="G120" s="9" t="n">
        <v>202034</v>
      </c>
    </row>
    <row r="121">
      <c r="A121" s="8" t="inlineStr">
        <is>
          <t>Balance sheet (detail)</t>
        </is>
      </c>
      <c r="B121" s="8" t="inlineStr">
        <is>
          <t>B12</t>
        </is>
      </c>
      <c r="C121" s="8" t="inlineStr">
        <is>
          <t>10c. Land, buildings, and equipment, net</t>
        </is>
      </c>
      <c r="D121" s="8" t="inlineStr">
        <is>
          <t>10cE</t>
        </is>
      </c>
      <c r="E121" s="8" t="inlineStr">
        <is>
          <t>part_x_balance_sheet.land_bldg_equip_net_eoy</t>
        </is>
      </c>
      <c r="F121" s="8" t="inlineStr">
        <is>
          <t>high</t>
        </is>
      </c>
      <c r="G121" s="9" t="n">
        <v>9535687</v>
      </c>
    </row>
    <row r="122">
      <c r="A122" s="8" t="inlineStr">
        <is>
          <t>Balance sheet (detail)</t>
        </is>
      </c>
      <c r="B122" s="8" t="inlineStr">
        <is>
          <t>C12</t>
        </is>
      </c>
      <c r="C122" s="8" t="inlineStr">
        <is>
          <t>10c. Land, buildings, and equipment, net</t>
        </is>
      </c>
      <c r="D122" s="8" t="inlineStr">
        <is>
          <t>10cE</t>
        </is>
      </c>
      <c r="E122" s="8" t="inlineStr">
        <is>
          <t>part_x_balance_sheet.land_bldg_equip_net_eoy</t>
        </is>
      </c>
      <c r="F122" s="8" t="inlineStr">
        <is>
          <t>high</t>
        </is>
      </c>
      <c r="G122" s="9" t="n">
        <v>9552199</v>
      </c>
    </row>
    <row r="123">
      <c r="A123" s="8" t="inlineStr">
        <is>
          <t>Balance sheet (detail)</t>
        </is>
      </c>
      <c r="B123" s="8" t="inlineStr">
        <is>
          <t>D12</t>
        </is>
      </c>
      <c r="C123" s="8" t="inlineStr">
        <is>
          <t>10c. Land, buildings, and equipment, net</t>
        </is>
      </c>
      <c r="D123" s="8" t="inlineStr">
        <is>
          <t>10cE</t>
        </is>
      </c>
      <c r="E123" s="8" t="inlineStr">
        <is>
          <t>part_x_balance_sheet.land_bldg_equip_net_eoy</t>
        </is>
      </c>
      <c r="F123" s="8" t="inlineStr">
        <is>
          <t>high</t>
        </is>
      </c>
      <c r="G123" s="9" t="n">
        <v>11072460</v>
      </c>
    </row>
    <row r="124">
      <c r="A124" s="8" t="inlineStr">
        <is>
          <t>Balance sheet (detail)</t>
        </is>
      </c>
      <c r="B124" s="8" t="inlineStr">
        <is>
          <t>E12</t>
        </is>
      </c>
      <c r="C124" s="8" t="inlineStr">
        <is>
          <t>10c. Land, buildings, and equipment, net</t>
        </is>
      </c>
      <c r="D124" s="8" t="inlineStr">
        <is>
          <t>10cE</t>
        </is>
      </c>
      <c r="E124" s="8" t="inlineStr">
        <is>
          <t>part_x_balance_sheet.land_bldg_equip_net_eoy</t>
        </is>
      </c>
      <c r="F124" s="8" t="inlineStr">
        <is>
          <t>high</t>
        </is>
      </c>
      <c r="G124" s="9" t="n">
        <v>11066478</v>
      </c>
    </row>
    <row r="125">
      <c r="A125" s="8" t="inlineStr">
        <is>
          <t>Balance sheet (detail)</t>
        </is>
      </c>
      <c r="B125" s="8" t="inlineStr">
        <is>
          <t>F12</t>
        </is>
      </c>
      <c r="C125" s="8" t="inlineStr">
        <is>
          <t>10c. Land, buildings, and equipment, net</t>
        </is>
      </c>
      <c r="D125" s="8" t="inlineStr">
        <is>
          <t>10cE</t>
        </is>
      </c>
      <c r="E125" s="8" t="inlineStr">
        <is>
          <t>part_x_balance_sheet.land_bldg_equip_net_eoy</t>
        </is>
      </c>
      <c r="F125" s="8" t="inlineStr">
        <is>
          <t>high</t>
        </is>
      </c>
      <c r="G125" s="9" t="n">
        <v>17538791</v>
      </c>
    </row>
    <row r="126">
      <c r="A126" s="8" t="inlineStr">
        <is>
          <t>Balance sheet (detail)</t>
        </is>
      </c>
      <c r="B126" s="8" t="inlineStr">
        <is>
          <t>F13</t>
        </is>
      </c>
      <c r="C126" s="8" t="inlineStr">
        <is>
          <t>11. Investments - publicly traded securities</t>
        </is>
      </c>
      <c r="D126" s="8" t="inlineStr">
        <is>
          <t>11E</t>
        </is>
      </c>
      <c r="E126" s="8" t="inlineStr">
        <is>
          <t>part_x_balance_sheet.investments_public_securities_eoy</t>
        </is>
      </c>
      <c r="F126" s="8" t="inlineStr">
        <is>
          <t>high</t>
        </is>
      </c>
      <c r="G126" s="9" t="n">
        <v>1500000</v>
      </c>
    </row>
    <row r="127">
      <c r="A127" s="8" t="inlineStr">
        <is>
          <t>Balance sheet (detail)</t>
        </is>
      </c>
      <c r="B127" s="8" t="inlineStr">
        <is>
          <t>B14</t>
        </is>
      </c>
      <c r="C127" s="8" t="inlineStr">
        <is>
          <t>15. Other assets</t>
        </is>
      </c>
      <c r="D127" s="8" t="inlineStr">
        <is>
          <t>15E</t>
        </is>
      </c>
      <c r="E127" s="8" t="inlineStr">
        <is>
          <t>part_x_balance_sheet.other_assets_eoy</t>
        </is>
      </c>
      <c r="F127" s="8" t="inlineStr">
        <is>
          <t>high</t>
        </is>
      </c>
      <c r="G127" s="9" t="n">
        <v>100000</v>
      </c>
    </row>
    <row r="128">
      <c r="A128" s="8" t="inlineStr">
        <is>
          <t>Balance sheet (detail)</t>
        </is>
      </c>
      <c r="B128" s="8" t="inlineStr">
        <is>
          <t>C14</t>
        </is>
      </c>
      <c r="C128" s="8" t="inlineStr">
        <is>
          <t>15. Other assets</t>
        </is>
      </c>
      <c r="D128" s="8" t="inlineStr">
        <is>
          <t>15E</t>
        </is>
      </c>
      <c r="E128" s="8" t="inlineStr">
        <is>
          <t>part_x_balance_sheet.other_assets_eoy</t>
        </is>
      </c>
      <c r="F128" s="8" t="inlineStr">
        <is>
          <t>high</t>
        </is>
      </c>
      <c r="G128" s="9" t="n">
        <v>100000</v>
      </c>
    </row>
    <row r="129">
      <c r="A129" s="8" t="inlineStr">
        <is>
          <t>Balance sheet (detail)</t>
        </is>
      </c>
      <c r="B129" s="8" t="inlineStr">
        <is>
          <t>D14</t>
        </is>
      </c>
      <c r="C129" s="8" t="inlineStr">
        <is>
          <t>15. Other assets</t>
        </is>
      </c>
      <c r="D129" s="8" t="inlineStr">
        <is>
          <t>15E</t>
        </is>
      </c>
      <c r="E129" s="8" t="inlineStr">
        <is>
          <t>part_x_balance_sheet.other_assets_eoy</t>
        </is>
      </c>
      <c r="F129" s="8" t="inlineStr">
        <is>
          <t>high</t>
        </is>
      </c>
      <c r="G129" s="9" t="n">
        <v>100000</v>
      </c>
    </row>
    <row r="130">
      <c r="A130" s="8" t="inlineStr">
        <is>
          <t>Balance sheet (detail)</t>
        </is>
      </c>
      <c r="B130" s="8" t="inlineStr">
        <is>
          <t>E14</t>
        </is>
      </c>
      <c r="C130" s="8" t="inlineStr">
        <is>
          <t>15. Other assets</t>
        </is>
      </c>
      <c r="D130" s="8" t="inlineStr">
        <is>
          <t>15E</t>
        </is>
      </c>
      <c r="E130" s="8" t="inlineStr">
        <is>
          <t>part_x_balance_sheet.other_assets_eoy</t>
        </is>
      </c>
      <c r="F130" s="8" t="inlineStr">
        <is>
          <t>high</t>
        </is>
      </c>
      <c r="G130" s="9" t="n">
        <v>100000</v>
      </c>
    </row>
    <row r="131">
      <c r="A131" s="8" t="inlineStr">
        <is>
          <t>Balance sheet (detail)</t>
        </is>
      </c>
      <c r="B131" s="8" t="inlineStr">
        <is>
          <t>F14</t>
        </is>
      </c>
      <c r="C131" s="8" t="inlineStr">
        <is>
          <t>15. Other assets</t>
        </is>
      </c>
      <c r="D131" s="8" t="inlineStr">
        <is>
          <t>15E</t>
        </is>
      </c>
      <c r="E131" s="8" t="inlineStr">
        <is>
          <t>part_x_balance_sheet.other_assets_eoy</t>
        </is>
      </c>
      <c r="F131" s="8" t="inlineStr">
        <is>
          <t>high</t>
        </is>
      </c>
      <c r="G131" s="9" t="n">
        <v>100000</v>
      </c>
    </row>
    <row r="132">
      <c r="A132" s="8" t="inlineStr">
        <is>
          <t>Balance sheet (detail)</t>
        </is>
      </c>
      <c r="B132" s="8" t="inlineStr">
        <is>
          <t>B18</t>
        </is>
      </c>
      <c r="C132" s="8" t="inlineStr">
        <is>
          <t>17. Accounts payable and accrued expenses</t>
        </is>
      </c>
      <c r="D132" s="8" t="inlineStr">
        <is>
          <t>17E</t>
        </is>
      </c>
      <c r="E132" s="8" t="inlineStr">
        <is>
          <t>part_x_balance_sheet.accounts_payable_eoy</t>
        </is>
      </c>
      <c r="F132" s="8" t="inlineStr">
        <is>
          <t>high</t>
        </is>
      </c>
      <c r="G132" s="9" t="n">
        <v>88747</v>
      </c>
    </row>
    <row r="133">
      <c r="A133" s="8" t="inlineStr">
        <is>
          <t>Balance sheet (detail)</t>
        </is>
      </c>
      <c r="B133" s="8" t="inlineStr">
        <is>
          <t>C18</t>
        </is>
      </c>
      <c r="C133" s="8" t="inlineStr">
        <is>
          <t>17. Accounts payable and accrued expenses</t>
        </is>
      </c>
      <c r="D133" s="8" t="inlineStr">
        <is>
          <t>17E</t>
        </is>
      </c>
      <c r="E133" s="8" t="inlineStr">
        <is>
          <t>part_x_balance_sheet.accounts_payable_eoy</t>
        </is>
      </c>
      <c r="F133" s="8" t="inlineStr">
        <is>
          <t>high</t>
        </is>
      </c>
      <c r="G133" s="9" t="n">
        <v>157394</v>
      </c>
    </row>
    <row r="134">
      <c r="A134" s="8" t="inlineStr">
        <is>
          <t>Balance sheet (detail)</t>
        </is>
      </c>
      <c r="B134" s="8" t="inlineStr">
        <is>
          <t>D18</t>
        </is>
      </c>
      <c r="C134" s="8" t="inlineStr">
        <is>
          <t>17. Accounts payable and accrued expenses</t>
        </is>
      </c>
      <c r="D134" s="8" t="inlineStr">
        <is>
          <t>17E</t>
        </is>
      </c>
      <c r="E134" s="8" t="inlineStr">
        <is>
          <t>part_x_balance_sheet.accounts_payable_eoy</t>
        </is>
      </c>
      <c r="F134" s="8" t="inlineStr">
        <is>
          <t>high</t>
        </is>
      </c>
      <c r="G134" s="9" t="n">
        <v>403642</v>
      </c>
    </row>
    <row r="135">
      <c r="A135" s="8" t="inlineStr">
        <is>
          <t>Balance sheet (detail)</t>
        </is>
      </c>
      <c r="B135" s="8" t="inlineStr">
        <is>
          <t>E18</t>
        </is>
      </c>
      <c r="C135" s="8" t="inlineStr">
        <is>
          <t>17. Accounts payable and accrued expenses</t>
        </is>
      </c>
      <c r="D135" s="8" t="inlineStr">
        <is>
          <t>17E</t>
        </is>
      </c>
      <c r="E135" s="8" t="inlineStr">
        <is>
          <t>part_x_balance_sheet.accounts_payable_eoy</t>
        </is>
      </c>
      <c r="F135" s="8" t="inlineStr">
        <is>
          <t>high</t>
        </is>
      </c>
      <c r="G135" s="9" t="n">
        <v>668337</v>
      </c>
    </row>
    <row r="136">
      <c r="A136" s="8" t="inlineStr">
        <is>
          <t>Balance sheet (detail)</t>
        </is>
      </c>
      <c r="B136" s="8" t="inlineStr">
        <is>
          <t>F18</t>
        </is>
      </c>
      <c r="C136" s="8" t="inlineStr">
        <is>
          <t>17. Accounts payable and accrued expenses</t>
        </is>
      </c>
      <c r="D136" s="8" t="inlineStr">
        <is>
          <t>17E</t>
        </is>
      </c>
      <c r="E136" s="8" t="inlineStr">
        <is>
          <t>part_x_balance_sheet.accounts_payable_eoy</t>
        </is>
      </c>
      <c r="F136" s="8" t="inlineStr">
        <is>
          <t>high</t>
        </is>
      </c>
      <c r="G136" s="9" t="n">
        <v>300750</v>
      </c>
    </row>
    <row r="137">
      <c r="A137" s="8" t="inlineStr">
        <is>
          <t>Balance sheet (detail)</t>
        </is>
      </c>
      <c r="B137" s="8" t="inlineStr">
        <is>
          <t>B22</t>
        </is>
      </c>
      <c r="C137" s="8" t="inlineStr">
        <is>
          <t>29. Capital stock or trust principal</t>
        </is>
      </c>
      <c r="D137" s="8" t="inlineStr">
        <is>
          <t>29E</t>
        </is>
      </c>
      <c r="E137" s="8" t="inlineStr">
        <is>
          <t>part_x_balance_sheet.cap_stock_eoy</t>
        </is>
      </c>
      <c r="F137" s="8" t="inlineStr">
        <is>
          <t>high</t>
        </is>
      </c>
      <c r="G137" s="9" t="n">
        <v>923550</v>
      </c>
    </row>
    <row r="138">
      <c r="A138" s="8" t="inlineStr">
        <is>
          <t>Balance sheet (detail)</t>
        </is>
      </c>
      <c r="B138" s="8" t="inlineStr">
        <is>
          <t>C22</t>
        </is>
      </c>
      <c r="C138" s="8" t="inlineStr">
        <is>
          <t>29. Capital stock or trust principal</t>
        </is>
      </c>
      <c r="D138" s="8" t="inlineStr">
        <is>
          <t>29E</t>
        </is>
      </c>
      <c r="E138" s="8" t="inlineStr">
        <is>
          <t>part_x_balance_sheet.cap_stock_eoy</t>
        </is>
      </c>
      <c r="F138" s="8" t="inlineStr">
        <is>
          <t>high</t>
        </is>
      </c>
      <c r="G138" s="9" t="n">
        <v>940050</v>
      </c>
    </row>
    <row r="139">
      <c r="A139" s="8" t="inlineStr">
        <is>
          <t>Balance sheet (detail)</t>
        </is>
      </c>
      <c r="B139" s="8" t="inlineStr">
        <is>
          <t>D22</t>
        </is>
      </c>
      <c r="C139" s="8" t="inlineStr">
        <is>
          <t>29. Capital stock or trust principal</t>
        </is>
      </c>
      <c r="D139" s="8" t="inlineStr">
        <is>
          <t>29E</t>
        </is>
      </c>
      <c r="E139" s="8" t="inlineStr">
        <is>
          <t>part_x_balance_sheet.cap_stock_eoy</t>
        </is>
      </c>
      <c r="F139" s="8" t="inlineStr">
        <is>
          <t>high</t>
        </is>
      </c>
      <c r="G139" s="9" t="n">
        <v>1008200</v>
      </c>
    </row>
    <row r="140">
      <c r="A140" s="8" t="inlineStr">
        <is>
          <t>Balance sheet (detail)</t>
        </is>
      </c>
      <c r="B140" s="8" t="inlineStr">
        <is>
          <t>E22</t>
        </is>
      </c>
      <c r="C140" s="8" t="inlineStr">
        <is>
          <t>29. Capital stock or trust principal</t>
        </is>
      </c>
      <c r="D140" s="8" t="inlineStr">
        <is>
          <t>29E</t>
        </is>
      </c>
      <c r="E140" s="8" t="inlineStr">
        <is>
          <t>part_x_balance_sheet.cap_stock_eoy</t>
        </is>
      </c>
      <c r="F140" s="8" t="inlineStr">
        <is>
          <t>high</t>
        </is>
      </c>
      <c r="G140" s="9" t="n">
        <v>1051700</v>
      </c>
    </row>
    <row r="141">
      <c r="A141" s="8" t="inlineStr">
        <is>
          <t>Balance sheet (detail)</t>
        </is>
      </c>
      <c r="B141" s="8" t="inlineStr">
        <is>
          <t>F22</t>
        </is>
      </c>
      <c r="C141" s="8" t="inlineStr">
        <is>
          <t>29. Capital stock or trust principal</t>
        </is>
      </c>
      <c r="D141" s="8" t="inlineStr">
        <is>
          <t>29E</t>
        </is>
      </c>
      <c r="E141" s="8" t="inlineStr">
        <is>
          <t>part_x_balance_sheet.cap_stock_eoy</t>
        </is>
      </c>
      <c r="F141" s="8" t="inlineStr">
        <is>
          <t>high</t>
        </is>
      </c>
      <c r="G141" s="9" t="n">
        <v>1114700</v>
      </c>
    </row>
    <row r="142">
      <c r="A142" s="8" t="inlineStr">
        <is>
          <t>Balance sheet (detail)</t>
        </is>
      </c>
      <c r="B142" s="8" t="inlineStr">
        <is>
          <t>B23</t>
        </is>
      </c>
      <c r="C142" s="8" t="inlineStr">
        <is>
          <t>30. Paid-in or capital surplus</t>
        </is>
      </c>
      <c r="D142" s="8" t="inlineStr">
        <is>
          <t>30E</t>
        </is>
      </c>
      <c r="E142" s="8" t="inlineStr">
        <is>
          <t>part_x_balance_sheet.paid_in_capital_eoy</t>
        </is>
      </c>
      <c r="F142" s="8" t="inlineStr">
        <is>
          <t>high</t>
        </is>
      </c>
      <c r="G142" s="9" t="n">
        <v>2341845</v>
      </c>
    </row>
    <row r="143">
      <c r="A143" s="8" t="inlineStr">
        <is>
          <t>Balance sheet (detail)</t>
        </is>
      </c>
      <c r="B143" s="8" t="inlineStr">
        <is>
          <t>C23</t>
        </is>
      </c>
      <c r="C143" s="8" t="inlineStr">
        <is>
          <t>30. Paid-in or capital surplus</t>
        </is>
      </c>
      <c r="D143" s="8" t="inlineStr">
        <is>
          <t>30E</t>
        </is>
      </c>
      <c r="E143" s="8" t="inlineStr">
        <is>
          <t>part_x_balance_sheet.paid_in_capital_eoy</t>
        </is>
      </c>
      <c r="F143" s="8" t="inlineStr">
        <is>
          <t>high</t>
        </is>
      </c>
      <c r="G143" s="9" t="n">
        <v>2305856</v>
      </c>
    </row>
    <row r="144">
      <c r="A144" s="8" t="inlineStr">
        <is>
          <t>Balance sheet (detail)</t>
        </is>
      </c>
      <c r="B144" s="8" t="inlineStr">
        <is>
          <t>D23</t>
        </is>
      </c>
      <c r="C144" s="8" t="inlineStr">
        <is>
          <t>30. Paid-in or capital surplus</t>
        </is>
      </c>
      <c r="D144" s="8" t="inlineStr">
        <is>
          <t>30E</t>
        </is>
      </c>
      <c r="E144" s="8" t="inlineStr">
        <is>
          <t>part_x_balance_sheet.paid_in_capital_eoy</t>
        </is>
      </c>
      <c r="F144" s="8" t="inlineStr">
        <is>
          <t>high</t>
        </is>
      </c>
      <c r="G144" s="9" t="n">
        <v>3012989</v>
      </c>
    </row>
    <row r="145">
      <c r="A145" s="8" t="inlineStr">
        <is>
          <t>Balance sheet (detail)</t>
        </is>
      </c>
      <c r="B145" s="8" t="inlineStr">
        <is>
          <t>E23</t>
        </is>
      </c>
      <c r="C145" s="8" t="inlineStr">
        <is>
          <t>30. Paid-in or capital surplus</t>
        </is>
      </c>
      <c r="D145" s="8" t="inlineStr">
        <is>
          <t>30E</t>
        </is>
      </c>
      <c r="E145" s="8" t="inlineStr">
        <is>
          <t>part_x_balance_sheet.paid_in_capital_eoy</t>
        </is>
      </c>
      <c r="F145" s="8" t="inlineStr">
        <is>
          <t>high</t>
        </is>
      </c>
      <c r="G145" s="9" t="n">
        <v>3160981</v>
      </c>
    </row>
    <row r="146">
      <c r="A146" s="8" t="inlineStr">
        <is>
          <t>Balance sheet (detail)</t>
        </is>
      </c>
      <c r="B146" s="8" t="inlineStr">
        <is>
          <t>F23</t>
        </is>
      </c>
      <c r="C146" s="8" t="inlineStr">
        <is>
          <t>30. Paid-in or capital surplus</t>
        </is>
      </c>
      <c r="D146" s="8" t="inlineStr">
        <is>
          <t>30E</t>
        </is>
      </c>
      <c r="E146" s="8" t="inlineStr">
        <is>
          <t>part_x_balance_sheet.paid_in_capital_eoy</t>
        </is>
      </c>
      <c r="F146" s="8" t="inlineStr">
        <is>
          <t>high</t>
        </is>
      </c>
      <c r="G146" s="9" t="n">
        <v>8961446</v>
      </c>
    </row>
    <row r="147">
      <c r="A147" s="8" t="inlineStr">
        <is>
          <t>Balance sheet (detail)</t>
        </is>
      </c>
      <c r="B147" s="8" t="inlineStr">
        <is>
          <t>B24</t>
        </is>
      </c>
      <c r="C147" s="8" t="inlineStr">
        <is>
          <t>31. Retained earnings / accumulated funds</t>
        </is>
      </c>
      <c r="D147" s="8" t="inlineStr">
        <is>
          <t>31E</t>
        </is>
      </c>
      <c r="E147" s="8" t="inlineStr">
        <is>
          <t>part_x_balance_sheet.retained_earnings_eoy</t>
        </is>
      </c>
      <c r="F147" s="8" t="inlineStr">
        <is>
          <t>high</t>
        </is>
      </c>
      <c r="G147" s="9" t="n">
        <v>8343788</v>
      </c>
    </row>
    <row r="148">
      <c r="A148" s="8" t="inlineStr">
        <is>
          <t>Balance sheet (detail)</t>
        </is>
      </c>
      <c r="B148" s="8" t="inlineStr">
        <is>
          <t>C24</t>
        </is>
      </c>
      <c r="C148" s="8" t="inlineStr">
        <is>
          <t>31. Retained earnings / accumulated funds</t>
        </is>
      </c>
      <c r="D148" s="8" t="inlineStr">
        <is>
          <t>31E</t>
        </is>
      </c>
      <c r="E148" s="8" t="inlineStr">
        <is>
          <t>part_x_balance_sheet.retained_earnings_eoy</t>
        </is>
      </c>
      <c r="F148" s="8" t="inlineStr">
        <is>
          <t>high</t>
        </is>
      </c>
      <c r="G148" s="9" t="n">
        <v>8848271</v>
      </c>
    </row>
    <row r="149">
      <c r="A149" s="8" t="inlineStr">
        <is>
          <t>Balance sheet (detail)</t>
        </is>
      </c>
      <c r="B149" s="8" t="inlineStr">
        <is>
          <t>D24</t>
        </is>
      </c>
      <c r="C149" s="8" t="inlineStr">
        <is>
          <t>31. Retained earnings / accumulated funds</t>
        </is>
      </c>
      <c r="D149" s="8" t="inlineStr">
        <is>
          <t>31E</t>
        </is>
      </c>
      <c r="E149" s="8" t="inlineStr">
        <is>
          <t>part_x_balance_sheet.retained_earnings_eoy</t>
        </is>
      </c>
      <c r="F149" s="8" t="inlineStr">
        <is>
          <t>high</t>
        </is>
      </c>
      <c r="G149" s="9" t="n">
        <v>9566566</v>
      </c>
    </row>
    <row r="150">
      <c r="A150" s="8" t="inlineStr">
        <is>
          <t>Balance sheet (detail)</t>
        </is>
      </c>
      <c r="B150" s="8" t="inlineStr">
        <is>
          <t>E24</t>
        </is>
      </c>
      <c r="C150" s="8" t="inlineStr">
        <is>
          <t>31. Retained earnings / accumulated funds</t>
        </is>
      </c>
      <c r="D150" s="8" t="inlineStr">
        <is>
          <t>31E</t>
        </is>
      </c>
      <c r="E150" s="8" t="inlineStr">
        <is>
          <t>part_x_balance_sheet.retained_earnings_eoy</t>
        </is>
      </c>
      <c r="F150" s="8" t="inlineStr">
        <is>
          <t>high</t>
        </is>
      </c>
      <c r="G150" s="9" t="n">
        <v>9740417</v>
      </c>
    </row>
    <row r="151">
      <c r="A151" s="8" t="inlineStr">
        <is>
          <t>Balance sheet (detail)</t>
        </is>
      </c>
      <c r="B151" s="8" t="inlineStr">
        <is>
          <t>F24</t>
        </is>
      </c>
      <c r="C151" s="8" t="inlineStr">
        <is>
          <t>31. Retained earnings / accumulated funds</t>
        </is>
      </c>
      <c r="D151" s="8" t="inlineStr">
        <is>
          <t>31E</t>
        </is>
      </c>
      <c r="E151" s="8" t="inlineStr">
        <is>
          <t>part_x_balance_sheet.retained_earnings_eoy</t>
        </is>
      </c>
      <c r="F151" s="8" t="inlineStr">
        <is>
          <t>high</t>
        </is>
      </c>
      <c r="G151" s="9" t="n">
        <v>11398163</v>
      </c>
    </row>
    <row r="152">
      <c r="A152" s="8" t="inlineStr">
        <is>
          <t>Net-assets reconciliation</t>
        </is>
      </c>
      <c r="B152" s="8" t="inlineStr">
        <is>
          <t>B7</t>
        </is>
      </c>
      <c r="C152" s="8" t="inlineStr">
        <is>
          <t>4. Net assets, beginning of year</t>
        </is>
      </c>
      <c r="D152" s="8" t="inlineStr">
        <is>
          <t>Part XI line 4</t>
        </is>
      </c>
      <c r="E152" s="8" t="inlineStr">
        <is>
          <t>part_xi_reconciliation.net_assets_boy</t>
        </is>
      </c>
      <c r="F152" s="8" t="inlineStr">
        <is>
          <t>high</t>
        </is>
      </c>
      <c r="G152" s="9" t="n">
        <v>11270117</v>
      </c>
    </row>
    <row r="153">
      <c r="A153" s="8" t="inlineStr">
        <is>
          <t>Net-assets reconciliation</t>
        </is>
      </c>
      <c r="B153" s="8" t="inlineStr">
        <is>
          <t>C7</t>
        </is>
      </c>
      <c r="C153" s="8" t="inlineStr">
        <is>
          <t>4. Net assets, beginning of year</t>
        </is>
      </c>
      <c r="D153" s="8" t="inlineStr">
        <is>
          <t>Part XI line 4</t>
        </is>
      </c>
      <c r="E153" s="8" t="inlineStr">
        <is>
          <t>part_xi_reconciliation.net_assets_boy</t>
        </is>
      </c>
      <c r="F153" s="8" t="inlineStr">
        <is>
          <t>high</t>
        </is>
      </c>
      <c r="G153" s="9" t="n">
        <v>11609183</v>
      </c>
    </row>
    <row r="154">
      <c r="A154" s="8" t="inlineStr">
        <is>
          <t>Net-assets reconciliation</t>
        </is>
      </c>
      <c r="B154" s="8" t="inlineStr">
        <is>
          <t>D7</t>
        </is>
      </c>
      <c r="C154" s="8" t="inlineStr">
        <is>
          <t>4. Net assets, beginning of year</t>
        </is>
      </c>
      <c r="D154" s="8" t="inlineStr">
        <is>
          <t>Part XI line 4</t>
        </is>
      </c>
      <c r="E154" s="8" t="inlineStr">
        <is>
          <t>part_xi_reconciliation.net_assets_boy</t>
        </is>
      </c>
      <c r="F154" s="8" t="inlineStr">
        <is>
          <t>high</t>
        </is>
      </c>
      <c r="G154" s="9" t="n">
        <v>12094177</v>
      </c>
    </row>
    <row r="155">
      <c r="A155" s="8" t="inlineStr">
        <is>
          <t>Net-assets reconciliation</t>
        </is>
      </c>
      <c r="B155" s="8" t="inlineStr">
        <is>
          <t>E7</t>
        </is>
      </c>
      <c r="C155" s="8" t="inlineStr">
        <is>
          <t>4. Net assets, beginning of year</t>
        </is>
      </c>
      <c r="D155" s="8" t="inlineStr">
        <is>
          <t>Part XI line 4</t>
        </is>
      </c>
      <c r="E155" s="8" t="inlineStr">
        <is>
          <t>part_xi_reconciliation.net_assets_boy</t>
        </is>
      </c>
      <c r="F155" s="8" t="inlineStr">
        <is>
          <t>high</t>
        </is>
      </c>
      <c r="G155" s="9" t="n">
        <v>13587755</v>
      </c>
    </row>
    <row r="156">
      <c r="A156" s="8" t="inlineStr">
        <is>
          <t>Net-assets reconciliation</t>
        </is>
      </c>
      <c r="B156" s="8" t="inlineStr">
        <is>
          <t>F7</t>
        </is>
      </c>
      <c r="C156" s="8" t="inlineStr">
        <is>
          <t>4. Net assets, beginning of year</t>
        </is>
      </c>
      <c r="D156" s="8" t="inlineStr">
        <is>
          <t>Part XI line 4</t>
        </is>
      </c>
      <c r="E156" s="8" t="inlineStr">
        <is>
          <t>part_xi_reconciliation.net_assets_boy</t>
        </is>
      </c>
      <c r="F156" s="8" t="inlineStr">
        <is>
          <t>high</t>
        </is>
      </c>
      <c r="G156" s="9" t="n">
        <v>13953098</v>
      </c>
    </row>
    <row r="157">
      <c r="A157" s="8" t="inlineStr">
        <is>
          <t>Net-assets reconciliation</t>
        </is>
      </c>
      <c r="B157" s="8" t="inlineStr">
        <is>
          <t>B8</t>
        </is>
      </c>
      <c r="C157" s="8" t="inlineStr">
        <is>
          <t>3. Revenue less expenses</t>
        </is>
      </c>
      <c r="D157" s="8" t="inlineStr">
        <is>
          <t>Part XI line 3</t>
        </is>
      </c>
      <c r="E157" s="8" t="inlineStr">
        <is>
          <t>part_xi_reconciliation.reconciliation_revenue_expenses</t>
        </is>
      </c>
      <c r="F157" s="8" t="inlineStr">
        <is>
          <t>high</t>
        </is>
      </c>
      <c r="G157" s="9" t="n">
        <v>367655</v>
      </c>
    </row>
    <row r="158">
      <c r="A158" s="8" t="inlineStr">
        <is>
          <t>Net-assets reconciliation</t>
        </is>
      </c>
      <c r="B158" s="8" t="inlineStr">
        <is>
          <t>C8</t>
        </is>
      </c>
      <c r="C158" s="8" t="inlineStr">
        <is>
          <t>3. Revenue less expenses</t>
        </is>
      </c>
      <c r="D158" s="8" t="inlineStr">
        <is>
          <t>Part XI line 3</t>
        </is>
      </c>
      <c r="E158" s="8" t="inlineStr">
        <is>
          <t>part_xi_reconciliation.reconciliation_revenue_expenses</t>
        </is>
      </c>
      <c r="F158" s="8" t="inlineStr">
        <is>
          <t>high</t>
        </is>
      </c>
      <c r="G158" s="9" t="n">
        <v>504483</v>
      </c>
    </row>
    <row r="159">
      <c r="A159" s="8" t="inlineStr">
        <is>
          <t>Net-assets reconciliation</t>
        </is>
      </c>
      <c r="B159" s="8" t="inlineStr">
        <is>
          <t>D8</t>
        </is>
      </c>
      <c r="C159" s="8" t="inlineStr">
        <is>
          <t>3. Revenue less expenses</t>
        </is>
      </c>
      <c r="D159" s="8" t="inlineStr">
        <is>
          <t>Part XI line 3</t>
        </is>
      </c>
      <c r="E159" s="8" t="inlineStr">
        <is>
          <t>part_xi_reconciliation.reconciliation_revenue_expenses</t>
        </is>
      </c>
      <c r="F159" s="8" t="inlineStr">
        <is>
          <t>high</t>
        </is>
      </c>
      <c r="G159" s="9" t="n">
        <v>718295</v>
      </c>
    </row>
    <row r="160">
      <c r="A160" s="8" t="inlineStr">
        <is>
          <t>Net-assets reconciliation</t>
        </is>
      </c>
      <c r="B160" s="8" t="inlineStr">
        <is>
          <t>E8</t>
        </is>
      </c>
      <c r="C160" s="8" t="inlineStr">
        <is>
          <t>3. Revenue less expenses</t>
        </is>
      </c>
      <c r="D160" s="8" t="inlineStr">
        <is>
          <t>Part XI line 3</t>
        </is>
      </c>
      <c r="E160" s="8" t="inlineStr">
        <is>
          <t>part_xi_reconciliation.reconciliation_revenue_expenses</t>
        </is>
      </c>
      <c r="F160" s="8" t="inlineStr">
        <is>
          <t>high</t>
        </is>
      </c>
      <c r="G160" s="9" t="n">
        <v>173851</v>
      </c>
    </row>
    <row r="161">
      <c r="A161" s="8" t="inlineStr">
        <is>
          <t>Net-assets reconciliation</t>
        </is>
      </c>
      <c r="B161" s="8" t="inlineStr">
        <is>
          <t>F8</t>
        </is>
      </c>
      <c r="C161" s="8" t="inlineStr">
        <is>
          <t>3. Revenue less expenses</t>
        </is>
      </c>
      <c r="D161" s="8" t="inlineStr">
        <is>
          <t>Part XI line 3</t>
        </is>
      </c>
      <c r="E161" s="8" t="inlineStr">
        <is>
          <t>part_xi_reconciliation.reconciliation_revenue_expenses</t>
        </is>
      </c>
      <c r="F161" s="8" t="inlineStr">
        <is>
          <t>high</t>
        </is>
      </c>
      <c r="G161" s="9" t="n">
        <v>1657746</v>
      </c>
    </row>
    <row r="162">
      <c r="A162" s="8" t="inlineStr">
        <is>
          <t>Net-assets reconciliation</t>
        </is>
      </c>
      <c r="B162" s="8" t="inlineStr">
        <is>
          <t>B10</t>
        </is>
      </c>
      <c r="C162" s="8" t="inlineStr">
        <is>
          <t>9. Other changes in net assets</t>
        </is>
      </c>
      <c r="D162" s="8" t="inlineStr">
        <is>
          <t>Part XI line 9</t>
        </is>
      </c>
      <c r="E162" s="8" t="inlineStr">
        <is>
          <t>part_xi_reconciliation.other_changes_net_assets</t>
        </is>
      </c>
      <c r="F162" s="8" t="inlineStr">
        <is>
          <t>high</t>
        </is>
      </c>
      <c r="G162" s="9" t="n">
        <v>-28589</v>
      </c>
    </row>
    <row r="163">
      <c r="A163" s="8" t="inlineStr">
        <is>
          <t>Net-assets reconciliation</t>
        </is>
      </c>
      <c r="B163" s="8" t="inlineStr">
        <is>
          <t>C10</t>
        </is>
      </c>
      <c r="C163" s="8" t="inlineStr">
        <is>
          <t>9. Other changes in net assets</t>
        </is>
      </c>
      <c r="D163" s="8" t="inlineStr">
        <is>
          <t>Part XI line 9</t>
        </is>
      </c>
      <c r="E163" s="8" t="inlineStr">
        <is>
          <t>part_xi_reconciliation.other_changes_net_assets</t>
        </is>
      </c>
      <c r="F163" s="8" t="inlineStr">
        <is>
          <t>high</t>
        </is>
      </c>
      <c r="G163" s="9" t="n">
        <v>-19489</v>
      </c>
    </row>
    <row r="164">
      <c r="A164" s="8" t="inlineStr">
        <is>
          <t>Net-assets reconciliation</t>
        </is>
      </c>
      <c r="B164" s="8" t="inlineStr">
        <is>
          <t>D10</t>
        </is>
      </c>
      <c r="C164" s="8" t="inlineStr">
        <is>
          <t>9. Other changes in net assets</t>
        </is>
      </c>
      <c r="D164" s="8" t="inlineStr">
        <is>
          <t>Part XI line 9</t>
        </is>
      </c>
      <c r="E164" s="8" t="inlineStr">
        <is>
          <t>part_xi_reconciliation.other_changes_net_assets</t>
        </is>
      </c>
      <c r="F164" s="8" t="inlineStr">
        <is>
          <t>high</t>
        </is>
      </c>
      <c r="G164" s="9" t="n">
        <v>775283</v>
      </c>
    </row>
    <row r="165">
      <c r="A165" s="8" t="inlineStr">
        <is>
          <t>Net-assets reconciliation</t>
        </is>
      </c>
      <c r="B165" s="8" t="inlineStr">
        <is>
          <t>E10</t>
        </is>
      </c>
      <c r="C165" s="8" t="inlineStr">
        <is>
          <t>9. Other changes in net assets</t>
        </is>
      </c>
      <c r="D165" s="8" t="inlineStr">
        <is>
          <t>Part XI line 9</t>
        </is>
      </c>
      <c r="E165" s="8" t="inlineStr">
        <is>
          <t>part_xi_reconciliation.other_changes_net_assets</t>
        </is>
      </c>
      <c r="F165" s="8" t="inlineStr">
        <is>
          <t>high</t>
        </is>
      </c>
      <c r="G165" s="9" t="n">
        <v>191492</v>
      </c>
    </row>
    <row r="166">
      <c r="A166" s="8" t="inlineStr">
        <is>
          <t>Net-assets reconciliation</t>
        </is>
      </c>
      <c r="B166" s="8" t="inlineStr">
        <is>
          <t>F10</t>
        </is>
      </c>
      <c r="C166" s="8" t="inlineStr">
        <is>
          <t>9. Other changes in net assets</t>
        </is>
      </c>
      <c r="D166" s="8" t="inlineStr">
        <is>
          <t>Part XI line 9</t>
        </is>
      </c>
      <c r="E166" s="8" t="inlineStr">
        <is>
          <t>part_xi_reconciliation.other_changes_net_assets</t>
        </is>
      </c>
      <c r="F166" s="8" t="inlineStr">
        <is>
          <t>high</t>
        </is>
      </c>
      <c r="G166" s="9" t="n">
        <v>5863465</v>
      </c>
    </row>
    <row r="168">
      <c r="A168" s="46" t="inlineStr">
        <is>
          <t>C. Tie-out checks (filed vs computed; any nonzero variance is flagged red)</t>
        </is>
      </c>
      <c r="B168" s="7" t="n"/>
      <c r="C168" s="7" t="n"/>
      <c r="D168" s="7" t="n"/>
      <c r="E168" s="7" t="n"/>
      <c r="F168" s="7" t="n"/>
      <c r="G168" s="7" t="n"/>
      <c r="H168" s="7" t="n"/>
      <c r="I168" s="7" t="n"/>
      <c r="J168" s="7" t="n"/>
      <c r="K168" s="7" t="n"/>
    </row>
    <row r="169">
      <c r="A169" s="5" t="inlineStr">
        <is>
          <t>Tab</t>
        </is>
      </c>
      <c r="B169" s="5" t="inlineStr">
        <is>
          <t>Check</t>
        </is>
      </c>
      <c r="C169" s="5" t="inlineStr">
        <is>
          <t>Fiscal year</t>
        </is>
      </c>
      <c r="D169" s="5" t="inlineStr">
        <is>
          <t>Filed</t>
        </is>
      </c>
      <c r="E169" s="5" t="inlineStr">
        <is>
          <t>Computed</t>
        </is>
      </c>
      <c r="F169" s="5" t="inlineStr">
        <is>
          <t>Variance (computed - filed)</t>
        </is>
      </c>
    </row>
    <row r="170">
      <c r="A170" s="20" t="inlineStr">
        <is>
          <t>Revenue (detail)</t>
        </is>
      </c>
      <c r="B170" s="20" t="inlineStr">
        <is>
          <t>12. Total revenue</t>
        </is>
      </c>
      <c r="C170" s="20" t="inlineStr">
        <is>
          <t>FY2020</t>
        </is>
      </c>
      <c r="D170" s="9" t="n">
        <v>3047628</v>
      </c>
      <c r="E170" s="9">
        <f>'Revenue (detail)'!B13</f>
        <v/>
      </c>
      <c r="F170" s="9">
        <f>E170-D170</f>
        <v/>
      </c>
    </row>
    <row r="171">
      <c r="A171" s="20" t="inlineStr">
        <is>
          <t>Revenue (detail)</t>
        </is>
      </c>
      <c r="B171" s="20" t="inlineStr">
        <is>
          <t>12. Total revenue</t>
        </is>
      </c>
      <c r="C171" s="20" t="inlineStr">
        <is>
          <t>FY2021</t>
        </is>
      </c>
      <c r="D171" s="9" t="n">
        <v>3271155</v>
      </c>
      <c r="E171" s="9">
        <f>'Revenue (detail)'!C13</f>
        <v/>
      </c>
      <c r="F171" s="9">
        <f>E171-D171</f>
        <v/>
      </c>
    </row>
    <row r="172">
      <c r="A172" s="20" t="inlineStr">
        <is>
          <t>Revenue (detail)</t>
        </is>
      </c>
      <c r="B172" s="20" t="inlineStr">
        <is>
          <t>12. Total revenue</t>
        </is>
      </c>
      <c r="C172" s="20" t="inlineStr">
        <is>
          <t>FY2022</t>
        </is>
      </c>
      <c r="D172" s="9" t="n">
        <v>4337868</v>
      </c>
      <c r="E172" s="9">
        <f>'Revenue (detail)'!D13</f>
        <v/>
      </c>
      <c r="F172" s="9">
        <f>E172-D172</f>
        <v/>
      </c>
    </row>
    <row r="173">
      <c r="A173" s="20" t="inlineStr">
        <is>
          <t>Revenue (detail)</t>
        </is>
      </c>
      <c r="B173" s="20" t="inlineStr">
        <is>
          <t>12. Total revenue</t>
        </is>
      </c>
      <c r="C173" s="20" t="inlineStr">
        <is>
          <t>FY2023</t>
        </is>
      </c>
      <c r="D173" s="9" t="n">
        <v>3923449</v>
      </c>
      <c r="E173" s="9">
        <f>'Revenue (detail)'!E13</f>
        <v/>
      </c>
      <c r="F173" s="9">
        <f>E173-D173</f>
        <v/>
      </c>
    </row>
    <row r="174">
      <c r="A174" s="20" t="inlineStr">
        <is>
          <t>Revenue (detail)</t>
        </is>
      </c>
      <c r="B174" s="20" t="inlineStr">
        <is>
          <t>12. Total revenue</t>
        </is>
      </c>
      <c r="C174" s="20" t="inlineStr">
        <is>
          <t>FY2024</t>
        </is>
      </c>
      <c r="D174" s="9" t="n">
        <v>5271327</v>
      </c>
      <c r="E174" s="9">
        <f>'Revenue (detail)'!F13</f>
        <v/>
      </c>
      <c r="F174" s="9">
        <f>E174-D174</f>
        <v/>
      </c>
    </row>
    <row r="175">
      <c r="A175" s="20" t="inlineStr">
        <is>
          <t>Revenue (detail)</t>
        </is>
      </c>
      <c r="B175" s="20" t="inlineStr">
        <is>
          <t>2g program service revenue = sum of lines 2a-2f (FY2024)</t>
        </is>
      </c>
      <c r="C175" s="20" t="inlineStr">
        <is>
          <t>FY2024</t>
        </is>
      </c>
      <c r="D175" s="9" t="n">
        <v>5210276</v>
      </c>
      <c r="E175" s="9">
        <f>SUM('Revenue (detail)'!C17:C18)</f>
        <v/>
      </c>
      <c r="F175" s="9">
        <f>E175-D175</f>
        <v/>
      </c>
    </row>
    <row r="176">
      <c r="A176" s="20" t="inlineStr">
        <is>
          <t>Operating expenses (detail)</t>
        </is>
      </c>
      <c r="B176" s="20" t="inlineStr">
        <is>
          <t>25. Total functional expenses</t>
        </is>
      </c>
      <c r="C176" s="20" t="inlineStr">
        <is>
          <t>FY2020</t>
        </is>
      </c>
      <c r="D176" s="9" t="n">
        <v>2679973</v>
      </c>
      <c r="E176" s="9">
        <f>'Operating expenses (detail)'!B23</f>
        <v/>
      </c>
      <c r="F176" s="9">
        <f>E176-D176</f>
        <v/>
      </c>
    </row>
    <row r="177">
      <c r="A177" s="20" t="inlineStr">
        <is>
          <t>Operating expenses (detail)</t>
        </is>
      </c>
      <c r="B177" s="20" t="inlineStr">
        <is>
          <t>25. Total functional expenses</t>
        </is>
      </c>
      <c r="C177" s="20" t="inlineStr">
        <is>
          <t>FY2021</t>
        </is>
      </c>
      <c r="D177" s="9" t="n">
        <v>2766672</v>
      </c>
      <c r="E177" s="9">
        <f>'Operating expenses (detail)'!C23</f>
        <v/>
      </c>
      <c r="F177" s="9">
        <f>E177-D177</f>
        <v/>
      </c>
    </row>
    <row r="178">
      <c r="A178" s="20" t="inlineStr">
        <is>
          <t>Operating expenses (detail)</t>
        </is>
      </c>
      <c r="B178" s="20" t="inlineStr">
        <is>
          <t>25. Total functional expenses</t>
        </is>
      </c>
      <c r="C178" s="20" t="inlineStr">
        <is>
          <t>FY2022</t>
        </is>
      </c>
      <c r="D178" s="9" t="n">
        <v>3619573</v>
      </c>
      <c r="E178" s="9">
        <f>'Operating expenses (detail)'!D23</f>
        <v/>
      </c>
      <c r="F178" s="9">
        <f>E178-D178</f>
        <v/>
      </c>
    </row>
    <row r="179">
      <c r="A179" s="20" t="inlineStr">
        <is>
          <t>Operating expenses (detail)</t>
        </is>
      </c>
      <c r="B179" s="20" t="inlineStr">
        <is>
          <t>25. Total functional expenses</t>
        </is>
      </c>
      <c r="C179" s="20" t="inlineStr">
        <is>
          <t>FY2023</t>
        </is>
      </c>
      <c r="D179" s="9" t="n">
        <v>3749598</v>
      </c>
      <c r="E179" s="9">
        <f>'Operating expenses (detail)'!E23</f>
        <v/>
      </c>
      <c r="F179" s="9">
        <f>E179-D179</f>
        <v/>
      </c>
    </row>
    <row r="180">
      <c r="A180" s="20" t="inlineStr">
        <is>
          <t>Operating expenses (detail)</t>
        </is>
      </c>
      <c r="B180" s="20" t="inlineStr">
        <is>
          <t>25. Total functional expenses</t>
        </is>
      </c>
      <c r="C180" s="20" t="inlineStr">
        <is>
          <t>FY2024</t>
        </is>
      </c>
      <c r="D180" s="9" t="n">
        <v>3613581</v>
      </c>
      <c r="E180" s="9">
        <f>'Operating expenses (detail)'!F23</f>
        <v/>
      </c>
      <c r="F180" s="9">
        <f>E180-D180</f>
        <v/>
      </c>
    </row>
    <row r="181">
      <c r="A181" s="20" t="inlineStr">
        <is>
          <t>Operating expenses (detail)</t>
        </is>
      </c>
      <c r="B181" s="20" t="inlineStr">
        <is>
          <t>Part IX column split: col A = B + C + D (FY2024)</t>
        </is>
      </c>
      <c r="C181" s="20" t="inlineStr">
        <is>
          <t>FY2024</t>
        </is>
      </c>
      <c r="D181" s="9">
        <f>'Operating expenses (detail)'!B37</f>
        <v/>
      </c>
      <c r="E181" s="9">
        <f>'Operating expenses (detail)'!C37+'Operating expenses (detail)'!D37+'Operating expenses (detail)'!E37</f>
        <v/>
      </c>
      <c r="F181" s="9">
        <f>E181-D181</f>
        <v/>
      </c>
    </row>
    <row r="182">
      <c r="A182" s="20" t="inlineStr">
        <is>
          <t>Balance sheet (detail)</t>
        </is>
      </c>
      <c r="B182" s="20" t="inlineStr">
        <is>
          <t>16. Total assets</t>
        </is>
      </c>
      <c r="C182" s="20" t="inlineStr">
        <is>
          <t>FY2020</t>
        </is>
      </c>
      <c r="D182" s="9" t="n">
        <v>11697930</v>
      </c>
      <c r="E182" s="9">
        <f>'Balance sheet (detail)'!B15</f>
        <v/>
      </c>
      <c r="F182" s="9">
        <f>E182-D182</f>
        <v/>
      </c>
    </row>
    <row r="183">
      <c r="A183" s="20" t="inlineStr">
        <is>
          <t>Balance sheet (detail)</t>
        </is>
      </c>
      <c r="B183" s="20" t="inlineStr">
        <is>
          <t>16. Total assets</t>
        </is>
      </c>
      <c r="C183" s="20" t="inlineStr">
        <is>
          <t>FY2021</t>
        </is>
      </c>
      <c r="D183" s="9" t="n">
        <v>12251571</v>
      </c>
      <c r="E183" s="9">
        <f>'Balance sheet (detail)'!C15</f>
        <v/>
      </c>
      <c r="F183" s="9">
        <f>E183-D183</f>
        <v/>
      </c>
    </row>
    <row r="184">
      <c r="A184" s="20" t="inlineStr">
        <is>
          <t>Balance sheet (detail)</t>
        </is>
      </c>
      <c r="B184" s="20" t="inlineStr">
        <is>
          <t>16. Total assets</t>
        </is>
      </c>
      <c r="C184" s="20" t="inlineStr">
        <is>
          <t>FY2022</t>
        </is>
      </c>
      <c r="D184" s="9" t="n">
        <v>13991397</v>
      </c>
      <c r="E184" s="9">
        <f>'Balance sheet (detail)'!D15</f>
        <v/>
      </c>
      <c r="F184" s="9">
        <f>E184-D184</f>
        <v/>
      </c>
    </row>
    <row r="185">
      <c r="A185" s="20" t="inlineStr">
        <is>
          <t>Balance sheet (detail)</t>
        </is>
      </c>
      <c r="B185" s="20" t="inlineStr">
        <is>
          <t>16. Total assets</t>
        </is>
      </c>
      <c r="C185" s="20" t="inlineStr">
        <is>
          <t>FY2023</t>
        </is>
      </c>
      <c r="D185" s="9" t="n">
        <v>14621435</v>
      </c>
      <c r="E185" s="9">
        <f>'Balance sheet (detail)'!E15</f>
        <v/>
      </c>
      <c r="F185" s="9">
        <f>E185-D185</f>
        <v/>
      </c>
    </row>
    <row r="186">
      <c r="A186" s="20" t="inlineStr">
        <is>
          <t>Balance sheet (detail)</t>
        </is>
      </c>
      <c r="B186" s="20" t="inlineStr">
        <is>
          <t>16. Total assets</t>
        </is>
      </c>
      <c r="C186" s="20" t="inlineStr">
        <is>
          <t>FY2024</t>
        </is>
      </c>
      <c r="D186" s="9" t="n">
        <v>21775059</v>
      </c>
      <c r="E186" s="9">
        <f>'Balance sheet (detail)'!F15</f>
        <v/>
      </c>
      <c r="F186" s="9">
        <f>E186-D186</f>
        <v/>
      </c>
    </row>
    <row r="187">
      <c r="A187" s="20" t="inlineStr">
        <is>
          <t>Balance sheet (detail)</t>
        </is>
      </c>
      <c r="B187" s="20" t="inlineStr">
        <is>
          <t>26. Total liabilities</t>
        </is>
      </c>
      <c r="C187" s="20" t="inlineStr">
        <is>
          <t>FY2020</t>
        </is>
      </c>
      <c r="D187" s="9" t="n">
        <v>88747</v>
      </c>
      <c r="E187" s="9">
        <f>'Balance sheet (detail)'!B19</f>
        <v/>
      </c>
      <c r="F187" s="9">
        <f>E187-D187</f>
        <v/>
      </c>
    </row>
    <row r="188">
      <c r="A188" s="20" t="inlineStr">
        <is>
          <t>Balance sheet (detail)</t>
        </is>
      </c>
      <c r="B188" s="20" t="inlineStr">
        <is>
          <t>26. Total liabilities</t>
        </is>
      </c>
      <c r="C188" s="20" t="inlineStr">
        <is>
          <t>FY2021</t>
        </is>
      </c>
      <c r="D188" s="9" t="n">
        <v>157394</v>
      </c>
      <c r="E188" s="9">
        <f>'Balance sheet (detail)'!C19</f>
        <v/>
      </c>
      <c r="F188" s="9">
        <f>E188-D188</f>
        <v/>
      </c>
    </row>
    <row r="189">
      <c r="A189" s="20" t="inlineStr">
        <is>
          <t>Balance sheet (detail)</t>
        </is>
      </c>
      <c r="B189" s="20" t="inlineStr">
        <is>
          <t>26. Total liabilities</t>
        </is>
      </c>
      <c r="C189" s="20" t="inlineStr">
        <is>
          <t>FY2022</t>
        </is>
      </c>
      <c r="D189" s="9" t="n">
        <v>403642</v>
      </c>
      <c r="E189" s="9">
        <f>'Balance sheet (detail)'!D19</f>
        <v/>
      </c>
      <c r="F189" s="9">
        <f>E189-D189</f>
        <v/>
      </c>
    </row>
    <row r="190">
      <c r="A190" s="20" t="inlineStr">
        <is>
          <t>Balance sheet (detail)</t>
        </is>
      </c>
      <c r="B190" s="20" t="inlineStr">
        <is>
          <t>26. Total liabilities</t>
        </is>
      </c>
      <c r="C190" s="20" t="inlineStr">
        <is>
          <t>FY2023</t>
        </is>
      </c>
      <c r="D190" s="9" t="n">
        <v>668337</v>
      </c>
      <c r="E190" s="9">
        <f>'Balance sheet (detail)'!E19</f>
        <v/>
      </c>
      <c r="F190" s="9">
        <f>E190-D190</f>
        <v/>
      </c>
    </row>
    <row r="191">
      <c r="A191" s="20" t="inlineStr">
        <is>
          <t>Balance sheet (detail)</t>
        </is>
      </c>
      <c r="B191" s="20" t="inlineStr">
        <is>
          <t>26. Total liabilities</t>
        </is>
      </c>
      <c r="C191" s="20" t="inlineStr">
        <is>
          <t>FY2024</t>
        </is>
      </c>
      <c r="D191" s="9" t="n">
        <v>300750</v>
      </c>
      <c r="E191" s="9">
        <f>'Balance sheet (detail)'!F19</f>
        <v/>
      </c>
      <c r="F191" s="9">
        <f>E191-D191</f>
        <v/>
      </c>
    </row>
    <row r="192">
      <c r="A192" s="20" t="inlineStr">
        <is>
          <t>Balance sheet (detail)</t>
        </is>
      </c>
      <c r="B192" s="20" t="inlineStr">
        <is>
          <t>32. Total net assets / fund balances</t>
        </is>
      </c>
      <c r="C192" s="20" t="inlineStr">
        <is>
          <t>FY2020</t>
        </is>
      </c>
      <c r="D192" s="9" t="n">
        <v>11609183</v>
      </c>
      <c r="E192" s="9">
        <f>'Balance sheet (detail)'!B25</f>
        <v/>
      </c>
      <c r="F192" s="9">
        <f>E192-D192</f>
        <v/>
      </c>
    </row>
    <row r="193">
      <c r="A193" s="20" t="inlineStr">
        <is>
          <t>Balance sheet (detail)</t>
        </is>
      </c>
      <c r="B193" s="20" t="inlineStr">
        <is>
          <t>32. Total net assets / fund balances</t>
        </is>
      </c>
      <c r="C193" s="20" t="inlineStr">
        <is>
          <t>FY2021</t>
        </is>
      </c>
      <c r="D193" s="9" t="n">
        <v>12094177</v>
      </c>
      <c r="E193" s="9">
        <f>'Balance sheet (detail)'!C25</f>
        <v/>
      </c>
      <c r="F193" s="9">
        <f>E193-D193</f>
        <v/>
      </c>
    </row>
    <row r="194">
      <c r="A194" s="20" t="inlineStr">
        <is>
          <t>Balance sheet (detail)</t>
        </is>
      </c>
      <c r="B194" s="20" t="inlineStr">
        <is>
          <t>32. Total net assets / fund balances</t>
        </is>
      </c>
      <c r="C194" s="20" t="inlineStr">
        <is>
          <t>FY2022</t>
        </is>
      </c>
      <c r="D194" s="9" t="n">
        <v>13587755</v>
      </c>
      <c r="E194" s="9">
        <f>'Balance sheet (detail)'!D25</f>
        <v/>
      </c>
      <c r="F194" s="9">
        <f>E194-D194</f>
        <v/>
      </c>
    </row>
    <row r="195">
      <c r="A195" s="20" t="inlineStr">
        <is>
          <t>Balance sheet (detail)</t>
        </is>
      </c>
      <c r="B195" s="20" t="inlineStr">
        <is>
          <t>32. Total net assets / fund balances</t>
        </is>
      </c>
      <c r="C195" s="20" t="inlineStr">
        <is>
          <t>FY2023</t>
        </is>
      </c>
      <c r="D195" s="9" t="n">
        <v>13953098</v>
      </c>
      <c r="E195" s="9">
        <f>'Balance sheet (detail)'!E25</f>
        <v/>
      </c>
      <c r="F195" s="9">
        <f>E195-D195</f>
        <v/>
      </c>
    </row>
    <row r="196">
      <c r="A196" s="20" t="inlineStr">
        <is>
          <t>Balance sheet (detail)</t>
        </is>
      </c>
      <c r="B196" s="20" t="inlineStr">
        <is>
          <t>32. Total net assets / fund balances</t>
        </is>
      </c>
      <c r="C196" s="20" t="inlineStr">
        <is>
          <t>FY2024</t>
        </is>
      </c>
      <c r="D196" s="9" t="n">
        <v>21474309</v>
      </c>
      <c r="E196" s="9">
        <f>'Balance sheet (detail)'!F25</f>
        <v/>
      </c>
      <c r="F196" s="9">
        <f>E196-D196</f>
        <v/>
      </c>
    </row>
    <row r="197">
      <c r="A197" s="20" t="inlineStr">
        <is>
          <t>Balance sheet (detail)</t>
        </is>
      </c>
      <c r="B197" s="20" t="inlineStr">
        <is>
          <t>Balance sheet identity: line 16 = line 26 + line 32 (EOY)</t>
        </is>
      </c>
      <c r="C197" s="20" t="inlineStr">
        <is>
          <t>FY2020</t>
        </is>
      </c>
      <c r="D197" s="9">
        <f>'Balance sheet (detail)'!B15</f>
        <v/>
      </c>
      <c r="E197" s="9">
        <f>SUM('Balance sheet (detail)'!B19,'Balance sheet (detail)'!B25)</f>
        <v/>
      </c>
      <c r="F197" s="9">
        <f>E197-D197</f>
        <v/>
      </c>
    </row>
    <row r="198">
      <c r="A198" s="20" t="inlineStr">
        <is>
          <t>Balance sheet (detail)</t>
        </is>
      </c>
      <c r="B198" s="20" t="inlineStr">
        <is>
          <t>Balance sheet identity: line 16 = line 26 + line 32 (EOY)</t>
        </is>
      </c>
      <c r="C198" s="20" t="inlineStr">
        <is>
          <t>FY2021</t>
        </is>
      </c>
      <c r="D198" s="9">
        <f>'Balance sheet (detail)'!C15</f>
        <v/>
      </c>
      <c r="E198" s="9">
        <f>SUM('Balance sheet (detail)'!C19,'Balance sheet (detail)'!C25)</f>
        <v/>
      </c>
      <c r="F198" s="9">
        <f>E198-D198</f>
        <v/>
      </c>
    </row>
    <row r="199">
      <c r="A199" s="20" t="inlineStr">
        <is>
          <t>Balance sheet (detail)</t>
        </is>
      </c>
      <c r="B199" s="20" t="inlineStr">
        <is>
          <t>Balance sheet identity: line 16 = line 26 + line 32 (EOY)</t>
        </is>
      </c>
      <c r="C199" s="20" t="inlineStr">
        <is>
          <t>FY2022</t>
        </is>
      </c>
      <c r="D199" s="9">
        <f>'Balance sheet (detail)'!D15</f>
        <v/>
      </c>
      <c r="E199" s="9">
        <f>SUM('Balance sheet (detail)'!D19,'Balance sheet (detail)'!D25)</f>
        <v/>
      </c>
      <c r="F199" s="9">
        <f>E199-D199</f>
        <v/>
      </c>
    </row>
    <row r="200">
      <c r="A200" s="20" t="inlineStr">
        <is>
          <t>Balance sheet (detail)</t>
        </is>
      </c>
      <c r="B200" s="20" t="inlineStr">
        <is>
          <t>Balance sheet identity: line 16 = line 26 + line 32 (EOY)</t>
        </is>
      </c>
      <c r="C200" s="20" t="inlineStr">
        <is>
          <t>FY2023</t>
        </is>
      </c>
      <c r="D200" s="9">
        <f>'Balance sheet (detail)'!E15</f>
        <v/>
      </c>
      <c r="E200" s="9">
        <f>SUM('Balance sheet (detail)'!E19,'Balance sheet (detail)'!E25)</f>
        <v/>
      </c>
      <c r="F200" s="9">
        <f>E200-D200</f>
        <v/>
      </c>
    </row>
    <row r="201">
      <c r="A201" s="20" t="inlineStr">
        <is>
          <t>Balance sheet (detail)</t>
        </is>
      </c>
      <c r="B201" s="20" t="inlineStr">
        <is>
          <t>Balance sheet identity: line 16 = line 26 + line 32 (EOY)</t>
        </is>
      </c>
      <c r="C201" s="20" t="inlineStr">
        <is>
          <t>FY2024</t>
        </is>
      </c>
      <c r="D201" s="9">
        <f>'Balance sheet (detail)'!F15</f>
        <v/>
      </c>
      <c r="E201" s="9">
        <f>SUM('Balance sheet (detail)'!F19,'Balance sheet (detail)'!F25)</f>
        <v/>
      </c>
      <c r="F201" s="9">
        <f>E201-D201</f>
        <v/>
      </c>
    </row>
    <row r="202">
      <c r="A202" s="20" t="inlineStr">
        <is>
          <t>Net-assets reconciliation</t>
        </is>
      </c>
      <c r="B202" s="20" t="inlineStr">
        <is>
          <t>10. Net assets, end of year</t>
        </is>
      </c>
      <c r="C202" s="20" t="inlineStr">
        <is>
          <t>FY2020</t>
        </is>
      </c>
      <c r="D202" s="9" t="n">
        <v>11609183</v>
      </c>
      <c r="E202" s="9">
        <f>'Net-assets reconciliation'!B11</f>
        <v/>
      </c>
      <c r="F202" s="9">
        <f>E202-D202</f>
        <v/>
      </c>
    </row>
    <row r="203">
      <c r="A203" s="20" t="inlineStr">
        <is>
          <t>Net-assets reconciliation</t>
        </is>
      </c>
      <c r="B203" s="20" t="inlineStr">
        <is>
          <t>10. Net assets, end of year</t>
        </is>
      </c>
      <c r="C203" s="20" t="inlineStr">
        <is>
          <t>FY2021</t>
        </is>
      </c>
      <c r="D203" s="9" t="n">
        <v>12094177</v>
      </c>
      <c r="E203" s="9">
        <f>'Net-assets reconciliation'!C11</f>
        <v/>
      </c>
      <c r="F203" s="9">
        <f>E203-D203</f>
        <v/>
      </c>
    </row>
    <row r="204">
      <c r="A204" s="20" t="inlineStr">
        <is>
          <t>Net-assets reconciliation</t>
        </is>
      </c>
      <c r="B204" s="20" t="inlineStr">
        <is>
          <t>10. Net assets, end of year</t>
        </is>
      </c>
      <c r="C204" s="20" t="inlineStr">
        <is>
          <t>FY2022</t>
        </is>
      </c>
      <c r="D204" s="9" t="n">
        <v>13587755</v>
      </c>
      <c r="E204" s="9">
        <f>'Net-assets reconciliation'!D11</f>
        <v/>
      </c>
      <c r="F204" s="9">
        <f>E204-D204</f>
        <v/>
      </c>
    </row>
    <row r="205">
      <c r="A205" s="20" t="inlineStr">
        <is>
          <t>Net-assets reconciliation</t>
        </is>
      </c>
      <c r="B205" s="20" t="inlineStr">
        <is>
          <t>10. Net assets, end of year</t>
        </is>
      </c>
      <c r="C205" s="20" t="inlineStr">
        <is>
          <t>FY2023</t>
        </is>
      </c>
      <c r="D205" s="9" t="n">
        <v>13953098</v>
      </c>
      <c r="E205" s="9">
        <f>'Net-assets reconciliation'!E11</f>
        <v/>
      </c>
      <c r="F205" s="9">
        <f>E205-D205</f>
        <v/>
      </c>
    </row>
    <row r="206">
      <c r="A206" s="20" t="inlineStr">
        <is>
          <t>Net-assets reconciliation</t>
        </is>
      </c>
      <c r="B206" s="20" t="inlineStr">
        <is>
          <t>10. Net assets, end of year</t>
        </is>
      </c>
      <c r="C206" s="20" t="inlineStr">
        <is>
          <t>FY2024</t>
        </is>
      </c>
      <c r="D206" s="9" t="n">
        <v>21474309</v>
      </c>
      <c r="E206" s="9">
        <f>'Net-assets reconciliation'!F11</f>
        <v/>
      </c>
      <c r="F206" s="9">
        <f>E206-D206</f>
        <v/>
      </c>
    </row>
    <row r="208">
      <c r="A208" s="46" t="inlineStr">
        <is>
          <t>D. Preparer / auditor trail (one row per fiscal year, as filed)</t>
        </is>
      </c>
      <c r="B208" s="7" t="n"/>
      <c r="C208" s="7" t="n"/>
      <c r="D208" s="7" t="n"/>
      <c r="E208" s="7" t="n"/>
      <c r="F208" s="7" t="n"/>
      <c r="G208" s="7" t="n"/>
      <c r="H208" s="7" t="n"/>
      <c r="I208" s="7" t="n"/>
      <c r="J208" s="7" t="n"/>
      <c r="K208" s="7" t="n"/>
    </row>
    <row r="209">
      <c r="A209" s="5" t="inlineStr">
        <is>
          <t>Fiscal year</t>
        </is>
      </c>
      <c r="B209" s="5" t="inlineStr">
        <is>
          <t>Paid preparer</t>
        </is>
      </c>
      <c r="C209" s="5" t="inlineStr">
        <is>
          <t>Preparer firm</t>
        </is>
      </c>
      <c r="D209" s="5" t="inlineStr">
        <is>
          <t>Independent auditor</t>
        </is>
      </c>
      <c r="E209" s="5" t="inlineStr">
        <is>
          <t>Citation</t>
        </is>
      </c>
    </row>
    <row r="210" ht="42" customHeight="1">
      <c r="A210" s="47" t="inlineStr">
        <is>
          <t>FY2020</t>
        </is>
      </c>
      <c r="B210" s="8" t="inlineStr">
        <is>
          <t>G Scott Litel</t>
        </is>
      </c>
      <c r="C210" s="8" t="inlineStr">
        <is>
          <t>Skeen &amp; Co CPAs Inc</t>
        </is>
      </c>
      <c r="D210" s="50" t="inlineStr">
        <is>
          <t>not reported</t>
        </is>
      </c>
      <c r="E210" s="25" t="inlineStr">
        <is>
          <t>Form 990 Return Header, Paid Preparer block (return_header.preparer_person_name / preparer_firm_name); auditor: Part XII line 2 reports audited financial statements but does not name the firm.</t>
        </is>
      </c>
    </row>
    <row r="211" ht="42" customHeight="1">
      <c r="A211" s="47" t="inlineStr">
        <is>
          <t>FY2021</t>
        </is>
      </c>
      <c r="B211" s="8" t="inlineStr">
        <is>
          <t>G SCOTT LITEL</t>
        </is>
      </c>
      <c r="C211" s="8" t="inlineStr">
        <is>
          <t>SKEEN &amp; CO CPAS INC</t>
        </is>
      </c>
      <c r="D211" s="50" t="inlineStr">
        <is>
          <t>not reported</t>
        </is>
      </c>
      <c r="E211" s="25" t="inlineStr">
        <is>
          <t>Form 990 Return Header, Paid Preparer block (return_header.preparer_person_name / preparer_firm_name); auditor: Part XII line 2 reports audited financial statements but does not name the firm.</t>
        </is>
      </c>
    </row>
    <row r="212" ht="42" customHeight="1">
      <c r="A212" s="47" t="inlineStr">
        <is>
          <t>FY2022</t>
        </is>
      </c>
      <c r="B212" s="8" t="inlineStr">
        <is>
          <t>G SCOTT LITEL</t>
        </is>
      </c>
      <c r="C212" s="8" t="inlineStr">
        <is>
          <t>SKEEN &amp; CO CPAS</t>
        </is>
      </c>
      <c r="D212" s="50" t="inlineStr">
        <is>
          <t>not reported</t>
        </is>
      </c>
      <c r="E212" s="25" t="inlineStr">
        <is>
          <t>Form 990 Return Header, Paid Preparer block (return_header.preparer_person_name / preparer_firm_name); auditor: Part XII line 2 reports audited financial statements but does not name the firm.</t>
        </is>
      </c>
    </row>
    <row r="213" ht="42" customHeight="1">
      <c r="A213" s="47" t="inlineStr">
        <is>
          <t>FY2023</t>
        </is>
      </c>
      <c r="B213" s="8" t="inlineStr">
        <is>
          <t>G SCOTT LITEL</t>
        </is>
      </c>
      <c r="C213" s="8" t="inlineStr">
        <is>
          <t>SKEEN &amp; CO CPAS</t>
        </is>
      </c>
      <c r="D213" s="50" t="inlineStr">
        <is>
          <t>not reported</t>
        </is>
      </c>
      <c r="E213" s="25" t="inlineStr">
        <is>
          <t>Form 990 Return Header, Paid Preparer block (return_header.preparer_person_name / preparer_firm_name); auditor: Part XII line 2 reports audited financial statements but does not name the firm.</t>
        </is>
      </c>
    </row>
    <row r="214" ht="42" customHeight="1">
      <c r="A214" s="47" t="inlineStr">
        <is>
          <t>FY2024</t>
        </is>
      </c>
      <c r="B214" s="8" t="inlineStr">
        <is>
          <t>G SCOTT LITEL</t>
        </is>
      </c>
      <c r="C214" s="8" t="inlineStr">
        <is>
          <t>SKEEN &amp; CO CPAS</t>
        </is>
      </c>
      <c r="D214" s="50" t="inlineStr">
        <is>
          <t>not reported</t>
        </is>
      </c>
      <c r="E214" s="25" t="inlineStr">
        <is>
          <t>Form 990 Return Header, Paid Preparer block (return_header.preparer_person_name / preparer_firm_name); auditor: Part XII line 2 reports audited financial statements but does not name the firm.</t>
        </is>
      </c>
    </row>
    <row r="216" ht="42" customHeight="1">
      <c r="A21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216:K216"/>
    <mergeCell ref="A5:K5"/>
    <mergeCell ref="A1:K1"/>
  </mergeCells>
  <conditionalFormatting sqref="F170:F206">
    <cfRule type="cellIs" priority="1" operator="notEqual" dxfId="0">
      <formula>0</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