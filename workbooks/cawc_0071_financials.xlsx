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Chemeketa Park Mutual Water Company</t>
        </is>
      </c>
    </row>
    <row r="2">
      <c r="A2" s="2" t="inlineStr">
        <is>
          <t>Financial Summary - multi-year overview (USD)</t>
        </is>
      </c>
    </row>
    <row r="3">
      <c r="A3" s="2" t="inlineStr">
        <is>
          <t>Entity ID: cawc_0071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321456</v>
      </c>
      <c r="C10" s="9" t="n">
        <v>307035</v>
      </c>
      <c r="D10" s="9" t="n">
        <v>301676</v>
      </c>
      <c r="E10" s="9" t="n">
        <v>462408</v>
      </c>
      <c r="F10" s="9" t="n">
        <v>582808</v>
      </c>
    </row>
    <row r="11">
      <c r="A11" s="8" t="inlineStr">
        <is>
          <t xml:space="preserve">    Total expenses</t>
        </is>
      </c>
      <c r="B11" s="9" t="n">
        <v>256670</v>
      </c>
      <c r="C11" s="9" t="n">
        <v>304824</v>
      </c>
      <c r="D11" s="9" t="n">
        <v>296871</v>
      </c>
      <c r="E11" s="9" t="n">
        <v>415379</v>
      </c>
      <c r="F11" s="9" t="n">
        <v>352591</v>
      </c>
    </row>
    <row r="12">
      <c r="A12" s="10" t="inlineStr">
        <is>
          <t xml:space="preserve">    Net income</t>
        </is>
      </c>
      <c r="B12" s="11" t="n">
        <v>64786</v>
      </c>
      <c r="C12" s="11" t="n">
        <v>2211</v>
      </c>
      <c r="D12" s="11" t="n">
        <v>4805</v>
      </c>
      <c r="E12" s="11" t="n">
        <v>47029</v>
      </c>
      <c r="F12" s="11" t="n">
        <v>230217</v>
      </c>
    </row>
    <row r="14">
      <c r="A14" s="6" t="inlineStr">
        <is>
          <t>Financial position (USD, end of year)</t>
        </is>
      </c>
      <c r="B14" s="7" t="n"/>
      <c r="C14" s="7" t="n"/>
      <c r="D14" s="7" t="n"/>
      <c r="E14" s="7" t="n"/>
      <c r="F14" s="7" t="n"/>
    </row>
    <row r="15">
      <c r="A15" s="8" t="inlineStr">
        <is>
          <t xml:space="preserve">    Total assets</t>
        </is>
      </c>
      <c r="B15" s="9" t="n">
        <v>1418170</v>
      </c>
      <c r="C15" s="9" t="n">
        <v>1402529</v>
      </c>
      <c r="D15" s="9" t="n">
        <v>1425109</v>
      </c>
      <c r="E15" s="9" t="n">
        <v>1475205</v>
      </c>
      <c r="F15" s="9" t="n">
        <v>1682106</v>
      </c>
    </row>
    <row r="16">
      <c r="A16" s="8" t="inlineStr">
        <is>
          <t xml:space="preserve">    Total liabilities</t>
        </is>
      </c>
      <c r="B16" s="9" t="n">
        <v>22267</v>
      </c>
      <c r="C16" s="9" t="n">
        <v>4415</v>
      </c>
      <c r="D16" s="9" t="n">
        <v>22190</v>
      </c>
      <c r="E16" s="9" t="n">
        <v>25257</v>
      </c>
      <c r="F16" s="9" t="n">
        <v>1941</v>
      </c>
    </row>
    <row r="17">
      <c r="A17" s="10" t="inlineStr">
        <is>
          <t xml:space="preserve">    Net assets</t>
        </is>
      </c>
      <c r="B17" s="11" t="n">
        <v>1395903</v>
      </c>
      <c r="C17" s="11" t="n">
        <v>1398114</v>
      </c>
      <c r="D17" s="11" t="n">
        <v>1402919</v>
      </c>
      <c r="E17" s="11" t="n">
        <v>1449948</v>
      </c>
      <c r="F17" s="11" t="n">
        <v>1680165</v>
      </c>
    </row>
    <row r="19">
      <c r="A19" s="6" t="inlineStr">
        <is>
          <t>Headline ratios</t>
        </is>
      </c>
      <c r="B19" s="7" t="n"/>
      <c r="C19" s="7" t="n"/>
      <c r="D19" s="7" t="n"/>
      <c r="E19" s="7" t="n"/>
      <c r="F19" s="7" t="n"/>
    </row>
    <row r="20">
      <c r="A20" s="8" t="inlineStr">
        <is>
          <t xml:space="preserve">    Operating margin</t>
        </is>
      </c>
      <c r="B20" s="12" t="n">
        <v>0.2015392464287492</v>
      </c>
      <c r="C20" s="12" t="n">
        <v>0.007201133421271191</v>
      </c>
      <c r="D20" s="12" t="n">
        <v>0.01592768400535674</v>
      </c>
      <c r="E20" s="12" t="n">
        <v>0.1017045552845107</v>
      </c>
      <c r="F20" s="12" t="n">
        <v>0.39501345211459</v>
      </c>
    </row>
    <row r="21">
      <c r="A21" s="8" t="inlineStr">
        <is>
          <t xml:space="preserve">    Revenue growth (YoY)</t>
        </is>
      </c>
      <c r="B21" s="12" t="n">
        <v>-0.04263892570278134</v>
      </c>
      <c r="C21" s="12" t="n">
        <v>-0.0448615051515604</v>
      </c>
      <c r="D21" s="12" t="n">
        <v>-0.01745403618479978</v>
      </c>
      <c r="E21" s="12" t="n">
        <v>0.532796775348387</v>
      </c>
      <c r="F21" s="12" t="n">
        <v>0</v>
      </c>
    </row>
    <row r="22">
      <c r="A22" s="8" t="inlineStr">
        <is>
          <t xml:space="preserve">    Return on assets</t>
        </is>
      </c>
      <c r="B22" s="12" t="n">
        <v>0.04568281658757413</v>
      </c>
      <c r="C22" s="12" t="n">
        <v>0.001576437991656501</v>
      </c>
      <c r="D22" s="12" t="n">
        <v>0.003371671921235499</v>
      </c>
      <c r="E22" s="12" t="n">
        <v>0.03187963706739064</v>
      </c>
      <c r="F22" s="12" t="n">
        <v>0.1368623618249979</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Chemeketa Park Mutual Water Company</t>
        </is>
      </c>
    </row>
    <row r="2">
      <c r="A2" s="2" t="inlineStr">
        <is>
          <t>Financial Statements - income statement, balance sheet, cash flow, member income test (USD)</t>
        </is>
      </c>
    </row>
    <row r="3">
      <c r="A3" s="2" t="inlineStr">
        <is>
          <t>Entity ID: cawc_0071   |   Fiscal year ends April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321456</v>
      </c>
      <c r="C8" s="9" t="n">
        <v>307003</v>
      </c>
      <c r="D8" s="9" t="n">
        <v>300372</v>
      </c>
      <c r="E8" s="9" t="n">
        <v>459265</v>
      </c>
      <c r="F8" s="9" t="n">
        <v>582304</v>
      </c>
    </row>
    <row r="9">
      <c r="A9" s="8" t="inlineStr">
        <is>
          <t xml:space="preserve">    Investment income</t>
        </is>
      </c>
      <c r="B9" s="9" t="n"/>
      <c r="C9" s="9" t="n">
        <v>32</v>
      </c>
      <c r="D9" s="9" t="n">
        <v>1304</v>
      </c>
      <c r="E9" s="9" t="n">
        <v>3143</v>
      </c>
      <c r="F9" s="9" t="n">
        <v>504</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v>321456</v>
      </c>
      <c r="C14" s="11" t="n">
        <v>307035</v>
      </c>
      <c r="D14" s="11" t="n">
        <v>301676</v>
      </c>
      <c r="E14" s="11" t="n">
        <v>462408</v>
      </c>
      <c r="F14" s="11" t="n">
        <v>582808</v>
      </c>
    </row>
    <row r="16">
      <c r="A16" s="6" t="inlineStr">
        <is>
          <t>Expenses</t>
        </is>
      </c>
      <c r="B16" s="7" t="n"/>
      <c r="C16" s="7" t="n"/>
      <c r="D16" s="7" t="n"/>
      <c r="E16" s="7" t="n"/>
      <c r="F16" s="7" t="n"/>
    </row>
    <row r="17">
      <c r="A17" s="8" t="inlineStr">
        <is>
          <t xml:space="preserve">    Depreciation</t>
        </is>
      </c>
      <c r="B17" s="9" t="n">
        <v>56926</v>
      </c>
      <c r="C17" s="9" t="n">
        <v>59204</v>
      </c>
      <c r="D17" s="9" t="n">
        <v>70552</v>
      </c>
      <c r="E17" s="9" t="n">
        <v>69347</v>
      </c>
      <c r="F17" s="9" t="n">
        <v>68471</v>
      </c>
    </row>
    <row r="18">
      <c r="A18" s="8" t="inlineStr">
        <is>
          <t xml:space="preserve">    Interest expense</t>
        </is>
      </c>
      <c r="B18" s="9" t="n"/>
      <c r="C18" s="9" t="n"/>
      <c r="D18" s="9" t="n"/>
      <c r="E18" s="9" t="n"/>
      <c r="F18" s="9" t="n"/>
    </row>
    <row r="19">
      <c r="A19" s="10" t="inlineStr">
        <is>
          <t>Total expenses</t>
        </is>
      </c>
      <c r="B19" s="11" t="n">
        <v>256670</v>
      </c>
      <c r="C19" s="11" t="n">
        <v>304824</v>
      </c>
      <c r="D19" s="11" t="n">
        <v>296871</v>
      </c>
      <c r="E19" s="11" t="n">
        <v>415379</v>
      </c>
      <c r="F19" s="11" t="n">
        <v>352591</v>
      </c>
    </row>
    <row r="21">
      <c r="A21" s="10" t="inlineStr">
        <is>
          <t>Net income</t>
        </is>
      </c>
      <c r="B21" s="11" t="n">
        <v>64786</v>
      </c>
      <c r="C21" s="11" t="n">
        <v>2211</v>
      </c>
      <c r="D21" s="11" t="n">
        <v>4805</v>
      </c>
      <c r="E21" s="11" t="n">
        <v>47029</v>
      </c>
      <c r="F21" s="11" t="n">
        <v>230217</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334178</v>
      </c>
      <c r="C27" s="9" t="n">
        <v>339168</v>
      </c>
      <c r="D27" s="9" t="n">
        <v>60557</v>
      </c>
      <c r="E27" s="9" t="n">
        <v>169706</v>
      </c>
      <c r="F27" s="9" t="n">
        <v>565493</v>
      </c>
    </row>
    <row r="28">
      <c r="A28" s="8" t="inlineStr">
        <is>
          <t xml:space="preserve">    Savings &amp; temporary investments</t>
        </is>
      </c>
      <c r="B28" s="9" t="n"/>
      <c r="C28" s="9" t="n"/>
      <c r="D28" s="9" t="n">
        <v>351803</v>
      </c>
      <c r="E28" s="9" t="n">
        <v>331966</v>
      </c>
      <c r="F28" s="9" t="n"/>
    </row>
    <row r="29">
      <c r="A29" s="8" t="inlineStr">
        <is>
          <t xml:space="preserve">    Accounts receivable</t>
        </is>
      </c>
      <c r="B29" s="9" t="n"/>
      <c r="C29" s="9" t="n"/>
      <c r="D29" s="9" t="n"/>
      <c r="E29" s="9" t="n"/>
      <c r="F29" s="9" t="n">
        <v>21655</v>
      </c>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v>37133</v>
      </c>
    </row>
    <row r="32">
      <c r="A32" s="8" t="inlineStr">
        <is>
          <t xml:space="preserve">    Property, plant &amp; equipment (gross)</t>
        </is>
      </c>
      <c r="B32" s="9" t="n">
        <v>2003357</v>
      </c>
      <c r="C32" s="9" t="n">
        <v>2043588</v>
      </c>
      <c r="D32" s="9" t="n">
        <v>2123154</v>
      </c>
      <c r="E32" s="9" t="n">
        <v>2123154</v>
      </c>
      <c r="F32" s="9" t="n">
        <v>2344780</v>
      </c>
    </row>
    <row r="33">
      <c r="A33" s="8" t="inlineStr">
        <is>
          <t xml:space="preserve">    Less: accumulated depreciation</t>
        </is>
      </c>
      <c r="B33" s="9" t="n">
        <v>-1036188</v>
      </c>
      <c r="C33" s="9" t="n">
        <v>-1095392</v>
      </c>
      <c r="D33" s="9" t="n">
        <v>-1149137</v>
      </c>
      <c r="E33" s="9" t="n">
        <v>-1218484</v>
      </c>
      <c r="F33" s="9" t="n">
        <v>-1286955</v>
      </c>
    </row>
    <row r="34">
      <c r="A34" s="10" t="inlineStr">
        <is>
          <t xml:space="preserve">    Net property, plant &amp; equipment</t>
        </is>
      </c>
      <c r="B34" s="11" t="n">
        <v>967169</v>
      </c>
      <c r="C34" s="11" t="n">
        <v>948196</v>
      </c>
      <c r="D34" s="11" t="n">
        <v>974017</v>
      </c>
      <c r="E34" s="11" t="n">
        <v>904670</v>
      </c>
      <c r="F34" s="11" t="n">
        <v>1057825</v>
      </c>
    </row>
    <row r="35">
      <c r="A35" s="10" t="inlineStr">
        <is>
          <t>Total assets</t>
        </is>
      </c>
      <c r="B35" s="11" t="n">
        <v>1418170</v>
      </c>
      <c r="C35" s="11" t="n">
        <v>1402529</v>
      </c>
      <c r="D35" s="11" t="n">
        <v>1425109</v>
      </c>
      <c r="E35" s="11" t="n">
        <v>1475205</v>
      </c>
      <c r="F35" s="11" t="n">
        <v>1682106</v>
      </c>
    </row>
    <row r="37">
      <c r="A37" s="6" t="inlineStr">
        <is>
          <t>Liabilities</t>
        </is>
      </c>
      <c r="B37" s="7" t="n"/>
      <c r="C37" s="7" t="n"/>
      <c r="D37" s="7" t="n"/>
      <c r="E37" s="7" t="n"/>
      <c r="F37" s="7" t="n"/>
    </row>
    <row r="38">
      <c r="A38" s="8" t="inlineStr">
        <is>
          <t xml:space="preserve">    Accounts payable</t>
        </is>
      </c>
      <c r="B38" s="9" t="n">
        <v>22267</v>
      </c>
      <c r="C38" s="9" t="n">
        <v>4415</v>
      </c>
      <c r="D38" s="9" t="n">
        <v>9272</v>
      </c>
      <c r="E38" s="9" t="n">
        <v>25257</v>
      </c>
      <c r="F38" s="9" t="n">
        <v>1941</v>
      </c>
    </row>
    <row r="39">
      <c r="A39" s="8" t="inlineStr">
        <is>
          <t xml:space="preserve">    Mortgages &amp; notes payable</t>
        </is>
      </c>
      <c r="B39" s="9" t="n"/>
      <c r="C39" s="9" t="n"/>
      <c r="D39" s="9" t="n"/>
      <c r="E39" s="9" t="n"/>
      <c r="F39" s="9" t="n"/>
    </row>
    <row r="40">
      <c r="A40" s="10" t="inlineStr">
        <is>
          <t>Total liabilities</t>
        </is>
      </c>
      <c r="B40" s="11" t="n">
        <v>22267</v>
      </c>
      <c r="C40" s="11" t="n">
        <v>4415</v>
      </c>
      <c r="D40" s="11" t="n">
        <v>22190</v>
      </c>
      <c r="E40" s="11" t="n">
        <v>25257</v>
      </c>
      <c r="F40" s="11" t="n">
        <v>1941</v>
      </c>
    </row>
    <row r="42">
      <c r="A42" s="6" t="inlineStr">
        <is>
          <t>Net Assets / Equity</t>
        </is>
      </c>
      <c r="B42" s="7" t="n"/>
      <c r="C42" s="7" t="n"/>
      <c r="D42" s="7" t="n"/>
      <c r="E42" s="7" t="n"/>
      <c r="F42" s="7" t="n"/>
    </row>
    <row r="43">
      <c r="A43" s="8" t="inlineStr">
        <is>
          <t xml:space="preserve">    Capital stock</t>
        </is>
      </c>
      <c r="B43" s="9" t="n"/>
      <c r="C43" s="9" t="n"/>
      <c r="D43" s="9" t="n"/>
      <c r="E43" s="9" t="n"/>
      <c r="F43" s="9" t="n">
        <v>0</v>
      </c>
    </row>
    <row r="44">
      <c r="A44" s="8" t="inlineStr">
        <is>
          <t xml:space="preserve">    Paid-in capital</t>
        </is>
      </c>
      <c r="B44" s="9" t="n"/>
      <c r="C44" s="9" t="n"/>
      <c r="D44" s="9" t="n"/>
      <c r="E44" s="9" t="n"/>
      <c r="F44" s="9" t="n">
        <v>0</v>
      </c>
    </row>
    <row r="45">
      <c r="A45" s="8" t="inlineStr">
        <is>
          <t xml:space="preserve">    Retained earnings</t>
        </is>
      </c>
      <c r="B45" s="9" t="n"/>
      <c r="C45" s="9" t="n"/>
      <c r="D45" s="9" t="n"/>
      <c r="E45" s="9" t="n"/>
      <c r="F45" s="9" t="n">
        <v>1680165</v>
      </c>
    </row>
    <row r="46">
      <c r="A46" s="10" t="inlineStr">
        <is>
          <t>Net assets</t>
        </is>
      </c>
      <c r="B46" s="11" t="n">
        <v>1395903</v>
      </c>
      <c r="C46" s="11" t="n">
        <v>1398114</v>
      </c>
      <c r="D46" s="11" t="n">
        <v>1402919</v>
      </c>
      <c r="E46" s="11" t="n">
        <v>1449948</v>
      </c>
      <c r="F46" s="11" t="n">
        <v>1680165</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64786</v>
      </c>
      <c r="C52" s="9" t="n">
        <v>2211</v>
      </c>
      <c r="D52" s="9" t="n">
        <v>4805</v>
      </c>
      <c r="E52" s="9" t="n">
        <v>47029</v>
      </c>
      <c r="F52" s="9" t="n">
        <v>230217</v>
      </c>
    </row>
    <row r="53">
      <c r="A53" s="8" t="inlineStr">
        <is>
          <t xml:space="preserve">    + Depreciation (reported)</t>
        </is>
      </c>
      <c r="B53" s="9" t="n">
        <v>56926</v>
      </c>
      <c r="C53" s="9" t="n">
        <v>59204</v>
      </c>
      <c r="D53" s="9" t="n">
        <v>70552</v>
      </c>
      <c r="E53" s="9" t="n">
        <v>69347</v>
      </c>
      <c r="F53" s="9" t="n">
        <v>68471</v>
      </c>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v>-17852</v>
      </c>
      <c r="D57" s="9" t="n">
        <v>4857</v>
      </c>
      <c r="E57" s="9" t="n">
        <v>15985</v>
      </c>
      <c r="F57" s="9" t="n">
        <v>-23316</v>
      </c>
    </row>
    <row r="58">
      <c r="A58" s="10" t="inlineStr">
        <is>
          <t xml:space="preserve">    Operating cash flow proxy</t>
        </is>
      </c>
      <c r="B58" s="11" t="n"/>
      <c r="C58" s="11" t="n">
        <v>43563</v>
      </c>
      <c r="D58" s="11" t="n">
        <v>80214</v>
      </c>
      <c r="E58" s="11" t="n">
        <v>132361</v>
      </c>
      <c r="F58" s="11" t="n">
        <v>275372</v>
      </c>
    </row>
    <row r="60">
      <c r="A60" s="6" t="inlineStr">
        <is>
          <t>Investing</t>
        </is>
      </c>
      <c r="B60" s="7" t="n"/>
      <c r="C60" s="7" t="n"/>
      <c r="D60" s="7" t="n"/>
      <c r="E60" s="7" t="n"/>
      <c r="F60" s="7" t="n"/>
    </row>
    <row r="61">
      <c r="A61" s="8" t="inlineStr">
        <is>
          <t xml:space="preserve">    − Δ PP&amp;E gross (capex proxy)</t>
        </is>
      </c>
      <c r="B61" s="9" t="n"/>
      <c r="C61" s="9" t="n">
        <v>-40231</v>
      </c>
      <c r="D61" s="9" t="n">
        <v>-79566</v>
      </c>
      <c r="E61" s="9" t="n">
        <v>0</v>
      </c>
      <c r="F61" s="9" t="n">
        <v>-221626</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4990</v>
      </c>
      <c r="D67" s="11" t="n">
        <v>73192</v>
      </c>
      <c r="E67" s="11" t="n">
        <v>89312</v>
      </c>
      <c r="F67" s="11" t="n">
        <v>63821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321456</v>
      </c>
      <c r="C73" s="9" t="n">
        <v>302127</v>
      </c>
      <c r="D73" s="9" t="n">
        <v>0</v>
      </c>
      <c r="E73" s="9" t="n">
        <v>0</v>
      </c>
      <c r="F73" s="9" t="n">
        <v>361291</v>
      </c>
    </row>
    <row r="74">
      <c r="A74" s="8" t="inlineStr">
        <is>
          <t xml:space="preserve">    11b. Gross income from other sources</t>
        </is>
      </c>
      <c r="B74" s="9" t="n">
        <v>0</v>
      </c>
      <c r="C74" s="9" t="n">
        <v>32</v>
      </c>
      <c r="D74" s="9" t="n">
        <v>0</v>
      </c>
      <c r="E74" s="9" t="n">
        <v>0</v>
      </c>
      <c r="F74" s="9" t="n">
        <v>221517</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Chemeketa Park Mutual Water Company</t>
        </is>
      </c>
    </row>
    <row r="2">
      <c r="A2" s="2" t="inlineStr">
        <is>
          <t>Balance Sheet - as reported (USD, end of year)</t>
        </is>
      </c>
    </row>
    <row r="3">
      <c r="A3" s="2" t="inlineStr">
        <is>
          <t>Entity ID: cawc_0071   |   Fiscal year ends April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334178</v>
      </c>
      <c r="C7" s="9" t="n">
        <v>339168</v>
      </c>
      <c r="D7" s="9" t="n">
        <v>60557</v>
      </c>
      <c r="E7" s="9" t="n">
        <v>169706</v>
      </c>
      <c r="F7" s="9" t="n">
        <v>565493</v>
      </c>
    </row>
    <row r="8">
      <c r="A8" s="8" t="inlineStr">
        <is>
          <t xml:space="preserve">    Savings &amp; temporary investments</t>
        </is>
      </c>
      <c r="B8" s="9" t="n"/>
      <c r="C8" s="9" t="n"/>
      <c r="D8" s="9" t="n">
        <v>351803</v>
      </c>
      <c r="E8" s="9" t="n">
        <v>331966</v>
      </c>
      <c r="F8" s="9" t="n"/>
    </row>
    <row r="9">
      <c r="A9" s="8" t="inlineStr">
        <is>
          <t xml:space="preserve">    Accounts receivable</t>
        </is>
      </c>
      <c r="B9" s="9" t="n"/>
      <c r="C9" s="9" t="n"/>
      <c r="D9" s="9" t="n"/>
      <c r="E9" s="9" t="n"/>
      <c r="F9" s="9" t="n">
        <v>21655</v>
      </c>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v>37133</v>
      </c>
    </row>
    <row r="12">
      <c r="A12" s="8" t="inlineStr">
        <is>
          <t xml:space="preserve">    Property, plant &amp; equipment (gross)</t>
        </is>
      </c>
      <c r="B12" s="9" t="n">
        <v>2003357</v>
      </c>
      <c r="C12" s="9" t="n">
        <v>2043588</v>
      </c>
      <c r="D12" s="9" t="n">
        <v>2123154</v>
      </c>
      <c r="E12" s="9" t="n">
        <v>2123154</v>
      </c>
      <c r="F12" s="9" t="n">
        <v>2344780</v>
      </c>
    </row>
    <row r="13">
      <c r="A13" s="8" t="inlineStr">
        <is>
          <t xml:space="preserve">    Less: accumulated depreciation</t>
        </is>
      </c>
      <c r="B13" s="9" t="n">
        <v>-1036188</v>
      </c>
      <c r="C13" s="9" t="n">
        <v>-1095392</v>
      </c>
      <c r="D13" s="9" t="n">
        <v>-1149137</v>
      </c>
      <c r="E13" s="9" t="n">
        <v>-1218484</v>
      </c>
      <c r="F13" s="9" t="n">
        <v>-1286955</v>
      </c>
    </row>
    <row r="14">
      <c r="A14" s="10" t="inlineStr">
        <is>
          <t xml:space="preserve">    Net property, plant &amp; equipment</t>
        </is>
      </c>
      <c r="B14" s="11" t="n">
        <v>967169</v>
      </c>
      <c r="C14" s="11" t="n">
        <v>948196</v>
      </c>
      <c r="D14" s="11" t="n">
        <v>974017</v>
      </c>
      <c r="E14" s="11" t="n">
        <v>904670</v>
      </c>
      <c r="F14" s="11" t="n">
        <v>1057825</v>
      </c>
    </row>
    <row r="15">
      <c r="A15" s="10" t="inlineStr">
        <is>
          <t>Total assets</t>
        </is>
      </c>
      <c r="B15" s="11" t="n">
        <v>1418170</v>
      </c>
      <c r="C15" s="11" t="n">
        <v>1402529</v>
      </c>
      <c r="D15" s="11" t="n">
        <v>1425109</v>
      </c>
      <c r="E15" s="11" t="n">
        <v>1475205</v>
      </c>
      <c r="F15" s="11" t="n">
        <v>1682106</v>
      </c>
    </row>
    <row r="17">
      <c r="A17" s="6" t="inlineStr">
        <is>
          <t>Liabilities</t>
        </is>
      </c>
      <c r="B17" s="7" t="n"/>
      <c r="C17" s="7" t="n"/>
      <c r="D17" s="7" t="n"/>
      <c r="E17" s="7" t="n"/>
      <c r="F17" s="7" t="n"/>
    </row>
    <row r="18">
      <c r="A18" s="8" t="inlineStr">
        <is>
          <t xml:space="preserve">    Accounts payable</t>
        </is>
      </c>
      <c r="B18" s="9" t="n">
        <v>22267</v>
      </c>
      <c r="C18" s="9" t="n">
        <v>4415</v>
      </c>
      <c r="D18" s="9" t="n">
        <v>9272</v>
      </c>
      <c r="E18" s="9" t="n">
        <v>25257</v>
      </c>
      <c r="F18" s="9" t="n">
        <v>1941</v>
      </c>
    </row>
    <row r="19">
      <c r="A19" s="8" t="inlineStr">
        <is>
          <t xml:space="preserve">    Mortgages &amp; notes payable</t>
        </is>
      </c>
      <c r="B19" s="9" t="n"/>
      <c r="C19" s="9" t="n"/>
      <c r="D19" s="9" t="n"/>
      <c r="E19" s="9" t="n"/>
      <c r="F19" s="9" t="n"/>
    </row>
    <row r="20">
      <c r="A20" s="10" t="inlineStr">
        <is>
          <t>Total liabilities</t>
        </is>
      </c>
      <c r="B20" s="11" t="n">
        <v>22267</v>
      </c>
      <c r="C20" s="11" t="n">
        <v>4415</v>
      </c>
      <c r="D20" s="11" t="n">
        <v>22190</v>
      </c>
      <c r="E20" s="11" t="n">
        <v>25257</v>
      </c>
      <c r="F20" s="11" t="n">
        <v>1941</v>
      </c>
    </row>
    <row r="22">
      <c r="A22" s="6" t="inlineStr">
        <is>
          <t>Net Assets / Equity</t>
        </is>
      </c>
      <c r="B22" s="7" t="n"/>
      <c r="C22" s="7" t="n"/>
      <c r="D22" s="7" t="n"/>
      <c r="E22" s="7" t="n"/>
      <c r="F22" s="7" t="n"/>
    </row>
    <row r="23">
      <c r="A23" s="8" t="inlineStr">
        <is>
          <t xml:space="preserve">    Capital stock</t>
        </is>
      </c>
      <c r="B23" s="9" t="n"/>
      <c r="C23" s="9" t="n"/>
      <c r="D23" s="9" t="n"/>
      <c r="E23" s="9" t="n"/>
      <c r="F23" s="9" t="n">
        <v>0</v>
      </c>
    </row>
    <row r="24">
      <c r="A24" s="8" t="inlineStr">
        <is>
          <t xml:space="preserve">    Paid-in capital</t>
        </is>
      </c>
      <c r="B24" s="9" t="n"/>
      <c r="C24" s="9" t="n"/>
      <c r="D24" s="9" t="n"/>
      <c r="E24" s="9" t="n"/>
      <c r="F24" s="9" t="n">
        <v>0</v>
      </c>
    </row>
    <row r="25">
      <c r="A25" s="8" t="inlineStr">
        <is>
          <t xml:space="preserve">    Retained earnings</t>
        </is>
      </c>
      <c r="B25" s="9" t="n"/>
      <c r="C25" s="9" t="n"/>
      <c r="D25" s="9" t="n"/>
      <c r="E25" s="9" t="n"/>
      <c r="F25" s="9" t="n">
        <v>1680165</v>
      </c>
    </row>
    <row r="26">
      <c r="A26" s="10" t="inlineStr">
        <is>
          <t>Net assets</t>
        </is>
      </c>
      <c r="B26" s="11" t="n">
        <v>1395903</v>
      </c>
      <c r="C26" s="11" t="n">
        <v>1398114</v>
      </c>
      <c r="D26" s="11" t="n">
        <v>1402919</v>
      </c>
      <c r="E26" s="11" t="n">
        <v>1449948</v>
      </c>
      <c r="F26" s="11" t="n">
        <v>1680165</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Chemeketa Park Mutual Water Company</t>
        </is>
      </c>
    </row>
    <row r="2">
      <c r="A2" s="2" t="inlineStr">
        <is>
          <t>Officers, Directors &amp; Contractors - Form 990 Part VII (FY2025; USD)</t>
        </is>
      </c>
    </row>
    <row r="3">
      <c r="A3" s="2" t="inlineStr">
        <is>
          <t>Entity ID: cawc_0071   |   Fiscal year ends April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P BOOTHBY</t>
        </is>
      </c>
      <c r="B7" s="8" t="inlineStr">
        <is>
          <t>PRES</t>
        </is>
      </c>
      <c r="C7" s="9" t="n">
        <v>0</v>
      </c>
      <c r="D7" s="9" t="n">
        <v>0</v>
      </c>
      <c r="E7" s="9" t="n">
        <v>0</v>
      </c>
      <c r="F7" s="9" t="n">
        <v>0</v>
      </c>
    </row>
    <row r="8">
      <c r="A8" s="8" t="inlineStr">
        <is>
          <t>P WEBSTER</t>
        </is>
      </c>
      <c r="B8" s="8" t="inlineStr">
        <is>
          <t>VP</t>
        </is>
      </c>
      <c r="C8" s="9" t="n">
        <v>0</v>
      </c>
      <c r="D8" s="9" t="n">
        <v>0</v>
      </c>
      <c r="E8" s="9" t="n">
        <v>0</v>
      </c>
      <c r="F8" s="9" t="n">
        <v>0</v>
      </c>
    </row>
    <row r="9">
      <c r="A9" s="8" t="inlineStr">
        <is>
          <t>B ANDERSON</t>
        </is>
      </c>
      <c r="B9" s="8" t="inlineStr">
        <is>
          <t>TREAS</t>
        </is>
      </c>
      <c r="C9" s="9" t="n">
        <v>0</v>
      </c>
      <c r="D9" s="9" t="n">
        <v>0</v>
      </c>
      <c r="E9" s="9" t="n">
        <v>0</v>
      </c>
      <c r="F9" s="9" t="n">
        <v>0</v>
      </c>
    </row>
    <row r="10">
      <c r="A10" s="8" t="inlineStr">
        <is>
          <t>M LERMAN</t>
        </is>
      </c>
      <c r="B10" s="8" t="inlineStr">
        <is>
          <t>SECR</t>
        </is>
      </c>
      <c r="C10" s="9" t="n">
        <v>0</v>
      </c>
      <c r="D10" s="9" t="n">
        <v>0</v>
      </c>
      <c r="E10" s="9" t="n">
        <v>0</v>
      </c>
      <c r="F10" s="9" t="n">
        <v>0</v>
      </c>
    </row>
    <row r="11">
      <c r="A11" s="8" t="inlineStr">
        <is>
          <t>T AARNOUDSE</t>
        </is>
      </c>
      <c r="B11" s="8" t="inlineStr">
        <is>
          <t>DIR</t>
        </is>
      </c>
      <c r="C11" s="9" t="n">
        <v>0</v>
      </c>
      <c r="D11" s="9" t="n">
        <v>0</v>
      </c>
      <c r="E11" s="9" t="n">
        <v>0</v>
      </c>
      <c r="F11" s="9" t="n">
        <v>0</v>
      </c>
    </row>
    <row r="12">
      <c r="A12" s="8" t="inlineStr">
        <is>
          <t>D DICKINSON</t>
        </is>
      </c>
      <c r="B12" s="8" t="inlineStr">
        <is>
          <t>DIR</t>
        </is>
      </c>
      <c r="C12" s="9" t="n">
        <v>0</v>
      </c>
      <c r="D12" s="9" t="n">
        <v>0</v>
      </c>
      <c r="E12" s="9" t="n">
        <v>0</v>
      </c>
      <c r="F12" s="9" t="n">
        <v>0</v>
      </c>
    </row>
    <row r="13">
      <c r="A13" s="8" t="inlineStr">
        <is>
          <t>D SHIMMIN</t>
        </is>
      </c>
      <c r="B13" s="8" t="inlineStr">
        <is>
          <t>OPS MGR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Chemeketa Park Mutual Water Company</t>
        </is>
      </c>
    </row>
    <row r="2">
      <c r="A2" s="2" t="inlineStr">
        <is>
          <t>Revenue - Form 990 Part VIII (USD)</t>
        </is>
      </c>
    </row>
    <row r="3">
      <c r="A3" s="2" t="inlineStr">
        <is>
          <t>Entity ID: cawc_0071   |   Fiscal year ends April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row>
    <row r="8">
      <c r="A8" s="8" t="inlineStr">
        <is>
          <t xml:space="preserve">    2g. Total program service revenue</t>
        </is>
      </c>
      <c r="B8" s="9" t="n">
        <v>321456</v>
      </c>
      <c r="C8" s="9" t="n">
        <v>307003</v>
      </c>
      <c r="D8" s="9" t="n">
        <v>300372</v>
      </c>
      <c r="E8" s="9" t="n">
        <v>459265</v>
      </c>
      <c r="F8" s="9" t="n">
        <v>582304</v>
      </c>
    </row>
    <row r="9">
      <c r="A9" s="8" t="inlineStr">
        <is>
          <t xml:space="preserve">    3. Investment income</t>
        </is>
      </c>
      <c r="B9" s="17" t="inlineStr">
        <is>
          <t>not reported</t>
        </is>
      </c>
      <c r="C9" s="9" t="n">
        <v>32</v>
      </c>
      <c r="D9" s="9" t="n">
        <v>1304</v>
      </c>
      <c r="E9" s="9" t="n">
        <v>3143</v>
      </c>
      <c r="F9" s="9" t="n">
        <v>504</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17"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ASSESSMENT REVENUE</t>
        </is>
      </c>
      <c r="B17" s="8" t="inlineStr">
        <is>
          <t>221000</t>
        </is>
      </c>
      <c r="C17" s="9" t="n">
        <v>361291</v>
      </c>
    </row>
    <row r="18">
      <c r="A18" s="8" t="inlineStr">
        <is>
          <t>GRANT INCOME</t>
        </is>
      </c>
      <c r="B18" s="8" t="inlineStr">
        <is>
          <t>221000</t>
        </is>
      </c>
      <c r="C18" s="9" t="n">
        <v>221013</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Chemeketa Park Mutual Water Company</t>
        </is>
      </c>
    </row>
    <row r="2">
      <c r="A2" s="2" t="inlineStr">
        <is>
          <t>Statement of Functional Expenses - Form 990 Part IX (USD)</t>
        </is>
      </c>
    </row>
    <row r="3">
      <c r="A3" s="2" t="inlineStr">
        <is>
          <t>Entity ID: cawc_0071   |   Fiscal year ends April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11b. Fees for services: legal</t>
        </is>
      </c>
      <c r="B7" s="17" t="inlineStr">
        <is>
          <t>not reported</t>
        </is>
      </c>
      <c r="C7" s="17" t="inlineStr">
        <is>
          <t>not reported</t>
        </is>
      </c>
      <c r="D7" s="9" t="n">
        <v>2919</v>
      </c>
      <c r="E7" s="9" t="n">
        <v>25075</v>
      </c>
      <c r="F7" s="17" t="inlineStr">
        <is>
          <t>not reported</t>
        </is>
      </c>
    </row>
    <row r="8">
      <c r="A8" s="8" t="inlineStr">
        <is>
          <t xml:space="preserve">    11c. Fees for services: accounting</t>
        </is>
      </c>
      <c r="B8" s="9" t="n">
        <v>3500</v>
      </c>
      <c r="C8" s="9" t="n">
        <v>3500</v>
      </c>
      <c r="D8" s="9" t="n">
        <v>3500</v>
      </c>
      <c r="E8" s="9" t="n">
        <v>30631</v>
      </c>
      <c r="F8" s="17" t="inlineStr">
        <is>
          <t>not reported</t>
        </is>
      </c>
    </row>
    <row r="9">
      <c r="A9" s="8" t="inlineStr">
        <is>
          <t xml:space="preserve">    11g. Fees for services: other</t>
        </is>
      </c>
      <c r="B9" s="9" t="n">
        <v>98539</v>
      </c>
      <c r="C9" s="9" t="n">
        <v>98015</v>
      </c>
      <c r="D9" s="9" t="n">
        <v>91079</v>
      </c>
      <c r="E9" s="9" t="n">
        <v>43869</v>
      </c>
      <c r="F9" s="9" t="n">
        <v>72175</v>
      </c>
    </row>
    <row r="10">
      <c r="A10" s="8" t="inlineStr">
        <is>
          <t xml:space="preserve">    13. Office expenses</t>
        </is>
      </c>
      <c r="B10" s="17" t="inlineStr">
        <is>
          <t>not reported</t>
        </is>
      </c>
      <c r="C10" s="17" t="inlineStr">
        <is>
          <t>not reported</t>
        </is>
      </c>
      <c r="D10" s="17" t="inlineStr">
        <is>
          <t>not reported</t>
        </is>
      </c>
      <c r="E10" s="9" t="n">
        <v>2543</v>
      </c>
      <c r="F10" s="17" t="inlineStr">
        <is>
          <t>not reported</t>
        </is>
      </c>
    </row>
    <row r="11">
      <c r="A11" s="8" t="inlineStr">
        <is>
          <t xml:space="preserve">    16. Occupancy</t>
        </is>
      </c>
      <c r="B11" s="17" t="inlineStr">
        <is>
          <t>not reported</t>
        </is>
      </c>
      <c r="C11" s="17" t="inlineStr">
        <is>
          <t>not reported</t>
        </is>
      </c>
      <c r="D11" s="17" t="inlineStr">
        <is>
          <t>not reported</t>
        </is>
      </c>
      <c r="E11" s="9" t="n">
        <v>4645</v>
      </c>
      <c r="F11" s="9" t="n">
        <v>50215</v>
      </c>
    </row>
    <row r="12">
      <c r="A12" s="8" t="inlineStr">
        <is>
          <t xml:space="preserve">    22. Depreciation, depletion, and amortization</t>
        </is>
      </c>
      <c r="B12" s="9" t="n">
        <v>56926</v>
      </c>
      <c r="C12" s="9" t="n">
        <v>59204</v>
      </c>
      <c r="D12" s="9" t="n">
        <v>70552</v>
      </c>
      <c r="E12" s="9" t="n">
        <v>69347</v>
      </c>
      <c r="F12" s="9" t="n">
        <v>68471</v>
      </c>
    </row>
    <row r="13">
      <c r="A13" s="8" t="inlineStr">
        <is>
          <t xml:space="preserve">    23. Insurance</t>
        </is>
      </c>
      <c r="B13" s="9" t="n">
        <v>18439</v>
      </c>
      <c r="C13" s="9" t="n">
        <v>9445</v>
      </c>
      <c r="D13" s="9" t="n">
        <v>9575</v>
      </c>
      <c r="E13" s="17" t="inlineStr">
        <is>
          <t>not reported</t>
        </is>
      </c>
      <c r="F13" s="17" t="inlineStr">
        <is>
          <t>not reported</t>
        </is>
      </c>
    </row>
    <row r="14">
      <c r="A14" s="8" t="inlineStr">
        <is>
          <t xml:space="preserve">    24. REPAIRS</t>
        </is>
      </c>
      <c r="B14" s="9" t="n">
        <v>43552</v>
      </c>
      <c r="C14" s="9" t="n">
        <v>47950</v>
      </c>
      <c r="D14" s="9" t="n">
        <v>53745</v>
      </c>
      <c r="E14" s="17" t="inlineStr">
        <is>
          <t>not reported</t>
        </is>
      </c>
      <c r="F14" s="17" t="inlineStr">
        <is>
          <t>not reported</t>
        </is>
      </c>
    </row>
    <row r="15">
      <c r="A15" s="8" t="inlineStr">
        <is>
          <t xml:space="preserve">    24. UTILITIES</t>
        </is>
      </c>
      <c r="B15" s="9" t="n">
        <v>17454</v>
      </c>
      <c r="C15" s="9" t="n">
        <v>15001</v>
      </c>
      <c r="D15" s="9" t="n">
        <v>15261</v>
      </c>
      <c r="E15" s="17" t="inlineStr">
        <is>
          <t>not reported</t>
        </is>
      </c>
      <c r="F15" s="17" t="inlineStr">
        <is>
          <t>not reported</t>
        </is>
      </c>
    </row>
    <row r="16">
      <c r="A16" s="8" t="inlineStr">
        <is>
          <t xml:space="preserve">    24. SUPPLIES</t>
        </is>
      </c>
      <c r="B16" s="9" t="n">
        <v>4620</v>
      </c>
      <c r="C16" s="17" t="inlineStr">
        <is>
          <t>not reported</t>
        </is>
      </c>
      <c r="D16" s="17" t="inlineStr">
        <is>
          <t>not reported</t>
        </is>
      </c>
      <c r="E16" s="17" t="inlineStr">
        <is>
          <t>not reported</t>
        </is>
      </c>
      <c r="F16" s="17" t="inlineStr">
        <is>
          <t>not reported</t>
        </is>
      </c>
    </row>
    <row r="17">
      <c r="A17" s="8" t="inlineStr">
        <is>
          <t xml:space="preserve">    24. WATER PURCHASE FROM OTH</t>
        </is>
      </c>
      <c r="B17" s="9" t="n">
        <v>4386</v>
      </c>
      <c r="C17" s="9" t="n">
        <v>18232</v>
      </c>
      <c r="D17" s="9" t="n">
        <v>14184</v>
      </c>
      <c r="E17" s="17" t="inlineStr">
        <is>
          <t>not reported</t>
        </is>
      </c>
      <c r="F17" s="17" t="inlineStr">
        <is>
          <t>not reported</t>
        </is>
      </c>
    </row>
    <row r="18">
      <c r="A18" s="8" t="inlineStr">
        <is>
          <t xml:space="preserve">    24. WATERSHED SANITARY SURV</t>
        </is>
      </c>
      <c r="B18" s="17" t="inlineStr">
        <is>
          <t>not reported</t>
        </is>
      </c>
      <c r="C18" s="9" t="n">
        <v>10697</v>
      </c>
      <c r="D18" s="17" t="inlineStr">
        <is>
          <t>not reported</t>
        </is>
      </c>
      <c r="E18" s="17" t="inlineStr">
        <is>
          <t>not reported</t>
        </is>
      </c>
      <c r="F18" s="17" t="inlineStr">
        <is>
          <t>not reported</t>
        </is>
      </c>
    </row>
    <row r="19">
      <c r="A19" s="8" t="inlineStr">
        <is>
          <t xml:space="preserve">    24. WATER STORAGE CAPACITY</t>
        </is>
      </c>
      <c r="B19" s="17" t="inlineStr">
        <is>
          <t>not reported</t>
        </is>
      </c>
      <c r="C19" s="17" t="inlineStr">
        <is>
          <t>not reported</t>
        </is>
      </c>
      <c r="D19" s="9" t="n">
        <v>10457</v>
      </c>
      <c r="E19" s="17" t="inlineStr">
        <is>
          <t>not reported</t>
        </is>
      </c>
      <c r="F19" s="17" t="inlineStr">
        <is>
          <t>not reported</t>
        </is>
      </c>
    </row>
    <row r="20">
      <c r="A20" s="8" t="inlineStr">
        <is>
          <t xml:space="preserve">    24. WATER PRODUCTION</t>
        </is>
      </c>
      <c r="B20" s="17" t="inlineStr">
        <is>
          <t>not reported</t>
        </is>
      </c>
      <c r="C20" s="17" t="inlineStr">
        <is>
          <t>not reported</t>
        </is>
      </c>
      <c r="D20" s="17" t="inlineStr">
        <is>
          <t>not reported</t>
        </is>
      </c>
      <c r="E20" s="9" t="n">
        <v>109426</v>
      </c>
      <c r="F20" s="9" t="n">
        <v>106644</v>
      </c>
    </row>
    <row r="21">
      <c r="A21" s="8" t="inlineStr">
        <is>
          <t xml:space="preserve">    24. REPAIRS AND MAINTENANCE</t>
        </is>
      </c>
      <c r="B21" s="17" t="inlineStr">
        <is>
          <t>not reported</t>
        </is>
      </c>
      <c r="C21" s="17" t="inlineStr">
        <is>
          <t>not reported</t>
        </is>
      </c>
      <c r="D21" s="17" t="inlineStr">
        <is>
          <t>not reported</t>
        </is>
      </c>
      <c r="E21" s="9" t="n">
        <v>60785</v>
      </c>
      <c r="F21" s="9" t="n">
        <v>38478</v>
      </c>
    </row>
    <row r="22">
      <c r="A22" s="8" t="inlineStr">
        <is>
          <t xml:space="preserve">    24. ANNUAL PROJECTS</t>
        </is>
      </c>
      <c r="B22" s="17" t="inlineStr">
        <is>
          <t>not reported</t>
        </is>
      </c>
      <c r="C22" s="17" t="inlineStr">
        <is>
          <t>not reported</t>
        </is>
      </c>
      <c r="D22" s="17" t="inlineStr">
        <is>
          <t>not reported</t>
        </is>
      </c>
      <c r="E22" s="9" t="n">
        <v>26337</v>
      </c>
      <c r="F22" s="17" t="inlineStr">
        <is>
          <t>not reported</t>
        </is>
      </c>
    </row>
    <row r="23">
      <c r="A23" s="8" t="inlineStr">
        <is>
          <t xml:space="preserve">    24. MISC OTHER</t>
        </is>
      </c>
      <c r="B23" s="17" t="inlineStr">
        <is>
          <t>not reported</t>
        </is>
      </c>
      <c r="C23" s="17" t="inlineStr">
        <is>
          <t>not reported</t>
        </is>
      </c>
      <c r="D23" s="17" t="inlineStr">
        <is>
          <t>not reported</t>
        </is>
      </c>
      <c r="E23" s="9" t="n">
        <v>25937</v>
      </c>
      <c r="F23" s="17" t="inlineStr">
        <is>
          <t>not reported</t>
        </is>
      </c>
    </row>
    <row r="24">
      <c r="A24" s="8" t="inlineStr">
        <is>
          <t xml:space="preserve">    24. ALL OTHER</t>
        </is>
      </c>
      <c r="B24" s="17" t="inlineStr">
        <is>
          <t>not reported</t>
        </is>
      </c>
      <c r="C24" s="17" t="inlineStr">
        <is>
          <t>not reported</t>
        </is>
      </c>
      <c r="D24" s="17" t="inlineStr">
        <is>
          <t>not reported</t>
        </is>
      </c>
      <c r="E24" s="17" t="inlineStr">
        <is>
          <t>not reported</t>
        </is>
      </c>
      <c r="F24" s="9" t="n">
        <v>16608</v>
      </c>
    </row>
    <row r="25">
      <c r="A25" s="8" t="inlineStr">
        <is>
          <t xml:space="preserve">    24e. All other expenses</t>
        </is>
      </c>
      <c r="B25" s="9" t="n">
        <v>9254</v>
      </c>
      <c r="C25" s="9" t="n">
        <v>42780</v>
      </c>
      <c r="D25" s="9" t="n">
        <v>25599</v>
      </c>
      <c r="E25" s="9" t="n">
        <v>16784</v>
      </c>
      <c r="F25" s="17" t="inlineStr">
        <is>
          <t>not reported</t>
        </is>
      </c>
    </row>
    <row r="26">
      <c r="A26" s="10" t="inlineStr">
        <is>
          <t>25. Total functional expenses</t>
        </is>
      </c>
      <c r="B26" s="11">
        <f>SUM(B7:B25)</f>
        <v/>
      </c>
      <c r="C26" s="11">
        <f>SUM(C7:C25)</f>
        <v/>
      </c>
      <c r="D26" s="11">
        <f>SUM(D7:D25)</f>
        <v/>
      </c>
      <c r="E26" s="11">
        <f>SUM(E7:E25)</f>
        <v/>
      </c>
      <c r="F26" s="11">
        <f>SUM(F7:F25)</f>
        <v/>
      </c>
    </row>
    <row r="28">
      <c r="A28" s="6" t="inlineStr">
        <is>
          <t>Functional column split - FY2025 (col A = B + C + D)</t>
        </is>
      </c>
      <c r="B28" s="7" t="n"/>
      <c r="C28" s="7" t="n"/>
      <c r="D28" s="7" t="n"/>
      <c r="E28" s="7" t="n"/>
      <c r="F28" s="7" t="n"/>
    </row>
    <row r="29">
      <c r="A29" s="5" t="inlineStr">
        <is>
          <t>Part IX line</t>
        </is>
      </c>
      <c r="B29" s="5" t="inlineStr">
        <is>
          <t>A. Total</t>
        </is>
      </c>
      <c r="C29" s="5" t="inlineStr">
        <is>
          <t>B. Program services</t>
        </is>
      </c>
      <c r="D29" s="5" t="inlineStr">
        <is>
          <t>C. Management &amp; general</t>
        </is>
      </c>
      <c r="E29" s="5" t="inlineStr">
        <is>
          <t>D. Fundraising</t>
        </is>
      </c>
    </row>
    <row r="30">
      <c r="A30" s="18" t="inlineStr">
        <is>
          <t>11g. Fees for services: other</t>
        </is>
      </c>
      <c r="B30" s="9" t="n">
        <v>72175</v>
      </c>
      <c r="C30" s="9" t="n">
        <v>72175</v>
      </c>
      <c r="D30" s="9" t="n"/>
      <c r="E30" s="9" t="n"/>
    </row>
    <row r="31">
      <c r="A31" s="18" t="inlineStr">
        <is>
          <t>16. Occupancy</t>
        </is>
      </c>
      <c r="B31" s="9" t="n">
        <v>50215</v>
      </c>
      <c r="C31" s="9" t="n">
        <v>50215</v>
      </c>
      <c r="D31" s="9" t="n"/>
      <c r="E31" s="9" t="n"/>
    </row>
    <row r="32">
      <c r="A32" s="18" t="inlineStr">
        <is>
          <t>22. Depreciation, depletion, and amortization</t>
        </is>
      </c>
      <c r="B32" s="9" t="n">
        <v>68471</v>
      </c>
      <c r="C32" s="9" t="n">
        <v>68471</v>
      </c>
      <c r="D32" s="9" t="n"/>
      <c r="E32" s="9" t="n"/>
    </row>
    <row r="33">
      <c r="A33" s="10" t="inlineStr">
        <is>
          <t>25. Total (filed col A / B / C / D)</t>
        </is>
      </c>
      <c r="B33" s="11" t="n">
        <v>352591</v>
      </c>
      <c r="C33" s="11" t="n">
        <v>352591</v>
      </c>
      <c r="D33" s="11" t="n">
        <v>0</v>
      </c>
      <c r="E33" s="11" t="n">
        <v>0</v>
      </c>
    </row>
    <row r="35" ht="42" customHeight="1">
      <c r="A35"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35:F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Chemeketa Park Mutual Water Company</t>
        </is>
      </c>
    </row>
    <row r="2">
      <c r="A2" s="2" t="inlineStr">
        <is>
          <t>Balance Sheet - Form 990 Part X (end of year, USD)</t>
        </is>
      </c>
    </row>
    <row r="3">
      <c r="A3" s="2" t="inlineStr">
        <is>
          <t>Entity ID: cawc_0071   |   Fiscal year ends April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334178</v>
      </c>
      <c r="C7" s="9" t="n">
        <v>339168</v>
      </c>
      <c r="D7" s="9" t="n">
        <v>60557</v>
      </c>
      <c r="E7" s="9" t="n">
        <v>169706</v>
      </c>
      <c r="F7" s="9" t="n">
        <v>565493</v>
      </c>
    </row>
    <row r="8">
      <c r="A8" s="8" t="inlineStr">
        <is>
          <t xml:space="preserve">    2. Savings and temporary cash investments</t>
        </is>
      </c>
      <c r="B8" s="17" t="inlineStr">
        <is>
          <t>not reported</t>
        </is>
      </c>
      <c r="C8" s="17" t="inlineStr">
        <is>
          <t>not reported</t>
        </is>
      </c>
      <c r="D8" s="9" t="n">
        <v>351803</v>
      </c>
      <c r="E8" s="9" t="n">
        <v>331966</v>
      </c>
      <c r="F8" s="17" t="inlineStr">
        <is>
          <t>not reported</t>
        </is>
      </c>
    </row>
    <row r="9">
      <c r="A9" s="8" t="inlineStr">
        <is>
          <t xml:space="preserve">    3. Pledges and grants receivable, net</t>
        </is>
      </c>
      <c r="B9" s="9" t="n">
        <v>116823</v>
      </c>
      <c r="C9" s="9" t="n">
        <v>115165</v>
      </c>
      <c r="D9" s="9" t="n">
        <v>38732</v>
      </c>
      <c r="E9" s="9" t="n">
        <v>40077</v>
      </c>
      <c r="F9" s="17" t="inlineStr">
        <is>
          <t>not reported</t>
        </is>
      </c>
    </row>
    <row r="10">
      <c r="A10" s="8" t="inlineStr">
        <is>
          <t xml:space="preserve">    4. Accounts receivable, net</t>
        </is>
      </c>
      <c r="B10" s="17" t="inlineStr">
        <is>
          <t>not reported</t>
        </is>
      </c>
      <c r="C10" s="17" t="inlineStr">
        <is>
          <t>not reported</t>
        </is>
      </c>
      <c r="D10" s="17" t="inlineStr">
        <is>
          <t>not reported</t>
        </is>
      </c>
      <c r="E10" s="17" t="inlineStr">
        <is>
          <t>not reported</t>
        </is>
      </c>
      <c r="F10" s="9" t="n">
        <v>21655</v>
      </c>
    </row>
    <row r="11">
      <c r="A11" s="8" t="inlineStr">
        <is>
          <t xml:space="preserve">    9. Prepaid expenses and deferred charges</t>
        </is>
      </c>
      <c r="B11" s="17" t="inlineStr">
        <is>
          <t>not reported</t>
        </is>
      </c>
      <c r="C11" s="17" t="inlineStr">
        <is>
          <t>not reported</t>
        </is>
      </c>
      <c r="D11" s="17" t="inlineStr">
        <is>
          <t>not reported</t>
        </is>
      </c>
      <c r="E11" s="17" t="inlineStr">
        <is>
          <t>not reported</t>
        </is>
      </c>
      <c r="F11" s="9" t="n">
        <v>37133</v>
      </c>
    </row>
    <row r="12">
      <c r="A12" s="8" t="inlineStr">
        <is>
          <t xml:space="preserve">    10c. Land, buildings, and equipment, net</t>
        </is>
      </c>
      <c r="B12" s="9" t="n">
        <v>967169</v>
      </c>
      <c r="C12" s="9" t="n">
        <v>948196</v>
      </c>
      <c r="D12" s="9" t="n">
        <v>974017</v>
      </c>
      <c r="E12" s="9" t="n">
        <v>904670</v>
      </c>
      <c r="F12" s="9" t="n">
        <v>1057825</v>
      </c>
    </row>
    <row r="13">
      <c r="A13" s="8" t="inlineStr">
        <is>
          <t xml:space="preserve">    15. Other assets</t>
        </is>
      </c>
      <c r="B13" s="17" t="inlineStr">
        <is>
          <t>not reported</t>
        </is>
      </c>
      <c r="C13" s="17" t="inlineStr">
        <is>
          <t>not reported</t>
        </is>
      </c>
      <c r="D13" s="17" t="inlineStr">
        <is>
          <t>not reported</t>
        </is>
      </c>
      <c r="E13" s="9" t="n">
        <v>28786</v>
      </c>
      <c r="F13" s="17" t="inlineStr">
        <is>
          <t>not reported</t>
        </is>
      </c>
    </row>
    <row r="14">
      <c r="A14" s="10" t="inlineStr">
        <is>
          <t>16. Total assets</t>
        </is>
      </c>
      <c r="B14" s="11">
        <f>SUM(B7:B13)</f>
        <v/>
      </c>
      <c r="C14" s="11">
        <f>SUM(C7:C13)</f>
        <v/>
      </c>
      <c r="D14" s="11">
        <f>SUM(D7:D13)</f>
        <v/>
      </c>
      <c r="E14" s="11">
        <f>SUM(E7:E13)</f>
        <v/>
      </c>
      <c r="F14" s="11">
        <f>SUM(F7:F13)</f>
        <v/>
      </c>
    </row>
    <row r="16">
      <c r="A16" s="6" t="inlineStr">
        <is>
          <t>Liabilities</t>
        </is>
      </c>
      <c r="B16" s="7" t="n"/>
      <c r="C16" s="7" t="n"/>
      <c r="D16" s="7" t="n"/>
      <c r="E16" s="7" t="n"/>
      <c r="F16" s="7" t="n"/>
    </row>
    <row r="17">
      <c r="A17" s="8" t="inlineStr">
        <is>
          <t xml:space="preserve">    17. Accounts payable and accrued expenses</t>
        </is>
      </c>
      <c r="B17" s="9" t="n">
        <v>22267</v>
      </c>
      <c r="C17" s="9" t="n">
        <v>4415</v>
      </c>
      <c r="D17" s="9" t="n">
        <v>9272</v>
      </c>
      <c r="E17" s="9" t="n">
        <v>25257</v>
      </c>
      <c r="F17" s="9" t="n">
        <v>1941</v>
      </c>
    </row>
    <row r="18">
      <c r="A18" s="8" t="inlineStr">
        <is>
          <t xml:space="preserve">    19. Deferred revenue</t>
        </is>
      </c>
      <c r="B18" s="17" t="inlineStr">
        <is>
          <t>not reported</t>
        </is>
      </c>
      <c r="C18" s="17" t="inlineStr">
        <is>
          <t>not reported</t>
        </is>
      </c>
      <c r="D18" s="9" t="n">
        <v>12918</v>
      </c>
      <c r="E18" s="17" t="inlineStr">
        <is>
          <t>not reported</t>
        </is>
      </c>
      <c r="F18" s="17" t="inlineStr">
        <is>
          <t>not reported</t>
        </is>
      </c>
    </row>
    <row r="19">
      <c r="A19" s="10" t="inlineStr">
        <is>
          <t>26. Total liabilities</t>
        </is>
      </c>
      <c r="B19" s="11">
        <f>SUM(B17:B18)</f>
        <v/>
      </c>
      <c r="C19" s="11">
        <f>SUM(C17:C18)</f>
        <v/>
      </c>
      <c r="D19" s="11">
        <f>SUM(D17:D18)</f>
        <v/>
      </c>
      <c r="E19" s="11">
        <f>SUM(E17:E18)</f>
        <v/>
      </c>
      <c r="F19" s="11">
        <f>SUM(F17:F18)</f>
        <v/>
      </c>
    </row>
    <row r="21">
      <c r="A21" s="6" t="inlineStr">
        <is>
          <t>Net assets / fund balances</t>
        </is>
      </c>
      <c r="B21" s="7" t="n"/>
      <c r="C21" s="7" t="n"/>
      <c r="D21" s="7" t="n"/>
      <c r="E21" s="7" t="n"/>
      <c r="F21" s="7" t="n"/>
    </row>
    <row r="22">
      <c r="A22" s="8" t="inlineStr">
        <is>
          <t xml:space="preserve">    27. Net assets without donor restrictions</t>
        </is>
      </c>
      <c r="B22" s="9" t="n">
        <v>1395903</v>
      </c>
      <c r="C22" s="9" t="n">
        <v>1398114</v>
      </c>
      <c r="D22" s="9" t="n">
        <v>1402919</v>
      </c>
      <c r="E22" s="9" t="n">
        <v>1449948</v>
      </c>
      <c r="F22" s="17" t="inlineStr">
        <is>
          <t>not reported</t>
        </is>
      </c>
    </row>
    <row r="23">
      <c r="A23" s="8" t="inlineStr">
        <is>
          <t xml:space="preserve">    29. Capital stock or trust principal</t>
        </is>
      </c>
      <c r="B23" s="17" t="inlineStr">
        <is>
          <t>not reported</t>
        </is>
      </c>
      <c r="C23" s="17" t="inlineStr">
        <is>
          <t>not reported</t>
        </is>
      </c>
      <c r="D23" s="17" t="inlineStr">
        <is>
          <t>not reported</t>
        </is>
      </c>
      <c r="E23" s="17" t="inlineStr">
        <is>
          <t>not reported</t>
        </is>
      </c>
      <c r="F23" s="9" t="n">
        <v>0</v>
      </c>
    </row>
    <row r="24">
      <c r="A24" s="8" t="inlineStr">
        <is>
          <t xml:space="preserve">    30. Paid-in or capital surplus</t>
        </is>
      </c>
      <c r="B24" s="17" t="inlineStr">
        <is>
          <t>not reported</t>
        </is>
      </c>
      <c r="C24" s="17" t="inlineStr">
        <is>
          <t>not reported</t>
        </is>
      </c>
      <c r="D24" s="17" t="inlineStr">
        <is>
          <t>not reported</t>
        </is>
      </c>
      <c r="E24" s="17" t="inlineStr">
        <is>
          <t>not reported</t>
        </is>
      </c>
      <c r="F24" s="9" t="n">
        <v>0</v>
      </c>
    </row>
    <row r="25">
      <c r="A25" s="8" t="inlineStr">
        <is>
          <t xml:space="preserve">    31. Retained earnings / accumulated funds</t>
        </is>
      </c>
      <c r="B25" s="17" t="inlineStr">
        <is>
          <t>not reported</t>
        </is>
      </c>
      <c r="C25" s="17" t="inlineStr">
        <is>
          <t>not reported</t>
        </is>
      </c>
      <c r="D25" s="17" t="inlineStr">
        <is>
          <t>not reported</t>
        </is>
      </c>
      <c r="E25" s="17" t="inlineStr">
        <is>
          <t>not reported</t>
        </is>
      </c>
      <c r="F25" s="9" t="n">
        <v>1680165</v>
      </c>
    </row>
    <row r="26">
      <c r="A26" s="10" t="inlineStr">
        <is>
          <t>32. Total net assets / fund balances</t>
        </is>
      </c>
      <c r="B26" s="11">
        <f>SUM(B22:B25)</f>
        <v/>
      </c>
      <c r="C26" s="11">
        <f>SUM(C22:C25)</f>
        <v/>
      </c>
      <c r="D26" s="11">
        <f>SUM(D22:D25)</f>
        <v/>
      </c>
      <c r="E26" s="11">
        <f>SUM(E22:E25)</f>
        <v/>
      </c>
      <c r="F26" s="11">
        <f>SUM(F22:F25)</f>
        <v/>
      </c>
    </row>
    <row r="28" ht="42" customHeight="1">
      <c r="A28"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8:F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Chemeketa Park Mutual Water Company</t>
        </is>
      </c>
    </row>
    <row r="2">
      <c r="A2" s="2" t="inlineStr">
        <is>
          <t>Reconciliation of Net Assets - Form 990 Part XI (USD)</t>
        </is>
      </c>
    </row>
    <row r="3">
      <c r="A3" s="2" t="inlineStr">
        <is>
          <t>Entity ID: cawc_0071   |   Fiscal year ends April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1331117</v>
      </c>
      <c r="C7" s="9" t="n">
        <v>1395903</v>
      </c>
      <c r="D7" s="9" t="n">
        <v>1398114</v>
      </c>
      <c r="E7" s="9" t="n">
        <v>1402919</v>
      </c>
      <c r="F7" s="9" t="n">
        <v>1449948</v>
      </c>
    </row>
    <row r="8">
      <c r="A8" s="8" t="inlineStr">
        <is>
          <t xml:space="preserve">    3. Revenue less expenses</t>
        </is>
      </c>
      <c r="B8" s="9" t="n">
        <v>64786</v>
      </c>
      <c r="C8" s="9" t="n">
        <v>2211</v>
      </c>
      <c r="D8" s="9" t="n">
        <v>4805</v>
      </c>
      <c r="E8" s="9" t="n">
        <v>47029</v>
      </c>
      <c r="F8" s="9" t="n">
        <v>230217</v>
      </c>
    </row>
    <row r="9">
      <c r="A9" s="8" t="inlineStr">
        <is>
          <t xml:space="preserve">    8. Prior period adjustments</t>
        </is>
      </c>
      <c r="B9" s="17" t="inlineStr">
        <is>
          <t>not reported</t>
        </is>
      </c>
      <c r="C9" s="17" t="inlineStr">
        <is>
          <t>not reported</t>
        </is>
      </c>
      <c r="D9" s="17" t="inlineStr">
        <is>
          <t>not reported</t>
        </is>
      </c>
      <c r="E9" s="17" t="inlineStr">
        <is>
          <t>not reported</t>
        </is>
      </c>
      <c r="F9" s="17" t="inlineStr">
        <is>
          <t>not reported</t>
        </is>
      </c>
    </row>
    <row r="10">
      <c r="A10" s="8" t="inlineStr">
        <is>
          <t xml:space="preserve">    9. Other changes in net assets</t>
        </is>
      </c>
      <c r="B10" s="9" t="n">
        <v>0</v>
      </c>
      <c r="C10" s="9" t="n">
        <v>0</v>
      </c>
      <c r="D10" s="9" t="n">
        <v>0</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Chemeketa Park Mutual Water Company</t>
        </is>
      </c>
    </row>
    <row r="2">
      <c r="A2" s="2" t="inlineStr">
        <is>
          <t>Cash Flow Proxies - derived (USD)</t>
        </is>
      </c>
    </row>
    <row r="3">
      <c r="A3" s="2" t="inlineStr">
        <is>
          <t>Entity ID: cawc_0071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64786</v>
      </c>
      <c r="C9" s="9" t="n">
        <v>2211</v>
      </c>
      <c r="D9" s="9" t="n">
        <v>4805</v>
      </c>
      <c r="E9" s="9" t="n">
        <v>47029</v>
      </c>
      <c r="F9" s="9" t="n">
        <v>230217</v>
      </c>
    </row>
    <row r="10">
      <c r="A10" s="8" t="inlineStr">
        <is>
          <t xml:space="preserve">    + Depreciation (reported)</t>
        </is>
      </c>
      <c r="B10" s="9" t="n">
        <v>56926</v>
      </c>
      <c r="C10" s="9" t="n">
        <v>59204</v>
      </c>
      <c r="D10" s="9" t="n">
        <v>70552</v>
      </c>
      <c r="E10" s="9" t="n">
        <v>69347</v>
      </c>
      <c r="F10" s="9" t="n">
        <v>68471</v>
      </c>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v>-17852</v>
      </c>
      <c r="D14" s="9" t="n">
        <v>4857</v>
      </c>
      <c r="E14" s="9" t="n">
        <v>15985</v>
      </c>
      <c r="F14" s="9" t="n">
        <v>-23316</v>
      </c>
    </row>
    <row r="15">
      <c r="A15" s="10" t="inlineStr">
        <is>
          <t xml:space="preserve">    Operating cash flow proxy</t>
        </is>
      </c>
      <c r="B15" s="11" t="n"/>
      <c r="C15" s="11" t="n">
        <v>43563</v>
      </c>
      <c r="D15" s="11" t="n">
        <v>80214</v>
      </c>
      <c r="E15" s="11" t="n">
        <v>132361</v>
      </c>
      <c r="F15" s="11" t="n">
        <v>275372</v>
      </c>
    </row>
    <row r="17">
      <c r="A17" s="6" t="inlineStr">
        <is>
          <t>Investing</t>
        </is>
      </c>
      <c r="B17" s="7" t="n"/>
      <c r="C17" s="7" t="n"/>
      <c r="D17" s="7" t="n"/>
      <c r="E17" s="7" t="n"/>
      <c r="F17" s="7" t="n"/>
    </row>
    <row r="18">
      <c r="A18" s="8" t="inlineStr">
        <is>
          <t xml:space="preserve">    − Δ PP&amp;E gross (capex proxy)</t>
        </is>
      </c>
      <c r="B18" s="9" t="n"/>
      <c r="C18" s="9" t="n">
        <v>-40231</v>
      </c>
      <c r="D18" s="9" t="n">
        <v>-79566</v>
      </c>
      <c r="E18" s="9" t="n">
        <v>0</v>
      </c>
      <c r="F18" s="9" t="n">
        <v>-221626</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4990</v>
      </c>
      <c r="D24" s="11" t="n">
        <v>73192</v>
      </c>
      <c r="E24" s="11" t="n">
        <v>89312</v>
      </c>
      <c r="F24" s="11" t="n">
        <v>63821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Chemeketa Park Mutual Water Company</t>
        </is>
      </c>
    </row>
    <row r="2">
      <c r="A2" s="2" t="inlineStr">
        <is>
          <t>Financial Ratios</t>
        </is>
      </c>
    </row>
    <row r="3">
      <c r="A3" s="2" t="inlineStr">
        <is>
          <t>Entity ID: cawc_0071   |   Fiscal year ends April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0.2015392464287492</v>
      </c>
      <c r="C7" s="12" t="n">
        <v>0.007201133421271191</v>
      </c>
      <c r="D7" s="12" t="n">
        <v>0.01592768400535674</v>
      </c>
      <c r="E7" s="12" t="n">
        <v>0.1017045552845107</v>
      </c>
      <c r="F7" s="12" t="n">
        <v>0.39501345211459</v>
      </c>
    </row>
    <row r="8">
      <c r="A8" s="8" t="inlineStr">
        <is>
          <t xml:space="preserve">    Expense ratio (expenses / revenue)</t>
        </is>
      </c>
      <c r="B8" s="12" t="n">
        <v>0.7984607535712508</v>
      </c>
      <c r="C8" s="12" t="n">
        <v>0.9927988665787288</v>
      </c>
      <c r="D8" s="12" t="n">
        <v>0.9840723159946433</v>
      </c>
      <c r="E8" s="12" t="n">
        <v>0.8982954447154894</v>
      </c>
      <c r="F8" s="12" t="n">
        <v>0.60498654788541</v>
      </c>
    </row>
    <row r="9">
      <c r="A9" s="8" t="inlineStr">
        <is>
          <t xml:space="preserve">    Return on assets (NI / assets)</t>
        </is>
      </c>
      <c r="B9" s="12" t="n">
        <v>0.04568281658757413</v>
      </c>
      <c r="C9" s="12" t="n">
        <v>0.001576437991656501</v>
      </c>
      <c r="D9" s="12" t="n">
        <v>0.003371671921235499</v>
      </c>
      <c r="E9" s="12" t="n">
        <v>0.03187963706739064</v>
      </c>
      <c r="F9" s="12" t="n">
        <v>0.1368623618249979</v>
      </c>
    </row>
    <row r="10">
      <c r="A10" s="8" t="inlineStr">
        <is>
          <t xml:space="preserve">    Revenue growth (YoY)</t>
        </is>
      </c>
      <c r="B10" s="12" t="n">
        <v>-0.04263892570278134</v>
      </c>
      <c r="C10" s="12" t="n">
        <v>-0.0448615051515604</v>
      </c>
      <c r="D10" s="12" t="n">
        <v>-0.01745403618479978</v>
      </c>
      <c r="E10" s="12" t="n">
        <v>0.532796775348387</v>
      </c>
      <c r="F10" s="12" t="n">
        <v>0</v>
      </c>
    </row>
    <row r="12">
      <c r="A12" s="6" t="inlineStr">
        <is>
          <t>Leverage &amp; solvency</t>
        </is>
      </c>
      <c r="B12" s="7" t="n"/>
      <c r="C12" s="7" t="n"/>
      <c r="D12" s="7" t="n"/>
      <c r="E12" s="7" t="n"/>
      <c r="F12" s="7" t="n"/>
    </row>
    <row r="13">
      <c r="A13" s="8" t="inlineStr">
        <is>
          <t xml:space="preserve">    Debt-to-assets (liab. / assets)</t>
        </is>
      </c>
      <c r="B13" s="12" t="n">
        <v>0.01570122058709464</v>
      </c>
      <c r="C13" s="12" t="n">
        <v>0.003147884999169358</v>
      </c>
      <c r="D13" s="12" t="n">
        <v>0.01557073879962866</v>
      </c>
      <c r="E13" s="12" t="n">
        <v>0.01712101030026335</v>
      </c>
      <c r="F13" s="12" t="n">
        <v>0.001153910633455918</v>
      </c>
    </row>
    <row r="14">
      <c r="A14" s="8" t="inlineStr">
        <is>
          <t xml:space="preserve">    Equity ratio (net assets / assets)</t>
        </is>
      </c>
      <c r="B14" s="12" t="n">
        <v>0.9842987794129053</v>
      </c>
      <c r="C14" s="12" t="n">
        <v>0.9968521150008306</v>
      </c>
      <c r="D14" s="12" t="n">
        <v>0.9844292612003713</v>
      </c>
      <c r="E14" s="12" t="n">
        <v>0.9828789896997366</v>
      </c>
      <c r="F14" s="12" t="n">
        <v>0.9988460893665441</v>
      </c>
    </row>
    <row r="16">
      <c r="A16" s="6" t="inlineStr">
        <is>
          <t>Liquidity &amp; asset profile (derived here)</t>
        </is>
      </c>
      <c r="B16" s="7" t="n"/>
      <c r="C16" s="7" t="n"/>
      <c r="D16" s="7" t="n"/>
      <c r="E16" s="7" t="n"/>
      <c r="F16" s="7" t="n"/>
    </row>
    <row r="17">
      <c r="A17" s="8" t="inlineStr">
        <is>
          <t xml:space="preserve">    Current ratio (current assets / AP)</t>
        </is>
      </c>
      <c r="B17" s="19" t="n">
        <v>15.00776934477029</v>
      </c>
      <c r="C17" s="19" t="n">
        <v>76.82174405436014</v>
      </c>
      <c r="D17" s="19" t="n">
        <v>44.47368421052632</v>
      </c>
      <c r="E17" s="19" t="n">
        <v>19.8626915310607</v>
      </c>
      <c r="F17" s="19" t="n">
        <v>321.6285419886656</v>
      </c>
    </row>
    <row r="18">
      <c r="A18" s="8" t="inlineStr">
        <is>
          <t xml:space="preserve">    Cash ratio ((cash+temp inv.) / total liab.)</t>
        </is>
      </c>
      <c r="B18" s="19" t="n">
        <v>15.00776934477029</v>
      </c>
      <c r="C18" s="19" t="n">
        <v>76.82174405436014</v>
      </c>
      <c r="D18" s="19" t="n">
        <v>18.58314556106354</v>
      </c>
      <c r="E18" s="19" t="n">
        <v>19.8626915310607</v>
      </c>
      <c r="F18" s="19" t="n">
        <v>291.3410613086038</v>
      </c>
    </row>
    <row r="19">
      <c r="A19" s="8" t="inlineStr">
        <is>
          <t xml:space="preserve">    Asset age proxy (accum. deprec. / gross PP&amp;E)</t>
        </is>
      </c>
      <c r="B19" s="12" t="n">
        <v>0.5172258364335462</v>
      </c>
      <c r="C19" s="12" t="n">
        <v>0.5360141085189383</v>
      </c>
      <c r="D19" s="12" t="n">
        <v>0.5412405317748972</v>
      </c>
      <c r="E19" s="12" t="n">
        <v>0.573902788021971</v>
      </c>
      <c r="F19" s="12" t="n">
        <v>0.5488595945035355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Chemeketa Park Mutual Water Company</t>
        </is>
      </c>
    </row>
    <row r="2">
      <c r="A2" s="2" t="inlineStr">
        <is>
          <t>Unit economics - per-customer revenue by category (USD)</t>
        </is>
      </c>
    </row>
    <row r="3">
      <c r="A3" s="2" t="inlineStr">
        <is>
          <t>Entity ID: cawc_0071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Chemeketa Park Mutual Water Company</t>
        </is>
      </c>
    </row>
    <row r="2">
      <c r="A2" s="2" t="inlineStr">
        <is>
          <t>Rate structure and representative bill - eAR Section 8a</t>
        </is>
      </c>
    </row>
    <row r="3">
      <c r="A3" s="2" t="inlineStr">
        <is>
          <t>Entity ID: cawc_0071   |   Fiscal year ends April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Chemeketa Park Mutual Water Company</t>
        </is>
      </c>
    </row>
    <row r="2">
      <c r="A2" s="2" t="inlineStr">
        <is>
          <t>Operational metrics - plant per acre, density, terrain</t>
        </is>
      </c>
    </row>
    <row r="3">
      <c r="A3" s="2" t="inlineStr">
        <is>
          <t>Entity ID: cawc_0071   |   Fiscal year ends April 30.</t>
        </is>
      </c>
    </row>
    <row r="5">
      <c r="A5" s="6" t="inlineStr">
        <is>
          <t>Plant assets per acre</t>
        </is>
      </c>
      <c r="B5" s="7" t="n"/>
      <c r="C5" s="7" t="n"/>
    </row>
    <row r="6">
      <c r="A6" s="20" t="inlineStr">
        <is>
          <t>Service-area acres</t>
        </is>
      </c>
      <c r="B6" s="26" t="n">
        <v>84.40000000000001</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23736.4573</v>
      </c>
      <c r="C8" s="9" t="n">
        <v>11459.3483</v>
      </c>
    </row>
    <row r="9">
      <c r="A9" s="18" t="inlineStr">
        <is>
          <t>FY2022</t>
        </is>
      </c>
      <c r="B9" s="9" t="n">
        <v>24213.128</v>
      </c>
      <c r="C9" s="9" t="n">
        <v>11234.5498</v>
      </c>
    </row>
    <row r="10">
      <c r="A10" s="18" t="inlineStr">
        <is>
          <t>FY2023</t>
        </is>
      </c>
      <c r="B10" s="9" t="n">
        <v>25155.8531</v>
      </c>
      <c r="C10" s="9" t="n">
        <v>11540.4858</v>
      </c>
    </row>
    <row r="11">
      <c r="A11" s="18" t="inlineStr">
        <is>
          <t>FY2024</t>
        </is>
      </c>
      <c r="B11" s="9" t="n">
        <v>25155.8531</v>
      </c>
      <c r="C11" s="9" t="n">
        <v>10718.8389</v>
      </c>
    </row>
    <row r="12">
      <c r="A12" s="18" t="inlineStr">
        <is>
          <t>FY2025</t>
        </is>
      </c>
      <c r="B12" s="9" t="n">
        <v>27781.7536</v>
      </c>
      <c r="C12" s="9" t="n">
        <v>12533.4716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1.81</v>
      </c>
      <c r="C19" s="22" t="inlineStr">
        <is>
          <t>153 connections / 84.4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Chemeketa Park Mutual Water Company</t>
        </is>
      </c>
    </row>
    <row r="2">
      <c r="A2" s="2" t="inlineStr">
        <is>
          <t>Supply and weather indicators (DWR water year)</t>
        </is>
      </c>
    </row>
    <row r="3">
      <c r="A3" s="2" t="inlineStr">
        <is>
          <t>Entity ID: cawc_0071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Chemeketa Park Mutual Water Company</t>
        </is>
      </c>
    </row>
    <row r="2">
      <c r="A2" s="2" t="inlineStr">
        <is>
          <t>How this was built - forensic lineage</t>
        </is>
      </c>
    </row>
    <row r="3">
      <c r="A3" s="2" t="inlineStr">
        <is>
          <t>Entity ID: cawc_0071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59"/>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Chemeketa Park Mutual Water Company</t>
        </is>
      </c>
    </row>
    <row r="2">
      <c r="A2" s="2" t="inlineStr">
        <is>
          <t>Sources &amp; audit - full provenance and tie-outs (kept off the statements so they read clean)</t>
        </is>
      </c>
    </row>
    <row r="3">
      <c r="A3" s="2" t="inlineStr">
        <is>
          <t>Entity ID: cawc_0071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2021-04-30</t>
        </is>
      </c>
      <c r="C10" s="8" t="inlineStr">
        <is>
          <t>990</t>
        </is>
      </c>
      <c r="D10" s="8" t="inlineStr">
        <is>
          <t>high</t>
        </is>
      </c>
      <c r="E10" s="8" t="inlineStr">
        <is>
          <t>c64b09fa-e57a-4b23-8338-9dc76d9c004b</t>
        </is>
      </c>
      <c r="F10" s="8" t="inlineStr">
        <is>
          <t>202102449349300435</t>
        </is>
      </c>
      <c r="G10" s="8" t="inlineStr">
        <is>
          <t>claude-opus-5</t>
        </is>
      </c>
      <c r="H10" s="8" t="inlineStr">
        <is>
          <t>2026-09-21T02:49:59+00:00</t>
        </is>
      </c>
      <c r="I10" s="8" t="inlineStr">
        <is>
          <t>https://apps.irs.gov/pub/epostcard/990/xml/2021/2021_TEOS_XML_01A.zip#202102449349300435_public.xml</t>
        </is>
      </c>
    </row>
    <row r="11">
      <c r="A11" s="27" t="inlineStr">
        <is>
          <t>FY2022</t>
        </is>
      </c>
      <c r="B11" s="8" t="inlineStr">
        <is>
          <t>2022-04-30</t>
        </is>
      </c>
      <c r="C11" s="8" t="inlineStr">
        <is>
          <t>990</t>
        </is>
      </c>
      <c r="D11" s="8" t="inlineStr">
        <is>
          <t>high</t>
        </is>
      </c>
      <c r="E11" s="8" t="inlineStr">
        <is>
          <t>57cfa800-1597-4126-bbec-331d045e1ffa</t>
        </is>
      </c>
      <c r="F11" s="8" t="inlineStr">
        <is>
          <t>202202029349301700</t>
        </is>
      </c>
      <c r="G11" s="8" t="inlineStr">
        <is>
          <t>claude-opus-5</t>
        </is>
      </c>
      <c r="H11" s="8" t="inlineStr">
        <is>
          <t>2026-09-21T02:49:59+00:00</t>
        </is>
      </c>
      <c r="I11" s="8" t="inlineStr">
        <is>
          <t>https://apps.irs.gov/pub/epostcard/990/xml/2022/2022_TEOS_XML_01A.zip#202202029349301700_public.xml</t>
        </is>
      </c>
    </row>
    <row r="12">
      <c r="A12" s="27" t="inlineStr">
        <is>
          <t>FY2023</t>
        </is>
      </c>
      <c r="B12" s="8" t="inlineStr">
        <is>
          <t>2023-04-30</t>
        </is>
      </c>
      <c r="C12" s="8" t="inlineStr">
        <is>
          <t>990</t>
        </is>
      </c>
      <c r="D12" s="8" t="inlineStr">
        <is>
          <t>high</t>
        </is>
      </c>
      <c r="E12" s="8" t="inlineStr">
        <is>
          <t>290dc7be-0ffe-4f49-8cc5-793912f529f8</t>
        </is>
      </c>
      <c r="F12" s="8" t="inlineStr">
        <is>
          <t>202302279349301480</t>
        </is>
      </c>
      <c r="G12" s="8" t="inlineStr">
        <is>
          <t>claude-opus-5</t>
        </is>
      </c>
      <c r="H12" s="8" t="inlineStr">
        <is>
          <t>2026-09-21T02:49:59+00:00</t>
        </is>
      </c>
      <c r="I12" s="8" t="inlineStr">
        <is>
          <t>https://apps.irs.gov/pub/epostcard/990/xml/2023/2023_TEOS_XML_08A.zip#202302279349301480_public.xml</t>
        </is>
      </c>
    </row>
    <row r="13">
      <c r="A13" s="27" t="inlineStr">
        <is>
          <t>FY2024</t>
        </is>
      </c>
      <c r="B13" s="8" t="inlineStr">
        <is>
          <t>2024-04-30</t>
        </is>
      </c>
      <c r="C13" s="8" t="inlineStr">
        <is>
          <t>990</t>
        </is>
      </c>
      <c r="D13" s="8" t="inlineStr">
        <is>
          <t>high</t>
        </is>
      </c>
      <c r="E13" s="8" t="inlineStr">
        <is>
          <t>91b55981-a61e-4a10-a8a2-8abb851dbfb0</t>
        </is>
      </c>
      <c r="F13" s="8" t="inlineStr">
        <is>
          <t>202541709349300824</t>
        </is>
      </c>
      <c r="G13" s="8" t="inlineStr">
        <is>
          <t>claude-opus-5</t>
        </is>
      </c>
      <c r="H13" s="8" t="inlineStr">
        <is>
          <t>2026-09-21T02:49:59+00:00</t>
        </is>
      </c>
      <c r="I13" s="8" t="inlineStr">
        <is>
          <t>https://apps.irs.gov/pub/epostcard/990/xml/2025/2025_TEOS_XML_06A.zip#202541709349300824_public.xml</t>
        </is>
      </c>
    </row>
    <row r="14">
      <c r="A14" s="27" t="inlineStr">
        <is>
          <t>FY2025</t>
        </is>
      </c>
      <c r="B14" s="8" t="inlineStr">
        <is>
          <t>2025-04-30</t>
        </is>
      </c>
      <c r="C14" s="8" t="inlineStr">
        <is>
          <t>990</t>
        </is>
      </c>
      <c r="D14" s="8" t="inlineStr">
        <is>
          <t>high</t>
        </is>
      </c>
      <c r="E14" s="8" t="inlineStr">
        <is>
          <t>bf75cf21-f7c8-45f8-97a4-fa6432d674e6</t>
        </is>
      </c>
      <c r="F14" s="8" t="inlineStr">
        <is>
          <t>202620199349300952</t>
        </is>
      </c>
      <c r="G14" s="8" t="inlineStr">
        <is>
          <t>claude-opus-5</t>
        </is>
      </c>
      <c r="H14" s="8" t="inlineStr">
        <is>
          <t>2026-09-21T02:49:59+00:00</t>
        </is>
      </c>
      <c r="I14" s="8" t="inlineStr">
        <is>
          <t>https://apps.irs.gov/pub/epostcard/990/xml/2026/2026_TEOS_XML_01A.zip#202620199349300952_public.xml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321456</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302127</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0</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361291</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0</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32</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221517</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321456</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307003</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300372</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459265</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582304</v>
      </c>
    </row>
    <row r="33">
      <c r="A33" s="8" t="inlineStr">
        <is>
          <t>Revenue (detail)</t>
        </is>
      </c>
      <c r="B33" s="8" t="inlineStr">
        <is>
          <t>C9</t>
        </is>
      </c>
      <c r="C33" s="8" t="inlineStr">
        <is>
          <t>3. Investment income</t>
        </is>
      </c>
      <c r="D33" s="8" t="inlineStr">
        <is>
          <t>3</t>
        </is>
      </c>
      <c r="E33" s="8" t="inlineStr">
        <is>
          <t>part_viii_revenue.investment_income</t>
        </is>
      </c>
      <c r="F33" s="8" t="inlineStr">
        <is>
          <t>high</t>
        </is>
      </c>
      <c r="G33" s="9" t="n">
        <v>32</v>
      </c>
    </row>
    <row r="34">
      <c r="A34" s="8" t="inlineStr">
        <is>
          <t>Revenue (detail)</t>
        </is>
      </c>
      <c r="B34" s="8" t="inlineStr">
        <is>
          <t>D9</t>
        </is>
      </c>
      <c r="C34" s="8" t="inlineStr">
        <is>
          <t>3. Investment income</t>
        </is>
      </c>
      <c r="D34" s="8" t="inlineStr">
        <is>
          <t>3</t>
        </is>
      </c>
      <c r="E34" s="8" t="inlineStr">
        <is>
          <t>part_viii_revenue.investment_income</t>
        </is>
      </c>
      <c r="F34" s="8" t="inlineStr">
        <is>
          <t>high</t>
        </is>
      </c>
      <c r="G34" s="9" t="n">
        <v>1304</v>
      </c>
    </row>
    <row r="35">
      <c r="A35" s="8" t="inlineStr">
        <is>
          <t>Revenue (detail)</t>
        </is>
      </c>
      <c r="B35" s="8" t="inlineStr">
        <is>
          <t>E9</t>
        </is>
      </c>
      <c r="C35" s="8" t="inlineStr">
        <is>
          <t>3. Investment income</t>
        </is>
      </c>
      <c r="D35" s="8" t="inlineStr">
        <is>
          <t>3</t>
        </is>
      </c>
      <c r="E35" s="8" t="inlineStr">
        <is>
          <t>part_viii_revenue.investment_income</t>
        </is>
      </c>
      <c r="F35" s="8" t="inlineStr">
        <is>
          <t>high</t>
        </is>
      </c>
      <c r="G35" s="9" t="n">
        <v>3143</v>
      </c>
    </row>
    <row r="36">
      <c r="A36" s="8" t="inlineStr">
        <is>
          <t>Revenue (detail)</t>
        </is>
      </c>
      <c r="B36" s="8" t="inlineStr">
        <is>
          <t>F9</t>
        </is>
      </c>
      <c r="C36" s="8" t="inlineStr">
        <is>
          <t>3. Investment income</t>
        </is>
      </c>
      <c r="D36" s="8" t="inlineStr">
        <is>
          <t>3</t>
        </is>
      </c>
      <c r="E36" s="8" t="inlineStr">
        <is>
          <t>part_viii_revenue.investment_income</t>
        </is>
      </c>
      <c r="F36" s="8" t="inlineStr">
        <is>
          <t>high</t>
        </is>
      </c>
      <c r="G36" s="9" t="n">
        <v>504</v>
      </c>
    </row>
    <row r="37">
      <c r="A37" s="8" t="inlineStr">
        <is>
          <t>Operating expenses (detail)</t>
        </is>
      </c>
      <c r="B37" s="8" t="inlineStr">
        <is>
          <t>D7</t>
        </is>
      </c>
      <c r="C37" s="8" t="inlineStr">
        <is>
          <t>11b. Fees for services: legal</t>
        </is>
      </c>
      <c r="D37" s="8" t="inlineStr">
        <is>
          <t>11b</t>
        </is>
      </c>
      <c r="E37" s="8" t="inlineStr">
        <is>
          <t>part_ix_expenses.fees_legal</t>
        </is>
      </c>
      <c r="F37" s="8" t="inlineStr">
        <is>
          <t>high</t>
        </is>
      </c>
      <c r="G37" s="9" t="n">
        <v>2919</v>
      </c>
    </row>
    <row r="38">
      <c r="A38" s="8" t="inlineStr">
        <is>
          <t>Operating expenses (detail)</t>
        </is>
      </c>
      <c r="B38" s="8" t="inlineStr">
        <is>
          <t>E7</t>
        </is>
      </c>
      <c r="C38" s="8" t="inlineStr">
        <is>
          <t>11b. Fees for services: legal</t>
        </is>
      </c>
      <c r="D38" s="8" t="inlineStr">
        <is>
          <t>11b</t>
        </is>
      </c>
      <c r="E38" s="8" t="inlineStr">
        <is>
          <t>part_ix_expenses.fees_legal</t>
        </is>
      </c>
      <c r="F38" s="8" t="inlineStr">
        <is>
          <t>high</t>
        </is>
      </c>
      <c r="G38" s="9" t="n">
        <v>25075</v>
      </c>
    </row>
    <row r="39">
      <c r="A39" s="8" t="inlineStr">
        <is>
          <t>Operating expenses (detail)</t>
        </is>
      </c>
      <c r="B39" s="8" t="inlineStr">
        <is>
          <t>B8</t>
        </is>
      </c>
      <c r="C39" s="8" t="inlineStr">
        <is>
          <t>11c. Fees for services: accounting</t>
        </is>
      </c>
      <c r="D39" s="8" t="inlineStr">
        <is>
          <t>11c</t>
        </is>
      </c>
      <c r="E39" s="8" t="inlineStr">
        <is>
          <t>part_ix_expenses.fees_accounting</t>
        </is>
      </c>
      <c r="F39" s="8" t="inlineStr">
        <is>
          <t>high</t>
        </is>
      </c>
      <c r="G39" s="9" t="n">
        <v>3500</v>
      </c>
    </row>
    <row r="40">
      <c r="A40" s="8" t="inlineStr">
        <is>
          <t>Operating expenses (detail)</t>
        </is>
      </c>
      <c r="B40" s="8" t="inlineStr">
        <is>
          <t>C8</t>
        </is>
      </c>
      <c r="C40" s="8" t="inlineStr">
        <is>
          <t>11c. Fees for services: accounting</t>
        </is>
      </c>
      <c r="D40" s="8" t="inlineStr">
        <is>
          <t>11c</t>
        </is>
      </c>
      <c r="E40" s="8" t="inlineStr">
        <is>
          <t>part_ix_expenses.fees_accounting</t>
        </is>
      </c>
      <c r="F40" s="8" t="inlineStr">
        <is>
          <t>high</t>
        </is>
      </c>
      <c r="G40" s="9" t="n">
        <v>3500</v>
      </c>
    </row>
    <row r="41">
      <c r="A41" s="8" t="inlineStr">
        <is>
          <t>Operating expenses (detail)</t>
        </is>
      </c>
      <c r="B41" s="8" t="inlineStr">
        <is>
          <t>D8</t>
        </is>
      </c>
      <c r="C41" s="8" t="inlineStr">
        <is>
          <t>11c. Fees for services: accounting</t>
        </is>
      </c>
      <c r="D41" s="8" t="inlineStr">
        <is>
          <t>11c</t>
        </is>
      </c>
      <c r="E41" s="8" t="inlineStr">
        <is>
          <t>part_ix_expenses.fees_accounting</t>
        </is>
      </c>
      <c r="F41" s="8" t="inlineStr">
        <is>
          <t>high</t>
        </is>
      </c>
      <c r="G41" s="9" t="n">
        <v>3500</v>
      </c>
    </row>
    <row r="42">
      <c r="A42" s="8" t="inlineStr">
        <is>
          <t>Operating expenses (detail)</t>
        </is>
      </c>
      <c r="B42" s="8" t="inlineStr">
        <is>
          <t>E8</t>
        </is>
      </c>
      <c r="C42" s="8" t="inlineStr">
        <is>
          <t>11c. Fees for services: accounting</t>
        </is>
      </c>
      <c r="D42" s="8" t="inlineStr">
        <is>
          <t>11c</t>
        </is>
      </c>
      <c r="E42" s="8" t="inlineStr">
        <is>
          <t>part_ix_expenses.fees_accounting</t>
        </is>
      </c>
      <c r="F42" s="8" t="inlineStr">
        <is>
          <t>high</t>
        </is>
      </c>
      <c r="G42" s="9" t="n">
        <v>30631</v>
      </c>
    </row>
    <row r="43">
      <c r="A43" s="8" t="inlineStr">
        <is>
          <t>Operating expenses (detail)</t>
        </is>
      </c>
      <c r="B43" s="8" t="inlineStr">
        <is>
          <t>B9</t>
        </is>
      </c>
      <c r="C43" s="8" t="inlineStr">
        <is>
          <t>11g. Fees for services: other</t>
        </is>
      </c>
      <c r="D43" s="8" t="inlineStr">
        <is>
          <t>11g</t>
        </is>
      </c>
      <c r="E43" s="8" t="inlineStr">
        <is>
          <t>part_ix_expenses.fees_other</t>
        </is>
      </c>
      <c r="F43" s="8" t="inlineStr">
        <is>
          <t>high</t>
        </is>
      </c>
      <c r="G43" s="9" t="n">
        <v>98539</v>
      </c>
    </row>
    <row r="44">
      <c r="A44" s="8" t="inlineStr">
        <is>
          <t>Operating expenses (detail)</t>
        </is>
      </c>
      <c r="B44" s="8" t="inlineStr">
        <is>
          <t>C9</t>
        </is>
      </c>
      <c r="C44" s="8" t="inlineStr">
        <is>
          <t>11g. Fees for services: other</t>
        </is>
      </c>
      <c r="D44" s="8" t="inlineStr">
        <is>
          <t>11g</t>
        </is>
      </c>
      <c r="E44" s="8" t="inlineStr">
        <is>
          <t>part_ix_expenses.fees_other</t>
        </is>
      </c>
      <c r="F44" s="8" t="inlineStr">
        <is>
          <t>high</t>
        </is>
      </c>
      <c r="G44" s="9" t="n">
        <v>98015</v>
      </c>
    </row>
    <row r="45">
      <c r="A45" s="8" t="inlineStr">
        <is>
          <t>Operating expenses (detail)</t>
        </is>
      </c>
      <c r="B45" s="8" t="inlineStr">
        <is>
          <t>D9</t>
        </is>
      </c>
      <c r="C45" s="8" t="inlineStr">
        <is>
          <t>11g. Fees for services: other</t>
        </is>
      </c>
      <c r="D45" s="8" t="inlineStr">
        <is>
          <t>11g</t>
        </is>
      </c>
      <c r="E45" s="8" t="inlineStr">
        <is>
          <t>part_ix_expenses.fees_other</t>
        </is>
      </c>
      <c r="F45" s="8" t="inlineStr">
        <is>
          <t>high</t>
        </is>
      </c>
      <c r="G45" s="9" t="n">
        <v>91079</v>
      </c>
    </row>
    <row r="46">
      <c r="A46" s="8" t="inlineStr">
        <is>
          <t>Operating expenses (detail)</t>
        </is>
      </c>
      <c r="B46" s="8" t="inlineStr">
        <is>
          <t>E9</t>
        </is>
      </c>
      <c r="C46" s="8" t="inlineStr">
        <is>
          <t>11g. Fees for services: other</t>
        </is>
      </c>
      <c r="D46" s="8" t="inlineStr">
        <is>
          <t>11g</t>
        </is>
      </c>
      <c r="E46" s="8" t="inlineStr">
        <is>
          <t>part_ix_expenses.fees_other</t>
        </is>
      </c>
      <c r="F46" s="8" t="inlineStr">
        <is>
          <t>high</t>
        </is>
      </c>
      <c r="G46" s="9" t="n">
        <v>43869</v>
      </c>
    </row>
    <row r="47">
      <c r="A47" s="8" t="inlineStr">
        <is>
          <t>Operating expenses (detail)</t>
        </is>
      </c>
      <c r="B47" s="8" t="inlineStr">
        <is>
          <t>F9</t>
        </is>
      </c>
      <c r="C47" s="8" t="inlineStr">
        <is>
          <t>11g. Fees for services: other</t>
        </is>
      </c>
      <c r="D47" s="8" t="inlineStr">
        <is>
          <t>11g</t>
        </is>
      </c>
      <c r="E47" s="8" t="inlineStr">
        <is>
          <t>part_ix_expenses.fees_other</t>
        </is>
      </c>
      <c r="F47" s="8" t="inlineStr">
        <is>
          <t>high</t>
        </is>
      </c>
      <c r="G47" s="9" t="n">
        <v>72175</v>
      </c>
    </row>
    <row r="48">
      <c r="A48" s="8" t="inlineStr">
        <is>
          <t>Operating expenses (detail)</t>
        </is>
      </c>
      <c r="B48" s="8" t="inlineStr">
        <is>
          <t>E10</t>
        </is>
      </c>
      <c r="C48" s="8" t="inlineStr">
        <is>
          <t>13. Office expenses</t>
        </is>
      </c>
      <c r="D48" s="8" t="inlineStr">
        <is>
          <t>13</t>
        </is>
      </c>
      <c r="E48" s="8" t="inlineStr">
        <is>
          <t>part_ix_expenses.office_expenses</t>
        </is>
      </c>
      <c r="F48" s="8" t="inlineStr">
        <is>
          <t>high</t>
        </is>
      </c>
      <c r="G48" s="9" t="n">
        <v>2543</v>
      </c>
    </row>
    <row r="49">
      <c r="A49" s="8" t="inlineStr">
        <is>
          <t>Operating expenses (detail)</t>
        </is>
      </c>
      <c r="B49" s="8" t="inlineStr">
        <is>
          <t>E11</t>
        </is>
      </c>
      <c r="C49" s="8" t="inlineStr">
        <is>
          <t>16. Occupancy</t>
        </is>
      </c>
      <c r="D49" s="8" t="inlineStr">
        <is>
          <t>16</t>
        </is>
      </c>
      <c r="E49" s="8" t="inlineStr">
        <is>
          <t>part_ix_expenses.occupancy</t>
        </is>
      </c>
      <c r="F49" s="8" t="inlineStr">
        <is>
          <t>high</t>
        </is>
      </c>
      <c r="G49" s="9" t="n">
        <v>4645</v>
      </c>
    </row>
    <row r="50">
      <c r="A50" s="8" t="inlineStr">
        <is>
          <t>Operating expenses (detail)</t>
        </is>
      </c>
      <c r="B50" s="8" t="inlineStr">
        <is>
          <t>F11</t>
        </is>
      </c>
      <c r="C50" s="8" t="inlineStr">
        <is>
          <t>16. Occupancy</t>
        </is>
      </c>
      <c r="D50" s="8" t="inlineStr">
        <is>
          <t>16</t>
        </is>
      </c>
      <c r="E50" s="8" t="inlineStr">
        <is>
          <t>part_ix_expenses.occupancy</t>
        </is>
      </c>
      <c r="F50" s="8" t="inlineStr">
        <is>
          <t>high</t>
        </is>
      </c>
      <c r="G50" s="9" t="n">
        <v>50215</v>
      </c>
    </row>
    <row r="51">
      <c r="A51" s="8" t="inlineStr">
        <is>
          <t>Operating expenses (detail)</t>
        </is>
      </c>
      <c r="B51" s="8" t="inlineStr">
        <is>
          <t>B12</t>
        </is>
      </c>
      <c r="C51" s="8" t="inlineStr">
        <is>
          <t>22. Depreciation, depletion, and amortization</t>
        </is>
      </c>
      <c r="D51" s="8" t="inlineStr">
        <is>
          <t>22</t>
        </is>
      </c>
      <c r="E51" s="8" t="inlineStr">
        <is>
          <t>part_ix_expenses.depreciation</t>
        </is>
      </c>
      <c r="F51" s="8" t="inlineStr">
        <is>
          <t>high</t>
        </is>
      </c>
      <c r="G51" s="9" t="n">
        <v>56926</v>
      </c>
    </row>
    <row r="52">
      <c r="A52" s="8" t="inlineStr">
        <is>
          <t>Operating expenses (detail)</t>
        </is>
      </c>
      <c r="B52" s="8" t="inlineStr">
        <is>
          <t>C12</t>
        </is>
      </c>
      <c r="C52" s="8" t="inlineStr">
        <is>
          <t>22. Depreciation, depletion, and amortization</t>
        </is>
      </c>
      <c r="D52" s="8" t="inlineStr">
        <is>
          <t>22</t>
        </is>
      </c>
      <c r="E52" s="8" t="inlineStr">
        <is>
          <t>part_ix_expenses.depreciation</t>
        </is>
      </c>
      <c r="F52" s="8" t="inlineStr">
        <is>
          <t>high</t>
        </is>
      </c>
      <c r="G52" s="9" t="n">
        <v>59204</v>
      </c>
    </row>
    <row r="53">
      <c r="A53" s="8" t="inlineStr">
        <is>
          <t>Operating expenses (detail)</t>
        </is>
      </c>
      <c r="B53" s="8" t="inlineStr">
        <is>
          <t>D12</t>
        </is>
      </c>
      <c r="C53" s="8" t="inlineStr">
        <is>
          <t>22. Depreciation, depletion, and amortization</t>
        </is>
      </c>
      <c r="D53" s="8" t="inlineStr">
        <is>
          <t>22</t>
        </is>
      </c>
      <c r="E53" s="8" t="inlineStr">
        <is>
          <t>part_ix_expenses.depreciation</t>
        </is>
      </c>
      <c r="F53" s="8" t="inlineStr">
        <is>
          <t>high</t>
        </is>
      </c>
      <c r="G53" s="9" t="n">
        <v>70552</v>
      </c>
    </row>
    <row r="54">
      <c r="A54" s="8" t="inlineStr">
        <is>
          <t>Operating expenses (detail)</t>
        </is>
      </c>
      <c r="B54" s="8" t="inlineStr">
        <is>
          <t>E12</t>
        </is>
      </c>
      <c r="C54" s="8" t="inlineStr">
        <is>
          <t>22. Depreciation, depletion, and amortization</t>
        </is>
      </c>
      <c r="D54" s="8" t="inlineStr">
        <is>
          <t>22</t>
        </is>
      </c>
      <c r="E54" s="8" t="inlineStr">
        <is>
          <t>part_ix_expenses.depreciation</t>
        </is>
      </c>
      <c r="F54" s="8" t="inlineStr">
        <is>
          <t>high</t>
        </is>
      </c>
      <c r="G54" s="9" t="n">
        <v>69347</v>
      </c>
    </row>
    <row r="55">
      <c r="A55" s="8" t="inlineStr">
        <is>
          <t>Operating expenses (detail)</t>
        </is>
      </c>
      <c r="B55" s="8" t="inlineStr">
        <is>
          <t>F12</t>
        </is>
      </c>
      <c r="C55" s="8" t="inlineStr">
        <is>
          <t>22. Depreciation, depletion, and amortization</t>
        </is>
      </c>
      <c r="D55" s="8" t="inlineStr">
        <is>
          <t>22</t>
        </is>
      </c>
      <c r="E55" s="8" t="inlineStr">
        <is>
          <t>part_ix_expenses.depreciation</t>
        </is>
      </c>
      <c r="F55" s="8" t="inlineStr">
        <is>
          <t>high</t>
        </is>
      </c>
      <c r="G55" s="9" t="n">
        <v>68471</v>
      </c>
    </row>
    <row r="56">
      <c r="A56" s="8" t="inlineStr">
        <is>
          <t>Operating expenses (detail)</t>
        </is>
      </c>
      <c r="B56" s="8" t="inlineStr">
        <is>
          <t>B13</t>
        </is>
      </c>
      <c r="C56" s="8" t="inlineStr">
        <is>
          <t>23. Insurance</t>
        </is>
      </c>
      <c r="D56" s="8" t="inlineStr">
        <is>
          <t>23</t>
        </is>
      </c>
      <c r="E56" s="8" t="inlineStr">
        <is>
          <t>part_ix_expenses.insurance</t>
        </is>
      </c>
      <c r="F56" s="8" t="inlineStr">
        <is>
          <t>high</t>
        </is>
      </c>
      <c r="G56" s="9" t="n">
        <v>18439</v>
      </c>
    </row>
    <row r="57">
      <c r="A57" s="8" t="inlineStr">
        <is>
          <t>Operating expenses (detail)</t>
        </is>
      </c>
      <c r="B57" s="8" t="inlineStr">
        <is>
          <t>C13</t>
        </is>
      </c>
      <c r="C57" s="8" t="inlineStr">
        <is>
          <t>23. Insurance</t>
        </is>
      </c>
      <c r="D57" s="8" t="inlineStr">
        <is>
          <t>23</t>
        </is>
      </c>
      <c r="E57" s="8" t="inlineStr">
        <is>
          <t>part_ix_expenses.insurance</t>
        </is>
      </c>
      <c r="F57" s="8" t="inlineStr">
        <is>
          <t>high</t>
        </is>
      </c>
      <c r="G57" s="9" t="n">
        <v>9445</v>
      </c>
    </row>
    <row r="58">
      <c r="A58" s="8" t="inlineStr">
        <is>
          <t>Operating expenses (detail)</t>
        </is>
      </c>
      <c r="B58" s="8" t="inlineStr">
        <is>
          <t>D13</t>
        </is>
      </c>
      <c r="C58" s="8" t="inlineStr">
        <is>
          <t>23. Insurance</t>
        </is>
      </c>
      <c r="D58" s="8" t="inlineStr">
        <is>
          <t>23</t>
        </is>
      </c>
      <c r="E58" s="8" t="inlineStr">
        <is>
          <t>part_ix_expenses.insurance</t>
        </is>
      </c>
      <c r="F58" s="8" t="inlineStr">
        <is>
          <t>high</t>
        </is>
      </c>
      <c r="G58" s="9" t="n">
        <v>9575</v>
      </c>
    </row>
    <row r="59">
      <c r="A59" s="8" t="inlineStr">
        <is>
          <t>Operating expenses (detail)</t>
        </is>
      </c>
      <c r="B59" s="8" t="inlineStr">
        <is>
          <t>B25</t>
        </is>
      </c>
      <c r="C59" s="8" t="inlineStr">
        <is>
          <t>24e. All other expenses</t>
        </is>
      </c>
      <c r="D59" s="8" t="inlineStr">
        <is>
          <t>24e</t>
        </is>
      </c>
      <c r="E59" s="8" t="inlineStr">
        <is>
          <t>part_ix_expenses.all_other_expenses</t>
        </is>
      </c>
      <c r="F59" s="8" t="inlineStr">
        <is>
          <t>high</t>
        </is>
      </c>
      <c r="G59" s="9" t="n">
        <v>9254</v>
      </c>
    </row>
    <row r="60">
      <c r="A60" s="8" t="inlineStr">
        <is>
          <t>Operating expenses (detail)</t>
        </is>
      </c>
      <c r="B60" s="8" t="inlineStr">
        <is>
          <t>C25</t>
        </is>
      </c>
      <c r="C60" s="8" t="inlineStr">
        <is>
          <t>24e. All other expenses</t>
        </is>
      </c>
      <c r="D60" s="8" t="inlineStr">
        <is>
          <t>24e</t>
        </is>
      </c>
      <c r="E60" s="8" t="inlineStr">
        <is>
          <t>part_ix_expenses.all_other_expenses</t>
        </is>
      </c>
      <c r="F60" s="8" t="inlineStr">
        <is>
          <t>high</t>
        </is>
      </c>
      <c r="G60" s="9" t="n">
        <v>42780</v>
      </c>
    </row>
    <row r="61">
      <c r="A61" s="8" t="inlineStr">
        <is>
          <t>Operating expenses (detail)</t>
        </is>
      </c>
      <c r="B61" s="8" t="inlineStr">
        <is>
          <t>D25</t>
        </is>
      </c>
      <c r="C61" s="8" t="inlineStr">
        <is>
          <t>24e. All other expenses</t>
        </is>
      </c>
      <c r="D61" s="8" t="inlineStr">
        <is>
          <t>24e</t>
        </is>
      </c>
      <c r="E61" s="8" t="inlineStr">
        <is>
          <t>part_ix_expenses.all_other_expenses</t>
        </is>
      </c>
      <c r="F61" s="8" t="inlineStr">
        <is>
          <t>high</t>
        </is>
      </c>
      <c r="G61" s="9" t="n">
        <v>25599</v>
      </c>
    </row>
    <row r="62">
      <c r="A62" s="8" t="inlineStr">
        <is>
          <t>Operating expenses (detail)</t>
        </is>
      </c>
      <c r="B62" s="8" t="inlineStr">
        <is>
          <t>E25</t>
        </is>
      </c>
      <c r="C62" s="8" t="inlineStr">
        <is>
          <t>24e. All other expenses</t>
        </is>
      </c>
      <c r="D62" s="8" t="inlineStr">
        <is>
          <t>24e</t>
        </is>
      </c>
      <c r="E62" s="8" t="inlineStr">
        <is>
          <t>part_ix_expenses.all_other_expenses</t>
        </is>
      </c>
      <c r="F62" s="8" t="inlineStr">
        <is>
          <t>high</t>
        </is>
      </c>
      <c r="G62" s="9" t="n">
        <v>16784</v>
      </c>
    </row>
    <row r="63">
      <c r="A63" s="8" t="inlineStr">
        <is>
          <t>Balance sheet (detail)</t>
        </is>
      </c>
      <c r="B63" s="8" t="inlineStr">
        <is>
          <t>B7</t>
        </is>
      </c>
      <c r="C63" s="8" t="inlineStr">
        <is>
          <t>1. Cash - non-interest-bearing</t>
        </is>
      </c>
      <c r="D63" s="8" t="inlineStr">
        <is>
          <t>1E</t>
        </is>
      </c>
      <c r="E63" s="8" t="inlineStr">
        <is>
          <t>part_x_balance_sheet.cash_noninterest_eoy</t>
        </is>
      </c>
      <c r="F63" s="8" t="inlineStr">
        <is>
          <t>high</t>
        </is>
      </c>
      <c r="G63" s="9" t="n">
        <v>334178</v>
      </c>
    </row>
    <row r="64">
      <c r="A64" s="8" t="inlineStr">
        <is>
          <t>Balance sheet (detail)</t>
        </is>
      </c>
      <c r="B64" s="8" t="inlineStr">
        <is>
          <t>C7</t>
        </is>
      </c>
      <c r="C64" s="8" t="inlineStr">
        <is>
          <t>1. Cash - non-interest-bearing</t>
        </is>
      </c>
      <c r="D64" s="8" t="inlineStr">
        <is>
          <t>1E</t>
        </is>
      </c>
      <c r="E64" s="8" t="inlineStr">
        <is>
          <t>part_x_balance_sheet.cash_noninterest_eoy</t>
        </is>
      </c>
      <c r="F64" s="8" t="inlineStr">
        <is>
          <t>high</t>
        </is>
      </c>
      <c r="G64" s="9" t="n">
        <v>339168</v>
      </c>
    </row>
    <row r="65">
      <c r="A65" s="8" t="inlineStr">
        <is>
          <t>Balance sheet (detail)</t>
        </is>
      </c>
      <c r="B65" s="8" t="inlineStr">
        <is>
          <t>D7</t>
        </is>
      </c>
      <c r="C65" s="8" t="inlineStr">
        <is>
          <t>1. Cash - non-interest-bearing</t>
        </is>
      </c>
      <c r="D65" s="8" t="inlineStr">
        <is>
          <t>1E</t>
        </is>
      </c>
      <c r="E65" s="8" t="inlineStr">
        <is>
          <t>part_x_balance_sheet.cash_noninterest_eoy</t>
        </is>
      </c>
      <c r="F65" s="8" t="inlineStr">
        <is>
          <t>high</t>
        </is>
      </c>
      <c r="G65" s="9" t="n">
        <v>60557</v>
      </c>
    </row>
    <row r="66">
      <c r="A66" s="8" t="inlineStr">
        <is>
          <t>Balance sheet (detail)</t>
        </is>
      </c>
      <c r="B66" s="8" t="inlineStr">
        <is>
          <t>E7</t>
        </is>
      </c>
      <c r="C66" s="8" t="inlineStr">
        <is>
          <t>1. Cash - non-interest-bearing</t>
        </is>
      </c>
      <c r="D66" s="8" t="inlineStr">
        <is>
          <t>1E</t>
        </is>
      </c>
      <c r="E66" s="8" t="inlineStr">
        <is>
          <t>part_x_balance_sheet.cash_noninterest_eoy</t>
        </is>
      </c>
      <c r="F66" s="8" t="inlineStr">
        <is>
          <t>high</t>
        </is>
      </c>
      <c r="G66" s="9" t="n">
        <v>169706</v>
      </c>
    </row>
    <row r="67">
      <c r="A67" s="8" t="inlineStr">
        <is>
          <t>Balance sheet (detail)</t>
        </is>
      </c>
      <c r="B67" s="8" t="inlineStr">
        <is>
          <t>F7</t>
        </is>
      </c>
      <c r="C67" s="8" t="inlineStr">
        <is>
          <t>1. Cash - non-interest-bearing</t>
        </is>
      </c>
      <c r="D67" s="8" t="inlineStr">
        <is>
          <t>1E</t>
        </is>
      </c>
      <c r="E67" s="8" t="inlineStr">
        <is>
          <t>part_x_balance_sheet.cash_noninterest_eoy</t>
        </is>
      </c>
      <c r="F67" s="8" t="inlineStr">
        <is>
          <t>high</t>
        </is>
      </c>
      <c r="G67" s="9" t="n">
        <v>565493</v>
      </c>
    </row>
    <row r="68">
      <c r="A68" s="8" t="inlineStr">
        <is>
          <t>Balance sheet (detail)</t>
        </is>
      </c>
      <c r="B68" s="8" t="inlineStr">
        <is>
          <t>D8</t>
        </is>
      </c>
      <c r="C68" s="8" t="inlineStr">
        <is>
          <t>2. Savings and temporary cash investments</t>
        </is>
      </c>
      <c r="D68" s="8" t="inlineStr">
        <is>
          <t>2E</t>
        </is>
      </c>
      <c r="E68" s="8" t="inlineStr">
        <is>
          <t>part_x_balance_sheet.savings_temp_invest_eoy</t>
        </is>
      </c>
      <c r="F68" s="8" t="inlineStr">
        <is>
          <t>high</t>
        </is>
      </c>
      <c r="G68" s="9" t="n">
        <v>351803</v>
      </c>
    </row>
    <row r="69">
      <c r="A69" s="8" t="inlineStr">
        <is>
          <t>Balance sheet (detail)</t>
        </is>
      </c>
      <c r="B69" s="8" t="inlineStr">
        <is>
          <t>E8</t>
        </is>
      </c>
      <c r="C69" s="8" t="inlineStr">
        <is>
          <t>2. Savings and temporary cash investments</t>
        </is>
      </c>
      <c r="D69" s="8" t="inlineStr">
        <is>
          <t>2E</t>
        </is>
      </c>
      <c r="E69" s="8" t="inlineStr">
        <is>
          <t>part_x_balance_sheet.savings_temp_invest_eoy</t>
        </is>
      </c>
      <c r="F69" s="8" t="inlineStr">
        <is>
          <t>high</t>
        </is>
      </c>
      <c r="G69" s="9" t="n">
        <v>331966</v>
      </c>
    </row>
    <row r="70">
      <c r="A70" s="8" t="inlineStr">
        <is>
          <t>Balance sheet (detail)</t>
        </is>
      </c>
      <c r="B70" s="8" t="inlineStr">
        <is>
          <t>B9</t>
        </is>
      </c>
      <c r="C70" s="8" t="inlineStr">
        <is>
          <t>3. Pledges and grants receivable, net</t>
        </is>
      </c>
      <c r="D70" s="8" t="inlineStr">
        <is>
          <t>3E</t>
        </is>
      </c>
      <c r="E70" s="8" t="inlineStr">
        <is>
          <t>part_x_balance_sheet.pledges_grants_receivable_eoy</t>
        </is>
      </c>
      <c r="F70" s="8" t="inlineStr">
        <is>
          <t>high</t>
        </is>
      </c>
      <c r="G70" s="9" t="n">
        <v>116823</v>
      </c>
    </row>
    <row r="71">
      <c r="A71" s="8" t="inlineStr">
        <is>
          <t>Balance sheet (detail)</t>
        </is>
      </c>
      <c r="B71" s="8" t="inlineStr">
        <is>
          <t>C9</t>
        </is>
      </c>
      <c r="C71" s="8" t="inlineStr">
        <is>
          <t>3. Pledges and grants receivable, net</t>
        </is>
      </c>
      <c r="D71" s="8" t="inlineStr">
        <is>
          <t>3E</t>
        </is>
      </c>
      <c r="E71" s="8" t="inlineStr">
        <is>
          <t>part_x_balance_sheet.pledges_grants_receivable_eoy</t>
        </is>
      </c>
      <c r="F71" s="8" t="inlineStr">
        <is>
          <t>high</t>
        </is>
      </c>
      <c r="G71" s="9" t="n">
        <v>115165</v>
      </c>
    </row>
    <row r="72">
      <c r="A72" s="8" t="inlineStr">
        <is>
          <t>Balance sheet (detail)</t>
        </is>
      </c>
      <c r="B72" s="8" t="inlineStr">
        <is>
          <t>D9</t>
        </is>
      </c>
      <c r="C72" s="8" t="inlineStr">
        <is>
          <t>3. Pledges and grants receivable, net</t>
        </is>
      </c>
      <c r="D72" s="8" t="inlineStr">
        <is>
          <t>3E</t>
        </is>
      </c>
      <c r="E72" s="8" t="inlineStr">
        <is>
          <t>part_x_balance_sheet.pledges_grants_receivable_eoy</t>
        </is>
      </c>
      <c r="F72" s="8" t="inlineStr">
        <is>
          <t>high</t>
        </is>
      </c>
      <c r="G72" s="9" t="n">
        <v>38732</v>
      </c>
    </row>
    <row r="73">
      <c r="A73" s="8" t="inlineStr">
        <is>
          <t>Balance sheet (detail)</t>
        </is>
      </c>
      <c r="B73" s="8" t="inlineStr">
        <is>
          <t>E9</t>
        </is>
      </c>
      <c r="C73" s="8" t="inlineStr">
        <is>
          <t>3. Pledges and grants receivable, net</t>
        </is>
      </c>
      <c r="D73" s="8" t="inlineStr">
        <is>
          <t>3E</t>
        </is>
      </c>
      <c r="E73" s="8" t="inlineStr">
        <is>
          <t>part_x_balance_sheet.pledges_grants_receivable_eoy</t>
        </is>
      </c>
      <c r="F73" s="8" t="inlineStr">
        <is>
          <t>high</t>
        </is>
      </c>
      <c r="G73" s="9" t="n">
        <v>40077</v>
      </c>
    </row>
    <row r="74">
      <c r="A74" s="8" t="inlineStr">
        <is>
          <t>Balance sheet (detail)</t>
        </is>
      </c>
      <c r="B74" s="8" t="inlineStr">
        <is>
          <t>F10</t>
        </is>
      </c>
      <c r="C74" s="8" t="inlineStr">
        <is>
          <t>4. Accounts receivable, net</t>
        </is>
      </c>
      <c r="D74" s="8" t="inlineStr">
        <is>
          <t>4E</t>
        </is>
      </c>
      <c r="E74" s="8" t="inlineStr">
        <is>
          <t>part_x_balance_sheet.accounts_receivable_eoy</t>
        </is>
      </c>
      <c r="F74" s="8" t="inlineStr">
        <is>
          <t>high</t>
        </is>
      </c>
      <c r="G74" s="9" t="n">
        <v>21655</v>
      </c>
    </row>
    <row r="75">
      <c r="A75" s="8" t="inlineStr">
        <is>
          <t>Balance sheet (detail)</t>
        </is>
      </c>
      <c r="B75" s="8" t="inlineStr">
        <is>
          <t>F11</t>
        </is>
      </c>
      <c r="C75" s="8" t="inlineStr">
        <is>
          <t>9. Prepaid expenses and deferred charges</t>
        </is>
      </c>
      <c r="D75" s="8" t="inlineStr">
        <is>
          <t>9E</t>
        </is>
      </c>
      <c r="E75" s="8" t="inlineStr">
        <is>
          <t>part_x_balance_sheet.prepaid_expenses_eoy</t>
        </is>
      </c>
      <c r="F75" s="8" t="inlineStr">
        <is>
          <t>high</t>
        </is>
      </c>
      <c r="G75" s="9" t="n">
        <v>37133</v>
      </c>
    </row>
    <row r="76">
      <c r="A76" s="8" t="inlineStr">
        <is>
          <t>Balance sheet (detail)</t>
        </is>
      </c>
      <c r="B76" s="8" t="inlineStr">
        <is>
          <t>B12</t>
        </is>
      </c>
      <c r="C76" s="8" t="inlineStr">
        <is>
          <t>10c. Land, buildings, and equipment, net</t>
        </is>
      </c>
      <c r="D76" s="8" t="inlineStr">
        <is>
          <t>10cE</t>
        </is>
      </c>
      <c r="E76" s="8" t="inlineStr">
        <is>
          <t>part_x_balance_sheet.land_bldg_equip_net_eoy</t>
        </is>
      </c>
      <c r="F76" s="8" t="inlineStr">
        <is>
          <t>high</t>
        </is>
      </c>
      <c r="G76" s="9" t="n">
        <v>967169</v>
      </c>
    </row>
    <row r="77">
      <c r="A77" s="8" t="inlineStr">
        <is>
          <t>Balance sheet (detail)</t>
        </is>
      </c>
      <c r="B77" s="8" t="inlineStr">
        <is>
          <t>C12</t>
        </is>
      </c>
      <c r="C77" s="8" t="inlineStr">
        <is>
          <t>10c. Land, buildings, and equipment, net</t>
        </is>
      </c>
      <c r="D77" s="8" t="inlineStr">
        <is>
          <t>10cE</t>
        </is>
      </c>
      <c r="E77" s="8" t="inlineStr">
        <is>
          <t>part_x_balance_sheet.land_bldg_equip_net_eoy</t>
        </is>
      </c>
      <c r="F77" s="8" t="inlineStr">
        <is>
          <t>high</t>
        </is>
      </c>
      <c r="G77" s="9" t="n">
        <v>948196</v>
      </c>
    </row>
    <row r="78">
      <c r="A78" s="8" t="inlineStr">
        <is>
          <t>Balance sheet (detail)</t>
        </is>
      </c>
      <c r="B78" s="8" t="inlineStr">
        <is>
          <t>D12</t>
        </is>
      </c>
      <c r="C78" s="8" t="inlineStr">
        <is>
          <t>10c. Land, buildings, and equipment, net</t>
        </is>
      </c>
      <c r="D78" s="8" t="inlineStr">
        <is>
          <t>10cE</t>
        </is>
      </c>
      <c r="E78" s="8" t="inlineStr">
        <is>
          <t>part_x_balance_sheet.land_bldg_equip_net_eoy</t>
        </is>
      </c>
      <c r="F78" s="8" t="inlineStr">
        <is>
          <t>high</t>
        </is>
      </c>
      <c r="G78" s="9" t="n">
        <v>974017</v>
      </c>
    </row>
    <row r="79">
      <c r="A79" s="8" t="inlineStr">
        <is>
          <t>Balance sheet (detail)</t>
        </is>
      </c>
      <c r="B79" s="8" t="inlineStr">
        <is>
          <t>E12</t>
        </is>
      </c>
      <c r="C79" s="8" t="inlineStr">
        <is>
          <t>10c. Land, buildings, and equipment, net</t>
        </is>
      </c>
      <c r="D79" s="8" t="inlineStr">
        <is>
          <t>10cE</t>
        </is>
      </c>
      <c r="E79" s="8" t="inlineStr">
        <is>
          <t>part_x_balance_sheet.land_bldg_equip_net_eoy</t>
        </is>
      </c>
      <c r="F79" s="8" t="inlineStr">
        <is>
          <t>high</t>
        </is>
      </c>
      <c r="G79" s="9" t="n">
        <v>904670</v>
      </c>
    </row>
    <row r="80">
      <c r="A80" s="8" t="inlineStr">
        <is>
          <t>Balance sheet (detail)</t>
        </is>
      </c>
      <c r="B80" s="8" t="inlineStr">
        <is>
          <t>F12</t>
        </is>
      </c>
      <c r="C80" s="8" t="inlineStr">
        <is>
          <t>10c. Land, buildings, and equipment, net</t>
        </is>
      </c>
      <c r="D80" s="8" t="inlineStr">
        <is>
          <t>10cE</t>
        </is>
      </c>
      <c r="E80" s="8" t="inlineStr">
        <is>
          <t>part_x_balance_sheet.land_bldg_equip_net_eoy</t>
        </is>
      </c>
      <c r="F80" s="8" t="inlineStr">
        <is>
          <t>high</t>
        </is>
      </c>
      <c r="G80" s="9" t="n">
        <v>1057825</v>
      </c>
    </row>
    <row r="81">
      <c r="A81" s="8" t="inlineStr">
        <is>
          <t>Balance sheet (detail)</t>
        </is>
      </c>
      <c r="B81" s="8" t="inlineStr">
        <is>
          <t>E13</t>
        </is>
      </c>
      <c r="C81" s="8" t="inlineStr">
        <is>
          <t>15. Other assets</t>
        </is>
      </c>
      <c r="D81" s="8" t="inlineStr">
        <is>
          <t>15E</t>
        </is>
      </c>
      <c r="E81" s="8" t="inlineStr">
        <is>
          <t>part_x_balance_sheet.other_assets_eoy</t>
        </is>
      </c>
      <c r="F81" s="8" t="inlineStr">
        <is>
          <t>high</t>
        </is>
      </c>
      <c r="G81" s="9" t="n">
        <v>28786</v>
      </c>
    </row>
    <row r="82">
      <c r="A82" s="8" t="inlineStr">
        <is>
          <t>Balance sheet (detail)</t>
        </is>
      </c>
      <c r="B82" s="8" t="inlineStr">
        <is>
          <t>B17</t>
        </is>
      </c>
      <c r="C82" s="8" t="inlineStr">
        <is>
          <t>17. Accounts payable and accrued expenses</t>
        </is>
      </c>
      <c r="D82" s="8" t="inlineStr">
        <is>
          <t>17E</t>
        </is>
      </c>
      <c r="E82" s="8" t="inlineStr">
        <is>
          <t>part_x_balance_sheet.accounts_payable_eoy</t>
        </is>
      </c>
      <c r="F82" s="8" t="inlineStr">
        <is>
          <t>high</t>
        </is>
      </c>
      <c r="G82" s="9" t="n">
        <v>22267</v>
      </c>
    </row>
    <row r="83">
      <c r="A83" s="8" t="inlineStr">
        <is>
          <t>Balance sheet (detail)</t>
        </is>
      </c>
      <c r="B83" s="8" t="inlineStr">
        <is>
          <t>C17</t>
        </is>
      </c>
      <c r="C83" s="8" t="inlineStr">
        <is>
          <t>17. Accounts payable and accrued expenses</t>
        </is>
      </c>
      <c r="D83" s="8" t="inlineStr">
        <is>
          <t>17E</t>
        </is>
      </c>
      <c r="E83" s="8" t="inlineStr">
        <is>
          <t>part_x_balance_sheet.accounts_payable_eoy</t>
        </is>
      </c>
      <c r="F83" s="8" t="inlineStr">
        <is>
          <t>high</t>
        </is>
      </c>
      <c r="G83" s="9" t="n">
        <v>4415</v>
      </c>
    </row>
    <row r="84">
      <c r="A84" s="8" t="inlineStr">
        <is>
          <t>Balance sheet (detail)</t>
        </is>
      </c>
      <c r="B84" s="8" t="inlineStr">
        <is>
          <t>D17</t>
        </is>
      </c>
      <c r="C84" s="8" t="inlineStr">
        <is>
          <t>17. Accounts payable and accrued expenses</t>
        </is>
      </c>
      <c r="D84" s="8" t="inlineStr">
        <is>
          <t>17E</t>
        </is>
      </c>
      <c r="E84" s="8" t="inlineStr">
        <is>
          <t>part_x_balance_sheet.accounts_payable_eoy</t>
        </is>
      </c>
      <c r="F84" s="8" t="inlineStr">
        <is>
          <t>high</t>
        </is>
      </c>
      <c r="G84" s="9" t="n">
        <v>9272</v>
      </c>
    </row>
    <row r="85">
      <c r="A85" s="8" t="inlineStr">
        <is>
          <t>Balance sheet (detail)</t>
        </is>
      </c>
      <c r="B85" s="8" t="inlineStr">
        <is>
          <t>E17</t>
        </is>
      </c>
      <c r="C85" s="8" t="inlineStr">
        <is>
          <t>17. Accounts payable and accrued expenses</t>
        </is>
      </c>
      <c r="D85" s="8" t="inlineStr">
        <is>
          <t>17E</t>
        </is>
      </c>
      <c r="E85" s="8" t="inlineStr">
        <is>
          <t>part_x_balance_sheet.accounts_payable_eoy</t>
        </is>
      </c>
      <c r="F85" s="8" t="inlineStr">
        <is>
          <t>high</t>
        </is>
      </c>
      <c r="G85" s="9" t="n">
        <v>25257</v>
      </c>
    </row>
    <row r="86">
      <c r="A86" s="8" t="inlineStr">
        <is>
          <t>Balance sheet (detail)</t>
        </is>
      </c>
      <c r="B86" s="8" t="inlineStr">
        <is>
          <t>F17</t>
        </is>
      </c>
      <c r="C86" s="8" t="inlineStr">
        <is>
          <t>17. Accounts payable and accrued expenses</t>
        </is>
      </c>
      <c r="D86" s="8" t="inlineStr">
        <is>
          <t>17E</t>
        </is>
      </c>
      <c r="E86" s="8" t="inlineStr">
        <is>
          <t>part_x_balance_sheet.accounts_payable_eoy</t>
        </is>
      </c>
      <c r="F86" s="8" t="inlineStr">
        <is>
          <t>high</t>
        </is>
      </c>
      <c r="G86" s="9" t="n">
        <v>1941</v>
      </c>
    </row>
    <row r="87">
      <c r="A87" s="8" t="inlineStr">
        <is>
          <t>Balance sheet (detail)</t>
        </is>
      </c>
      <c r="B87" s="8" t="inlineStr">
        <is>
          <t>D18</t>
        </is>
      </c>
      <c r="C87" s="8" t="inlineStr">
        <is>
          <t>19. Deferred revenue</t>
        </is>
      </c>
      <c r="D87" s="8" t="inlineStr">
        <is>
          <t>19E</t>
        </is>
      </c>
      <c r="E87" s="8" t="inlineStr">
        <is>
          <t>part_x_balance_sheet.deferred_revenue_eoy</t>
        </is>
      </c>
      <c r="F87" s="8" t="inlineStr">
        <is>
          <t>high</t>
        </is>
      </c>
      <c r="G87" s="9" t="n">
        <v>12918</v>
      </c>
    </row>
    <row r="88">
      <c r="A88" s="8" t="inlineStr">
        <is>
          <t>Balance sheet (detail)</t>
        </is>
      </c>
      <c r="B88" s="8" t="inlineStr">
        <is>
          <t>B22</t>
        </is>
      </c>
      <c r="C88" s="8" t="inlineStr">
        <is>
          <t>27. Net assets without donor restrictions</t>
        </is>
      </c>
      <c r="D88" s="8" t="inlineStr">
        <is>
          <t>27E</t>
        </is>
      </c>
      <c r="E88" s="8" t="inlineStr">
        <is>
          <t>part_x_balance_sheet.net_assets_no_donor_restriction_eoy</t>
        </is>
      </c>
      <c r="F88" s="8" t="inlineStr">
        <is>
          <t>high</t>
        </is>
      </c>
      <c r="G88" s="9" t="n">
        <v>1395903</v>
      </c>
    </row>
    <row r="89">
      <c r="A89" s="8" t="inlineStr">
        <is>
          <t>Balance sheet (detail)</t>
        </is>
      </c>
      <c r="B89" s="8" t="inlineStr">
        <is>
          <t>C22</t>
        </is>
      </c>
      <c r="C89" s="8" t="inlineStr">
        <is>
          <t>27. Net assets without donor restrictions</t>
        </is>
      </c>
      <c r="D89" s="8" t="inlineStr">
        <is>
          <t>27E</t>
        </is>
      </c>
      <c r="E89" s="8" t="inlineStr">
        <is>
          <t>part_x_balance_sheet.net_assets_no_donor_restriction_eoy</t>
        </is>
      </c>
      <c r="F89" s="8" t="inlineStr">
        <is>
          <t>high</t>
        </is>
      </c>
      <c r="G89" s="9" t="n">
        <v>1398114</v>
      </c>
    </row>
    <row r="90">
      <c r="A90" s="8" t="inlineStr">
        <is>
          <t>Balance sheet (detail)</t>
        </is>
      </c>
      <c r="B90" s="8" t="inlineStr">
        <is>
          <t>D22</t>
        </is>
      </c>
      <c r="C90" s="8" t="inlineStr">
        <is>
          <t>27. Net assets without donor restrictions</t>
        </is>
      </c>
      <c r="D90" s="8" t="inlineStr">
        <is>
          <t>27E</t>
        </is>
      </c>
      <c r="E90" s="8" t="inlineStr">
        <is>
          <t>part_x_balance_sheet.net_assets_no_donor_restriction_eoy</t>
        </is>
      </c>
      <c r="F90" s="8" t="inlineStr">
        <is>
          <t>high</t>
        </is>
      </c>
      <c r="G90" s="9" t="n">
        <v>1402919</v>
      </c>
    </row>
    <row r="91">
      <c r="A91" s="8" t="inlineStr">
        <is>
          <t>Balance sheet (detail)</t>
        </is>
      </c>
      <c r="B91" s="8" t="inlineStr">
        <is>
          <t>E22</t>
        </is>
      </c>
      <c r="C91" s="8" t="inlineStr">
        <is>
          <t>27. Net assets without donor restrictions</t>
        </is>
      </c>
      <c r="D91" s="8" t="inlineStr">
        <is>
          <t>27E</t>
        </is>
      </c>
      <c r="E91" s="8" t="inlineStr">
        <is>
          <t>part_x_balance_sheet.net_assets_no_donor_restriction_eoy</t>
        </is>
      </c>
      <c r="F91" s="8" t="inlineStr">
        <is>
          <t>high</t>
        </is>
      </c>
      <c r="G91" s="9" t="n">
        <v>1449948</v>
      </c>
    </row>
    <row r="92">
      <c r="A92" s="8" t="inlineStr">
        <is>
          <t>Balance sheet (detail)</t>
        </is>
      </c>
      <c r="B92" s="8" t="inlineStr">
        <is>
          <t>F23</t>
        </is>
      </c>
      <c r="C92" s="8" t="inlineStr">
        <is>
          <t>29. Capital stock or trust principal</t>
        </is>
      </c>
      <c r="D92" s="8" t="inlineStr">
        <is>
          <t>29E</t>
        </is>
      </c>
      <c r="E92" s="8" t="inlineStr">
        <is>
          <t>part_x_balance_sheet.cap_stock_eoy</t>
        </is>
      </c>
      <c r="F92" s="8" t="inlineStr">
        <is>
          <t>high</t>
        </is>
      </c>
      <c r="G92" s="9" t="n">
        <v>0</v>
      </c>
    </row>
    <row r="93">
      <c r="A93" s="8" t="inlineStr">
        <is>
          <t>Balance sheet (detail)</t>
        </is>
      </c>
      <c r="B93" s="8" t="inlineStr">
        <is>
          <t>F24</t>
        </is>
      </c>
      <c r="C93" s="8" t="inlineStr">
        <is>
          <t>30. Paid-in or capital surplus</t>
        </is>
      </c>
      <c r="D93" s="8" t="inlineStr">
        <is>
          <t>30E</t>
        </is>
      </c>
      <c r="E93" s="8" t="inlineStr">
        <is>
          <t>part_x_balance_sheet.paid_in_capital_eoy</t>
        </is>
      </c>
      <c r="F93" s="8" t="inlineStr">
        <is>
          <t>high</t>
        </is>
      </c>
      <c r="G93" s="9" t="n">
        <v>0</v>
      </c>
    </row>
    <row r="94">
      <c r="A94" s="8" t="inlineStr">
        <is>
          <t>Balance sheet (detail)</t>
        </is>
      </c>
      <c r="B94" s="8" t="inlineStr">
        <is>
          <t>F25</t>
        </is>
      </c>
      <c r="C94" s="8" t="inlineStr">
        <is>
          <t>31. Retained earnings / accumulated funds</t>
        </is>
      </c>
      <c r="D94" s="8" t="inlineStr">
        <is>
          <t>31E</t>
        </is>
      </c>
      <c r="E94" s="8" t="inlineStr">
        <is>
          <t>part_x_balance_sheet.retained_earnings_eoy</t>
        </is>
      </c>
      <c r="F94" s="8" t="inlineStr">
        <is>
          <t>high</t>
        </is>
      </c>
      <c r="G94" s="9" t="n">
        <v>1680165</v>
      </c>
    </row>
    <row r="95">
      <c r="A95" s="8" t="inlineStr">
        <is>
          <t>Net-assets reconciliation</t>
        </is>
      </c>
      <c r="B95" s="8" t="inlineStr">
        <is>
          <t>B7</t>
        </is>
      </c>
      <c r="C95" s="8" t="inlineStr">
        <is>
          <t>4. Net assets, beginning of year</t>
        </is>
      </c>
      <c r="D95" s="8" t="inlineStr">
        <is>
          <t>Part XI line 4</t>
        </is>
      </c>
      <c r="E95" s="8" t="inlineStr">
        <is>
          <t>part_xi_reconciliation.net_assets_boy</t>
        </is>
      </c>
      <c r="F95" s="8" t="inlineStr">
        <is>
          <t>high</t>
        </is>
      </c>
      <c r="G95" s="9" t="n">
        <v>1331117</v>
      </c>
    </row>
    <row r="96">
      <c r="A96" s="8" t="inlineStr">
        <is>
          <t>Net-assets reconciliation</t>
        </is>
      </c>
      <c r="B96" s="8" t="inlineStr">
        <is>
          <t>C7</t>
        </is>
      </c>
      <c r="C96" s="8" t="inlineStr">
        <is>
          <t>4. Net assets, beginning of year</t>
        </is>
      </c>
      <c r="D96" s="8" t="inlineStr">
        <is>
          <t>Part XI line 4</t>
        </is>
      </c>
      <c r="E96" s="8" t="inlineStr">
        <is>
          <t>part_xi_reconciliation.net_assets_boy</t>
        </is>
      </c>
      <c r="F96" s="8" t="inlineStr">
        <is>
          <t>high</t>
        </is>
      </c>
      <c r="G96" s="9" t="n">
        <v>1395903</v>
      </c>
    </row>
    <row r="97">
      <c r="A97" s="8" t="inlineStr">
        <is>
          <t>Net-assets reconciliation</t>
        </is>
      </c>
      <c r="B97" s="8" t="inlineStr">
        <is>
          <t>D7</t>
        </is>
      </c>
      <c r="C97" s="8" t="inlineStr">
        <is>
          <t>4. Net assets, beginning of year</t>
        </is>
      </c>
      <c r="D97" s="8" t="inlineStr">
        <is>
          <t>Part XI line 4</t>
        </is>
      </c>
      <c r="E97" s="8" t="inlineStr">
        <is>
          <t>part_xi_reconciliation.net_assets_boy</t>
        </is>
      </c>
      <c r="F97" s="8" t="inlineStr">
        <is>
          <t>high</t>
        </is>
      </c>
      <c r="G97" s="9" t="n">
        <v>1398114</v>
      </c>
    </row>
    <row r="98">
      <c r="A98" s="8" t="inlineStr">
        <is>
          <t>Net-assets reconciliation</t>
        </is>
      </c>
      <c r="B98" s="8" t="inlineStr">
        <is>
          <t>E7</t>
        </is>
      </c>
      <c r="C98" s="8" t="inlineStr">
        <is>
          <t>4. Net assets, beginning of year</t>
        </is>
      </c>
      <c r="D98" s="8" t="inlineStr">
        <is>
          <t>Part XI line 4</t>
        </is>
      </c>
      <c r="E98" s="8" t="inlineStr">
        <is>
          <t>part_xi_reconciliation.net_assets_boy</t>
        </is>
      </c>
      <c r="F98" s="8" t="inlineStr">
        <is>
          <t>high</t>
        </is>
      </c>
      <c r="G98" s="9" t="n">
        <v>1402919</v>
      </c>
    </row>
    <row r="99">
      <c r="A99" s="8" t="inlineStr">
        <is>
          <t>Net-assets reconciliation</t>
        </is>
      </c>
      <c r="B99" s="8" t="inlineStr">
        <is>
          <t>F7</t>
        </is>
      </c>
      <c r="C99" s="8" t="inlineStr">
        <is>
          <t>4. Net assets, beginning of year</t>
        </is>
      </c>
      <c r="D99" s="8" t="inlineStr">
        <is>
          <t>Part XI line 4</t>
        </is>
      </c>
      <c r="E99" s="8" t="inlineStr">
        <is>
          <t>part_xi_reconciliation.net_assets_boy</t>
        </is>
      </c>
      <c r="F99" s="8" t="inlineStr">
        <is>
          <t>high</t>
        </is>
      </c>
      <c r="G99" s="9" t="n">
        <v>1449948</v>
      </c>
    </row>
    <row r="100">
      <c r="A100" s="8" t="inlineStr">
        <is>
          <t>Net-assets reconciliation</t>
        </is>
      </c>
      <c r="B100" s="8" t="inlineStr">
        <is>
          <t>B8</t>
        </is>
      </c>
      <c r="C100" s="8" t="inlineStr">
        <is>
          <t>3. Revenue less expenses</t>
        </is>
      </c>
      <c r="D100" s="8" t="inlineStr">
        <is>
          <t>Part XI line 3</t>
        </is>
      </c>
      <c r="E100" s="8" t="inlineStr">
        <is>
          <t>part_xi_reconciliation.reconciliation_revenue_expenses</t>
        </is>
      </c>
      <c r="F100" s="8" t="inlineStr">
        <is>
          <t>high</t>
        </is>
      </c>
      <c r="G100" s="9" t="n">
        <v>64786</v>
      </c>
    </row>
    <row r="101">
      <c r="A101" s="8" t="inlineStr">
        <is>
          <t>Net-assets reconciliation</t>
        </is>
      </c>
      <c r="B101" s="8" t="inlineStr">
        <is>
          <t>C8</t>
        </is>
      </c>
      <c r="C101" s="8" t="inlineStr">
        <is>
          <t>3. Revenue less expenses</t>
        </is>
      </c>
      <c r="D101" s="8" t="inlineStr">
        <is>
          <t>Part XI line 3</t>
        </is>
      </c>
      <c r="E101" s="8" t="inlineStr">
        <is>
          <t>part_xi_reconciliation.reconciliation_revenue_expenses</t>
        </is>
      </c>
      <c r="F101" s="8" t="inlineStr">
        <is>
          <t>high</t>
        </is>
      </c>
      <c r="G101" s="9" t="n">
        <v>2211</v>
      </c>
    </row>
    <row r="102">
      <c r="A102" s="8" t="inlineStr">
        <is>
          <t>Net-assets reconciliation</t>
        </is>
      </c>
      <c r="B102" s="8" t="inlineStr">
        <is>
          <t>D8</t>
        </is>
      </c>
      <c r="C102" s="8" t="inlineStr">
        <is>
          <t>3. Revenue less expenses</t>
        </is>
      </c>
      <c r="D102" s="8" t="inlineStr">
        <is>
          <t>Part XI line 3</t>
        </is>
      </c>
      <c r="E102" s="8" t="inlineStr">
        <is>
          <t>part_xi_reconciliation.reconciliation_revenue_expenses</t>
        </is>
      </c>
      <c r="F102" s="8" t="inlineStr">
        <is>
          <t>high</t>
        </is>
      </c>
      <c r="G102" s="9" t="n">
        <v>4805</v>
      </c>
    </row>
    <row r="103">
      <c r="A103" s="8" t="inlineStr">
        <is>
          <t>Net-assets reconciliation</t>
        </is>
      </c>
      <c r="B103" s="8" t="inlineStr">
        <is>
          <t>E8</t>
        </is>
      </c>
      <c r="C103" s="8" t="inlineStr">
        <is>
          <t>3. Revenue less expenses</t>
        </is>
      </c>
      <c r="D103" s="8" t="inlineStr">
        <is>
          <t>Part XI line 3</t>
        </is>
      </c>
      <c r="E103" s="8" t="inlineStr">
        <is>
          <t>part_xi_reconciliation.reconciliation_revenue_expenses</t>
        </is>
      </c>
      <c r="F103" s="8" t="inlineStr">
        <is>
          <t>high</t>
        </is>
      </c>
      <c r="G103" s="9" t="n">
        <v>47029</v>
      </c>
    </row>
    <row r="104">
      <c r="A104" s="8" t="inlineStr">
        <is>
          <t>Net-assets reconciliation</t>
        </is>
      </c>
      <c r="B104" s="8" t="inlineStr">
        <is>
          <t>F8</t>
        </is>
      </c>
      <c r="C104" s="8" t="inlineStr">
        <is>
          <t>3. Revenue less expenses</t>
        </is>
      </c>
      <c r="D104" s="8" t="inlineStr">
        <is>
          <t>Part XI line 3</t>
        </is>
      </c>
      <c r="E104" s="8" t="inlineStr">
        <is>
          <t>part_xi_reconciliation.reconciliation_revenue_expenses</t>
        </is>
      </c>
      <c r="F104" s="8" t="inlineStr">
        <is>
          <t>high</t>
        </is>
      </c>
      <c r="G104" s="9" t="n">
        <v>230217</v>
      </c>
    </row>
    <row r="105">
      <c r="A105" s="8" t="inlineStr">
        <is>
          <t>Net-assets reconciliation</t>
        </is>
      </c>
      <c r="B105" s="8" t="inlineStr">
        <is>
          <t>B10</t>
        </is>
      </c>
      <c r="C105" s="8" t="inlineStr">
        <is>
          <t>9. Other changes in net assets</t>
        </is>
      </c>
      <c r="D105" s="8" t="inlineStr">
        <is>
          <t>Part XI line 9</t>
        </is>
      </c>
      <c r="E105" s="8" t="inlineStr">
        <is>
          <t>part_xi_reconciliation.other_changes_net_assets</t>
        </is>
      </c>
      <c r="F105" s="8" t="inlineStr">
        <is>
          <t>high</t>
        </is>
      </c>
      <c r="G105" s="9" t="n">
        <v>0</v>
      </c>
    </row>
    <row r="106">
      <c r="A106" s="8" t="inlineStr">
        <is>
          <t>Net-assets reconciliation</t>
        </is>
      </c>
      <c r="B106" s="8" t="inlineStr">
        <is>
          <t>C10</t>
        </is>
      </c>
      <c r="C106" s="8" t="inlineStr">
        <is>
          <t>9. Other changes in net assets</t>
        </is>
      </c>
      <c r="D106" s="8" t="inlineStr">
        <is>
          <t>Part XI line 9</t>
        </is>
      </c>
      <c r="E106" s="8" t="inlineStr">
        <is>
          <t>part_xi_reconciliation.other_changes_net_assets</t>
        </is>
      </c>
      <c r="F106" s="8" t="inlineStr">
        <is>
          <t>high</t>
        </is>
      </c>
      <c r="G106" s="9" t="n">
        <v>0</v>
      </c>
    </row>
    <row r="107">
      <c r="A107" s="8" t="inlineStr">
        <is>
          <t>Net-assets reconciliation</t>
        </is>
      </c>
      <c r="B107" s="8" t="inlineStr">
        <is>
          <t>D10</t>
        </is>
      </c>
      <c r="C107" s="8" t="inlineStr">
        <is>
          <t>9. Other changes in net assets</t>
        </is>
      </c>
      <c r="D107" s="8" t="inlineStr">
        <is>
          <t>Part XI line 9</t>
        </is>
      </c>
      <c r="E107" s="8" t="inlineStr">
        <is>
          <t>part_xi_reconciliation.other_changes_net_assets</t>
        </is>
      </c>
      <c r="F107" s="8" t="inlineStr">
        <is>
          <t>high</t>
        </is>
      </c>
      <c r="G107" s="9" t="n">
        <v>0</v>
      </c>
    </row>
    <row r="108">
      <c r="A108" s="8" t="inlineStr">
        <is>
          <t>Net-assets reconciliation</t>
        </is>
      </c>
      <c r="B108" s="8" t="inlineStr">
        <is>
          <t>E10</t>
        </is>
      </c>
      <c r="C108" s="8" t="inlineStr">
        <is>
          <t>9. Other changes in net assets</t>
        </is>
      </c>
      <c r="D108" s="8" t="inlineStr">
        <is>
          <t>Part XI line 9</t>
        </is>
      </c>
      <c r="E108" s="8" t="inlineStr">
        <is>
          <t>part_xi_reconciliation.other_changes_net_assets</t>
        </is>
      </c>
      <c r="F108" s="8" t="inlineStr">
        <is>
          <t>high</t>
        </is>
      </c>
      <c r="G108" s="9" t="n">
        <v>0</v>
      </c>
    </row>
    <row r="109">
      <c r="A109" s="8" t="inlineStr">
        <is>
          <t>Net-assets reconciliation</t>
        </is>
      </c>
      <c r="B109" s="8" t="inlineStr">
        <is>
          <t>F10</t>
        </is>
      </c>
      <c r="C109" s="8" t="inlineStr">
        <is>
          <t>9. Other changes in net assets</t>
        </is>
      </c>
      <c r="D109" s="8" t="inlineStr">
        <is>
          <t>Part XI line 9</t>
        </is>
      </c>
      <c r="E109" s="8" t="inlineStr">
        <is>
          <t>part_xi_reconciliation.other_changes_net_assets</t>
        </is>
      </c>
      <c r="F109" s="8" t="inlineStr">
        <is>
          <t>high</t>
        </is>
      </c>
      <c r="G109" s="9" t="n">
        <v>0</v>
      </c>
    </row>
    <row r="111">
      <c r="A111" s="29" t="inlineStr">
        <is>
          <t>C. Tie-out checks (filed vs computed; any nonzero variance is flagged red)</t>
        </is>
      </c>
      <c r="B111" s="7" t="n"/>
      <c r="C111" s="7" t="n"/>
      <c r="D111" s="7" t="n"/>
      <c r="E111" s="7" t="n"/>
      <c r="F111" s="7" t="n"/>
      <c r="G111" s="7" t="n"/>
      <c r="H111" s="7" t="n"/>
      <c r="I111" s="7" t="n"/>
      <c r="J111" s="7" t="n"/>
      <c r="K111" s="7" t="n"/>
    </row>
    <row r="112">
      <c r="A112" s="5" t="inlineStr">
        <is>
          <t>Tab</t>
        </is>
      </c>
      <c r="B112" s="5" t="inlineStr">
        <is>
          <t>Check</t>
        </is>
      </c>
      <c r="C112" s="5" t="inlineStr">
        <is>
          <t>Fiscal year</t>
        </is>
      </c>
      <c r="D112" s="5" t="inlineStr">
        <is>
          <t>Filed</t>
        </is>
      </c>
      <c r="E112" s="5" t="inlineStr">
        <is>
          <t>Computed</t>
        </is>
      </c>
      <c r="F112" s="5" t="inlineStr">
        <is>
          <t>Variance (computed - filed)</t>
        </is>
      </c>
    </row>
    <row r="113">
      <c r="A113" s="18" t="inlineStr">
        <is>
          <t>Revenue (detail)</t>
        </is>
      </c>
      <c r="B113" s="18" t="inlineStr">
        <is>
          <t>12. Total revenue</t>
        </is>
      </c>
      <c r="C113" s="18" t="inlineStr">
        <is>
          <t>FY2021</t>
        </is>
      </c>
      <c r="D113" s="9" t="n">
        <v>321456</v>
      </c>
      <c r="E113" s="9">
        <f>'Revenue (detail)'!B13</f>
        <v/>
      </c>
      <c r="F113" s="9">
        <f>E113-D113</f>
        <v/>
      </c>
    </row>
    <row r="114">
      <c r="A114" s="18" t="inlineStr">
        <is>
          <t>Revenue (detail)</t>
        </is>
      </c>
      <c r="B114" s="18" t="inlineStr">
        <is>
          <t>12. Total revenue</t>
        </is>
      </c>
      <c r="C114" s="18" t="inlineStr">
        <is>
          <t>FY2022</t>
        </is>
      </c>
      <c r="D114" s="9" t="n">
        <v>307035</v>
      </c>
      <c r="E114" s="9">
        <f>'Revenue (detail)'!C13</f>
        <v/>
      </c>
      <c r="F114" s="9">
        <f>E114-D114</f>
        <v/>
      </c>
    </row>
    <row r="115">
      <c r="A115" s="18" t="inlineStr">
        <is>
          <t>Revenue (detail)</t>
        </is>
      </c>
      <c r="B115" s="18" t="inlineStr">
        <is>
          <t>12. Total revenue</t>
        </is>
      </c>
      <c r="C115" s="18" t="inlineStr">
        <is>
          <t>FY2023</t>
        </is>
      </c>
      <c r="D115" s="9" t="n">
        <v>301676</v>
      </c>
      <c r="E115" s="9">
        <f>'Revenue (detail)'!D13</f>
        <v/>
      </c>
      <c r="F115" s="9">
        <f>E115-D115</f>
        <v/>
      </c>
    </row>
    <row r="116">
      <c r="A116" s="18" t="inlineStr">
        <is>
          <t>Revenue (detail)</t>
        </is>
      </c>
      <c r="B116" s="18" t="inlineStr">
        <is>
          <t>12. Total revenue</t>
        </is>
      </c>
      <c r="C116" s="18" t="inlineStr">
        <is>
          <t>FY2024</t>
        </is>
      </c>
      <c r="D116" s="9" t="n">
        <v>462408</v>
      </c>
      <c r="E116" s="9">
        <f>'Revenue (detail)'!E13</f>
        <v/>
      </c>
      <c r="F116" s="9">
        <f>E116-D116</f>
        <v/>
      </c>
    </row>
    <row r="117">
      <c r="A117" s="18" t="inlineStr">
        <is>
          <t>Revenue (detail)</t>
        </is>
      </c>
      <c r="B117" s="18" t="inlineStr">
        <is>
          <t>12. Total revenue</t>
        </is>
      </c>
      <c r="C117" s="18" t="inlineStr">
        <is>
          <t>FY2025</t>
        </is>
      </c>
      <c r="D117" s="9" t="n">
        <v>582808</v>
      </c>
      <c r="E117" s="9">
        <f>'Revenue (detail)'!F13</f>
        <v/>
      </c>
      <c r="F117" s="9">
        <f>E117-D117</f>
        <v/>
      </c>
    </row>
    <row r="118">
      <c r="A118" s="18" t="inlineStr">
        <is>
          <t>Revenue (detail)</t>
        </is>
      </c>
      <c r="B118" s="18" t="inlineStr">
        <is>
          <t>2g program service revenue = sum of lines 2a-2f (FY2025)</t>
        </is>
      </c>
      <c r="C118" s="18" t="inlineStr">
        <is>
          <t>FY2025</t>
        </is>
      </c>
      <c r="D118" s="9" t="n">
        <v>582304</v>
      </c>
      <c r="E118" s="9">
        <f>SUM('Revenue (detail)'!C17:C18)</f>
        <v/>
      </c>
      <c r="F118" s="9">
        <f>E118-D118</f>
        <v/>
      </c>
    </row>
    <row r="119">
      <c r="A119" s="18" t="inlineStr">
        <is>
          <t>Operating expenses (detail)</t>
        </is>
      </c>
      <c r="B119" s="18" t="inlineStr">
        <is>
          <t>25. Total functional expenses</t>
        </is>
      </c>
      <c r="C119" s="18" t="inlineStr">
        <is>
          <t>FY2021</t>
        </is>
      </c>
      <c r="D119" s="9" t="n">
        <v>256670</v>
      </c>
      <c r="E119" s="9">
        <f>'Operating expenses (detail)'!B26</f>
        <v/>
      </c>
      <c r="F119" s="9">
        <f>E119-D119</f>
        <v/>
      </c>
    </row>
    <row r="120">
      <c r="A120" s="18" t="inlineStr">
        <is>
          <t>Operating expenses (detail)</t>
        </is>
      </c>
      <c r="B120" s="18" t="inlineStr">
        <is>
          <t>25. Total functional expenses</t>
        </is>
      </c>
      <c r="C120" s="18" t="inlineStr">
        <is>
          <t>FY2022</t>
        </is>
      </c>
      <c r="D120" s="9" t="n">
        <v>304824</v>
      </c>
      <c r="E120" s="9">
        <f>'Operating expenses (detail)'!C26</f>
        <v/>
      </c>
      <c r="F120" s="9">
        <f>E120-D120</f>
        <v/>
      </c>
    </row>
    <row r="121">
      <c r="A121" s="18" t="inlineStr">
        <is>
          <t>Operating expenses (detail)</t>
        </is>
      </c>
      <c r="B121" s="18" t="inlineStr">
        <is>
          <t>25. Total functional expenses</t>
        </is>
      </c>
      <c r="C121" s="18" t="inlineStr">
        <is>
          <t>FY2023</t>
        </is>
      </c>
      <c r="D121" s="9" t="n">
        <v>296871</v>
      </c>
      <c r="E121" s="9">
        <f>'Operating expenses (detail)'!D26</f>
        <v/>
      </c>
      <c r="F121" s="9">
        <f>E121-D121</f>
        <v/>
      </c>
    </row>
    <row r="122">
      <c r="A122" s="18" t="inlineStr">
        <is>
          <t>Operating expenses (detail)</t>
        </is>
      </c>
      <c r="B122" s="18" t="inlineStr">
        <is>
          <t>25. Total functional expenses</t>
        </is>
      </c>
      <c r="C122" s="18" t="inlineStr">
        <is>
          <t>FY2024</t>
        </is>
      </c>
      <c r="D122" s="9" t="n">
        <v>415379</v>
      </c>
      <c r="E122" s="9">
        <f>'Operating expenses (detail)'!E26</f>
        <v/>
      </c>
      <c r="F122" s="9">
        <f>E122-D122</f>
        <v/>
      </c>
    </row>
    <row r="123">
      <c r="A123" s="18" t="inlineStr">
        <is>
          <t>Operating expenses (detail)</t>
        </is>
      </c>
      <c r="B123" s="18" t="inlineStr">
        <is>
          <t>25. Total functional expenses</t>
        </is>
      </c>
      <c r="C123" s="18" t="inlineStr">
        <is>
          <t>FY2025</t>
        </is>
      </c>
      <c r="D123" s="9" t="n">
        <v>352591</v>
      </c>
      <c r="E123" s="9">
        <f>'Operating expenses (detail)'!F26</f>
        <v/>
      </c>
      <c r="F123" s="9">
        <f>E123-D123</f>
        <v/>
      </c>
    </row>
    <row r="124">
      <c r="A124" s="18" t="inlineStr">
        <is>
          <t>Operating expenses (detail)</t>
        </is>
      </c>
      <c r="B124" s="18" t="inlineStr">
        <is>
          <t>Part IX column split: col A = B + C + D (FY2025)</t>
        </is>
      </c>
      <c r="C124" s="18" t="inlineStr">
        <is>
          <t>FY2025</t>
        </is>
      </c>
      <c r="D124" s="9">
        <f>'Operating expenses (detail)'!B33</f>
        <v/>
      </c>
      <c r="E124" s="9">
        <f>'Operating expenses (detail)'!C33+'Operating expenses (detail)'!D33+'Operating expenses (detail)'!E33</f>
        <v/>
      </c>
      <c r="F124" s="9">
        <f>E124-D124</f>
        <v/>
      </c>
    </row>
    <row r="125">
      <c r="A125" s="18" t="inlineStr">
        <is>
          <t>Balance sheet (detail)</t>
        </is>
      </c>
      <c r="B125" s="18" t="inlineStr">
        <is>
          <t>16. Total assets</t>
        </is>
      </c>
      <c r="C125" s="18" t="inlineStr">
        <is>
          <t>FY2021</t>
        </is>
      </c>
      <c r="D125" s="9" t="n">
        <v>1418170</v>
      </c>
      <c r="E125" s="9">
        <f>'Balance sheet (detail)'!B14</f>
        <v/>
      </c>
      <c r="F125" s="9">
        <f>E125-D125</f>
        <v/>
      </c>
    </row>
    <row r="126">
      <c r="A126" s="18" t="inlineStr">
        <is>
          <t>Balance sheet (detail)</t>
        </is>
      </c>
      <c r="B126" s="18" t="inlineStr">
        <is>
          <t>16. Total assets</t>
        </is>
      </c>
      <c r="C126" s="18" t="inlineStr">
        <is>
          <t>FY2022</t>
        </is>
      </c>
      <c r="D126" s="9" t="n">
        <v>1402529</v>
      </c>
      <c r="E126" s="9">
        <f>'Balance sheet (detail)'!C14</f>
        <v/>
      </c>
      <c r="F126" s="9">
        <f>E126-D126</f>
        <v/>
      </c>
    </row>
    <row r="127">
      <c r="A127" s="18" t="inlineStr">
        <is>
          <t>Balance sheet (detail)</t>
        </is>
      </c>
      <c r="B127" s="18" t="inlineStr">
        <is>
          <t>16. Total assets</t>
        </is>
      </c>
      <c r="C127" s="18" t="inlineStr">
        <is>
          <t>FY2023</t>
        </is>
      </c>
      <c r="D127" s="9" t="n">
        <v>1425109</v>
      </c>
      <c r="E127" s="9">
        <f>'Balance sheet (detail)'!D14</f>
        <v/>
      </c>
      <c r="F127" s="9">
        <f>E127-D127</f>
        <v/>
      </c>
    </row>
    <row r="128">
      <c r="A128" s="18" t="inlineStr">
        <is>
          <t>Balance sheet (detail)</t>
        </is>
      </c>
      <c r="B128" s="18" t="inlineStr">
        <is>
          <t>16. Total assets</t>
        </is>
      </c>
      <c r="C128" s="18" t="inlineStr">
        <is>
          <t>FY2024</t>
        </is>
      </c>
      <c r="D128" s="9" t="n">
        <v>1475205</v>
      </c>
      <c r="E128" s="9">
        <f>'Balance sheet (detail)'!E14</f>
        <v/>
      </c>
      <c r="F128" s="9">
        <f>E128-D128</f>
        <v/>
      </c>
    </row>
    <row r="129">
      <c r="A129" s="18" t="inlineStr">
        <is>
          <t>Balance sheet (detail)</t>
        </is>
      </c>
      <c r="B129" s="18" t="inlineStr">
        <is>
          <t>16. Total assets</t>
        </is>
      </c>
      <c r="C129" s="18" t="inlineStr">
        <is>
          <t>FY2025</t>
        </is>
      </c>
      <c r="D129" s="9" t="n">
        <v>1682106</v>
      </c>
      <c r="E129" s="9">
        <f>'Balance sheet (detail)'!F14</f>
        <v/>
      </c>
      <c r="F129" s="9">
        <f>E129-D129</f>
        <v/>
      </c>
    </row>
    <row r="130">
      <c r="A130" s="18" t="inlineStr">
        <is>
          <t>Balance sheet (detail)</t>
        </is>
      </c>
      <c r="B130" s="18" t="inlineStr">
        <is>
          <t>26. Total liabilities</t>
        </is>
      </c>
      <c r="C130" s="18" t="inlineStr">
        <is>
          <t>FY2021</t>
        </is>
      </c>
      <c r="D130" s="9" t="n">
        <v>22267</v>
      </c>
      <c r="E130" s="9">
        <f>'Balance sheet (detail)'!B19</f>
        <v/>
      </c>
      <c r="F130" s="9">
        <f>E130-D130</f>
        <v/>
      </c>
    </row>
    <row r="131">
      <c r="A131" s="18" t="inlineStr">
        <is>
          <t>Balance sheet (detail)</t>
        </is>
      </c>
      <c r="B131" s="18" t="inlineStr">
        <is>
          <t>26. Total liabilities</t>
        </is>
      </c>
      <c r="C131" s="18" t="inlineStr">
        <is>
          <t>FY2022</t>
        </is>
      </c>
      <c r="D131" s="9" t="n">
        <v>4415</v>
      </c>
      <c r="E131" s="9">
        <f>'Balance sheet (detail)'!C19</f>
        <v/>
      </c>
      <c r="F131" s="9">
        <f>E131-D131</f>
        <v/>
      </c>
    </row>
    <row r="132">
      <c r="A132" s="18" t="inlineStr">
        <is>
          <t>Balance sheet (detail)</t>
        </is>
      </c>
      <c r="B132" s="18" t="inlineStr">
        <is>
          <t>26. Total liabilities</t>
        </is>
      </c>
      <c r="C132" s="18" t="inlineStr">
        <is>
          <t>FY2023</t>
        </is>
      </c>
      <c r="D132" s="9" t="n">
        <v>22190</v>
      </c>
      <c r="E132" s="9">
        <f>'Balance sheet (detail)'!D19</f>
        <v/>
      </c>
      <c r="F132" s="9">
        <f>E132-D132</f>
        <v/>
      </c>
    </row>
    <row r="133">
      <c r="A133" s="18" t="inlineStr">
        <is>
          <t>Balance sheet (detail)</t>
        </is>
      </c>
      <c r="B133" s="18" t="inlineStr">
        <is>
          <t>26. Total liabilities</t>
        </is>
      </c>
      <c r="C133" s="18" t="inlineStr">
        <is>
          <t>FY2024</t>
        </is>
      </c>
      <c r="D133" s="9" t="n">
        <v>25257</v>
      </c>
      <c r="E133" s="9">
        <f>'Balance sheet (detail)'!E19</f>
        <v/>
      </c>
      <c r="F133" s="9">
        <f>E133-D133</f>
        <v/>
      </c>
    </row>
    <row r="134">
      <c r="A134" s="18" t="inlineStr">
        <is>
          <t>Balance sheet (detail)</t>
        </is>
      </c>
      <c r="B134" s="18" t="inlineStr">
        <is>
          <t>26. Total liabilities</t>
        </is>
      </c>
      <c r="C134" s="18" t="inlineStr">
        <is>
          <t>FY2025</t>
        </is>
      </c>
      <c r="D134" s="9" t="n">
        <v>1941</v>
      </c>
      <c r="E134" s="9">
        <f>'Balance sheet (detail)'!F19</f>
        <v/>
      </c>
      <c r="F134" s="9">
        <f>E134-D134</f>
        <v/>
      </c>
    </row>
    <row r="135">
      <c r="A135" s="18" t="inlineStr">
        <is>
          <t>Balance sheet (detail)</t>
        </is>
      </c>
      <c r="B135" s="18" t="inlineStr">
        <is>
          <t>32. Total net assets / fund balances</t>
        </is>
      </c>
      <c r="C135" s="18" t="inlineStr">
        <is>
          <t>FY2021</t>
        </is>
      </c>
      <c r="D135" s="9" t="n">
        <v>1395903</v>
      </c>
      <c r="E135" s="9">
        <f>'Balance sheet (detail)'!B26</f>
        <v/>
      </c>
      <c r="F135" s="9">
        <f>E135-D135</f>
        <v/>
      </c>
    </row>
    <row r="136">
      <c r="A136" s="18" t="inlineStr">
        <is>
          <t>Balance sheet (detail)</t>
        </is>
      </c>
      <c r="B136" s="18" t="inlineStr">
        <is>
          <t>32. Total net assets / fund balances</t>
        </is>
      </c>
      <c r="C136" s="18" t="inlineStr">
        <is>
          <t>FY2022</t>
        </is>
      </c>
      <c r="D136" s="9" t="n">
        <v>1398114</v>
      </c>
      <c r="E136" s="9">
        <f>'Balance sheet (detail)'!C26</f>
        <v/>
      </c>
      <c r="F136" s="9">
        <f>E136-D136</f>
        <v/>
      </c>
    </row>
    <row r="137">
      <c r="A137" s="18" t="inlineStr">
        <is>
          <t>Balance sheet (detail)</t>
        </is>
      </c>
      <c r="B137" s="18" t="inlineStr">
        <is>
          <t>32. Total net assets / fund balances</t>
        </is>
      </c>
      <c r="C137" s="18" t="inlineStr">
        <is>
          <t>FY2023</t>
        </is>
      </c>
      <c r="D137" s="9" t="n">
        <v>1402919</v>
      </c>
      <c r="E137" s="9">
        <f>'Balance sheet (detail)'!D26</f>
        <v/>
      </c>
      <c r="F137" s="9">
        <f>E137-D137</f>
        <v/>
      </c>
    </row>
    <row r="138">
      <c r="A138" s="18" t="inlineStr">
        <is>
          <t>Balance sheet (detail)</t>
        </is>
      </c>
      <c r="B138" s="18" t="inlineStr">
        <is>
          <t>32. Total net assets / fund balances</t>
        </is>
      </c>
      <c r="C138" s="18" t="inlineStr">
        <is>
          <t>FY2024</t>
        </is>
      </c>
      <c r="D138" s="9" t="n">
        <v>1449948</v>
      </c>
      <c r="E138" s="9">
        <f>'Balance sheet (detail)'!E26</f>
        <v/>
      </c>
      <c r="F138" s="9">
        <f>E138-D138</f>
        <v/>
      </c>
    </row>
    <row r="139">
      <c r="A139" s="18" t="inlineStr">
        <is>
          <t>Balance sheet (detail)</t>
        </is>
      </c>
      <c r="B139" s="18" t="inlineStr">
        <is>
          <t>32. Total net assets / fund balances</t>
        </is>
      </c>
      <c r="C139" s="18" t="inlineStr">
        <is>
          <t>FY2025</t>
        </is>
      </c>
      <c r="D139" s="9" t="n">
        <v>1680165</v>
      </c>
      <c r="E139" s="9">
        <f>'Balance sheet (detail)'!F26</f>
        <v/>
      </c>
      <c r="F139" s="9">
        <f>E139-D139</f>
        <v/>
      </c>
    </row>
    <row r="140">
      <c r="A140" s="18" t="inlineStr">
        <is>
          <t>Balance sheet (detail)</t>
        </is>
      </c>
      <c r="B140" s="18" t="inlineStr">
        <is>
          <t>Balance sheet identity: line 16 = line 26 + line 32 (EOY)</t>
        </is>
      </c>
      <c r="C140" s="18" t="inlineStr">
        <is>
          <t>FY2021</t>
        </is>
      </c>
      <c r="D140" s="9">
        <f>'Balance sheet (detail)'!B14</f>
        <v/>
      </c>
      <c r="E140" s="9">
        <f>SUM('Balance sheet (detail)'!B19,'Balance sheet (detail)'!B26)</f>
        <v/>
      </c>
      <c r="F140" s="9">
        <f>E140-D140</f>
        <v/>
      </c>
    </row>
    <row r="141">
      <c r="A141" s="18" t="inlineStr">
        <is>
          <t>Balance sheet (detail)</t>
        </is>
      </c>
      <c r="B141" s="18" t="inlineStr">
        <is>
          <t>Balance sheet identity: line 16 = line 26 + line 32 (EOY)</t>
        </is>
      </c>
      <c r="C141" s="18" t="inlineStr">
        <is>
          <t>FY2022</t>
        </is>
      </c>
      <c r="D141" s="9">
        <f>'Balance sheet (detail)'!C14</f>
        <v/>
      </c>
      <c r="E141" s="9">
        <f>SUM('Balance sheet (detail)'!C19,'Balance sheet (detail)'!C26)</f>
        <v/>
      </c>
      <c r="F141" s="9">
        <f>E141-D141</f>
        <v/>
      </c>
    </row>
    <row r="142">
      <c r="A142" s="18" t="inlineStr">
        <is>
          <t>Balance sheet (detail)</t>
        </is>
      </c>
      <c r="B142" s="18" t="inlineStr">
        <is>
          <t>Balance sheet identity: line 16 = line 26 + line 32 (EOY)</t>
        </is>
      </c>
      <c r="C142" s="18" t="inlineStr">
        <is>
          <t>FY2023</t>
        </is>
      </c>
      <c r="D142" s="9">
        <f>'Balance sheet (detail)'!D14</f>
        <v/>
      </c>
      <c r="E142" s="9">
        <f>SUM('Balance sheet (detail)'!D19,'Balance sheet (detail)'!D26)</f>
        <v/>
      </c>
      <c r="F142" s="9">
        <f>E142-D142</f>
        <v/>
      </c>
    </row>
    <row r="143">
      <c r="A143" s="18" t="inlineStr">
        <is>
          <t>Balance sheet (detail)</t>
        </is>
      </c>
      <c r="B143" s="18" t="inlineStr">
        <is>
          <t>Balance sheet identity: line 16 = line 26 + line 32 (EOY)</t>
        </is>
      </c>
      <c r="C143" s="18" t="inlineStr">
        <is>
          <t>FY2024</t>
        </is>
      </c>
      <c r="D143" s="9">
        <f>'Balance sheet (detail)'!E14</f>
        <v/>
      </c>
      <c r="E143" s="9">
        <f>SUM('Balance sheet (detail)'!E19,'Balance sheet (detail)'!E26)</f>
        <v/>
      </c>
      <c r="F143" s="9">
        <f>E143-D143</f>
        <v/>
      </c>
    </row>
    <row r="144">
      <c r="A144" s="18" t="inlineStr">
        <is>
          <t>Balance sheet (detail)</t>
        </is>
      </c>
      <c r="B144" s="18" t="inlineStr">
        <is>
          <t>Balance sheet identity: line 16 = line 26 + line 32 (EOY)</t>
        </is>
      </c>
      <c r="C144" s="18" t="inlineStr">
        <is>
          <t>FY2025</t>
        </is>
      </c>
      <c r="D144" s="9">
        <f>'Balance sheet (detail)'!F14</f>
        <v/>
      </c>
      <c r="E144" s="9">
        <f>SUM('Balance sheet (detail)'!F19,'Balance sheet (detail)'!F26)</f>
        <v/>
      </c>
      <c r="F144" s="9">
        <f>E144-D144</f>
        <v/>
      </c>
    </row>
    <row r="145">
      <c r="A145" s="18" t="inlineStr">
        <is>
          <t>Net-assets reconciliation</t>
        </is>
      </c>
      <c r="B145" s="18" t="inlineStr">
        <is>
          <t>10. Net assets, end of year</t>
        </is>
      </c>
      <c r="C145" s="18" t="inlineStr">
        <is>
          <t>FY2021</t>
        </is>
      </c>
      <c r="D145" s="9" t="n">
        <v>1395903</v>
      </c>
      <c r="E145" s="9">
        <f>'Net-assets reconciliation'!B11</f>
        <v/>
      </c>
      <c r="F145" s="9">
        <f>E145-D145</f>
        <v/>
      </c>
    </row>
    <row r="146">
      <c r="A146" s="18" t="inlineStr">
        <is>
          <t>Net-assets reconciliation</t>
        </is>
      </c>
      <c r="B146" s="18" t="inlineStr">
        <is>
          <t>10. Net assets, end of year</t>
        </is>
      </c>
      <c r="C146" s="18" t="inlineStr">
        <is>
          <t>FY2022</t>
        </is>
      </c>
      <c r="D146" s="9" t="n">
        <v>1398114</v>
      </c>
      <c r="E146" s="9">
        <f>'Net-assets reconciliation'!C11</f>
        <v/>
      </c>
      <c r="F146" s="9">
        <f>E146-D146</f>
        <v/>
      </c>
    </row>
    <row r="147">
      <c r="A147" s="18" t="inlineStr">
        <is>
          <t>Net-assets reconciliation</t>
        </is>
      </c>
      <c r="B147" s="18" t="inlineStr">
        <is>
          <t>10. Net assets, end of year</t>
        </is>
      </c>
      <c r="C147" s="18" t="inlineStr">
        <is>
          <t>FY2023</t>
        </is>
      </c>
      <c r="D147" s="9" t="n">
        <v>1402919</v>
      </c>
      <c r="E147" s="9">
        <f>'Net-assets reconciliation'!D11</f>
        <v/>
      </c>
      <c r="F147" s="9">
        <f>E147-D147</f>
        <v/>
      </c>
    </row>
    <row r="148">
      <c r="A148" s="18" t="inlineStr">
        <is>
          <t>Net-assets reconciliation</t>
        </is>
      </c>
      <c r="B148" s="18" t="inlineStr">
        <is>
          <t>10. Net assets, end of year</t>
        </is>
      </c>
      <c r="C148" s="18" t="inlineStr">
        <is>
          <t>FY2024</t>
        </is>
      </c>
      <c r="D148" s="9" t="n">
        <v>1449948</v>
      </c>
      <c r="E148" s="9">
        <f>'Net-assets reconciliation'!E11</f>
        <v/>
      </c>
      <c r="F148" s="9">
        <f>E148-D148</f>
        <v/>
      </c>
    </row>
    <row r="149">
      <c r="A149" s="18" t="inlineStr">
        <is>
          <t>Net-assets reconciliation</t>
        </is>
      </c>
      <c r="B149" s="18" t="inlineStr">
        <is>
          <t>10. Net assets, end of year</t>
        </is>
      </c>
      <c r="C149" s="18" t="inlineStr">
        <is>
          <t>FY2025</t>
        </is>
      </c>
      <c r="D149" s="9" t="n">
        <v>1680165</v>
      </c>
      <c r="E149" s="9">
        <f>'Net-assets reconciliation'!F11</f>
        <v/>
      </c>
      <c r="F149" s="9">
        <f>E149-D149</f>
        <v/>
      </c>
    </row>
    <row r="151">
      <c r="A151" s="29" t="inlineStr">
        <is>
          <t>D. Preparer / auditor trail (one row per fiscal year, as filed)</t>
        </is>
      </c>
      <c r="B151" s="7" t="n"/>
      <c r="C151" s="7" t="n"/>
      <c r="D151" s="7" t="n"/>
      <c r="E151" s="7" t="n"/>
      <c r="F151" s="7" t="n"/>
      <c r="G151" s="7" t="n"/>
      <c r="H151" s="7" t="n"/>
      <c r="I151" s="7" t="n"/>
      <c r="J151" s="7" t="n"/>
      <c r="K151" s="7" t="n"/>
    </row>
    <row r="152">
      <c r="A152" s="5" t="inlineStr">
        <is>
          <t>Fiscal year</t>
        </is>
      </c>
      <c r="B152" s="5" t="inlineStr">
        <is>
          <t>Paid preparer</t>
        </is>
      </c>
      <c r="C152" s="5" t="inlineStr">
        <is>
          <t>Preparer firm</t>
        </is>
      </c>
      <c r="D152" s="5" t="inlineStr">
        <is>
          <t>Independent auditor</t>
        </is>
      </c>
      <c r="E152" s="5" t="inlineStr">
        <is>
          <t>Citation</t>
        </is>
      </c>
    </row>
    <row r="153" ht="42" customHeight="1">
      <c r="A153" s="27" t="inlineStr">
        <is>
          <t>FY2021</t>
        </is>
      </c>
      <c r="B153" s="8" t="inlineStr">
        <is>
          <t>MICHAEL P MURRAY CPA</t>
        </is>
      </c>
      <c r="C153" s="8" t="inlineStr">
        <is>
          <t>BELLOTTI &amp; MURRAY CPAS</t>
        </is>
      </c>
      <c r="D153" s="30" t="inlineStr">
        <is>
          <t>not reported</t>
        </is>
      </c>
      <c r="E153" s="21" t="inlineStr">
        <is>
          <t>Form 990 Return Header, Paid Preparer block (return_header.preparer_person_name / preparer_firm_name); auditor: Part XII line 2 reports audited financial statements but does not name the firm.</t>
        </is>
      </c>
    </row>
    <row r="154" ht="42" customHeight="1">
      <c r="A154" s="27" t="inlineStr">
        <is>
          <t>FY2022</t>
        </is>
      </c>
      <c r="B154" s="8" t="inlineStr">
        <is>
          <t>MICHAEL P MURRAY CPA</t>
        </is>
      </c>
      <c r="C154" s="8" t="inlineStr">
        <is>
          <t>MICHAEL P MURRAY CPA</t>
        </is>
      </c>
      <c r="D154" s="30" t="inlineStr">
        <is>
          <t>not reported</t>
        </is>
      </c>
      <c r="E154" s="21" t="inlineStr">
        <is>
          <t>Form 990 Return Header, Paid Preparer block (return_header.preparer_person_name / preparer_firm_name); auditor: Part XII line 2 reports audited financial statements but does not name the firm.</t>
        </is>
      </c>
    </row>
    <row r="155" ht="42" customHeight="1">
      <c r="A155" s="27" t="inlineStr">
        <is>
          <t>FY2023</t>
        </is>
      </c>
      <c r="B155" s="8" t="inlineStr">
        <is>
          <t>MICHAEL P MURRAY CPA</t>
        </is>
      </c>
      <c r="C155" s="8" t="inlineStr">
        <is>
          <t>MICHAEL P MURRAY CPA</t>
        </is>
      </c>
      <c r="D155" s="30" t="inlineStr">
        <is>
          <t>not reported</t>
        </is>
      </c>
      <c r="E155" s="21" t="inlineStr">
        <is>
          <t>Form 990 Return Header, Paid Preparer block (return_header.preparer_person_name / preparer_firm_name); auditor: Part XII line 2 reports audited financial statements but does not name the firm.</t>
        </is>
      </c>
    </row>
    <row r="156" ht="42" customHeight="1">
      <c r="A156" s="27" t="inlineStr">
        <is>
          <t>FY2024</t>
        </is>
      </c>
      <c r="B156" s="8" t="inlineStr">
        <is>
          <t>Gail N Egan</t>
        </is>
      </c>
      <c r="C156" s="8" t="inlineStr">
        <is>
          <t>EGAN CPAs LP</t>
        </is>
      </c>
      <c r="D156" s="30" t="inlineStr">
        <is>
          <t>not reported</t>
        </is>
      </c>
      <c r="E156" s="21" t="inlineStr">
        <is>
          <t>Form 990 Return Header, Paid Preparer block (return_header.preparer_person_name / preparer_firm_name); auditor: Part XII line 2 reports audited financial statements but does not name the firm.</t>
        </is>
      </c>
    </row>
    <row r="157" ht="42" customHeight="1">
      <c r="A157" s="27" t="inlineStr">
        <is>
          <t>FY2025</t>
        </is>
      </c>
      <c r="B157" s="8" t="inlineStr">
        <is>
          <t>Gail N Egan</t>
        </is>
      </c>
      <c r="C157" s="8" t="inlineStr">
        <is>
          <t>EGAN CPAs LP</t>
        </is>
      </c>
      <c r="D157" s="30" t="inlineStr">
        <is>
          <t>not reported</t>
        </is>
      </c>
      <c r="E157" s="21" t="inlineStr">
        <is>
          <t>Form 990 Return Header, Paid Preparer block (return_header.preparer_person_name / preparer_firm_name); auditor: Part XII line 2 reports audited financial statements but does not name the firm.</t>
        </is>
      </c>
    </row>
    <row r="159" ht="42" customHeight="1">
      <c r="A159"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159:K159"/>
    <mergeCell ref="A6:K6"/>
    <mergeCell ref="A3:K3"/>
    <mergeCell ref="A2:K2"/>
    <mergeCell ref="A5:K5"/>
    <mergeCell ref="A1:K1"/>
  </mergeCells>
  <conditionalFormatting sqref="F113:F149">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