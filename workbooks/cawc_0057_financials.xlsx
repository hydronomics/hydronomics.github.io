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Financial Summary - multi-year overview (USD)</t>
        </is>
      </c>
    </row>
    <row r="3">
      <c r="A3" s="2" t="inlineStr">
        <is>
          <t>Entity ID: cawc_0057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1631279</v>
      </c>
      <c r="C10" s="9" t="n">
        <v>1508360</v>
      </c>
      <c r="D10" s="9" t="n">
        <v>1638885</v>
      </c>
      <c r="E10" s="9" t="n">
        <v>1167016</v>
      </c>
      <c r="F10" s="9" t="n">
        <v>1713810</v>
      </c>
      <c r="G10" s="9" t="n">
        <v>1645383</v>
      </c>
    </row>
    <row r="11">
      <c r="A11" s="8" t="inlineStr">
        <is>
          <t xml:space="preserve">    Total expenses</t>
        </is>
      </c>
      <c r="B11" s="9" t="n">
        <v>1047760</v>
      </c>
      <c r="C11" s="9" t="n">
        <v>1093149</v>
      </c>
      <c r="D11" s="9" t="n">
        <v>1136362</v>
      </c>
      <c r="E11" s="9" t="n">
        <v>1265774</v>
      </c>
      <c r="F11" s="9" t="n">
        <v>1413193</v>
      </c>
      <c r="G11" s="9" t="n">
        <v>1561502</v>
      </c>
    </row>
    <row r="12">
      <c r="A12" s="10" t="inlineStr">
        <is>
          <t xml:space="preserve">    Net income</t>
        </is>
      </c>
      <c r="B12" s="11" t="n">
        <v>583519</v>
      </c>
      <c r="C12" s="11" t="n">
        <v>415211</v>
      </c>
      <c r="D12" s="11" t="n">
        <v>502523</v>
      </c>
      <c r="E12" s="11" t="n">
        <v>-98758</v>
      </c>
      <c r="F12" s="11" t="n">
        <v>300617</v>
      </c>
      <c r="G12" s="11" t="n">
        <v>83881</v>
      </c>
    </row>
    <row r="14">
      <c r="A14" s="6" t="inlineStr">
        <is>
          <t>Financial position (USD, end of year)</t>
        </is>
      </c>
      <c r="B14" s="7" t="n"/>
      <c r="C14" s="7" t="n"/>
      <c r="D14" s="7" t="n"/>
      <c r="E14" s="7" t="n"/>
      <c r="F14" s="7" t="n"/>
      <c r="G14" s="7" t="n"/>
    </row>
    <row r="15">
      <c r="A15" s="8" t="inlineStr">
        <is>
          <t xml:space="preserve">    Total assets</t>
        </is>
      </c>
      <c r="B15" s="9" t="n">
        <v>15566928</v>
      </c>
      <c r="C15" s="9" t="n">
        <v>15764211</v>
      </c>
      <c r="D15" s="9" t="n">
        <v>16183361</v>
      </c>
      <c r="E15" s="9" t="n">
        <v>16131332</v>
      </c>
      <c r="F15" s="9" t="n">
        <v>16579340</v>
      </c>
      <c r="G15" s="9" t="n">
        <v>16835361</v>
      </c>
    </row>
    <row r="16">
      <c r="A16" s="8" t="inlineStr">
        <is>
          <t xml:space="preserve">    Total liabilities</t>
        </is>
      </c>
      <c r="B16" s="9" t="n">
        <v>971714</v>
      </c>
      <c r="C16" s="9" t="n">
        <v>753721</v>
      </c>
      <c r="D16" s="9" t="n">
        <v>670293</v>
      </c>
      <c r="E16" s="9" t="n">
        <v>717022</v>
      </c>
      <c r="F16" s="9" t="n">
        <v>864413</v>
      </c>
      <c r="G16" s="9" t="n">
        <v>1036553</v>
      </c>
    </row>
    <row r="17">
      <c r="A17" s="10" t="inlineStr">
        <is>
          <t xml:space="preserve">    Net assets</t>
        </is>
      </c>
      <c r="B17" s="11" t="n">
        <v>14595214</v>
      </c>
      <c r="C17" s="11" t="n">
        <v>15010490</v>
      </c>
      <c r="D17" s="11" t="n">
        <v>15513068</v>
      </c>
      <c r="E17" s="11" t="n">
        <v>15414310</v>
      </c>
      <c r="F17" s="11" t="n">
        <v>15714927</v>
      </c>
      <c r="G17" s="11" t="n">
        <v>15798808</v>
      </c>
    </row>
    <row r="19">
      <c r="A19" s="6" t="inlineStr">
        <is>
          <t>Headline ratios</t>
        </is>
      </c>
      <c r="B19" s="7" t="n"/>
      <c r="C19" s="7" t="n"/>
      <c r="D19" s="7" t="n"/>
      <c r="E19" s="7" t="n"/>
      <c r="F19" s="7" t="n"/>
      <c r="G19" s="7" t="n"/>
    </row>
    <row r="20">
      <c r="A20" s="8" t="inlineStr">
        <is>
          <t xml:space="preserve">    Operating margin</t>
        </is>
      </c>
      <c r="B20" s="12" t="n">
        <v>0.3577064377093066</v>
      </c>
      <c r="C20" s="12" t="n">
        <v>0.2752731443421995</v>
      </c>
      <c r="D20" s="12" t="n">
        <v>0.3066249309744125</v>
      </c>
      <c r="E20" s="12" t="n">
        <v>-0.08462437532990122</v>
      </c>
      <c r="F20" s="12" t="n">
        <v>0.1754085925510996</v>
      </c>
      <c r="G20" s="12" t="n">
        <v>0.05097961994259088</v>
      </c>
    </row>
    <row r="21">
      <c r="A21" s="8" t="inlineStr">
        <is>
          <t xml:space="preserve">    Revenue growth (YoY)</t>
        </is>
      </c>
      <c r="B21" s="12" t="n">
        <v>0.1191848019978594</v>
      </c>
      <c r="C21" s="12" t="n">
        <v>-0.07535130409942137</v>
      </c>
      <c r="D21" s="12" t="n">
        <v>0.08653438171258851</v>
      </c>
      <c r="E21" s="12" t="n">
        <v>-0.2879207509983922</v>
      </c>
      <c r="F21" s="12" t="n">
        <v>0.4685402770827478</v>
      </c>
      <c r="G21" s="12" t="n">
        <v>-0.03992682969524043</v>
      </c>
    </row>
    <row r="22">
      <c r="A22" s="8" t="inlineStr">
        <is>
          <t xml:space="preserve">    Return on assets</t>
        </is>
      </c>
      <c r="B22" s="12" t="n">
        <v>0.03748453130893906</v>
      </c>
      <c r="C22" s="12" t="n">
        <v>0.02633883801732925</v>
      </c>
      <c r="D22" s="12" t="n">
        <v>0.03105183156947435</v>
      </c>
      <c r="E22" s="12" t="n">
        <v>-0.006122123083202305</v>
      </c>
      <c r="F22" s="12" t="n">
        <v>0.0181320245558629</v>
      </c>
      <c r="G22" s="12" t="n">
        <v>0.004982429542199897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Financial Statements - income statement, balance sheet, cash flow, member income test (USD)</t>
        </is>
      </c>
    </row>
    <row r="3">
      <c r="A3" s="2" t="inlineStr">
        <is>
          <t>Entity ID: cawc_0057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779739</v>
      </c>
      <c r="C8" s="9" t="n">
        <v>867933</v>
      </c>
      <c r="D8" s="9" t="n">
        <v>791807</v>
      </c>
      <c r="E8" s="9" t="n">
        <v>794356</v>
      </c>
      <c r="F8" s="9" t="n">
        <v>1044411</v>
      </c>
      <c r="G8" s="9" t="n">
        <v>1049749</v>
      </c>
    </row>
    <row r="9">
      <c r="A9" s="8" t="inlineStr">
        <is>
          <t xml:space="preserve">    Investment income</t>
        </is>
      </c>
      <c r="B9" s="9" t="n">
        <v>10810</v>
      </c>
      <c r="C9" s="9" t="n">
        <v>5005</v>
      </c>
      <c r="D9" s="9" t="n">
        <v>25559</v>
      </c>
      <c r="E9" s="9" t="n">
        <v>293283</v>
      </c>
      <c r="F9" s="9" t="n">
        <v>312079</v>
      </c>
      <c r="G9" s="9" t="n">
        <v>269924</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v>9560</v>
      </c>
      <c r="C12" s="9" t="n">
        <v>15445</v>
      </c>
      <c r="D12" s="9" t="n">
        <v>11676</v>
      </c>
      <c r="E12" s="9" t="n">
        <v>8400</v>
      </c>
      <c r="F12" s="9" t="n">
        <v>8280</v>
      </c>
      <c r="G12" s="9" t="n">
        <v>7340</v>
      </c>
    </row>
    <row r="13">
      <c r="A13" s="8" t="inlineStr">
        <is>
          <t xml:space="preserve">    Contributions &amp; grants</t>
        </is>
      </c>
      <c r="B13" s="9" t="n"/>
      <c r="C13" s="9" t="n"/>
      <c r="D13" s="9" t="n"/>
      <c r="E13" s="9" t="n"/>
      <c r="F13" s="9" t="n"/>
      <c r="G13" s="9" t="n"/>
    </row>
    <row r="14">
      <c r="A14" s="10" t="inlineStr">
        <is>
          <t>Total revenue</t>
        </is>
      </c>
      <c r="B14" s="11" t="n">
        <v>1631279</v>
      </c>
      <c r="C14" s="11" t="n">
        <v>1508360</v>
      </c>
      <c r="D14" s="11" t="n">
        <v>1638885</v>
      </c>
      <c r="E14" s="11" t="n">
        <v>1167016</v>
      </c>
      <c r="F14" s="11" t="n">
        <v>1713810</v>
      </c>
      <c r="G14" s="11" t="n">
        <v>1645383</v>
      </c>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1047760</v>
      </c>
      <c r="C19" s="11" t="n">
        <v>1093149</v>
      </c>
      <c r="D19" s="11" t="n">
        <v>1136362</v>
      </c>
      <c r="E19" s="11" t="n">
        <v>1265774</v>
      </c>
      <c r="F19" s="11" t="n">
        <v>1413193</v>
      </c>
      <c r="G19" s="11" t="n">
        <v>1561502</v>
      </c>
    </row>
    <row r="21">
      <c r="A21" s="10" t="inlineStr">
        <is>
          <t>Net income</t>
        </is>
      </c>
      <c r="B21" s="11" t="n">
        <v>583519</v>
      </c>
      <c r="C21" s="11" t="n">
        <v>415211</v>
      </c>
      <c r="D21" s="11" t="n">
        <v>502523</v>
      </c>
      <c r="E21" s="11" t="n">
        <v>-98758</v>
      </c>
      <c r="F21" s="11" t="n">
        <v>300617</v>
      </c>
      <c r="G21" s="11" t="n">
        <v>83881</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97865</v>
      </c>
      <c r="C27" s="9" t="n">
        <v>49365</v>
      </c>
      <c r="D27" s="9" t="n">
        <v>83410</v>
      </c>
      <c r="E27" s="9" t="n">
        <v>35560</v>
      </c>
      <c r="F27" s="9" t="n">
        <v>86217</v>
      </c>
      <c r="G27" s="9" t="n">
        <v>61802</v>
      </c>
    </row>
    <row r="28">
      <c r="A28" s="8" t="inlineStr">
        <is>
          <t xml:space="preserve">    Savings &amp; temporary investments</t>
        </is>
      </c>
      <c r="B28" s="9" t="n">
        <v>5955137</v>
      </c>
      <c r="C28" s="9" t="n">
        <v>6239188</v>
      </c>
      <c r="D28" s="9" t="n">
        <v>6531204</v>
      </c>
      <c r="E28" s="9" t="n">
        <v>6659206</v>
      </c>
      <c r="F28" s="9" t="n">
        <v>7021216</v>
      </c>
      <c r="G28" s="9" t="n">
        <v>6233069</v>
      </c>
    </row>
    <row r="29">
      <c r="A29" s="8" t="inlineStr">
        <is>
          <t xml:space="preserve">    Accounts receivable</t>
        </is>
      </c>
      <c r="B29" s="9" t="n">
        <v>600013</v>
      </c>
      <c r="C29" s="9" t="n">
        <v>443646</v>
      </c>
      <c r="D29" s="9" t="n">
        <v>440519</v>
      </c>
      <c r="E29" s="9" t="n">
        <v>502234</v>
      </c>
      <c r="F29" s="9" t="n">
        <v>701333</v>
      </c>
      <c r="G29" s="9" t="n">
        <v>603136</v>
      </c>
    </row>
    <row r="30">
      <c r="A30" s="8" t="inlineStr">
        <is>
          <t xml:space="preserve">    Inventories</t>
        </is>
      </c>
      <c r="B30" s="9" t="n">
        <v>486020</v>
      </c>
      <c r="C30" s="9" t="n">
        <v>477337</v>
      </c>
      <c r="D30" s="9" t="n">
        <v>531658</v>
      </c>
      <c r="E30" s="9" t="n">
        <v>701136</v>
      </c>
      <c r="F30" s="9" t="n">
        <v>717141</v>
      </c>
      <c r="G30" s="9" t="n">
        <v>731663</v>
      </c>
    </row>
    <row r="31">
      <c r="A31" s="8" t="inlineStr">
        <is>
          <t xml:space="preserve">    Prepaid expenses</t>
        </is>
      </c>
      <c r="B31" s="9" t="n">
        <v>42848</v>
      </c>
      <c r="C31" s="9" t="n">
        <v>55379</v>
      </c>
      <c r="D31" s="9" t="n">
        <v>68129</v>
      </c>
      <c r="E31" s="9" t="n">
        <v>57240</v>
      </c>
      <c r="F31" s="9" t="n">
        <v>67777</v>
      </c>
      <c r="G31" s="9" t="n">
        <v>70103</v>
      </c>
    </row>
    <row r="32">
      <c r="A32" s="8" t="inlineStr">
        <is>
          <t xml:space="preserve">    Property, plant &amp; equipment (gross)</t>
        </is>
      </c>
      <c r="B32" s="9" t="n">
        <v>20281386</v>
      </c>
      <c r="C32" s="9" t="n">
        <v>20891142</v>
      </c>
      <c r="D32" s="9" t="n">
        <v>21444539</v>
      </c>
      <c r="E32" s="9" t="n">
        <v>21635169</v>
      </c>
      <c r="F32" s="9" t="n">
        <v>21961549</v>
      </c>
      <c r="G32" s="9" t="n">
        <v>23611953</v>
      </c>
    </row>
    <row r="33">
      <c r="A33" s="8" t="inlineStr">
        <is>
          <t xml:space="preserve">    Less: accumulated depreciation</t>
        </is>
      </c>
      <c r="B33" s="9" t="n">
        <v>-11932113</v>
      </c>
      <c r="C33" s="9" t="n">
        <v>-12427618</v>
      </c>
      <c r="D33" s="9" t="n">
        <v>-12951870</v>
      </c>
      <c r="E33" s="9" t="n">
        <v>-13494985</v>
      </c>
      <c r="F33" s="9" t="n">
        <v>-14011665</v>
      </c>
      <c r="G33" s="9" t="n">
        <v>-14512137</v>
      </c>
    </row>
    <row r="34">
      <c r="A34" s="10" t="inlineStr">
        <is>
          <t xml:space="preserve">    Net property, plant &amp; equipment</t>
        </is>
      </c>
      <c r="B34" s="11" t="n">
        <v>8349273</v>
      </c>
      <c r="C34" s="11" t="n">
        <v>8463524</v>
      </c>
      <c r="D34" s="11" t="n">
        <v>8492669</v>
      </c>
      <c r="E34" s="11" t="n">
        <v>8140184</v>
      </c>
      <c r="F34" s="11" t="n">
        <v>7949884</v>
      </c>
      <c r="G34" s="11" t="n">
        <v>9099816</v>
      </c>
    </row>
    <row r="35">
      <c r="A35" s="10" t="inlineStr">
        <is>
          <t>Total assets</t>
        </is>
      </c>
      <c r="B35" s="11" t="n">
        <v>15566928</v>
      </c>
      <c r="C35" s="11" t="n">
        <v>15764211</v>
      </c>
      <c r="D35" s="11" t="n">
        <v>16183361</v>
      </c>
      <c r="E35" s="11" t="n">
        <v>16131332</v>
      </c>
      <c r="F35" s="11" t="n">
        <v>16579340</v>
      </c>
      <c r="G35" s="11" t="n">
        <v>16835361</v>
      </c>
    </row>
    <row r="37">
      <c r="A37" s="6" t="inlineStr">
        <is>
          <t>Liabilities</t>
        </is>
      </c>
      <c r="B37" s="7" t="n"/>
      <c r="C37" s="7" t="n"/>
      <c r="D37" s="7" t="n"/>
      <c r="E37" s="7" t="n"/>
      <c r="F37" s="7" t="n"/>
      <c r="G37" s="7" t="n"/>
    </row>
    <row r="38">
      <c r="A38" s="8" t="inlineStr">
        <is>
          <t xml:space="preserve">    Accounts payable</t>
        </is>
      </c>
      <c r="B38" s="9" t="n">
        <v>848099</v>
      </c>
      <c r="C38" s="9" t="n">
        <v>609381</v>
      </c>
      <c r="D38" s="9" t="n">
        <v>594363</v>
      </c>
      <c r="E38" s="9" t="n">
        <v>630702</v>
      </c>
      <c r="F38" s="9" t="n">
        <v>779918</v>
      </c>
      <c r="G38" s="9" t="n">
        <v>966663</v>
      </c>
    </row>
    <row r="39">
      <c r="A39" s="8" t="inlineStr">
        <is>
          <t xml:space="preserve">    Mortgages &amp; notes payable</t>
        </is>
      </c>
      <c r="B39" s="9" t="n"/>
      <c r="C39" s="9" t="n"/>
      <c r="D39" s="9" t="n"/>
      <c r="E39" s="9" t="n"/>
      <c r="F39" s="9" t="n"/>
      <c r="G39" s="9" t="n"/>
    </row>
    <row r="40">
      <c r="A40" s="10" t="inlineStr">
        <is>
          <t>Total liabilities</t>
        </is>
      </c>
      <c r="B40" s="11" t="n">
        <v>971714</v>
      </c>
      <c r="C40" s="11" t="n">
        <v>753721</v>
      </c>
      <c r="D40" s="11" t="n">
        <v>670293</v>
      </c>
      <c r="E40" s="11" t="n">
        <v>717022</v>
      </c>
      <c r="F40" s="11" t="n">
        <v>864413</v>
      </c>
      <c r="G40" s="11" t="n">
        <v>1036553</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14595214</v>
      </c>
      <c r="C46" s="11" t="n">
        <v>15010490</v>
      </c>
      <c r="D46" s="11" t="n">
        <v>15513068</v>
      </c>
      <c r="E46" s="11" t="n">
        <v>15414310</v>
      </c>
      <c r="F46" s="11" t="n">
        <v>15714927</v>
      </c>
      <c r="G46" s="11" t="n">
        <v>15798808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583519</v>
      </c>
      <c r="C52" s="9" t="n">
        <v>415211</v>
      </c>
      <c r="D52" s="9" t="n">
        <v>502523</v>
      </c>
      <c r="E52" s="9" t="n">
        <v>-98758</v>
      </c>
      <c r="F52" s="9" t="n">
        <v>300617</v>
      </c>
      <c r="G52" s="9" t="n">
        <v>83881</v>
      </c>
    </row>
    <row r="53">
      <c r="A53" s="8" t="inlineStr">
        <is>
          <t xml:space="preserve">    + Depreciation (reported)</t>
        </is>
      </c>
      <c r="B53" s="9" t="n"/>
      <c r="C53" s="9" t="n"/>
      <c r="D53" s="9" t="n"/>
      <c r="E53" s="9" t="n"/>
      <c r="F53" s="9" t="n"/>
      <c r="G53" s="9" t="n"/>
    </row>
    <row r="54">
      <c r="A54" s="8" t="inlineStr">
        <is>
          <t xml:space="preserve">    − Δ Accounts receivable</t>
        </is>
      </c>
      <c r="B54" s="9" t="n"/>
      <c r="C54" s="9" t="n">
        <v>156367</v>
      </c>
      <c r="D54" s="9" t="n">
        <v>3127</v>
      </c>
      <c r="E54" s="9" t="n">
        <v>-61715</v>
      </c>
      <c r="F54" s="9" t="n">
        <v>-199099</v>
      </c>
      <c r="G54" s="9" t="n">
        <v>98197</v>
      </c>
    </row>
    <row r="55">
      <c r="A55" s="8" t="inlineStr">
        <is>
          <t xml:space="preserve">    − Δ Inventories</t>
        </is>
      </c>
      <c r="B55" s="9" t="n"/>
      <c r="C55" s="9" t="n">
        <v>8683</v>
      </c>
      <c r="D55" s="9" t="n">
        <v>-54321</v>
      </c>
      <c r="E55" s="9" t="n">
        <v>-169478</v>
      </c>
      <c r="F55" s="9" t="n">
        <v>-16005</v>
      </c>
      <c r="G55" s="9" t="n">
        <v>-14522</v>
      </c>
    </row>
    <row r="56">
      <c r="A56" s="8" t="inlineStr">
        <is>
          <t xml:space="preserve">    − Δ Prepaid expenses</t>
        </is>
      </c>
      <c r="B56" s="9" t="n"/>
      <c r="C56" s="9" t="n">
        <v>-12531</v>
      </c>
      <c r="D56" s="9" t="n">
        <v>-12750</v>
      </c>
      <c r="E56" s="9" t="n">
        <v>10889</v>
      </c>
      <c r="F56" s="9" t="n">
        <v>-10537</v>
      </c>
      <c r="G56" s="9" t="n">
        <v>-2326</v>
      </c>
    </row>
    <row r="57">
      <c r="A57" s="8" t="inlineStr">
        <is>
          <t xml:space="preserve">    + Δ Accounts payable</t>
        </is>
      </c>
      <c r="B57" s="9" t="n"/>
      <c r="C57" s="9" t="n">
        <v>-238718</v>
      </c>
      <c r="D57" s="9" t="n">
        <v>-15018</v>
      </c>
      <c r="E57" s="9" t="n">
        <v>36339</v>
      </c>
      <c r="F57" s="9" t="n">
        <v>149216</v>
      </c>
      <c r="G57" s="9" t="n">
        <v>186745</v>
      </c>
    </row>
    <row r="58">
      <c r="A58" s="10" t="inlineStr">
        <is>
          <t xml:space="preserve">    Operating cash flow proxy</t>
        </is>
      </c>
      <c r="B58" s="11" t="n"/>
      <c r="C58" s="11" t="n">
        <v>329012</v>
      </c>
      <c r="D58" s="11" t="n">
        <v>423561</v>
      </c>
      <c r="E58" s="11" t="n">
        <v>-282723</v>
      </c>
      <c r="F58" s="11" t="n">
        <v>224192</v>
      </c>
      <c r="G58" s="11" t="n">
        <v>351975</v>
      </c>
    </row>
    <row r="60">
      <c r="A60" s="6" t="inlineStr">
        <is>
          <t>Investing</t>
        </is>
      </c>
      <c r="B60" s="7" t="n"/>
      <c r="C60" s="7" t="n"/>
      <c r="D60" s="7" t="n"/>
      <c r="E60" s="7" t="n"/>
      <c r="F60" s="7" t="n"/>
      <c r="G60" s="7" t="n"/>
    </row>
    <row r="61">
      <c r="A61" s="8" t="inlineStr">
        <is>
          <t xml:space="preserve">    − Δ PP&amp;E gross (capex proxy)</t>
        </is>
      </c>
      <c r="B61" s="9" t="n"/>
      <c r="C61" s="9" t="n">
        <v>-609756</v>
      </c>
      <c r="D61" s="9" t="n">
        <v>-553397</v>
      </c>
      <c r="E61" s="9" t="n">
        <v>-190630</v>
      </c>
      <c r="F61" s="9" t="n">
        <v>-326380</v>
      </c>
      <c r="G61" s="9" t="n">
        <v>-1650404</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235551</v>
      </c>
      <c r="D67" s="11" t="n">
        <v>326061</v>
      </c>
      <c r="E67" s="11" t="n">
        <v>80152</v>
      </c>
      <c r="F67" s="11" t="n">
        <v>412667</v>
      </c>
      <c r="G67" s="11" t="n">
        <v>-812562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7523252</v>
      </c>
      <c r="C73" s="9" t="n">
        <v>7560020</v>
      </c>
      <c r="D73" s="9" t="n">
        <v>7506215</v>
      </c>
      <c r="E73" s="9" t="n">
        <v>6388161</v>
      </c>
      <c r="F73" s="9" t="n">
        <v>8049152</v>
      </c>
      <c r="G73" s="9" t="n">
        <v>8427554</v>
      </c>
    </row>
    <row r="74">
      <c r="A74" s="8" t="inlineStr">
        <is>
          <t xml:space="preserve">    11b. Gross income from other sources</t>
        </is>
      </c>
      <c r="B74" s="9" t="n">
        <v>10810</v>
      </c>
      <c r="C74" s="9" t="n">
        <v>5005</v>
      </c>
      <c r="D74" s="9" t="n">
        <v>25559</v>
      </c>
      <c r="E74" s="9" t="n">
        <v>293283</v>
      </c>
      <c r="F74" s="9" t="n">
        <v>312079</v>
      </c>
      <c r="G74" s="9" t="n">
        <v>269924</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Balance Sheet - as reported (USD, end of year)</t>
        </is>
      </c>
    </row>
    <row r="3">
      <c r="A3" s="2" t="inlineStr">
        <is>
          <t>Entity ID: cawc_0057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97865</v>
      </c>
      <c r="C7" s="9" t="n">
        <v>49365</v>
      </c>
      <c r="D7" s="9" t="n">
        <v>83410</v>
      </c>
      <c r="E7" s="9" t="n">
        <v>35560</v>
      </c>
      <c r="F7" s="9" t="n">
        <v>86217</v>
      </c>
      <c r="G7" s="9" t="n">
        <v>61802</v>
      </c>
    </row>
    <row r="8">
      <c r="A8" s="8" t="inlineStr">
        <is>
          <t xml:space="preserve">    Savings &amp; temporary investments</t>
        </is>
      </c>
      <c r="B8" s="9" t="n">
        <v>5955137</v>
      </c>
      <c r="C8" s="9" t="n">
        <v>6239188</v>
      </c>
      <c r="D8" s="9" t="n">
        <v>6531204</v>
      </c>
      <c r="E8" s="9" t="n">
        <v>6659206</v>
      </c>
      <c r="F8" s="9" t="n">
        <v>7021216</v>
      </c>
      <c r="G8" s="9" t="n">
        <v>6233069</v>
      </c>
    </row>
    <row r="9">
      <c r="A9" s="8" t="inlineStr">
        <is>
          <t xml:space="preserve">    Accounts receivable</t>
        </is>
      </c>
      <c r="B9" s="9" t="n">
        <v>600013</v>
      </c>
      <c r="C9" s="9" t="n">
        <v>443646</v>
      </c>
      <c r="D9" s="9" t="n">
        <v>440519</v>
      </c>
      <c r="E9" s="9" t="n">
        <v>502234</v>
      </c>
      <c r="F9" s="9" t="n">
        <v>701333</v>
      </c>
      <c r="G9" s="9" t="n">
        <v>603136</v>
      </c>
    </row>
    <row r="10">
      <c r="A10" s="8" t="inlineStr">
        <is>
          <t xml:space="preserve">    Inventories</t>
        </is>
      </c>
      <c r="B10" s="9" t="n">
        <v>486020</v>
      </c>
      <c r="C10" s="9" t="n">
        <v>477337</v>
      </c>
      <c r="D10" s="9" t="n">
        <v>531658</v>
      </c>
      <c r="E10" s="9" t="n">
        <v>701136</v>
      </c>
      <c r="F10" s="9" t="n">
        <v>717141</v>
      </c>
      <c r="G10" s="9" t="n">
        <v>731663</v>
      </c>
    </row>
    <row r="11">
      <c r="A11" s="8" t="inlineStr">
        <is>
          <t xml:space="preserve">    Prepaid expenses</t>
        </is>
      </c>
      <c r="B11" s="9" t="n">
        <v>42848</v>
      </c>
      <c r="C11" s="9" t="n">
        <v>55379</v>
      </c>
      <c r="D11" s="9" t="n">
        <v>68129</v>
      </c>
      <c r="E11" s="9" t="n">
        <v>57240</v>
      </c>
      <c r="F11" s="9" t="n">
        <v>67777</v>
      </c>
      <c r="G11" s="9" t="n">
        <v>70103</v>
      </c>
    </row>
    <row r="12">
      <c r="A12" s="8" t="inlineStr">
        <is>
          <t xml:space="preserve">    Property, plant &amp; equipment (gross)</t>
        </is>
      </c>
      <c r="B12" s="9" t="n">
        <v>20281386</v>
      </c>
      <c r="C12" s="9" t="n">
        <v>20891142</v>
      </c>
      <c r="D12" s="9" t="n">
        <v>21444539</v>
      </c>
      <c r="E12" s="9" t="n">
        <v>21635169</v>
      </c>
      <c r="F12" s="9" t="n">
        <v>21961549</v>
      </c>
      <c r="G12" s="9" t="n">
        <v>23611953</v>
      </c>
    </row>
    <row r="13">
      <c r="A13" s="8" t="inlineStr">
        <is>
          <t xml:space="preserve">    Less: accumulated depreciation</t>
        </is>
      </c>
      <c r="B13" s="9" t="n">
        <v>-11932113</v>
      </c>
      <c r="C13" s="9" t="n">
        <v>-12427618</v>
      </c>
      <c r="D13" s="9" t="n">
        <v>-12951870</v>
      </c>
      <c r="E13" s="9" t="n">
        <v>-13494985</v>
      </c>
      <c r="F13" s="9" t="n">
        <v>-14011665</v>
      </c>
      <c r="G13" s="9" t="n">
        <v>-14512137</v>
      </c>
    </row>
    <row r="14">
      <c r="A14" s="10" t="inlineStr">
        <is>
          <t xml:space="preserve">    Net property, plant &amp; equipment</t>
        </is>
      </c>
      <c r="B14" s="11" t="n">
        <v>8349273</v>
      </c>
      <c r="C14" s="11" t="n">
        <v>8463524</v>
      </c>
      <c r="D14" s="11" t="n">
        <v>8492669</v>
      </c>
      <c r="E14" s="11" t="n">
        <v>8140184</v>
      </c>
      <c r="F14" s="11" t="n">
        <v>7949884</v>
      </c>
      <c r="G14" s="11" t="n">
        <v>9099816</v>
      </c>
    </row>
    <row r="15">
      <c r="A15" s="10" t="inlineStr">
        <is>
          <t>Total assets</t>
        </is>
      </c>
      <c r="B15" s="11" t="n">
        <v>15566928</v>
      </c>
      <c r="C15" s="11" t="n">
        <v>15764211</v>
      </c>
      <c r="D15" s="11" t="n">
        <v>16183361</v>
      </c>
      <c r="E15" s="11" t="n">
        <v>16131332</v>
      </c>
      <c r="F15" s="11" t="n">
        <v>16579340</v>
      </c>
      <c r="G15" s="11" t="n">
        <v>16835361</v>
      </c>
    </row>
    <row r="17">
      <c r="A17" s="6" t="inlineStr">
        <is>
          <t>Liabilities</t>
        </is>
      </c>
      <c r="B17" s="7" t="n"/>
      <c r="C17" s="7" t="n"/>
      <c r="D17" s="7" t="n"/>
      <c r="E17" s="7" t="n"/>
      <c r="F17" s="7" t="n"/>
      <c r="G17" s="7" t="n"/>
    </row>
    <row r="18">
      <c r="A18" s="8" t="inlineStr">
        <is>
          <t xml:space="preserve">    Accounts payable</t>
        </is>
      </c>
      <c r="B18" s="9" t="n">
        <v>848099</v>
      </c>
      <c r="C18" s="9" t="n">
        <v>609381</v>
      </c>
      <c r="D18" s="9" t="n">
        <v>594363</v>
      </c>
      <c r="E18" s="9" t="n">
        <v>630702</v>
      </c>
      <c r="F18" s="9" t="n">
        <v>779918</v>
      </c>
      <c r="G18" s="9" t="n">
        <v>966663</v>
      </c>
    </row>
    <row r="19">
      <c r="A19" s="8" t="inlineStr">
        <is>
          <t xml:space="preserve">    Mortgages &amp; notes payable</t>
        </is>
      </c>
      <c r="B19" s="9" t="n"/>
      <c r="C19" s="9" t="n"/>
      <c r="D19" s="9" t="n"/>
      <c r="E19" s="9" t="n"/>
      <c r="F19" s="9" t="n"/>
      <c r="G19" s="9" t="n"/>
    </row>
    <row r="20">
      <c r="A20" s="10" t="inlineStr">
        <is>
          <t>Total liabilities</t>
        </is>
      </c>
      <c r="B20" s="11" t="n">
        <v>971714</v>
      </c>
      <c r="C20" s="11" t="n">
        <v>753721</v>
      </c>
      <c r="D20" s="11" t="n">
        <v>670293</v>
      </c>
      <c r="E20" s="11" t="n">
        <v>717022</v>
      </c>
      <c r="F20" s="11" t="n">
        <v>864413</v>
      </c>
      <c r="G20" s="11" t="n">
        <v>1036553</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14595214</v>
      </c>
      <c r="C26" s="11" t="n">
        <v>15010490</v>
      </c>
      <c r="D26" s="11" t="n">
        <v>15513068</v>
      </c>
      <c r="E26" s="11" t="n">
        <v>15414310</v>
      </c>
      <c r="F26" s="11" t="n">
        <v>15714927</v>
      </c>
      <c r="G26" s="11" t="n">
        <v>15798808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Valley Water Company</t>
        </is>
      </c>
    </row>
    <row r="2">
      <c r="A2" s="2" t="inlineStr">
        <is>
          <t>Officers, Directors &amp; Contractors - Form 990 Part VII (FY2025; USD)</t>
        </is>
      </c>
    </row>
    <row r="3">
      <c r="A3" s="2" t="inlineStr">
        <is>
          <t>Entity ID: cawc_0057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JAMES T EDWARDS</t>
        </is>
      </c>
      <c r="B7" s="8" t="inlineStr">
        <is>
          <t>PRESIDENT</t>
        </is>
      </c>
      <c r="C7" s="9" t="n">
        <v>1500</v>
      </c>
      <c r="D7" s="9" t="n">
        <v>0</v>
      </c>
      <c r="E7" s="9" t="n">
        <v>125</v>
      </c>
      <c r="F7" s="9" t="n">
        <v>1625</v>
      </c>
    </row>
    <row r="8">
      <c r="A8" s="8" t="inlineStr">
        <is>
          <t>STEPHEN DEL GUERCIO</t>
        </is>
      </c>
      <c r="B8" s="8" t="inlineStr">
        <is>
          <t>VICE PRESIDENT</t>
        </is>
      </c>
      <c r="C8" s="9" t="n">
        <v>1800</v>
      </c>
      <c r="D8" s="9" t="n">
        <v>0</v>
      </c>
      <c r="E8" s="9" t="n">
        <v>0</v>
      </c>
      <c r="F8" s="9" t="n">
        <v>1800</v>
      </c>
    </row>
    <row r="9">
      <c r="A9" s="8" t="inlineStr">
        <is>
          <t>DONALD VOSS</t>
        </is>
      </c>
      <c r="B9" s="8" t="inlineStr">
        <is>
          <t>TREASURER</t>
        </is>
      </c>
      <c r="C9" s="9" t="n">
        <v>2520</v>
      </c>
      <c r="D9" s="9" t="n">
        <v>0</v>
      </c>
      <c r="E9" s="9" t="n">
        <v>0</v>
      </c>
      <c r="F9" s="9" t="n">
        <v>2520</v>
      </c>
    </row>
    <row r="10">
      <c r="A10" s="8" t="inlineStr">
        <is>
          <t>VICTORIA SCHWARTZ</t>
        </is>
      </c>
      <c r="B10" s="8" t="inlineStr">
        <is>
          <t>DIRECTOR</t>
        </is>
      </c>
      <c r="C10" s="9" t="n">
        <v>1800</v>
      </c>
      <c r="D10" s="9" t="n">
        <v>0</v>
      </c>
      <c r="E10" s="9" t="n">
        <v>0</v>
      </c>
      <c r="F10" s="9" t="n">
        <v>1800</v>
      </c>
    </row>
    <row r="11">
      <c r="A11" s="8" t="inlineStr">
        <is>
          <t>GRACE TAN WANG</t>
        </is>
      </c>
      <c r="B11" s="8" t="inlineStr">
        <is>
          <t>DIRECTOR</t>
        </is>
      </c>
      <c r="C11" s="9" t="n">
        <v>1800</v>
      </c>
      <c r="D11" s="9" t="n">
        <v>0</v>
      </c>
      <c r="E11" s="9" t="n">
        <v>0</v>
      </c>
      <c r="F11" s="9" t="n">
        <v>1800</v>
      </c>
    </row>
    <row r="12">
      <c r="A12" s="17" t="inlineStr">
        <is>
          <t>BOB FAN</t>
        </is>
      </c>
      <c r="B12" s="17" t="inlineStr">
        <is>
          <t>GENERAL MANAGER/SECRETARY</t>
        </is>
      </c>
      <c r="C12" s="18" t="n">
        <v>294846</v>
      </c>
      <c r="D12" s="18" t="n">
        <v>0</v>
      </c>
      <c r="E12" s="18" t="n">
        <v>53525</v>
      </c>
      <c r="F12" s="18" t="n">
        <v>348371</v>
      </c>
    </row>
    <row r="13">
      <c r="A13" s="17" t="inlineStr">
        <is>
          <t>PATRICK CASTENADA</t>
        </is>
      </c>
      <c r="B13" s="17" t="inlineStr">
        <is>
          <t>EMPLOYEE</t>
        </is>
      </c>
      <c r="C13" s="18" t="n">
        <v>146353</v>
      </c>
      <c r="D13" s="18" t="n">
        <v>0</v>
      </c>
      <c r="E13" s="18" t="n">
        <v>51628</v>
      </c>
      <c r="F13" s="18" t="n">
        <v>197981</v>
      </c>
    </row>
    <row r="14">
      <c r="A14" s="8" t="inlineStr">
        <is>
          <t>DOUGLAS SARBAUM</t>
        </is>
      </c>
      <c r="B14" s="8" t="inlineStr">
        <is>
          <t>EMPLOYEE</t>
        </is>
      </c>
      <c r="C14" s="9" t="n">
        <v>144585</v>
      </c>
      <c r="D14" s="9" t="n">
        <v>0</v>
      </c>
      <c r="E14" s="9" t="n">
        <v>42195</v>
      </c>
      <c r="F14" s="9" t="n">
        <v>186780</v>
      </c>
    </row>
    <row r="15">
      <c r="A15" s="8" t="inlineStr">
        <is>
          <t>GUY D WELLS</t>
        </is>
      </c>
      <c r="B15" s="8" t="inlineStr">
        <is>
          <t>EMPLOYEE</t>
        </is>
      </c>
      <c r="C15" s="9" t="n">
        <v>147055</v>
      </c>
      <c r="D15" s="9" t="n">
        <v>0</v>
      </c>
      <c r="E15" s="9" t="n">
        <v>38430</v>
      </c>
      <c r="F15" s="9" t="n">
        <v>185485</v>
      </c>
    </row>
    <row r="16">
      <c r="A16" s="8" t="inlineStr">
        <is>
          <t>MAELYN FELIPE</t>
        </is>
      </c>
      <c r="B16" s="8" t="inlineStr">
        <is>
          <t>EMPLOYEE</t>
        </is>
      </c>
      <c r="C16" s="9" t="n">
        <v>132392</v>
      </c>
      <c r="D16" s="9" t="n">
        <v>0</v>
      </c>
      <c r="E16" s="9" t="n">
        <v>25473</v>
      </c>
      <c r="F16" s="9" t="n">
        <v>157865</v>
      </c>
    </row>
    <row r="17">
      <c r="A17" s="8" t="inlineStr">
        <is>
          <t>WILLIAM R LEACH</t>
        </is>
      </c>
      <c r="B17" s="8" t="inlineStr">
        <is>
          <t>EMPLOYEE</t>
        </is>
      </c>
      <c r="C17" s="9" t="n">
        <v>141426</v>
      </c>
      <c r="D17" s="9" t="n">
        <v>0</v>
      </c>
      <c r="E17" s="9" t="n">
        <v>19609</v>
      </c>
      <c r="F17" s="9" t="n">
        <v>161035</v>
      </c>
    </row>
    <row r="19">
      <c r="A19" s="6" t="inlineStr">
        <is>
          <t>Section B - Independent contractors (over $100,000)</t>
        </is>
      </c>
      <c r="B19" s="7" t="n"/>
      <c r="C19" s="7" t="n"/>
      <c r="D19" s="7" t="n"/>
      <c r="E19" s="7" t="n"/>
      <c r="F19" s="7" t="n"/>
    </row>
    <row r="20">
      <c r="A20" s="5" t="inlineStr">
        <is>
          <t>Contractor</t>
        </is>
      </c>
      <c r="B20" s="5" t="inlineStr">
        <is>
          <t>Services</t>
        </is>
      </c>
      <c r="C20" s="5" t="inlineStr">
        <is>
          <t>Compensation</t>
        </is>
      </c>
    </row>
    <row r="22" ht="42" customHeight="1">
      <c r="A22"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22:F2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Revenue - Form 990 Part VIII (USD)</t>
        </is>
      </c>
    </row>
    <row r="3">
      <c r="A3" s="2" t="inlineStr">
        <is>
          <t>Entity ID: cawc_0057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c r="G7" s="19" t="inlineStr">
        <is>
          <t>not reported</t>
        </is>
      </c>
    </row>
    <row r="8">
      <c r="A8" s="8" t="inlineStr">
        <is>
          <t xml:space="preserve">    2g. Total program service revenue</t>
        </is>
      </c>
      <c r="B8" s="9" t="n">
        <v>779739</v>
      </c>
      <c r="C8" s="9" t="n">
        <v>867933</v>
      </c>
      <c r="D8" s="9" t="n">
        <v>791807</v>
      </c>
      <c r="E8" s="9" t="n">
        <v>794356</v>
      </c>
      <c r="F8" s="9" t="n">
        <v>1044411</v>
      </c>
      <c r="G8" s="9" t="n">
        <v>1049749</v>
      </c>
    </row>
    <row r="9">
      <c r="A9" s="8" t="inlineStr">
        <is>
          <t xml:space="preserve">    3. Investment income</t>
        </is>
      </c>
      <c r="B9" s="9" t="n">
        <v>10810</v>
      </c>
      <c r="C9" s="9" t="n">
        <v>5005</v>
      </c>
      <c r="D9" s="9" t="n">
        <v>25559</v>
      </c>
      <c r="E9" s="9" t="n">
        <v>293283</v>
      </c>
      <c r="F9" s="9" t="n">
        <v>312079</v>
      </c>
      <c r="G9" s="9" t="n">
        <v>269924</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c r="G11" s="19" t="inlineStr">
        <is>
          <t>not reported</t>
        </is>
      </c>
    </row>
    <row r="12">
      <c r="A12" s="8" t="inlineStr">
        <is>
          <t xml:space="preserve">    11e. Other revenue</t>
        </is>
      </c>
      <c r="B12" s="9" t="n">
        <v>9560</v>
      </c>
      <c r="C12" s="9" t="n">
        <v>15445</v>
      </c>
      <c r="D12" s="9" t="n">
        <v>11676</v>
      </c>
      <c r="E12" s="9" t="n">
        <v>8400</v>
      </c>
      <c r="F12" s="9" t="n">
        <v>8280</v>
      </c>
      <c r="G12" s="9" t="n">
        <v>7340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SERVICE CHARGES</t>
        </is>
      </c>
      <c r="B17" s="8" t="inlineStr">
        <is>
          <t>221000</t>
        </is>
      </c>
      <c r="C17" s="9" t="n">
        <v>1049749</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Valley Water Company</t>
        </is>
      </c>
    </row>
    <row r="2">
      <c r="A2" s="2" t="inlineStr">
        <is>
          <t>Statement of Functional Expenses - Form 990 Part IX (USD)</t>
        </is>
      </c>
    </row>
    <row r="3">
      <c r="A3" s="2" t="inlineStr">
        <is>
          <t>Entity ID: cawc_0057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5. Compensation of current officers, directors, trustees</t>
        </is>
      </c>
      <c r="B7" s="9" t="n">
        <v>253785</v>
      </c>
      <c r="C7" s="9" t="n">
        <v>267414</v>
      </c>
      <c r="D7" s="9" t="n">
        <v>287239</v>
      </c>
      <c r="E7" s="9" t="n">
        <v>305965</v>
      </c>
      <c r="F7" s="9" t="n">
        <v>342153</v>
      </c>
      <c r="G7" s="9" t="n">
        <v>357916</v>
      </c>
    </row>
    <row r="8">
      <c r="A8" s="8" t="inlineStr">
        <is>
          <t xml:space="preserve">    7. Other salaries and wages</t>
        </is>
      </c>
      <c r="B8" s="9" t="n">
        <v>183031</v>
      </c>
      <c r="C8" s="9" t="n">
        <v>177781</v>
      </c>
      <c r="D8" s="9" t="n">
        <v>178544</v>
      </c>
      <c r="E8" s="9" t="n">
        <v>175370</v>
      </c>
      <c r="F8" s="9" t="n">
        <v>216170</v>
      </c>
      <c r="G8" s="9" t="n">
        <v>251552</v>
      </c>
    </row>
    <row r="9">
      <c r="A9" s="8" t="inlineStr">
        <is>
          <t xml:space="preserve">    8. Pension plan accruals and contributions</t>
        </is>
      </c>
      <c r="B9" s="9" t="n">
        <v>41428</v>
      </c>
      <c r="C9" s="9" t="n">
        <v>39763</v>
      </c>
      <c r="D9" s="9" t="n">
        <v>35946</v>
      </c>
      <c r="E9" s="9" t="n">
        <v>42891</v>
      </c>
      <c r="F9" s="9" t="n">
        <v>45078</v>
      </c>
      <c r="G9" s="9" t="n">
        <v>45633</v>
      </c>
    </row>
    <row r="10">
      <c r="A10" s="8" t="inlineStr">
        <is>
          <t xml:space="preserve">    9. Other employee benefits</t>
        </is>
      </c>
      <c r="B10" s="9" t="n">
        <v>169662</v>
      </c>
      <c r="C10" s="9" t="n">
        <v>156713</v>
      </c>
      <c r="D10" s="9" t="n">
        <v>163598</v>
      </c>
      <c r="E10" s="9" t="n">
        <v>193578</v>
      </c>
      <c r="F10" s="9" t="n">
        <v>207547</v>
      </c>
      <c r="G10" s="9" t="n">
        <v>236659</v>
      </c>
    </row>
    <row r="11">
      <c r="A11" s="8" t="inlineStr">
        <is>
          <t xml:space="preserve">    10. Payroll taxes</t>
        </is>
      </c>
      <c r="B11" s="9" t="n">
        <v>68735</v>
      </c>
      <c r="C11" s="9" t="n">
        <v>70108</v>
      </c>
      <c r="D11" s="9" t="n">
        <v>73523</v>
      </c>
      <c r="E11" s="9" t="n">
        <v>82770</v>
      </c>
      <c r="F11" s="9" t="n">
        <v>85478</v>
      </c>
      <c r="G11" s="9" t="n">
        <v>90726</v>
      </c>
    </row>
    <row r="12">
      <c r="A12" s="8" t="inlineStr">
        <is>
          <t xml:space="preserve">    11b. Fees for services: legal</t>
        </is>
      </c>
      <c r="B12" s="9" t="n">
        <v>193</v>
      </c>
      <c r="C12" s="19" t="inlineStr">
        <is>
          <t>not reported</t>
        </is>
      </c>
      <c r="D12" s="19" t="inlineStr">
        <is>
          <t>not reported</t>
        </is>
      </c>
      <c r="E12" s="19" t="inlineStr">
        <is>
          <t>not reported</t>
        </is>
      </c>
      <c r="F12" s="9" t="n">
        <v>643</v>
      </c>
      <c r="G12" s="9" t="n">
        <v>10461</v>
      </c>
    </row>
    <row r="13">
      <c r="A13" s="8" t="inlineStr">
        <is>
          <t xml:space="preserve">    11c. Fees for services: accounting</t>
        </is>
      </c>
      <c r="B13" s="9" t="n">
        <v>29500</v>
      </c>
      <c r="C13" s="9" t="n">
        <v>28200</v>
      </c>
      <c r="D13" s="9" t="n">
        <v>29300</v>
      </c>
      <c r="E13" s="9" t="n">
        <v>32250</v>
      </c>
      <c r="F13" s="9" t="n">
        <v>35200</v>
      </c>
      <c r="G13" s="9" t="n">
        <v>35400</v>
      </c>
    </row>
    <row r="14">
      <c r="A14" s="8" t="inlineStr">
        <is>
          <t xml:space="preserve">    11g. Fees for services: other</t>
        </is>
      </c>
      <c r="B14" s="9" t="n">
        <v>23163</v>
      </c>
      <c r="C14" s="9" t="n">
        <v>22038</v>
      </c>
      <c r="D14" s="9" t="n">
        <v>20181</v>
      </c>
      <c r="E14" s="9" t="n">
        <v>19391</v>
      </c>
      <c r="F14" s="9" t="n">
        <v>25177</v>
      </c>
      <c r="G14" s="9" t="n">
        <v>28182</v>
      </c>
    </row>
    <row r="15">
      <c r="A15" s="8" t="inlineStr">
        <is>
          <t xml:space="preserve">    13. Office expenses</t>
        </is>
      </c>
      <c r="B15" s="9" t="n">
        <v>94435</v>
      </c>
      <c r="C15" s="9" t="n">
        <v>99063</v>
      </c>
      <c r="D15" s="9" t="n">
        <v>118590</v>
      </c>
      <c r="E15" s="9" t="n">
        <v>119372</v>
      </c>
      <c r="F15" s="9" t="n">
        <v>151249</v>
      </c>
      <c r="G15" s="9" t="n">
        <v>158344</v>
      </c>
    </row>
    <row r="16">
      <c r="A16" s="8" t="inlineStr">
        <is>
          <t xml:space="preserve">    14. Information technology</t>
        </is>
      </c>
      <c r="B16" s="9" t="n">
        <v>71713</v>
      </c>
      <c r="C16" s="9" t="n">
        <v>66266</v>
      </c>
      <c r="D16" s="9" t="n">
        <v>50189</v>
      </c>
      <c r="E16" s="9" t="n">
        <v>67909</v>
      </c>
      <c r="F16" s="9" t="n">
        <v>50289</v>
      </c>
      <c r="G16" s="9" t="n">
        <v>53134</v>
      </c>
    </row>
    <row r="17">
      <c r="A17" s="8" t="inlineStr">
        <is>
          <t xml:space="preserve">    23. Insurance</t>
        </is>
      </c>
      <c r="B17" s="9" t="n">
        <v>68252</v>
      </c>
      <c r="C17" s="9" t="n">
        <v>71230</v>
      </c>
      <c r="D17" s="9" t="n">
        <v>83120</v>
      </c>
      <c r="E17" s="9" t="n">
        <v>93766</v>
      </c>
      <c r="F17" s="9" t="n">
        <v>107871</v>
      </c>
      <c r="G17" s="9" t="n">
        <v>156747</v>
      </c>
    </row>
    <row r="18">
      <c r="A18" s="8" t="inlineStr">
        <is>
          <t xml:space="preserve">    24. TAXES</t>
        </is>
      </c>
      <c r="B18" s="9" t="n">
        <v>16295</v>
      </c>
      <c r="C18" s="9" t="n">
        <v>16341</v>
      </c>
      <c r="D18" s="9" t="n">
        <v>17852</v>
      </c>
      <c r="E18" s="9" t="n">
        <v>41594</v>
      </c>
      <c r="F18" s="9" t="n">
        <v>43412</v>
      </c>
      <c r="G18" s="9" t="n">
        <v>40035</v>
      </c>
    </row>
    <row r="19">
      <c r="A19" s="8" t="inlineStr">
        <is>
          <t xml:space="preserve">    24. DUES AND SUBSCRIPTIONS</t>
        </is>
      </c>
      <c r="B19" s="9" t="n">
        <v>15934</v>
      </c>
      <c r="C19" s="9" t="n">
        <v>22811</v>
      </c>
      <c r="D19" s="9" t="n">
        <v>43637</v>
      </c>
      <c r="E19" s="9" t="n">
        <v>67440</v>
      </c>
      <c r="F19" s="9" t="n">
        <v>87212</v>
      </c>
      <c r="G19" s="9" t="n">
        <v>79936</v>
      </c>
    </row>
    <row r="20">
      <c r="A20" s="8" t="inlineStr">
        <is>
          <t xml:space="preserve">    24. ENGINEERING SERVICES</t>
        </is>
      </c>
      <c r="B20" s="9" t="n">
        <v>7600</v>
      </c>
      <c r="C20" s="9" t="n">
        <v>46910</v>
      </c>
      <c r="D20" s="9" t="n">
        <v>30131</v>
      </c>
      <c r="E20" s="9" t="n">
        <v>23097</v>
      </c>
      <c r="F20" s="9" t="n">
        <v>10847</v>
      </c>
      <c r="G20" s="9" t="n">
        <v>11500</v>
      </c>
    </row>
    <row r="21">
      <c r="A21" s="8" t="inlineStr">
        <is>
          <t xml:space="preserve">    24. MISCELLANEOUS</t>
        </is>
      </c>
      <c r="B21" s="9" t="n">
        <v>4034</v>
      </c>
      <c r="C21" s="9" t="n">
        <v>8511</v>
      </c>
      <c r="D21" s="9" t="n">
        <v>4512</v>
      </c>
      <c r="E21" s="9" t="n">
        <v>381</v>
      </c>
      <c r="F21" s="9" t="n">
        <v>4867</v>
      </c>
      <c r="G21" s="9" t="n">
        <v>5277</v>
      </c>
    </row>
    <row r="22">
      <c r="A22" s="8" t="inlineStr">
        <is>
          <t xml:space="preserve">    24e. All other expenses</t>
        </is>
      </c>
      <c r="B22" s="19" t="inlineStr">
        <is>
          <t>not reported</t>
        </is>
      </c>
      <c r="C22" s="19" t="inlineStr">
        <is>
          <t>not reported</t>
        </is>
      </c>
      <c r="D22" s="19" t="inlineStr">
        <is>
          <t>not reported</t>
        </is>
      </c>
      <c r="E22" s="19" t="inlineStr">
        <is>
          <t>not reported</t>
        </is>
      </c>
      <c r="F22" s="19" t="inlineStr">
        <is>
          <t>not reported</t>
        </is>
      </c>
      <c r="G22" s="19" t="inlineStr">
        <is>
          <t>not reported</t>
        </is>
      </c>
    </row>
    <row r="23">
      <c r="A23" s="10" t="inlineStr">
        <is>
          <t>25. Total functional expenses</t>
        </is>
      </c>
      <c r="B23" s="11">
        <f>SUM(B7:B22)</f>
        <v/>
      </c>
      <c r="C23" s="11">
        <f>SUM(C7:C22)</f>
        <v/>
      </c>
      <c r="D23" s="11">
        <f>SUM(D7:D22)</f>
        <v/>
      </c>
      <c r="E23" s="11">
        <f>SUM(E7:E22)</f>
        <v/>
      </c>
      <c r="F23" s="11">
        <f>SUM(F7:F22)</f>
        <v/>
      </c>
      <c r="G23" s="11">
        <f>SUM(G7:G22)</f>
        <v/>
      </c>
    </row>
    <row r="25">
      <c r="A25" s="6" t="inlineStr">
        <is>
          <t>Functional column split - FY2025</t>
        </is>
      </c>
      <c r="B25" s="7" t="n"/>
      <c r="C25" s="7" t="n"/>
      <c r="D25" s="7" t="n"/>
      <c r="E25" s="7" t="n"/>
      <c r="F25" s="7" t="n"/>
      <c r="G25" s="7" t="n"/>
    </row>
    <row r="26" ht="42" customHeight="1">
      <c r="A26" s="3" t="inlineStr">
        <is>
          <t>Not reported. This filer reports only column A (Total) of Part IX; the program / management / fundraising split (columns B-D) is not filed, so it is left as not reported rather than shown empty or inferred.</t>
        </is>
      </c>
    </row>
    <row r="27" ht="42" customHeight="1">
      <c r="A2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G1"/>
    <mergeCell ref="A27:G27"/>
    <mergeCell ref="A3:G3"/>
    <mergeCell ref="A26:G26"/>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Balance Sheet - Form 990 Part X (end of year, USD)</t>
        </is>
      </c>
    </row>
    <row r="3">
      <c r="A3" s="2" t="inlineStr">
        <is>
          <t>Entity ID: cawc_0057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97865</v>
      </c>
      <c r="C7" s="9" t="n">
        <v>49365</v>
      </c>
      <c r="D7" s="9" t="n">
        <v>83410</v>
      </c>
      <c r="E7" s="9" t="n">
        <v>35560</v>
      </c>
      <c r="F7" s="9" t="n">
        <v>86217</v>
      </c>
      <c r="G7" s="9" t="n">
        <v>61802</v>
      </c>
    </row>
    <row r="8">
      <c r="A8" s="8" t="inlineStr">
        <is>
          <t xml:space="preserve">    2. Savings and temporary cash investments</t>
        </is>
      </c>
      <c r="B8" s="9" t="n">
        <v>5955137</v>
      </c>
      <c r="C8" s="9" t="n">
        <v>6239188</v>
      </c>
      <c r="D8" s="9" t="n">
        <v>6531204</v>
      </c>
      <c r="E8" s="9" t="n">
        <v>6659206</v>
      </c>
      <c r="F8" s="9" t="n">
        <v>7021216</v>
      </c>
      <c r="G8" s="9" t="n">
        <v>6233069</v>
      </c>
    </row>
    <row r="9">
      <c r="A9" s="8" t="inlineStr">
        <is>
          <t xml:space="preserve">    4. Accounts receivable, net</t>
        </is>
      </c>
      <c r="B9" s="9" t="n">
        <v>600013</v>
      </c>
      <c r="C9" s="9" t="n">
        <v>443646</v>
      </c>
      <c r="D9" s="9" t="n">
        <v>440519</v>
      </c>
      <c r="E9" s="9" t="n">
        <v>502234</v>
      </c>
      <c r="F9" s="9" t="n">
        <v>701333</v>
      </c>
      <c r="G9" s="9" t="n">
        <v>603136</v>
      </c>
    </row>
    <row r="10">
      <c r="A10" s="8" t="inlineStr">
        <is>
          <t xml:space="preserve">    8. Inventories for sale or use</t>
        </is>
      </c>
      <c r="B10" s="9" t="n">
        <v>486020</v>
      </c>
      <c r="C10" s="9" t="n">
        <v>477337</v>
      </c>
      <c r="D10" s="9" t="n">
        <v>531658</v>
      </c>
      <c r="E10" s="9" t="n">
        <v>701136</v>
      </c>
      <c r="F10" s="9" t="n">
        <v>717141</v>
      </c>
      <c r="G10" s="9" t="n">
        <v>731663</v>
      </c>
    </row>
    <row r="11">
      <c r="A11" s="8" t="inlineStr">
        <is>
          <t xml:space="preserve">    9. Prepaid expenses and deferred charges</t>
        </is>
      </c>
      <c r="B11" s="9" t="n">
        <v>42848</v>
      </c>
      <c r="C11" s="9" t="n">
        <v>55379</v>
      </c>
      <c r="D11" s="9" t="n">
        <v>68129</v>
      </c>
      <c r="E11" s="9" t="n">
        <v>57240</v>
      </c>
      <c r="F11" s="9" t="n">
        <v>67777</v>
      </c>
      <c r="G11" s="9" t="n">
        <v>70103</v>
      </c>
    </row>
    <row r="12">
      <c r="A12" s="8" t="inlineStr">
        <is>
          <t xml:space="preserve">    10c. Land, buildings, and equipment, net</t>
        </is>
      </c>
      <c r="B12" s="9" t="n">
        <v>8349273</v>
      </c>
      <c r="C12" s="9" t="n">
        <v>8463524</v>
      </c>
      <c r="D12" s="9" t="n">
        <v>8492669</v>
      </c>
      <c r="E12" s="9" t="n">
        <v>8140184</v>
      </c>
      <c r="F12" s="9" t="n">
        <v>7949884</v>
      </c>
      <c r="G12" s="9" t="n">
        <v>9099816</v>
      </c>
    </row>
    <row r="13">
      <c r="A13" s="8" t="inlineStr">
        <is>
          <t xml:space="preserve">    15. Other assets</t>
        </is>
      </c>
      <c r="B13" s="9" t="n">
        <v>35772</v>
      </c>
      <c r="C13" s="9" t="n">
        <v>35772</v>
      </c>
      <c r="D13" s="9" t="n">
        <v>35772</v>
      </c>
      <c r="E13" s="9" t="n">
        <v>35772</v>
      </c>
      <c r="F13" s="9" t="n">
        <v>35772</v>
      </c>
      <c r="G13" s="9" t="n">
        <v>35772</v>
      </c>
    </row>
    <row r="14">
      <c r="A14" s="10" t="inlineStr">
        <is>
          <t>16. Total assets</t>
        </is>
      </c>
      <c r="B14" s="11">
        <f>SUM(B7:B13)</f>
        <v/>
      </c>
      <c r="C14" s="11">
        <f>SUM(C7:C13)</f>
        <v/>
      </c>
      <c r="D14" s="11">
        <f>SUM(D7:D13)</f>
        <v/>
      </c>
      <c r="E14" s="11">
        <f>SUM(E7:E13)</f>
        <v/>
      </c>
      <c r="F14" s="11">
        <f>SUM(F7:F13)</f>
        <v/>
      </c>
      <c r="G14" s="11">
        <f>SUM(G7:G13)</f>
        <v/>
      </c>
    </row>
    <row r="16">
      <c r="A16" s="6" t="inlineStr">
        <is>
          <t>Liabilities</t>
        </is>
      </c>
      <c r="B16" s="7" t="n"/>
      <c r="C16" s="7" t="n"/>
      <c r="D16" s="7" t="n"/>
      <c r="E16" s="7" t="n"/>
      <c r="F16" s="7" t="n"/>
      <c r="G16" s="7" t="n"/>
    </row>
    <row r="17">
      <c r="A17" s="8" t="inlineStr">
        <is>
          <t xml:space="preserve">    17. Accounts payable and accrued expenses</t>
        </is>
      </c>
      <c r="B17" s="9" t="n">
        <v>848099</v>
      </c>
      <c r="C17" s="9" t="n">
        <v>609381</v>
      </c>
      <c r="D17" s="9" t="n">
        <v>594363</v>
      </c>
      <c r="E17" s="9" t="n">
        <v>630702</v>
      </c>
      <c r="F17" s="9" t="n">
        <v>779918</v>
      </c>
      <c r="G17" s="9" t="n">
        <v>966663</v>
      </c>
    </row>
    <row r="18">
      <c r="A18" s="8" t="inlineStr">
        <is>
          <t xml:space="preserve">    25. Other liabilities</t>
        </is>
      </c>
      <c r="B18" s="9" t="n">
        <v>123615</v>
      </c>
      <c r="C18" s="9" t="n">
        <v>144340</v>
      </c>
      <c r="D18" s="9" t="n">
        <v>75930</v>
      </c>
      <c r="E18" s="9" t="n">
        <v>86320</v>
      </c>
      <c r="F18" s="9" t="n">
        <v>84495</v>
      </c>
      <c r="G18" s="9" t="n">
        <v>69890</v>
      </c>
    </row>
    <row r="19">
      <c r="A19" s="10" t="inlineStr">
        <is>
          <t>26. Total liabilities</t>
        </is>
      </c>
      <c r="B19" s="11">
        <f>SUM(B17:B18)</f>
        <v/>
      </c>
      <c r="C19" s="11">
        <f>SUM(C17:C18)</f>
        <v/>
      </c>
      <c r="D19" s="11">
        <f>SUM(D17:D18)</f>
        <v/>
      </c>
      <c r="E19" s="11">
        <f>SUM(E17:E18)</f>
        <v/>
      </c>
      <c r="F19" s="11">
        <f>SUM(F17:F18)</f>
        <v/>
      </c>
      <c r="G19" s="11">
        <f>SUM(G17:G18)</f>
        <v/>
      </c>
    </row>
    <row r="21">
      <c r="A21" s="6" t="inlineStr">
        <is>
          <t>Net assets / fund balances</t>
        </is>
      </c>
      <c r="B21" s="7" t="n"/>
      <c r="C21" s="7" t="n"/>
      <c r="D21" s="7" t="n"/>
      <c r="E21" s="7" t="n"/>
      <c r="F21" s="7" t="n"/>
      <c r="G21" s="7" t="n"/>
    </row>
    <row r="22">
      <c r="A22" s="8" t="inlineStr">
        <is>
          <t xml:space="preserve">    27. Net assets without donor restrictions</t>
        </is>
      </c>
      <c r="B22" s="9" t="n">
        <v>14595214</v>
      </c>
      <c r="C22" s="9" t="n">
        <v>15010490</v>
      </c>
      <c r="D22" s="9" t="n">
        <v>15513068</v>
      </c>
      <c r="E22" s="9" t="n">
        <v>15414310</v>
      </c>
      <c r="F22" s="9" t="n">
        <v>15714927</v>
      </c>
      <c r="G22" s="9" t="n">
        <v>15798808</v>
      </c>
    </row>
    <row r="23">
      <c r="A23" s="10" t="inlineStr">
        <is>
          <t>32. Total net assets / fund balances</t>
        </is>
      </c>
      <c r="B23" s="11">
        <f>SUM(B22:B22)</f>
        <v/>
      </c>
      <c r="C23" s="11">
        <f>SUM(C22:C22)</f>
        <v/>
      </c>
      <c r="D23" s="11">
        <f>SUM(D22:D22)</f>
        <v/>
      </c>
      <c r="E23" s="11">
        <f>SUM(E22:E22)</f>
        <v/>
      </c>
      <c r="F23" s="11">
        <f>SUM(F22:F22)</f>
        <v/>
      </c>
      <c r="G23" s="11">
        <f>SUM(G22:G22)</f>
        <v/>
      </c>
    </row>
    <row r="25" ht="42" customHeight="1">
      <c r="A2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5:G2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Reconciliation of Net Assets - Form 990 Part XI (USD)</t>
        </is>
      </c>
    </row>
    <row r="3">
      <c r="A3" s="2" t="inlineStr">
        <is>
          <t>Entity ID: cawc_0057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14011695</v>
      </c>
      <c r="C7" s="9" t="n">
        <v>14595214</v>
      </c>
      <c r="D7" s="9" t="n">
        <v>15010490</v>
      </c>
      <c r="E7" s="9" t="n">
        <v>15513068</v>
      </c>
      <c r="F7" s="9" t="n">
        <v>15414310</v>
      </c>
      <c r="G7" s="9" t="n">
        <v>15714927</v>
      </c>
    </row>
    <row r="8">
      <c r="A8" s="8" t="inlineStr">
        <is>
          <t xml:space="preserve">    3. Revenue less expenses</t>
        </is>
      </c>
      <c r="B8" s="9" t="n">
        <v>583519</v>
      </c>
      <c r="C8" s="9" t="n">
        <v>415211</v>
      </c>
      <c r="D8" s="9" t="n">
        <v>502523</v>
      </c>
      <c r="E8" s="9" t="n">
        <v>-98758</v>
      </c>
      <c r="F8" s="9" t="n">
        <v>300617</v>
      </c>
      <c r="G8" s="9" t="n">
        <v>83881</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c r="G9" s="19" t="inlineStr">
        <is>
          <t>not reported</t>
        </is>
      </c>
    </row>
    <row r="10">
      <c r="A10" s="8" t="inlineStr">
        <is>
          <t xml:space="preserve">    9. Other changes in net assets</t>
        </is>
      </c>
      <c r="B10" s="9" t="n">
        <v>0</v>
      </c>
      <c r="C10" s="9" t="n">
        <v>65</v>
      </c>
      <c r="D10" s="9" t="n">
        <v>55</v>
      </c>
      <c r="E10" s="9" t="n">
        <v>0</v>
      </c>
      <c r="F10" s="9" t="n">
        <v>0</v>
      </c>
      <c r="G10" s="9" t="n">
        <v>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Cash Flow Proxies - derived (USD)</t>
        </is>
      </c>
    </row>
    <row r="3">
      <c r="A3" s="2" t="inlineStr">
        <is>
          <t>Entity ID: cawc_0057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583519</v>
      </c>
      <c r="C9" s="9" t="n">
        <v>415211</v>
      </c>
      <c r="D9" s="9" t="n">
        <v>502523</v>
      </c>
      <c r="E9" s="9" t="n">
        <v>-98758</v>
      </c>
      <c r="F9" s="9" t="n">
        <v>300617</v>
      </c>
      <c r="G9" s="9" t="n">
        <v>83881</v>
      </c>
    </row>
    <row r="10">
      <c r="A10" s="8" t="inlineStr">
        <is>
          <t xml:space="preserve">    + Depreciation (reported)</t>
        </is>
      </c>
      <c r="B10" s="9" t="n"/>
      <c r="C10" s="9" t="n"/>
      <c r="D10" s="9" t="n"/>
      <c r="E10" s="9" t="n"/>
      <c r="F10" s="9" t="n"/>
      <c r="G10" s="9" t="n"/>
    </row>
    <row r="11">
      <c r="A11" s="8" t="inlineStr">
        <is>
          <t xml:space="preserve">    − Δ Accounts receivable</t>
        </is>
      </c>
      <c r="B11" s="9" t="n"/>
      <c r="C11" s="9" t="n">
        <v>156367</v>
      </c>
      <c r="D11" s="9" t="n">
        <v>3127</v>
      </c>
      <c r="E11" s="9" t="n">
        <v>-61715</v>
      </c>
      <c r="F11" s="9" t="n">
        <v>-199099</v>
      </c>
      <c r="G11" s="9" t="n">
        <v>98197</v>
      </c>
    </row>
    <row r="12">
      <c r="A12" s="8" t="inlineStr">
        <is>
          <t xml:space="preserve">    − Δ Inventories</t>
        </is>
      </c>
      <c r="B12" s="9" t="n"/>
      <c r="C12" s="9" t="n">
        <v>8683</v>
      </c>
      <c r="D12" s="9" t="n">
        <v>-54321</v>
      </c>
      <c r="E12" s="9" t="n">
        <v>-169478</v>
      </c>
      <c r="F12" s="9" t="n">
        <v>-16005</v>
      </c>
      <c r="G12" s="9" t="n">
        <v>-14522</v>
      </c>
    </row>
    <row r="13">
      <c r="A13" s="8" t="inlineStr">
        <is>
          <t xml:space="preserve">    − Δ Prepaid expenses</t>
        </is>
      </c>
      <c r="B13" s="9" t="n"/>
      <c r="C13" s="9" t="n">
        <v>-12531</v>
      </c>
      <c r="D13" s="9" t="n">
        <v>-12750</v>
      </c>
      <c r="E13" s="9" t="n">
        <v>10889</v>
      </c>
      <c r="F13" s="9" t="n">
        <v>-10537</v>
      </c>
      <c r="G13" s="9" t="n">
        <v>-2326</v>
      </c>
    </row>
    <row r="14">
      <c r="A14" s="8" t="inlineStr">
        <is>
          <t xml:space="preserve">    + Δ Accounts payable</t>
        </is>
      </c>
      <c r="B14" s="9" t="n"/>
      <c r="C14" s="9" t="n">
        <v>-238718</v>
      </c>
      <c r="D14" s="9" t="n">
        <v>-15018</v>
      </c>
      <c r="E14" s="9" t="n">
        <v>36339</v>
      </c>
      <c r="F14" s="9" t="n">
        <v>149216</v>
      </c>
      <c r="G14" s="9" t="n">
        <v>186745</v>
      </c>
    </row>
    <row r="15">
      <c r="A15" s="10" t="inlineStr">
        <is>
          <t xml:space="preserve">    Operating cash flow proxy</t>
        </is>
      </c>
      <c r="B15" s="11" t="n"/>
      <c r="C15" s="11" t="n">
        <v>329012</v>
      </c>
      <c r="D15" s="11" t="n">
        <v>423561</v>
      </c>
      <c r="E15" s="11" t="n">
        <v>-282723</v>
      </c>
      <c r="F15" s="11" t="n">
        <v>224192</v>
      </c>
      <c r="G15" s="11" t="n">
        <v>351975</v>
      </c>
    </row>
    <row r="17">
      <c r="A17" s="6" t="inlineStr">
        <is>
          <t>Investing</t>
        </is>
      </c>
      <c r="B17" s="7" t="n"/>
      <c r="C17" s="7" t="n"/>
      <c r="D17" s="7" t="n"/>
      <c r="E17" s="7" t="n"/>
      <c r="F17" s="7" t="n"/>
      <c r="G17" s="7" t="n"/>
    </row>
    <row r="18">
      <c r="A18" s="8" t="inlineStr">
        <is>
          <t xml:space="preserve">    − Δ PP&amp;E gross (capex proxy)</t>
        </is>
      </c>
      <c r="B18" s="9" t="n"/>
      <c r="C18" s="9" t="n">
        <v>-609756</v>
      </c>
      <c r="D18" s="9" t="n">
        <v>-553397</v>
      </c>
      <c r="E18" s="9" t="n">
        <v>-190630</v>
      </c>
      <c r="F18" s="9" t="n">
        <v>-326380</v>
      </c>
      <c r="G18" s="9" t="n">
        <v>-1650404</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235551</v>
      </c>
      <c r="D24" s="11" t="n">
        <v>326061</v>
      </c>
      <c r="E24" s="11" t="n">
        <v>80152</v>
      </c>
      <c r="F24" s="11" t="n">
        <v>412667</v>
      </c>
      <c r="G24" s="11" t="n">
        <v>-812562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Valley Water Company</t>
        </is>
      </c>
    </row>
    <row r="2">
      <c r="A2" s="2" t="inlineStr">
        <is>
          <t>Financial Ratios</t>
        </is>
      </c>
    </row>
    <row r="3">
      <c r="A3" s="2" t="inlineStr">
        <is>
          <t>Entity ID: cawc_0057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0.3577064377093066</v>
      </c>
      <c r="C7" s="12" t="n">
        <v>0.2752731443421995</v>
      </c>
      <c r="D7" s="12" t="n">
        <v>0.3066249309744125</v>
      </c>
      <c r="E7" s="12" t="n">
        <v>-0.08462437532990122</v>
      </c>
      <c r="F7" s="12" t="n">
        <v>0.1754085925510996</v>
      </c>
      <c r="G7" s="12" t="n">
        <v>0.05097961994259088</v>
      </c>
    </row>
    <row r="8">
      <c r="A8" s="8" t="inlineStr">
        <is>
          <t xml:space="preserve">    Expense ratio (expenses / revenue)</t>
        </is>
      </c>
      <c r="B8" s="12" t="n">
        <v>0.6422935622906933</v>
      </c>
      <c r="C8" s="12" t="n">
        <v>0.7247268556578005</v>
      </c>
      <c r="D8" s="12" t="n">
        <v>0.6933750690255875</v>
      </c>
      <c r="E8" s="12" t="n">
        <v>1.084624375329901</v>
      </c>
      <c r="F8" s="12" t="n">
        <v>0.8245914074489004</v>
      </c>
      <c r="G8" s="12" t="n">
        <v>0.9490203800574091</v>
      </c>
    </row>
    <row r="9">
      <c r="A9" s="8" t="inlineStr">
        <is>
          <t xml:space="preserve">    Return on assets (NI / assets)</t>
        </is>
      </c>
      <c r="B9" s="12" t="n">
        <v>0.03748453130893906</v>
      </c>
      <c r="C9" s="12" t="n">
        <v>0.02633883801732925</v>
      </c>
      <c r="D9" s="12" t="n">
        <v>0.03105183156947435</v>
      </c>
      <c r="E9" s="12" t="n">
        <v>-0.006122123083202305</v>
      </c>
      <c r="F9" s="12" t="n">
        <v>0.0181320245558629</v>
      </c>
      <c r="G9" s="12" t="n">
        <v>0.004982429542199897</v>
      </c>
    </row>
    <row r="10">
      <c r="A10" s="8" t="inlineStr">
        <is>
          <t xml:space="preserve">    Revenue growth (YoY)</t>
        </is>
      </c>
      <c r="B10" s="12" t="n">
        <v>0.1191848019978594</v>
      </c>
      <c r="C10" s="12" t="n">
        <v>-0.07535130409942137</v>
      </c>
      <c r="D10" s="12" t="n">
        <v>0.08653438171258851</v>
      </c>
      <c r="E10" s="12" t="n">
        <v>-0.2879207509983922</v>
      </c>
      <c r="F10" s="12" t="n">
        <v>0.4685402770827478</v>
      </c>
      <c r="G10" s="12" t="n">
        <v>-0.03992682969524043</v>
      </c>
    </row>
    <row r="12">
      <c r="A12" s="6" t="inlineStr">
        <is>
          <t>Leverage &amp; solvency</t>
        </is>
      </c>
      <c r="B12" s="7" t="n"/>
      <c r="C12" s="7" t="n"/>
      <c r="D12" s="7" t="n"/>
      <c r="E12" s="7" t="n"/>
      <c r="F12" s="7" t="n"/>
      <c r="G12" s="7" t="n"/>
    </row>
    <row r="13">
      <c r="A13" s="8" t="inlineStr">
        <is>
          <t xml:space="preserve">    Debt-to-assets (liab. / assets)</t>
        </is>
      </c>
      <c r="B13" s="12" t="n">
        <v>0.06242169296344147</v>
      </c>
      <c r="C13" s="12" t="n">
        <v>0.04781216135713991</v>
      </c>
      <c r="D13" s="12" t="n">
        <v>0.04141865215760805</v>
      </c>
      <c r="E13" s="12" t="n">
        <v>0.04444902628003689</v>
      </c>
      <c r="F13" s="12" t="n">
        <v>0.05213796206604123</v>
      </c>
      <c r="G13" s="12" t="n">
        <v>0.06156998950007665</v>
      </c>
    </row>
    <row r="14">
      <c r="A14" s="8" t="inlineStr">
        <is>
          <t xml:space="preserve">    Equity ratio (net assets / assets)</t>
        </is>
      </c>
      <c r="B14" s="12" t="n">
        <v>0.9375783070365585</v>
      </c>
      <c r="C14" s="12" t="n">
        <v>0.9521878386428601</v>
      </c>
      <c r="D14" s="12" t="n">
        <v>0.9585813478423919</v>
      </c>
      <c r="E14" s="12" t="n">
        <v>0.9555509737199631</v>
      </c>
      <c r="F14" s="12" t="n">
        <v>0.9478620379339587</v>
      </c>
      <c r="G14" s="12" t="n">
        <v>0.9384300104999234</v>
      </c>
    </row>
    <row r="16">
      <c r="A16" s="6" t="inlineStr">
        <is>
          <t>Liquidity &amp; asset profile (derived here)</t>
        </is>
      </c>
      <c r="B16" s="7" t="n"/>
      <c r="C16" s="7" t="n"/>
      <c r="D16" s="7" t="n"/>
      <c r="E16" s="7" t="n"/>
      <c r="F16" s="7" t="n"/>
      <c r="G16" s="7" t="n"/>
    </row>
    <row r="17">
      <c r="A17" s="8" t="inlineStr">
        <is>
          <t xml:space="preserve">    Current ratio (current assets / AP)</t>
        </is>
      </c>
      <c r="B17" s="20" t="n">
        <v>8.468213027016892</v>
      </c>
      <c r="C17" s="20" t="n">
        <v>11.9217944110499</v>
      </c>
      <c r="D17" s="20" t="n">
        <v>12.87920008479666</v>
      </c>
      <c r="E17" s="20" t="n">
        <v>12.61352588068533</v>
      </c>
      <c r="F17" s="20" t="n">
        <v>11.01870196610413</v>
      </c>
      <c r="G17" s="20" t="n">
        <v>7.965312627047895</v>
      </c>
    </row>
    <row r="18">
      <c r="A18" s="8" t="inlineStr">
        <is>
          <t xml:space="preserve">    Cash ratio ((cash+temp inv.) / total liab.)</t>
        </is>
      </c>
      <c r="B18" s="20" t="n">
        <v>6.229201184710727</v>
      </c>
      <c r="C18" s="20" t="n">
        <v>8.343343226472395</v>
      </c>
      <c r="D18" s="20" t="n">
        <v>9.868242693866712</v>
      </c>
      <c r="E18" s="20" t="n">
        <v>9.336904585912286</v>
      </c>
      <c r="F18" s="20" t="n">
        <v>8.222265282914533</v>
      </c>
      <c r="G18" s="20" t="n">
        <v>6.072888699371861</v>
      </c>
    </row>
    <row r="19">
      <c r="A19" s="8" t="inlineStr">
        <is>
          <t xml:space="preserve">    Asset age proxy (accum. deprec. / gross PP&amp;E)</t>
        </is>
      </c>
      <c r="B19" s="12" t="n">
        <v>0.5883282828895422</v>
      </c>
      <c r="C19" s="12" t="n">
        <v>0.5948749953449169</v>
      </c>
      <c r="D19" s="12" t="n">
        <v>0.6039705493319302</v>
      </c>
      <c r="E19" s="12" t="n">
        <v>0.6237522341517184</v>
      </c>
      <c r="F19" s="12" t="n">
        <v>0.6380089582934245</v>
      </c>
      <c r="G19" s="12" t="n">
        <v>0.614609769890699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Valley Water Company</t>
        </is>
      </c>
    </row>
    <row r="2">
      <c r="A2" s="2" t="inlineStr">
        <is>
          <t>Unit economics - per-customer revenue by category (USD)</t>
        </is>
      </c>
    </row>
    <row r="3">
      <c r="A3" s="2" t="inlineStr">
        <is>
          <t>Entity ID: cawc_0057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Valley Water Company</t>
        </is>
      </c>
    </row>
    <row r="2">
      <c r="A2" s="2" t="inlineStr">
        <is>
          <t>Rate structure and representative bill - eAR Section 8a</t>
        </is>
      </c>
    </row>
    <row r="3">
      <c r="A3" s="2" t="inlineStr">
        <is>
          <t>Entity ID: cawc_0057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Valley Water Company</t>
        </is>
      </c>
    </row>
    <row r="2">
      <c r="A2" s="2" t="inlineStr">
        <is>
          <t>Operational metrics - plant per acre, density, terrain</t>
        </is>
      </c>
    </row>
    <row r="3">
      <c r="A3" s="2" t="inlineStr">
        <is>
          <t>Entity ID: cawc_0057   |   Fiscal year ends December 31.</t>
        </is>
      </c>
    </row>
    <row r="5">
      <c r="A5" s="6" t="inlineStr">
        <is>
          <t>Plant assets per acre</t>
        </is>
      </c>
      <c r="B5" s="7" t="n"/>
      <c r="C5" s="7" t="n"/>
    </row>
    <row r="6">
      <c r="A6" s="21" t="inlineStr">
        <is>
          <t>Service-area acres</t>
        </is>
      </c>
      <c r="B6" s="27" t="n">
        <v>2475.4</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8" t="inlineStr">
        <is>
          <t>FY2021</t>
        </is>
      </c>
      <c r="B8" s="9" t="n">
        <v>8439.5015</v>
      </c>
      <c r="C8" s="9" t="n">
        <v>3419.0531</v>
      </c>
    </row>
    <row r="9">
      <c r="A9" s="28" t="inlineStr">
        <is>
          <t>FY2022</t>
        </is>
      </c>
      <c r="B9" s="9" t="n">
        <v>8663.060100000001</v>
      </c>
      <c r="C9" s="9" t="n">
        <v>3430.8269</v>
      </c>
    </row>
    <row r="10">
      <c r="A10" s="28" t="inlineStr">
        <is>
          <t>FY2023</t>
        </is>
      </c>
      <c r="B10" s="9" t="n">
        <v>8740.0699</v>
      </c>
      <c r="C10" s="9" t="n">
        <v>3288.4318</v>
      </c>
    </row>
    <row r="11">
      <c r="A11" s="28" t="inlineStr">
        <is>
          <t>FY2024</t>
        </is>
      </c>
      <c r="B11" s="9" t="n">
        <v>8871.9193</v>
      </c>
      <c r="C11" s="9" t="n">
        <v>3211.5553</v>
      </c>
    </row>
    <row r="12">
      <c r="A12" s="28" t="inlineStr">
        <is>
          <t>FY2025</t>
        </is>
      </c>
      <c r="B12" s="9" t="n">
        <v>9538.6414</v>
      </c>
      <c r="C12" s="9" t="n">
        <v>3676.0992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1.46</v>
      </c>
      <c r="C19" s="23" t="inlineStr">
        <is>
          <t>3,611 connections / 2,475.4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Valley Water Company</t>
        </is>
      </c>
    </row>
    <row r="2">
      <c r="A2" s="2" t="inlineStr">
        <is>
          <t>Supply and weather indicators (DWR water year)</t>
        </is>
      </c>
    </row>
    <row r="3">
      <c r="A3" s="2" t="inlineStr">
        <is>
          <t>Entity ID: cawc_0057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Los Angeles County</t>
        </is>
      </c>
      <c r="B9" s="29" t="inlineStr">
        <is>
          <t>D4</t>
        </is>
      </c>
      <c r="C9" s="29" t="inlineStr">
        <is>
          <t>D4</t>
        </is>
      </c>
      <c r="D9" s="29" t="inlineStr">
        <is>
          <t>D4</t>
        </is>
      </c>
      <c r="E9" s="29" t="inlineStr">
        <is>
          <t>None (no D0-D4 during the fiscal year)</t>
        </is>
      </c>
      <c r="F9" s="29" t="inlineStr">
        <is>
          <t>D3</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Valley Water Company</t>
        </is>
      </c>
    </row>
    <row r="2">
      <c r="A2" s="2" t="inlineStr">
        <is>
          <t>How this was built - forensic lineage</t>
        </is>
      </c>
    </row>
    <row r="3">
      <c r="A3" s="2" t="inlineStr">
        <is>
          <t>Entity ID: cawc_0057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4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Valley Water Company</t>
        </is>
      </c>
    </row>
    <row r="2">
      <c r="A2" s="2" t="inlineStr">
        <is>
          <t>Sources &amp; audit - full provenance and tie-outs (kept off the statements so they read clean)</t>
        </is>
      </c>
    </row>
    <row r="3">
      <c r="A3" s="2" t="inlineStr">
        <is>
          <t>Entity ID: cawc_0057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c5128689-3ffd-4186-9893-bc8a1be89289</t>
        </is>
      </c>
      <c r="F10" s="8" t="inlineStr">
        <is>
          <t>202142469349301309</t>
        </is>
      </c>
      <c r="G10" s="8" t="inlineStr">
        <is>
          <t>claude-opus-5</t>
        </is>
      </c>
      <c r="H10" s="8" t="inlineStr">
        <is>
          <t>2026-09-14T20:40:28+00:00</t>
        </is>
      </c>
      <c r="I10" s="8" t="inlineStr">
        <is>
          <t>https://apps.irs.gov/pub/epostcard/990/xml/2021/2021_TEOS_XML_01A.zip#202142469349301309_public.xml</t>
        </is>
      </c>
    </row>
    <row r="11">
      <c r="A11" s="29" t="inlineStr">
        <is>
          <t>FY2021</t>
        </is>
      </c>
      <c r="B11" s="8" t="inlineStr">
        <is>
          <t>2021-12-31</t>
        </is>
      </c>
      <c r="C11" s="8" t="inlineStr">
        <is>
          <t>990</t>
        </is>
      </c>
      <c r="D11" s="8" t="inlineStr">
        <is>
          <t>high</t>
        </is>
      </c>
      <c r="E11" s="8" t="inlineStr">
        <is>
          <t>c910269b-f646-41a9-a48c-ace48887d3bc</t>
        </is>
      </c>
      <c r="F11" s="8" t="inlineStr">
        <is>
          <t>202221389349301617</t>
        </is>
      </c>
      <c r="G11" s="8" t="inlineStr">
        <is>
          <t>claude-opus-5</t>
        </is>
      </c>
      <c r="H11" s="8" t="inlineStr">
        <is>
          <t>2026-09-14T20:40:28+00:00</t>
        </is>
      </c>
      <c r="I11" s="8" t="inlineStr">
        <is>
          <t>https://apps.irs.gov/pub/epostcard/990/xml/2022/2022_TEOS_XML_01A.zip#202221389349301617_public.xml</t>
        </is>
      </c>
    </row>
    <row r="12">
      <c r="A12" s="29" t="inlineStr">
        <is>
          <t>FY2022</t>
        </is>
      </c>
      <c r="B12" s="8" t="inlineStr">
        <is>
          <t>2022-12-31</t>
        </is>
      </c>
      <c r="C12" s="8" t="inlineStr">
        <is>
          <t>990</t>
        </is>
      </c>
      <c r="D12" s="8" t="inlineStr">
        <is>
          <t>high</t>
        </is>
      </c>
      <c r="E12" s="8" t="inlineStr">
        <is>
          <t>4c52bc23-6fd0-4946-be92-8c2414b7546c</t>
        </is>
      </c>
      <c r="F12" s="8" t="inlineStr">
        <is>
          <t>202311259349302271</t>
        </is>
      </c>
      <c r="G12" s="8" t="inlineStr">
        <is>
          <t>claude-opus-5</t>
        </is>
      </c>
      <c r="H12" s="8" t="inlineStr">
        <is>
          <t>2026-09-14T20:40:28+00:00</t>
        </is>
      </c>
      <c r="I12" s="8" t="inlineStr">
        <is>
          <t>https://apps.irs.gov/pub/epostcard/990/xml/2023/2023_TEOS_XML_05A.zip#202311259349302271_public.xml</t>
        </is>
      </c>
    </row>
    <row r="13">
      <c r="A13" s="29" t="inlineStr">
        <is>
          <t>FY2023</t>
        </is>
      </c>
      <c r="B13" s="8" t="inlineStr">
        <is>
          <t>2023-12-31</t>
        </is>
      </c>
      <c r="C13" s="8" t="inlineStr">
        <is>
          <t>990</t>
        </is>
      </c>
      <c r="D13" s="8" t="inlineStr">
        <is>
          <t>high</t>
        </is>
      </c>
      <c r="E13" s="8" t="inlineStr">
        <is>
          <t>31a92cb5-6d55-4699-aba8-70333ce617fc</t>
        </is>
      </c>
      <c r="F13" s="8" t="inlineStr">
        <is>
          <t>202441359349310894</t>
        </is>
      </c>
      <c r="G13" s="8" t="inlineStr">
        <is>
          <t>claude-opus-5</t>
        </is>
      </c>
      <c r="H13" s="8" t="inlineStr">
        <is>
          <t>2026-09-14T20:40:28+00:00</t>
        </is>
      </c>
      <c r="I13" s="8" t="inlineStr">
        <is>
          <t>https://apps.irs.gov/pub/epostcard/990/xml/2024/2024_TEOS_XML_05A.zip#202441359349310894_public.xml</t>
        </is>
      </c>
    </row>
    <row r="14">
      <c r="A14" s="29" t="inlineStr">
        <is>
          <t>FY2024</t>
        </is>
      </c>
      <c r="B14" s="8" t="inlineStr">
        <is>
          <t>2024-12-31</t>
        </is>
      </c>
      <c r="C14" s="8" t="inlineStr">
        <is>
          <t>990</t>
        </is>
      </c>
      <c r="D14" s="8" t="inlineStr">
        <is>
          <t>high</t>
        </is>
      </c>
      <c r="E14" s="8" t="inlineStr">
        <is>
          <t>61a2fa33-1400-4f24-b89b-6baf8385a470</t>
        </is>
      </c>
      <c r="F14" s="8" t="inlineStr">
        <is>
          <t>202531349349306488</t>
        </is>
      </c>
      <c r="G14" s="8" t="inlineStr">
        <is>
          <t>claude-opus-5</t>
        </is>
      </c>
      <c r="H14" s="8" t="inlineStr">
        <is>
          <t>2026-09-14T20:40:28+00:00</t>
        </is>
      </c>
      <c r="I14" s="8" t="inlineStr">
        <is>
          <t>https://apps.irs.gov/pub/epostcard/990/xml/2025/2025_TEOS_XML_05B.zip#202531349349306488_public.xml</t>
        </is>
      </c>
    </row>
    <row r="15">
      <c r="A15" s="29" t="inlineStr">
        <is>
          <t>FY2025</t>
        </is>
      </c>
      <c r="B15" s="8" t="inlineStr">
        <is>
          <t>2025-12-31</t>
        </is>
      </c>
      <c r="C15" s="8" t="inlineStr">
        <is>
          <t>990</t>
        </is>
      </c>
      <c r="D15" s="8" t="inlineStr">
        <is>
          <t>high</t>
        </is>
      </c>
      <c r="E15" s="8" t="inlineStr">
        <is>
          <t>e64bb0fc-4735-48ca-babc-e56a64727c27</t>
        </is>
      </c>
      <c r="F15" s="8" t="inlineStr">
        <is>
          <t>202621279349303652</t>
        </is>
      </c>
      <c r="G15" s="8" t="inlineStr">
        <is>
          <t>claude-opus-5</t>
        </is>
      </c>
      <c r="H15" s="8" t="inlineStr">
        <is>
          <t>2026-09-14T20:40:28+00:00</t>
        </is>
      </c>
      <c r="I15" s="8" t="inlineStr">
        <is>
          <t>https://apps.irs.gov/pub/epostcard/990/xml/2026/2026_TEOS_XML_05A.zip#202621279349303652_public.xml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7523252</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7560020</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7506215</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6388161</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8049152</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8427554</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10810</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5005</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25559</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293283</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312079</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269924</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779739</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867933</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791807</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794356</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1044411</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1049749</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10810</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5005</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25559</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293283</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312079</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269924</v>
      </c>
    </row>
    <row r="43">
      <c r="A43" s="8" t="inlineStr">
        <is>
          <t>Revenue (detail)</t>
        </is>
      </c>
      <c r="B43" s="8" t="inlineStr">
        <is>
          <t>B12</t>
        </is>
      </c>
      <c r="C43" s="8" t="inlineStr">
        <is>
          <t>11e. Other revenue</t>
        </is>
      </c>
      <c r="D43" s="8" t="inlineStr">
        <is>
          <t>11e</t>
        </is>
      </c>
      <c r="E43" s="8" t="inlineStr">
        <is>
          <t>part_viii_revenue.other_revenue_total</t>
        </is>
      </c>
      <c r="F43" s="8" t="inlineStr">
        <is>
          <t>high</t>
        </is>
      </c>
      <c r="G43" s="9" t="n">
        <v>9560</v>
      </c>
    </row>
    <row r="44">
      <c r="A44" s="8" t="inlineStr">
        <is>
          <t>Revenue (detail)</t>
        </is>
      </c>
      <c r="B44" s="8" t="inlineStr">
        <is>
          <t>C12</t>
        </is>
      </c>
      <c r="C44" s="8" t="inlineStr">
        <is>
          <t>11e. Other revenue</t>
        </is>
      </c>
      <c r="D44" s="8" t="inlineStr">
        <is>
          <t>11e</t>
        </is>
      </c>
      <c r="E44" s="8" t="inlineStr">
        <is>
          <t>part_viii_revenue.other_revenue_total</t>
        </is>
      </c>
      <c r="F44" s="8" t="inlineStr">
        <is>
          <t>high</t>
        </is>
      </c>
      <c r="G44" s="9" t="n">
        <v>15445</v>
      </c>
    </row>
    <row r="45">
      <c r="A45" s="8" t="inlineStr">
        <is>
          <t>Revenue (detail)</t>
        </is>
      </c>
      <c r="B45" s="8" t="inlineStr">
        <is>
          <t>D12</t>
        </is>
      </c>
      <c r="C45" s="8" t="inlineStr">
        <is>
          <t>11e. Other revenue</t>
        </is>
      </c>
      <c r="D45" s="8" t="inlineStr">
        <is>
          <t>11e</t>
        </is>
      </c>
      <c r="E45" s="8" t="inlineStr">
        <is>
          <t>part_viii_revenue.other_revenue_total</t>
        </is>
      </c>
      <c r="F45" s="8" t="inlineStr">
        <is>
          <t>high</t>
        </is>
      </c>
      <c r="G45" s="9" t="n">
        <v>11676</v>
      </c>
    </row>
    <row r="46">
      <c r="A46" s="8" t="inlineStr">
        <is>
          <t>Revenue (detail)</t>
        </is>
      </c>
      <c r="B46" s="8" t="inlineStr">
        <is>
          <t>E12</t>
        </is>
      </c>
      <c r="C46" s="8" t="inlineStr">
        <is>
          <t>11e. Other revenue</t>
        </is>
      </c>
      <c r="D46" s="8" t="inlineStr">
        <is>
          <t>11e</t>
        </is>
      </c>
      <c r="E46" s="8" t="inlineStr">
        <is>
          <t>part_viii_revenue.other_revenue_total</t>
        </is>
      </c>
      <c r="F46" s="8" t="inlineStr">
        <is>
          <t>high</t>
        </is>
      </c>
      <c r="G46" s="9" t="n">
        <v>8400</v>
      </c>
    </row>
    <row r="47">
      <c r="A47" s="8" t="inlineStr">
        <is>
          <t>Revenue (detail)</t>
        </is>
      </c>
      <c r="B47" s="8" t="inlineStr">
        <is>
          <t>F12</t>
        </is>
      </c>
      <c r="C47" s="8" t="inlineStr">
        <is>
          <t>11e. Other revenue</t>
        </is>
      </c>
      <c r="D47" s="8" t="inlineStr">
        <is>
          <t>11e</t>
        </is>
      </c>
      <c r="E47" s="8" t="inlineStr">
        <is>
          <t>part_viii_revenue.other_revenue_total</t>
        </is>
      </c>
      <c r="F47" s="8" t="inlineStr">
        <is>
          <t>high</t>
        </is>
      </c>
      <c r="G47" s="9" t="n">
        <v>8280</v>
      </c>
    </row>
    <row r="48">
      <c r="A48" s="8" t="inlineStr">
        <is>
          <t>Revenue (detail)</t>
        </is>
      </c>
      <c r="B48" s="8" t="inlineStr">
        <is>
          <t>G12</t>
        </is>
      </c>
      <c r="C48" s="8" t="inlineStr">
        <is>
          <t>11e. Other revenue</t>
        </is>
      </c>
      <c r="D48" s="8" t="inlineStr">
        <is>
          <t>11e</t>
        </is>
      </c>
      <c r="E48" s="8" t="inlineStr">
        <is>
          <t>part_viii_revenue.other_revenue_total</t>
        </is>
      </c>
      <c r="F48" s="8" t="inlineStr">
        <is>
          <t>high</t>
        </is>
      </c>
      <c r="G48" s="9" t="n">
        <v>7340</v>
      </c>
    </row>
    <row r="49">
      <c r="A49" s="8" t="inlineStr">
        <is>
          <t>Operating expenses (detail)</t>
        </is>
      </c>
      <c r="B49" s="8" t="inlineStr">
        <is>
          <t>B7</t>
        </is>
      </c>
      <c r="C49" s="8" t="inlineStr">
        <is>
          <t>5. Compensation of current officers, directors, trustees</t>
        </is>
      </c>
      <c r="D49" s="8" t="inlineStr">
        <is>
          <t>5</t>
        </is>
      </c>
      <c r="E49" s="8" t="inlineStr">
        <is>
          <t>part_ix_expenses.comp_current_officers</t>
        </is>
      </c>
      <c r="F49" s="8" t="inlineStr">
        <is>
          <t>high</t>
        </is>
      </c>
      <c r="G49" s="9" t="n">
        <v>253785</v>
      </c>
    </row>
    <row r="50">
      <c r="A50" s="8" t="inlineStr">
        <is>
          <t>Operating expenses (detail)</t>
        </is>
      </c>
      <c r="B50" s="8" t="inlineStr">
        <is>
          <t>C7</t>
        </is>
      </c>
      <c r="C50" s="8" t="inlineStr">
        <is>
          <t>5. Compensation of current officers, directors, trustees</t>
        </is>
      </c>
      <c r="D50" s="8" t="inlineStr">
        <is>
          <t>5</t>
        </is>
      </c>
      <c r="E50" s="8" t="inlineStr">
        <is>
          <t>part_ix_expenses.comp_current_officers</t>
        </is>
      </c>
      <c r="F50" s="8" t="inlineStr">
        <is>
          <t>high</t>
        </is>
      </c>
      <c r="G50" s="9" t="n">
        <v>267414</v>
      </c>
    </row>
    <row r="51">
      <c r="A51" s="8" t="inlineStr">
        <is>
          <t>Operating expenses (detail)</t>
        </is>
      </c>
      <c r="B51" s="8" t="inlineStr">
        <is>
          <t>D7</t>
        </is>
      </c>
      <c r="C51" s="8" t="inlineStr">
        <is>
          <t>5. Compensation of current officers, directors, trustees</t>
        </is>
      </c>
      <c r="D51" s="8" t="inlineStr">
        <is>
          <t>5</t>
        </is>
      </c>
      <c r="E51" s="8" t="inlineStr">
        <is>
          <t>part_ix_expenses.comp_current_officers</t>
        </is>
      </c>
      <c r="F51" s="8" t="inlineStr">
        <is>
          <t>high</t>
        </is>
      </c>
      <c r="G51" s="9" t="n">
        <v>287239</v>
      </c>
    </row>
    <row r="52">
      <c r="A52" s="8" t="inlineStr">
        <is>
          <t>Operating expenses (detail)</t>
        </is>
      </c>
      <c r="B52" s="8" t="inlineStr">
        <is>
          <t>E7</t>
        </is>
      </c>
      <c r="C52" s="8" t="inlineStr">
        <is>
          <t>5. Compensation of current officers, directors, trustees</t>
        </is>
      </c>
      <c r="D52" s="8" t="inlineStr">
        <is>
          <t>5</t>
        </is>
      </c>
      <c r="E52" s="8" t="inlineStr">
        <is>
          <t>part_ix_expenses.comp_current_officers</t>
        </is>
      </c>
      <c r="F52" s="8" t="inlineStr">
        <is>
          <t>high</t>
        </is>
      </c>
      <c r="G52" s="9" t="n">
        <v>305965</v>
      </c>
    </row>
    <row r="53">
      <c r="A53" s="8" t="inlineStr">
        <is>
          <t>Operating expenses (detail)</t>
        </is>
      </c>
      <c r="B53" s="8" t="inlineStr">
        <is>
          <t>F7</t>
        </is>
      </c>
      <c r="C53" s="8" t="inlineStr">
        <is>
          <t>5. Compensation of current officers, directors, trustees</t>
        </is>
      </c>
      <c r="D53" s="8" t="inlineStr">
        <is>
          <t>5</t>
        </is>
      </c>
      <c r="E53" s="8" t="inlineStr">
        <is>
          <t>part_ix_expenses.comp_current_officers</t>
        </is>
      </c>
      <c r="F53" s="8" t="inlineStr">
        <is>
          <t>high</t>
        </is>
      </c>
      <c r="G53" s="9" t="n">
        <v>342153</v>
      </c>
    </row>
    <row r="54">
      <c r="A54" s="8" t="inlineStr">
        <is>
          <t>Operating expenses (detail)</t>
        </is>
      </c>
      <c r="B54" s="8" t="inlineStr">
        <is>
          <t>G7</t>
        </is>
      </c>
      <c r="C54" s="8" t="inlineStr">
        <is>
          <t>5. Compensation of current officers, directors, trustees</t>
        </is>
      </c>
      <c r="D54" s="8" t="inlineStr">
        <is>
          <t>5</t>
        </is>
      </c>
      <c r="E54" s="8" t="inlineStr">
        <is>
          <t>part_ix_expenses.comp_current_officers</t>
        </is>
      </c>
      <c r="F54" s="8" t="inlineStr">
        <is>
          <t>high</t>
        </is>
      </c>
      <c r="G54" s="9" t="n">
        <v>357916</v>
      </c>
    </row>
    <row r="55">
      <c r="A55" s="8" t="inlineStr">
        <is>
          <t>Operating expenses (detail)</t>
        </is>
      </c>
      <c r="B55" s="8" t="inlineStr">
        <is>
          <t>B8</t>
        </is>
      </c>
      <c r="C55" s="8" t="inlineStr">
        <is>
          <t>7. Other salaries and wages</t>
        </is>
      </c>
      <c r="D55" s="8" t="inlineStr">
        <is>
          <t>7</t>
        </is>
      </c>
      <c r="E55" s="8" t="inlineStr">
        <is>
          <t>part_ix_expenses.other_salaries_and_wages</t>
        </is>
      </c>
      <c r="F55" s="8" t="inlineStr">
        <is>
          <t>high</t>
        </is>
      </c>
      <c r="G55" s="9" t="n">
        <v>183031</v>
      </c>
    </row>
    <row r="56">
      <c r="A56" s="8" t="inlineStr">
        <is>
          <t>Operating expenses (detail)</t>
        </is>
      </c>
      <c r="B56" s="8" t="inlineStr">
        <is>
          <t>C8</t>
        </is>
      </c>
      <c r="C56" s="8" t="inlineStr">
        <is>
          <t>7. Other salaries and wages</t>
        </is>
      </c>
      <c r="D56" s="8" t="inlineStr">
        <is>
          <t>7</t>
        </is>
      </c>
      <c r="E56" s="8" t="inlineStr">
        <is>
          <t>part_ix_expenses.other_salaries_and_wages</t>
        </is>
      </c>
      <c r="F56" s="8" t="inlineStr">
        <is>
          <t>high</t>
        </is>
      </c>
      <c r="G56" s="9" t="n">
        <v>177781</v>
      </c>
    </row>
    <row r="57">
      <c r="A57" s="8" t="inlineStr">
        <is>
          <t>Operating expenses (detail)</t>
        </is>
      </c>
      <c r="B57" s="8" t="inlineStr">
        <is>
          <t>D8</t>
        </is>
      </c>
      <c r="C57" s="8" t="inlineStr">
        <is>
          <t>7. Other salaries and wages</t>
        </is>
      </c>
      <c r="D57" s="8" t="inlineStr">
        <is>
          <t>7</t>
        </is>
      </c>
      <c r="E57" s="8" t="inlineStr">
        <is>
          <t>part_ix_expenses.other_salaries_and_wages</t>
        </is>
      </c>
      <c r="F57" s="8" t="inlineStr">
        <is>
          <t>high</t>
        </is>
      </c>
      <c r="G57" s="9" t="n">
        <v>178544</v>
      </c>
    </row>
    <row r="58">
      <c r="A58" s="8" t="inlineStr">
        <is>
          <t>Operating expenses (detail)</t>
        </is>
      </c>
      <c r="B58" s="8" t="inlineStr">
        <is>
          <t>E8</t>
        </is>
      </c>
      <c r="C58" s="8" t="inlineStr">
        <is>
          <t>7. Other salaries and wages</t>
        </is>
      </c>
      <c r="D58" s="8" t="inlineStr">
        <is>
          <t>7</t>
        </is>
      </c>
      <c r="E58" s="8" t="inlineStr">
        <is>
          <t>part_ix_expenses.other_salaries_and_wages</t>
        </is>
      </c>
      <c r="F58" s="8" t="inlineStr">
        <is>
          <t>high</t>
        </is>
      </c>
      <c r="G58" s="9" t="n">
        <v>175370</v>
      </c>
    </row>
    <row r="59">
      <c r="A59" s="8" t="inlineStr">
        <is>
          <t>Operating expenses (detail)</t>
        </is>
      </c>
      <c r="B59" s="8" t="inlineStr">
        <is>
          <t>F8</t>
        </is>
      </c>
      <c r="C59" s="8" t="inlineStr">
        <is>
          <t>7. Other salaries and wages</t>
        </is>
      </c>
      <c r="D59" s="8" t="inlineStr">
        <is>
          <t>7</t>
        </is>
      </c>
      <c r="E59" s="8" t="inlineStr">
        <is>
          <t>part_ix_expenses.other_salaries_and_wages</t>
        </is>
      </c>
      <c r="F59" s="8" t="inlineStr">
        <is>
          <t>high</t>
        </is>
      </c>
      <c r="G59" s="9" t="n">
        <v>216170</v>
      </c>
    </row>
    <row r="60">
      <c r="A60" s="8" t="inlineStr">
        <is>
          <t>Operating expenses (detail)</t>
        </is>
      </c>
      <c r="B60" s="8" t="inlineStr">
        <is>
          <t>G8</t>
        </is>
      </c>
      <c r="C60" s="8" t="inlineStr">
        <is>
          <t>7. Other salaries and wages</t>
        </is>
      </c>
      <c r="D60" s="8" t="inlineStr">
        <is>
          <t>7</t>
        </is>
      </c>
      <c r="E60" s="8" t="inlineStr">
        <is>
          <t>part_ix_expenses.other_salaries_and_wages</t>
        </is>
      </c>
      <c r="F60" s="8" t="inlineStr">
        <is>
          <t>high</t>
        </is>
      </c>
      <c r="G60" s="9" t="n">
        <v>251552</v>
      </c>
    </row>
    <row r="61">
      <c r="A61" s="8" t="inlineStr">
        <is>
          <t>Operating expenses (detail)</t>
        </is>
      </c>
      <c r="B61" s="8" t="inlineStr">
        <is>
          <t>B9</t>
        </is>
      </c>
      <c r="C61" s="8" t="inlineStr">
        <is>
          <t>8. Pension plan accruals and contributions</t>
        </is>
      </c>
      <c r="D61" s="8" t="inlineStr">
        <is>
          <t>8</t>
        </is>
      </c>
      <c r="E61" s="8" t="inlineStr">
        <is>
          <t>part_ix_expenses.pension_plan_contributions</t>
        </is>
      </c>
      <c r="F61" s="8" t="inlineStr">
        <is>
          <t>high</t>
        </is>
      </c>
      <c r="G61" s="9" t="n">
        <v>41428</v>
      </c>
    </row>
    <row r="62">
      <c r="A62" s="8" t="inlineStr">
        <is>
          <t>Operating expenses (detail)</t>
        </is>
      </c>
      <c r="B62" s="8" t="inlineStr">
        <is>
          <t>C9</t>
        </is>
      </c>
      <c r="C62" s="8" t="inlineStr">
        <is>
          <t>8. Pension plan accruals and contributions</t>
        </is>
      </c>
      <c r="D62" s="8" t="inlineStr">
        <is>
          <t>8</t>
        </is>
      </c>
      <c r="E62" s="8" t="inlineStr">
        <is>
          <t>part_ix_expenses.pension_plan_contributions</t>
        </is>
      </c>
      <c r="F62" s="8" t="inlineStr">
        <is>
          <t>high</t>
        </is>
      </c>
      <c r="G62" s="9" t="n">
        <v>39763</v>
      </c>
    </row>
    <row r="63">
      <c r="A63" s="8" t="inlineStr">
        <is>
          <t>Operating expenses (detail)</t>
        </is>
      </c>
      <c r="B63" s="8" t="inlineStr">
        <is>
          <t>D9</t>
        </is>
      </c>
      <c r="C63" s="8" t="inlineStr">
        <is>
          <t>8. Pension plan accruals and contributions</t>
        </is>
      </c>
      <c r="D63" s="8" t="inlineStr">
        <is>
          <t>8</t>
        </is>
      </c>
      <c r="E63" s="8" t="inlineStr">
        <is>
          <t>part_ix_expenses.pension_plan_contributions</t>
        </is>
      </c>
      <c r="F63" s="8" t="inlineStr">
        <is>
          <t>high</t>
        </is>
      </c>
      <c r="G63" s="9" t="n">
        <v>35946</v>
      </c>
    </row>
    <row r="64">
      <c r="A64" s="8" t="inlineStr">
        <is>
          <t>Operating expenses (detail)</t>
        </is>
      </c>
      <c r="B64" s="8" t="inlineStr">
        <is>
          <t>E9</t>
        </is>
      </c>
      <c r="C64" s="8" t="inlineStr">
        <is>
          <t>8. Pension plan accruals and contributions</t>
        </is>
      </c>
      <c r="D64" s="8" t="inlineStr">
        <is>
          <t>8</t>
        </is>
      </c>
      <c r="E64" s="8" t="inlineStr">
        <is>
          <t>part_ix_expenses.pension_plan_contributions</t>
        </is>
      </c>
      <c r="F64" s="8" t="inlineStr">
        <is>
          <t>high</t>
        </is>
      </c>
      <c r="G64" s="9" t="n">
        <v>42891</v>
      </c>
    </row>
    <row r="65">
      <c r="A65" s="8" t="inlineStr">
        <is>
          <t>Operating expenses (detail)</t>
        </is>
      </c>
      <c r="B65" s="8" t="inlineStr">
        <is>
          <t>F9</t>
        </is>
      </c>
      <c r="C65" s="8" t="inlineStr">
        <is>
          <t>8. Pension plan accruals and contributions</t>
        </is>
      </c>
      <c r="D65" s="8" t="inlineStr">
        <is>
          <t>8</t>
        </is>
      </c>
      <c r="E65" s="8" t="inlineStr">
        <is>
          <t>part_ix_expenses.pension_plan_contributions</t>
        </is>
      </c>
      <c r="F65" s="8" t="inlineStr">
        <is>
          <t>high</t>
        </is>
      </c>
      <c r="G65" s="9" t="n">
        <v>45078</v>
      </c>
    </row>
    <row r="66">
      <c r="A66" s="8" t="inlineStr">
        <is>
          <t>Operating expenses (detail)</t>
        </is>
      </c>
      <c r="B66" s="8" t="inlineStr">
        <is>
          <t>G9</t>
        </is>
      </c>
      <c r="C66" s="8" t="inlineStr">
        <is>
          <t>8. Pension plan accruals and contributions</t>
        </is>
      </c>
      <c r="D66" s="8" t="inlineStr">
        <is>
          <t>8</t>
        </is>
      </c>
      <c r="E66" s="8" t="inlineStr">
        <is>
          <t>part_ix_expenses.pension_plan_contributions</t>
        </is>
      </c>
      <c r="F66" s="8" t="inlineStr">
        <is>
          <t>high</t>
        </is>
      </c>
      <c r="G66" s="9" t="n">
        <v>45633</v>
      </c>
    </row>
    <row r="67">
      <c r="A67" s="8" t="inlineStr">
        <is>
          <t>Operating expenses (detail)</t>
        </is>
      </c>
      <c r="B67" s="8" t="inlineStr">
        <is>
          <t>B10</t>
        </is>
      </c>
      <c r="C67" s="8" t="inlineStr">
        <is>
          <t>9. Other employee benefits</t>
        </is>
      </c>
      <c r="D67" s="8" t="inlineStr">
        <is>
          <t>9</t>
        </is>
      </c>
      <c r="E67" s="8" t="inlineStr">
        <is>
          <t>part_ix_expenses.other_employee_benefits</t>
        </is>
      </c>
      <c r="F67" s="8" t="inlineStr">
        <is>
          <t>high</t>
        </is>
      </c>
      <c r="G67" s="9" t="n">
        <v>169662</v>
      </c>
    </row>
    <row r="68">
      <c r="A68" s="8" t="inlineStr">
        <is>
          <t>Operating expenses (detail)</t>
        </is>
      </c>
      <c r="B68" s="8" t="inlineStr">
        <is>
          <t>C10</t>
        </is>
      </c>
      <c r="C68" s="8" t="inlineStr">
        <is>
          <t>9. Other employee benefits</t>
        </is>
      </c>
      <c r="D68" s="8" t="inlineStr">
        <is>
          <t>9</t>
        </is>
      </c>
      <c r="E68" s="8" t="inlineStr">
        <is>
          <t>part_ix_expenses.other_employee_benefits</t>
        </is>
      </c>
      <c r="F68" s="8" t="inlineStr">
        <is>
          <t>high</t>
        </is>
      </c>
      <c r="G68" s="9" t="n">
        <v>156713</v>
      </c>
    </row>
    <row r="69">
      <c r="A69" s="8" t="inlineStr">
        <is>
          <t>Operating expenses (detail)</t>
        </is>
      </c>
      <c r="B69" s="8" t="inlineStr">
        <is>
          <t>D10</t>
        </is>
      </c>
      <c r="C69" s="8" t="inlineStr">
        <is>
          <t>9. Other employee benefits</t>
        </is>
      </c>
      <c r="D69" s="8" t="inlineStr">
        <is>
          <t>9</t>
        </is>
      </c>
      <c r="E69" s="8" t="inlineStr">
        <is>
          <t>part_ix_expenses.other_employee_benefits</t>
        </is>
      </c>
      <c r="F69" s="8" t="inlineStr">
        <is>
          <t>high</t>
        </is>
      </c>
      <c r="G69" s="9" t="n">
        <v>163598</v>
      </c>
    </row>
    <row r="70">
      <c r="A70" s="8" t="inlineStr">
        <is>
          <t>Operating expenses (detail)</t>
        </is>
      </c>
      <c r="B70" s="8" t="inlineStr">
        <is>
          <t>E10</t>
        </is>
      </c>
      <c r="C70" s="8" t="inlineStr">
        <is>
          <t>9. Other employee benefits</t>
        </is>
      </c>
      <c r="D70" s="8" t="inlineStr">
        <is>
          <t>9</t>
        </is>
      </c>
      <c r="E70" s="8" t="inlineStr">
        <is>
          <t>part_ix_expenses.other_employee_benefits</t>
        </is>
      </c>
      <c r="F70" s="8" t="inlineStr">
        <is>
          <t>high</t>
        </is>
      </c>
      <c r="G70" s="9" t="n">
        <v>193578</v>
      </c>
    </row>
    <row r="71">
      <c r="A71" s="8" t="inlineStr">
        <is>
          <t>Operating expenses (detail)</t>
        </is>
      </c>
      <c r="B71" s="8" t="inlineStr">
        <is>
          <t>F10</t>
        </is>
      </c>
      <c r="C71" s="8" t="inlineStr">
        <is>
          <t>9. Other employee benefits</t>
        </is>
      </c>
      <c r="D71" s="8" t="inlineStr">
        <is>
          <t>9</t>
        </is>
      </c>
      <c r="E71" s="8" t="inlineStr">
        <is>
          <t>part_ix_expenses.other_employee_benefits</t>
        </is>
      </c>
      <c r="F71" s="8" t="inlineStr">
        <is>
          <t>high</t>
        </is>
      </c>
      <c r="G71" s="9" t="n">
        <v>207547</v>
      </c>
    </row>
    <row r="72">
      <c r="A72" s="8" t="inlineStr">
        <is>
          <t>Operating expenses (detail)</t>
        </is>
      </c>
      <c r="B72" s="8" t="inlineStr">
        <is>
          <t>G10</t>
        </is>
      </c>
      <c r="C72" s="8" t="inlineStr">
        <is>
          <t>9. Other employee benefits</t>
        </is>
      </c>
      <c r="D72" s="8" t="inlineStr">
        <is>
          <t>9</t>
        </is>
      </c>
      <c r="E72" s="8" t="inlineStr">
        <is>
          <t>part_ix_expenses.other_employee_benefits</t>
        </is>
      </c>
      <c r="F72" s="8" t="inlineStr">
        <is>
          <t>high</t>
        </is>
      </c>
      <c r="G72" s="9" t="n">
        <v>236659</v>
      </c>
    </row>
    <row r="73">
      <c r="A73" s="8" t="inlineStr">
        <is>
          <t>Operating expenses (detail)</t>
        </is>
      </c>
      <c r="B73" s="8" t="inlineStr">
        <is>
          <t>B11</t>
        </is>
      </c>
      <c r="C73" s="8" t="inlineStr">
        <is>
          <t>10. Payroll taxes</t>
        </is>
      </c>
      <c r="D73" s="8" t="inlineStr">
        <is>
          <t>10</t>
        </is>
      </c>
      <c r="E73" s="8" t="inlineStr">
        <is>
          <t>part_ix_expenses.payroll_taxes</t>
        </is>
      </c>
      <c r="F73" s="8" t="inlineStr">
        <is>
          <t>high</t>
        </is>
      </c>
      <c r="G73" s="9" t="n">
        <v>68735</v>
      </c>
    </row>
    <row r="74">
      <c r="A74" s="8" t="inlineStr">
        <is>
          <t>Operating expenses (detail)</t>
        </is>
      </c>
      <c r="B74" s="8" t="inlineStr">
        <is>
          <t>C11</t>
        </is>
      </c>
      <c r="C74" s="8" t="inlineStr">
        <is>
          <t>10. Payroll taxes</t>
        </is>
      </c>
      <c r="D74" s="8" t="inlineStr">
        <is>
          <t>10</t>
        </is>
      </c>
      <c r="E74" s="8" t="inlineStr">
        <is>
          <t>part_ix_expenses.payroll_taxes</t>
        </is>
      </c>
      <c r="F74" s="8" t="inlineStr">
        <is>
          <t>high</t>
        </is>
      </c>
      <c r="G74" s="9" t="n">
        <v>70108</v>
      </c>
    </row>
    <row r="75">
      <c r="A75" s="8" t="inlineStr">
        <is>
          <t>Operating expenses (detail)</t>
        </is>
      </c>
      <c r="B75" s="8" t="inlineStr">
        <is>
          <t>D11</t>
        </is>
      </c>
      <c r="C75" s="8" t="inlineStr">
        <is>
          <t>10. Payroll taxes</t>
        </is>
      </c>
      <c r="D75" s="8" t="inlineStr">
        <is>
          <t>10</t>
        </is>
      </c>
      <c r="E75" s="8" t="inlineStr">
        <is>
          <t>part_ix_expenses.payroll_taxes</t>
        </is>
      </c>
      <c r="F75" s="8" t="inlineStr">
        <is>
          <t>high</t>
        </is>
      </c>
      <c r="G75" s="9" t="n">
        <v>73523</v>
      </c>
    </row>
    <row r="76">
      <c r="A76" s="8" t="inlineStr">
        <is>
          <t>Operating expenses (detail)</t>
        </is>
      </c>
      <c r="B76" s="8" t="inlineStr">
        <is>
          <t>E11</t>
        </is>
      </c>
      <c r="C76" s="8" t="inlineStr">
        <is>
          <t>10. Payroll taxes</t>
        </is>
      </c>
      <c r="D76" s="8" t="inlineStr">
        <is>
          <t>10</t>
        </is>
      </c>
      <c r="E76" s="8" t="inlineStr">
        <is>
          <t>part_ix_expenses.payroll_taxes</t>
        </is>
      </c>
      <c r="F76" s="8" t="inlineStr">
        <is>
          <t>high</t>
        </is>
      </c>
      <c r="G76" s="9" t="n">
        <v>82770</v>
      </c>
    </row>
    <row r="77">
      <c r="A77" s="8" t="inlineStr">
        <is>
          <t>Operating expenses (detail)</t>
        </is>
      </c>
      <c r="B77" s="8" t="inlineStr">
        <is>
          <t>F11</t>
        </is>
      </c>
      <c r="C77" s="8" t="inlineStr">
        <is>
          <t>10. Payroll taxes</t>
        </is>
      </c>
      <c r="D77" s="8" t="inlineStr">
        <is>
          <t>10</t>
        </is>
      </c>
      <c r="E77" s="8" t="inlineStr">
        <is>
          <t>part_ix_expenses.payroll_taxes</t>
        </is>
      </c>
      <c r="F77" s="8" t="inlineStr">
        <is>
          <t>high</t>
        </is>
      </c>
      <c r="G77" s="9" t="n">
        <v>85478</v>
      </c>
    </row>
    <row r="78">
      <c r="A78" s="8" t="inlineStr">
        <is>
          <t>Operating expenses (detail)</t>
        </is>
      </c>
      <c r="B78" s="8" t="inlineStr">
        <is>
          <t>G11</t>
        </is>
      </c>
      <c r="C78" s="8" t="inlineStr">
        <is>
          <t>10. Payroll taxes</t>
        </is>
      </c>
      <c r="D78" s="8" t="inlineStr">
        <is>
          <t>10</t>
        </is>
      </c>
      <c r="E78" s="8" t="inlineStr">
        <is>
          <t>part_ix_expenses.payroll_taxes</t>
        </is>
      </c>
      <c r="F78" s="8" t="inlineStr">
        <is>
          <t>high</t>
        </is>
      </c>
      <c r="G78" s="9" t="n">
        <v>90726</v>
      </c>
    </row>
    <row r="79">
      <c r="A79" s="8" t="inlineStr">
        <is>
          <t>Operating expenses (detail)</t>
        </is>
      </c>
      <c r="B79" s="8" t="inlineStr">
        <is>
          <t>B12</t>
        </is>
      </c>
      <c r="C79" s="8" t="inlineStr">
        <is>
          <t>11b. Fees for services: legal</t>
        </is>
      </c>
      <c r="D79" s="8" t="inlineStr">
        <is>
          <t>11b</t>
        </is>
      </c>
      <c r="E79" s="8" t="inlineStr">
        <is>
          <t>part_ix_expenses.fees_legal</t>
        </is>
      </c>
      <c r="F79" s="8" t="inlineStr">
        <is>
          <t>high</t>
        </is>
      </c>
      <c r="G79" s="9" t="n">
        <v>193</v>
      </c>
    </row>
    <row r="80">
      <c r="A80" s="8" t="inlineStr">
        <is>
          <t>Operating expenses (detail)</t>
        </is>
      </c>
      <c r="B80" s="8" t="inlineStr">
        <is>
          <t>F12</t>
        </is>
      </c>
      <c r="C80" s="8" t="inlineStr">
        <is>
          <t>11b. Fees for services: legal</t>
        </is>
      </c>
      <c r="D80" s="8" t="inlineStr">
        <is>
          <t>11b</t>
        </is>
      </c>
      <c r="E80" s="8" t="inlineStr">
        <is>
          <t>part_ix_expenses.fees_legal</t>
        </is>
      </c>
      <c r="F80" s="8" t="inlineStr">
        <is>
          <t>high</t>
        </is>
      </c>
      <c r="G80" s="9" t="n">
        <v>643</v>
      </c>
    </row>
    <row r="81">
      <c r="A81" s="8" t="inlineStr">
        <is>
          <t>Operating expenses (detail)</t>
        </is>
      </c>
      <c r="B81" s="8" t="inlineStr">
        <is>
          <t>G12</t>
        </is>
      </c>
      <c r="C81" s="8" t="inlineStr">
        <is>
          <t>11b. Fees for services: legal</t>
        </is>
      </c>
      <c r="D81" s="8" t="inlineStr">
        <is>
          <t>11b</t>
        </is>
      </c>
      <c r="E81" s="8" t="inlineStr">
        <is>
          <t>part_ix_expenses.fees_legal</t>
        </is>
      </c>
      <c r="F81" s="8" t="inlineStr">
        <is>
          <t>high</t>
        </is>
      </c>
      <c r="G81" s="9" t="n">
        <v>10461</v>
      </c>
    </row>
    <row r="82">
      <c r="A82" s="8" t="inlineStr">
        <is>
          <t>Operating expenses (detail)</t>
        </is>
      </c>
      <c r="B82" s="8" t="inlineStr">
        <is>
          <t>B13</t>
        </is>
      </c>
      <c r="C82" s="8" t="inlineStr">
        <is>
          <t>11c. Fees for services: accounting</t>
        </is>
      </c>
      <c r="D82" s="8" t="inlineStr">
        <is>
          <t>11c</t>
        </is>
      </c>
      <c r="E82" s="8" t="inlineStr">
        <is>
          <t>part_ix_expenses.fees_accounting</t>
        </is>
      </c>
      <c r="F82" s="8" t="inlineStr">
        <is>
          <t>high</t>
        </is>
      </c>
      <c r="G82" s="9" t="n">
        <v>29500</v>
      </c>
    </row>
    <row r="83">
      <c r="A83" s="8" t="inlineStr">
        <is>
          <t>Operating expenses (detail)</t>
        </is>
      </c>
      <c r="B83" s="8" t="inlineStr">
        <is>
          <t>C13</t>
        </is>
      </c>
      <c r="C83" s="8" t="inlineStr">
        <is>
          <t>11c. Fees for services: accounting</t>
        </is>
      </c>
      <c r="D83" s="8" t="inlineStr">
        <is>
          <t>11c</t>
        </is>
      </c>
      <c r="E83" s="8" t="inlineStr">
        <is>
          <t>part_ix_expenses.fees_accounting</t>
        </is>
      </c>
      <c r="F83" s="8" t="inlineStr">
        <is>
          <t>high</t>
        </is>
      </c>
      <c r="G83" s="9" t="n">
        <v>28200</v>
      </c>
    </row>
    <row r="84">
      <c r="A84" s="8" t="inlineStr">
        <is>
          <t>Operating expenses (detail)</t>
        </is>
      </c>
      <c r="B84" s="8" t="inlineStr">
        <is>
          <t>D13</t>
        </is>
      </c>
      <c r="C84" s="8" t="inlineStr">
        <is>
          <t>11c. Fees for services: accounting</t>
        </is>
      </c>
      <c r="D84" s="8" t="inlineStr">
        <is>
          <t>11c</t>
        </is>
      </c>
      <c r="E84" s="8" t="inlineStr">
        <is>
          <t>part_ix_expenses.fees_accounting</t>
        </is>
      </c>
      <c r="F84" s="8" t="inlineStr">
        <is>
          <t>high</t>
        </is>
      </c>
      <c r="G84" s="9" t="n">
        <v>29300</v>
      </c>
    </row>
    <row r="85">
      <c r="A85" s="8" t="inlineStr">
        <is>
          <t>Operating expenses (detail)</t>
        </is>
      </c>
      <c r="B85" s="8" t="inlineStr">
        <is>
          <t>E13</t>
        </is>
      </c>
      <c r="C85" s="8" t="inlineStr">
        <is>
          <t>11c. Fees for services: accounting</t>
        </is>
      </c>
      <c r="D85" s="8" t="inlineStr">
        <is>
          <t>11c</t>
        </is>
      </c>
      <c r="E85" s="8" t="inlineStr">
        <is>
          <t>part_ix_expenses.fees_accounting</t>
        </is>
      </c>
      <c r="F85" s="8" t="inlineStr">
        <is>
          <t>high</t>
        </is>
      </c>
      <c r="G85" s="9" t="n">
        <v>32250</v>
      </c>
    </row>
    <row r="86">
      <c r="A86" s="8" t="inlineStr">
        <is>
          <t>Operating expenses (detail)</t>
        </is>
      </c>
      <c r="B86" s="8" t="inlineStr">
        <is>
          <t>F13</t>
        </is>
      </c>
      <c r="C86" s="8" t="inlineStr">
        <is>
          <t>11c. Fees for services: accounting</t>
        </is>
      </c>
      <c r="D86" s="8" t="inlineStr">
        <is>
          <t>11c</t>
        </is>
      </c>
      <c r="E86" s="8" t="inlineStr">
        <is>
          <t>part_ix_expenses.fees_accounting</t>
        </is>
      </c>
      <c r="F86" s="8" t="inlineStr">
        <is>
          <t>high</t>
        </is>
      </c>
      <c r="G86" s="9" t="n">
        <v>35200</v>
      </c>
    </row>
    <row r="87">
      <c r="A87" s="8" t="inlineStr">
        <is>
          <t>Operating expenses (detail)</t>
        </is>
      </c>
      <c r="B87" s="8" t="inlineStr">
        <is>
          <t>G13</t>
        </is>
      </c>
      <c r="C87" s="8" t="inlineStr">
        <is>
          <t>11c. Fees for services: accounting</t>
        </is>
      </c>
      <c r="D87" s="8" t="inlineStr">
        <is>
          <t>11c</t>
        </is>
      </c>
      <c r="E87" s="8" t="inlineStr">
        <is>
          <t>part_ix_expenses.fees_accounting</t>
        </is>
      </c>
      <c r="F87" s="8" t="inlineStr">
        <is>
          <t>high</t>
        </is>
      </c>
      <c r="G87" s="9" t="n">
        <v>35400</v>
      </c>
    </row>
    <row r="88">
      <c r="A88" s="8" t="inlineStr">
        <is>
          <t>Operating expenses (detail)</t>
        </is>
      </c>
      <c r="B88" s="8" t="inlineStr">
        <is>
          <t>B14</t>
        </is>
      </c>
      <c r="C88" s="8" t="inlineStr">
        <is>
          <t>11g. Fees for services: other</t>
        </is>
      </c>
      <c r="D88" s="8" t="inlineStr">
        <is>
          <t>11g</t>
        </is>
      </c>
      <c r="E88" s="8" t="inlineStr">
        <is>
          <t>part_ix_expenses.fees_other</t>
        </is>
      </c>
      <c r="F88" s="8" t="inlineStr">
        <is>
          <t>high</t>
        </is>
      </c>
      <c r="G88" s="9" t="n">
        <v>23163</v>
      </c>
    </row>
    <row r="89">
      <c r="A89" s="8" t="inlineStr">
        <is>
          <t>Operating expenses (detail)</t>
        </is>
      </c>
      <c r="B89" s="8" t="inlineStr">
        <is>
          <t>C14</t>
        </is>
      </c>
      <c r="C89" s="8" t="inlineStr">
        <is>
          <t>11g. Fees for services: other</t>
        </is>
      </c>
      <c r="D89" s="8" t="inlineStr">
        <is>
          <t>11g</t>
        </is>
      </c>
      <c r="E89" s="8" t="inlineStr">
        <is>
          <t>part_ix_expenses.fees_other</t>
        </is>
      </c>
      <c r="F89" s="8" t="inlineStr">
        <is>
          <t>high</t>
        </is>
      </c>
      <c r="G89" s="9" t="n">
        <v>22038</v>
      </c>
    </row>
    <row r="90">
      <c r="A90" s="8" t="inlineStr">
        <is>
          <t>Operating expenses (detail)</t>
        </is>
      </c>
      <c r="B90" s="8" t="inlineStr">
        <is>
          <t>D14</t>
        </is>
      </c>
      <c r="C90" s="8" t="inlineStr">
        <is>
          <t>11g. Fees for services: other</t>
        </is>
      </c>
      <c r="D90" s="8" t="inlineStr">
        <is>
          <t>11g</t>
        </is>
      </c>
      <c r="E90" s="8" t="inlineStr">
        <is>
          <t>part_ix_expenses.fees_other</t>
        </is>
      </c>
      <c r="F90" s="8" t="inlineStr">
        <is>
          <t>high</t>
        </is>
      </c>
      <c r="G90" s="9" t="n">
        <v>20181</v>
      </c>
    </row>
    <row r="91">
      <c r="A91" s="8" t="inlineStr">
        <is>
          <t>Operating expenses (detail)</t>
        </is>
      </c>
      <c r="B91" s="8" t="inlineStr">
        <is>
          <t>E14</t>
        </is>
      </c>
      <c r="C91" s="8" t="inlineStr">
        <is>
          <t>11g. Fees for services: other</t>
        </is>
      </c>
      <c r="D91" s="8" t="inlineStr">
        <is>
          <t>11g</t>
        </is>
      </c>
      <c r="E91" s="8" t="inlineStr">
        <is>
          <t>part_ix_expenses.fees_other</t>
        </is>
      </c>
      <c r="F91" s="8" t="inlineStr">
        <is>
          <t>high</t>
        </is>
      </c>
      <c r="G91" s="9" t="n">
        <v>19391</v>
      </c>
    </row>
    <row r="92">
      <c r="A92" s="8" t="inlineStr">
        <is>
          <t>Operating expenses (detail)</t>
        </is>
      </c>
      <c r="B92" s="8" t="inlineStr">
        <is>
          <t>F14</t>
        </is>
      </c>
      <c r="C92" s="8" t="inlineStr">
        <is>
          <t>11g. Fees for services: other</t>
        </is>
      </c>
      <c r="D92" s="8" t="inlineStr">
        <is>
          <t>11g</t>
        </is>
      </c>
      <c r="E92" s="8" t="inlineStr">
        <is>
          <t>part_ix_expenses.fees_other</t>
        </is>
      </c>
      <c r="F92" s="8" t="inlineStr">
        <is>
          <t>high</t>
        </is>
      </c>
      <c r="G92" s="9" t="n">
        <v>25177</v>
      </c>
    </row>
    <row r="93">
      <c r="A93" s="8" t="inlineStr">
        <is>
          <t>Operating expenses (detail)</t>
        </is>
      </c>
      <c r="B93" s="8" t="inlineStr">
        <is>
          <t>G14</t>
        </is>
      </c>
      <c r="C93" s="8" t="inlineStr">
        <is>
          <t>11g. Fees for services: other</t>
        </is>
      </c>
      <c r="D93" s="8" t="inlineStr">
        <is>
          <t>11g</t>
        </is>
      </c>
      <c r="E93" s="8" t="inlineStr">
        <is>
          <t>part_ix_expenses.fees_other</t>
        </is>
      </c>
      <c r="F93" s="8" t="inlineStr">
        <is>
          <t>high</t>
        </is>
      </c>
      <c r="G93" s="9" t="n">
        <v>28182</v>
      </c>
    </row>
    <row r="94">
      <c r="A94" s="8" t="inlineStr">
        <is>
          <t>Operating expenses (detail)</t>
        </is>
      </c>
      <c r="B94" s="8" t="inlineStr">
        <is>
          <t>B15</t>
        </is>
      </c>
      <c r="C94" s="8" t="inlineStr">
        <is>
          <t>13. Office expenses</t>
        </is>
      </c>
      <c r="D94" s="8" t="inlineStr">
        <is>
          <t>13</t>
        </is>
      </c>
      <c r="E94" s="8" t="inlineStr">
        <is>
          <t>part_ix_expenses.office_expenses</t>
        </is>
      </c>
      <c r="F94" s="8" t="inlineStr">
        <is>
          <t>high</t>
        </is>
      </c>
      <c r="G94" s="9" t="n">
        <v>94435</v>
      </c>
    </row>
    <row r="95">
      <c r="A95" s="8" t="inlineStr">
        <is>
          <t>Operating expenses (detail)</t>
        </is>
      </c>
      <c r="B95" s="8" t="inlineStr">
        <is>
          <t>C15</t>
        </is>
      </c>
      <c r="C95" s="8" t="inlineStr">
        <is>
          <t>13. Office expenses</t>
        </is>
      </c>
      <c r="D95" s="8" t="inlineStr">
        <is>
          <t>13</t>
        </is>
      </c>
      <c r="E95" s="8" t="inlineStr">
        <is>
          <t>part_ix_expenses.office_expenses</t>
        </is>
      </c>
      <c r="F95" s="8" t="inlineStr">
        <is>
          <t>high</t>
        </is>
      </c>
      <c r="G95" s="9" t="n">
        <v>99063</v>
      </c>
    </row>
    <row r="96">
      <c r="A96" s="8" t="inlineStr">
        <is>
          <t>Operating expenses (detail)</t>
        </is>
      </c>
      <c r="B96" s="8" t="inlineStr">
        <is>
          <t>D15</t>
        </is>
      </c>
      <c r="C96" s="8" t="inlineStr">
        <is>
          <t>13. Office expenses</t>
        </is>
      </c>
      <c r="D96" s="8" t="inlineStr">
        <is>
          <t>13</t>
        </is>
      </c>
      <c r="E96" s="8" t="inlineStr">
        <is>
          <t>part_ix_expenses.office_expenses</t>
        </is>
      </c>
      <c r="F96" s="8" t="inlineStr">
        <is>
          <t>high</t>
        </is>
      </c>
      <c r="G96" s="9" t="n">
        <v>118590</v>
      </c>
    </row>
    <row r="97">
      <c r="A97" s="8" t="inlineStr">
        <is>
          <t>Operating expenses (detail)</t>
        </is>
      </c>
      <c r="B97" s="8" t="inlineStr">
        <is>
          <t>E15</t>
        </is>
      </c>
      <c r="C97" s="8" t="inlineStr">
        <is>
          <t>13. Office expenses</t>
        </is>
      </c>
      <c r="D97" s="8" t="inlineStr">
        <is>
          <t>13</t>
        </is>
      </c>
      <c r="E97" s="8" t="inlineStr">
        <is>
          <t>part_ix_expenses.office_expenses</t>
        </is>
      </c>
      <c r="F97" s="8" t="inlineStr">
        <is>
          <t>high</t>
        </is>
      </c>
      <c r="G97" s="9" t="n">
        <v>119372</v>
      </c>
    </row>
    <row r="98">
      <c r="A98" s="8" t="inlineStr">
        <is>
          <t>Operating expenses (detail)</t>
        </is>
      </c>
      <c r="B98" s="8" t="inlineStr">
        <is>
          <t>F15</t>
        </is>
      </c>
      <c r="C98" s="8" t="inlineStr">
        <is>
          <t>13. Office expenses</t>
        </is>
      </c>
      <c r="D98" s="8" t="inlineStr">
        <is>
          <t>13</t>
        </is>
      </c>
      <c r="E98" s="8" t="inlineStr">
        <is>
          <t>part_ix_expenses.office_expenses</t>
        </is>
      </c>
      <c r="F98" s="8" t="inlineStr">
        <is>
          <t>high</t>
        </is>
      </c>
      <c r="G98" s="9" t="n">
        <v>151249</v>
      </c>
    </row>
    <row r="99">
      <c r="A99" s="8" t="inlineStr">
        <is>
          <t>Operating expenses (detail)</t>
        </is>
      </c>
      <c r="B99" s="8" t="inlineStr">
        <is>
          <t>G15</t>
        </is>
      </c>
      <c r="C99" s="8" t="inlineStr">
        <is>
          <t>13. Office expenses</t>
        </is>
      </c>
      <c r="D99" s="8" t="inlineStr">
        <is>
          <t>13</t>
        </is>
      </c>
      <c r="E99" s="8" t="inlineStr">
        <is>
          <t>part_ix_expenses.office_expenses</t>
        </is>
      </c>
      <c r="F99" s="8" t="inlineStr">
        <is>
          <t>high</t>
        </is>
      </c>
      <c r="G99" s="9" t="n">
        <v>158344</v>
      </c>
    </row>
    <row r="100">
      <c r="A100" s="8" t="inlineStr">
        <is>
          <t>Operating expenses (detail)</t>
        </is>
      </c>
      <c r="B100" s="8" t="inlineStr">
        <is>
          <t>B16</t>
        </is>
      </c>
      <c r="C100" s="8" t="inlineStr">
        <is>
          <t>14. Information technology</t>
        </is>
      </c>
      <c r="D100" s="8" t="inlineStr">
        <is>
          <t>14</t>
        </is>
      </c>
      <c r="E100" s="8" t="inlineStr">
        <is>
          <t>part_ix_expenses.information_technology</t>
        </is>
      </c>
      <c r="F100" s="8" t="inlineStr">
        <is>
          <t>high</t>
        </is>
      </c>
      <c r="G100" s="9" t="n">
        <v>71713</v>
      </c>
    </row>
    <row r="101">
      <c r="A101" s="8" t="inlineStr">
        <is>
          <t>Operating expenses (detail)</t>
        </is>
      </c>
      <c r="B101" s="8" t="inlineStr">
        <is>
          <t>C16</t>
        </is>
      </c>
      <c r="C101" s="8" t="inlineStr">
        <is>
          <t>14. Information technology</t>
        </is>
      </c>
      <c r="D101" s="8" t="inlineStr">
        <is>
          <t>14</t>
        </is>
      </c>
      <c r="E101" s="8" t="inlineStr">
        <is>
          <t>part_ix_expenses.information_technology</t>
        </is>
      </c>
      <c r="F101" s="8" t="inlineStr">
        <is>
          <t>high</t>
        </is>
      </c>
      <c r="G101" s="9" t="n">
        <v>66266</v>
      </c>
    </row>
    <row r="102">
      <c r="A102" s="8" t="inlineStr">
        <is>
          <t>Operating expenses (detail)</t>
        </is>
      </c>
      <c r="B102" s="8" t="inlineStr">
        <is>
          <t>D16</t>
        </is>
      </c>
      <c r="C102" s="8" t="inlineStr">
        <is>
          <t>14. Information technology</t>
        </is>
      </c>
      <c r="D102" s="8" t="inlineStr">
        <is>
          <t>14</t>
        </is>
      </c>
      <c r="E102" s="8" t="inlineStr">
        <is>
          <t>part_ix_expenses.information_technology</t>
        </is>
      </c>
      <c r="F102" s="8" t="inlineStr">
        <is>
          <t>high</t>
        </is>
      </c>
      <c r="G102" s="9" t="n">
        <v>50189</v>
      </c>
    </row>
    <row r="103">
      <c r="A103" s="8" t="inlineStr">
        <is>
          <t>Operating expenses (detail)</t>
        </is>
      </c>
      <c r="B103" s="8" t="inlineStr">
        <is>
          <t>E16</t>
        </is>
      </c>
      <c r="C103" s="8" t="inlineStr">
        <is>
          <t>14. Information technology</t>
        </is>
      </c>
      <c r="D103" s="8" t="inlineStr">
        <is>
          <t>14</t>
        </is>
      </c>
      <c r="E103" s="8" t="inlineStr">
        <is>
          <t>part_ix_expenses.information_technology</t>
        </is>
      </c>
      <c r="F103" s="8" t="inlineStr">
        <is>
          <t>high</t>
        </is>
      </c>
      <c r="G103" s="9" t="n">
        <v>67909</v>
      </c>
    </row>
    <row r="104">
      <c r="A104" s="8" t="inlineStr">
        <is>
          <t>Operating expenses (detail)</t>
        </is>
      </c>
      <c r="B104" s="8" t="inlineStr">
        <is>
          <t>F16</t>
        </is>
      </c>
      <c r="C104" s="8" t="inlineStr">
        <is>
          <t>14. Information technology</t>
        </is>
      </c>
      <c r="D104" s="8" t="inlineStr">
        <is>
          <t>14</t>
        </is>
      </c>
      <c r="E104" s="8" t="inlineStr">
        <is>
          <t>part_ix_expenses.information_technology</t>
        </is>
      </c>
      <c r="F104" s="8" t="inlineStr">
        <is>
          <t>high</t>
        </is>
      </c>
      <c r="G104" s="9" t="n">
        <v>50289</v>
      </c>
    </row>
    <row r="105">
      <c r="A105" s="8" t="inlineStr">
        <is>
          <t>Operating expenses (detail)</t>
        </is>
      </c>
      <c r="B105" s="8" t="inlineStr">
        <is>
          <t>G16</t>
        </is>
      </c>
      <c r="C105" s="8" t="inlineStr">
        <is>
          <t>14. Information technology</t>
        </is>
      </c>
      <c r="D105" s="8" t="inlineStr">
        <is>
          <t>14</t>
        </is>
      </c>
      <c r="E105" s="8" t="inlineStr">
        <is>
          <t>part_ix_expenses.information_technology</t>
        </is>
      </c>
      <c r="F105" s="8" t="inlineStr">
        <is>
          <t>high</t>
        </is>
      </c>
      <c r="G105" s="9" t="n">
        <v>53134</v>
      </c>
    </row>
    <row r="106">
      <c r="A106" s="8" t="inlineStr">
        <is>
          <t>Operating expenses (detail)</t>
        </is>
      </c>
      <c r="B106" s="8" t="inlineStr">
        <is>
          <t>B17</t>
        </is>
      </c>
      <c r="C106" s="8" t="inlineStr">
        <is>
          <t>23. Insurance</t>
        </is>
      </c>
      <c r="D106" s="8" t="inlineStr">
        <is>
          <t>23</t>
        </is>
      </c>
      <c r="E106" s="8" t="inlineStr">
        <is>
          <t>part_ix_expenses.insurance</t>
        </is>
      </c>
      <c r="F106" s="8" t="inlineStr">
        <is>
          <t>high</t>
        </is>
      </c>
      <c r="G106" s="9" t="n">
        <v>68252</v>
      </c>
    </row>
    <row r="107">
      <c r="A107" s="8" t="inlineStr">
        <is>
          <t>Operating expenses (detail)</t>
        </is>
      </c>
      <c r="B107" s="8" t="inlineStr">
        <is>
          <t>C17</t>
        </is>
      </c>
      <c r="C107" s="8" t="inlineStr">
        <is>
          <t>23. Insurance</t>
        </is>
      </c>
      <c r="D107" s="8" t="inlineStr">
        <is>
          <t>23</t>
        </is>
      </c>
      <c r="E107" s="8" t="inlineStr">
        <is>
          <t>part_ix_expenses.insurance</t>
        </is>
      </c>
      <c r="F107" s="8" t="inlineStr">
        <is>
          <t>high</t>
        </is>
      </c>
      <c r="G107" s="9" t="n">
        <v>71230</v>
      </c>
    </row>
    <row r="108">
      <c r="A108" s="8" t="inlineStr">
        <is>
          <t>Operating expenses (detail)</t>
        </is>
      </c>
      <c r="B108" s="8" t="inlineStr">
        <is>
          <t>D17</t>
        </is>
      </c>
      <c r="C108" s="8" t="inlineStr">
        <is>
          <t>23. Insurance</t>
        </is>
      </c>
      <c r="D108" s="8" t="inlineStr">
        <is>
          <t>23</t>
        </is>
      </c>
      <c r="E108" s="8" t="inlineStr">
        <is>
          <t>part_ix_expenses.insurance</t>
        </is>
      </c>
      <c r="F108" s="8" t="inlineStr">
        <is>
          <t>high</t>
        </is>
      </c>
      <c r="G108" s="9" t="n">
        <v>83120</v>
      </c>
    </row>
    <row r="109">
      <c r="A109" s="8" t="inlineStr">
        <is>
          <t>Operating expenses (detail)</t>
        </is>
      </c>
      <c r="B109" s="8" t="inlineStr">
        <is>
          <t>E17</t>
        </is>
      </c>
      <c r="C109" s="8" t="inlineStr">
        <is>
          <t>23. Insurance</t>
        </is>
      </c>
      <c r="D109" s="8" t="inlineStr">
        <is>
          <t>23</t>
        </is>
      </c>
      <c r="E109" s="8" t="inlineStr">
        <is>
          <t>part_ix_expenses.insurance</t>
        </is>
      </c>
      <c r="F109" s="8" t="inlineStr">
        <is>
          <t>high</t>
        </is>
      </c>
      <c r="G109" s="9" t="n">
        <v>93766</v>
      </c>
    </row>
    <row r="110">
      <c r="A110" s="8" t="inlineStr">
        <is>
          <t>Operating expenses (detail)</t>
        </is>
      </c>
      <c r="B110" s="8" t="inlineStr">
        <is>
          <t>F17</t>
        </is>
      </c>
      <c r="C110" s="8" t="inlineStr">
        <is>
          <t>23. Insurance</t>
        </is>
      </c>
      <c r="D110" s="8" t="inlineStr">
        <is>
          <t>23</t>
        </is>
      </c>
      <c r="E110" s="8" t="inlineStr">
        <is>
          <t>part_ix_expenses.insurance</t>
        </is>
      </c>
      <c r="F110" s="8" t="inlineStr">
        <is>
          <t>high</t>
        </is>
      </c>
      <c r="G110" s="9" t="n">
        <v>107871</v>
      </c>
    </row>
    <row r="111">
      <c r="A111" s="8" t="inlineStr">
        <is>
          <t>Operating expenses (detail)</t>
        </is>
      </c>
      <c r="B111" s="8" t="inlineStr">
        <is>
          <t>G17</t>
        </is>
      </c>
      <c r="C111" s="8" t="inlineStr">
        <is>
          <t>23. Insurance</t>
        </is>
      </c>
      <c r="D111" s="8" t="inlineStr">
        <is>
          <t>23</t>
        </is>
      </c>
      <c r="E111" s="8" t="inlineStr">
        <is>
          <t>part_ix_expenses.insurance</t>
        </is>
      </c>
      <c r="F111" s="8" t="inlineStr">
        <is>
          <t>high</t>
        </is>
      </c>
      <c r="G111" s="9" t="n">
        <v>156747</v>
      </c>
    </row>
    <row r="112">
      <c r="A112" s="8" t="inlineStr">
        <is>
          <t>Balance sheet (detail)</t>
        </is>
      </c>
      <c r="B112" s="8" t="inlineStr">
        <is>
          <t>B7</t>
        </is>
      </c>
      <c r="C112" s="8" t="inlineStr">
        <is>
          <t>1. Cash - non-interest-bearing</t>
        </is>
      </c>
      <c r="D112" s="8" t="inlineStr">
        <is>
          <t>1E</t>
        </is>
      </c>
      <c r="E112" s="8" t="inlineStr">
        <is>
          <t>part_x_balance_sheet.cash_noninterest_eoy</t>
        </is>
      </c>
      <c r="F112" s="8" t="inlineStr">
        <is>
          <t>high</t>
        </is>
      </c>
      <c r="G112" s="9" t="n">
        <v>97865</v>
      </c>
    </row>
    <row r="113">
      <c r="A113" s="8" t="inlineStr">
        <is>
          <t>Balance sheet (detail)</t>
        </is>
      </c>
      <c r="B113" s="8" t="inlineStr">
        <is>
          <t>C7</t>
        </is>
      </c>
      <c r="C113" s="8" t="inlineStr">
        <is>
          <t>1. Cash - non-interest-bearing</t>
        </is>
      </c>
      <c r="D113" s="8" t="inlineStr">
        <is>
          <t>1E</t>
        </is>
      </c>
      <c r="E113" s="8" t="inlineStr">
        <is>
          <t>part_x_balance_sheet.cash_noninterest_eoy</t>
        </is>
      </c>
      <c r="F113" s="8" t="inlineStr">
        <is>
          <t>high</t>
        </is>
      </c>
      <c r="G113" s="9" t="n">
        <v>49365</v>
      </c>
    </row>
    <row r="114">
      <c r="A114" s="8" t="inlineStr">
        <is>
          <t>Balance sheet (detail)</t>
        </is>
      </c>
      <c r="B114" s="8" t="inlineStr">
        <is>
          <t>D7</t>
        </is>
      </c>
      <c r="C114" s="8" t="inlineStr">
        <is>
          <t>1. Cash - non-interest-bearing</t>
        </is>
      </c>
      <c r="D114" s="8" t="inlineStr">
        <is>
          <t>1E</t>
        </is>
      </c>
      <c r="E114" s="8" t="inlineStr">
        <is>
          <t>part_x_balance_sheet.cash_noninterest_eoy</t>
        </is>
      </c>
      <c r="F114" s="8" t="inlineStr">
        <is>
          <t>high</t>
        </is>
      </c>
      <c r="G114" s="9" t="n">
        <v>83410</v>
      </c>
    </row>
    <row r="115">
      <c r="A115" s="8" t="inlineStr">
        <is>
          <t>Balance sheet (detail)</t>
        </is>
      </c>
      <c r="B115" s="8" t="inlineStr">
        <is>
          <t>E7</t>
        </is>
      </c>
      <c r="C115" s="8" t="inlineStr">
        <is>
          <t>1. Cash - non-interest-bearing</t>
        </is>
      </c>
      <c r="D115" s="8" t="inlineStr">
        <is>
          <t>1E</t>
        </is>
      </c>
      <c r="E115" s="8" t="inlineStr">
        <is>
          <t>part_x_balance_sheet.cash_noninterest_eoy</t>
        </is>
      </c>
      <c r="F115" s="8" t="inlineStr">
        <is>
          <t>high</t>
        </is>
      </c>
      <c r="G115" s="9" t="n">
        <v>35560</v>
      </c>
    </row>
    <row r="116">
      <c r="A116" s="8" t="inlineStr">
        <is>
          <t>Balance sheet (detail)</t>
        </is>
      </c>
      <c r="B116" s="8" t="inlineStr">
        <is>
          <t>F7</t>
        </is>
      </c>
      <c r="C116" s="8" t="inlineStr">
        <is>
          <t>1. Cash - non-interest-bearing</t>
        </is>
      </c>
      <c r="D116" s="8" t="inlineStr">
        <is>
          <t>1E</t>
        </is>
      </c>
      <c r="E116" s="8" t="inlineStr">
        <is>
          <t>part_x_balance_sheet.cash_noninterest_eoy</t>
        </is>
      </c>
      <c r="F116" s="8" t="inlineStr">
        <is>
          <t>high</t>
        </is>
      </c>
      <c r="G116" s="9" t="n">
        <v>86217</v>
      </c>
    </row>
    <row r="117">
      <c r="A117" s="8" t="inlineStr">
        <is>
          <t>Balance sheet (detail)</t>
        </is>
      </c>
      <c r="B117" s="8" t="inlineStr">
        <is>
          <t>G7</t>
        </is>
      </c>
      <c r="C117" s="8" t="inlineStr">
        <is>
          <t>1. Cash - non-interest-bearing</t>
        </is>
      </c>
      <c r="D117" s="8" t="inlineStr">
        <is>
          <t>1E</t>
        </is>
      </c>
      <c r="E117" s="8" t="inlineStr">
        <is>
          <t>part_x_balance_sheet.cash_noninterest_eoy</t>
        </is>
      </c>
      <c r="F117" s="8" t="inlineStr">
        <is>
          <t>high</t>
        </is>
      </c>
      <c r="G117" s="9" t="n">
        <v>61802</v>
      </c>
    </row>
    <row r="118">
      <c r="A118" s="8" t="inlineStr">
        <is>
          <t>Balance sheet (detail)</t>
        </is>
      </c>
      <c r="B118" s="8" t="inlineStr">
        <is>
          <t>B8</t>
        </is>
      </c>
      <c r="C118" s="8" t="inlineStr">
        <is>
          <t>2. Savings and temporary cash investments</t>
        </is>
      </c>
      <c r="D118" s="8" t="inlineStr">
        <is>
          <t>2E</t>
        </is>
      </c>
      <c r="E118" s="8" t="inlineStr">
        <is>
          <t>part_x_balance_sheet.savings_temp_invest_eoy</t>
        </is>
      </c>
      <c r="F118" s="8" t="inlineStr">
        <is>
          <t>high</t>
        </is>
      </c>
      <c r="G118" s="9" t="n">
        <v>5955137</v>
      </c>
    </row>
    <row r="119">
      <c r="A119" s="8" t="inlineStr">
        <is>
          <t>Balance sheet (detail)</t>
        </is>
      </c>
      <c r="B119" s="8" t="inlineStr">
        <is>
          <t>C8</t>
        </is>
      </c>
      <c r="C119" s="8" t="inlineStr">
        <is>
          <t>2. Savings and temporary cash investments</t>
        </is>
      </c>
      <c r="D119" s="8" t="inlineStr">
        <is>
          <t>2E</t>
        </is>
      </c>
      <c r="E119" s="8" t="inlineStr">
        <is>
          <t>part_x_balance_sheet.savings_temp_invest_eoy</t>
        </is>
      </c>
      <c r="F119" s="8" t="inlineStr">
        <is>
          <t>high</t>
        </is>
      </c>
      <c r="G119" s="9" t="n">
        <v>6239188</v>
      </c>
    </row>
    <row r="120">
      <c r="A120" s="8" t="inlineStr">
        <is>
          <t>Balance sheet (detail)</t>
        </is>
      </c>
      <c r="B120" s="8" t="inlineStr">
        <is>
          <t>D8</t>
        </is>
      </c>
      <c r="C120" s="8" t="inlineStr">
        <is>
          <t>2. Savings and temporary cash investments</t>
        </is>
      </c>
      <c r="D120" s="8" t="inlineStr">
        <is>
          <t>2E</t>
        </is>
      </c>
      <c r="E120" s="8" t="inlineStr">
        <is>
          <t>part_x_balance_sheet.savings_temp_invest_eoy</t>
        </is>
      </c>
      <c r="F120" s="8" t="inlineStr">
        <is>
          <t>high</t>
        </is>
      </c>
      <c r="G120" s="9" t="n">
        <v>6531204</v>
      </c>
    </row>
    <row r="121">
      <c r="A121" s="8" t="inlineStr">
        <is>
          <t>Balance sheet (detail)</t>
        </is>
      </c>
      <c r="B121" s="8" t="inlineStr">
        <is>
          <t>E8</t>
        </is>
      </c>
      <c r="C121" s="8" t="inlineStr">
        <is>
          <t>2. Savings and temporary cash investments</t>
        </is>
      </c>
      <c r="D121" s="8" t="inlineStr">
        <is>
          <t>2E</t>
        </is>
      </c>
      <c r="E121" s="8" t="inlineStr">
        <is>
          <t>part_x_balance_sheet.savings_temp_invest_eoy</t>
        </is>
      </c>
      <c r="F121" s="8" t="inlineStr">
        <is>
          <t>high</t>
        </is>
      </c>
      <c r="G121" s="9" t="n">
        <v>6659206</v>
      </c>
    </row>
    <row r="122">
      <c r="A122" s="8" t="inlineStr">
        <is>
          <t>Balance sheet (detail)</t>
        </is>
      </c>
      <c r="B122" s="8" t="inlineStr">
        <is>
          <t>F8</t>
        </is>
      </c>
      <c r="C122" s="8" t="inlineStr">
        <is>
          <t>2. Savings and temporary cash investments</t>
        </is>
      </c>
      <c r="D122" s="8" t="inlineStr">
        <is>
          <t>2E</t>
        </is>
      </c>
      <c r="E122" s="8" t="inlineStr">
        <is>
          <t>part_x_balance_sheet.savings_temp_invest_eoy</t>
        </is>
      </c>
      <c r="F122" s="8" t="inlineStr">
        <is>
          <t>high</t>
        </is>
      </c>
      <c r="G122" s="9" t="n">
        <v>7021216</v>
      </c>
    </row>
    <row r="123">
      <c r="A123" s="8" t="inlineStr">
        <is>
          <t>Balance sheet (detail)</t>
        </is>
      </c>
      <c r="B123" s="8" t="inlineStr">
        <is>
          <t>G8</t>
        </is>
      </c>
      <c r="C123" s="8" t="inlineStr">
        <is>
          <t>2. Savings and temporary cash investments</t>
        </is>
      </c>
      <c r="D123" s="8" t="inlineStr">
        <is>
          <t>2E</t>
        </is>
      </c>
      <c r="E123" s="8" t="inlineStr">
        <is>
          <t>part_x_balance_sheet.savings_temp_invest_eoy</t>
        </is>
      </c>
      <c r="F123" s="8" t="inlineStr">
        <is>
          <t>high</t>
        </is>
      </c>
      <c r="G123" s="9" t="n">
        <v>6233069</v>
      </c>
    </row>
    <row r="124">
      <c r="A124" s="8" t="inlineStr">
        <is>
          <t>Balance sheet (detail)</t>
        </is>
      </c>
      <c r="B124" s="8" t="inlineStr">
        <is>
          <t>B9</t>
        </is>
      </c>
      <c r="C124" s="8" t="inlineStr">
        <is>
          <t>4. Accounts receivable, net</t>
        </is>
      </c>
      <c r="D124" s="8" t="inlineStr">
        <is>
          <t>4E</t>
        </is>
      </c>
      <c r="E124" s="8" t="inlineStr">
        <is>
          <t>part_x_balance_sheet.accounts_receivable_eoy</t>
        </is>
      </c>
      <c r="F124" s="8" t="inlineStr">
        <is>
          <t>high</t>
        </is>
      </c>
      <c r="G124" s="9" t="n">
        <v>600013</v>
      </c>
    </row>
    <row r="125">
      <c r="A125" s="8" t="inlineStr">
        <is>
          <t>Balance sheet (detail)</t>
        </is>
      </c>
      <c r="B125" s="8" t="inlineStr">
        <is>
          <t>C9</t>
        </is>
      </c>
      <c r="C125" s="8" t="inlineStr">
        <is>
          <t>4. Accounts receivable, net</t>
        </is>
      </c>
      <c r="D125" s="8" t="inlineStr">
        <is>
          <t>4E</t>
        </is>
      </c>
      <c r="E125" s="8" t="inlineStr">
        <is>
          <t>part_x_balance_sheet.accounts_receivable_eoy</t>
        </is>
      </c>
      <c r="F125" s="8" t="inlineStr">
        <is>
          <t>high</t>
        </is>
      </c>
      <c r="G125" s="9" t="n">
        <v>443646</v>
      </c>
    </row>
    <row r="126">
      <c r="A126" s="8" t="inlineStr">
        <is>
          <t>Balance sheet (detail)</t>
        </is>
      </c>
      <c r="B126" s="8" t="inlineStr">
        <is>
          <t>D9</t>
        </is>
      </c>
      <c r="C126" s="8" t="inlineStr">
        <is>
          <t>4. Accounts receivable, net</t>
        </is>
      </c>
      <c r="D126" s="8" t="inlineStr">
        <is>
          <t>4E</t>
        </is>
      </c>
      <c r="E126" s="8" t="inlineStr">
        <is>
          <t>part_x_balance_sheet.accounts_receivable_eoy</t>
        </is>
      </c>
      <c r="F126" s="8" t="inlineStr">
        <is>
          <t>high</t>
        </is>
      </c>
      <c r="G126" s="9" t="n">
        <v>440519</v>
      </c>
    </row>
    <row r="127">
      <c r="A127" s="8" t="inlineStr">
        <is>
          <t>Balance sheet (detail)</t>
        </is>
      </c>
      <c r="B127" s="8" t="inlineStr">
        <is>
          <t>E9</t>
        </is>
      </c>
      <c r="C127" s="8" t="inlineStr">
        <is>
          <t>4. Accounts receivable, net</t>
        </is>
      </c>
      <c r="D127" s="8" t="inlineStr">
        <is>
          <t>4E</t>
        </is>
      </c>
      <c r="E127" s="8" t="inlineStr">
        <is>
          <t>part_x_balance_sheet.accounts_receivable_eoy</t>
        </is>
      </c>
      <c r="F127" s="8" t="inlineStr">
        <is>
          <t>high</t>
        </is>
      </c>
      <c r="G127" s="9" t="n">
        <v>502234</v>
      </c>
    </row>
    <row r="128">
      <c r="A128" s="8" t="inlineStr">
        <is>
          <t>Balance sheet (detail)</t>
        </is>
      </c>
      <c r="B128" s="8" t="inlineStr">
        <is>
          <t>F9</t>
        </is>
      </c>
      <c r="C128" s="8" t="inlineStr">
        <is>
          <t>4. Accounts receivable, net</t>
        </is>
      </c>
      <c r="D128" s="8" t="inlineStr">
        <is>
          <t>4E</t>
        </is>
      </c>
      <c r="E128" s="8" t="inlineStr">
        <is>
          <t>part_x_balance_sheet.accounts_receivable_eoy</t>
        </is>
      </c>
      <c r="F128" s="8" t="inlineStr">
        <is>
          <t>high</t>
        </is>
      </c>
      <c r="G128" s="9" t="n">
        <v>701333</v>
      </c>
    </row>
    <row r="129">
      <c r="A129" s="8" t="inlineStr">
        <is>
          <t>Balance sheet (detail)</t>
        </is>
      </c>
      <c r="B129" s="8" t="inlineStr">
        <is>
          <t>G9</t>
        </is>
      </c>
      <c r="C129" s="8" t="inlineStr">
        <is>
          <t>4. Accounts receivable, net</t>
        </is>
      </c>
      <c r="D129" s="8" t="inlineStr">
        <is>
          <t>4E</t>
        </is>
      </c>
      <c r="E129" s="8" t="inlineStr">
        <is>
          <t>part_x_balance_sheet.accounts_receivable_eoy</t>
        </is>
      </c>
      <c r="F129" s="8" t="inlineStr">
        <is>
          <t>high</t>
        </is>
      </c>
      <c r="G129" s="9" t="n">
        <v>603136</v>
      </c>
    </row>
    <row r="130">
      <c r="A130" s="8" t="inlineStr">
        <is>
          <t>Balance sheet (detail)</t>
        </is>
      </c>
      <c r="B130" s="8" t="inlineStr">
        <is>
          <t>B10</t>
        </is>
      </c>
      <c r="C130" s="8" t="inlineStr">
        <is>
          <t>8. Inventories for sale or use</t>
        </is>
      </c>
      <c r="D130" s="8" t="inlineStr">
        <is>
          <t>8E</t>
        </is>
      </c>
      <c r="E130" s="8" t="inlineStr">
        <is>
          <t>part_x_balance_sheet.inventories_eoy</t>
        </is>
      </c>
      <c r="F130" s="8" t="inlineStr">
        <is>
          <t>high</t>
        </is>
      </c>
      <c r="G130" s="9" t="n">
        <v>486020</v>
      </c>
    </row>
    <row r="131">
      <c r="A131" s="8" t="inlineStr">
        <is>
          <t>Balance sheet (detail)</t>
        </is>
      </c>
      <c r="B131" s="8" t="inlineStr">
        <is>
          <t>C10</t>
        </is>
      </c>
      <c r="C131" s="8" t="inlineStr">
        <is>
          <t>8. Inventories for sale or use</t>
        </is>
      </c>
      <c r="D131" s="8" t="inlineStr">
        <is>
          <t>8E</t>
        </is>
      </c>
      <c r="E131" s="8" t="inlineStr">
        <is>
          <t>part_x_balance_sheet.inventories_eoy</t>
        </is>
      </c>
      <c r="F131" s="8" t="inlineStr">
        <is>
          <t>high</t>
        </is>
      </c>
      <c r="G131" s="9" t="n">
        <v>477337</v>
      </c>
    </row>
    <row r="132">
      <c r="A132" s="8" t="inlineStr">
        <is>
          <t>Balance sheet (detail)</t>
        </is>
      </c>
      <c r="B132" s="8" t="inlineStr">
        <is>
          <t>D10</t>
        </is>
      </c>
      <c r="C132" s="8" t="inlineStr">
        <is>
          <t>8. Inventories for sale or use</t>
        </is>
      </c>
      <c r="D132" s="8" t="inlineStr">
        <is>
          <t>8E</t>
        </is>
      </c>
      <c r="E132" s="8" t="inlineStr">
        <is>
          <t>part_x_balance_sheet.inventories_eoy</t>
        </is>
      </c>
      <c r="F132" s="8" t="inlineStr">
        <is>
          <t>high</t>
        </is>
      </c>
      <c r="G132" s="9" t="n">
        <v>531658</v>
      </c>
    </row>
    <row r="133">
      <c r="A133" s="8" t="inlineStr">
        <is>
          <t>Balance sheet (detail)</t>
        </is>
      </c>
      <c r="B133" s="8" t="inlineStr">
        <is>
          <t>E10</t>
        </is>
      </c>
      <c r="C133" s="8" t="inlineStr">
        <is>
          <t>8. Inventories for sale or use</t>
        </is>
      </c>
      <c r="D133" s="8" t="inlineStr">
        <is>
          <t>8E</t>
        </is>
      </c>
      <c r="E133" s="8" t="inlineStr">
        <is>
          <t>part_x_balance_sheet.inventories_eoy</t>
        </is>
      </c>
      <c r="F133" s="8" t="inlineStr">
        <is>
          <t>high</t>
        </is>
      </c>
      <c r="G133" s="9" t="n">
        <v>701136</v>
      </c>
    </row>
    <row r="134">
      <c r="A134" s="8" t="inlineStr">
        <is>
          <t>Balance sheet (detail)</t>
        </is>
      </c>
      <c r="B134" s="8" t="inlineStr">
        <is>
          <t>F10</t>
        </is>
      </c>
      <c r="C134" s="8" t="inlineStr">
        <is>
          <t>8. Inventories for sale or use</t>
        </is>
      </c>
      <c r="D134" s="8" t="inlineStr">
        <is>
          <t>8E</t>
        </is>
      </c>
      <c r="E134" s="8" t="inlineStr">
        <is>
          <t>part_x_balance_sheet.inventories_eoy</t>
        </is>
      </c>
      <c r="F134" s="8" t="inlineStr">
        <is>
          <t>high</t>
        </is>
      </c>
      <c r="G134" s="9" t="n">
        <v>717141</v>
      </c>
    </row>
    <row r="135">
      <c r="A135" s="8" t="inlineStr">
        <is>
          <t>Balance sheet (detail)</t>
        </is>
      </c>
      <c r="B135" s="8" t="inlineStr">
        <is>
          <t>G10</t>
        </is>
      </c>
      <c r="C135" s="8" t="inlineStr">
        <is>
          <t>8. Inventories for sale or use</t>
        </is>
      </c>
      <c r="D135" s="8" t="inlineStr">
        <is>
          <t>8E</t>
        </is>
      </c>
      <c r="E135" s="8" t="inlineStr">
        <is>
          <t>part_x_balance_sheet.inventories_eoy</t>
        </is>
      </c>
      <c r="F135" s="8" t="inlineStr">
        <is>
          <t>high</t>
        </is>
      </c>
      <c r="G135" s="9" t="n">
        <v>731663</v>
      </c>
    </row>
    <row r="136">
      <c r="A136" s="8" t="inlineStr">
        <is>
          <t>Balance sheet (detail)</t>
        </is>
      </c>
      <c r="B136" s="8" t="inlineStr">
        <is>
          <t>B11</t>
        </is>
      </c>
      <c r="C136" s="8" t="inlineStr">
        <is>
          <t>9. Prepaid expenses and deferred charges</t>
        </is>
      </c>
      <c r="D136" s="8" t="inlineStr">
        <is>
          <t>9E</t>
        </is>
      </c>
      <c r="E136" s="8" t="inlineStr">
        <is>
          <t>part_x_balance_sheet.prepaid_expenses_eoy</t>
        </is>
      </c>
      <c r="F136" s="8" t="inlineStr">
        <is>
          <t>high</t>
        </is>
      </c>
      <c r="G136" s="9" t="n">
        <v>42848</v>
      </c>
    </row>
    <row r="137">
      <c r="A137" s="8" t="inlineStr">
        <is>
          <t>Balance sheet (detail)</t>
        </is>
      </c>
      <c r="B137" s="8" t="inlineStr">
        <is>
          <t>C11</t>
        </is>
      </c>
      <c r="C137" s="8" t="inlineStr">
        <is>
          <t>9. Prepaid expenses and deferred charges</t>
        </is>
      </c>
      <c r="D137" s="8" t="inlineStr">
        <is>
          <t>9E</t>
        </is>
      </c>
      <c r="E137" s="8" t="inlineStr">
        <is>
          <t>part_x_balance_sheet.prepaid_expenses_eoy</t>
        </is>
      </c>
      <c r="F137" s="8" t="inlineStr">
        <is>
          <t>high</t>
        </is>
      </c>
      <c r="G137" s="9" t="n">
        <v>55379</v>
      </c>
    </row>
    <row r="138">
      <c r="A138" s="8" t="inlineStr">
        <is>
          <t>Balance sheet (detail)</t>
        </is>
      </c>
      <c r="B138" s="8" t="inlineStr">
        <is>
          <t>D11</t>
        </is>
      </c>
      <c r="C138" s="8" t="inlineStr">
        <is>
          <t>9. Prepaid expenses and deferred charges</t>
        </is>
      </c>
      <c r="D138" s="8" t="inlineStr">
        <is>
          <t>9E</t>
        </is>
      </c>
      <c r="E138" s="8" t="inlineStr">
        <is>
          <t>part_x_balance_sheet.prepaid_expenses_eoy</t>
        </is>
      </c>
      <c r="F138" s="8" t="inlineStr">
        <is>
          <t>high</t>
        </is>
      </c>
      <c r="G138" s="9" t="n">
        <v>68129</v>
      </c>
    </row>
    <row r="139">
      <c r="A139" s="8" t="inlineStr">
        <is>
          <t>Balance sheet (detail)</t>
        </is>
      </c>
      <c r="B139" s="8" t="inlineStr">
        <is>
          <t>E11</t>
        </is>
      </c>
      <c r="C139" s="8" t="inlineStr">
        <is>
          <t>9. Prepaid expenses and deferred charges</t>
        </is>
      </c>
      <c r="D139" s="8" t="inlineStr">
        <is>
          <t>9E</t>
        </is>
      </c>
      <c r="E139" s="8" t="inlineStr">
        <is>
          <t>part_x_balance_sheet.prepaid_expenses_eoy</t>
        </is>
      </c>
      <c r="F139" s="8" t="inlineStr">
        <is>
          <t>high</t>
        </is>
      </c>
      <c r="G139" s="9" t="n">
        <v>57240</v>
      </c>
    </row>
    <row r="140">
      <c r="A140" s="8" t="inlineStr">
        <is>
          <t>Balance sheet (detail)</t>
        </is>
      </c>
      <c r="B140" s="8" t="inlineStr">
        <is>
          <t>F11</t>
        </is>
      </c>
      <c r="C140" s="8" t="inlineStr">
        <is>
          <t>9. Prepaid expenses and deferred charges</t>
        </is>
      </c>
      <c r="D140" s="8" t="inlineStr">
        <is>
          <t>9E</t>
        </is>
      </c>
      <c r="E140" s="8" t="inlineStr">
        <is>
          <t>part_x_balance_sheet.prepaid_expenses_eoy</t>
        </is>
      </c>
      <c r="F140" s="8" t="inlineStr">
        <is>
          <t>high</t>
        </is>
      </c>
      <c r="G140" s="9" t="n">
        <v>67777</v>
      </c>
    </row>
    <row r="141">
      <c r="A141" s="8" t="inlineStr">
        <is>
          <t>Balance sheet (detail)</t>
        </is>
      </c>
      <c r="B141" s="8" t="inlineStr">
        <is>
          <t>G11</t>
        </is>
      </c>
      <c r="C141" s="8" t="inlineStr">
        <is>
          <t>9. Prepaid expenses and deferred charges</t>
        </is>
      </c>
      <c r="D141" s="8" t="inlineStr">
        <is>
          <t>9E</t>
        </is>
      </c>
      <c r="E141" s="8" t="inlineStr">
        <is>
          <t>part_x_balance_sheet.prepaid_expenses_eoy</t>
        </is>
      </c>
      <c r="F141" s="8" t="inlineStr">
        <is>
          <t>high</t>
        </is>
      </c>
      <c r="G141" s="9" t="n">
        <v>70103</v>
      </c>
    </row>
    <row r="142">
      <c r="A142" s="8" t="inlineStr">
        <is>
          <t>Balance sheet (detail)</t>
        </is>
      </c>
      <c r="B142" s="8" t="inlineStr">
        <is>
          <t>B12</t>
        </is>
      </c>
      <c r="C142" s="8" t="inlineStr">
        <is>
          <t>10c. Land, buildings, and equipment, net</t>
        </is>
      </c>
      <c r="D142" s="8" t="inlineStr">
        <is>
          <t>10cE</t>
        </is>
      </c>
      <c r="E142" s="8" t="inlineStr">
        <is>
          <t>part_x_balance_sheet.land_bldg_equip_net_eoy</t>
        </is>
      </c>
      <c r="F142" s="8" t="inlineStr">
        <is>
          <t>high</t>
        </is>
      </c>
      <c r="G142" s="9" t="n">
        <v>8349273</v>
      </c>
    </row>
    <row r="143">
      <c r="A143" s="8" t="inlineStr">
        <is>
          <t>Balance sheet (detail)</t>
        </is>
      </c>
      <c r="B143" s="8" t="inlineStr">
        <is>
          <t>C12</t>
        </is>
      </c>
      <c r="C143" s="8" t="inlineStr">
        <is>
          <t>10c. Land, buildings, and equipment, net</t>
        </is>
      </c>
      <c r="D143" s="8" t="inlineStr">
        <is>
          <t>10cE</t>
        </is>
      </c>
      <c r="E143" s="8" t="inlineStr">
        <is>
          <t>part_x_balance_sheet.land_bldg_equip_net_eoy</t>
        </is>
      </c>
      <c r="F143" s="8" t="inlineStr">
        <is>
          <t>high</t>
        </is>
      </c>
      <c r="G143" s="9" t="n">
        <v>8463524</v>
      </c>
    </row>
    <row r="144">
      <c r="A144" s="8" t="inlineStr">
        <is>
          <t>Balance sheet (detail)</t>
        </is>
      </c>
      <c r="B144" s="8" t="inlineStr">
        <is>
          <t>D12</t>
        </is>
      </c>
      <c r="C144" s="8" t="inlineStr">
        <is>
          <t>10c. Land, buildings, and equipment, net</t>
        </is>
      </c>
      <c r="D144" s="8" t="inlineStr">
        <is>
          <t>10cE</t>
        </is>
      </c>
      <c r="E144" s="8" t="inlineStr">
        <is>
          <t>part_x_balance_sheet.land_bldg_equip_net_eoy</t>
        </is>
      </c>
      <c r="F144" s="8" t="inlineStr">
        <is>
          <t>high</t>
        </is>
      </c>
      <c r="G144" s="9" t="n">
        <v>8492669</v>
      </c>
    </row>
    <row r="145">
      <c r="A145" s="8" t="inlineStr">
        <is>
          <t>Balance sheet (detail)</t>
        </is>
      </c>
      <c r="B145" s="8" t="inlineStr">
        <is>
          <t>E12</t>
        </is>
      </c>
      <c r="C145" s="8" t="inlineStr">
        <is>
          <t>10c. Land, buildings, and equipment, net</t>
        </is>
      </c>
      <c r="D145" s="8" t="inlineStr">
        <is>
          <t>10cE</t>
        </is>
      </c>
      <c r="E145" s="8" t="inlineStr">
        <is>
          <t>part_x_balance_sheet.land_bldg_equip_net_eoy</t>
        </is>
      </c>
      <c r="F145" s="8" t="inlineStr">
        <is>
          <t>high</t>
        </is>
      </c>
      <c r="G145" s="9" t="n">
        <v>8140184</v>
      </c>
    </row>
    <row r="146">
      <c r="A146" s="8" t="inlineStr">
        <is>
          <t>Balance sheet (detail)</t>
        </is>
      </c>
      <c r="B146" s="8" t="inlineStr">
        <is>
          <t>F12</t>
        </is>
      </c>
      <c r="C146" s="8" t="inlineStr">
        <is>
          <t>10c. Land, buildings, and equipment, net</t>
        </is>
      </c>
      <c r="D146" s="8" t="inlineStr">
        <is>
          <t>10cE</t>
        </is>
      </c>
      <c r="E146" s="8" t="inlineStr">
        <is>
          <t>part_x_balance_sheet.land_bldg_equip_net_eoy</t>
        </is>
      </c>
      <c r="F146" s="8" t="inlineStr">
        <is>
          <t>high</t>
        </is>
      </c>
      <c r="G146" s="9" t="n">
        <v>7949884</v>
      </c>
    </row>
    <row r="147">
      <c r="A147" s="8" t="inlineStr">
        <is>
          <t>Balance sheet (detail)</t>
        </is>
      </c>
      <c r="B147" s="8" t="inlineStr">
        <is>
          <t>G12</t>
        </is>
      </c>
      <c r="C147" s="8" t="inlineStr">
        <is>
          <t>10c. Land, buildings, and equipment, net</t>
        </is>
      </c>
      <c r="D147" s="8" t="inlineStr">
        <is>
          <t>10cE</t>
        </is>
      </c>
      <c r="E147" s="8" t="inlineStr">
        <is>
          <t>part_x_balance_sheet.land_bldg_equip_net_eoy</t>
        </is>
      </c>
      <c r="F147" s="8" t="inlineStr">
        <is>
          <t>high</t>
        </is>
      </c>
      <c r="G147" s="9" t="n">
        <v>9099816</v>
      </c>
    </row>
    <row r="148">
      <c r="A148" s="8" t="inlineStr">
        <is>
          <t>Balance sheet (detail)</t>
        </is>
      </c>
      <c r="B148" s="8" t="inlineStr">
        <is>
          <t>B13</t>
        </is>
      </c>
      <c r="C148" s="8" t="inlineStr">
        <is>
          <t>15. Other assets</t>
        </is>
      </c>
      <c r="D148" s="8" t="inlineStr">
        <is>
          <t>15E</t>
        </is>
      </c>
      <c r="E148" s="8" t="inlineStr">
        <is>
          <t>part_x_balance_sheet.other_assets_eoy</t>
        </is>
      </c>
      <c r="F148" s="8" t="inlineStr">
        <is>
          <t>high</t>
        </is>
      </c>
      <c r="G148" s="9" t="n">
        <v>35772</v>
      </c>
    </row>
    <row r="149">
      <c r="A149" s="8" t="inlineStr">
        <is>
          <t>Balance sheet (detail)</t>
        </is>
      </c>
      <c r="B149" s="8" t="inlineStr">
        <is>
          <t>C13</t>
        </is>
      </c>
      <c r="C149" s="8" t="inlineStr">
        <is>
          <t>15. Other assets</t>
        </is>
      </c>
      <c r="D149" s="8" t="inlineStr">
        <is>
          <t>15E</t>
        </is>
      </c>
      <c r="E149" s="8" t="inlineStr">
        <is>
          <t>part_x_balance_sheet.other_assets_eoy</t>
        </is>
      </c>
      <c r="F149" s="8" t="inlineStr">
        <is>
          <t>high</t>
        </is>
      </c>
      <c r="G149" s="9" t="n">
        <v>35772</v>
      </c>
    </row>
    <row r="150">
      <c r="A150" s="8" t="inlineStr">
        <is>
          <t>Balance sheet (detail)</t>
        </is>
      </c>
      <c r="B150" s="8" t="inlineStr">
        <is>
          <t>D13</t>
        </is>
      </c>
      <c r="C150" s="8" t="inlineStr">
        <is>
          <t>15. Other assets</t>
        </is>
      </c>
      <c r="D150" s="8" t="inlineStr">
        <is>
          <t>15E</t>
        </is>
      </c>
      <c r="E150" s="8" t="inlineStr">
        <is>
          <t>part_x_balance_sheet.other_assets_eoy</t>
        </is>
      </c>
      <c r="F150" s="8" t="inlineStr">
        <is>
          <t>high</t>
        </is>
      </c>
      <c r="G150" s="9" t="n">
        <v>35772</v>
      </c>
    </row>
    <row r="151">
      <c r="A151" s="8" t="inlineStr">
        <is>
          <t>Balance sheet (detail)</t>
        </is>
      </c>
      <c r="B151" s="8" t="inlineStr">
        <is>
          <t>E13</t>
        </is>
      </c>
      <c r="C151" s="8" t="inlineStr">
        <is>
          <t>15. Other assets</t>
        </is>
      </c>
      <c r="D151" s="8" t="inlineStr">
        <is>
          <t>15E</t>
        </is>
      </c>
      <c r="E151" s="8" t="inlineStr">
        <is>
          <t>part_x_balance_sheet.other_assets_eoy</t>
        </is>
      </c>
      <c r="F151" s="8" t="inlineStr">
        <is>
          <t>high</t>
        </is>
      </c>
      <c r="G151" s="9" t="n">
        <v>35772</v>
      </c>
    </row>
    <row r="152">
      <c r="A152" s="8" t="inlineStr">
        <is>
          <t>Balance sheet (detail)</t>
        </is>
      </c>
      <c r="B152" s="8" t="inlineStr">
        <is>
          <t>F13</t>
        </is>
      </c>
      <c r="C152" s="8" t="inlineStr">
        <is>
          <t>15. Other assets</t>
        </is>
      </c>
      <c r="D152" s="8" t="inlineStr">
        <is>
          <t>15E</t>
        </is>
      </c>
      <c r="E152" s="8" t="inlineStr">
        <is>
          <t>part_x_balance_sheet.other_assets_eoy</t>
        </is>
      </c>
      <c r="F152" s="8" t="inlineStr">
        <is>
          <t>high</t>
        </is>
      </c>
      <c r="G152" s="9" t="n">
        <v>35772</v>
      </c>
    </row>
    <row r="153">
      <c r="A153" s="8" t="inlineStr">
        <is>
          <t>Balance sheet (detail)</t>
        </is>
      </c>
      <c r="B153" s="8" t="inlineStr">
        <is>
          <t>G13</t>
        </is>
      </c>
      <c r="C153" s="8" t="inlineStr">
        <is>
          <t>15. Other assets</t>
        </is>
      </c>
      <c r="D153" s="8" t="inlineStr">
        <is>
          <t>15E</t>
        </is>
      </c>
      <c r="E153" s="8" t="inlineStr">
        <is>
          <t>part_x_balance_sheet.other_assets_eoy</t>
        </is>
      </c>
      <c r="F153" s="8" t="inlineStr">
        <is>
          <t>high</t>
        </is>
      </c>
      <c r="G153" s="9" t="n">
        <v>35772</v>
      </c>
    </row>
    <row r="154">
      <c r="A154" s="8" t="inlineStr">
        <is>
          <t>Balance sheet (detail)</t>
        </is>
      </c>
      <c r="B154" s="8" t="inlineStr">
        <is>
          <t>B17</t>
        </is>
      </c>
      <c r="C154" s="8" t="inlineStr">
        <is>
          <t>17. Accounts payable and accrued expenses</t>
        </is>
      </c>
      <c r="D154" s="8" t="inlineStr">
        <is>
          <t>17E</t>
        </is>
      </c>
      <c r="E154" s="8" t="inlineStr">
        <is>
          <t>part_x_balance_sheet.accounts_payable_eoy</t>
        </is>
      </c>
      <c r="F154" s="8" t="inlineStr">
        <is>
          <t>high</t>
        </is>
      </c>
      <c r="G154" s="9" t="n">
        <v>848099</v>
      </c>
    </row>
    <row r="155">
      <c r="A155" s="8" t="inlineStr">
        <is>
          <t>Balance sheet (detail)</t>
        </is>
      </c>
      <c r="B155" s="8" t="inlineStr">
        <is>
          <t>C17</t>
        </is>
      </c>
      <c r="C155" s="8" t="inlineStr">
        <is>
          <t>17. Accounts payable and accrued expenses</t>
        </is>
      </c>
      <c r="D155" s="8" t="inlineStr">
        <is>
          <t>17E</t>
        </is>
      </c>
      <c r="E155" s="8" t="inlineStr">
        <is>
          <t>part_x_balance_sheet.accounts_payable_eoy</t>
        </is>
      </c>
      <c r="F155" s="8" t="inlineStr">
        <is>
          <t>high</t>
        </is>
      </c>
      <c r="G155" s="9" t="n">
        <v>609381</v>
      </c>
    </row>
    <row r="156">
      <c r="A156" s="8" t="inlineStr">
        <is>
          <t>Balance sheet (detail)</t>
        </is>
      </c>
      <c r="B156" s="8" t="inlineStr">
        <is>
          <t>D17</t>
        </is>
      </c>
      <c r="C156" s="8" t="inlineStr">
        <is>
          <t>17. Accounts payable and accrued expenses</t>
        </is>
      </c>
      <c r="D156" s="8" t="inlineStr">
        <is>
          <t>17E</t>
        </is>
      </c>
      <c r="E156" s="8" t="inlineStr">
        <is>
          <t>part_x_balance_sheet.accounts_payable_eoy</t>
        </is>
      </c>
      <c r="F156" s="8" t="inlineStr">
        <is>
          <t>high</t>
        </is>
      </c>
      <c r="G156" s="9" t="n">
        <v>594363</v>
      </c>
    </row>
    <row r="157">
      <c r="A157" s="8" t="inlineStr">
        <is>
          <t>Balance sheet (detail)</t>
        </is>
      </c>
      <c r="B157" s="8" t="inlineStr">
        <is>
          <t>E17</t>
        </is>
      </c>
      <c r="C157" s="8" t="inlineStr">
        <is>
          <t>17. Accounts payable and accrued expenses</t>
        </is>
      </c>
      <c r="D157" s="8" t="inlineStr">
        <is>
          <t>17E</t>
        </is>
      </c>
      <c r="E157" s="8" t="inlineStr">
        <is>
          <t>part_x_balance_sheet.accounts_payable_eoy</t>
        </is>
      </c>
      <c r="F157" s="8" t="inlineStr">
        <is>
          <t>high</t>
        </is>
      </c>
      <c r="G157" s="9" t="n">
        <v>630702</v>
      </c>
    </row>
    <row r="158">
      <c r="A158" s="8" t="inlineStr">
        <is>
          <t>Balance sheet (detail)</t>
        </is>
      </c>
      <c r="B158" s="8" t="inlineStr">
        <is>
          <t>F17</t>
        </is>
      </c>
      <c r="C158" s="8" t="inlineStr">
        <is>
          <t>17. Accounts payable and accrued expenses</t>
        </is>
      </c>
      <c r="D158" s="8" t="inlineStr">
        <is>
          <t>17E</t>
        </is>
      </c>
      <c r="E158" s="8" t="inlineStr">
        <is>
          <t>part_x_balance_sheet.accounts_payable_eoy</t>
        </is>
      </c>
      <c r="F158" s="8" t="inlineStr">
        <is>
          <t>high</t>
        </is>
      </c>
      <c r="G158" s="9" t="n">
        <v>779918</v>
      </c>
    </row>
    <row r="159">
      <c r="A159" s="8" t="inlineStr">
        <is>
          <t>Balance sheet (detail)</t>
        </is>
      </c>
      <c r="B159" s="8" t="inlineStr">
        <is>
          <t>G17</t>
        </is>
      </c>
      <c r="C159" s="8" t="inlineStr">
        <is>
          <t>17. Accounts payable and accrued expenses</t>
        </is>
      </c>
      <c r="D159" s="8" t="inlineStr">
        <is>
          <t>17E</t>
        </is>
      </c>
      <c r="E159" s="8" t="inlineStr">
        <is>
          <t>part_x_balance_sheet.accounts_payable_eoy</t>
        </is>
      </c>
      <c r="F159" s="8" t="inlineStr">
        <is>
          <t>high</t>
        </is>
      </c>
      <c r="G159" s="9" t="n">
        <v>966663</v>
      </c>
    </row>
    <row r="160">
      <c r="A160" s="8" t="inlineStr">
        <is>
          <t>Balance sheet (detail)</t>
        </is>
      </c>
      <c r="B160" s="8" t="inlineStr">
        <is>
          <t>B18</t>
        </is>
      </c>
      <c r="C160" s="8" t="inlineStr">
        <is>
          <t>25. Other liabilities</t>
        </is>
      </c>
      <c r="D160" s="8" t="inlineStr">
        <is>
          <t>25E</t>
        </is>
      </c>
      <c r="E160" s="8" t="inlineStr">
        <is>
          <t>part_x_balance_sheet.other_liabilities_eoy</t>
        </is>
      </c>
      <c r="F160" s="8" t="inlineStr">
        <is>
          <t>high</t>
        </is>
      </c>
      <c r="G160" s="9" t="n">
        <v>123615</v>
      </c>
    </row>
    <row r="161">
      <c r="A161" s="8" t="inlineStr">
        <is>
          <t>Balance sheet (detail)</t>
        </is>
      </c>
      <c r="B161" s="8" t="inlineStr">
        <is>
          <t>C18</t>
        </is>
      </c>
      <c r="C161" s="8" t="inlineStr">
        <is>
          <t>25. Other liabilities</t>
        </is>
      </c>
      <c r="D161" s="8" t="inlineStr">
        <is>
          <t>25E</t>
        </is>
      </c>
      <c r="E161" s="8" t="inlineStr">
        <is>
          <t>part_x_balance_sheet.other_liabilities_eoy</t>
        </is>
      </c>
      <c r="F161" s="8" t="inlineStr">
        <is>
          <t>high</t>
        </is>
      </c>
      <c r="G161" s="9" t="n">
        <v>144340</v>
      </c>
    </row>
    <row r="162">
      <c r="A162" s="8" t="inlineStr">
        <is>
          <t>Balance sheet (detail)</t>
        </is>
      </c>
      <c r="B162" s="8" t="inlineStr">
        <is>
          <t>D18</t>
        </is>
      </c>
      <c r="C162" s="8" t="inlineStr">
        <is>
          <t>25. Other liabilities</t>
        </is>
      </c>
      <c r="D162" s="8" t="inlineStr">
        <is>
          <t>25E</t>
        </is>
      </c>
      <c r="E162" s="8" t="inlineStr">
        <is>
          <t>part_x_balance_sheet.other_liabilities_eoy</t>
        </is>
      </c>
      <c r="F162" s="8" t="inlineStr">
        <is>
          <t>high</t>
        </is>
      </c>
      <c r="G162" s="9" t="n">
        <v>75930</v>
      </c>
    </row>
    <row r="163">
      <c r="A163" s="8" t="inlineStr">
        <is>
          <t>Balance sheet (detail)</t>
        </is>
      </c>
      <c r="B163" s="8" t="inlineStr">
        <is>
          <t>E18</t>
        </is>
      </c>
      <c r="C163" s="8" t="inlineStr">
        <is>
          <t>25. Other liabilities</t>
        </is>
      </c>
      <c r="D163" s="8" t="inlineStr">
        <is>
          <t>25E</t>
        </is>
      </c>
      <c r="E163" s="8" t="inlineStr">
        <is>
          <t>part_x_balance_sheet.other_liabilities_eoy</t>
        </is>
      </c>
      <c r="F163" s="8" t="inlineStr">
        <is>
          <t>high</t>
        </is>
      </c>
      <c r="G163" s="9" t="n">
        <v>86320</v>
      </c>
    </row>
    <row r="164">
      <c r="A164" s="8" t="inlineStr">
        <is>
          <t>Balance sheet (detail)</t>
        </is>
      </c>
      <c r="B164" s="8" t="inlineStr">
        <is>
          <t>F18</t>
        </is>
      </c>
      <c r="C164" s="8" t="inlineStr">
        <is>
          <t>25. Other liabilities</t>
        </is>
      </c>
      <c r="D164" s="8" t="inlineStr">
        <is>
          <t>25E</t>
        </is>
      </c>
      <c r="E164" s="8" t="inlineStr">
        <is>
          <t>part_x_balance_sheet.other_liabilities_eoy</t>
        </is>
      </c>
      <c r="F164" s="8" t="inlineStr">
        <is>
          <t>high</t>
        </is>
      </c>
      <c r="G164" s="9" t="n">
        <v>84495</v>
      </c>
    </row>
    <row r="165">
      <c r="A165" s="8" t="inlineStr">
        <is>
          <t>Balance sheet (detail)</t>
        </is>
      </c>
      <c r="B165" s="8" t="inlineStr">
        <is>
          <t>G18</t>
        </is>
      </c>
      <c r="C165" s="8" t="inlineStr">
        <is>
          <t>25. Other liabilities</t>
        </is>
      </c>
      <c r="D165" s="8" t="inlineStr">
        <is>
          <t>25E</t>
        </is>
      </c>
      <c r="E165" s="8" t="inlineStr">
        <is>
          <t>part_x_balance_sheet.other_liabilities_eoy</t>
        </is>
      </c>
      <c r="F165" s="8" t="inlineStr">
        <is>
          <t>high</t>
        </is>
      </c>
      <c r="G165" s="9" t="n">
        <v>69890</v>
      </c>
    </row>
    <row r="166">
      <c r="A166" s="8" t="inlineStr">
        <is>
          <t>Balance sheet (detail)</t>
        </is>
      </c>
      <c r="B166" s="8" t="inlineStr">
        <is>
          <t>B22</t>
        </is>
      </c>
      <c r="C166" s="8" t="inlineStr">
        <is>
          <t>27. Net assets without donor restrictions</t>
        </is>
      </c>
      <c r="D166" s="8" t="inlineStr">
        <is>
          <t>27E</t>
        </is>
      </c>
      <c r="E166" s="8" t="inlineStr">
        <is>
          <t>part_x_balance_sheet.net_assets_no_donor_restriction_eoy</t>
        </is>
      </c>
      <c r="F166" s="8" t="inlineStr">
        <is>
          <t>high</t>
        </is>
      </c>
      <c r="G166" s="9" t="n">
        <v>14595214</v>
      </c>
    </row>
    <row r="167">
      <c r="A167" s="8" t="inlineStr">
        <is>
          <t>Balance sheet (detail)</t>
        </is>
      </c>
      <c r="B167" s="8" t="inlineStr">
        <is>
          <t>C22</t>
        </is>
      </c>
      <c r="C167" s="8" t="inlineStr">
        <is>
          <t>27. Net assets without donor restrictions</t>
        </is>
      </c>
      <c r="D167" s="8" t="inlineStr">
        <is>
          <t>27E</t>
        </is>
      </c>
      <c r="E167" s="8" t="inlineStr">
        <is>
          <t>part_x_balance_sheet.net_assets_no_donor_restriction_eoy</t>
        </is>
      </c>
      <c r="F167" s="8" t="inlineStr">
        <is>
          <t>high</t>
        </is>
      </c>
      <c r="G167" s="9" t="n">
        <v>15010490</v>
      </c>
    </row>
    <row r="168">
      <c r="A168" s="8" t="inlineStr">
        <is>
          <t>Balance sheet (detail)</t>
        </is>
      </c>
      <c r="B168" s="8" t="inlineStr">
        <is>
          <t>D22</t>
        </is>
      </c>
      <c r="C168" s="8" t="inlineStr">
        <is>
          <t>27. Net assets without donor restrictions</t>
        </is>
      </c>
      <c r="D168" s="8" t="inlineStr">
        <is>
          <t>27E</t>
        </is>
      </c>
      <c r="E168" s="8" t="inlineStr">
        <is>
          <t>part_x_balance_sheet.net_assets_no_donor_restriction_eoy</t>
        </is>
      </c>
      <c r="F168" s="8" t="inlineStr">
        <is>
          <t>high</t>
        </is>
      </c>
      <c r="G168" s="9" t="n">
        <v>15513068</v>
      </c>
    </row>
    <row r="169">
      <c r="A169" s="8" t="inlineStr">
        <is>
          <t>Balance sheet (detail)</t>
        </is>
      </c>
      <c r="B169" s="8" t="inlineStr">
        <is>
          <t>E22</t>
        </is>
      </c>
      <c r="C169" s="8" t="inlineStr">
        <is>
          <t>27. Net assets without donor restrictions</t>
        </is>
      </c>
      <c r="D169" s="8" t="inlineStr">
        <is>
          <t>27E</t>
        </is>
      </c>
      <c r="E169" s="8" t="inlineStr">
        <is>
          <t>part_x_balance_sheet.net_assets_no_donor_restriction_eoy</t>
        </is>
      </c>
      <c r="F169" s="8" t="inlineStr">
        <is>
          <t>high</t>
        </is>
      </c>
      <c r="G169" s="9" t="n">
        <v>15414310</v>
      </c>
    </row>
    <row r="170">
      <c r="A170" s="8" t="inlineStr">
        <is>
          <t>Balance sheet (detail)</t>
        </is>
      </c>
      <c r="B170" s="8" t="inlineStr">
        <is>
          <t>F22</t>
        </is>
      </c>
      <c r="C170" s="8" t="inlineStr">
        <is>
          <t>27. Net assets without donor restrictions</t>
        </is>
      </c>
      <c r="D170" s="8" t="inlineStr">
        <is>
          <t>27E</t>
        </is>
      </c>
      <c r="E170" s="8" t="inlineStr">
        <is>
          <t>part_x_balance_sheet.net_assets_no_donor_restriction_eoy</t>
        </is>
      </c>
      <c r="F170" s="8" t="inlineStr">
        <is>
          <t>high</t>
        </is>
      </c>
      <c r="G170" s="9" t="n">
        <v>15714927</v>
      </c>
    </row>
    <row r="171">
      <c r="A171" s="8" t="inlineStr">
        <is>
          <t>Balance sheet (detail)</t>
        </is>
      </c>
      <c r="B171" s="8" t="inlineStr">
        <is>
          <t>G22</t>
        </is>
      </c>
      <c r="C171" s="8" t="inlineStr">
        <is>
          <t>27. Net assets without donor restrictions</t>
        </is>
      </c>
      <c r="D171" s="8" t="inlineStr">
        <is>
          <t>27E</t>
        </is>
      </c>
      <c r="E171" s="8" t="inlineStr">
        <is>
          <t>part_x_balance_sheet.net_assets_no_donor_restriction_eoy</t>
        </is>
      </c>
      <c r="F171" s="8" t="inlineStr">
        <is>
          <t>high</t>
        </is>
      </c>
      <c r="G171" s="9" t="n">
        <v>15798808</v>
      </c>
    </row>
    <row r="172">
      <c r="A172" s="8" t="inlineStr">
        <is>
          <t>Net-assets reconciliation</t>
        </is>
      </c>
      <c r="B172" s="8" t="inlineStr">
        <is>
          <t>B7</t>
        </is>
      </c>
      <c r="C172" s="8" t="inlineStr">
        <is>
          <t>4. Net assets, beginning of year</t>
        </is>
      </c>
      <c r="D172" s="8" t="inlineStr">
        <is>
          <t>Part XI line 4</t>
        </is>
      </c>
      <c r="E172" s="8" t="inlineStr">
        <is>
          <t>part_xi_reconciliation.net_assets_boy</t>
        </is>
      </c>
      <c r="F172" s="8" t="inlineStr">
        <is>
          <t>high</t>
        </is>
      </c>
      <c r="G172" s="9" t="n">
        <v>14011695</v>
      </c>
    </row>
    <row r="173">
      <c r="A173" s="8" t="inlineStr">
        <is>
          <t>Net-assets reconciliation</t>
        </is>
      </c>
      <c r="B173" s="8" t="inlineStr">
        <is>
          <t>C7</t>
        </is>
      </c>
      <c r="C173" s="8" t="inlineStr">
        <is>
          <t>4. Net assets, beginning of year</t>
        </is>
      </c>
      <c r="D173" s="8" t="inlineStr">
        <is>
          <t>Part XI line 4</t>
        </is>
      </c>
      <c r="E173" s="8" t="inlineStr">
        <is>
          <t>part_xi_reconciliation.net_assets_boy</t>
        </is>
      </c>
      <c r="F173" s="8" t="inlineStr">
        <is>
          <t>high</t>
        </is>
      </c>
      <c r="G173" s="9" t="n">
        <v>14595214</v>
      </c>
    </row>
    <row r="174">
      <c r="A174" s="8" t="inlineStr">
        <is>
          <t>Net-assets reconciliation</t>
        </is>
      </c>
      <c r="B174" s="8" t="inlineStr">
        <is>
          <t>D7</t>
        </is>
      </c>
      <c r="C174" s="8" t="inlineStr">
        <is>
          <t>4. Net assets, beginning of year</t>
        </is>
      </c>
      <c r="D174" s="8" t="inlineStr">
        <is>
          <t>Part XI line 4</t>
        </is>
      </c>
      <c r="E174" s="8" t="inlineStr">
        <is>
          <t>part_xi_reconciliation.net_assets_boy</t>
        </is>
      </c>
      <c r="F174" s="8" t="inlineStr">
        <is>
          <t>high</t>
        </is>
      </c>
      <c r="G174" s="9" t="n">
        <v>15010490</v>
      </c>
    </row>
    <row r="175">
      <c r="A175" s="8" t="inlineStr">
        <is>
          <t>Net-assets reconciliation</t>
        </is>
      </c>
      <c r="B175" s="8" t="inlineStr">
        <is>
          <t>E7</t>
        </is>
      </c>
      <c r="C175" s="8" t="inlineStr">
        <is>
          <t>4. Net assets, beginning of year</t>
        </is>
      </c>
      <c r="D175" s="8" t="inlineStr">
        <is>
          <t>Part XI line 4</t>
        </is>
      </c>
      <c r="E175" s="8" t="inlineStr">
        <is>
          <t>part_xi_reconciliation.net_assets_boy</t>
        </is>
      </c>
      <c r="F175" s="8" t="inlineStr">
        <is>
          <t>high</t>
        </is>
      </c>
      <c r="G175" s="9" t="n">
        <v>15513068</v>
      </c>
    </row>
    <row r="176">
      <c r="A176" s="8" t="inlineStr">
        <is>
          <t>Net-assets reconciliation</t>
        </is>
      </c>
      <c r="B176" s="8" t="inlineStr">
        <is>
          <t>F7</t>
        </is>
      </c>
      <c r="C176" s="8" t="inlineStr">
        <is>
          <t>4. Net assets, beginning of year</t>
        </is>
      </c>
      <c r="D176" s="8" t="inlineStr">
        <is>
          <t>Part XI line 4</t>
        </is>
      </c>
      <c r="E176" s="8" t="inlineStr">
        <is>
          <t>part_xi_reconciliation.net_assets_boy</t>
        </is>
      </c>
      <c r="F176" s="8" t="inlineStr">
        <is>
          <t>high</t>
        </is>
      </c>
      <c r="G176" s="9" t="n">
        <v>15414310</v>
      </c>
    </row>
    <row r="177">
      <c r="A177" s="8" t="inlineStr">
        <is>
          <t>Net-assets reconciliation</t>
        </is>
      </c>
      <c r="B177" s="8" t="inlineStr">
        <is>
          <t>G7</t>
        </is>
      </c>
      <c r="C177" s="8" t="inlineStr">
        <is>
          <t>4. Net assets, beginning of year</t>
        </is>
      </c>
      <c r="D177" s="8" t="inlineStr">
        <is>
          <t>Part XI line 4</t>
        </is>
      </c>
      <c r="E177" s="8" t="inlineStr">
        <is>
          <t>part_xi_reconciliation.net_assets_boy</t>
        </is>
      </c>
      <c r="F177" s="8" t="inlineStr">
        <is>
          <t>high</t>
        </is>
      </c>
      <c r="G177" s="9" t="n">
        <v>15714927</v>
      </c>
    </row>
    <row r="178">
      <c r="A178" s="8" t="inlineStr">
        <is>
          <t>Net-assets reconciliation</t>
        </is>
      </c>
      <c r="B178" s="8" t="inlineStr">
        <is>
          <t>B8</t>
        </is>
      </c>
      <c r="C178" s="8" t="inlineStr">
        <is>
          <t>3. Revenue less expenses</t>
        </is>
      </c>
      <c r="D178" s="8" t="inlineStr">
        <is>
          <t>Part XI line 3</t>
        </is>
      </c>
      <c r="E178" s="8" t="inlineStr">
        <is>
          <t>part_xi_reconciliation.reconciliation_revenue_expenses</t>
        </is>
      </c>
      <c r="F178" s="8" t="inlineStr">
        <is>
          <t>high</t>
        </is>
      </c>
      <c r="G178" s="9" t="n">
        <v>583519</v>
      </c>
    </row>
    <row r="179">
      <c r="A179" s="8" t="inlineStr">
        <is>
          <t>Net-assets reconciliation</t>
        </is>
      </c>
      <c r="B179" s="8" t="inlineStr">
        <is>
          <t>C8</t>
        </is>
      </c>
      <c r="C179" s="8" t="inlineStr">
        <is>
          <t>3. Revenue less expenses</t>
        </is>
      </c>
      <c r="D179" s="8" t="inlineStr">
        <is>
          <t>Part XI line 3</t>
        </is>
      </c>
      <c r="E179" s="8" t="inlineStr">
        <is>
          <t>part_xi_reconciliation.reconciliation_revenue_expenses</t>
        </is>
      </c>
      <c r="F179" s="8" t="inlineStr">
        <is>
          <t>high</t>
        </is>
      </c>
      <c r="G179" s="9" t="n">
        <v>415211</v>
      </c>
    </row>
    <row r="180">
      <c r="A180" s="8" t="inlineStr">
        <is>
          <t>Net-assets reconciliation</t>
        </is>
      </c>
      <c r="B180" s="8" t="inlineStr">
        <is>
          <t>D8</t>
        </is>
      </c>
      <c r="C180" s="8" t="inlineStr">
        <is>
          <t>3. Revenue less expenses</t>
        </is>
      </c>
      <c r="D180" s="8" t="inlineStr">
        <is>
          <t>Part XI line 3</t>
        </is>
      </c>
      <c r="E180" s="8" t="inlineStr">
        <is>
          <t>part_xi_reconciliation.reconciliation_revenue_expenses</t>
        </is>
      </c>
      <c r="F180" s="8" t="inlineStr">
        <is>
          <t>high</t>
        </is>
      </c>
      <c r="G180" s="9" t="n">
        <v>502523</v>
      </c>
    </row>
    <row r="181">
      <c r="A181" s="8" t="inlineStr">
        <is>
          <t>Net-assets reconciliation</t>
        </is>
      </c>
      <c r="B181" s="8" t="inlineStr">
        <is>
          <t>E8</t>
        </is>
      </c>
      <c r="C181" s="8" t="inlineStr">
        <is>
          <t>3. Revenue less expenses</t>
        </is>
      </c>
      <c r="D181" s="8" t="inlineStr">
        <is>
          <t>Part XI line 3</t>
        </is>
      </c>
      <c r="E181" s="8" t="inlineStr">
        <is>
          <t>part_xi_reconciliation.reconciliation_revenue_expenses</t>
        </is>
      </c>
      <c r="F181" s="8" t="inlineStr">
        <is>
          <t>high</t>
        </is>
      </c>
      <c r="G181" s="9" t="n">
        <v>-98758</v>
      </c>
    </row>
    <row r="182">
      <c r="A182" s="8" t="inlineStr">
        <is>
          <t>Net-assets reconciliation</t>
        </is>
      </c>
      <c r="B182" s="8" t="inlineStr">
        <is>
          <t>F8</t>
        </is>
      </c>
      <c r="C182" s="8" t="inlineStr">
        <is>
          <t>3. Revenue less expenses</t>
        </is>
      </c>
      <c r="D182" s="8" t="inlineStr">
        <is>
          <t>Part XI line 3</t>
        </is>
      </c>
      <c r="E182" s="8" t="inlineStr">
        <is>
          <t>part_xi_reconciliation.reconciliation_revenue_expenses</t>
        </is>
      </c>
      <c r="F182" s="8" t="inlineStr">
        <is>
          <t>high</t>
        </is>
      </c>
      <c r="G182" s="9" t="n">
        <v>300617</v>
      </c>
    </row>
    <row r="183">
      <c r="A183" s="8" t="inlineStr">
        <is>
          <t>Net-assets reconciliation</t>
        </is>
      </c>
      <c r="B183" s="8" t="inlineStr">
        <is>
          <t>G8</t>
        </is>
      </c>
      <c r="C183" s="8" t="inlineStr">
        <is>
          <t>3. Revenue less expenses</t>
        </is>
      </c>
      <c r="D183" s="8" t="inlineStr">
        <is>
          <t>Part XI line 3</t>
        </is>
      </c>
      <c r="E183" s="8" t="inlineStr">
        <is>
          <t>part_xi_reconciliation.reconciliation_revenue_expenses</t>
        </is>
      </c>
      <c r="F183" s="8" t="inlineStr">
        <is>
          <t>high</t>
        </is>
      </c>
      <c r="G183" s="9" t="n">
        <v>83881</v>
      </c>
    </row>
    <row r="184">
      <c r="A184" s="8" t="inlineStr">
        <is>
          <t>Net-assets reconciliation</t>
        </is>
      </c>
      <c r="B184" s="8" t="inlineStr">
        <is>
          <t>B10</t>
        </is>
      </c>
      <c r="C184" s="8" t="inlineStr">
        <is>
          <t>9. Other changes in net assets</t>
        </is>
      </c>
      <c r="D184" s="8" t="inlineStr">
        <is>
          <t>Part XI line 9</t>
        </is>
      </c>
      <c r="E184" s="8" t="inlineStr">
        <is>
          <t>part_xi_reconciliation.other_changes_net_assets</t>
        </is>
      </c>
      <c r="F184" s="8" t="inlineStr">
        <is>
          <t>high</t>
        </is>
      </c>
      <c r="G184" s="9" t="n">
        <v>0</v>
      </c>
    </row>
    <row r="185">
      <c r="A185" s="8" t="inlineStr">
        <is>
          <t>Net-assets reconciliation</t>
        </is>
      </c>
      <c r="B185" s="8" t="inlineStr">
        <is>
          <t>C10</t>
        </is>
      </c>
      <c r="C185" s="8" t="inlineStr">
        <is>
          <t>9. Other changes in net assets</t>
        </is>
      </c>
      <c r="D185" s="8" t="inlineStr">
        <is>
          <t>Part XI line 9</t>
        </is>
      </c>
      <c r="E185" s="8" t="inlineStr">
        <is>
          <t>part_xi_reconciliation.other_changes_net_assets</t>
        </is>
      </c>
      <c r="F185" s="8" t="inlineStr">
        <is>
          <t>high</t>
        </is>
      </c>
      <c r="G185" s="9" t="n">
        <v>65</v>
      </c>
    </row>
    <row r="186">
      <c r="A186" s="8" t="inlineStr">
        <is>
          <t>Net-assets reconciliation</t>
        </is>
      </c>
      <c r="B186" s="8" t="inlineStr">
        <is>
          <t>D10</t>
        </is>
      </c>
      <c r="C186" s="8" t="inlineStr">
        <is>
          <t>9. Other changes in net assets</t>
        </is>
      </c>
      <c r="D186" s="8" t="inlineStr">
        <is>
          <t>Part XI line 9</t>
        </is>
      </c>
      <c r="E186" s="8" t="inlineStr">
        <is>
          <t>part_xi_reconciliation.other_changes_net_assets</t>
        </is>
      </c>
      <c r="F186" s="8" t="inlineStr">
        <is>
          <t>high</t>
        </is>
      </c>
      <c r="G186" s="9" t="n">
        <v>55</v>
      </c>
    </row>
    <row r="187">
      <c r="A187" s="8" t="inlineStr">
        <is>
          <t>Net-assets reconciliation</t>
        </is>
      </c>
      <c r="B187" s="8" t="inlineStr">
        <is>
          <t>E10</t>
        </is>
      </c>
      <c r="C187" s="8" t="inlineStr">
        <is>
          <t>9. Other changes in net assets</t>
        </is>
      </c>
      <c r="D187" s="8" t="inlineStr">
        <is>
          <t>Part XI line 9</t>
        </is>
      </c>
      <c r="E187" s="8" t="inlineStr">
        <is>
          <t>part_xi_reconciliation.other_changes_net_assets</t>
        </is>
      </c>
      <c r="F187" s="8" t="inlineStr">
        <is>
          <t>high</t>
        </is>
      </c>
      <c r="G187" s="9" t="n">
        <v>0</v>
      </c>
    </row>
    <row r="188">
      <c r="A188" s="8" t="inlineStr">
        <is>
          <t>Net-assets reconciliation</t>
        </is>
      </c>
      <c r="B188" s="8" t="inlineStr">
        <is>
          <t>F10</t>
        </is>
      </c>
      <c r="C188" s="8" t="inlineStr">
        <is>
          <t>9. Other changes in net assets</t>
        </is>
      </c>
      <c r="D188" s="8" t="inlineStr">
        <is>
          <t>Part XI line 9</t>
        </is>
      </c>
      <c r="E188" s="8" t="inlineStr">
        <is>
          <t>part_xi_reconciliation.other_changes_net_assets</t>
        </is>
      </c>
      <c r="F188" s="8" t="inlineStr">
        <is>
          <t>high</t>
        </is>
      </c>
      <c r="G188" s="9" t="n">
        <v>0</v>
      </c>
    </row>
    <row r="189">
      <c r="A189" s="8" t="inlineStr">
        <is>
          <t>Net-assets reconciliation</t>
        </is>
      </c>
      <c r="B189" s="8" t="inlineStr">
        <is>
          <t>G10</t>
        </is>
      </c>
      <c r="C189" s="8" t="inlineStr">
        <is>
          <t>9. Other changes in net assets</t>
        </is>
      </c>
      <c r="D189" s="8" t="inlineStr">
        <is>
          <t>Part XI line 9</t>
        </is>
      </c>
      <c r="E189" s="8" t="inlineStr">
        <is>
          <t>part_xi_reconciliation.other_changes_net_assets</t>
        </is>
      </c>
      <c r="F189" s="8" t="inlineStr">
        <is>
          <t>high</t>
        </is>
      </c>
      <c r="G189" s="9" t="n">
        <v>0</v>
      </c>
    </row>
    <row r="191">
      <c r="A191" s="31" t="inlineStr">
        <is>
          <t>C. Tie-out checks (filed vs computed; any nonzero variance is flagged red)</t>
        </is>
      </c>
      <c r="B191" s="7" t="n"/>
      <c r="C191" s="7" t="n"/>
      <c r="D191" s="7" t="n"/>
      <c r="E191" s="7" t="n"/>
      <c r="F191" s="7" t="n"/>
      <c r="G191" s="7" t="n"/>
      <c r="H191" s="7" t="n"/>
      <c r="I191" s="7" t="n"/>
      <c r="J191" s="7" t="n"/>
      <c r="K191" s="7" t="n"/>
    </row>
    <row r="192">
      <c r="A192" s="5" t="inlineStr">
        <is>
          <t>Tab</t>
        </is>
      </c>
      <c r="B192" s="5" t="inlineStr">
        <is>
          <t>Check</t>
        </is>
      </c>
      <c r="C192" s="5" t="inlineStr">
        <is>
          <t>Fiscal year</t>
        </is>
      </c>
      <c r="D192" s="5" t="inlineStr">
        <is>
          <t>Filed</t>
        </is>
      </c>
      <c r="E192" s="5" t="inlineStr">
        <is>
          <t>Computed</t>
        </is>
      </c>
      <c r="F192" s="5" t="inlineStr">
        <is>
          <t>Variance (computed - filed)</t>
        </is>
      </c>
    </row>
    <row r="193">
      <c r="A193" s="28" t="inlineStr">
        <is>
          <t>Revenue (detail)</t>
        </is>
      </c>
      <c r="B193" s="28" t="inlineStr">
        <is>
          <t>12. Total revenue</t>
        </is>
      </c>
      <c r="C193" s="28" t="inlineStr">
        <is>
          <t>FY2020</t>
        </is>
      </c>
      <c r="D193" s="9" t="n">
        <v>1631279</v>
      </c>
      <c r="E193" s="9">
        <f>'Revenue (detail)'!B13</f>
        <v/>
      </c>
      <c r="F193" s="9">
        <f>E193-D193</f>
        <v/>
      </c>
    </row>
    <row r="194">
      <c r="A194" s="28" t="inlineStr">
        <is>
          <t>Revenue (detail)</t>
        </is>
      </c>
      <c r="B194" s="28" t="inlineStr">
        <is>
          <t>12. Total revenue</t>
        </is>
      </c>
      <c r="C194" s="28" t="inlineStr">
        <is>
          <t>FY2021</t>
        </is>
      </c>
      <c r="D194" s="9" t="n">
        <v>1508360</v>
      </c>
      <c r="E194" s="9">
        <f>'Revenue (detail)'!C13</f>
        <v/>
      </c>
      <c r="F194" s="9">
        <f>E194-D194</f>
        <v/>
      </c>
    </row>
    <row r="195">
      <c r="A195" s="28" t="inlineStr">
        <is>
          <t>Revenue (detail)</t>
        </is>
      </c>
      <c r="B195" s="28" t="inlineStr">
        <is>
          <t>12. Total revenue</t>
        </is>
      </c>
      <c r="C195" s="28" t="inlineStr">
        <is>
          <t>FY2022</t>
        </is>
      </c>
      <c r="D195" s="9" t="n">
        <v>1638885</v>
      </c>
      <c r="E195" s="9">
        <f>'Revenue (detail)'!D13</f>
        <v/>
      </c>
      <c r="F195" s="9">
        <f>E195-D195</f>
        <v/>
      </c>
    </row>
    <row r="196">
      <c r="A196" s="28" t="inlineStr">
        <is>
          <t>Revenue (detail)</t>
        </is>
      </c>
      <c r="B196" s="28" t="inlineStr">
        <is>
          <t>12. Total revenue</t>
        </is>
      </c>
      <c r="C196" s="28" t="inlineStr">
        <is>
          <t>FY2023</t>
        </is>
      </c>
      <c r="D196" s="9" t="n">
        <v>1167016</v>
      </c>
      <c r="E196" s="9">
        <f>'Revenue (detail)'!E13</f>
        <v/>
      </c>
      <c r="F196" s="9">
        <f>E196-D196</f>
        <v/>
      </c>
    </row>
    <row r="197">
      <c r="A197" s="28" t="inlineStr">
        <is>
          <t>Revenue (detail)</t>
        </is>
      </c>
      <c r="B197" s="28" t="inlineStr">
        <is>
          <t>12. Total revenue</t>
        </is>
      </c>
      <c r="C197" s="28" t="inlineStr">
        <is>
          <t>FY2024</t>
        </is>
      </c>
      <c r="D197" s="9" t="n">
        <v>1713810</v>
      </c>
      <c r="E197" s="9">
        <f>'Revenue (detail)'!F13</f>
        <v/>
      </c>
      <c r="F197" s="9">
        <f>E197-D197</f>
        <v/>
      </c>
    </row>
    <row r="198">
      <c r="A198" s="28" t="inlineStr">
        <is>
          <t>Revenue (detail)</t>
        </is>
      </c>
      <c r="B198" s="28" t="inlineStr">
        <is>
          <t>12. Total revenue</t>
        </is>
      </c>
      <c r="C198" s="28" t="inlineStr">
        <is>
          <t>FY2025</t>
        </is>
      </c>
      <c r="D198" s="9" t="n">
        <v>1645383</v>
      </c>
      <c r="E198" s="9">
        <f>'Revenue (detail)'!G13</f>
        <v/>
      </c>
      <c r="F198" s="9">
        <f>E198-D198</f>
        <v/>
      </c>
    </row>
    <row r="199">
      <c r="A199" s="28" t="inlineStr">
        <is>
          <t>Revenue (detail)</t>
        </is>
      </c>
      <c r="B199" s="28" t="inlineStr">
        <is>
          <t>2g program service revenue = sum of lines 2a-2f (FY2025)</t>
        </is>
      </c>
      <c r="C199" s="28" t="inlineStr">
        <is>
          <t>FY2025</t>
        </is>
      </c>
      <c r="D199" s="9" t="n">
        <v>1049749</v>
      </c>
      <c r="E199" s="9">
        <f>SUM('Revenue (detail)'!C17:C17)</f>
        <v/>
      </c>
      <c r="F199" s="9">
        <f>E199-D199</f>
        <v/>
      </c>
    </row>
    <row r="200">
      <c r="A200" s="28" t="inlineStr">
        <is>
          <t>Operating expenses (detail)</t>
        </is>
      </c>
      <c r="B200" s="28" t="inlineStr">
        <is>
          <t>25. Total functional expenses</t>
        </is>
      </c>
      <c r="C200" s="28" t="inlineStr">
        <is>
          <t>FY2020</t>
        </is>
      </c>
      <c r="D200" s="9" t="n">
        <v>1047760</v>
      </c>
      <c r="E200" s="9">
        <f>'Operating expenses (detail)'!B23</f>
        <v/>
      </c>
      <c r="F200" s="9">
        <f>E200-D200</f>
        <v/>
      </c>
    </row>
    <row r="201">
      <c r="A201" s="28" t="inlineStr">
        <is>
          <t>Operating expenses (detail)</t>
        </is>
      </c>
      <c r="B201" s="28" t="inlineStr">
        <is>
          <t>25. Total functional expenses</t>
        </is>
      </c>
      <c r="C201" s="28" t="inlineStr">
        <is>
          <t>FY2021</t>
        </is>
      </c>
      <c r="D201" s="9" t="n">
        <v>1093149</v>
      </c>
      <c r="E201" s="9">
        <f>'Operating expenses (detail)'!C23</f>
        <v/>
      </c>
      <c r="F201" s="9">
        <f>E201-D201</f>
        <v/>
      </c>
    </row>
    <row r="202">
      <c r="A202" s="28" t="inlineStr">
        <is>
          <t>Operating expenses (detail)</t>
        </is>
      </c>
      <c r="B202" s="28" t="inlineStr">
        <is>
          <t>25. Total functional expenses</t>
        </is>
      </c>
      <c r="C202" s="28" t="inlineStr">
        <is>
          <t>FY2022</t>
        </is>
      </c>
      <c r="D202" s="9" t="n">
        <v>1136362</v>
      </c>
      <c r="E202" s="9">
        <f>'Operating expenses (detail)'!D23</f>
        <v/>
      </c>
      <c r="F202" s="9">
        <f>E202-D202</f>
        <v/>
      </c>
    </row>
    <row r="203">
      <c r="A203" s="28" t="inlineStr">
        <is>
          <t>Operating expenses (detail)</t>
        </is>
      </c>
      <c r="B203" s="28" t="inlineStr">
        <is>
          <t>25. Total functional expenses</t>
        </is>
      </c>
      <c r="C203" s="28" t="inlineStr">
        <is>
          <t>FY2023</t>
        </is>
      </c>
      <c r="D203" s="9" t="n">
        <v>1265774</v>
      </c>
      <c r="E203" s="9">
        <f>'Operating expenses (detail)'!E23</f>
        <v/>
      </c>
      <c r="F203" s="9">
        <f>E203-D203</f>
        <v/>
      </c>
    </row>
    <row r="204">
      <c r="A204" s="28" t="inlineStr">
        <is>
          <t>Operating expenses (detail)</t>
        </is>
      </c>
      <c r="B204" s="28" t="inlineStr">
        <is>
          <t>25. Total functional expenses</t>
        </is>
      </c>
      <c r="C204" s="28" t="inlineStr">
        <is>
          <t>FY2024</t>
        </is>
      </c>
      <c r="D204" s="9" t="n">
        <v>1413193</v>
      </c>
      <c r="E204" s="9">
        <f>'Operating expenses (detail)'!F23</f>
        <v/>
      </c>
      <c r="F204" s="9">
        <f>E204-D204</f>
        <v/>
      </c>
    </row>
    <row r="205">
      <c r="A205" s="28" t="inlineStr">
        <is>
          <t>Operating expenses (detail)</t>
        </is>
      </c>
      <c r="B205" s="28" t="inlineStr">
        <is>
          <t>25. Total functional expenses</t>
        </is>
      </c>
      <c r="C205" s="28" t="inlineStr">
        <is>
          <t>FY2025</t>
        </is>
      </c>
      <c r="D205" s="9" t="n">
        <v>1561502</v>
      </c>
      <c r="E205" s="9">
        <f>'Operating expenses (detail)'!G23</f>
        <v/>
      </c>
      <c r="F205" s="9">
        <f>E205-D205</f>
        <v/>
      </c>
    </row>
    <row r="206">
      <c r="A206" s="28" t="inlineStr">
        <is>
          <t>Balance sheet (detail)</t>
        </is>
      </c>
      <c r="B206" s="28" t="inlineStr">
        <is>
          <t>16. Total assets</t>
        </is>
      </c>
      <c r="C206" s="28" t="inlineStr">
        <is>
          <t>FY2020</t>
        </is>
      </c>
      <c r="D206" s="9" t="n">
        <v>15566928</v>
      </c>
      <c r="E206" s="9">
        <f>'Balance sheet (detail)'!B14</f>
        <v/>
      </c>
      <c r="F206" s="9">
        <f>E206-D206</f>
        <v/>
      </c>
    </row>
    <row r="207">
      <c r="A207" s="28" t="inlineStr">
        <is>
          <t>Balance sheet (detail)</t>
        </is>
      </c>
      <c r="B207" s="28" t="inlineStr">
        <is>
          <t>16. Total assets</t>
        </is>
      </c>
      <c r="C207" s="28" t="inlineStr">
        <is>
          <t>FY2021</t>
        </is>
      </c>
      <c r="D207" s="9" t="n">
        <v>15764211</v>
      </c>
      <c r="E207" s="9">
        <f>'Balance sheet (detail)'!C14</f>
        <v/>
      </c>
      <c r="F207" s="9">
        <f>E207-D207</f>
        <v/>
      </c>
    </row>
    <row r="208">
      <c r="A208" s="28" t="inlineStr">
        <is>
          <t>Balance sheet (detail)</t>
        </is>
      </c>
      <c r="B208" s="28" t="inlineStr">
        <is>
          <t>16. Total assets</t>
        </is>
      </c>
      <c r="C208" s="28" t="inlineStr">
        <is>
          <t>FY2022</t>
        </is>
      </c>
      <c r="D208" s="9" t="n">
        <v>16183361</v>
      </c>
      <c r="E208" s="9">
        <f>'Balance sheet (detail)'!D14</f>
        <v/>
      </c>
      <c r="F208" s="9">
        <f>E208-D208</f>
        <v/>
      </c>
    </row>
    <row r="209">
      <c r="A209" s="28" t="inlineStr">
        <is>
          <t>Balance sheet (detail)</t>
        </is>
      </c>
      <c r="B209" s="28" t="inlineStr">
        <is>
          <t>16. Total assets</t>
        </is>
      </c>
      <c r="C209" s="28" t="inlineStr">
        <is>
          <t>FY2023</t>
        </is>
      </c>
      <c r="D209" s="9" t="n">
        <v>16131332</v>
      </c>
      <c r="E209" s="9">
        <f>'Balance sheet (detail)'!E14</f>
        <v/>
      </c>
      <c r="F209" s="9">
        <f>E209-D209</f>
        <v/>
      </c>
    </row>
    <row r="210">
      <c r="A210" s="28" t="inlineStr">
        <is>
          <t>Balance sheet (detail)</t>
        </is>
      </c>
      <c r="B210" s="28" t="inlineStr">
        <is>
          <t>16. Total assets</t>
        </is>
      </c>
      <c r="C210" s="28" t="inlineStr">
        <is>
          <t>FY2024</t>
        </is>
      </c>
      <c r="D210" s="9" t="n">
        <v>16579340</v>
      </c>
      <c r="E210" s="9">
        <f>'Balance sheet (detail)'!F14</f>
        <v/>
      </c>
      <c r="F210" s="9">
        <f>E210-D210</f>
        <v/>
      </c>
    </row>
    <row r="211">
      <c r="A211" s="28" t="inlineStr">
        <is>
          <t>Balance sheet (detail)</t>
        </is>
      </c>
      <c r="B211" s="28" t="inlineStr">
        <is>
          <t>16. Total assets</t>
        </is>
      </c>
      <c r="C211" s="28" t="inlineStr">
        <is>
          <t>FY2025</t>
        </is>
      </c>
      <c r="D211" s="9" t="n">
        <v>16835361</v>
      </c>
      <c r="E211" s="9">
        <f>'Balance sheet (detail)'!G14</f>
        <v/>
      </c>
      <c r="F211" s="9">
        <f>E211-D211</f>
        <v/>
      </c>
    </row>
    <row r="212">
      <c r="A212" s="28" t="inlineStr">
        <is>
          <t>Balance sheet (detail)</t>
        </is>
      </c>
      <c r="B212" s="28" t="inlineStr">
        <is>
          <t>26. Total liabilities</t>
        </is>
      </c>
      <c r="C212" s="28" t="inlineStr">
        <is>
          <t>FY2020</t>
        </is>
      </c>
      <c r="D212" s="9" t="n">
        <v>971714</v>
      </c>
      <c r="E212" s="9">
        <f>'Balance sheet (detail)'!B19</f>
        <v/>
      </c>
      <c r="F212" s="9">
        <f>E212-D212</f>
        <v/>
      </c>
    </row>
    <row r="213">
      <c r="A213" s="28" t="inlineStr">
        <is>
          <t>Balance sheet (detail)</t>
        </is>
      </c>
      <c r="B213" s="28" t="inlineStr">
        <is>
          <t>26. Total liabilities</t>
        </is>
      </c>
      <c r="C213" s="28" t="inlineStr">
        <is>
          <t>FY2021</t>
        </is>
      </c>
      <c r="D213" s="9" t="n">
        <v>753721</v>
      </c>
      <c r="E213" s="9">
        <f>'Balance sheet (detail)'!C19</f>
        <v/>
      </c>
      <c r="F213" s="9">
        <f>E213-D213</f>
        <v/>
      </c>
    </row>
    <row r="214">
      <c r="A214" s="28" t="inlineStr">
        <is>
          <t>Balance sheet (detail)</t>
        </is>
      </c>
      <c r="B214" s="28" t="inlineStr">
        <is>
          <t>26. Total liabilities</t>
        </is>
      </c>
      <c r="C214" s="28" t="inlineStr">
        <is>
          <t>FY2022</t>
        </is>
      </c>
      <c r="D214" s="9" t="n">
        <v>670293</v>
      </c>
      <c r="E214" s="9">
        <f>'Balance sheet (detail)'!D19</f>
        <v/>
      </c>
      <c r="F214" s="9">
        <f>E214-D214</f>
        <v/>
      </c>
    </row>
    <row r="215">
      <c r="A215" s="28" t="inlineStr">
        <is>
          <t>Balance sheet (detail)</t>
        </is>
      </c>
      <c r="B215" s="28" t="inlineStr">
        <is>
          <t>26. Total liabilities</t>
        </is>
      </c>
      <c r="C215" s="28" t="inlineStr">
        <is>
          <t>FY2023</t>
        </is>
      </c>
      <c r="D215" s="9" t="n">
        <v>717022</v>
      </c>
      <c r="E215" s="9">
        <f>'Balance sheet (detail)'!E19</f>
        <v/>
      </c>
      <c r="F215" s="9">
        <f>E215-D215</f>
        <v/>
      </c>
    </row>
    <row r="216">
      <c r="A216" s="28" t="inlineStr">
        <is>
          <t>Balance sheet (detail)</t>
        </is>
      </c>
      <c r="B216" s="28" t="inlineStr">
        <is>
          <t>26. Total liabilities</t>
        </is>
      </c>
      <c r="C216" s="28" t="inlineStr">
        <is>
          <t>FY2024</t>
        </is>
      </c>
      <c r="D216" s="9" t="n">
        <v>864413</v>
      </c>
      <c r="E216" s="9">
        <f>'Balance sheet (detail)'!F19</f>
        <v/>
      </c>
      <c r="F216" s="9">
        <f>E216-D216</f>
        <v/>
      </c>
    </row>
    <row r="217">
      <c r="A217" s="28" t="inlineStr">
        <is>
          <t>Balance sheet (detail)</t>
        </is>
      </c>
      <c r="B217" s="28" t="inlineStr">
        <is>
          <t>26. Total liabilities</t>
        </is>
      </c>
      <c r="C217" s="28" t="inlineStr">
        <is>
          <t>FY2025</t>
        </is>
      </c>
      <c r="D217" s="9" t="n">
        <v>1036553</v>
      </c>
      <c r="E217" s="9">
        <f>'Balance sheet (detail)'!G19</f>
        <v/>
      </c>
      <c r="F217" s="9">
        <f>E217-D217</f>
        <v/>
      </c>
    </row>
    <row r="218">
      <c r="A218" s="28" t="inlineStr">
        <is>
          <t>Balance sheet (detail)</t>
        </is>
      </c>
      <c r="B218" s="28" t="inlineStr">
        <is>
          <t>32. Total net assets / fund balances</t>
        </is>
      </c>
      <c r="C218" s="28" t="inlineStr">
        <is>
          <t>FY2020</t>
        </is>
      </c>
      <c r="D218" s="9" t="n">
        <v>14595214</v>
      </c>
      <c r="E218" s="9">
        <f>'Balance sheet (detail)'!B23</f>
        <v/>
      </c>
      <c r="F218" s="9">
        <f>E218-D218</f>
        <v/>
      </c>
    </row>
    <row r="219">
      <c r="A219" s="28" t="inlineStr">
        <is>
          <t>Balance sheet (detail)</t>
        </is>
      </c>
      <c r="B219" s="28" t="inlineStr">
        <is>
          <t>32. Total net assets / fund balances</t>
        </is>
      </c>
      <c r="C219" s="28" t="inlineStr">
        <is>
          <t>FY2021</t>
        </is>
      </c>
      <c r="D219" s="9" t="n">
        <v>15010490</v>
      </c>
      <c r="E219" s="9">
        <f>'Balance sheet (detail)'!C23</f>
        <v/>
      </c>
      <c r="F219" s="9">
        <f>E219-D219</f>
        <v/>
      </c>
    </row>
    <row r="220">
      <c r="A220" s="28" t="inlineStr">
        <is>
          <t>Balance sheet (detail)</t>
        </is>
      </c>
      <c r="B220" s="28" t="inlineStr">
        <is>
          <t>32. Total net assets / fund balances</t>
        </is>
      </c>
      <c r="C220" s="28" t="inlineStr">
        <is>
          <t>FY2022</t>
        </is>
      </c>
      <c r="D220" s="9" t="n">
        <v>15513068</v>
      </c>
      <c r="E220" s="9">
        <f>'Balance sheet (detail)'!D23</f>
        <v/>
      </c>
      <c r="F220" s="9">
        <f>E220-D220</f>
        <v/>
      </c>
    </row>
    <row r="221">
      <c r="A221" s="28" t="inlineStr">
        <is>
          <t>Balance sheet (detail)</t>
        </is>
      </c>
      <c r="B221" s="28" t="inlineStr">
        <is>
          <t>32. Total net assets / fund balances</t>
        </is>
      </c>
      <c r="C221" s="28" t="inlineStr">
        <is>
          <t>FY2023</t>
        </is>
      </c>
      <c r="D221" s="9" t="n">
        <v>15414310</v>
      </c>
      <c r="E221" s="9">
        <f>'Balance sheet (detail)'!E23</f>
        <v/>
      </c>
      <c r="F221" s="9">
        <f>E221-D221</f>
        <v/>
      </c>
    </row>
    <row r="222">
      <c r="A222" s="28" t="inlineStr">
        <is>
          <t>Balance sheet (detail)</t>
        </is>
      </c>
      <c r="B222" s="28" t="inlineStr">
        <is>
          <t>32. Total net assets / fund balances</t>
        </is>
      </c>
      <c r="C222" s="28" t="inlineStr">
        <is>
          <t>FY2024</t>
        </is>
      </c>
      <c r="D222" s="9" t="n">
        <v>15714927</v>
      </c>
      <c r="E222" s="9">
        <f>'Balance sheet (detail)'!F23</f>
        <v/>
      </c>
      <c r="F222" s="9">
        <f>E222-D222</f>
        <v/>
      </c>
    </row>
    <row r="223">
      <c r="A223" s="28" t="inlineStr">
        <is>
          <t>Balance sheet (detail)</t>
        </is>
      </c>
      <c r="B223" s="28" t="inlineStr">
        <is>
          <t>32. Total net assets / fund balances</t>
        </is>
      </c>
      <c r="C223" s="28" t="inlineStr">
        <is>
          <t>FY2025</t>
        </is>
      </c>
      <c r="D223" s="9" t="n">
        <v>15798808</v>
      </c>
      <c r="E223" s="9">
        <f>'Balance sheet (detail)'!G23</f>
        <v/>
      </c>
      <c r="F223" s="9">
        <f>E223-D223</f>
        <v/>
      </c>
    </row>
    <row r="224">
      <c r="A224" s="28" t="inlineStr">
        <is>
          <t>Balance sheet (detail)</t>
        </is>
      </c>
      <c r="B224" s="28" t="inlineStr">
        <is>
          <t>Balance sheet identity: line 16 = line 26 + line 32 (EOY)</t>
        </is>
      </c>
      <c r="C224" s="28" t="inlineStr">
        <is>
          <t>FY2020</t>
        </is>
      </c>
      <c r="D224" s="9">
        <f>'Balance sheet (detail)'!B14</f>
        <v/>
      </c>
      <c r="E224" s="9">
        <f>SUM('Balance sheet (detail)'!B19,'Balance sheet (detail)'!B23)</f>
        <v/>
      </c>
      <c r="F224" s="9">
        <f>E224-D224</f>
        <v/>
      </c>
    </row>
    <row r="225">
      <c r="A225" s="28" t="inlineStr">
        <is>
          <t>Balance sheet (detail)</t>
        </is>
      </c>
      <c r="B225" s="28" t="inlineStr">
        <is>
          <t>Balance sheet identity: line 16 = line 26 + line 32 (EOY)</t>
        </is>
      </c>
      <c r="C225" s="28" t="inlineStr">
        <is>
          <t>FY2021</t>
        </is>
      </c>
      <c r="D225" s="9">
        <f>'Balance sheet (detail)'!C14</f>
        <v/>
      </c>
      <c r="E225" s="9">
        <f>SUM('Balance sheet (detail)'!C19,'Balance sheet (detail)'!C23)</f>
        <v/>
      </c>
      <c r="F225" s="9">
        <f>E225-D225</f>
        <v/>
      </c>
    </row>
    <row r="226">
      <c r="A226" s="28" t="inlineStr">
        <is>
          <t>Balance sheet (detail)</t>
        </is>
      </c>
      <c r="B226" s="28" t="inlineStr">
        <is>
          <t>Balance sheet identity: line 16 = line 26 + line 32 (EOY)</t>
        </is>
      </c>
      <c r="C226" s="28" t="inlineStr">
        <is>
          <t>FY2022</t>
        </is>
      </c>
      <c r="D226" s="9">
        <f>'Balance sheet (detail)'!D14</f>
        <v/>
      </c>
      <c r="E226" s="9">
        <f>SUM('Balance sheet (detail)'!D19,'Balance sheet (detail)'!D23)</f>
        <v/>
      </c>
      <c r="F226" s="9">
        <f>E226-D226</f>
        <v/>
      </c>
    </row>
    <row r="227">
      <c r="A227" s="28" t="inlineStr">
        <is>
          <t>Balance sheet (detail)</t>
        </is>
      </c>
      <c r="B227" s="28" t="inlineStr">
        <is>
          <t>Balance sheet identity: line 16 = line 26 + line 32 (EOY)</t>
        </is>
      </c>
      <c r="C227" s="28" t="inlineStr">
        <is>
          <t>FY2023</t>
        </is>
      </c>
      <c r="D227" s="9">
        <f>'Balance sheet (detail)'!E14</f>
        <v/>
      </c>
      <c r="E227" s="9">
        <f>SUM('Balance sheet (detail)'!E19,'Balance sheet (detail)'!E23)</f>
        <v/>
      </c>
      <c r="F227" s="9">
        <f>E227-D227</f>
        <v/>
      </c>
    </row>
    <row r="228">
      <c r="A228" s="28" t="inlineStr">
        <is>
          <t>Balance sheet (detail)</t>
        </is>
      </c>
      <c r="B228" s="28" t="inlineStr">
        <is>
          <t>Balance sheet identity: line 16 = line 26 + line 32 (EOY)</t>
        </is>
      </c>
      <c r="C228" s="28" t="inlineStr">
        <is>
          <t>FY2024</t>
        </is>
      </c>
      <c r="D228" s="9">
        <f>'Balance sheet (detail)'!F14</f>
        <v/>
      </c>
      <c r="E228" s="9">
        <f>SUM('Balance sheet (detail)'!F19,'Balance sheet (detail)'!F23)</f>
        <v/>
      </c>
      <c r="F228" s="9">
        <f>E228-D228</f>
        <v/>
      </c>
    </row>
    <row r="229">
      <c r="A229" s="28" t="inlineStr">
        <is>
          <t>Balance sheet (detail)</t>
        </is>
      </c>
      <c r="B229" s="28" t="inlineStr">
        <is>
          <t>Balance sheet identity: line 16 = line 26 + line 32 (EOY)</t>
        </is>
      </c>
      <c r="C229" s="28" t="inlineStr">
        <is>
          <t>FY2025</t>
        </is>
      </c>
      <c r="D229" s="9">
        <f>'Balance sheet (detail)'!G14</f>
        <v/>
      </c>
      <c r="E229" s="9">
        <f>SUM('Balance sheet (detail)'!G19,'Balance sheet (detail)'!G23)</f>
        <v/>
      </c>
      <c r="F229" s="9">
        <f>E229-D229</f>
        <v/>
      </c>
    </row>
    <row r="230">
      <c r="A230" s="28" t="inlineStr">
        <is>
          <t>Net-assets reconciliation</t>
        </is>
      </c>
      <c r="B230" s="28" t="inlineStr">
        <is>
          <t>10. Net assets, end of year</t>
        </is>
      </c>
      <c r="C230" s="28" t="inlineStr">
        <is>
          <t>FY2020</t>
        </is>
      </c>
      <c r="D230" s="9" t="n">
        <v>14595214</v>
      </c>
      <c r="E230" s="9">
        <f>'Net-assets reconciliation'!B11</f>
        <v/>
      </c>
      <c r="F230" s="9">
        <f>E230-D230</f>
        <v/>
      </c>
    </row>
    <row r="231">
      <c r="A231" s="28" t="inlineStr">
        <is>
          <t>Net-assets reconciliation</t>
        </is>
      </c>
      <c r="B231" s="28" t="inlineStr">
        <is>
          <t>10. Net assets, end of year</t>
        </is>
      </c>
      <c r="C231" s="28" t="inlineStr">
        <is>
          <t>FY2021</t>
        </is>
      </c>
      <c r="D231" s="9" t="n">
        <v>15010490</v>
      </c>
      <c r="E231" s="9">
        <f>'Net-assets reconciliation'!C11</f>
        <v/>
      </c>
      <c r="F231" s="9">
        <f>E231-D231</f>
        <v/>
      </c>
    </row>
    <row r="232">
      <c r="A232" s="28" t="inlineStr">
        <is>
          <t>Net-assets reconciliation</t>
        </is>
      </c>
      <c r="B232" s="28" t="inlineStr">
        <is>
          <t>10. Net assets, end of year</t>
        </is>
      </c>
      <c r="C232" s="28" t="inlineStr">
        <is>
          <t>FY2022</t>
        </is>
      </c>
      <c r="D232" s="9" t="n">
        <v>15513068</v>
      </c>
      <c r="E232" s="9">
        <f>'Net-assets reconciliation'!D11</f>
        <v/>
      </c>
      <c r="F232" s="9">
        <f>E232-D232</f>
        <v/>
      </c>
    </row>
    <row r="233">
      <c r="A233" s="28" t="inlineStr">
        <is>
          <t>Net-assets reconciliation</t>
        </is>
      </c>
      <c r="B233" s="28" t="inlineStr">
        <is>
          <t>10. Net assets, end of year</t>
        </is>
      </c>
      <c r="C233" s="28" t="inlineStr">
        <is>
          <t>FY2023</t>
        </is>
      </c>
      <c r="D233" s="9" t="n">
        <v>15414310</v>
      </c>
      <c r="E233" s="9">
        <f>'Net-assets reconciliation'!E11</f>
        <v/>
      </c>
      <c r="F233" s="9">
        <f>E233-D233</f>
        <v/>
      </c>
    </row>
    <row r="234">
      <c r="A234" s="28" t="inlineStr">
        <is>
          <t>Net-assets reconciliation</t>
        </is>
      </c>
      <c r="B234" s="28" t="inlineStr">
        <is>
          <t>10. Net assets, end of year</t>
        </is>
      </c>
      <c r="C234" s="28" t="inlineStr">
        <is>
          <t>FY2024</t>
        </is>
      </c>
      <c r="D234" s="9" t="n">
        <v>15714927</v>
      </c>
      <c r="E234" s="9">
        <f>'Net-assets reconciliation'!F11</f>
        <v/>
      </c>
      <c r="F234" s="9">
        <f>E234-D234</f>
        <v/>
      </c>
    </row>
    <row r="235">
      <c r="A235" s="28" t="inlineStr">
        <is>
          <t>Net-assets reconciliation</t>
        </is>
      </c>
      <c r="B235" s="28" t="inlineStr">
        <is>
          <t>10. Net assets, end of year</t>
        </is>
      </c>
      <c r="C235" s="28" t="inlineStr">
        <is>
          <t>FY2025</t>
        </is>
      </c>
      <c r="D235" s="9" t="n">
        <v>15798808</v>
      </c>
      <c r="E235" s="9">
        <f>'Net-assets reconciliation'!G11</f>
        <v/>
      </c>
      <c r="F235" s="9">
        <f>E235-D235</f>
        <v/>
      </c>
    </row>
    <row r="237">
      <c r="A237" s="31" t="inlineStr">
        <is>
          <t>D. Preparer / auditor trail (one row per fiscal year, as filed)</t>
        </is>
      </c>
      <c r="B237" s="7" t="n"/>
      <c r="C237" s="7" t="n"/>
      <c r="D237" s="7" t="n"/>
      <c r="E237" s="7" t="n"/>
      <c r="F237" s="7" t="n"/>
      <c r="G237" s="7" t="n"/>
      <c r="H237" s="7" t="n"/>
      <c r="I237" s="7" t="n"/>
      <c r="J237" s="7" t="n"/>
      <c r="K237" s="7" t="n"/>
    </row>
    <row r="238">
      <c r="A238" s="5" t="inlineStr">
        <is>
          <t>Fiscal year</t>
        </is>
      </c>
      <c r="B238" s="5" t="inlineStr">
        <is>
          <t>Paid preparer</t>
        </is>
      </c>
      <c r="C238" s="5" t="inlineStr">
        <is>
          <t>Preparer firm</t>
        </is>
      </c>
      <c r="D238" s="5" t="inlineStr">
        <is>
          <t>Independent auditor</t>
        </is>
      </c>
      <c r="E238" s="5" t="inlineStr">
        <is>
          <t>Citation</t>
        </is>
      </c>
    </row>
    <row r="239" ht="42" customHeight="1">
      <c r="A239" s="29" t="inlineStr">
        <is>
          <t>FY2020</t>
        </is>
      </c>
      <c r="B239" s="8" t="inlineStr">
        <is>
          <t>BRADFERD A WELEBIR CPA</t>
        </is>
      </c>
      <c r="C239" s="8" t="inlineStr">
        <is>
          <t>ROGERS ANDERSON MALODY &amp; SCOTT LLP</t>
        </is>
      </c>
      <c r="D239" s="32" t="inlineStr">
        <is>
          <t>not reported</t>
        </is>
      </c>
      <c r="E239" s="22" t="inlineStr">
        <is>
          <t>Form 990 Return Header, Paid Preparer block (return_header.preparer_person_name / preparer_firm_name); auditor: Part XII line 2 reports audited financial statements but does not name the firm.</t>
        </is>
      </c>
    </row>
    <row r="240" ht="42" customHeight="1">
      <c r="A240" s="29" t="inlineStr">
        <is>
          <t>FY2021</t>
        </is>
      </c>
      <c r="B240" s="8" t="inlineStr">
        <is>
          <t>BRADFERD A WELEBIR CPA</t>
        </is>
      </c>
      <c r="C240" s="8" t="inlineStr">
        <is>
          <t>ROGERS ANDERSON MALODY &amp; SCOTT LLP</t>
        </is>
      </c>
      <c r="D240" s="32" t="inlineStr">
        <is>
          <t>not reported</t>
        </is>
      </c>
      <c r="E240" s="22" t="inlineStr">
        <is>
          <t>Form 990 Return Header, Paid Preparer block (return_header.preparer_person_name / preparer_firm_name); auditor: Part XII line 2 reports audited financial statements but does not name the firm.</t>
        </is>
      </c>
    </row>
    <row r="241" ht="42" customHeight="1">
      <c r="A241" s="29" t="inlineStr">
        <is>
          <t>FY2022</t>
        </is>
      </c>
      <c r="B241" s="8" t="inlineStr">
        <is>
          <t>BRADFERD A WELEBIR CPA</t>
        </is>
      </c>
      <c r="C241" s="8" t="inlineStr">
        <is>
          <t>ROGERS ANDERSON MALODY &amp; SCOTT LLP</t>
        </is>
      </c>
      <c r="D241" s="32" t="inlineStr">
        <is>
          <t>not reported</t>
        </is>
      </c>
      <c r="E241" s="22" t="inlineStr">
        <is>
          <t>Form 990 Return Header, Paid Preparer block (return_header.preparer_person_name / preparer_firm_name); auditor: Part XII line 2 reports audited financial statements but does not name the firm.</t>
        </is>
      </c>
    </row>
    <row r="242" ht="42" customHeight="1">
      <c r="A242" s="29" t="inlineStr">
        <is>
          <t>FY2023</t>
        </is>
      </c>
      <c r="B242" s="8" t="inlineStr">
        <is>
          <t>BRADFERD A WELEBIR CPA</t>
        </is>
      </c>
      <c r="C242" s="8" t="inlineStr">
        <is>
          <t>ROGERS ANDERSON MALODY &amp; SCOTT LLP</t>
        </is>
      </c>
      <c r="D242" s="32" t="inlineStr">
        <is>
          <t>not reported</t>
        </is>
      </c>
      <c r="E242" s="22" t="inlineStr">
        <is>
          <t>Form 990 Return Header, Paid Preparer block (return_header.preparer_person_name / preparer_firm_name); auditor: Part XII line 2 reports audited financial statements but does not name the firm.</t>
        </is>
      </c>
    </row>
    <row r="243" ht="42" customHeight="1">
      <c r="A243" s="29" t="inlineStr">
        <is>
          <t>FY2024</t>
        </is>
      </c>
      <c r="B243" s="8" t="inlineStr">
        <is>
          <t>BRADFERD A WELEBIR CPA</t>
        </is>
      </c>
      <c r="C243" s="8" t="inlineStr">
        <is>
          <t>ROGERS ANDERSON MALODY &amp; SCOTT LLP</t>
        </is>
      </c>
      <c r="D243" s="32" t="inlineStr">
        <is>
          <t>not reported</t>
        </is>
      </c>
      <c r="E243" s="22" t="inlineStr">
        <is>
          <t>Form 990 Return Header, Paid Preparer block (return_header.preparer_person_name / preparer_firm_name); auditor: Part XII line 2 reports audited financial statements but does not name the firm.</t>
        </is>
      </c>
    </row>
    <row r="244" ht="42" customHeight="1">
      <c r="A244" s="29" t="inlineStr">
        <is>
          <t>FY2025</t>
        </is>
      </c>
      <c r="B244" s="8" t="inlineStr">
        <is>
          <t>BRADFERD A WELEBIR CPA</t>
        </is>
      </c>
      <c r="C244" s="8" t="inlineStr">
        <is>
          <t>ROGERS ANDERSON MALODY &amp; SCOTT LLP</t>
        </is>
      </c>
      <c r="D244" s="32" t="inlineStr">
        <is>
          <t>not reported</t>
        </is>
      </c>
      <c r="E244" s="22" t="inlineStr">
        <is>
          <t>Form 990 Return Header, Paid Preparer block (return_header.preparer_person_name / preparer_firm_name); auditor: Part XII line 2 reports audited financial statements but does not name the firm.</t>
        </is>
      </c>
    </row>
    <row r="246" ht="42" customHeight="1">
      <c r="A24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46:K246"/>
    <mergeCell ref="A5:K5"/>
    <mergeCell ref="A1:K1"/>
  </mergeCells>
  <conditionalFormatting sqref="F193:F23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