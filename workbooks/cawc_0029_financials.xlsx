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omments/comment1.xml" ContentType="application/vnd.openxmlformats-officedocument.spreadsheetml.comments+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Notes" sheetId="2" state="visible" r:id="rId2"/>
    <sheet name="Financial Statements" sheetId="3" state="visible" r:id="rId3"/>
    <sheet name="Balance Sheet" sheetId="4" state="visible" r:id="rId4"/>
    <sheet name="Officers &amp; contractors" sheetId="5" state="visible" r:id="rId5"/>
    <sheet name="Revenue (detail)" sheetId="6" state="visible" r:id="rId6"/>
    <sheet name="Operating expenses (detail)" sheetId="7" state="visible" r:id="rId7"/>
    <sheet name="Balance sheet (detail)" sheetId="8" state="visible" r:id="rId8"/>
    <sheet name="Net-assets reconciliation" sheetId="9" state="visible" r:id="rId9"/>
    <sheet name="Cash flow proxies" sheetId="10" state="visible" r:id="rId10"/>
    <sheet name="Ratios" sheetId="11" state="visible" r:id="rId11"/>
    <sheet name="Unit economics" sheetId="12" state="visible" r:id="rId12"/>
    <sheet name="Rate structure" sheetId="13" state="visible" r:id="rId13"/>
    <sheet name="Denominators &amp; alignment" sheetId="14" state="visible" r:id="rId14"/>
    <sheet name="Governance evidence" sheetId="15" state="visible" r:id="rId15"/>
    <sheet name="Operational metrics" sheetId="16" state="visible" r:id="rId16"/>
    <sheet name="Supply &amp; weather" sheetId="17" state="visible" r:id="rId17"/>
    <sheet name="How this was built" sheetId="18" state="visible" r:id="rId18"/>
    <sheet name="Sources &amp; audit" sheetId="19" state="visible" r:id="rId19"/>
    <sheet name="Provenance" sheetId="20" state="visible" r:id="rId20"/>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11">
    <font>
      <name val="Calibri"/>
      <family val="2"/>
      <color theme="1"/>
      <sz val="11"/>
      <scheme val="minor"/>
    </font>
    <font>
      <name val="Calibri"/>
      <b val="1"/>
      <color rgb="001F3864"/>
      <sz val="16"/>
    </font>
    <font>
      <name val="Calibri"/>
      <i val="1"/>
      <color rgb="00595959"/>
      <sz val="10"/>
    </font>
    <font>
      <name val="Calibri"/>
      <i val="1"/>
      <color rgb="00808080"/>
      <sz val="9"/>
    </font>
    <font>
      <name val="Calibri"/>
      <b val="1"/>
      <color rgb="00FFFFFF"/>
      <sz val="10"/>
    </font>
    <font>
      <name val="Calibri"/>
      <b val="1"/>
      <color rgb="00FFFFFF"/>
      <sz val="11"/>
    </font>
    <font>
      <name val="Calibri"/>
      <sz val="10"/>
    </font>
    <font>
      <name val="Calibri"/>
      <b val="1"/>
      <sz val="10"/>
    </font>
    <font>
      <name val="Calibri"/>
      <b val="1"/>
      <color rgb="001F3864"/>
      <sz val="10"/>
    </font>
    <font>
      <name val="Calibri"/>
      <b val="1"/>
      <color rgb="00833C00"/>
      <sz val="10"/>
    </font>
    <font>
      <name val="Calibri"/>
      <i val="1"/>
      <color rgb="00A6A6A6"/>
      <sz val="10"/>
    </font>
  </fonts>
  <fills count="7">
    <fill>
      <patternFill/>
    </fill>
    <fill>
      <patternFill patternType="gray125"/>
    </fill>
    <fill>
      <patternFill patternType="solid">
        <fgColor rgb="002E5496"/>
      </patternFill>
    </fill>
    <fill>
      <patternFill patternType="solid">
        <fgColor rgb="001F3864"/>
      </patternFill>
    </fill>
    <fill>
      <patternFill patternType="solid">
        <fgColor rgb="00D9E1F2"/>
      </patternFill>
    </fill>
    <fill>
      <patternFill patternType="solid">
        <fgColor rgb="00E2EFDA"/>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5" fillId="3" borderId="0" pivotButton="0" quotePrefix="0" xfId="0"/>
    <xf numFmtId="0" fontId="0" fillId="3" borderId="0" pivotButton="0" quotePrefix="0" xfId="0"/>
    <xf numFmtId="0" fontId="6" fillId="0" borderId="1" applyAlignment="1" pivotButton="0" quotePrefix="0" xfId="0">
      <alignment horizontal="left" vertical="center"/>
    </xf>
    <xf numFmtId="164" fontId="6" fillId="0" borderId="1" applyAlignment="1" pivotButton="0" quotePrefix="0" xfId="0">
      <alignment horizontal="right"/>
    </xf>
    <xf numFmtId="0" fontId="7" fillId="4" borderId="1" applyAlignment="1" pivotButton="0" quotePrefix="0" xfId="0">
      <alignment horizontal="left" vertical="center"/>
    </xf>
    <xf numFmtId="164" fontId="7" fillId="4" borderId="1" applyAlignment="1" pivotButton="0" quotePrefix="0" xfId="0">
      <alignment horizontal="right"/>
    </xf>
    <xf numFmtId="165" fontId="6" fillId="0" borderId="1" applyAlignment="1" pivotButton="0" quotePrefix="0" xfId="0">
      <alignment horizontal="right"/>
    </xf>
    <xf numFmtId="0" fontId="3" fillId="0" borderId="0" pivotButton="0" quotePrefix="0" xfId="0"/>
    <xf numFmtId="0" fontId="8" fillId="5" borderId="1" applyAlignment="1" pivotButton="0" quotePrefix="0" xfId="0">
      <alignment horizontal="left" vertical="center"/>
    </xf>
    <xf numFmtId="164" fontId="8" fillId="5" borderId="1" applyAlignment="1" pivotButton="0" quotePrefix="0" xfId="0">
      <alignment horizontal="right"/>
    </xf>
    <xf numFmtId="165" fontId="8" fillId="5" borderId="1" applyAlignment="1" pivotButton="0" quotePrefix="0" xfId="0">
      <alignment horizontal="right"/>
    </xf>
    <xf numFmtId="0" fontId="9" fillId="6" borderId="1" applyAlignment="1" pivotButton="0" quotePrefix="0" xfId="0">
      <alignment horizontal="left" vertical="center"/>
    </xf>
    <xf numFmtId="164" fontId="9" fillId="6" borderId="1" applyAlignment="1" pivotButton="0" quotePrefix="0" xfId="0">
      <alignment horizontal="right"/>
    </xf>
    <xf numFmtId="0" fontId="10" fillId="0" borderId="1" applyAlignment="1" pivotButton="0" quotePrefix="0" xfId="0">
      <alignment horizontal="right"/>
    </xf>
    <xf numFmtId="2" fontId="6" fillId="0" borderId="1" applyAlignment="1" pivotButton="0" quotePrefix="0" xfId="0">
      <alignment horizontal="right"/>
    </xf>
    <xf numFmtId="0" fontId="6" fillId="0" borderId="1" applyAlignment="1" pivotButton="0" quotePrefix="0" xfId="0">
      <alignment horizontal="left" vertical="top"/>
    </xf>
    <xf numFmtId="0" fontId="6" fillId="0" borderId="1" applyAlignment="1" pivotButton="0" quotePrefix="0" xfId="0">
      <alignment horizontal="left" vertical="top" wrapText="1"/>
    </xf>
    <xf numFmtId="0" fontId="3" fillId="0" borderId="1" applyAlignment="1" pivotButton="0" quotePrefix="0" xfId="0">
      <alignment horizontal="left" vertical="top" wrapText="1"/>
    </xf>
    <xf numFmtId="0" fontId="8" fillId="0" borderId="1" applyAlignment="1" pivotButton="0" quotePrefix="0" xfId="0">
      <alignment horizontal="center" vertical="center"/>
    </xf>
    <xf numFmtId="0" fontId="6" fillId="0" borderId="1" applyAlignment="1" pivotButton="0" quotePrefix="0" xfId="0">
      <alignment horizontal="right"/>
    </xf>
    <xf numFmtId="0" fontId="2" fillId="0" borderId="0" applyAlignment="1" pivotButton="0" quotePrefix="0" xfId="0">
      <alignment horizontal="left" vertical="top" wrapText="1"/>
    </xf>
    <xf numFmtId="3" fontId="6" fillId="0" borderId="1" applyAlignment="1" pivotButton="0" quotePrefix="0" xfId="0">
      <alignment horizontal="right"/>
    </xf>
    <xf numFmtId="0" fontId="5" fillId="3" borderId="0" applyAlignment="1" pivotButton="0" quotePrefix="0" xfId="0">
      <alignment horizontal="left" vertical="center"/>
    </xf>
    <xf numFmtId="0" fontId="6" fillId="0" borderId="1" applyAlignment="1" pivotButton="0" quotePrefix="0" xfId="0">
      <alignment horizontal="center" vertical="center"/>
    </xf>
    <xf numFmtId="0" fontId="6" fillId="0" borderId="1" pivotButton="0" quotePrefix="0" xfId="0"/>
    <xf numFmtId="0" fontId="10" fillId="0" borderId="1" applyAlignment="1" pivotButton="0" quotePrefix="0" xfId="0">
      <alignment horizontal="left" vertical="center"/>
    </xf>
  </cellXfs>
  <cellStyles count="1">
    <cellStyle name="Normal" xfId="0" builtinId="0" hidden="0"/>
  </cellStyles>
  <dxfs count="1">
    <dxf>
      <font>
        <name val="Calibri"/>
        <b val="1"/>
        <color rgb="009C0006"/>
        <sz val="1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comments/comment1.xml><?xml version="1.0" encoding="utf-8"?>
<comments xmlns="http://schemas.openxmlformats.org/spreadsheetml/2006/main">
  <authors>
    <author>hydronomics</author>
  </authors>
  <commentList>
    <comment ref="B8" authorId="0" shapeId="0">
      <text>
        <t>Sacramento and San Joaquin Valley index classification</t>
      </text>
    </comment>
    <comment ref="C8" authorId="0" shapeId="0">
      <text>
        <t>Sacramento and San Joaquin Valley index classification</t>
      </text>
    </comment>
    <comment ref="D8" authorId="0" shapeId="0">
      <text>
        <t>Sacramento and San Joaquin Valley index classification</t>
      </text>
    </comment>
    <comment ref="E8" authorId="0" shapeId="0">
      <text>
        <t>Sacramento and San Joaquin Valley index classification</t>
      </text>
    </comment>
    <comment ref="F8" authorId="0" shapeId="0">
      <text>
        <t>Sacramento and San Joaquin Valley index classification</t>
      </text>
    </comment>
    <comment ref="B9" authorId="0" shapeId="0">
      <text>
        <t>peak weekly category over Jul 2019-Jun 2020 (moderate)</t>
      </text>
    </comment>
    <comment ref="C9" authorId="0" shapeId="0">
      <text>
        <t>peak weekly category over Jul 2020-Jun 2021 (exceptional)</t>
      </text>
    </comment>
    <comment ref="D9" authorId="0" shapeId="0">
      <text>
        <t>peak weekly category over Jul 2021-Jun 2022 (exceptional)</t>
      </text>
    </comment>
    <comment ref="E9" authorId="0" shapeId="0">
      <text>
        <t>peak weekly category over Jul 2022-Jun 2023 (exceptional)</t>
      </text>
    </comment>
    <comment ref="F9" authorId="0" shapeId="0">
      <text>
        <t>peak weekly category over Jul 2023-Jun 2024 (none)</t>
      </text>
    </comment>
    <comment ref="B10" authorId="0" shapeId="0">
      <text>
        <t>water-year cumulative 31.7 in / 50 in seasonal normal; statewide SWP-supply index, not local precipitation</t>
      </text>
    </comment>
    <comment ref="C10" authorId="0" shapeId="0">
      <text>
        <t>water-year cumulative 24.0 in / 50 in seasonal normal; statewide SWP-supply index, not local precipitation</t>
      </text>
    </comment>
    <comment ref="D10" authorId="0" shapeId="0">
      <text>
        <t>water-year cumulative 43.0 in / 50 in seasonal normal; statewide SWP-supply index, not local precipitation</t>
      </text>
    </comment>
    <comment ref="E10" authorId="0" shapeId="0">
      <text>
        <t>water-year cumulative 66.6 in / 50 in seasonal normal; statewide SWP-supply index, not local precipitation</t>
      </text>
    </comment>
    <comment ref="F10" authorId="0" shapeId="0">
      <text>
        <t>water-year cumulative 48.2 in / 50 in seasonal normal; statewide SWP-supply index, not local precipitation</t>
      </text>
    </comment>
    <comment ref="B11" authorId="0" shapeId="0">
      <text>
        <t>April 1 statewide Sierra snowpack, percent of average; SWP-import indicator (no per-year API)</t>
      </text>
    </comment>
    <comment ref="C11" authorId="0" shapeId="0">
      <text>
        <t>April 1 statewide Sierra snowpack, percent of average; SWP-import indicator (no per-year API)</t>
      </text>
    </comment>
    <comment ref="D11" authorId="0" shapeId="0">
      <text>
        <t>April 1 statewide Sierra snowpack, percent of average; SWP-import indicator (no per-year API)</t>
      </text>
    </comment>
    <comment ref="E11" authorId="0" shapeId="0">
      <text>
        <t>April 1 statewide Sierra snowpack, percent of average; SWP-import indicator (no per-year API)</t>
      </text>
    </comment>
    <comment ref="F11" authorId="0" shapeId="0">
      <text>
        <t>April 1 statewide Sierra snowpack, percent of average; SWP-import indicator (no per-year API)</t>
      </text>
    </comment>
    <comment ref="B12" authorId="0" shapeId="0">
      <text>
        <t>final State Water Project Table A allocation; published DWR notice (no structured API)</t>
      </text>
    </comment>
    <comment ref="C12" authorId="0" shapeId="0">
      <text>
        <t>final State Water Project Table A allocation; published DWR notice (no structured API)</t>
      </text>
    </comment>
    <comment ref="D12" authorId="0" shapeId="0">
      <text>
        <t>final State Water Project Table A allocation; published DWR notice (no structured API)</t>
      </text>
    </comment>
    <comment ref="E12" authorId="0" shapeId="0">
      <text>
        <t>final State Water Project Table A allocation; published DWR notice (no structured API)</t>
      </text>
    </comment>
    <comment ref="F12" authorId="0" shapeId="0">
      <text>
        <t>final State Water Project Table A allocation; published DWR notice (no structured API)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7.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E24"/>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32" customWidth="1" min="1" max="1"/>
    <col width="15" customWidth="1" min="2" max="2"/>
    <col width="15" customWidth="1" min="3" max="3"/>
    <col width="15" customWidth="1" min="4" max="4"/>
    <col width="15" customWidth="1" min="5" max="5"/>
  </cols>
  <sheetData>
    <row r="1">
      <c r="A1" s="1" t="inlineStr">
        <is>
          <t>California Domestic Water Company</t>
        </is>
      </c>
    </row>
    <row r="2">
      <c r="A2" s="2" t="inlineStr">
        <is>
          <t>Financial Summary - multi-year overview (USD)</t>
        </is>
      </c>
    </row>
    <row r="3">
      <c r="A3" s="2" t="inlineStr">
        <is>
          <t>Entity ID: cawc_0029   |   Fiscal year ends June 30.</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 t="inlineStr">
        <is>
          <t>Metric</t>
        </is>
      </c>
      <c r="B8" s="5" t="inlineStr">
        <is>
          <t>FY2021</t>
        </is>
      </c>
      <c r="C8" s="5" t="inlineStr">
        <is>
          <t>FY2022</t>
        </is>
      </c>
      <c r="D8" s="5" t="inlineStr">
        <is>
          <t>FY2023</t>
        </is>
      </c>
      <c r="E8" s="5" t="inlineStr">
        <is>
          <t>FY2024</t>
        </is>
      </c>
    </row>
    <row r="9">
      <c r="A9" s="6" t="inlineStr">
        <is>
          <t>Operating results (USD)</t>
        </is>
      </c>
      <c r="B9" s="7" t="n"/>
      <c r="C9" s="7" t="n"/>
      <c r="D9" s="7" t="n"/>
      <c r="E9" s="7" t="n"/>
    </row>
    <row r="10">
      <c r="A10" s="8" t="inlineStr">
        <is>
          <t xml:space="preserve">    Total revenue</t>
        </is>
      </c>
      <c r="B10" s="9" t="n">
        <v>19972014</v>
      </c>
      <c r="C10" s="9" t="n">
        <v>19759648</v>
      </c>
      <c r="D10" s="9" t="n">
        <v>15879268</v>
      </c>
      <c r="E10" s="9" t="n">
        <v>15414997</v>
      </c>
    </row>
    <row r="11">
      <c r="A11" s="8" t="inlineStr">
        <is>
          <t xml:space="preserve">    Total expenses</t>
        </is>
      </c>
      <c r="B11" s="9" t="n">
        <v>19735500</v>
      </c>
      <c r="C11" s="9" t="n">
        <v>18945794</v>
      </c>
      <c r="D11" s="9" t="n">
        <v>16001663</v>
      </c>
      <c r="E11" s="9" t="n">
        <v>15937555</v>
      </c>
    </row>
    <row r="12">
      <c r="A12" s="10" t="inlineStr">
        <is>
          <t xml:space="preserve">    Net income</t>
        </is>
      </c>
      <c r="B12" s="11" t="n">
        <v>236514</v>
      </c>
      <c r="C12" s="11" t="n">
        <v>813854</v>
      </c>
      <c r="D12" s="11" t="n">
        <v>-122395</v>
      </c>
      <c r="E12" s="11" t="n">
        <v>-522558</v>
      </c>
    </row>
    <row r="14">
      <c r="A14" s="6" t="inlineStr">
        <is>
          <t>Financial position (USD, end of year)</t>
        </is>
      </c>
      <c r="B14" s="7" t="n"/>
      <c r="C14" s="7" t="n"/>
      <c r="D14" s="7" t="n"/>
      <c r="E14" s="7" t="n"/>
    </row>
    <row r="15">
      <c r="A15" s="8" t="inlineStr">
        <is>
          <t xml:space="preserve">    Total assets</t>
        </is>
      </c>
      <c r="B15" s="9" t="n">
        <v>75328675</v>
      </c>
      <c r="C15" s="9" t="n">
        <v>75395636</v>
      </c>
      <c r="D15" s="9" t="n">
        <v>83711684</v>
      </c>
      <c r="E15" s="9" t="n">
        <v>84357245</v>
      </c>
    </row>
    <row r="16">
      <c r="A16" s="8" t="inlineStr">
        <is>
          <t xml:space="preserve">    Total liabilities</t>
        </is>
      </c>
      <c r="B16" s="9" t="n">
        <v>9067916</v>
      </c>
      <c r="C16" s="9" t="n">
        <v>8974138</v>
      </c>
      <c r="D16" s="9" t="n">
        <v>11823456</v>
      </c>
      <c r="E16" s="9" t="n">
        <v>13371805</v>
      </c>
    </row>
    <row r="17">
      <c r="A17" s="10" t="inlineStr">
        <is>
          <t xml:space="preserve">    Net assets</t>
        </is>
      </c>
      <c r="B17" s="11" t="n">
        <v>66260759</v>
      </c>
      <c r="C17" s="11" t="n">
        <v>66421498</v>
      </c>
      <c r="D17" s="11" t="n">
        <v>71888228</v>
      </c>
      <c r="E17" s="11" t="n">
        <v>70985440</v>
      </c>
    </row>
    <row r="19">
      <c r="A19" s="6" t="inlineStr">
        <is>
          <t>Headline ratios</t>
        </is>
      </c>
      <c r="B19" s="7" t="n"/>
      <c r="C19" s="7" t="n"/>
      <c r="D19" s="7" t="n"/>
      <c r="E19" s="7" t="n"/>
    </row>
    <row r="20">
      <c r="A20" s="8" t="inlineStr">
        <is>
          <t xml:space="preserve">    Operating margin</t>
        </is>
      </c>
      <c r="B20" s="12" t="n">
        <v>0.0118422708896559</v>
      </c>
      <c r="C20" s="12" t="n">
        <v>0.04118767702744502</v>
      </c>
      <c r="D20" s="12" t="n">
        <v>-0.007707849001603853</v>
      </c>
      <c r="E20" s="12" t="n">
        <v>-0.03389932544261929</v>
      </c>
    </row>
    <row r="21">
      <c r="A21" s="8" t="inlineStr">
        <is>
          <t xml:space="preserve">    Revenue growth (YoY)</t>
        </is>
      </c>
      <c r="B21" s="12" t="n">
        <v>0.2552877040469613</v>
      </c>
      <c r="C21" s="12" t="n">
        <v>-0.01063317900738503</v>
      </c>
      <c r="D21" s="12" t="n">
        <v>-0.1963790043223442</v>
      </c>
      <c r="E21" s="12" t="n">
        <v>-0.02923755679417968</v>
      </c>
    </row>
    <row r="22">
      <c r="A22" s="8" t="inlineStr">
        <is>
          <t xml:space="preserve">    Return on assets</t>
        </is>
      </c>
      <c r="B22" s="12" t="n">
        <v>0.00313976052280224</v>
      </c>
      <c r="C22" s="12" t="n">
        <v>0.01079444438932779</v>
      </c>
      <c r="D22" s="12" t="n">
        <v>-0.001462101753920038</v>
      </c>
      <c r="E22" s="12" t="n">
        <v>-0.006194583523916648</v>
      </c>
    </row>
    <row r="24" ht="42" customHeight="1">
      <c r="A24" s="3" t="inlineStr">
        <is>
          <t>Figures as reported in source filings (full provenance on the Sources &amp; audit tab). Parentheses denote negatives; ratios are computed upstream in financials_annual.</t>
        </is>
      </c>
    </row>
  </sheetData>
  <mergeCells count="6">
    <mergeCell ref="A24:E24"/>
    <mergeCell ref="A2:E2"/>
    <mergeCell ref="A1:E1"/>
    <mergeCell ref="A5:E5"/>
    <mergeCell ref="A6:E6"/>
    <mergeCell ref="A3:E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6" customWidth="1" min="3" max="3"/>
    <col width="90" customWidth="1" min="4" max="4"/>
  </cols>
  <sheetData>
    <row r="1">
      <c r="A1" s="1" t="inlineStr">
        <is>
          <t>Notes</t>
        </is>
      </c>
    </row>
    <row r="2">
      <c r="A2" s="2" t="inlineStr">
        <is>
          <t>Human annotations from the versioned store (data/notes/). Annotations only: they never change a reported figure or a confidence tier.</t>
        </is>
      </c>
    </row>
    <row r="4">
      <c r="A4" s="4" t="inlineStr">
        <is>
          <t>Date</t>
        </is>
      </c>
      <c r="B4" s="4" t="inlineStr">
        <is>
          <t>Tag</t>
        </is>
      </c>
      <c r="C4" s="4" t="inlineStr">
        <is>
          <t>Author</t>
        </is>
      </c>
      <c r="D4" s="4" t="inlineStr">
        <is>
          <t>Note</t>
        </is>
      </c>
    </row>
    <row r="5">
      <c r="A5" s="13" t="inlineStr">
        <is>
          <t>No notes recorded yet.</t>
        </is>
      </c>
    </row>
  </sheetData>
  <mergeCells count="3">
    <mergeCell ref="A1:D1"/>
    <mergeCell ref="A5:D5"/>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7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s>
  <sheetData>
    <row r="1">
      <c r="A1" s="1" t="inlineStr">
        <is>
          <t>California Domestic Water Company</t>
        </is>
      </c>
    </row>
    <row r="2">
      <c r="A2" s="2" t="inlineStr">
        <is>
          <t>Financial Statements - income statement, balance sheet, cash flow, member income test (USD)</t>
        </is>
      </c>
    </row>
    <row r="3">
      <c r="A3" s="2" t="inlineStr">
        <is>
          <t>Entity ID: cawc_0029   |   Fiscal year ends June 30.</t>
        </is>
      </c>
    </row>
    <row r="5">
      <c r="A5" s="6" t="inlineStr">
        <is>
          <t>INCOME STATEMENT - as reported (USD)</t>
        </is>
      </c>
      <c r="B5" s="7" t="n"/>
      <c r="C5" s="7" t="n"/>
      <c r="D5" s="7" t="n"/>
      <c r="E5" s="7" t="n"/>
    </row>
    <row r="6">
      <c r="A6" s="4" t="inlineStr">
        <is>
          <t>Line item</t>
        </is>
      </c>
      <c r="B6" s="5" t="inlineStr">
        <is>
          <t>FY2021</t>
        </is>
      </c>
      <c r="C6" s="5" t="inlineStr">
        <is>
          <t>FY2022</t>
        </is>
      </c>
      <c r="D6" s="5" t="inlineStr">
        <is>
          <t>FY2023</t>
        </is>
      </c>
      <c r="E6" s="5" t="inlineStr">
        <is>
          <t>FY2024</t>
        </is>
      </c>
    </row>
    <row r="7">
      <c r="A7" s="6" t="inlineStr">
        <is>
          <t>Revenue</t>
        </is>
      </c>
      <c r="B7" s="7" t="n"/>
      <c r="C7" s="7" t="n"/>
      <c r="D7" s="7" t="n"/>
      <c r="E7" s="7" t="n"/>
    </row>
    <row r="8">
      <c r="A8" s="8" t="inlineStr">
        <is>
          <t xml:space="preserve">    Program service revenue</t>
        </is>
      </c>
      <c r="B8" s="9" t="n">
        <v>19829744</v>
      </c>
      <c r="C8" s="9" t="n">
        <v>19643300</v>
      </c>
      <c r="D8" s="9" t="n">
        <v>15656486</v>
      </c>
      <c r="E8" s="9" t="n">
        <v>14992578</v>
      </c>
    </row>
    <row r="9">
      <c r="A9" s="8" t="inlineStr">
        <is>
          <t xml:space="preserve">    Investment income</t>
        </is>
      </c>
      <c r="B9" s="9" t="n">
        <v>47060</v>
      </c>
      <c r="C9" s="9" t="n">
        <v>276</v>
      </c>
      <c r="D9" s="9" t="n">
        <v>111268</v>
      </c>
      <c r="E9" s="9" t="n">
        <v>310581</v>
      </c>
    </row>
    <row r="10">
      <c r="A10" s="8" t="inlineStr">
        <is>
          <t xml:space="preserve">    Net rental income</t>
        </is>
      </c>
      <c r="B10" s="9" t="n">
        <v>107097</v>
      </c>
      <c r="C10" s="9" t="n">
        <v>116072</v>
      </c>
      <c r="D10" s="9" t="n">
        <v>111514</v>
      </c>
      <c r="E10" s="9" t="n">
        <v>111838</v>
      </c>
    </row>
    <row r="11">
      <c r="A11" s="8" t="inlineStr">
        <is>
          <t xml:space="preserve">    Net gain/(loss) on investment sales</t>
        </is>
      </c>
      <c r="B11" s="9" t="n">
        <v>-11887</v>
      </c>
      <c r="C11" s="9" t="n"/>
      <c r="D11" s="9" t="n"/>
      <c r="E11" s="9" t="n"/>
    </row>
    <row r="12">
      <c r="A12" s="8" t="inlineStr">
        <is>
          <t xml:space="preserve">    Other revenue</t>
        </is>
      </c>
      <c r="B12" s="9" t="n"/>
      <c r="C12" s="9" t="n"/>
      <c r="D12" s="9" t="n"/>
      <c r="E12" s="9" t="n"/>
    </row>
    <row r="13">
      <c r="A13" s="8" t="inlineStr">
        <is>
          <t xml:space="preserve">    Contributions &amp; grants</t>
        </is>
      </c>
      <c r="B13" s="9" t="n"/>
      <c r="C13" s="9" t="n"/>
      <c r="D13" s="9" t="n"/>
      <c r="E13" s="9" t="n"/>
    </row>
    <row r="14">
      <c r="A14" s="10" t="inlineStr">
        <is>
          <t>Total revenue</t>
        </is>
      </c>
      <c r="B14" s="11" t="n">
        <v>19972014</v>
      </c>
      <c r="C14" s="11" t="n">
        <v>19759648</v>
      </c>
      <c r="D14" s="11" t="n">
        <v>15879268</v>
      </c>
      <c r="E14" s="11" t="n">
        <v>15414997</v>
      </c>
    </row>
    <row r="16">
      <c r="A16" s="6" t="inlineStr">
        <is>
          <t>Expenses</t>
        </is>
      </c>
      <c r="B16" s="7" t="n"/>
      <c r="C16" s="7" t="n"/>
      <c r="D16" s="7" t="n"/>
      <c r="E16" s="7" t="n"/>
    </row>
    <row r="17">
      <c r="A17" s="8" t="inlineStr">
        <is>
          <t xml:space="preserve">    Depreciation</t>
        </is>
      </c>
      <c r="B17" s="9" t="n">
        <v>1650278</v>
      </c>
      <c r="C17" s="9" t="n">
        <v>1596438</v>
      </c>
      <c r="D17" s="9" t="n">
        <v>1601981</v>
      </c>
      <c r="E17" s="9" t="n">
        <v>1647229</v>
      </c>
    </row>
    <row r="18">
      <c r="A18" s="8" t="inlineStr">
        <is>
          <t xml:space="preserve">    Interest expense</t>
        </is>
      </c>
      <c r="B18" s="9" t="n"/>
      <c r="C18" s="9" t="n"/>
      <c r="D18" s="9" t="n"/>
      <c r="E18" s="9" t="n"/>
    </row>
    <row r="19">
      <c r="A19" s="10" t="inlineStr">
        <is>
          <t>Total expenses</t>
        </is>
      </c>
      <c r="B19" s="11" t="n">
        <v>19735500</v>
      </c>
      <c r="C19" s="11" t="n">
        <v>18945794</v>
      </c>
      <c r="D19" s="11" t="n">
        <v>16001663</v>
      </c>
      <c r="E19" s="11" t="n">
        <v>15937555</v>
      </c>
    </row>
    <row r="21">
      <c r="A21" s="10" t="inlineStr">
        <is>
          <t>Net income</t>
        </is>
      </c>
      <c r="B21" s="11" t="n">
        <v>236514</v>
      </c>
      <c r="C21" s="11" t="n">
        <v>813854</v>
      </c>
      <c r="D21" s="11" t="n">
        <v>-122395</v>
      </c>
      <c r="E21" s="11" t="n">
        <v>-522558</v>
      </c>
    </row>
    <row r="24">
      <c r="A24" s="6" t="inlineStr">
        <is>
          <t>BALANCE SHEET - as reported (USD, end of year)</t>
        </is>
      </c>
      <c r="B24" s="7" t="n"/>
      <c r="C24" s="7" t="n"/>
      <c r="D24" s="7" t="n"/>
      <c r="E24" s="7" t="n"/>
    </row>
    <row r="25">
      <c r="A25" s="4" t="inlineStr">
        <is>
          <t>Line item</t>
        </is>
      </c>
      <c r="B25" s="5" t="inlineStr">
        <is>
          <t>FY2021</t>
        </is>
      </c>
      <c r="C25" s="5" t="inlineStr">
        <is>
          <t>FY2022</t>
        </is>
      </c>
      <c r="D25" s="5" t="inlineStr">
        <is>
          <t>FY2023</t>
        </is>
      </c>
      <c r="E25" s="5" t="inlineStr">
        <is>
          <t>FY2024</t>
        </is>
      </c>
    </row>
    <row r="26">
      <c r="A26" s="6" t="inlineStr">
        <is>
          <t>Assets</t>
        </is>
      </c>
      <c r="B26" s="7" t="n"/>
      <c r="C26" s="7" t="n"/>
      <c r="D26" s="7" t="n"/>
      <c r="E26" s="7" t="n"/>
    </row>
    <row r="27">
      <c r="A27" s="8" t="inlineStr">
        <is>
          <t xml:space="preserve">    Cash</t>
        </is>
      </c>
      <c r="B27" s="9" t="n">
        <v>2346993</v>
      </c>
      <c r="C27" s="9" t="n">
        <v>1595390</v>
      </c>
      <c r="D27" s="9" t="n">
        <v>11062489</v>
      </c>
      <c r="E27" s="9" t="n">
        <v>8858790</v>
      </c>
    </row>
    <row r="28">
      <c r="A28" s="8" t="inlineStr">
        <is>
          <t xml:space="preserve">    Savings &amp; temporary investments</t>
        </is>
      </c>
      <c r="B28" s="9" t="n"/>
      <c r="C28" s="9" t="n"/>
      <c r="D28" s="9" t="n"/>
      <c r="E28" s="9" t="n"/>
    </row>
    <row r="29">
      <c r="A29" s="8" t="inlineStr">
        <is>
          <t xml:space="preserve">    Accounts receivable</t>
        </is>
      </c>
      <c r="B29" s="9" t="n">
        <v>9485977</v>
      </c>
      <c r="C29" s="9" t="n">
        <v>9200348</v>
      </c>
      <c r="D29" s="9" t="n">
        <v>5920242</v>
      </c>
      <c r="E29" s="9" t="n">
        <v>4431936</v>
      </c>
    </row>
    <row r="30">
      <c r="A30" s="8" t="inlineStr">
        <is>
          <t xml:space="preserve">    Inventories</t>
        </is>
      </c>
      <c r="B30" s="9" t="n">
        <v>17774</v>
      </c>
      <c r="C30" s="9" t="n">
        <v>17774</v>
      </c>
      <c r="D30" s="9" t="n">
        <v>17774</v>
      </c>
      <c r="E30" s="9" t="n">
        <v>17774</v>
      </c>
    </row>
    <row r="31">
      <c r="A31" s="8" t="inlineStr">
        <is>
          <t xml:space="preserve">    Prepaid expenses</t>
        </is>
      </c>
      <c r="B31" s="9" t="n">
        <v>10721670</v>
      </c>
      <c r="C31" s="9" t="n">
        <v>12677386</v>
      </c>
      <c r="D31" s="9" t="n">
        <v>14394682</v>
      </c>
      <c r="E31" s="9" t="n">
        <v>16864822</v>
      </c>
    </row>
    <row r="32">
      <c r="A32" s="8" t="inlineStr">
        <is>
          <t xml:space="preserve">    Property, plant &amp; equipment (gross)</t>
        </is>
      </c>
      <c r="B32" s="9" t="n">
        <v>62255073</v>
      </c>
      <c r="C32" s="9" t="n">
        <v>62883681</v>
      </c>
      <c r="D32" s="9" t="n">
        <v>64773546</v>
      </c>
      <c r="E32" s="9" t="n">
        <v>67172428</v>
      </c>
    </row>
    <row r="33">
      <c r="A33" s="8" t="inlineStr">
        <is>
          <t xml:space="preserve">    Less: accumulated depreciation</t>
        </is>
      </c>
      <c r="B33" s="9" t="n">
        <v>-32097759</v>
      </c>
      <c r="C33" s="9" t="n">
        <v>-33577890</v>
      </c>
      <c r="D33" s="9" t="n">
        <v>-35055996</v>
      </c>
      <c r="E33" s="9" t="n">
        <v>-36560341</v>
      </c>
    </row>
    <row r="34">
      <c r="A34" s="10" t="inlineStr">
        <is>
          <t xml:space="preserve">    Net property, plant &amp; equipment</t>
        </is>
      </c>
      <c r="B34" s="11" t="n">
        <v>30157314</v>
      </c>
      <c r="C34" s="11" t="n">
        <v>29305791</v>
      </c>
      <c r="D34" s="11" t="n">
        <v>29717550</v>
      </c>
      <c r="E34" s="11" t="n">
        <v>30612087</v>
      </c>
    </row>
    <row r="35">
      <c r="A35" s="10" t="inlineStr">
        <is>
          <t>Total assets</t>
        </is>
      </c>
      <c r="B35" s="11" t="n">
        <v>75328675</v>
      </c>
      <c r="C35" s="11" t="n">
        <v>75395636</v>
      </c>
      <c r="D35" s="11" t="n">
        <v>83711684</v>
      </c>
      <c r="E35" s="11" t="n">
        <v>84357245</v>
      </c>
    </row>
    <row r="37">
      <c r="A37" s="6" t="inlineStr">
        <is>
          <t>Liabilities</t>
        </is>
      </c>
      <c r="B37" s="7" t="n"/>
      <c r="C37" s="7" t="n"/>
      <c r="D37" s="7" t="n"/>
      <c r="E37" s="7" t="n"/>
    </row>
    <row r="38">
      <c r="A38" s="8" t="inlineStr">
        <is>
          <t xml:space="preserve">    Accounts payable</t>
        </is>
      </c>
      <c r="B38" s="9" t="n">
        <v>9067118</v>
      </c>
      <c r="C38" s="9" t="n">
        <v>8961436</v>
      </c>
      <c r="D38" s="9" t="n">
        <v>10365650</v>
      </c>
      <c r="E38" s="9" t="n">
        <v>10732671</v>
      </c>
    </row>
    <row r="39">
      <c r="A39" s="8" t="inlineStr">
        <is>
          <t xml:space="preserve">    Mortgages &amp; notes payable</t>
        </is>
      </c>
      <c r="B39" s="9" t="n"/>
      <c r="C39" s="9" t="n"/>
      <c r="D39" s="9" t="n"/>
      <c r="E39" s="9" t="n"/>
    </row>
    <row r="40">
      <c r="A40" s="10" t="inlineStr">
        <is>
          <t>Total liabilities</t>
        </is>
      </c>
      <c r="B40" s="11" t="n">
        <v>9067916</v>
      </c>
      <c r="C40" s="11" t="n">
        <v>8974138</v>
      </c>
      <c r="D40" s="11" t="n">
        <v>11823456</v>
      </c>
      <c r="E40" s="11" t="n">
        <v>13371805</v>
      </c>
    </row>
    <row r="42">
      <c r="A42" s="6" t="inlineStr">
        <is>
          <t>Net Assets / Equity</t>
        </is>
      </c>
      <c r="B42" s="7" t="n"/>
      <c r="C42" s="7" t="n"/>
      <c r="D42" s="7" t="n"/>
      <c r="E42" s="7" t="n"/>
    </row>
    <row r="43">
      <c r="A43" s="8" t="inlineStr">
        <is>
          <t xml:space="preserve">    Capital stock</t>
        </is>
      </c>
      <c r="B43" s="9" t="n">
        <v>21078527</v>
      </c>
      <c r="C43" s="9" t="n">
        <v>21078527</v>
      </c>
      <c r="D43" s="9" t="n">
        <v>21096389</v>
      </c>
      <c r="E43" s="9" t="n">
        <v>21095214</v>
      </c>
    </row>
    <row r="44">
      <c r="A44" s="8" t="inlineStr">
        <is>
          <t xml:space="preserve">    Paid-in capital</t>
        </is>
      </c>
      <c r="B44" s="9" t="n">
        <v>1907130</v>
      </c>
      <c r="C44" s="9" t="n">
        <v>1907130</v>
      </c>
      <c r="D44" s="9" t="n">
        <v>7337330</v>
      </c>
      <c r="E44" s="9" t="n">
        <v>6958275</v>
      </c>
    </row>
    <row r="45">
      <c r="A45" s="8" t="inlineStr">
        <is>
          <t xml:space="preserve">    Retained earnings</t>
        </is>
      </c>
      <c r="B45" s="9" t="n">
        <v>43275102</v>
      </c>
      <c r="C45" s="9" t="n">
        <v>43435841</v>
      </c>
      <c r="D45" s="9" t="n">
        <v>43454509</v>
      </c>
      <c r="E45" s="9" t="n">
        <v>42931951</v>
      </c>
    </row>
    <row r="46">
      <c r="A46" s="10" t="inlineStr">
        <is>
          <t>Net assets</t>
        </is>
      </c>
      <c r="B46" s="11" t="n">
        <v>66260759</v>
      </c>
      <c r="C46" s="11" t="n">
        <v>66421498</v>
      </c>
      <c r="D46" s="11" t="n">
        <v>71888228</v>
      </c>
      <c r="E46" s="11" t="n">
        <v>70985440</v>
      </c>
    </row>
    <row r="49">
      <c r="A49" s="6" t="inlineStr">
        <is>
          <t>CASH FLOW - derived proxy (USD)</t>
        </is>
      </c>
      <c r="B49" s="7" t="n"/>
      <c r="C49" s="7" t="n"/>
      <c r="D49" s="7" t="n"/>
      <c r="E49" s="7" t="n"/>
    </row>
    <row r="50">
      <c r="A50" s="4" t="inlineStr">
        <is>
          <t>Proxy line</t>
        </is>
      </c>
      <c r="B50" s="5" t="inlineStr">
        <is>
          <t>FY2021</t>
        </is>
      </c>
      <c r="C50" s="5" t="inlineStr">
        <is>
          <t>FY2022</t>
        </is>
      </c>
      <c r="D50" s="5" t="inlineStr">
        <is>
          <t>FY2023</t>
        </is>
      </c>
      <c r="E50" s="5" t="inlineStr">
        <is>
          <t>FY2024</t>
        </is>
      </c>
    </row>
    <row r="51">
      <c r="A51" s="6" t="inlineStr">
        <is>
          <t>Operating</t>
        </is>
      </c>
      <c r="B51" s="7" t="n"/>
      <c r="C51" s="7" t="n"/>
      <c r="D51" s="7" t="n"/>
      <c r="E51" s="7" t="n"/>
    </row>
    <row r="52">
      <c r="A52" s="8" t="inlineStr">
        <is>
          <t xml:space="preserve">    Net income</t>
        </is>
      </c>
      <c r="B52" s="9" t="n">
        <v>236514</v>
      </c>
      <c r="C52" s="9" t="n">
        <v>813854</v>
      </c>
      <c r="D52" s="9" t="n">
        <v>-122395</v>
      </c>
      <c r="E52" s="9" t="n">
        <v>-522558</v>
      </c>
    </row>
    <row r="53">
      <c r="A53" s="8" t="inlineStr">
        <is>
          <t xml:space="preserve">    + Depreciation (reported)</t>
        </is>
      </c>
      <c r="B53" s="9" t="n">
        <v>1650278</v>
      </c>
      <c r="C53" s="9" t="n">
        <v>1596438</v>
      </c>
      <c r="D53" s="9" t="n">
        <v>1601981</v>
      </c>
      <c r="E53" s="9" t="n">
        <v>1647229</v>
      </c>
    </row>
    <row r="54">
      <c r="A54" s="8" t="inlineStr">
        <is>
          <t xml:space="preserve">    − Δ Accounts receivable</t>
        </is>
      </c>
      <c r="B54" s="9" t="n"/>
      <c r="C54" s="9" t="n">
        <v>285629</v>
      </c>
      <c r="D54" s="9" t="n">
        <v>3280106</v>
      </c>
      <c r="E54" s="9" t="n">
        <v>1488306</v>
      </c>
    </row>
    <row r="55">
      <c r="A55" s="8" t="inlineStr">
        <is>
          <t xml:space="preserve">    − Δ Inventories</t>
        </is>
      </c>
      <c r="B55" s="9" t="n"/>
      <c r="C55" s="9" t="n">
        <v>0</v>
      </c>
      <c r="D55" s="9" t="n">
        <v>0</v>
      </c>
      <c r="E55" s="9" t="n">
        <v>0</v>
      </c>
    </row>
    <row r="56">
      <c r="A56" s="8" t="inlineStr">
        <is>
          <t xml:space="preserve">    − Δ Prepaid expenses</t>
        </is>
      </c>
      <c r="B56" s="9" t="n"/>
      <c r="C56" s="9" t="n">
        <v>-1955716</v>
      </c>
      <c r="D56" s="9" t="n">
        <v>-1717296</v>
      </c>
      <c r="E56" s="9" t="n">
        <v>-2470140</v>
      </c>
    </row>
    <row r="57">
      <c r="A57" s="8" t="inlineStr">
        <is>
          <t xml:space="preserve">    + Δ Accounts payable</t>
        </is>
      </c>
      <c r="B57" s="9" t="n"/>
      <c r="C57" s="9" t="n">
        <v>-105682</v>
      </c>
      <c r="D57" s="9" t="n">
        <v>1404214</v>
      </c>
      <c r="E57" s="9" t="n">
        <v>367021</v>
      </c>
    </row>
    <row r="58">
      <c r="A58" s="10" t="inlineStr">
        <is>
          <t xml:space="preserve">    Operating cash flow proxy</t>
        </is>
      </c>
      <c r="B58" s="11" t="n"/>
      <c r="C58" s="11" t="n">
        <v>634523</v>
      </c>
      <c r="D58" s="11" t="n">
        <v>4446610</v>
      </c>
      <c r="E58" s="11" t="n">
        <v>509858</v>
      </c>
    </row>
    <row r="60">
      <c r="A60" s="6" t="inlineStr">
        <is>
          <t>Investing</t>
        </is>
      </c>
      <c r="B60" s="7" t="n"/>
      <c r="C60" s="7" t="n"/>
      <c r="D60" s="7" t="n"/>
      <c r="E60" s="7" t="n"/>
    </row>
    <row r="61">
      <c r="A61" s="8" t="inlineStr">
        <is>
          <t xml:space="preserve">    − Δ PP&amp;E gross (capex proxy)</t>
        </is>
      </c>
      <c r="B61" s="9" t="n"/>
      <c r="C61" s="9" t="n">
        <v>-628608</v>
      </c>
      <c r="D61" s="9" t="n">
        <v>-1889865</v>
      </c>
      <c r="E61" s="9" t="n">
        <v>-2398882</v>
      </c>
    </row>
    <row r="63">
      <c r="A63" s="6" t="inlineStr">
        <is>
          <t>Financing</t>
        </is>
      </c>
      <c r="B63" s="7" t="n"/>
      <c r="C63" s="7" t="n"/>
      <c r="D63" s="7" t="n"/>
      <c r="E63" s="7" t="n"/>
    </row>
    <row r="64">
      <c r="A64" s="8" t="inlineStr">
        <is>
          <t xml:space="preserve">    Δ Mortgages &amp; notes payable</t>
        </is>
      </c>
      <c r="B64" s="9" t="n"/>
      <c r="C64" s="9" t="n"/>
      <c r="D64" s="9" t="n"/>
      <c r="E64" s="9" t="n"/>
    </row>
    <row r="66">
      <c r="A66" s="6" t="inlineStr">
        <is>
          <t>Reconciliation</t>
        </is>
      </c>
      <c r="B66" s="7" t="n"/>
      <c r="C66" s="7" t="n"/>
      <c r="D66" s="7" t="n"/>
      <c r="E66" s="7" t="n"/>
    </row>
    <row r="67">
      <c r="A67" s="10" t="inlineStr">
        <is>
          <t xml:space="preserve">    Δ Cash + temp. investments (actual)</t>
        </is>
      </c>
      <c r="B67" s="11" t="n"/>
      <c r="C67" s="11" t="n">
        <v>-751603</v>
      </c>
      <c r="D67" s="11" t="n">
        <v>9467099</v>
      </c>
      <c r="E67" s="11" t="n">
        <v>-2203699</v>
      </c>
    </row>
    <row r="69" ht="42" customHeight="1">
      <c r="A69" s="3" t="inlineStr">
        <is>
          <t>Income statement and balance sheet are as reported in source filings (full provenance on the Sources &amp; audit tab). The cash flow block is a PROXY: the filings contain no statement of cash flows, so it is derived from net income, reported depreciation, and year-over-year balance-sheet changes - treat as directional. The earliest year has no prior period, so its delta cells are blank. Parentheses denote negatives.</t>
        </is>
      </c>
    </row>
    <row r="71">
      <c r="A71" s="6" t="inlineStr">
        <is>
          <t>MEMBER INCOME TEST - Form 990 Part V (501(c)(12))</t>
        </is>
      </c>
      <c r="B71" s="7" t="n"/>
      <c r="C71" s="7" t="n"/>
      <c r="D71" s="7" t="n"/>
      <c r="E71" s="7" t="n"/>
    </row>
    <row r="72">
      <c r="A72" s="4" t="inlineStr">
        <is>
          <t>Part V line 11</t>
        </is>
      </c>
      <c r="B72" s="5" t="inlineStr">
        <is>
          <t>FY2021</t>
        </is>
      </c>
      <c r="C72" s="5" t="inlineStr">
        <is>
          <t>FY2022</t>
        </is>
      </c>
      <c r="D72" s="5" t="inlineStr">
        <is>
          <t>FY2023</t>
        </is>
      </c>
      <c r="E72" s="5" t="inlineStr">
        <is>
          <t>FY2024</t>
        </is>
      </c>
    </row>
    <row r="73">
      <c r="A73" s="8" t="inlineStr">
        <is>
          <t xml:space="preserve">    11a. Gross income from members or shareholders</t>
        </is>
      </c>
      <c r="B73" s="9" t="n">
        <v>19829744</v>
      </c>
      <c r="C73" s="9" t="n">
        <v>19617629</v>
      </c>
      <c r="D73" s="9" t="n">
        <v>15644797</v>
      </c>
      <c r="E73" s="9" t="n">
        <v>14970007</v>
      </c>
    </row>
    <row r="74">
      <c r="A74" s="8" t="inlineStr">
        <is>
          <t xml:space="preserve">    11b. Gross income from other sources</t>
        </is>
      </c>
      <c r="B74" s="9" t="n">
        <v>185300</v>
      </c>
      <c r="C74" s="9" t="n">
        <v>191557</v>
      </c>
      <c r="D74" s="9" t="n">
        <v>234471</v>
      </c>
      <c r="E74" s="9" t="n">
        <v>444990</v>
      </c>
    </row>
    <row r="75">
      <c r="A75" s="14" t="inlineStr">
        <is>
          <t>Total gross income (11a + 11b)</t>
        </is>
      </c>
      <c r="B75" s="15">
        <f>SUM(B73,B74)</f>
        <v/>
      </c>
      <c r="C75" s="15">
        <f>SUM(C73,C74)</f>
        <v/>
      </c>
      <c r="D75" s="15">
        <f>SUM(D73,D74)</f>
        <v/>
      </c>
      <c r="E75" s="15">
        <f>SUM(E73,E74)</f>
        <v/>
      </c>
    </row>
    <row r="76">
      <c r="A76" s="14" t="inlineStr">
        <is>
          <t>Member income share (11a / total)</t>
        </is>
      </c>
      <c r="B76" s="16">
        <f>IF(B75=0,"",B73/B75)</f>
        <v/>
      </c>
      <c r="C76" s="16">
        <f>IF(C75=0,"",C73/C75)</f>
        <v/>
      </c>
      <c r="D76" s="16">
        <f>IF(D75=0,"",D73/D75)</f>
        <v/>
      </c>
      <c r="E76" s="16">
        <f>IF(E75=0,"",E73/E75)</f>
        <v/>
      </c>
    </row>
    <row r="78" ht="42" customHeight="1">
      <c r="A78" s="3" t="inlineStr">
        <is>
          <t>A 501(c)(12) mutual water company must collect at least 85 percent of its gross income from members (the member income share above). Figures are as filed on Part V line 11; the total and share are live formulas. Every figure's citation and confidence are on the Sources &amp; audit tab.</t>
        </is>
      </c>
    </row>
  </sheetData>
  <mergeCells count="5">
    <mergeCell ref="A69:E69"/>
    <mergeCell ref="A78:E78"/>
    <mergeCell ref="A2:E2"/>
    <mergeCell ref="A1:E1"/>
    <mergeCell ref="A3:E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 width="15" customWidth="1" min="5" max="5"/>
  </cols>
  <sheetData>
    <row r="1">
      <c r="A1" s="1" t="inlineStr">
        <is>
          <t>California Domestic Water Company</t>
        </is>
      </c>
    </row>
    <row r="2">
      <c r="A2" s="2" t="inlineStr">
        <is>
          <t>Balance Sheet - as reported (USD, end of year)</t>
        </is>
      </c>
    </row>
    <row r="3">
      <c r="A3" s="2" t="inlineStr">
        <is>
          <t>Entity ID: cawc_0029   |   Fiscal year ends June 30.</t>
        </is>
      </c>
    </row>
    <row r="5">
      <c r="A5" s="4" t="inlineStr">
        <is>
          <t>Line item</t>
        </is>
      </c>
      <c r="B5" s="5" t="inlineStr">
        <is>
          <t>FY2021</t>
        </is>
      </c>
      <c r="C5" s="5" t="inlineStr">
        <is>
          <t>FY2022</t>
        </is>
      </c>
      <c r="D5" s="5" t="inlineStr">
        <is>
          <t>FY2023</t>
        </is>
      </c>
      <c r="E5" s="5" t="inlineStr">
        <is>
          <t>FY2024</t>
        </is>
      </c>
    </row>
    <row r="6">
      <c r="A6" s="6" t="inlineStr">
        <is>
          <t>Assets</t>
        </is>
      </c>
      <c r="B6" s="7" t="n"/>
      <c r="C6" s="7" t="n"/>
      <c r="D6" s="7" t="n"/>
      <c r="E6" s="7" t="n"/>
    </row>
    <row r="7">
      <c r="A7" s="8" t="inlineStr">
        <is>
          <t xml:space="preserve">    Cash</t>
        </is>
      </c>
      <c r="B7" s="9" t="n">
        <v>2346993</v>
      </c>
      <c r="C7" s="9" t="n">
        <v>1595390</v>
      </c>
      <c r="D7" s="9" t="n">
        <v>11062489</v>
      </c>
      <c r="E7" s="9" t="n">
        <v>8858790</v>
      </c>
    </row>
    <row r="8">
      <c r="A8" s="8" t="inlineStr">
        <is>
          <t xml:space="preserve">    Savings &amp; temporary investments</t>
        </is>
      </c>
      <c r="B8" s="9" t="n"/>
      <c r="C8" s="9" t="n"/>
      <c r="D8" s="9" t="n"/>
      <c r="E8" s="9" t="n"/>
    </row>
    <row r="9">
      <c r="A9" s="8" t="inlineStr">
        <is>
          <t xml:space="preserve">    Accounts receivable</t>
        </is>
      </c>
      <c r="B9" s="9" t="n">
        <v>9485977</v>
      </c>
      <c r="C9" s="9" t="n">
        <v>9200348</v>
      </c>
      <c r="D9" s="9" t="n">
        <v>5920242</v>
      </c>
      <c r="E9" s="9" t="n">
        <v>4431936</v>
      </c>
    </row>
    <row r="10">
      <c r="A10" s="8" t="inlineStr">
        <is>
          <t xml:space="preserve">    Inventories</t>
        </is>
      </c>
      <c r="B10" s="9" t="n">
        <v>17774</v>
      </c>
      <c r="C10" s="9" t="n">
        <v>17774</v>
      </c>
      <c r="D10" s="9" t="n">
        <v>17774</v>
      </c>
      <c r="E10" s="9" t="n">
        <v>17774</v>
      </c>
    </row>
    <row r="11">
      <c r="A11" s="8" t="inlineStr">
        <is>
          <t xml:space="preserve">    Prepaid expenses</t>
        </is>
      </c>
      <c r="B11" s="9" t="n">
        <v>10721670</v>
      </c>
      <c r="C11" s="9" t="n">
        <v>12677386</v>
      </c>
      <c r="D11" s="9" t="n">
        <v>14394682</v>
      </c>
      <c r="E11" s="9" t="n">
        <v>16864822</v>
      </c>
    </row>
    <row r="12">
      <c r="A12" s="8" t="inlineStr">
        <is>
          <t xml:space="preserve">    Property, plant &amp; equipment (gross)</t>
        </is>
      </c>
      <c r="B12" s="9" t="n">
        <v>62255073</v>
      </c>
      <c r="C12" s="9" t="n">
        <v>62883681</v>
      </c>
      <c r="D12" s="9" t="n">
        <v>64773546</v>
      </c>
      <c r="E12" s="9" t="n">
        <v>67172428</v>
      </c>
    </row>
    <row r="13">
      <c r="A13" s="8" t="inlineStr">
        <is>
          <t xml:space="preserve">    Less: accumulated depreciation</t>
        </is>
      </c>
      <c r="B13" s="9" t="n">
        <v>-32097759</v>
      </c>
      <c r="C13" s="9" t="n">
        <v>-33577890</v>
      </c>
      <c r="D13" s="9" t="n">
        <v>-35055996</v>
      </c>
      <c r="E13" s="9" t="n">
        <v>-36560341</v>
      </c>
    </row>
    <row r="14">
      <c r="A14" s="10" t="inlineStr">
        <is>
          <t xml:space="preserve">    Net property, plant &amp; equipment</t>
        </is>
      </c>
      <c r="B14" s="11" t="n">
        <v>30157314</v>
      </c>
      <c r="C14" s="11" t="n">
        <v>29305791</v>
      </c>
      <c r="D14" s="11" t="n">
        <v>29717550</v>
      </c>
      <c r="E14" s="11" t="n">
        <v>30612087</v>
      </c>
    </row>
    <row r="15">
      <c r="A15" s="10" t="inlineStr">
        <is>
          <t>Total assets</t>
        </is>
      </c>
      <c r="B15" s="11" t="n">
        <v>75328675</v>
      </c>
      <c r="C15" s="11" t="n">
        <v>75395636</v>
      </c>
      <c r="D15" s="11" t="n">
        <v>83711684</v>
      </c>
      <c r="E15" s="11" t="n">
        <v>84357245</v>
      </c>
    </row>
    <row r="17">
      <c r="A17" s="6" t="inlineStr">
        <is>
          <t>Liabilities</t>
        </is>
      </c>
      <c r="B17" s="7" t="n"/>
      <c r="C17" s="7" t="n"/>
      <c r="D17" s="7" t="n"/>
      <c r="E17" s="7" t="n"/>
    </row>
    <row r="18">
      <c r="A18" s="8" t="inlineStr">
        <is>
          <t xml:space="preserve">    Accounts payable</t>
        </is>
      </c>
      <c r="B18" s="9" t="n">
        <v>9067118</v>
      </c>
      <c r="C18" s="9" t="n">
        <v>8961436</v>
      </c>
      <c r="D18" s="9" t="n">
        <v>10365650</v>
      </c>
      <c r="E18" s="9" t="n">
        <v>10732671</v>
      </c>
    </row>
    <row r="19">
      <c r="A19" s="8" t="inlineStr">
        <is>
          <t xml:space="preserve">    Mortgages &amp; notes payable</t>
        </is>
      </c>
      <c r="B19" s="9" t="n"/>
      <c r="C19" s="9" t="n"/>
      <c r="D19" s="9" t="n"/>
      <c r="E19" s="9" t="n"/>
    </row>
    <row r="20">
      <c r="A20" s="10" t="inlineStr">
        <is>
          <t>Total liabilities</t>
        </is>
      </c>
      <c r="B20" s="11" t="n">
        <v>9067916</v>
      </c>
      <c r="C20" s="11" t="n">
        <v>8974138</v>
      </c>
      <c r="D20" s="11" t="n">
        <v>11823456</v>
      </c>
      <c r="E20" s="11" t="n">
        <v>13371805</v>
      </c>
    </row>
    <row r="22">
      <c r="A22" s="6" t="inlineStr">
        <is>
          <t>Net Assets / Equity</t>
        </is>
      </c>
      <c r="B22" s="7" t="n"/>
      <c r="C22" s="7" t="n"/>
      <c r="D22" s="7" t="n"/>
      <c r="E22" s="7" t="n"/>
    </row>
    <row r="23">
      <c r="A23" s="8" t="inlineStr">
        <is>
          <t xml:space="preserve">    Capital stock</t>
        </is>
      </c>
      <c r="B23" s="9" t="n">
        <v>21078527</v>
      </c>
      <c r="C23" s="9" t="n">
        <v>21078527</v>
      </c>
      <c r="D23" s="9" t="n">
        <v>21096389</v>
      </c>
      <c r="E23" s="9" t="n">
        <v>21095214</v>
      </c>
    </row>
    <row r="24">
      <c r="A24" s="8" t="inlineStr">
        <is>
          <t xml:space="preserve">    Paid-in capital</t>
        </is>
      </c>
      <c r="B24" s="9" t="n">
        <v>1907130</v>
      </c>
      <c r="C24" s="9" t="n">
        <v>1907130</v>
      </c>
      <c r="D24" s="9" t="n">
        <v>7337330</v>
      </c>
      <c r="E24" s="9" t="n">
        <v>6958275</v>
      </c>
    </row>
    <row r="25">
      <c r="A25" s="8" t="inlineStr">
        <is>
          <t xml:space="preserve">    Retained earnings</t>
        </is>
      </c>
      <c r="B25" s="9" t="n">
        <v>43275102</v>
      </c>
      <c r="C25" s="9" t="n">
        <v>43435841</v>
      </c>
      <c r="D25" s="9" t="n">
        <v>43454509</v>
      </c>
      <c r="E25" s="9" t="n">
        <v>42931951</v>
      </c>
    </row>
    <row r="26">
      <c r="A26" s="10" t="inlineStr">
        <is>
          <t>Net assets</t>
        </is>
      </c>
      <c r="B26" s="11" t="n">
        <v>66260759</v>
      </c>
      <c r="C26" s="11" t="n">
        <v>66421498</v>
      </c>
      <c r="D26" s="11" t="n">
        <v>71888228</v>
      </c>
      <c r="E26" s="11" t="n">
        <v>70985440</v>
      </c>
    </row>
    <row r="28">
      <c r="A28" s="8" t="inlineStr">
        <is>
          <t>Balance check (assets − liab. − net assets)</t>
        </is>
      </c>
      <c r="B28" s="9" t="n">
        <v>0</v>
      </c>
      <c r="C28" s="9" t="n">
        <v>0</v>
      </c>
      <c r="D28" s="9" t="n">
        <v>0</v>
      </c>
      <c r="E28" s="9" t="n">
        <v>0</v>
      </c>
    </row>
    <row r="30" ht="42" customHeight="1">
      <c r="A30" s="3" t="inlineStr">
        <is>
          <t>Net PP&amp;E is the reported ppe_net column (gross less accumulated depreciation). The balance check should be ~0 where all three totals are reported; a non-zero value flags a reporting or extraction discrepancy worth reviewing.</t>
        </is>
      </c>
    </row>
  </sheetData>
  <mergeCells count="4">
    <mergeCell ref="A2:E2"/>
    <mergeCell ref="A1:E1"/>
    <mergeCell ref="A30:E30"/>
    <mergeCell ref="A3:E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9"/>
  <sheetViews>
    <sheetView workbookViewId="0">
      <pane ySplit="5" topLeftCell="A6" activePane="bottomLeft" state="frozen"/>
      <selection pane="bottomLeft" activeCell="A1" sqref="A1"/>
    </sheetView>
  </sheetViews>
  <sheetFormatPr baseColWidth="8" defaultRowHeight="15"/>
  <cols>
    <col width="34" customWidth="1" min="1" max="1"/>
    <col width="18" customWidth="1" min="2" max="2"/>
    <col width="18" customWidth="1" min="3" max="3"/>
    <col width="18" customWidth="1" min="4" max="4"/>
    <col width="18" customWidth="1" min="5" max="5"/>
    <col width="18" customWidth="1" min="6" max="6"/>
  </cols>
  <sheetData>
    <row r="1">
      <c r="A1" s="1" t="inlineStr">
        <is>
          <t>California Domestic Water Company</t>
        </is>
      </c>
    </row>
    <row r="2">
      <c r="A2" s="2" t="inlineStr">
        <is>
          <t>Officers, Directors &amp; Contractors - Form 990 Part VII (FY2024; USD)</t>
        </is>
      </c>
    </row>
    <row r="3">
      <c r="A3" s="2" t="inlineStr">
        <is>
          <t>Entity ID: cawc_0029   |   Fiscal year ends June 30.</t>
        </is>
      </c>
    </row>
    <row r="5">
      <c r="A5" s="6" t="inlineStr">
        <is>
          <t>Section A - Officers, directors, trustees, key employees</t>
        </is>
      </c>
      <c r="B5" s="7" t="n"/>
      <c r="C5" s="7" t="n"/>
      <c r="D5" s="7" t="n"/>
      <c r="E5" s="7" t="n"/>
      <c r="F5" s="7" t="n"/>
    </row>
    <row r="6">
      <c r="A6" s="5" t="inlineStr">
        <is>
          <t>Name</t>
        </is>
      </c>
      <c r="B6" s="5" t="inlineStr">
        <is>
          <t>Title</t>
        </is>
      </c>
      <c r="C6" s="5" t="inlineStr">
        <is>
          <t>Reportable comp (org)</t>
        </is>
      </c>
      <c r="D6" s="5" t="inlineStr">
        <is>
          <t>Reportable comp (related)</t>
        </is>
      </c>
      <c r="E6" s="5" t="inlineStr">
        <is>
          <t>Other comp</t>
        </is>
      </c>
      <c r="F6" s="5" t="inlineStr">
        <is>
          <t>Total compensation</t>
        </is>
      </c>
    </row>
    <row r="7">
      <c r="A7" s="8" t="inlineStr">
        <is>
          <t>M QUINN</t>
        </is>
      </c>
      <c r="B7" s="8" t="inlineStr">
        <is>
          <t>VICE-CHAIRMAN</t>
        </is>
      </c>
      <c r="C7" s="9" t="n">
        <v>16600</v>
      </c>
      <c r="D7" s="9" t="n">
        <v>0</v>
      </c>
      <c r="E7" s="9" t="n">
        <v>7200</v>
      </c>
      <c r="F7" s="9" t="n">
        <v>23800</v>
      </c>
    </row>
    <row r="8">
      <c r="A8" s="8" t="inlineStr">
        <is>
          <t>R RICH</t>
        </is>
      </c>
      <c r="B8" s="8" t="inlineStr">
        <is>
          <t>DIRECTOR</t>
        </is>
      </c>
      <c r="C8" s="9" t="n">
        <v>7200</v>
      </c>
      <c r="D8" s="9" t="n">
        <v>0</v>
      </c>
      <c r="E8" s="9" t="n">
        <v>7200</v>
      </c>
      <c r="F8" s="9" t="n">
        <v>14400</v>
      </c>
    </row>
    <row r="9">
      <c r="A9" s="8" t="inlineStr">
        <is>
          <t>R JONES</t>
        </is>
      </c>
      <c r="B9" s="8" t="inlineStr">
        <is>
          <t>DIRECTOR</t>
        </is>
      </c>
      <c r="C9" s="9" t="n">
        <v>11400</v>
      </c>
      <c r="D9" s="9" t="n">
        <v>0</v>
      </c>
      <c r="E9" s="9" t="n">
        <v>7200</v>
      </c>
      <c r="F9" s="9" t="n">
        <v>18600</v>
      </c>
    </row>
    <row r="10">
      <c r="A10" s="8" t="inlineStr">
        <is>
          <t>D HANNAH JR</t>
        </is>
      </c>
      <c r="B10" s="8" t="inlineStr">
        <is>
          <t>CHAIRMAN</t>
        </is>
      </c>
      <c r="C10" s="9" t="n">
        <v>9400</v>
      </c>
      <c r="D10" s="9" t="n">
        <v>0</v>
      </c>
      <c r="E10" s="9" t="n">
        <v>7200</v>
      </c>
      <c r="F10" s="9" t="n">
        <v>16600</v>
      </c>
    </row>
    <row r="11">
      <c r="A11" s="8" t="inlineStr">
        <is>
          <t>C BLAKE</t>
        </is>
      </c>
      <c r="B11" s="8" t="inlineStr">
        <is>
          <t>CFO</t>
        </is>
      </c>
      <c r="C11" s="9" t="n">
        <v>3200</v>
      </c>
      <c r="D11" s="9" t="n">
        <v>0</v>
      </c>
      <c r="E11" s="9" t="n">
        <v>7200</v>
      </c>
      <c r="F11" s="9" t="n">
        <v>10400</v>
      </c>
    </row>
    <row r="12">
      <c r="A12" s="8" t="inlineStr">
        <is>
          <t>T PRENOVOST JR</t>
        </is>
      </c>
      <c r="B12" s="8" t="inlineStr">
        <is>
          <t>SECRETARY</t>
        </is>
      </c>
      <c r="C12" s="9" t="n">
        <v>2400</v>
      </c>
      <c r="D12" s="9" t="n">
        <v>0</v>
      </c>
      <c r="E12" s="9" t="n">
        <v>7200</v>
      </c>
      <c r="F12" s="9" t="n">
        <v>9600</v>
      </c>
    </row>
    <row r="13">
      <c r="A13" s="17" t="inlineStr">
        <is>
          <t>L NORIEGA</t>
        </is>
      </c>
      <c r="B13" s="17" t="inlineStr">
        <is>
          <t>PRESIDENT</t>
        </is>
      </c>
      <c r="C13" s="18" t="n">
        <v>0</v>
      </c>
      <c r="D13" s="18" t="n">
        <v>307693</v>
      </c>
      <c r="E13" s="18" t="n">
        <v>74278</v>
      </c>
      <c r="F13" s="18" t="n">
        <v>381971</v>
      </c>
    </row>
    <row r="14">
      <c r="A14" s="17" t="inlineStr">
        <is>
          <t>EVENEGAS</t>
        </is>
      </c>
      <c r="B14" s="17" t="inlineStr">
        <is>
          <t>DIRECTOR OF WATER OPERATIO</t>
        </is>
      </c>
      <c r="C14" s="18" t="n">
        <v>0</v>
      </c>
      <c r="D14" s="18" t="n">
        <v>215966</v>
      </c>
      <c r="E14" s="18" t="n">
        <v>58982</v>
      </c>
      <c r="F14" s="18" t="n">
        <v>274948</v>
      </c>
    </row>
    <row r="16">
      <c r="A16" s="6" t="inlineStr">
        <is>
          <t>Section B - Independent contractors (over $100,000)</t>
        </is>
      </c>
      <c r="B16" s="7" t="n"/>
      <c r="C16" s="7" t="n"/>
      <c r="D16" s="7" t="n"/>
      <c r="E16" s="7" t="n"/>
      <c r="F16" s="7" t="n"/>
    </row>
    <row r="17">
      <c r="A17" s="5" t="inlineStr">
        <is>
          <t>Contractor</t>
        </is>
      </c>
      <c r="B17" s="5" t="inlineStr">
        <is>
          <t>Services</t>
        </is>
      </c>
      <c r="C17" s="5" t="inlineStr">
        <is>
          <t>Compensation</t>
        </is>
      </c>
    </row>
    <row r="19" ht="42" customHeight="1">
      <c r="A19" s="3" t="inlineStr">
        <is>
          <t>Section A lists every officer, director, trustee and key employee filed for the latest year; the two with the highest total compensation are highlighted. Total compensation is computed (reportable org + related + other). Section B lists each independent contractor paid over $100,000; the return reports 0 such contractor(s). Source and confidence for every figure are on the Sources &amp; audit tab.</t>
        </is>
      </c>
    </row>
  </sheetData>
  <mergeCells count="4">
    <mergeCell ref="A3:F3"/>
    <mergeCell ref="A2:F2"/>
    <mergeCell ref="A19:F19"/>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California Domestic Water Company</t>
        </is>
      </c>
    </row>
    <row r="2">
      <c r="A2" s="2" t="inlineStr">
        <is>
          <t>Revenue - Form 990 Part VIII (USD)</t>
        </is>
      </c>
    </row>
    <row r="3">
      <c r="A3" s="2" t="inlineStr">
        <is>
          <t>Entity ID: cawc_0029   |   Fiscal year ends June 30.</t>
        </is>
      </c>
    </row>
    <row r="5">
      <c r="A5" s="4" t="inlineStr">
        <is>
          <t>Part VIII line</t>
        </is>
      </c>
      <c r="B5" s="5" t="inlineStr">
        <is>
          <t>FY2021</t>
        </is>
      </c>
      <c r="C5" s="5" t="inlineStr">
        <is>
          <t>FY2022</t>
        </is>
      </c>
      <c r="D5" s="5" t="inlineStr">
        <is>
          <t>FY2023</t>
        </is>
      </c>
      <c r="E5" s="5" t="inlineStr">
        <is>
          <t>FY2024</t>
        </is>
      </c>
    </row>
    <row r="6">
      <c r="A6" s="6" t="inlineStr">
        <is>
          <t>Revenue by category</t>
        </is>
      </c>
      <c r="B6" s="7" t="n"/>
      <c r="C6" s="7" t="n"/>
      <c r="D6" s="7" t="n"/>
      <c r="E6" s="7" t="n"/>
    </row>
    <row r="7">
      <c r="A7" s="8" t="inlineStr">
        <is>
          <t xml:space="preserve">    1h. Total contributions, gifts, grants</t>
        </is>
      </c>
      <c r="B7" s="19" t="inlineStr">
        <is>
          <t>not reported</t>
        </is>
      </c>
      <c r="C7" s="19" t="inlineStr">
        <is>
          <t>not reported</t>
        </is>
      </c>
      <c r="D7" s="19" t="inlineStr">
        <is>
          <t>not reported</t>
        </is>
      </c>
      <c r="E7" s="19" t="inlineStr">
        <is>
          <t>not reported</t>
        </is>
      </c>
    </row>
    <row r="8">
      <c r="A8" s="8" t="inlineStr">
        <is>
          <t xml:space="preserve">    2g. Total program service revenue</t>
        </is>
      </c>
      <c r="B8" s="9" t="n">
        <v>19829744</v>
      </c>
      <c r="C8" s="9" t="n">
        <v>19643300</v>
      </c>
      <c r="D8" s="9" t="n">
        <v>15656486</v>
      </c>
      <c r="E8" s="9" t="n">
        <v>14992578</v>
      </c>
    </row>
    <row r="9">
      <c r="A9" s="8" t="inlineStr">
        <is>
          <t xml:space="preserve">    3. Investment income</t>
        </is>
      </c>
      <c r="B9" s="9" t="n">
        <v>47060</v>
      </c>
      <c r="C9" s="9" t="n">
        <v>276</v>
      </c>
      <c r="D9" s="9" t="n">
        <v>111268</v>
      </c>
      <c r="E9" s="9" t="n">
        <v>310581</v>
      </c>
    </row>
    <row r="10">
      <c r="A10" s="8" t="inlineStr">
        <is>
          <t xml:space="preserve">    6d. Net rental income</t>
        </is>
      </c>
      <c r="B10" s="9" t="n">
        <v>107097</v>
      </c>
      <c r="C10" s="9" t="n">
        <v>116072</v>
      </c>
      <c r="D10" s="9" t="n">
        <v>111514</v>
      </c>
      <c r="E10" s="9" t="n">
        <v>111838</v>
      </c>
    </row>
    <row r="11">
      <c r="A11" s="8" t="inlineStr">
        <is>
          <t xml:space="preserve">    7d. Net gain/(loss) from investment sales</t>
        </is>
      </c>
      <c r="B11" s="9" t="n">
        <v>-11887</v>
      </c>
      <c r="C11" s="19" t="inlineStr">
        <is>
          <t>not reported</t>
        </is>
      </c>
      <c r="D11" s="19" t="inlineStr">
        <is>
          <t>not reported</t>
        </is>
      </c>
      <c r="E11" s="19" t="inlineStr">
        <is>
          <t>not reported</t>
        </is>
      </c>
    </row>
    <row r="12">
      <c r="A12" s="8" t="inlineStr">
        <is>
          <t xml:space="preserve">    11e. Other revenue</t>
        </is>
      </c>
      <c r="B12" s="19" t="inlineStr">
        <is>
          <t>not reported</t>
        </is>
      </c>
      <c r="C12" s="19" t="inlineStr">
        <is>
          <t>not reported</t>
        </is>
      </c>
      <c r="D12" s="19" t="inlineStr">
        <is>
          <t>not reported</t>
        </is>
      </c>
      <c r="E12" s="19" t="inlineStr">
        <is>
          <t>not reported</t>
        </is>
      </c>
    </row>
    <row r="13">
      <c r="A13" s="10" t="inlineStr">
        <is>
          <t>12. Total revenue</t>
        </is>
      </c>
      <c r="B13" s="11">
        <f>SUM(B7:B12)</f>
        <v/>
      </c>
      <c r="C13" s="11">
        <f>SUM(C7:C12)</f>
        <v/>
      </c>
      <c r="D13" s="11">
        <f>SUM(D7:D12)</f>
        <v/>
      </c>
      <c r="E13" s="11">
        <f>SUM(E7:E12)</f>
        <v/>
      </c>
    </row>
    <row r="15">
      <c r="A15" s="6" t="inlineStr">
        <is>
          <t>Program service revenue detail - FY2024 (lines 2a-2f)</t>
        </is>
      </c>
      <c r="B15" s="7" t="n"/>
      <c r="C15" s="7" t="n"/>
      <c r="D15" s="7" t="n"/>
      <c r="E15" s="7" t="n"/>
    </row>
    <row r="16">
      <c r="A16" s="5" t="inlineStr">
        <is>
          <t>Description</t>
        </is>
      </c>
      <c r="B16" s="5" t="inlineStr">
        <is>
          <t>Business code</t>
        </is>
      </c>
      <c r="C16" s="5" t="inlineStr">
        <is>
          <t>Total revenue</t>
        </is>
      </c>
    </row>
    <row r="17">
      <c r="A17" s="8" t="inlineStr">
        <is>
          <t>WATER SALES TO MEMBERS</t>
        </is>
      </c>
      <c r="B17" s="8" t="inlineStr">
        <is>
          <t>221000</t>
        </is>
      </c>
      <c r="C17" s="9" t="n">
        <v>14158612</v>
      </c>
    </row>
    <row r="18">
      <c r="A18" s="8" t="inlineStr">
        <is>
          <t>WATER ASSESSMENTS</t>
        </is>
      </c>
      <c r="B18" s="8" t="inlineStr">
        <is>
          <t>900099</t>
        </is>
      </c>
      <c r="C18" s="9" t="n">
        <v>833966</v>
      </c>
    </row>
    <row r="19" ht="42" customHeight="1">
      <c r="A19" s="3" t="inlineStr">
        <is>
          <t>Revenue category subtotals are as filed. Total revenue (line 12) is a live SUM of the category cells above; its tie-out to the filed total is on the Sources &amp; audit tab. Program service revenue detail is shown for the latest year, with its sum-to-line-2g check on that same audit tab.</t>
        </is>
      </c>
    </row>
  </sheetData>
  <mergeCells count="4">
    <mergeCell ref="A2:E2"/>
    <mergeCell ref="A19:E19"/>
    <mergeCell ref="A1:E1"/>
    <mergeCell ref="A3:E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25"/>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c r="A1" s="1" t="inlineStr">
        <is>
          <t>California Domestic Water Company</t>
        </is>
      </c>
    </row>
    <row r="2">
      <c r="A2" s="2" t="inlineStr">
        <is>
          <t>Statement of Functional Expenses - Form 990 Part IX (USD)</t>
        </is>
      </c>
    </row>
    <row r="3">
      <c r="A3" s="2" t="inlineStr">
        <is>
          <t>Entity ID: cawc_0029   |   Fiscal year ends June 30.</t>
        </is>
      </c>
    </row>
    <row r="5">
      <c r="A5" s="4" t="inlineStr">
        <is>
          <t>Part IX line (column A Total)</t>
        </is>
      </c>
      <c r="B5" s="5" t="inlineStr">
        <is>
          <t>FY2021</t>
        </is>
      </c>
      <c r="C5" s="5" t="inlineStr">
        <is>
          <t>FY2022</t>
        </is>
      </c>
      <c r="D5" s="5" t="inlineStr">
        <is>
          <t>FY2023</t>
        </is>
      </c>
      <c r="E5" s="5" t="inlineStr">
        <is>
          <t>FY2024</t>
        </is>
      </c>
    </row>
    <row r="6">
      <c r="A6" s="6" t="inlineStr">
        <is>
          <t>Functional expenses, column A Total - by year</t>
        </is>
      </c>
      <c r="B6" s="7" t="n"/>
      <c r="C6" s="7" t="n"/>
      <c r="D6" s="7" t="n"/>
      <c r="E6" s="7" t="n"/>
    </row>
    <row r="7">
      <c r="A7" s="8" t="inlineStr">
        <is>
          <t xml:space="preserve">    5. Compensation of current officers, directors, trustees</t>
        </is>
      </c>
      <c r="B7" s="9" t="n">
        <v>53800</v>
      </c>
      <c r="C7" s="9" t="n">
        <v>50200</v>
      </c>
      <c r="D7" s="9" t="n">
        <v>51000</v>
      </c>
      <c r="E7" s="9" t="n">
        <v>50200</v>
      </c>
    </row>
    <row r="8">
      <c r="A8" s="8" t="inlineStr">
        <is>
          <t xml:space="preserve">    11b. Fees for services: legal</t>
        </is>
      </c>
      <c r="B8" s="9" t="n">
        <v>23252</v>
      </c>
      <c r="C8" s="19" t="inlineStr">
        <is>
          <t>not reported</t>
        </is>
      </c>
      <c r="D8" s="19" t="inlineStr">
        <is>
          <t>not reported</t>
        </is>
      </c>
      <c r="E8" s="19" t="inlineStr">
        <is>
          <t>not reported</t>
        </is>
      </c>
    </row>
    <row r="9">
      <c r="A9" s="8" t="inlineStr">
        <is>
          <t xml:space="preserve">    11c. Fees for services: accounting</t>
        </is>
      </c>
      <c r="B9" s="9" t="n">
        <v>27950</v>
      </c>
      <c r="C9" s="19" t="inlineStr">
        <is>
          <t>not reported</t>
        </is>
      </c>
      <c r="D9" s="19" t="inlineStr">
        <is>
          <t>not reported</t>
        </is>
      </c>
      <c r="E9" s="19" t="inlineStr">
        <is>
          <t>not reported</t>
        </is>
      </c>
    </row>
    <row r="10">
      <c r="A10" s="8" t="inlineStr">
        <is>
          <t xml:space="preserve">    13. Office expenses</t>
        </is>
      </c>
      <c r="B10" s="9" t="n">
        <v>81856</v>
      </c>
      <c r="C10" s="19" t="inlineStr">
        <is>
          <t>not reported</t>
        </is>
      </c>
      <c r="D10" s="19" t="inlineStr">
        <is>
          <t>not reported</t>
        </is>
      </c>
      <c r="E10" s="19" t="inlineStr">
        <is>
          <t>not reported</t>
        </is>
      </c>
    </row>
    <row r="11">
      <c r="A11" s="8" t="inlineStr">
        <is>
          <t xml:space="preserve">    22. Depreciation, depletion, and amortization</t>
        </is>
      </c>
      <c r="B11" s="9" t="n">
        <v>1650278</v>
      </c>
      <c r="C11" s="9" t="n">
        <v>1596438</v>
      </c>
      <c r="D11" s="9" t="n">
        <v>1601981</v>
      </c>
      <c r="E11" s="9" t="n">
        <v>1647229</v>
      </c>
    </row>
    <row r="12">
      <c r="A12" s="8" t="inlineStr">
        <is>
          <t xml:space="preserve">    23. Insurance</t>
        </is>
      </c>
      <c r="B12" s="9" t="n">
        <v>45925</v>
      </c>
      <c r="C12" s="19" t="inlineStr">
        <is>
          <t>not reported</t>
        </is>
      </c>
      <c r="D12" s="19" t="inlineStr">
        <is>
          <t>not reported</t>
        </is>
      </c>
      <c r="E12" s="19" t="inlineStr">
        <is>
          <t>not reported</t>
        </is>
      </c>
    </row>
    <row r="13">
      <c r="A13" s="8" t="inlineStr">
        <is>
          <t xml:space="preserve">    24. SYSTEM AND VOLUME COST</t>
        </is>
      </c>
      <c r="B13" s="9" t="n">
        <v>14996161</v>
      </c>
      <c r="C13" s="9" t="n">
        <v>5467212</v>
      </c>
      <c r="D13" s="9" t="n">
        <v>4970371</v>
      </c>
      <c r="E13" s="9" t="n">
        <v>5515306</v>
      </c>
    </row>
    <row r="14">
      <c r="A14" s="8" t="inlineStr">
        <is>
          <t xml:space="preserve">    24. POWER COST</t>
        </is>
      </c>
      <c r="B14" s="9" t="n">
        <v>1697312</v>
      </c>
      <c r="C14" s="19" t="inlineStr">
        <is>
          <t>not reported</t>
        </is>
      </c>
      <c r="D14" s="19" t="inlineStr">
        <is>
          <t>not reported</t>
        </is>
      </c>
      <c r="E14" s="19" t="inlineStr">
        <is>
          <t>not reported</t>
        </is>
      </c>
    </row>
    <row r="15">
      <c r="A15" s="8" t="inlineStr">
        <is>
          <t xml:space="preserve">    24. OPERATING AND ADMINISTR</t>
        </is>
      </c>
      <c r="B15" s="9" t="n">
        <v>1104711</v>
      </c>
      <c r="C15" s="19" t="inlineStr">
        <is>
          <t>not reported</t>
        </is>
      </c>
      <c r="D15" s="19" t="inlineStr">
        <is>
          <t>not reported</t>
        </is>
      </c>
      <c r="E15" s="19" t="inlineStr">
        <is>
          <t>not reported</t>
        </is>
      </c>
    </row>
    <row r="16">
      <c r="A16" s="8" t="inlineStr">
        <is>
          <t xml:space="preserve">    24. OPERATING &amp; ADM-MGT</t>
        </is>
      </c>
      <c r="B16" s="9" t="n">
        <v>48000</v>
      </c>
      <c r="C16" s="19" t="inlineStr">
        <is>
          <t>not reported</t>
        </is>
      </c>
      <c r="D16" s="19" t="inlineStr">
        <is>
          <t>not reported</t>
        </is>
      </c>
      <c r="E16" s="19" t="inlineStr">
        <is>
          <t>not reported</t>
        </is>
      </c>
    </row>
    <row r="17">
      <c r="A17" s="8" t="inlineStr">
        <is>
          <t xml:space="preserve">    24. WATER LEASE</t>
        </is>
      </c>
      <c r="B17" s="19" t="inlineStr">
        <is>
          <t>not reported</t>
        </is>
      </c>
      <c r="C17" s="9" t="n">
        <v>8476611</v>
      </c>
      <c r="D17" s="9" t="n">
        <v>5938825</v>
      </c>
      <c r="E17" s="9" t="n">
        <v>5210180</v>
      </c>
    </row>
    <row r="18">
      <c r="A18" s="8" t="inlineStr">
        <is>
          <t xml:space="preserve">    24. POWER COST, PURCHASED W</t>
        </is>
      </c>
      <c r="B18" s="19" t="inlineStr">
        <is>
          <t>not reported</t>
        </is>
      </c>
      <c r="C18" s="9" t="n">
        <v>2208197</v>
      </c>
      <c r="D18" s="9" t="n">
        <v>2219354</v>
      </c>
      <c r="E18" s="9" t="n">
        <v>2261234</v>
      </c>
    </row>
    <row r="19">
      <c r="A19" s="8" t="inlineStr">
        <is>
          <t xml:space="preserve">    24. OPERATING AND ADMIN</t>
        </is>
      </c>
      <c r="B19" s="19" t="inlineStr">
        <is>
          <t>not reported</t>
        </is>
      </c>
      <c r="C19" s="9" t="n">
        <v>1128903</v>
      </c>
      <c r="D19" s="9" t="n">
        <v>1202403</v>
      </c>
      <c r="E19" s="9" t="n">
        <v>1237200</v>
      </c>
    </row>
    <row r="20">
      <c r="A20" s="8" t="inlineStr">
        <is>
          <t xml:space="preserve">    24e. All other expenses</t>
        </is>
      </c>
      <c r="B20" s="9" t="n">
        <v>6255</v>
      </c>
      <c r="C20" s="9" t="n">
        <v>18233</v>
      </c>
      <c r="D20" s="9" t="n">
        <v>17729</v>
      </c>
      <c r="E20" s="9" t="n">
        <v>16206</v>
      </c>
    </row>
    <row r="21">
      <c r="A21" s="10" t="inlineStr">
        <is>
          <t>25. Total functional expenses</t>
        </is>
      </c>
      <c r="B21" s="11">
        <f>SUM(B7:B20)</f>
        <v/>
      </c>
      <c r="C21" s="11">
        <f>SUM(C7:C20)</f>
        <v/>
      </c>
      <c r="D21" s="11">
        <f>SUM(D7:D20)</f>
        <v/>
      </c>
      <c r="E21" s="11">
        <f>SUM(E7:E20)</f>
        <v/>
      </c>
    </row>
    <row r="23">
      <c r="A23" s="6" t="inlineStr">
        <is>
          <t>Functional column split - FY2024</t>
        </is>
      </c>
      <c r="B23" s="7" t="n"/>
      <c r="C23" s="7" t="n"/>
      <c r="D23" s="7" t="n"/>
      <c r="E23" s="7" t="n"/>
    </row>
    <row r="24" ht="42" customHeight="1">
      <c r="A24" s="3" t="inlineStr">
        <is>
          <t>Not reported. This filer reports only column A (Total) of Part IX; the program / management / fundraising split (columns B-D) is not filed, so it is left as not reported rather than shown empty or inferred.</t>
        </is>
      </c>
    </row>
    <row r="25" ht="42" customHeight="1">
      <c r="A25" s="3" t="inlineStr">
        <is>
          <t>Top block: each Part IX line, column A (Total), by year, as filed. Total functional expenses (line 25) is a live SUM of the line cells; its tie-out to the filed total is on the Sources &amp; audit tab. Filer-itemized 24a-24d rows show the most recent year's as-filed wording; rows are aligned across years case-insensitively with collapsed spacing, so a line filed only in a different capitalization or spacing shares one row, while genuinely different wording stays a separate row (every as-filed variant is recorded on the Sources &amp; audit tab). This filer reports only column A (Total); the program / management / fundraising split (columns B-D) is not reported. Lines this filer does not report are omitted rather than shown empty.</t>
        </is>
      </c>
    </row>
  </sheetData>
  <mergeCells count="5">
    <mergeCell ref="A24:E24"/>
    <mergeCell ref="A2:E2"/>
    <mergeCell ref="A25:E25"/>
    <mergeCell ref="A1:E1"/>
    <mergeCell ref="A3:E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California Domestic Water Company</t>
        </is>
      </c>
    </row>
    <row r="2">
      <c r="A2" s="2" t="inlineStr">
        <is>
          <t>Balance Sheet - Form 990 Part X (end of year, USD)</t>
        </is>
      </c>
    </row>
    <row r="3">
      <c r="A3" s="2" t="inlineStr">
        <is>
          <t>Entity ID: cawc_0029   |   Fiscal year ends June 30.</t>
        </is>
      </c>
    </row>
    <row r="5">
      <c r="A5" s="4" t="inlineStr">
        <is>
          <t>Part X line (column B, EOY)</t>
        </is>
      </c>
      <c r="B5" s="5" t="inlineStr">
        <is>
          <t>FY2021</t>
        </is>
      </c>
      <c r="C5" s="5" t="inlineStr">
        <is>
          <t>FY2022</t>
        </is>
      </c>
      <c r="D5" s="5" t="inlineStr">
        <is>
          <t>FY2023</t>
        </is>
      </c>
      <c r="E5" s="5" t="inlineStr">
        <is>
          <t>FY2024</t>
        </is>
      </c>
    </row>
    <row r="6">
      <c r="A6" s="6" t="inlineStr">
        <is>
          <t>Assets</t>
        </is>
      </c>
      <c r="B6" s="7" t="n"/>
      <c r="C6" s="7" t="n"/>
      <c r="D6" s="7" t="n"/>
      <c r="E6" s="7" t="n"/>
    </row>
    <row r="7">
      <c r="A7" s="8" t="inlineStr">
        <is>
          <t xml:space="preserve">    1. Cash - non-interest-bearing</t>
        </is>
      </c>
      <c r="B7" s="9" t="n">
        <v>2346993</v>
      </c>
      <c r="C7" s="9" t="n">
        <v>1595390</v>
      </c>
      <c r="D7" s="9" t="n">
        <v>11062489</v>
      </c>
      <c r="E7" s="9" t="n">
        <v>8858790</v>
      </c>
    </row>
    <row r="8">
      <c r="A8" s="8" t="inlineStr">
        <is>
          <t xml:space="preserve">    4. Accounts receivable, net</t>
        </is>
      </c>
      <c r="B8" s="9" t="n">
        <v>9485977</v>
      </c>
      <c r="C8" s="9" t="n">
        <v>9200348</v>
      </c>
      <c r="D8" s="9" t="n">
        <v>5920242</v>
      </c>
      <c r="E8" s="9" t="n">
        <v>4431936</v>
      </c>
    </row>
    <row r="9">
      <c r="A9" s="8" t="inlineStr">
        <is>
          <t xml:space="preserve">    7. Notes and loans receivable, net</t>
        </is>
      </c>
      <c r="B9" s="9" t="n">
        <v>1228000</v>
      </c>
      <c r="C9" s="9" t="n">
        <v>1228000</v>
      </c>
      <c r="D9" s="9" t="n">
        <v>1228000</v>
      </c>
      <c r="E9" s="9" t="n">
        <v>1950889</v>
      </c>
    </row>
    <row r="10">
      <c r="A10" s="8" t="inlineStr">
        <is>
          <t xml:space="preserve">    8. Inventories for sale or use</t>
        </is>
      </c>
      <c r="B10" s="9" t="n">
        <v>17774</v>
      </c>
      <c r="C10" s="9" t="n">
        <v>17774</v>
      </c>
      <c r="D10" s="9" t="n">
        <v>17774</v>
      </c>
      <c r="E10" s="9" t="n">
        <v>17774</v>
      </c>
    </row>
    <row r="11">
      <c r="A11" s="8" t="inlineStr">
        <is>
          <t xml:space="preserve">    9. Prepaid expenses and deferred charges</t>
        </is>
      </c>
      <c r="B11" s="9" t="n">
        <v>10721670</v>
      </c>
      <c r="C11" s="9" t="n">
        <v>12677386</v>
      </c>
      <c r="D11" s="9" t="n">
        <v>14394682</v>
      </c>
      <c r="E11" s="9" t="n">
        <v>16864822</v>
      </c>
    </row>
    <row r="12">
      <c r="A12" s="8" t="inlineStr">
        <is>
          <t xml:space="preserve">    10c. Land, buildings, and equipment, net</t>
        </is>
      </c>
      <c r="B12" s="9" t="n">
        <v>30157314</v>
      </c>
      <c r="C12" s="9" t="n">
        <v>29305791</v>
      </c>
      <c r="D12" s="9" t="n">
        <v>29717550</v>
      </c>
      <c r="E12" s="9" t="n">
        <v>30612087</v>
      </c>
    </row>
    <row r="13">
      <c r="A13" s="8" t="inlineStr">
        <is>
          <t xml:space="preserve">    12. Investments - other securities</t>
        </is>
      </c>
      <c r="B13" s="9" t="n">
        <v>3810047</v>
      </c>
      <c r="C13" s="9" t="n">
        <v>3810047</v>
      </c>
      <c r="D13" s="9" t="n">
        <v>3810047</v>
      </c>
      <c r="E13" s="9" t="n">
        <v>3810047</v>
      </c>
    </row>
    <row r="14">
      <c r="A14" s="8" t="inlineStr">
        <is>
          <t xml:space="preserve">    14. Intangible assets</t>
        </is>
      </c>
      <c r="B14" s="9" t="n">
        <v>17560900</v>
      </c>
      <c r="C14" s="9" t="n">
        <v>17560900</v>
      </c>
      <c r="D14" s="9" t="n">
        <v>17560900</v>
      </c>
      <c r="E14" s="9" t="n">
        <v>17810900</v>
      </c>
    </row>
    <row r="15">
      <c r="A15" s="10" t="inlineStr">
        <is>
          <t>16. Total assets</t>
        </is>
      </c>
      <c r="B15" s="11">
        <f>SUM(B7:B14)</f>
        <v/>
      </c>
      <c r="C15" s="11">
        <f>SUM(C7:C14)</f>
        <v/>
      </c>
      <c r="D15" s="11">
        <f>SUM(D7:D14)</f>
        <v/>
      </c>
      <c r="E15" s="11">
        <f>SUM(E7:E14)</f>
        <v/>
      </c>
    </row>
    <row r="17">
      <c r="A17" s="6" t="inlineStr">
        <is>
          <t>Liabilities</t>
        </is>
      </c>
      <c r="B17" s="7" t="n"/>
      <c r="C17" s="7" t="n"/>
      <c r="D17" s="7" t="n"/>
      <c r="E17" s="7" t="n"/>
    </row>
    <row r="18">
      <c r="A18" s="8" t="inlineStr">
        <is>
          <t xml:space="preserve">    17. Accounts payable and accrued expenses</t>
        </is>
      </c>
      <c r="B18" s="9" t="n">
        <v>9067118</v>
      </c>
      <c r="C18" s="9" t="n">
        <v>8961436</v>
      </c>
      <c r="D18" s="9" t="n">
        <v>10365650</v>
      </c>
      <c r="E18" s="9" t="n">
        <v>10732671</v>
      </c>
    </row>
    <row r="19">
      <c r="A19" s="8" t="inlineStr">
        <is>
          <t xml:space="preserve">    19. Deferred revenue</t>
        </is>
      </c>
      <c r="B19" s="19" t="inlineStr">
        <is>
          <t>not reported</t>
        </is>
      </c>
      <c r="C19" s="19" t="inlineStr">
        <is>
          <t>not reported</t>
        </is>
      </c>
      <c r="D19" s="9" t="n">
        <v>1444240</v>
      </c>
      <c r="E19" s="9" t="n">
        <v>2600000</v>
      </c>
    </row>
    <row r="20">
      <c r="A20" s="8" t="inlineStr">
        <is>
          <t xml:space="preserve">    25. Other liabilities</t>
        </is>
      </c>
      <c r="B20" s="9" t="n">
        <v>798</v>
      </c>
      <c r="C20" s="9" t="n">
        <v>12702</v>
      </c>
      <c r="D20" s="9" t="n">
        <v>13566</v>
      </c>
      <c r="E20" s="9" t="n">
        <v>39134</v>
      </c>
    </row>
    <row r="21">
      <c r="A21" s="10" t="inlineStr">
        <is>
          <t>26. Total liabilities</t>
        </is>
      </c>
      <c r="B21" s="11">
        <f>SUM(B18:B20)</f>
        <v/>
      </c>
      <c r="C21" s="11">
        <f>SUM(C18:C20)</f>
        <v/>
      </c>
      <c r="D21" s="11">
        <f>SUM(D18:D20)</f>
        <v/>
      </c>
      <c r="E21" s="11">
        <f>SUM(E18:E20)</f>
        <v/>
      </c>
    </row>
    <row r="23">
      <c r="A23" s="6" t="inlineStr">
        <is>
          <t>Net assets / fund balances</t>
        </is>
      </c>
      <c r="B23" s="7" t="n"/>
      <c r="C23" s="7" t="n"/>
      <c r="D23" s="7" t="n"/>
      <c r="E23" s="7" t="n"/>
    </row>
    <row r="24">
      <c r="A24" s="8" t="inlineStr">
        <is>
          <t xml:space="preserve">    29. Capital stock or trust principal</t>
        </is>
      </c>
      <c r="B24" s="9" t="n">
        <v>21078527</v>
      </c>
      <c r="C24" s="9" t="n">
        <v>21078527</v>
      </c>
      <c r="D24" s="9" t="n">
        <v>21096389</v>
      </c>
      <c r="E24" s="9" t="n">
        <v>21095214</v>
      </c>
    </row>
    <row r="25">
      <c r="A25" s="8" t="inlineStr">
        <is>
          <t xml:space="preserve">    30. Paid-in or capital surplus</t>
        </is>
      </c>
      <c r="B25" s="9" t="n">
        <v>1907130</v>
      </c>
      <c r="C25" s="9" t="n">
        <v>1907130</v>
      </c>
      <c r="D25" s="9" t="n">
        <v>7337330</v>
      </c>
      <c r="E25" s="9" t="n">
        <v>6958275</v>
      </c>
    </row>
    <row r="26">
      <c r="A26" s="8" t="inlineStr">
        <is>
          <t xml:space="preserve">    31. Retained earnings / accumulated funds</t>
        </is>
      </c>
      <c r="B26" s="9" t="n">
        <v>43275102</v>
      </c>
      <c r="C26" s="9" t="n">
        <v>43435841</v>
      </c>
      <c r="D26" s="9" t="n">
        <v>43454509</v>
      </c>
      <c r="E26" s="9" t="n">
        <v>42931951</v>
      </c>
    </row>
    <row r="27">
      <c r="A27" s="10" t="inlineStr">
        <is>
          <t>32. Total net assets / fund balances</t>
        </is>
      </c>
      <c r="B27" s="11">
        <f>SUM(B24:B26)</f>
        <v/>
      </c>
      <c r="C27" s="11">
        <f>SUM(C24:C26)</f>
        <v/>
      </c>
      <c r="D27" s="11">
        <f>SUM(D24:D26)</f>
        <v/>
      </c>
      <c r="E27" s="11">
        <f>SUM(E24:E26)</f>
        <v/>
      </c>
    </row>
    <row r="29" ht="42" customHeight="1">
      <c r="A29" s="3" t="inlineStr">
        <is>
          <t>Every Part X line is end-of-year (column B), as filed. Section totals (lines 16 / 26 / 32) are live SUMs of the lines above; their tie-outs and the balance-sheet identity (16 = 26 + 32) are on the Sources &amp; audit tab. This filer files as a non-FASB mutual, so net assets sit on lines 29-31 (capital stock / paid-in capital / retained earnings); lines this filer does not report are omitted. Lines 10a/10b net into line 10c (shown).</t>
        </is>
      </c>
    </row>
  </sheetData>
  <mergeCells count="4">
    <mergeCell ref="A2:E2"/>
    <mergeCell ref="A29:E29"/>
    <mergeCell ref="A1:E1"/>
    <mergeCell ref="A3:E3"/>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1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California Domestic Water Company</t>
        </is>
      </c>
    </row>
    <row r="2">
      <c r="A2" s="2" t="inlineStr">
        <is>
          <t>Reconciliation of Net Assets - Form 990 Part XI (USD)</t>
        </is>
      </c>
    </row>
    <row r="3">
      <c r="A3" s="2" t="inlineStr">
        <is>
          <t>Entity ID: cawc_0029   |   Fiscal year ends June 30.</t>
        </is>
      </c>
    </row>
    <row r="5">
      <c r="A5" s="4" t="inlineStr">
        <is>
          <t>Part XI line</t>
        </is>
      </c>
      <c r="B5" s="5" t="inlineStr">
        <is>
          <t>FY2021</t>
        </is>
      </c>
      <c r="C5" s="5" t="inlineStr">
        <is>
          <t>FY2022</t>
        </is>
      </c>
      <c r="D5" s="5" t="inlineStr">
        <is>
          <t>FY2023</t>
        </is>
      </c>
      <c r="E5" s="5" t="inlineStr">
        <is>
          <t>FY2024</t>
        </is>
      </c>
    </row>
    <row r="6">
      <c r="A6" s="6" t="inlineStr">
        <is>
          <t>Reconciliation</t>
        </is>
      </c>
      <c r="B6" s="7" t="n"/>
      <c r="C6" s="7" t="n"/>
      <c r="D6" s="7" t="n"/>
      <c r="E6" s="7" t="n"/>
    </row>
    <row r="7">
      <c r="A7" s="8" t="inlineStr">
        <is>
          <t xml:space="preserve">    4. Net assets, beginning of year</t>
        </is>
      </c>
      <c r="B7" s="9" t="n">
        <v>66178746</v>
      </c>
      <c r="C7" s="9" t="n">
        <v>66260759</v>
      </c>
      <c r="D7" s="9" t="n">
        <v>66421498</v>
      </c>
      <c r="E7" s="9" t="n">
        <v>71888228</v>
      </c>
    </row>
    <row r="8">
      <c r="A8" s="8" t="inlineStr">
        <is>
          <t xml:space="preserve">    3. Revenue less expenses</t>
        </is>
      </c>
      <c r="B8" s="9" t="n">
        <v>236514</v>
      </c>
      <c r="C8" s="9" t="n">
        <v>813854</v>
      </c>
      <c r="D8" s="9" t="n">
        <v>-122395</v>
      </c>
      <c r="E8" s="9" t="n">
        <v>-522558</v>
      </c>
    </row>
    <row r="9">
      <c r="A9" s="8" t="inlineStr">
        <is>
          <t xml:space="preserve">    8. Prior period adjustments</t>
        </is>
      </c>
      <c r="B9" s="19" t="inlineStr">
        <is>
          <t>not reported</t>
        </is>
      </c>
      <c r="C9" s="19" t="inlineStr">
        <is>
          <t>not reported</t>
        </is>
      </c>
      <c r="D9" s="19" t="inlineStr">
        <is>
          <t>not reported</t>
        </is>
      </c>
      <c r="E9" s="19" t="inlineStr">
        <is>
          <t>not reported</t>
        </is>
      </c>
    </row>
    <row r="10">
      <c r="A10" s="8" t="inlineStr">
        <is>
          <t xml:space="preserve">    9. Other changes in net assets</t>
        </is>
      </c>
      <c r="B10" s="9" t="n">
        <v>-154501</v>
      </c>
      <c r="C10" s="9" t="n">
        <v>-653115</v>
      </c>
      <c r="D10" s="9" t="n">
        <v>5589125</v>
      </c>
      <c r="E10" s="9" t="n">
        <v>-380230</v>
      </c>
    </row>
    <row r="11">
      <c r="A11" s="10" t="inlineStr">
        <is>
          <t>10. Net assets, end of year</t>
        </is>
      </c>
      <c r="B11" s="11">
        <f>SUM(B7,B8,B9,B10)</f>
        <v/>
      </c>
      <c r="C11" s="11">
        <f>SUM(C7,C8,C9,C10)</f>
        <v/>
      </c>
      <c r="D11" s="11">
        <f>SUM(D7,D8,D9,D10)</f>
        <v/>
      </c>
      <c r="E11" s="11">
        <f>SUM(E7,E8,E9,E10)</f>
        <v/>
      </c>
    </row>
    <row r="13" ht="42" customHeight="1">
      <c r="A13" s="3" t="inlineStr">
        <is>
          <t>Part XI reconciles beginning to ending net assets. Ending net assets (line 10) is a live formula: beginning balance (line 4) + revenue less expenses (line 3) + prior-period adjustments (8) + other changes (9). Its tie-out to the filed line 10 (and to Part X line 32) is on the Sources &amp; audit tab. Lines 5-7 (unrealized gains, donated services, investment expenses) are not filed by this entity.</t>
        </is>
      </c>
    </row>
  </sheetData>
  <mergeCells count="4">
    <mergeCell ref="A2:E2"/>
    <mergeCell ref="A1:E1"/>
    <mergeCell ref="A13:E13"/>
    <mergeCell ref="A3:E3"/>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26"/>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s>
  <sheetData>
    <row r="1">
      <c r="A1" s="1" t="inlineStr">
        <is>
          <t>California Domestic Water Company</t>
        </is>
      </c>
    </row>
    <row r="2">
      <c r="A2" s="2" t="inlineStr">
        <is>
          <t>Cash Flow Proxies - derived (USD)</t>
        </is>
      </c>
    </row>
    <row r="3">
      <c r="A3" s="2" t="inlineStr">
        <is>
          <t>Entity ID: cawc_0029   |   Fiscal year ends June 30.</t>
        </is>
      </c>
    </row>
    <row r="5" ht="42" customHeight="1">
      <c r="A5" s="3" t="inlineStr">
        <is>
          <t>PROXY ONLY. The source filings contain no statement of cash flows. Lines below are derived from the reported income statement and year-over-year balance-sheet changes; treat as directional estimates, not GAAP cash flows. The earliest year has no prior period, so its delta cells are blank.</t>
        </is>
      </c>
    </row>
    <row r="7">
      <c r="A7" s="4" t="inlineStr">
        <is>
          <t>Proxy line (USD)</t>
        </is>
      </c>
      <c r="B7" s="5" t="inlineStr">
        <is>
          <t>FY2021</t>
        </is>
      </c>
      <c r="C7" s="5" t="inlineStr">
        <is>
          <t>FY2022</t>
        </is>
      </c>
      <c r="D7" s="5" t="inlineStr">
        <is>
          <t>FY2023</t>
        </is>
      </c>
      <c r="E7" s="5" t="inlineStr">
        <is>
          <t>FY2024</t>
        </is>
      </c>
    </row>
    <row r="8">
      <c r="A8" s="6" t="inlineStr">
        <is>
          <t>Operating</t>
        </is>
      </c>
      <c r="B8" s="7" t="n"/>
      <c r="C8" s="7" t="n"/>
      <c r="D8" s="7" t="n"/>
      <c r="E8" s="7" t="n"/>
    </row>
    <row r="9">
      <c r="A9" s="8" t="inlineStr">
        <is>
          <t xml:space="preserve">    Net income</t>
        </is>
      </c>
      <c r="B9" s="9" t="n">
        <v>236514</v>
      </c>
      <c r="C9" s="9" t="n">
        <v>813854</v>
      </c>
      <c r="D9" s="9" t="n">
        <v>-122395</v>
      </c>
      <c r="E9" s="9" t="n">
        <v>-522558</v>
      </c>
    </row>
    <row r="10">
      <c r="A10" s="8" t="inlineStr">
        <is>
          <t xml:space="preserve">    + Depreciation (reported)</t>
        </is>
      </c>
      <c r="B10" s="9" t="n">
        <v>1650278</v>
      </c>
      <c r="C10" s="9" t="n">
        <v>1596438</v>
      </c>
      <c r="D10" s="9" t="n">
        <v>1601981</v>
      </c>
      <c r="E10" s="9" t="n">
        <v>1647229</v>
      </c>
    </row>
    <row r="11">
      <c r="A11" s="8" t="inlineStr">
        <is>
          <t xml:space="preserve">    − Δ Accounts receivable</t>
        </is>
      </c>
      <c r="B11" s="9" t="n"/>
      <c r="C11" s="9" t="n">
        <v>285629</v>
      </c>
      <c r="D11" s="9" t="n">
        <v>3280106</v>
      </c>
      <c r="E11" s="9" t="n">
        <v>1488306</v>
      </c>
    </row>
    <row r="12">
      <c r="A12" s="8" t="inlineStr">
        <is>
          <t xml:space="preserve">    − Δ Inventories</t>
        </is>
      </c>
      <c r="B12" s="9" t="n"/>
      <c r="C12" s="9" t="n">
        <v>0</v>
      </c>
      <c r="D12" s="9" t="n">
        <v>0</v>
      </c>
      <c r="E12" s="9" t="n">
        <v>0</v>
      </c>
    </row>
    <row r="13">
      <c r="A13" s="8" t="inlineStr">
        <is>
          <t xml:space="preserve">    − Δ Prepaid expenses</t>
        </is>
      </c>
      <c r="B13" s="9" t="n"/>
      <c r="C13" s="9" t="n">
        <v>-1955716</v>
      </c>
      <c r="D13" s="9" t="n">
        <v>-1717296</v>
      </c>
      <c r="E13" s="9" t="n">
        <v>-2470140</v>
      </c>
    </row>
    <row r="14">
      <c r="A14" s="8" t="inlineStr">
        <is>
          <t xml:space="preserve">    + Δ Accounts payable</t>
        </is>
      </c>
      <c r="B14" s="9" t="n"/>
      <c r="C14" s="9" t="n">
        <v>-105682</v>
      </c>
      <c r="D14" s="9" t="n">
        <v>1404214</v>
      </c>
      <c r="E14" s="9" t="n">
        <v>367021</v>
      </c>
    </row>
    <row r="15">
      <c r="A15" s="10" t="inlineStr">
        <is>
          <t xml:space="preserve">    Operating cash flow proxy</t>
        </is>
      </c>
      <c r="B15" s="11" t="n"/>
      <c r="C15" s="11" t="n">
        <v>634523</v>
      </c>
      <c r="D15" s="11" t="n">
        <v>4446610</v>
      </c>
      <c r="E15" s="11" t="n">
        <v>509858</v>
      </c>
    </row>
    <row r="17">
      <c r="A17" s="6" t="inlineStr">
        <is>
          <t>Investing</t>
        </is>
      </c>
      <c r="B17" s="7" t="n"/>
      <c r="C17" s="7" t="n"/>
      <c r="D17" s="7" t="n"/>
      <c r="E17" s="7" t="n"/>
    </row>
    <row r="18">
      <c r="A18" s="8" t="inlineStr">
        <is>
          <t xml:space="preserve">    − Δ PP&amp;E gross (capex proxy)</t>
        </is>
      </c>
      <c r="B18" s="9" t="n"/>
      <c r="C18" s="9" t="n">
        <v>-628608</v>
      </c>
      <c r="D18" s="9" t="n">
        <v>-1889865</v>
      </c>
      <c r="E18" s="9" t="n">
        <v>-2398882</v>
      </c>
    </row>
    <row r="20">
      <c r="A20" s="6" t="inlineStr">
        <is>
          <t>Financing</t>
        </is>
      </c>
      <c r="B20" s="7" t="n"/>
      <c r="C20" s="7" t="n"/>
      <c r="D20" s="7" t="n"/>
      <c r="E20" s="7" t="n"/>
    </row>
    <row r="21">
      <c r="A21" s="8" t="inlineStr">
        <is>
          <t xml:space="preserve">    Δ Mortgages &amp; notes payable</t>
        </is>
      </c>
      <c r="B21" s="9" t="n"/>
      <c r="C21" s="9" t="n"/>
      <c r="D21" s="9" t="n"/>
      <c r="E21" s="9" t="n"/>
    </row>
    <row r="23">
      <c r="A23" s="6" t="inlineStr">
        <is>
          <t>Reconciliation</t>
        </is>
      </c>
      <c r="B23" s="7" t="n"/>
      <c r="C23" s="7" t="n"/>
      <c r="D23" s="7" t="n"/>
      <c r="E23" s="7" t="n"/>
    </row>
    <row r="24">
      <c r="A24" s="10" t="inlineStr">
        <is>
          <t xml:space="preserve">    Δ Cash + temp. investments (actual)</t>
        </is>
      </c>
      <c r="B24" s="11" t="n"/>
      <c r="C24" s="11" t="n">
        <v>-751603</v>
      </c>
      <c r="D24" s="11" t="n">
        <v>9467099</v>
      </c>
      <c r="E24" s="11" t="n">
        <v>-2203699</v>
      </c>
    </row>
    <row r="26" ht="42" customHeight="1">
      <c r="A26" s="3" t="inlineStr">
        <is>
          <t>The capex proxy assumes gross PP&amp;E rises only via capital spending (it ignores disposals). 'Δ Cash + temp. investments (actual)' is the real reported change in liquid funds and is the most reliable line here; the operating/investing/financing proxies will not perfectly reconcile to it.</t>
        </is>
      </c>
    </row>
  </sheetData>
  <mergeCells count="5">
    <mergeCell ref="A26:E26"/>
    <mergeCell ref="A2:E2"/>
    <mergeCell ref="A1:E1"/>
    <mergeCell ref="A5:E5"/>
    <mergeCell ref="A3:E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s>
  <sheetData>
    <row r="1">
      <c r="A1" s="1" t="inlineStr">
        <is>
          <t>California Domestic Water Company</t>
        </is>
      </c>
    </row>
    <row r="2">
      <c r="A2" s="2" t="inlineStr">
        <is>
          <t>Financial Ratios</t>
        </is>
      </c>
    </row>
    <row r="3">
      <c r="A3" s="2" t="inlineStr">
        <is>
          <t>Entity ID: cawc_0029   |   Fiscal year ends June 30.</t>
        </is>
      </c>
    </row>
    <row r="5">
      <c r="A5" s="4" t="inlineStr">
        <is>
          <t>Ratio</t>
        </is>
      </c>
      <c r="B5" s="5" t="inlineStr">
        <is>
          <t>FY2021</t>
        </is>
      </c>
      <c r="C5" s="5" t="inlineStr">
        <is>
          <t>FY2022</t>
        </is>
      </c>
      <c r="D5" s="5" t="inlineStr">
        <is>
          <t>FY2023</t>
        </is>
      </c>
      <c r="E5" s="5" t="inlineStr">
        <is>
          <t>FY2024</t>
        </is>
      </c>
    </row>
    <row r="6">
      <c r="A6" s="6" t="inlineStr">
        <is>
          <t>Profitability (computed upstream)</t>
        </is>
      </c>
      <c r="B6" s="7" t="n"/>
      <c r="C6" s="7" t="n"/>
      <c r="D6" s="7" t="n"/>
      <c r="E6" s="7" t="n"/>
    </row>
    <row r="7">
      <c r="A7" s="8" t="inlineStr">
        <is>
          <t xml:space="preserve">    Operating margin (NI / revenue)</t>
        </is>
      </c>
      <c r="B7" s="12" t="n">
        <v>0.0118422708896559</v>
      </c>
      <c r="C7" s="12" t="n">
        <v>0.04118767702744502</v>
      </c>
      <c r="D7" s="12" t="n">
        <v>-0.007707849001603853</v>
      </c>
      <c r="E7" s="12" t="n">
        <v>-0.03389932544261929</v>
      </c>
    </row>
    <row r="8">
      <c r="A8" s="8" t="inlineStr">
        <is>
          <t xml:space="preserve">    Expense ratio (expenses / revenue)</t>
        </is>
      </c>
      <c r="B8" s="12" t="n">
        <v>0.9881577291103441</v>
      </c>
      <c r="C8" s="12" t="n">
        <v>0.958812322972555</v>
      </c>
      <c r="D8" s="12" t="n">
        <v>1.007707849001604</v>
      </c>
      <c r="E8" s="12" t="n">
        <v>1.033899325442619</v>
      </c>
    </row>
    <row r="9">
      <c r="A9" s="8" t="inlineStr">
        <is>
          <t xml:space="preserve">    Return on assets (NI / assets)</t>
        </is>
      </c>
      <c r="B9" s="12" t="n">
        <v>0.00313976052280224</v>
      </c>
      <c r="C9" s="12" t="n">
        <v>0.01079444438932779</v>
      </c>
      <c r="D9" s="12" t="n">
        <v>-0.001462101753920038</v>
      </c>
      <c r="E9" s="12" t="n">
        <v>-0.006194583523916648</v>
      </c>
    </row>
    <row r="10">
      <c r="A10" s="8" t="inlineStr">
        <is>
          <t xml:space="preserve">    Revenue growth (YoY)</t>
        </is>
      </c>
      <c r="B10" s="12" t="n">
        <v>0.2552877040469613</v>
      </c>
      <c r="C10" s="12" t="n">
        <v>-0.01063317900738503</v>
      </c>
      <c r="D10" s="12" t="n">
        <v>-0.1963790043223442</v>
      </c>
      <c r="E10" s="12" t="n">
        <v>-0.02923755679417968</v>
      </c>
    </row>
    <row r="12">
      <c r="A12" s="6" t="inlineStr">
        <is>
          <t>Leverage &amp; solvency</t>
        </is>
      </c>
      <c r="B12" s="7" t="n"/>
      <c r="C12" s="7" t="n"/>
      <c r="D12" s="7" t="n"/>
      <c r="E12" s="7" t="n"/>
    </row>
    <row r="13">
      <c r="A13" s="8" t="inlineStr">
        <is>
          <t xml:space="preserve">    Debt-to-assets (liab. / assets)</t>
        </is>
      </c>
      <c r="B13" s="12" t="n">
        <v>0.1203780101004033</v>
      </c>
      <c r="C13" s="12" t="n">
        <v>0.1190272869374031</v>
      </c>
      <c r="D13" s="12" t="n">
        <v>0.1412402120592867</v>
      </c>
      <c r="E13" s="12" t="n">
        <v>0.1585140078958245</v>
      </c>
    </row>
    <row r="14">
      <c r="A14" s="8" t="inlineStr">
        <is>
          <t xml:space="preserve">    Equity ratio (net assets / assets)</t>
        </is>
      </c>
      <c r="B14" s="12" t="n">
        <v>0.8796219898995966</v>
      </c>
      <c r="C14" s="12" t="n">
        <v>0.8809727130625968</v>
      </c>
      <c r="D14" s="12" t="n">
        <v>0.8587597879407133</v>
      </c>
      <c r="E14" s="12" t="n">
        <v>0.8414859921041755</v>
      </c>
    </row>
    <row r="16">
      <c r="A16" s="6" t="inlineStr">
        <is>
          <t>Liquidity &amp; asset profile (derived here)</t>
        </is>
      </c>
      <c r="B16" s="7" t="n"/>
      <c r="C16" s="7" t="n"/>
      <c r="D16" s="7" t="n"/>
      <c r="E16" s="7" t="n"/>
    </row>
    <row r="17">
      <c r="A17" s="8" t="inlineStr">
        <is>
          <t xml:space="preserve">    Current ratio (current assets / AP)</t>
        </is>
      </c>
      <c r="B17" s="20" t="n">
        <v>2.48948056041622</v>
      </c>
      <c r="C17" s="20" t="n">
        <v>2.621331893683111</v>
      </c>
      <c r="D17" s="20" t="n">
        <v>3.028771664102107</v>
      </c>
      <c r="E17" s="20" t="n">
        <v>2.81135255147577</v>
      </c>
    </row>
    <row r="18">
      <c r="A18" s="8" t="inlineStr">
        <is>
          <t xml:space="preserve">    Cash ratio ((cash+temp inv.) / total liab.)</t>
        </is>
      </c>
      <c r="B18" s="20" t="n">
        <v>0.2588238576537321</v>
      </c>
      <c r="C18" s="20" t="n">
        <v>0.1777764059344753</v>
      </c>
      <c r="D18" s="20" t="n">
        <v>0.9356392073518944</v>
      </c>
      <c r="E18" s="20" t="n">
        <v>0.6624976957112372</v>
      </c>
    </row>
    <row r="19">
      <c r="A19" s="8" t="inlineStr">
        <is>
          <t xml:space="preserve">    Asset age proxy (accum. deprec. / gross PP&amp;E)</t>
        </is>
      </c>
      <c r="B19" s="12" t="n">
        <v>0.5155846335607059</v>
      </c>
      <c r="C19" s="12" t="n">
        <v>0.5339682643578069</v>
      </c>
      <c r="D19" s="12" t="n">
        <v>0.5412085359662107</v>
      </c>
      <c r="E19" s="12" t="n">
        <v>0.5442760086028154</v>
      </c>
    </row>
    <row r="21" ht="42" customHeight="1">
      <c r="A21" s="3" t="inlineStr">
        <is>
          <t>Upstream ratios are read from financials_annual; derived ratios are computed only where inputs are reported. Current ratio uses accounts payable as the current-liability proxy (the filings do not split current vs. long-term liabilities). Asset age proxy: a higher % implies older / more depreciated infrastructure.</t>
        </is>
      </c>
    </row>
  </sheetData>
  <mergeCells count="4">
    <mergeCell ref="A2:E2"/>
    <mergeCell ref="A21:E21"/>
    <mergeCell ref="A1:E1"/>
    <mergeCell ref="A3:E3"/>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1"/>
  <sheetViews>
    <sheetView workbookViewId="0">
      <pane ySplit="4" topLeftCell="A5" activePane="bottomLeft" state="frozen"/>
      <selection pane="bottomLeft" activeCell="A1" sqref="A1"/>
    </sheetView>
  </sheetViews>
  <sheetFormatPr baseColWidth="8" defaultRowHeight="15"/>
  <cols>
    <col width="42" customWidth="1" min="1" max="1"/>
    <col width="18" customWidth="1" min="2" max="2"/>
    <col width="20" customWidth="1" min="3" max="3"/>
    <col width="16" customWidth="1" min="4" max="4"/>
    <col width="60" customWidth="1" min="5" max="5"/>
  </cols>
  <sheetData>
    <row r="1">
      <c r="A1" s="1" t="inlineStr">
        <is>
          <t>California Domestic Water Company</t>
        </is>
      </c>
    </row>
    <row r="2">
      <c r="A2" s="2" t="inlineStr">
        <is>
          <t>Unit economics - per-customer revenue by category (USD)</t>
        </is>
      </c>
    </row>
    <row r="3">
      <c r="A3" s="2" t="inlineStr">
        <is>
          <t>Entity ID: cawc_0029   |   Fiscal year ends June 30.</t>
        </is>
      </c>
    </row>
    <row r="5" ht="96" customHeight="1">
      <c r="A5" s="3" t="inlineStr">
        <is>
          <t>Every metric here is PER CUSTOMER (a metered service connection). It is not a per-member figure; the member (shareholder) count is a different denominator, shown in the denominator block. The visible cell shows the value and its classification; the numerator, denominator, formula, and rationale are in each metric's LOGIC popup.</t>
        </is>
      </c>
    </row>
    <row r="6">
      <c r="A6" s="21" t="inlineStr">
        <is>
          <t>Per-customer denominator (service connections)</t>
        </is>
      </c>
      <c r="B6" s="22" t="n"/>
      <c r="C6" s="23" t="inlineStr">
        <is>
          <t>State Water Board eAR Section 4</t>
        </is>
      </c>
    </row>
    <row r="7">
      <c r="A7" s="21" t="inlineStr">
        <is>
          <t>Total annual revenue (eAR Section 8b B1.8)</t>
        </is>
      </c>
      <c r="B7" s="22" t="n"/>
      <c r="C7" s="23" t="inlineStr">
        <is>
          <t>eAR Section 8b total annual revenue not reported for this system.</t>
        </is>
      </c>
    </row>
    <row r="8">
      <c r="A8" s="21" t="inlineStr">
        <is>
          <t>Primary source</t>
        </is>
      </c>
      <c r="B8" s="22" t="inlineStr"/>
      <c r="C8" s="23" t="n"/>
    </row>
    <row r="10">
      <c r="A10" s="6" t="inlineStr">
        <is>
          <t>Revenue categories (value, classification, per customer, share)</t>
        </is>
      </c>
      <c r="B10" s="7" t="n"/>
      <c r="C10" s="7" t="n"/>
      <c r="D10" s="7" t="n"/>
      <c r="E10" s="7" t="n"/>
    </row>
    <row r="11">
      <c r="A11" s="5" t="inlineStr">
        <is>
          <t>Revenue category</t>
        </is>
      </c>
      <c r="B11" s="5" t="inlineStr">
        <is>
          <t>Classification</t>
        </is>
      </c>
      <c r="C11" s="5" t="inlineStr">
        <is>
          <t>Value (USD)</t>
        </is>
      </c>
      <c r="D11" s="5" t="inlineStr">
        <is>
          <t>Per customer</t>
        </is>
      </c>
      <c r="E11" s="5" t="inlineStr">
        <is>
          <t>Share of revenue</t>
        </is>
      </c>
    </row>
    <row r="12">
      <c r="A12" s="8" t="inlineStr">
        <is>
          <t>Water sales revenue</t>
        </is>
      </c>
      <c r="B12" s="24" t="inlineStr">
        <is>
          <t>not reported</t>
        </is>
      </c>
      <c r="C12" s="25" t="inlineStr">
        <is>
          <t>not reported</t>
        </is>
      </c>
      <c r="D12" s="25" t="inlineStr">
        <is>
          <t>not reported</t>
        </is>
      </c>
      <c r="E12" s="25" t="inlineStr">
        <is>
          <t>not reported</t>
        </is>
      </c>
    </row>
    <row r="13">
      <c r="A13" s="8" t="inlineStr">
        <is>
          <t>Assessment revenue (990 program-service revenue not matched to eAR water-rate revenue)</t>
        </is>
      </c>
      <c r="B13" s="24" t="inlineStr">
        <is>
          <t>IMPOSSIBLE</t>
        </is>
      </c>
      <c r="C13" s="25" t="inlineStr">
        <is>
          <t>IMPOSSIBLE</t>
        </is>
      </c>
      <c r="D13" s="25" t="inlineStr">
        <is>
          <t>IMPOSSIBLE</t>
        </is>
      </c>
      <c r="E13" s="25" t="inlineStr">
        <is>
          <t>IMPOSSIBLE</t>
        </is>
      </c>
    </row>
    <row r="14">
      <c r="A14" s="8" t="inlineStr">
        <is>
          <t>Meter revenue</t>
        </is>
      </c>
      <c r="B14" s="24" t="inlineStr">
        <is>
          <t>not reported</t>
        </is>
      </c>
      <c r="C14" s="25" t="inlineStr">
        <is>
          <t>not reported</t>
        </is>
      </c>
      <c r="D14" s="25" t="inlineStr">
        <is>
          <t>not reported</t>
        </is>
      </c>
      <c r="E14" s="25" t="inlineStr">
        <is>
          <t>not reported</t>
        </is>
      </c>
    </row>
    <row r="15">
      <c r="A15" s="8" t="inlineStr">
        <is>
          <t>Overage or tiered penalty revenue</t>
        </is>
      </c>
      <c r="B15" s="24" t="inlineStr">
        <is>
          <t>not reported</t>
        </is>
      </c>
      <c r="C15" s="25" t="inlineStr">
        <is>
          <t>not reported</t>
        </is>
      </c>
      <c r="D15" s="25" t="inlineStr">
        <is>
          <t>not reported</t>
        </is>
      </c>
      <c r="E15" s="25" t="inlineStr">
        <is>
          <t>not reported</t>
        </is>
      </c>
    </row>
    <row r="17">
      <c r="A17" s="6" t="inlineStr">
        <is>
          <t>Water sales revenue - not reported</t>
        </is>
      </c>
      <c r="B17" s="7" t="n"/>
      <c r="C17" s="7" t="n"/>
      <c r="D17" s="7" t="n"/>
      <c r="E17" s="7" t="n"/>
    </row>
    <row r="18" ht="51" customHeight="1">
      <c r="A18" s="3" t="inlineStr">
        <is>
          <t>Not reported: this system filed an eAR but no Section 8b revenue block, so there is no filed water-sales figure. Not fallen back to a different year.</t>
        </is>
      </c>
    </row>
    <row r="19" ht="36" customHeight="1">
      <c r="A19" s="3" t="inlineStr">
        <is>
          <t>Reason: No filed eAR Section 8b water-rate revenue for this system.</t>
        </is>
      </c>
    </row>
    <row r="21">
      <c r="A21" s="6" t="inlineStr">
        <is>
          <t>Assessment revenue (990 program-service revenue not matched to eAR water-rate revenue) - IMPOSSIBLE</t>
        </is>
      </c>
      <c r="B21" s="7" t="n"/>
      <c r="C21" s="7" t="n"/>
      <c r="D21" s="7" t="n"/>
      <c r="E21" s="7" t="n"/>
    </row>
    <row r="22" ht="36" customHeight="1">
      <c r="A22" s="3" t="inlineStr">
        <is>
          <t>Not computed. A period-aligned residual is not possible for this filer.</t>
        </is>
      </c>
    </row>
    <row r="23" ht="66" customHeight="1">
      <c r="A23" s="3" t="inlineStr">
        <is>
          <t>Reason: Not derivable. The eAR Section 8b is reporting year None while the Form 990 fiscal year ends None; the two period ends are not aligned, so a period-aligned residual cannot be computed.</t>
        </is>
      </c>
    </row>
    <row r="25">
      <c r="A25" s="6" t="inlineStr">
        <is>
          <t>Meter revenue - not reported</t>
        </is>
      </c>
      <c r="B25" s="7" t="n"/>
      <c r="C25" s="7" t="n"/>
      <c r="D25" s="7" t="n"/>
      <c r="E25" s="7" t="n"/>
    </row>
    <row r="26" ht="36" customHeight="1">
      <c r="A26" s="3" t="inlineStr">
        <is>
          <t>Not reported. This category is not built because doing so would double-count.</t>
        </is>
      </c>
    </row>
    <row r="27" ht="81" customHeight="1">
      <c r="A27" s="3" t="inlineStr">
        <is>
          <t>Reason: 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9">
      <c r="A29" s="6" t="inlineStr">
        <is>
          <t>Overage or tiered penalty revenue - not reported</t>
        </is>
      </c>
      <c r="B29" s="7" t="n"/>
      <c r="C29" s="7" t="n"/>
      <c r="D29" s="7" t="n"/>
      <c r="E29" s="7" t="n"/>
    </row>
    <row r="30" ht="36" customHeight="1">
      <c r="A30" s="3" t="inlineStr">
        <is>
          <t>Not reported. This category is not built because doing so would double-count.</t>
        </is>
      </c>
    </row>
    <row r="31" ht="81" customHeight="1">
      <c r="A31" s="3" t="inlineStr">
        <is>
          <t>Reason: The eAR Section 8a reports tiered/overage rate PRICES, but the filing carries no overage revenue and no tier consumption volume, and any overage billed is already inside the water-sales revenue. Building it would double-count. Not backed into from a total.</t>
        </is>
      </c>
    </row>
  </sheetData>
  <mergeCells count="12">
    <mergeCell ref="A30:E30"/>
    <mergeCell ref="A26:E26"/>
    <mergeCell ref="A2:E2"/>
    <mergeCell ref="A19:E19"/>
    <mergeCell ref="A1:E1"/>
    <mergeCell ref="A5:E5"/>
    <mergeCell ref="A23:E23"/>
    <mergeCell ref="A31:E31"/>
    <mergeCell ref="A22:E22"/>
    <mergeCell ref="A18:E18"/>
    <mergeCell ref="A27:E27"/>
    <mergeCell ref="A3:E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6" customWidth="1" min="2" max="2"/>
    <col width="16" customWidth="1" min="3" max="3"/>
    <col width="16" customWidth="1" min="4" max="4"/>
  </cols>
  <sheetData>
    <row r="1">
      <c r="A1" s="1" t="inlineStr">
        <is>
          <t>California Domestic Water Company</t>
        </is>
      </c>
    </row>
    <row r="2">
      <c r="A2" s="2" t="inlineStr">
        <is>
          <t>Rate structure and representative bill - eAR Section 8a</t>
        </is>
      </c>
    </row>
    <row r="3">
      <c r="A3" s="2" t="inlineStr">
        <is>
          <t>Entity ID: cawc_0029   |   Fiscal year ends June 30.</t>
        </is>
      </c>
    </row>
    <row r="5" ht="81" customHeight="1">
      <c r="A5" s="26" t="inlineStr">
        <is>
          <t>This block is a rate-schedule illustration at defined usage levels. It is NOT billed revenue and not a claim about any real customer's usage. The revenue side of unit economics is the separate Unit Economics block.</t>
        </is>
      </c>
    </row>
    <row r="6" ht="36" customHeight="1">
      <c r="A6" s="3" t="inlineStr">
        <is>
          <t>No filed eAR Section 8a rate schedule is staged for this system.</t>
        </is>
      </c>
    </row>
  </sheetData>
  <mergeCells count="5">
    <mergeCell ref="A1:D1"/>
    <mergeCell ref="A5:D5"/>
    <mergeCell ref="A6:D6"/>
    <mergeCell ref="A3:D3"/>
    <mergeCell ref="A2:D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2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4" customWidth="1" min="2" max="2"/>
    <col width="14" customWidth="1" min="3" max="3"/>
    <col width="16" customWidth="1" min="4" max="4"/>
    <col width="16" customWidth="1" min="5" max="5"/>
    <col width="16" customWidth="1" min="6" max="6"/>
    <col width="48" customWidth="1" min="7" max="7"/>
  </cols>
  <sheetData>
    <row r="1">
      <c r="A1" s="1" t="inlineStr">
        <is>
          <t>California Domestic Water Company</t>
        </is>
      </c>
    </row>
    <row r="2">
      <c r="A2" s="2" t="inlineStr">
        <is>
          <t>Denominators and calendar alignment</t>
        </is>
      </c>
    </row>
    <row r="3">
      <c r="A3" s="2" t="inlineStr">
        <is>
          <t>Entity ID: cawc_0029   |   Fiscal year ends June 30.</t>
        </is>
      </c>
    </row>
    <row r="5" ht="126" customHeight="1">
      <c r="A5" s="3" t="inlineStr">
        <is>
          <t>System size and water use per fiscal year (the operating denominators that per-customer and per-acre metrics divide by), each cited to file and field. The eAR is reported on the calendar year; the 990 fiscal year differs by company. A calendar-year filer's volume is the eAR annual total (fiscal year = calendar year); an offset filer's is recast by a true monthly sum of the covered calendar months, or read not reported naming the missing months. Point-in-time counts (connections, population) are matched to the closest eAR year and never summed. Every derived figure states its formula and accounting rationale.</t>
        </is>
      </c>
    </row>
    <row r="6">
      <c r="A6" s="6" t="inlineStr">
        <is>
          <t>Member vs customer (two different denominators, both preserved)</t>
        </is>
      </c>
      <c r="B6" s="7" t="n"/>
      <c r="C6" s="7" t="n"/>
      <c r="D6" s="7" t="n"/>
      <c r="E6" s="7" t="n"/>
      <c r="F6" s="7" t="n"/>
      <c r="G6" s="7" t="n"/>
    </row>
    <row r="7">
      <c r="A7" s="21" t="inlineStr">
        <is>
          <t>Customer (service connection)</t>
        </is>
      </c>
      <c r="B7" s="27" t="n">
        <v>21</v>
      </c>
      <c r="C7" s="23" t="inlineStr">
        <is>
          <t>State Water Board eAR Section 4 (CurTotalConnections), reporting year 2022</t>
        </is>
      </c>
    </row>
    <row r="8">
      <c r="A8" s="21" t="inlineStr">
        <is>
          <t>Member (shareholder)</t>
        </is>
      </c>
      <c r="B8" s="22" t="n"/>
      <c r="C8" s="23" t="inlineStr">
        <is>
          <t>No published shareholder count</t>
        </is>
      </c>
    </row>
    <row r="9" ht="96" customHeight="1">
      <c r="A9" s="3" t="inlineStr">
        <is>
          <t>In a mutual water company a MEMBER is a shareholder who owns part of the system; a CUSTOMER is a metered service connection that receives water. The two diverge because one owner can hold several connections, a connection can serve people who are not owners, and some mutuals attach shares to land by acreage rather than counting heads. Per-customer metrics divide by service connections; per-member metrics divide by shareholders; the two counts are never used interchangeably.</t>
        </is>
      </c>
    </row>
    <row r="11">
      <c r="A11" s="6" t="inlineStr">
        <is>
          <t>Denominator layer by fiscal year</t>
        </is>
      </c>
      <c r="B11" s="7" t="n"/>
      <c r="C11" s="7" t="n"/>
      <c r="D11" s="7" t="n"/>
      <c r="E11" s="7" t="n"/>
      <c r="F11" s="7" t="n"/>
      <c r="G11" s="7" t="n"/>
    </row>
    <row r="12">
      <c r="A12" s="5" t="inlineStr">
        <is>
          <t>Fiscal year (end)</t>
        </is>
      </c>
      <c r="B12" s="5" t="inlineStr">
        <is>
          <t>Connections</t>
        </is>
      </c>
      <c r="C12" s="5" t="inlineStr">
        <is>
          <t>Population</t>
        </is>
      </c>
      <c r="D12" s="5" t="inlineStr">
        <is>
          <t>Service-area acres</t>
        </is>
      </c>
      <c r="E12" s="5" t="inlineStr">
        <is>
          <t>Water produced (AF)</t>
        </is>
      </c>
      <c r="F12" s="5" t="inlineStr">
        <is>
          <t>Water delivered (AF)</t>
        </is>
      </c>
      <c r="G12" s="5" t="inlineStr">
        <is>
          <t>Alignment method</t>
        </is>
      </c>
    </row>
    <row r="13" ht="40" customHeight="1">
      <c r="A13" s="8" t="inlineStr">
        <is>
          <t>FY2020 (2020-06-30)</t>
        </is>
      </c>
      <c r="B13" s="27" t="n">
        <v>21</v>
      </c>
      <c r="C13" s="19" t="inlineStr">
        <is>
          <t>not reported</t>
        </is>
      </c>
      <c r="D13" s="19" t="inlineStr">
        <is>
          <t>not reported</t>
        </is>
      </c>
      <c r="E13" s="19" t="inlineStr">
        <is>
          <t>not reported</t>
        </is>
      </c>
      <c r="F13" s="19" t="inlineStr">
        <is>
          <t>not reported</t>
        </is>
      </c>
      <c r="G13" s="22" t="inlineStr">
        <is>
          <t>recast from monthly eAR data to fiscal year ending June 30, 2020</t>
        </is>
      </c>
    </row>
    <row r="14" ht="40" customHeight="1">
      <c r="A14" s="8" t="inlineStr">
        <is>
          <t>FY2021 (2021-06-30)</t>
        </is>
      </c>
      <c r="B14" s="27" t="n">
        <v>21</v>
      </c>
      <c r="C14" s="19" t="inlineStr">
        <is>
          <t>not reported</t>
        </is>
      </c>
      <c r="D14" s="19" t="inlineStr">
        <is>
          <t>not reported</t>
        </is>
      </c>
      <c r="E14" s="19" t="inlineStr">
        <is>
          <t>not reported</t>
        </is>
      </c>
      <c r="F14" s="19" t="inlineStr">
        <is>
          <t>not reported</t>
        </is>
      </c>
      <c r="G14" s="22" t="inlineStr">
        <is>
          <t>recast from monthly eAR data to fiscal year ending June 30, 2021</t>
        </is>
      </c>
    </row>
    <row r="15" ht="40" customHeight="1">
      <c r="A15" s="8" t="inlineStr">
        <is>
          <t>FY2022 (2022-06-30)</t>
        </is>
      </c>
      <c r="B15" s="27" t="n">
        <v>21</v>
      </c>
      <c r="C15" s="19" t="inlineStr">
        <is>
          <t>not reported</t>
        </is>
      </c>
      <c r="D15" s="19" t="inlineStr">
        <is>
          <t>not reported</t>
        </is>
      </c>
      <c r="E15" s="19" t="inlineStr">
        <is>
          <t>not reported</t>
        </is>
      </c>
      <c r="F15" s="19" t="inlineStr">
        <is>
          <t>not reported</t>
        </is>
      </c>
      <c r="G15" s="22" t="inlineStr">
        <is>
          <t>recast from monthly eAR data to fiscal year ending June 30, 2022</t>
        </is>
      </c>
    </row>
    <row r="16" ht="40" customHeight="1">
      <c r="A16" s="8" t="inlineStr">
        <is>
          <t>FY2023 (2023-06-30)</t>
        </is>
      </c>
      <c r="B16" s="27" t="n">
        <v>21</v>
      </c>
      <c r="C16" s="19" t="inlineStr">
        <is>
          <t>not reported</t>
        </is>
      </c>
      <c r="D16" s="19" t="inlineStr">
        <is>
          <t>not reported</t>
        </is>
      </c>
      <c r="E16" s="19" t="inlineStr">
        <is>
          <t>not reported</t>
        </is>
      </c>
      <c r="F16" s="19" t="inlineStr">
        <is>
          <t>not reported</t>
        </is>
      </c>
      <c r="G16" s="22" t="inlineStr">
        <is>
          <t>recast from monthly eAR data to fiscal year ending June 30, 2023</t>
        </is>
      </c>
    </row>
    <row r="17" ht="40" customHeight="1">
      <c r="A17" s="8" t="inlineStr">
        <is>
          <t>FY2024 (2024-06-30)</t>
        </is>
      </c>
      <c r="B17" s="27" t="n">
        <v>21</v>
      </c>
      <c r="C17" s="19" t="inlineStr">
        <is>
          <t>not reported</t>
        </is>
      </c>
      <c r="D17" s="19" t="inlineStr">
        <is>
          <t>not reported</t>
        </is>
      </c>
      <c r="E17" s="19" t="inlineStr">
        <is>
          <t>not reported</t>
        </is>
      </c>
      <c r="F17" s="19" t="inlineStr">
        <is>
          <t>not reported</t>
        </is>
      </c>
      <c r="G17" s="22" t="inlineStr">
        <is>
          <t>recast from monthly eAR data to fiscal year ending June 30, 2024</t>
        </is>
      </c>
    </row>
    <row r="19">
      <c r="A19" s="6" t="inlineStr">
        <is>
          <t>Connections by class - FY2024 (eAR Section 4)</t>
        </is>
      </c>
      <c r="B19" s="7" t="n"/>
      <c r="C19" s="7" t="n"/>
      <c r="D19" s="7" t="n"/>
      <c r="E19" s="7" t="n"/>
      <c r="F19" s="7" t="n"/>
      <c r="G19" s="7" t="n"/>
    </row>
    <row r="20">
      <c r="A20" s="21" t="inlineStr">
        <is>
          <t>Single-family residential</t>
        </is>
      </c>
      <c r="B20" s="27" t="n">
        <v>0</v>
      </c>
      <c r="C20" s="23" t="inlineStr"/>
    </row>
    <row r="21">
      <c r="A21" s="21" t="inlineStr">
        <is>
          <t>Multi-family residential</t>
        </is>
      </c>
      <c r="B21" s="27" t="n">
        <v>0</v>
      </c>
      <c r="C21" s="23" t="inlineStr"/>
    </row>
    <row r="22">
      <c r="A22" s="21" t="inlineStr">
        <is>
          <t>Commercial and institutional</t>
        </is>
      </c>
      <c r="B22" s="27" t="n">
        <v>20</v>
      </c>
      <c r="C22" s="23" t="inlineStr"/>
    </row>
    <row r="23">
      <c r="A23" s="21" t="inlineStr">
        <is>
          <t>Industrial</t>
        </is>
      </c>
      <c r="B23" s="27" t="n">
        <v>1</v>
      </c>
      <c r="C23" s="23" t="inlineStr"/>
    </row>
    <row r="24">
      <c r="A24" s="21" t="inlineStr">
        <is>
          <t>Landscape irrigation</t>
        </is>
      </c>
      <c r="B24" s="27" t="n">
        <v>0</v>
      </c>
      <c r="C24" s="23" t="inlineStr"/>
    </row>
    <row r="25">
      <c r="A25" s="21" t="inlineStr">
        <is>
          <t>Agricultural</t>
        </is>
      </c>
      <c r="B25" s="27" t="n">
        <v>0</v>
      </c>
      <c r="C25" s="23" t="inlineStr"/>
    </row>
    <row r="26" ht="81" customHeight="1">
      <c r="A26" s="3" t="inlineStr">
        <is>
          <t>Monthly-volume source: California open-data portal (data.ca.gov): the separate Produced Water (by month and source) and Delivered Water (by month and connection type) resources, which cover every public water system (not only urban suppliers), one resource per reporting year, matched by exact PWSID. This is the aggregate publication of eAR Section 6.</t>
        </is>
      </c>
    </row>
  </sheetData>
  <mergeCells count="6">
    <mergeCell ref="A1:G1"/>
    <mergeCell ref="A9:G9"/>
    <mergeCell ref="A3:G3"/>
    <mergeCell ref="A26:G26"/>
    <mergeCell ref="A2:G2"/>
    <mergeCell ref="A5:G5"/>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25"/>
  <sheetViews>
    <sheetView workbookViewId="0">
      <pane ySplit="4" topLeftCell="A5" activePane="bottomLeft" state="frozen"/>
      <selection pane="bottomLeft" activeCell="A1" sqref="A1"/>
    </sheetView>
  </sheetViews>
  <sheetFormatPr baseColWidth="8" defaultRowHeight="15"/>
  <cols>
    <col width="26" customWidth="1" min="1" max="1"/>
    <col width="16" customWidth="1" min="2" max="2"/>
    <col width="40" customWidth="1" min="3" max="3"/>
    <col width="40" customWidth="1" min="4" max="4"/>
    <col width="12" customWidth="1" min="5" max="5"/>
  </cols>
  <sheetData>
    <row r="1">
      <c r="A1" s="1" t="inlineStr">
        <is>
          <t>California Domestic Water Company</t>
        </is>
      </c>
    </row>
    <row r="2">
      <c r="A2" s="2" t="inlineStr">
        <is>
          <t>Governance evidence status - Ostrom's eight design principles</t>
        </is>
      </c>
    </row>
    <row r="3">
      <c r="A3" s="2" t="inlineStr">
        <is>
          <t>Entity ID: cawc_0029   |   Fiscal year ends June 30.</t>
        </is>
      </c>
    </row>
    <row r="5">
      <c r="A5" s="28" t="inlineStr">
        <is>
          <t>Evidence summary: 2 documented, 2 partial, 4 not documented of eight principles.</t>
        </is>
      </c>
      <c r="B5" s="7" t="n"/>
      <c r="C5" s="7" t="n"/>
      <c r="D5" s="7" t="n"/>
      <c r="E5" s="7" t="n"/>
    </row>
    <row r="6" ht="81" customHeight="1">
      <c r="A6" s="3" t="inlineStr">
        <is>
          <t>A count of how many of Elinor Ostrom's eight design principles have a supporting record on file, not a grade. NOT DOCUMENTED means the supporting record was not found, not that the company governs badly. It marks a gap in the documentary record, an evidence gap to close, never a governance failing.</t>
        </is>
      </c>
    </row>
    <row r="7" ht="201" customHeight="1">
      <c r="A7" s="3" t="inlineStr">
        <is>
          <t>Each mutual is read against Elinor Ostrom's eight design principles for institutions that govern a shared resource durably. Per principle: a one-line finding, the observable signal, a citation, and an evidence status stating whether the supporting record exists: DOCUMENTED (a cited record supports alignment), PARTIAL (some evidence exists but it is incomplete), or NOT DOCUMENTED (no supporting record was found). This is an evidence-status read, not a grade: the principles are never ranked, weighted, or given a letter, consistent with reporting as filed and not grading companies. NOT DOCUMENTED means the supporting record was not found, not that the company governs badly. It marks a gap in the documentary record, an evidence gap to close, never a governance failing.</t>
        </is>
      </c>
    </row>
    <row r="9">
      <c r="A9" s="5" t="inlineStr">
        <is>
          <t>Principle</t>
        </is>
      </c>
      <c r="B9" s="5" t="inlineStr">
        <is>
          <t>Evidence status</t>
        </is>
      </c>
      <c r="C9" s="5" t="inlineStr">
        <is>
          <t>Finding</t>
        </is>
      </c>
      <c r="D9" s="5" t="inlineStr">
        <is>
          <t>Signal</t>
        </is>
      </c>
      <c r="E9" s="5" t="inlineStr">
        <is>
          <t>Citation</t>
        </is>
      </c>
    </row>
    <row r="10" ht="46" customHeight="1">
      <c r="A10" s="8" t="inlineStr">
        <is>
          <t>Clearly defined boundaries</t>
        </is>
      </c>
      <c r="B10" s="24" t="inlineStr">
        <is>
          <t>PARTIAL</t>
        </is>
      </c>
      <c r="C10" s="22" t="inlineStr">
        <is>
          <t>The system is a defined public water system with 21 service connections, but no State Water Board service-area polygon was matched for it, so it has no mapped outline here.</t>
        </is>
      </c>
      <c r="D10" s="22" t="inlineStr">
        <is>
          <t>SDWIS Community water system; no SABL boundary matched; connections defined.</t>
        </is>
      </c>
      <c r="E10" s="29" t="inlineStr">
        <is>
          <t>[C][G]</t>
        </is>
      </c>
    </row>
    <row r="11" ht="66" customHeight="1">
      <c r="A11" s="3" t="inlineStr">
        <is>
          <t>What the record shows: Membership is documented as a fixed set of service connections. The physical boundary is not: no SABL polygon was matched, so there is no acreage and no outline, and that absence is recorded rather than substituted.</t>
        </is>
      </c>
    </row>
    <row r="12" ht="46" customHeight="1">
      <c r="A12" s="8" t="inlineStr">
        <is>
          <t>Rules fit local conditions</t>
        </is>
      </c>
      <c r="B12" s="24" t="inlineStr">
        <is>
          <t>NOT DOCUMENTED</t>
        </is>
      </c>
      <c r="C12" s="22" t="inlineStr">
        <is>
          <t>No filed rate schedule or metering statement was located for this company.</t>
        </is>
      </c>
      <c r="D12" s="22" t="inlineStr">
        <is>
          <t>No eAR Section 8a rate record held.</t>
        </is>
      </c>
      <c r="E12" s="29" t="inlineStr">
        <is>
          <t>not reported</t>
        </is>
      </c>
    </row>
    <row r="13" ht="96" customHeight="1">
      <c r="A13" s="3" t="inlineStr">
        <is>
          <t>What the record shows: This company files no eAR, so the filing that would document metering and rate structure does not exist for it. NOT DOCUMENTED means the supporting record was not found, not that the company governs badly. It marks a gap in the documentary record, an evidence gap to close, never a governance failing.</t>
        </is>
      </c>
    </row>
    <row r="14" ht="46" customHeight="1">
      <c r="A14" s="8" t="inlineStr">
        <is>
          <t>Collective-choice arrangements</t>
        </is>
      </c>
      <c r="B14" s="24" t="inlineStr">
        <is>
          <t>PARTIAL</t>
        </is>
      </c>
      <c r="C14" s="22" t="inlineStr">
        <is>
          <t>The company is owned by its customer-shareholders, but the specific board, the election procedure and any record of member votes are not in a source this project holds.</t>
        </is>
      </c>
      <c r="D14" s="22" t="inlineStr">
        <is>
          <t>Mutual ownership; Form 990 governance section.</t>
        </is>
      </c>
      <c r="E14" s="29" t="inlineStr">
        <is>
          <t>[990]</t>
        </is>
      </c>
    </row>
    <row r="15" ht="111" customHeight="1">
      <c r="A15" s="3" t="inlineStr">
        <is>
          <t>What the record shows: A collective-choice mechanism is documented in outline: the customers are the shareholders. It stays PARTIAL rather than met because the filed corporate record that would carry the director roster and the election procedure is NOT YET CHECKED for this company, the California Secretary of State being reachable only through a browser session that now answers a CAPTCHA. A stated board is not a filed roster.</t>
        </is>
      </c>
    </row>
    <row r="16" ht="46" customHeight="1">
      <c r="A16" s="8" t="inlineStr">
        <is>
          <t>Monitoring</t>
        </is>
      </c>
      <c r="B16" s="24" t="inlineStr">
        <is>
          <t>DOCUMENTED</t>
        </is>
      </c>
      <c r="C16" s="22" t="inlineStr">
        <is>
          <t>The system is monitored and reports on itself: it files an annual eAR, and a Consumer Confidence Report for 2022 was located at the State's own CCR portal.</t>
        </is>
      </c>
      <c r="D16" s="22" t="inlineStr">
        <is>
          <t>Annual eAR reporting; located Consumer Confidence Report</t>
        </is>
      </c>
      <c r="E16" s="29" t="inlineStr">
        <is>
          <t>[E][CCR]</t>
        </is>
      </c>
    </row>
    <row r="17" ht="66" customHeight="1">
      <c r="A17" s="3" t="inlineStr">
        <is>
          <t>What the record shows: Operational monitoring is documented from more than one filing. What the federal violation check found is reported separately in the On the record block and is not folded into this tier.</t>
        </is>
      </c>
    </row>
    <row r="18" ht="46" customHeight="1">
      <c r="A18" s="8" t="inlineStr">
        <is>
          <t>Graduated sanctions</t>
        </is>
      </c>
      <c r="B18" s="24" t="inlineStr">
        <is>
          <t>NOT DOCUMENTED</t>
        </is>
      </c>
      <c r="C18" s="22" t="inlineStr">
        <is>
          <t>No published shut-off, penalty, or delinquency policy was found for this system.</t>
        </is>
      </c>
      <c r="D18" s="22" t="inlineStr">
        <is>
          <t>No sourced graduated sanctions record.</t>
        </is>
      </c>
      <c r="E18" s="29" t="inlineStr">
        <is>
          <t>not reported</t>
        </is>
      </c>
    </row>
    <row r="19" ht="81" customHeight="1">
      <c r="A19" s="3" t="inlineStr">
        <is>
          <t>What the record shows: No public record of a shut-off, penalty, or delinquency policy was located. NOT DOCUMENTED means the supporting record was not found, not that the company governs badly. It marks a gap in the documentary record, an evidence gap to close, never a governance failing.</t>
        </is>
      </c>
    </row>
    <row r="20" ht="46" customHeight="1">
      <c r="A20" s="8" t="inlineStr">
        <is>
          <t>Conflict-resolution mechanisms</t>
        </is>
      </c>
      <c r="B20" s="24" t="inlineStr">
        <is>
          <t>NOT DOCUMENTED</t>
        </is>
      </c>
      <c r="C20" s="22" t="inlineStr">
        <is>
          <t>No published bylaws, dispute procedure, or grievance mechanism was found for this system.</t>
        </is>
      </c>
      <c r="D20" s="22" t="inlineStr">
        <is>
          <t>No sourced conflict-resolution mechanisms record.</t>
        </is>
      </c>
      <c r="E20" s="29" t="inlineStr">
        <is>
          <t>not reported</t>
        </is>
      </c>
    </row>
    <row r="21" ht="81" customHeight="1">
      <c r="A21" s="3" t="inlineStr">
        <is>
          <t>What the record shows: No public record of a bylaws, dispute procedure, or grievance mechanism was located. NOT DOCUMENTED means the supporting record was not found, not that the company governs badly. It marks a gap in the documentary record, an evidence gap to close, never a governance failing.</t>
        </is>
      </c>
    </row>
    <row r="22" ht="46" customHeight="1">
      <c r="A22" s="8" t="inlineStr">
        <is>
          <t>Recognized right to organize</t>
        </is>
      </c>
      <c r="B22" s="24" t="inlineStr">
        <is>
          <t>DOCUMENTED</t>
        </is>
      </c>
      <c r="C22" s="22" t="inlineStr">
        <is>
          <t>An incorporated California mutual water company recognized by the IRS as a 501(c)(12) exempt filer and by the State Water Board as a Community public water system.</t>
        </is>
      </c>
      <c r="D22" s="22" t="inlineStr">
        <is>
          <t>IRS 501(c)(12) exempt filer (Form 990); SDWIS Community public water system; eAR ownership type 'Privately owned Mutual Water Company or Association'.</t>
        </is>
      </c>
      <c r="E22" s="29" t="inlineStr">
        <is>
          <t>[990][C][E]</t>
        </is>
      </c>
    </row>
    <row r="23" ht="96" customHeight="1">
      <c r="A23" s="3" t="inlineStr">
        <is>
          <t>What the record shows: Baseline legal standing is documented by two independent regulators: the IRS accepts it as a tax-exempt 501(c)(12) filer and the State Water Board holds it as a Community public water system with a mutual ownership type. This status does NOT rest on a filed corporate record, because the Secretary of State check has not been run for this company.</t>
        </is>
      </c>
    </row>
    <row r="24" ht="46" customHeight="1">
      <c r="A24" s="8" t="inlineStr">
        <is>
          <t>Nested enterprises</t>
        </is>
      </c>
      <c r="B24" s="24" t="inlineStr">
        <is>
          <t>NOT DOCUMENTED</t>
        </is>
      </c>
      <c r="C24" s="22" t="inlineStr">
        <is>
          <t>No purchased connection, shared basin, intertie or shared-source record was located for this system.</t>
        </is>
      </c>
      <c r="D24" s="22" t="inlineStr">
        <is>
          <t>No sourced nesting record.</t>
        </is>
      </c>
      <c r="E24" s="29" t="inlineStr">
        <is>
          <t>not reported</t>
        </is>
      </c>
    </row>
    <row r="25" ht="81" customHeight="1">
      <c r="A25" s="3" t="inlineStr">
        <is>
          <t>What the record shows: No public record placing this system inside a larger water system was located. NOT DOCUMENTED means the supporting record was not found, not that the company governs badly. It marks a gap in the documentary record, an evidence gap to close, never a governance failing.</t>
        </is>
      </c>
    </row>
  </sheetData>
  <mergeCells count="13">
    <mergeCell ref="A21:E21"/>
    <mergeCell ref="A2:E2"/>
    <mergeCell ref="A15:E15"/>
    <mergeCell ref="A7:E7"/>
    <mergeCell ref="A25:E25"/>
    <mergeCell ref="A19:E19"/>
    <mergeCell ref="A11:E11"/>
    <mergeCell ref="A1:E1"/>
    <mergeCell ref="A23:E23"/>
    <mergeCell ref="A13:E13"/>
    <mergeCell ref="A6:E6"/>
    <mergeCell ref="A17:E17"/>
    <mergeCell ref="A3:E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C3"/>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60" customWidth="1" min="3" max="3"/>
  </cols>
  <sheetData>
    <row r="1">
      <c r="A1" s="1" t="inlineStr">
        <is>
          <t>California Domestic Water Company</t>
        </is>
      </c>
    </row>
    <row r="2">
      <c r="A2" s="2" t="inlineStr">
        <is>
          <t>Operational metrics - plant per acre, density, terrain</t>
        </is>
      </c>
    </row>
    <row r="3">
      <c r="A3" s="2" t="inlineStr">
        <is>
          <t>Entity ID: cawc_0029   |   Fiscal year ends June 30.</t>
        </is>
      </c>
    </row>
  </sheetData>
  <mergeCells count="3">
    <mergeCell ref="A1:C1"/>
    <mergeCell ref="A3:C3"/>
    <mergeCell ref="A2:C2"/>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s>
  <sheetData>
    <row r="1">
      <c r="A1" s="1" t="inlineStr">
        <is>
          <t>California Domestic Water Company</t>
        </is>
      </c>
    </row>
    <row r="2">
      <c r="A2" s="2" t="inlineStr">
        <is>
          <t>Supply and weather indicators (DWR water year)</t>
        </is>
      </c>
    </row>
    <row r="3">
      <c r="A3" s="2" t="inlineStr">
        <is>
          <t>Entity ID: cawc_0029   |   Fiscal year ends June 30.</t>
        </is>
      </c>
    </row>
    <row r="5" ht="96" customHeight="1">
      <c r="A5" s="3" t="inlineStr">
        <is>
          <t>Reporting calendar: Different reporting periods. The DWR water year runs October 1 to September 30; this system's fiscal year ends June 30, so the two period ends are three months apart. Read the two side by side with that in mind. Neither series is recast: both are reported as filed. A water year is named for the calendar year it ends in, so WY2024 and FY2024 share a number without covering the same twelve months.</t>
        </is>
      </c>
    </row>
    <row r="7">
      <c r="A7" s="4" t="inlineStr">
        <is>
          <t>Indicator</t>
        </is>
      </c>
      <c r="B7" s="5" t="inlineStr">
        <is>
          <t>WY2020</t>
        </is>
      </c>
      <c r="C7" s="5" t="inlineStr">
        <is>
          <t>WY2021</t>
        </is>
      </c>
      <c r="D7" s="5" t="inlineStr">
        <is>
          <t>WY2022</t>
        </is>
      </c>
      <c r="E7" s="5" t="inlineStr">
        <is>
          <t>WY2023</t>
        </is>
      </c>
      <c r="F7" s="5" t="inlineStr">
        <is>
          <t>WY2024</t>
        </is>
      </c>
    </row>
    <row r="8">
      <c r="A8" s="8" t="inlineStr">
        <is>
          <t>Water-year type (Sacramento Valley)</t>
        </is>
      </c>
      <c r="B8" s="29" t="inlineStr">
        <is>
          <t>Dry</t>
        </is>
      </c>
      <c r="C8" s="29" t="inlineStr">
        <is>
          <t>Critical</t>
        </is>
      </c>
      <c r="D8" s="29" t="inlineStr">
        <is>
          <t>Critical</t>
        </is>
      </c>
      <c r="E8" s="29" t="inlineStr">
        <is>
          <t>Wet</t>
        </is>
      </c>
      <c r="F8" s="29" t="inlineStr">
        <is>
          <t>Above Normal</t>
        </is>
      </c>
    </row>
    <row r="9">
      <c r="A9" s="8" t="inlineStr">
        <is>
          <t>Peak drought, Los Angeles County</t>
        </is>
      </c>
      <c r="B9" s="29" t="inlineStr">
        <is>
          <t>D1</t>
        </is>
      </c>
      <c r="C9" s="29" t="inlineStr">
        <is>
          <t>D4</t>
        </is>
      </c>
      <c r="D9" s="29" t="inlineStr">
        <is>
          <t>D4</t>
        </is>
      </c>
      <c r="E9" s="29" t="inlineStr">
        <is>
          <t>D4</t>
        </is>
      </c>
      <c r="F9" s="29" t="inlineStr">
        <is>
          <t>None (no D0-D4 during the fiscal year)</t>
        </is>
      </c>
    </row>
    <row r="10">
      <c r="A10" s="8" t="inlineStr">
        <is>
          <t>Precip, percent of normal (8-Station Index)</t>
        </is>
      </c>
      <c r="B10" s="29" t="inlineStr">
        <is>
          <t>63</t>
        </is>
      </c>
      <c r="C10" s="29" t="inlineStr">
        <is>
          <t>48</t>
        </is>
      </c>
      <c r="D10" s="29" t="inlineStr">
        <is>
          <t>86</t>
        </is>
      </c>
      <c r="E10" s="29" t="inlineStr">
        <is>
          <t>133</t>
        </is>
      </c>
      <c r="F10" s="29" t="inlineStr">
        <is>
          <t>96</t>
        </is>
      </c>
    </row>
    <row r="11">
      <c r="A11" s="8" t="inlineStr">
        <is>
          <t>Snowpack, April 1 percent of average</t>
        </is>
      </c>
      <c r="B11" s="29" t="inlineStr">
        <is>
          <t>53%</t>
        </is>
      </c>
      <c r="C11" s="29" t="inlineStr">
        <is>
          <t>59%</t>
        </is>
      </c>
      <c r="D11" s="29" t="inlineStr">
        <is>
          <t>38%</t>
        </is>
      </c>
      <c r="E11" s="29" t="inlineStr">
        <is>
          <t>237%</t>
        </is>
      </c>
      <c r="F11" s="29" t="inlineStr">
        <is>
          <t>110%</t>
        </is>
      </c>
    </row>
    <row r="12">
      <c r="A12" s="8" t="inlineStr">
        <is>
          <t>State Water Project allocation</t>
        </is>
      </c>
      <c r="B12" s="29" t="inlineStr">
        <is>
          <t>20%</t>
        </is>
      </c>
      <c r="C12" s="29" t="inlineStr">
        <is>
          <t>5%</t>
        </is>
      </c>
      <c r="D12" s="29" t="inlineStr">
        <is>
          <t>5%</t>
        </is>
      </c>
      <c r="E12" s="29" t="inlineStr">
        <is>
          <t>100%</t>
        </is>
      </c>
      <c r="F12" s="29" t="inlineStr">
        <is>
          <t>40%</t>
        </is>
      </c>
    </row>
  </sheetData>
  <mergeCells count="4">
    <mergeCell ref="A3:F3"/>
    <mergeCell ref="A2:F2"/>
    <mergeCell ref="A1:F1"/>
    <mergeCell ref="A5:F5"/>
  </mergeCell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outlinePr summaryBelow="1" summaryRight="1"/>
    <pageSetUpPr/>
  </sheetPr>
  <dimension ref="A1:B36"/>
  <sheetViews>
    <sheetView workbookViewId="0">
      <pane ySplit="4" topLeftCell="A5" activePane="bottomLeft" state="frozen"/>
      <selection pane="bottomLeft" activeCell="A1" sqref="A1"/>
    </sheetView>
  </sheetViews>
  <sheetFormatPr baseColWidth="8" defaultRowHeight="15"/>
  <cols>
    <col width="26" customWidth="1" min="1" max="1"/>
    <col width="104" customWidth="1" min="2" max="2"/>
  </cols>
  <sheetData>
    <row r="1">
      <c r="A1" s="1" t="inlineStr">
        <is>
          <t>California Domestic Water Company</t>
        </is>
      </c>
    </row>
    <row r="2">
      <c r="A2" s="2" t="inlineStr">
        <is>
          <t>How this was built - forensic lineage</t>
        </is>
      </c>
    </row>
    <row r="3">
      <c r="A3" s="2" t="inlineStr">
        <is>
          <t>Entity ID: cawc_0029   |   Fiscal year ends June 30.</t>
        </is>
      </c>
    </row>
    <row r="5" ht="171" customHeight="1">
      <c r="A5" s="3" t="inlineStr">
        <is>
          <t>A plain account of the forensic lineage behind the hard-to-source metrics: what sources were checked, what was found, what was derived, and what could not be built and why. Every figure marked DERIVED or IMPOSSIBLE above is traceable to a line here.</t>
        </is>
      </c>
    </row>
    <row r="7">
      <c r="A7" s="6" t="inlineStr">
        <is>
          <t>Water-sales revenue per customer - not reported</t>
        </is>
      </c>
      <c r="B7" s="7" t="n"/>
    </row>
    <row r="8" ht="72" customHeight="1">
      <c r="A8" s="21" t="inlineStr">
        <is>
          <t>Sources checked</t>
        </is>
      </c>
      <c r="B8" s="23" t="inlineStr">
        <is>
          <t>State Water Board eAR Section 8b (water-rate revenue B1.1/B1.2); State Water Board eAR Section 4 (connection count, same reporting year); audited financial statement (secondary cross-check, where published)</t>
        </is>
      </c>
    </row>
    <row r="9" ht="72" customHeight="1">
      <c r="A9" s="21" t="inlineStr">
        <is>
          <t>What was found</t>
        </is>
      </c>
      <c r="B9" s="23" t="inlineStr">
        <is>
          <t>The eAR Section 8b reports water-rate revenue for reporting year None, so this is a DIRECT filed figure; per customer it is divided by the eAR Section 4 connection count for the same reporting year, so numerator and denominator share the year.</t>
        </is>
      </c>
    </row>
    <row r="11">
      <c r="A11" s="6" t="inlineStr">
        <is>
          <t>Assessment revenue (residual) - IMPOSSIBLE</t>
        </is>
      </c>
      <c r="B11" s="7" t="n"/>
    </row>
    <row r="12" ht="72" customHeight="1">
      <c r="A12" s="21" t="inlineStr">
        <is>
          <t>Sources checked</t>
        </is>
      </c>
      <c r="B12" s="23" t="inlineStr">
        <is>
          <t>Form 990 Part VIII line 2 (program-service revenue); State Water Board eAR Section 8b (water-rate revenue B1.1/B1.2); eAR Section 8b filer comment (WRRevenueComments)</t>
        </is>
      </c>
    </row>
    <row r="13" ht="72" customHeight="1">
      <c r="A13" s="21" t="inlineStr">
        <is>
          <t>What was found</t>
        </is>
      </c>
      <c r="B13" s="23" t="inlineStr">
        <is>
          <t>A period-aligned residual cannot be computed for this filer, so the metric is rendered IMPOSSIBLE rather than guessed.</t>
        </is>
      </c>
    </row>
    <row r="14" ht="72" customHeight="1">
      <c r="A14" s="21" t="inlineStr">
        <is>
          <t>Caveat</t>
        </is>
      </c>
      <c r="B14" s="23" t="inlineStr">
        <is>
          <t>Not derivable. The eAR Section 8b is reporting year None while the Form 990 fiscal year ends None; the two period ends are not aligned, so a period-aligned residual cannot be computed.</t>
        </is>
      </c>
    </row>
    <row r="16">
      <c r="A16" s="6" t="inlineStr">
        <is>
          <t>Meter revenue - not reported</t>
        </is>
      </c>
      <c r="B16" s="7" t="n"/>
    </row>
    <row r="17" ht="72" customHeight="1">
      <c r="A17" s="21" t="inlineStr">
        <is>
          <t>Sources checked</t>
        </is>
      </c>
      <c r="B17" s="23" t="inlineStr">
        <is>
          <t>State Water Board eAR Section 8a (rate prices); State Water Board eAR Section 8b (revenue lines); audited financial statement</t>
        </is>
      </c>
    </row>
    <row r="18" ht="72" customHeight="1">
      <c r="A18" s="21" t="inlineStr">
        <is>
          <t>What was found</t>
        </is>
      </c>
      <c r="B18" s="23" t="inlineStr">
        <is>
          <t>The rate price exists in Section 8a but no revenue or tier volume is reported, and the base charge is already inside water sales.</t>
        </is>
      </c>
    </row>
    <row r="19" ht="72" customHeight="1">
      <c r="A19" s="21" t="inlineStr">
        <is>
          <t>Caveat</t>
        </is>
      </c>
      <c r="B19" s="23" t="inlineStr">
        <is>
          <t>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1">
      <c r="A21" s="6" t="inlineStr">
        <is>
          <t>Overage / tiered-penalty revenue - not reported</t>
        </is>
      </c>
      <c r="B21" s="7" t="n"/>
    </row>
    <row r="22" ht="72" customHeight="1">
      <c r="A22" s="21" t="inlineStr">
        <is>
          <t>Sources checked</t>
        </is>
      </c>
      <c r="B22" s="23" t="inlineStr">
        <is>
          <t>State Water Board eAR Section 8a (rate prices); State Water Board eAR Section 8b (revenue lines); audited financial statement</t>
        </is>
      </c>
    </row>
    <row r="23" ht="72" customHeight="1">
      <c r="A23" s="21" t="inlineStr">
        <is>
          <t>What was found</t>
        </is>
      </c>
      <c r="B23" s="23" t="inlineStr">
        <is>
          <t>The rate price exists in Section 8a but no revenue or tier volume is reported, and the base charge is already inside water sales.</t>
        </is>
      </c>
    </row>
    <row r="24" ht="72" customHeight="1">
      <c r="A24" s="21" t="inlineStr">
        <is>
          <t>Caveat</t>
        </is>
      </c>
      <c r="B24" s="23" t="inlineStr">
        <is>
          <t>The eAR Section 8a reports tiered/overage rate PRICES, but the filing carries no overage revenue and no tier consumption volume, and any overage billed is already inside the water-sales revenue. Building it would double-count. Not backed into from a total.</t>
        </is>
      </c>
    </row>
    <row r="26">
      <c r="A26" s="6" t="inlineStr">
        <is>
          <t>eAR Section 8b reporting-period basis - sourced</t>
        </is>
      </c>
      <c r="B26" s="7" t="n"/>
    </row>
    <row r="27" ht="72" customHeight="1">
      <c r="A27" s="21" t="inlineStr">
        <is>
          <t>Sources checked</t>
        </is>
      </c>
      <c r="B27" s="23" t="inlineStr">
        <is>
          <t>eAR Section 8b B0.1 (WRFinancialReportingPeriod); eAR Section 8b B0.2 (WRFiscalYearStartDate)</t>
        </is>
      </c>
    </row>
    <row r="28" ht="72" customHeight="1">
      <c r="A28" s="21" t="inlineStr">
        <is>
          <t>What was found</t>
        </is>
      </c>
      <c r="B28" s="23" t="inlineStr">
        <is>
          <t>The reporting basis (fiscal vs calendar year) is read from the filer's own B0.1/B0.2 answer and staged verbatim, never hardcoded, so the 990 comparison and the residual are period-aligned.</t>
        </is>
      </c>
    </row>
    <row r="30">
      <c r="A30" s="6" t="inlineStr">
        <is>
          <t>Member (shareholder) count denominator - not reported</t>
        </is>
      </c>
      <c r="B30" s="7" t="n"/>
    </row>
    <row r="31" ht="72" customHeight="1">
      <c r="A31" s="21" t="inlineStr">
        <is>
          <t>Sources checked</t>
        </is>
      </c>
      <c r="B31" s="23" t="inlineStr">
        <is>
          <t>Form 990 (no member count stated); company website</t>
        </is>
      </c>
    </row>
    <row r="32" ht="72" customHeight="1">
      <c r="A32" s="21" t="inlineStr">
        <is>
          <t>What was found</t>
        </is>
      </c>
      <c r="B32" s="23" t="inlineStr">
        <is>
          <t>No filing states a member/shareholder count, so the per-member unit economics read not reported rather than borrowing the connection count.</t>
        </is>
      </c>
    </row>
    <row r="34">
      <c r="A34" s="6" t="inlineStr">
        <is>
          <t>Water volume delivered (acre-feet) - not reported</t>
        </is>
      </c>
      <c r="B34" s="7" t="n"/>
    </row>
    <row r="35" ht="72" customHeight="1">
      <c r="A35" s="21" t="inlineStr">
        <is>
          <t>Sources checked</t>
        </is>
      </c>
      <c r="B35" s="23" t="inlineStr">
        <is>
          <t>Form 990 (not in the filing); Consumer Confidence Report; eAR Section 6 (PRA-gated)</t>
        </is>
      </c>
    </row>
    <row r="36" ht="72" customHeight="1">
      <c r="A36" s="21" t="inlineStr">
        <is>
          <t>What was found</t>
        </is>
      </c>
      <c r="B36" s="23" t="inlineStr">
        <is>
          <t>Volume delivered in acre-feet is not in the Form 990 and the CCR states only a source mix, so the per-acre-foot metrics read not reported; the eAR Section 6 is named as the source still needed.</t>
        </is>
      </c>
    </row>
  </sheetData>
  <mergeCells count="4">
    <mergeCell ref="A3:B3"/>
    <mergeCell ref="A2:B2"/>
    <mergeCell ref="A1:B1"/>
    <mergeCell ref="A5:B5"/>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160"/>
  <sheetViews>
    <sheetView workbookViewId="0">
      <pane ySplit="5" topLeftCell="A6" activePane="bottomLeft" state="frozen"/>
      <selection pane="bottomLeft" activeCell="A1" sqref="A1"/>
    </sheetView>
  </sheetViews>
  <sheetFormatPr baseColWidth="8" defaultRowHeight="15"/>
  <cols>
    <col width="22" customWidth="1" min="1" max="1"/>
    <col width="10" customWidth="1" min="2" max="2"/>
    <col width="40" customWidth="1" min="3" max="3"/>
    <col width="16" customWidth="1" min="4" max="4"/>
    <col width="46" customWidth="1" min="5" max="5"/>
    <col width="12" customWidth="1" min="6" max="6"/>
    <col width="18" customWidth="1" min="7" max="7"/>
  </cols>
  <sheetData>
    <row r="1">
      <c r="A1" s="1" t="inlineStr">
        <is>
          <t>California Domestic Water Company</t>
        </is>
      </c>
    </row>
    <row r="2">
      <c r="A2" s="2" t="inlineStr">
        <is>
          <t>Sources &amp; audit - full provenance and tie-outs (kept off the statements so they read clean)</t>
        </is>
      </c>
    </row>
    <row r="3">
      <c r="A3" s="2" t="inlineStr">
        <is>
          <t>Entity ID: cawc_0029   |   Fiscal year ends June 30.</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28" t="inlineStr">
        <is>
          <t>A. Filing provenance (one row per staged extraction)</t>
        </is>
      </c>
      <c r="B8" s="7" t="n"/>
      <c r="C8" s="7" t="n"/>
      <c r="D8" s="7" t="n"/>
      <c r="E8" s="7" t="n"/>
      <c r="F8" s="7" t="n"/>
      <c r="G8" s="7" t="n"/>
      <c r="H8" s="7" t="n"/>
      <c r="I8" s="7" t="n"/>
      <c r="J8" s="7" t="n"/>
      <c r="K8" s="7" t="n"/>
    </row>
    <row r="9">
      <c r="A9" s="5" t="inlineStr">
        <is>
          <t>Fiscal year</t>
        </is>
      </c>
      <c r="B9" s="5" t="inlineStr">
        <is>
          <t>Period end</t>
        </is>
      </c>
      <c r="C9" s="5" t="inlineStr">
        <is>
          <t>Filing type</t>
        </is>
      </c>
      <c r="D9" s="5" t="inlineStr">
        <is>
          <t>Confidence</t>
        </is>
      </c>
      <c r="E9" s="5" t="inlineStr">
        <is>
          <t>Extraction ID</t>
        </is>
      </c>
      <c r="F9" s="5" t="inlineStr">
        <is>
          <t>Object ID</t>
        </is>
      </c>
      <c r="G9" s="5" t="inlineStr">
        <is>
          <t>Extracted by</t>
        </is>
      </c>
      <c r="H9" s="5" t="inlineStr">
        <is>
          <t>Extracted at</t>
        </is>
      </c>
      <c r="I9" s="5" t="inlineStr">
        <is>
          <t>Source URL</t>
        </is>
      </c>
    </row>
    <row r="10">
      <c r="A10" s="29" t="inlineStr">
        <is>
          <t>FY2021</t>
        </is>
      </c>
      <c r="B10" s="8" t="inlineStr">
        <is>
          <t>2021-06-30</t>
        </is>
      </c>
      <c r="C10" s="8" t="inlineStr">
        <is>
          <t>990</t>
        </is>
      </c>
      <c r="D10" s="8" t="inlineStr">
        <is>
          <t>high</t>
        </is>
      </c>
      <c r="E10" s="8" t="inlineStr">
        <is>
          <t>5538df45-e94d-4196-9745-68dfebecfd3d</t>
        </is>
      </c>
      <c r="F10" s="8" t="inlineStr">
        <is>
          <t>202231089349301458</t>
        </is>
      </c>
      <c r="G10" s="8" t="inlineStr">
        <is>
          <t>claude-opus-5</t>
        </is>
      </c>
      <c r="H10" s="8" t="inlineStr">
        <is>
          <t>2026-09-14T20:40:24+00:00</t>
        </is>
      </c>
      <c r="I10" s="8" t="inlineStr">
        <is>
          <t>https://apps.irs.gov/pub/epostcard/990/xml/2022/2022_TEOS_XML_01A.zip#202231089349301458_public.xml</t>
        </is>
      </c>
    </row>
    <row r="11">
      <c r="A11" s="29" t="inlineStr">
        <is>
          <t>FY2022</t>
        </is>
      </c>
      <c r="B11" s="8" t="inlineStr">
        <is>
          <t>2022-06-30</t>
        </is>
      </c>
      <c r="C11" s="8" t="inlineStr">
        <is>
          <t>990</t>
        </is>
      </c>
      <c r="D11" s="8" t="inlineStr">
        <is>
          <t>high</t>
        </is>
      </c>
      <c r="E11" s="8" t="inlineStr">
        <is>
          <t>bfa65e9c-6ab3-4a16-be90-62af2bf18e3f</t>
        </is>
      </c>
      <c r="F11" s="8" t="inlineStr">
        <is>
          <t>202320579349300252</t>
        </is>
      </c>
      <c r="G11" s="8" t="inlineStr">
        <is>
          <t>claude-opus-5</t>
        </is>
      </c>
      <c r="H11" s="8" t="inlineStr">
        <is>
          <t>2026-09-14T20:40:24+00:00</t>
        </is>
      </c>
      <c r="I11" s="8" t="inlineStr">
        <is>
          <t>https://apps.irs.gov/pub/epostcard/990/xml/2023/2023_TEOS_XML_03A.zip#202320579349300252_public.xml</t>
        </is>
      </c>
    </row>
    <row r="12">
      <c r="A12" s="29" t="inlineStr">
        <is>
          <t>FY2023</t>
        </is>
      </c>
      <c r="B12" s="8" t="inlineStr">
        <is>
          <t>2023-06-30</t>
        </is>
      </c>
      <c r="C12" s="8" t="inlineStr">
        <is>
          <t>990</t>
        </is>
      </c>
      <c r="D12" s="8" t="inlineStr">
        <is>
          <t>high</t>
        </is>
      </c>
      <c r="E12" s="8" t="inlineStr">
        <is>
          <t>946f61ea-7893-4043-81f1-2a93f2faa899</t>
        </is>
      </c>
      <c r="F12" s="8" t="inlineStr">
        <is>
          <t>202440769349300009</t>
        </is>
      </c>
      <c r="G12" s="8" t="inlineStr">
        <is>
          <t>claude-opus-5</t>
        </is>
      </c>
      <c r="H12" s="8" t="inlineStr">
        <is>
          <t>2026-09-14T20:40:24+00:00</t>
        </is>
      </c>
      <c r="I12" s="8" t="inlineStr">
        <is>
          <t>https://apps.irs.gov/pub/epostcard/990/xml/2024/2024_TEOS_XML_03A.zip#202440769349300009_public.xml</t>
        </is>
      </c>
    </row>
    <row r="13">
      <c r="A13" s="29" t="inlineStr">
        <is>
          <t>FY2024</t>
        </is>
      </c>
      <c r="B13" s="8" t="inlineStr">
        <is>
          <t>2024-06-30</t>
        </is>
      </c>
      <c r="C13" s="8" t="inlineStr">
        <is>
          <t>990</t>
        </is>
      </c>
      <c r="D13" s="8" t="inlineStr">
        <is>
          <t>high</t>
        </is>
      </c>
      <c r="E13" s="8" t="inlineStr">
        <is>
          <t>ee55f3c4-02a5-44b8-9438-8f0a0c7ff70e</t>
        </is>
      </c>
      <c r="F13" s="8" t="inlineStr">
        <is>
          <t>202501059349302410</t>
        </is>
      </c>
      <c r="G13" s="8" t="inlineStr">
        <is>
          <t>claude-opus-5</t>
        </is>
      </c>
      <c r="H13" s="8" t="inlineStr">
        <is>
          <t>2026-09-14T20:40:24+00:00</t>
        </is>
      </c>
      <c r="I13" s="8" t="inlineStr">
        <is>
          <t>https://apps.irs.gov/pub/epostcard/990/xml/2025/2025_TEOS_XML_04A.zip#202501059349302410_public.xml</t>
        </is>
      </c>
    </row>
    <row r="15">
      <c r="A15" s="28" t="inlineStr">
        <is>
          <t>B. Figure citations (every figure on the statement tabs, keyed by cell)</t>
        </is>
      </c>
      <c r="B15" s="7" t="n"/>
      <c r="C15" s="7" t="n"/>
      <c r="D15" s="7" t="n"/>
      <c r="E15" s="7" t="n"/>
      <c r="F15" s="7" t="n"/>
      <c r="G15" s="7" t="n"/>
      <c r="H15" s="7" t="n"/>
      <c r="I15" s="7" t="n"/>
      <c r="J15" s="7" t="n"/>
      <c r="K15" s="7" t="n"/>
    </row>
    <row r="16">
      <c r="A16" s="5" t="inlineStr">
        <is>
          <t>Tab</t>
        </is>
      </c>
      <c r="B16" s="5" t="inlineStr">
        <is>
          <t>Cell</t>
        </is>
      </c>
      <c r="C16" s="5" t="inlineStr">
        <is>
          <t>Line item</t>
        </is>
      </c>
      <c r="D16" s="5" t="inlineStr">
        <is>
          <t>Form 990 line</t>
        </is>
      </c>
      <c r="E16" s="5" t="inlineStr">
        <is>
          <t>Key path</t>
        </is>
      </c>
      <c r="F16" s="5" t="inlineStr">
        <is>
          <t>Confidence</t>
        </is>
      </c>
      <c r="G16" s="5" t="inlineStr">
        <is>
          <t>As filed</t>
        </is>
      </c>
    </row>
    <row r="17">
      <c r="A17" s="8" t="inlineStr">
        <is>
          <t>Financial Statements</t>
        </is>
      </c>
      <c r="B17" s="8" t="inlineStr">
        <is>
          <t>B73</t>
        </is>
      </c>
      <c r="C17" s="8" t="inlineStr">
        <is>
          <t>11a. Gross income from members or shareholders</t>
        </is>
      </c>
      <c r="D17" s="8" t="inlineStr">
        <is>
          <t>11a</t>
        </is>
      </c>
      <c r="E17" s="8" t="inlineStr">
        <is>
          <t>part_v_other_irs_filings.members_and_shareholders_gross_income</t>
        </is>
      </c>
      <c r="F17" s="8" t="inlineStr">
        <is>
          <t>high</t>
        </is>
      </c>
      <c r="G17" s="9" t="n">
        <v>19829744</v>
      </c>
    </row>
    <row r="18">
      <c r="A18" s="8" t="inlineStr">
        <is>
          <t>Financial Statements</t>
        </is>
      </c>
      <c r="B18" s="8" t="inlineStr">
        <is>
          <t>C73</t>
        </is>
      </c>
      <c r="C18" s="8" t="inlineStr">
        <is>
          <t>11a. Gross income from members or shareholders</t>
        </is>
      </c>
      <c r="D18" s="8" t="inlineStr">
        <is>
          <t>11a</t>
        </is>
      </c>
      <c r="E18" s="8" t="inlineStr">
        <is>
          <t>part_v_other_irs_filings.members_and_shareholders_gross_income</t>
        </is>
      </c>
      <c r="F18" s="8" t="inlineStr">
        <is>
          <t>high</t>
        </is>
      </c>
      <c r="G18" s="9" t="n">
        <v>19617629</v>
      </c>
    </row>
    <row r="19">
      <c r="A19" s="8" t="inlineStr">
        <is>
          <t>Financial Statements</t>
        </is>
      </c>
      <c r="B19" s="8" t="inlineStr">
        <is>
          <t>D73</t>
        </is>
      </c>
      <c r="C19" s="8" t="inlineStr">
        <is>
          <t>11a. Gross income from members or shareholders</t>
        </is>
      </c>
      <c r="D19" s="8" t="inlineStr">
        <is>
          <t>11a</t>
        </is>
      </c>
      <c r="E19" s="8" t="inlineStr">
        <is>
          <t>part_v_other_irs_filings.members_and_shareholders_gross_income</t>
        </is>
      </c>
      <c r="F19" s="8" t="inlineStr">
        <is>
          <t>high</t>
        </is>
      </c>
      <c r="G19" s="9" t="n">
        <v>15644797</v>
      </c>
    </row>
    <row r="20">
      <c r="A20" s="8" t="inlineStr">
        <is>
          <t>Financial Statements</t>
        </is>
      </c>
      <c r="B20" s="8" t="inlineStr">
        <is>
          <t>E73</t>
        </is>
      </c>
      <c r="C20" s="8" t="inlineStr">
        <is>
          <t>11a. Gross income from members or shareholders</t>
        </is>
      </c>
      <c r="D20" s="8" t="inlineStr">
        <is>
          <t>11a</t>
        </is>
      </c>
      <c r="E20" s="8" t="inlineStr">
        <is>
          <t>part_v_other_irs_filings.members_and_shareholders_gross_income</t>
        </is>
      </c>
      <c r="F20" s="8" t="inlineStr">
        <is>
          <t>high</t>
        </is>
      </c>
      <c r="G20" s="9" t="n">
        <v>14970007</v>
      </c>
    </row>
    <row r="21">
      <c r="A21" s="8" t="inlineStr">
        <is>
          <t>Financial Statements</t>
        </is>
      </c>
      <c r="B21" s="8" t="inlineStr">
        <is>
          <t>B74</t>
        </is>
      </c>
      <c r="C21" s="8" t="inlineStr">
        <is>
          <t>11b. Gross income from other sources</t>
        </is>
      </c>
      <c r="D21" s="8" t="inlineStr">
        <is>
          <t>11b</t>
        </is>
      </c>
      <c r="E21" s="8" t="inlineStr">
        <is>
          <t>part_v_other_irs_filings.other_sources_gross_income</t>
        </is>
      </c>
      <c r="F21" s="8" t="inlineStr">
        <is>
          <t>high</t>
        </is>
      </c>
      <c r="G21" s="9" t="n">
        <v>185300</v>
      </c>
    </row>
    <row r="22">
      <c r="A22" s="8" t="inlineStr">
        <is>
          <t>Financial Statements</t>
        </is>
      </c>
      <c r="B22" s="8" t="inlineStr">
        <is>
          <t>C74</t>
        </is>
      </c>
      <c r="C22" s="8" t="inlineStr">
        <is>
          <t>11b. Gross income from other sources</t>
        </is>
      </c>
      <c r="D22" s="8" t="inlineStr">
        <is>
          <t>11b</t>
        </is>
      </c>
      <c r="E22" s="8" t="inlineStr">
        <is>
          <t>part_v_other_irs_filings.other_sources_gross_income</t>
        </is>
      </c>
      <c r="F22" s="8" t="inlineStr">
        <is>
          <t>high</t>
        </is>
      </c>
      <c r="G22" s="9" t="n">
        <v>191557</v>
      </c>
    </row>
    <row r="23">
      <c r="A23" s="8" t="inlineStr">
        <is>
          <t>Financial Statements</t>
        </is>
      </c>
      <c r="B23" s="8" t="inlineStr">
        <is>
          <t>D74</t>
        </is>
      </c>
      <c r="C23" s="8" t="inlineStr">
        <is>
          <t>11b. Gross income from other sources</t>
        </is>
      </c>
      <c r="D23" s="8" t="inlineStr">
        <is>
          <t>11b</t>
        </is>
      </c>
      <c r="E23" s="8" t="inlineStr">
        <is>
          <t>part_v_other_irs_filings.other_sources_gross_income</t>
        </is>
      </c>
      <c r="F23" s="8" t="inlineStr">
        <is>
          <t>high</t>
        </is>
      </c>
      <c r="G23" s="9" t="n">
        <v>234471</v>
      </c>
    </row>
    <row r="24">
      <c r="A24" s="8" t="inlineStr">
        <is>
          <t>Financial Statements</t>
        </is>
      </c>
      <c r="B24" s="8" t="inlineStr">
        <is>
          <t>E74</t>
        </is>
      </c>
      <c r="C24" s="8" t="inlineStr">
        <is>
          <t>11b. Gross income from other sources</t>
        </is>
      </c>
      <c r="D24" s="8" t="inlineStr">
        <is>
          <t>11b</t>
        </is>
      </c>
      <c r="E24" s="8" t="inlineStr">
        <is>
          <t>part_v_other_irs_filings.other_sources_gross_income</t>
        </is>
      </c>
      <c r="F24" s="8" t="inlineStr">
        <is>
          <t>high</t>
        </is>
      </c>
      <c r="G24" s="9" t="n">
        <v>444990</v>
      </c>
    </row>
    <row r="25">
      <c r="A25" s="8" t="inlineStr">
        <is>
          <t>Revenue (detail)</t>
        </is>
      </c>
      <c r="B25" s="8" t="inlineStr">
        <is>
          <t>B8</t>
        </is>
      </c>
      <c r="C25" s="8" t="inlineStr">
        <is>
          <t>2g. Total program service revenue</t>
        </is>
      </c>
      <c r="D25" s="8" t="inlineStr">
        <is>
          <t>2g</t>
        </is>
      </c>
      <c r="E25" s="8" t="inlineStr">
        <is>
          <t>part_viii_revenue.total_program_service_revenue</t>
        </is>
      </c>
      <c r="F25" s="8" t="inlineStr">
        <is>
          <t>high</t>
        </is>
      </c>
      <c r="G25" s="9" t="n">
        <v>19829744</v>
      </c>
    </row>
    <row r="26">
      <c r="A26" s="8" t="inlineStr">
        <is>
          <t>Revenue (detail)</t>
        </is>
      </c>
      <c r="B26" s="8" t="inlineStr">
        <is>
          <t>C8</t>
        </is>
      </c>
      <c r="C26" s="8" t="inlineStr">
        <is>
          <t>2g. Total program service revenue</t>
        </is>
      </c>
      <c r="D26" s="8" t="inlineStr">
        <is>
          <t>2g</t>
        </is>
      </c>
      <c r="E26" s="8" t="inlineStr">
        <is>
          <t>part_viii_revenue.total_program_service_revenue</t>
        </is>
      </c>
      <c r="F26" s="8" t="inlineStr">
        <is>
          <t>high</t>
        </is>
      </c>
      <c r="G26" s="9" t="n">
        <v>19643300</v>
      </c>
    </row>
    <row r="27">
      <c r="A27" s="8" t="inlineStr">
        <is>
          <t>Revenue (detail)</t>
        </is>
      </c>
      <c r="B27" s="8" t="inlineStr">
        <is>
          <t>D8</t>
        </is>
      </c>
      <c r="C27" s="8" t="inlineStr">
        <is>
          <t>2g. Total program service revenue</t>
        </is>
      </c>
      <c r="D27" s="8" t="inlineStr">
        <is>
          <t>2g</t>
        </is>
      </c>
      <c r="E27" s="8" t="inlineStr">
        <is>
          <t>part_viii_revenue.total_program_service_revenue</t>
        </is>
      </c>
      <c r="F27" s="8" t="inlineStr">
        <is>
          <t>high</t>
        </is>
      </c>
      <c r="G27" s="9" t="n">
        <v>15656486</v>
      </c>
    </row>
    <row r="28">
      <c r="A28" s="8" t="inlineStr">
        <is>
          <t>Revenue (detail)</t>
        </is>
      </c>
      <c r="B28" s="8" t="inlineStr">
        <is>
          <t>E8</t>
        </is>
      </c>
      <c r="C28" s="8" t="inlineStr">
        <is>
          <t>2g. Total program service revenue</t>
        </is>
      </c>
      <c r="D28" s="8" t="inlineStr">
        <is>
          <t>2g</t>
        </is>
      </c>
      <c r="E28" s="8" t="inlineStr">
        <is>
          <t>part_viii_revenue.total_program_service_revenue</t>
        </is>
      </c>
      <c r="F28" s="8" t="inlineStr">
        <is>
          <t>high</t>
        </is>
      </c>
      <c r="G28" s="9" t="n">
        <v>14992578</v>
      </c>
    </row>
    <row r="29">
      <c r="A29" s="8" t="inlineStr">
        <is>
          <t>Revenue (detail)</t>
        </is>
      </c>
      <c r="B29" s="8" t="inlineStr">
        <is>
          <t>B9</t>
        </is>
      </c>
      <c r="C29" s="8" t="inlineStr">
        <is>
          <t>3. Investment income</t>
        </is>
      </c>
      <c r="D29" s="8" t="inlineStr">
        <is>
          <t>3</t>
        </is>
      </c>
      <c r="E29" s="8" t="inlineStr">
        <is>
          <t>part_viii_revenue.investment_income</t>
        </is>
      </c>
      <c r="F29" s="8" t="inlineStr">
        <is>
          <t>high</t>
        </is>
      </c>
      <c r="G29" s="9" t="n">
        <v>47060</v>
      </c>
    </row>
    <row r="30">
      <c r="A30" s="8" t="inlineStr">
        <is>
          <t>Revenue (detail)</t>
        </is>
      </c>
      <c r="B30" s="8" t="inlineStr">
        <is>
          <t>C9</t>
        </is>
      </c>
      <c r="C30" s="8" t="inlineStr">
        <is>
          <t>3. Investment income</t>
        </is>
      </c>
      <c r="D30" s="8" t="inlineStr">
        <is>
          <t>3</t>
        </is>
      </c>
      <c r="E30" s="8" t="inlineStr">
        <is>
          <t>part_viii_revenue.investment_income</t>
        </is>
      </c>
      <c r="F30" s="8" t="inlineStr">
        <is>
          <t>high</t>
        </is>
      </c>
      <c r="G30" s="9" t="n">
        <v>276</v>
      </c>
    </row>
    <row r="31">
      <c r="A31" s="8" t="inlineStr">
        <is>
          <t>Revenue (detail)</t>
        </is>
      </c>
      <c r="B31" s="8" t="inlineStr">
        <is>
          <t>D9</t>
        </is>
      </c>
      <c r="C31" s="8" t="inlineStr">
        <is>
          <t>3. Investment income</t>
        </is>
      </c>
      <c r="D31" s="8" t="inlineStr">
        <is>
          <t>3</t>
        </is>
      </c>
      <c r="E31" s="8" t="inlineStr">
        <is>
          <t>part_viii_revenue.investment_income</t>
        </is>
      </c>
      <c r="F31" s="8" t="inlineStr">
        <is>
          <t>high</t>
        </is>
      </c>
      <c r="G31" s="9" t="n">
        <v>111268</v>
      </c>
    </row>
    <row r="32">
      <c r="A32" s="8" t="inlineStr">
        <is>
          <t>Revenue (detail)</t>
        </is>
      </c>
      <c r="B32" s="8" t="inlineStr">
        <is>
          <t>E9</t>
        </is>
      </c>
      <c r="C32" s="8" t="inlineStr">
        <is>
          <t>3. Investment income</t>
        </is>
      </c>
      <c r="D32" s="8" t="inlineStr">
        <is>
          <t>3</t>
        </is>
      </c>
      <c r="E32" s="8" t="inlineStr">
        <is>
          <t>part_viii_revenue.investment_income</t>
        </is>
      </c>
      <c r="F32" s="8" t="inlineStr">
        <is>
          <t>high</t>
        </is>
      </c>
      <c r="G32" s="9" t="n">
        <v>310581</v>
      </c>
    </row>
    <row r="33">
      <c r="A33" s="8" t="inlineStr">
        <is>
          <t>Revenue (detail)</t>
        </is>
      </c>
      <c r="B33" s="8" t="inlineStr">
        <is>
          <t>B10</t>
        </is>
      </c>
      <c r="C33" s="8" t="inlineStr">
        <is>
          <t>6d. Net rental income</t>
        </is>
      </c>
      <c r="D33" s="8" t="inlineStr">
        <is>
          <t>6d</t>
        </is>
      </c>
      <c r="E33" s="8" t="inlineStr">
        <is>
          <t>part_viii_revenue.net_rental_income</t>
        </is>
      </c>
      <c r="F33" s="8" t="inlineStr">
        <is>
          <t>high</t>
        </is>
      </c>
      <c r="G33" s="9" t="n">
        <v>107097</v>
      </c>
    </row>
    <row r="34">
      <c r="A34" s="8" t="inlineStr">
        <is>
          <t>Revenue (detail)</t>
        </is>
      </c>
      <c r="B34" s="8" t="inlineStr">
        <is>
          <t>C10</t>
        </is>
      </c>
      <c r="C34" s="8" t="inlineStr">
        <is>
          <t>6d. Net rental income</t>
        </is>
      </c>
      <c r="D34" s="8" t="inlineStr">
        <is>
          <t>6d</t>
        </is>
      </c>
      <c r="E34" s="8" t="inlineStr">
        <is>
          <t>part_viii_revenue.net_rental_income</t>
        </is>
      </c>
      <c r="F34" s="8" t="inlineStr">
        <is>
          <t>high</t>
        </is>
      </c>
      <c r="G34" s="9" t="n">
        <v>116072</v>
      </c>
    </row>
    <row r="35">
      <c r="A35" s="8" t="inlineStr">
        <is>
          <t>Revenue (detail)</t>
        </is>
      </c>
      <c r="B35" s="8" t="inlineStr">
        <is>
          <t>D10</t>
        </is>
      </c>
      <c r="C35" s="8" t="inlineStr">
        <is>
          <t>6d. Net rental income</t>
        </is>
      </c>
      <c r="D35" s="8" t="inlineStr">
        <is>
          <t>6d</t>
        </is>
      </c>
      <c r="E35" s="8" t="inlineStr">
        <is>
          <t>part_viii_revenue.net_rental_income</t>
        </is>
      </c>
      <c r="F35" s="8" t="inlineStr">
        <is>
          <t>high</t>
        </is>
      </c>
      <c r="G35" s="9" t="n">
        <v>111514</v>
      </c>
    </row>
    <row r="36">
      <c r="A36" s="8" t="inlineStr">
        <is>
          <t>Revenue (detail)</t>
        </is>
      </c>
      <c r="B36" s="8" t="inlineStr">
        <is>
          <t>E10</t>
        </is>
      </c>
      <c r="C36" s="8" t="inlineStr">
        <is>
          <t>6d. Net rental income</t>
        </is>
      </c>
      <c r="D36" s="8" t="inlineStr">
        <is>
          <t>6d</t>
        </is>
      </c>
      <c r="E36" s="8" t="inlineStr">
        <is>
          <t>part_viii_revenue.net_rental_income</t>
        </is>
      </c>
      <c r="F36" s="8" t="inlineStr">
        <is>
          <t>high</t>
        </is>
      </c>
      <c r="G36" s="9" t="n">
        <v>111838</v>
      </c>
    </row>
    <row r="37">
      <c r="A37" s="8" t="inlineStr">
        <is>
          <t>Revenue (detail)</t>
        </is>
      </c>
      <c r="B37" s="8" t="inlineStr">
        <is>
          <t>B11</t>
        </is>
      </c>
      <c r="C37" s="8" t="inlineStr">
        <is>
          <t>7d. Net gain/(loss) from investment sales</t>
        </is>
      </c>
      <c r="D37" s="8" t="inlineStr">
        <is>
          <t>7d</t>
        </is>
      </c>
      <c r="E37" s="8" t="inlineStr">
        <is>
          <t>part_viii_revenue.net_gain_or_loss_investments</t>
        </is>
      </c>
      <c r="F37" s="8" t="inlineStr">
        <is>
          <t>high</t>
        </is>
      </c>
      <c r="G37" s="9" t="n">
        <v>-11887</v>
      </c>
    </row>
    <row r="38">
      <c r="A38" s="8" t="inlineStr">
        <is>
          <t>Operating expenses (detail)</t>
        </is>
      </c>
      <c r="B38" s="8" t="inlineStr">
        <is>
          <t>B7</t>
        </is>
      </c>
      <c r="C38" s="8" t="inlineStr">
        <is>
          <t>5. Compensation of current officers, directors, trustees</t>
        </is>
      </c>
      <c r="D38" s="8" t="inlineStr">
        <is>
          <t>5</t>
        </is>
      </c>
      <c r="E38" s="8" t="inlineStr">
        <is>
          <t>part_ix_expenses.comp_current_officers</t>
        </is>
      </c>
      <c r="F38" s="8" t="inlineStr">
        <is>
          <t>high</t>
        </is>
      </c>
      <c r="G38" s="9" t="n">
        <v>53800</v>
      </c>
    </row>
    <row r="39">
      <c r="A39" s="8" t="inlineStr">
        <is>
          <t>Operating expenses (detail)</t>
        </is>
      </c>
      <c r="B39" s="8" t="inlineStr">
        <is>
          <t>C7</t>
        </is>
      </c>
      <c r="C39" s="8" t="inlineStr">
        <is>
          <t>5. Compensation of current officers, directors, trustees</t>
        </is>
      </c>
      <c r="D39" s="8" t="inlineStr">
        <is>
          <t>5</t>
        </is>
      </c>
      <c r="E39" s="8" t="inlineStr">
        <is>
          <t>part_ix_expenses.comp_current_officers</t>
        </is>
      </c>
      <c r="F39" s="8" t="inlineStr">
        <is>
          <t>high</t>
        </is>
      </c>
      <c r="G39" s="9" t="n">
        <v>50200</v>
      </c>
    </row>
    <row r="40">
      <c r="A40" s="8" t="inlineStr">
        <is>
          <t>Operating expenses (detail)</t>
        </is>
      </c>
      <c r="B40" s="8" t="inlineStr">
        <is>
          <t>D7</t>
        </is>
      </c>
      <c r="C40" s="8" t="inlineStr">
        <is>
          <t>5. Compensation of current officers, directors, trustees</t>
        </is>
      </c>
      <c r="D40" s="8" t="inlineStr">
        <is>
          <t>5</t>
        </is>
      </c>
      <c r="E40" s="8" t="inlineStr">
        <is>
          <t>part_ix_expenses.comp_current_officers</t>
        </is>
      </c>
      <c r="F40" s="8" t="inlineStr">
        <is>
          <t>high</t>
        </is>
      </c>
      <c r="G40" s="9" t="n">
        <v>51000</v>
      </c>
    </row>
    <row r="41">
      <c r="A41" s="8" t="inlineStr">
        <is>
          <t>Operating expenses (detail)</t>
        </is>
      </c>
      <c r="B41" s="8" t="inlineStr">
        <is>
          <t>E7</t>
        </is>
      </c>
      <c r="C41" s="8" t="inlineStr">
        <is>
          <t>5. Compensation of current officers, directors, trustees</t>
        </is>
      </c>
      <c r="D41" s="8" t="inlineStr">
        <is>
          <t>5</t>
        </is>
      </c>
      <c r="E41" s="8" t="inlineStr">
        <is>
          <t>part_ix_expenses.comp_current_officers</t>
        </is>
      </c>
      <c r="F41" s="8" t="inlineStr">
        <is>
          <t>high</t>
        </is>
      </c>
      <c r="G41" s="9" t="n">
        <v>50200</v>
      </c>
    </row>
    <row r="42">
      <c r="A42" s="8" t="inlineStr">
        <is>
          <t>Operating expenses (detail)</t>
        </is>
      </c>
      <c r="B42" s="8" t="inlineStr">
        <is>
          <t>B8</t>
        </is>
      </c>
      <c r="C42" s="8" t="inlineStr">
        <is>
          <t>11b. Fees for services: legal</t>
        </is>
      </c>
      <c r="D42" s="8" t="inlineStr">
        <is>
          <t>11b</t>
        </is>
      </c>
      <c r="E42" s="8" t="inlineStr">
        <is>
          <t>part_ix_expenses.fees_legal</t>
        </is>
      </c>
      <c r="F42" s="8" t="inlineStr">
        <is>
          <t>high</t>
        </is>
      </c>
      <c r="G42" s="9" t="n">
        <v>23252</v>
      </c>
    </row>
    <row r="43">
      <c r="A43" s="8" t="inlineStr">
        <is>
          <t>Operating expenses (detail)</t>
        </is>
      </c>
      <c r="B43" s="8" t="inlineStr">
        <is>
          <t>B9</t>
        </is>
      </c>
      <c r="C43" s="8" t="inlineStr">
        <is>
          <t>11c. Fees for services: accounting</t>
        </is>
      </c>
      <c r="D43" s="8" t="inlineStr">
        <is>
          <t>11c</t>
        </is>
      </c>
      <c r="E43" s="8" t="inlineStr">
        <is>
          <t>part_ix_expenses.fees_accounting</t>
        </is>
      </c>
      <c r="F43" s="8" t="inlineStr">
        <is>
          <t>high</t>
        </is>
      </c>
      <c r="G43" s="9" t="n">
        <v>27950</v>
      </c>
    </row>
    <row r="44">
      <c r="A44" s="8" t="inlineStr">
        <is>
          <t>Operating expenses (detail)</t>
        </is>
      </c>
      <c r="B44" s="8" t="inlineStr">
        <is>
          <t>B10</t>
        </is>
      </c>
      <c r="C44" s="8" t="inlineStr">
        <is>
          <t>13. Office expenses</t>
        </is>
      </c>
      <c r="D44" s="8" t="inlineStr">
        <is>
          <t>13</t>
        </is>
      </c>
      <c r="E44" s="8" t="inlineStr">
        <is>
          <t>part_ix_expenses.office_expenses</t>
        </is>
      </c>
      <c r="F44" s="8" t="inlineStr">
        <is>
          <t>high</t>
        </is>
      </c>
      <c r="G44" s="9" t="n">
        <v>81856</v>
      </c>
    </row>
    <row r="45">
      <c r="A45" s="8" t="inlineStr">
        <is>
          <t>Operating expenses (detail)</t>
        </is>
      </c>
      <c r="B45" s="8" t="inlineStr">
        <is>
          <t>B11</t>
        </is>
      </c>
      <c r="C45" s="8" t="inlineStr">
        <is>
          <t>22. Depreciation, depletion, and amortization</t>
        </is>
      </c>
      <c r="D45" s="8" t="inlineStr">
        <is>
          <t>22</t>
        </is>
      </c>
      <c r="E45" s="8" t="inlineStr">
        <is>
          <t>part_ix_expenses.depreciation</t>
        </is>
      </c>
      <c r="F45" s="8" t="inlineStr">
        <is>
          <t>high</t>
        </is>
      </c>
      <c r="G45" s="9" t="n">
        <v>1650278</v>
      </c>
    </row>
    <row r="46">
      <c r="A46" s="8" t="inlineStr">
        <is>
          <t>Operating expenses (detail)</t>
        </is>
      </c>
      <c r="B46" s="8" t="inlineStr">
        <is>
          <t>C11</t>
        </is>
      </c>
      <c r="C46" s="8" t="inlineStr">
        <is>
          <t>22. Depreciation, depletion, and amortization</t>
        </is>
      </c>
      <c r="D46" s="8" t="inlineStr">
        <is>
          <t>22</t>
        </is>
      </c>
      <c r="E46" s="8" t="inlineStr">
        <is>
          <t>part_ix_expenses.depreciation</t>
        </is>
      </c>
      <c r="F46" s="8" t="inlineStr">
        <is>
          <t>high</t>
        </is>
      </c>
      <c r="G46" s="9" t="n">
        <v>1596438</v>
      </c>
    </row>
    <row r="47">
      <c r="A47" s="8" t="inlineStr">
        <is>
          <t>Operating expenses (detail)</t>
        </is>
      </c>
      <c r="B47" s="8" t="inlineStr">
        <is>
          <t>D11</t>
        </is>
      </c>
      <c r="C47" s="8" t="inlineStr">
        <is>
          <t>22. Depreciation, depletion, and amortization</t>
        </is>
      </c>
      <c r="D47" s="8" t="inlineStr">
        <is>
          <t>22</t>
        </is>
      </c>
      <c r="E47" s="8" t="inlineStr">
        <is>
          <t>part_ix_expenses.depreciation</t>
        </is>
      </c>
      <c r="F47" s="8" t="inlineStr">
        <is>
          <t>high</t>
        </is>
      </c>
      <c r="G47" s="9" t="n">
        <v>1601981</v>
      </c>
    </row>
    <row r="48">
      <c r="A48" s="8" t="inlineStr">
        <is>
          <t>Operating expenses (detail)</t>
        </is>
      </c>
      <c r="B48" s="8" t="inlineStr">
        <is>
          <t>E11</t>
        </is>
      </c>
      <c r="C48" s="8" t="inlineStr">
        <is>
          <t>22. Depreciation, depletion, and amortization</t>
        </is>
      </c>
      <c r="D48" s="8" t="inlineStr">
        <is>
          <t>22</t>
        </is>
      </c>
      <c r="E48" s="8" t="inlineStr">
        <is>
          <t>part_ix_expenses.depreciation</t>
        </is>
      </c>
      <c r="F48" s="8" t="inlineStr">
        <is>
          <t>high</t>
        </is>
      </c>
      <c r="G48" s="9" t="n">
        <v>1647229</v>
      </c>
    </row>
    <row r="49">
      <c r="A49" s="8" t="inlineStr">
        <is>
          <t>Operating expenses (detail)</t>
        </is>
      </c>
      <c r="B49" s="8" t="inlineStr">
        <is>
          <t>B12</t>
        </is>
      </c>
      <c r="C49" s="8" t="inlineStr">
        <is>
          <t>23. Insurance</t>
        </is>
      </c>
      <c r="D49" s="8" t="inlineStr">
        <is>
          <t>23</t>
        </is>
      </c>
      <c r="E49" s="8" t="inlineStr">
        <is>
          <t>part_ix_expenses.insurance</t>
        </is>
      </c>
      <c r="F49" s="8" t="inlineStr">
        <is>
          <t>high</t>
        </is>
      </c>
      <c r="G49" s="9" t="n">
        <v>45925</v>
      </c>
    </row>
    <row r="50">
      <c r="A50" s="8" t="inlineStr">
        <is>
          <t>Operating expenses (detail)</t>
        </is>
      </c>
      <c r="B50" s="8" t="inlineStr">
        <is>
          <t>B20</t>
        </is>
      </c>
      <c r="C50" s="8" t="inlineStr">
        <is>
          <t>24e. All other expenses</t>
        </is>
      </c>
      <c r="D50" s="8" t="inlineStr">
        <is>
          <t>24e</t>
        </is>
      </c>
      <c r="E50" s="8" t="inlineStr">
        <is>
          <t>part_ix_expenses.all_other_expenses</t>
        </is>
      </c>
      <c r="F50" s="8" t="inlineStr">
        <is>
          <t>high</t>
        </is>
      </c>
      <c r="G50" s="9" t="n">
        <v>6255</v>
      </c>
    </row>
    <row r="51">
      <c r="A51" s="8" t="inlineStr">
        <is>
          <t>Operating expenses (detail)</t>
        </is>
      </c>
      <c r="B51" s="8" t="inlineStr">
        <is>
          <t>C20</t>
        </is>
      </c>
      <c r="C51" s="8" t="inlineStr">
        <is>
          <t>24e. All other expenses</t>
        </is>
      </c>
      <c r="D51" s="8" t="inlineStr">
        <is>
          <t>24e</t>
        </is>
      </c>
      <c r="E51" s="8" t="inlineStr">
        <is>
          <t>part_ix_expenses.all_other_expenses</t>
        </is>
      </c>
      <c r="F51" s="8" t="inlineStr">
        <is>
          <t>high</t>
        </is>
      </c>
      <c r="G51" s="9" t="n">
        <v>18233</v>
      </c>
    </row>
    <row r="52">
      <c r="A52" s="8" t="inlineStr">
        <is>
          <t>Operating expenses (detail)</t>
        </is>
      </c>
      <c r="B52" s="8" t="inlineStr">
        <is>
          <t>D20</t>
        </is>
      </c>
      <c r="C52" s="8" t="inlineStr">
        <is>
          <t>24e. All other expenses</t>
        </is>
      </c>
      <c r="D52" s="8" t="inlineStr">
        <is>
          <t>24e</t>
        </is>
      </c>
      <c r="E52" s="8" t="inlineStr">
        <is>
          <t>part_ix_expenses.all_other_expenses</t>
        </is>
      </c>
      <c r="F52" s="8" t="inlineStr">
        <is>
          <t>high</t>
        </is>
      </c>
      <c r="G52" s="9" t="n">
        <v>17729</v>
      </c>
    </row>
    <row r="53">
      <c r="A53" s="8" t="inlineStr">
        <is>
          <t>Operating expenses (detail)</t>
        </is>
      </c>
      <c r="B53" s="8" t="inlineStr">
        <is>
          <t>E20</t>
        </is>
      </c>
      <c r="C53" s="8" t="inlineStr">
        <is>
          <t>24e. All other expenses</t>
        </is>
      </c>
      <c r="D53" s="8" t="inlineStr">
        <is>
          <t>24e</t>
        </is>
      </c>
      <c r="E53" s="8" t="inlineStr">
        <is>
          <t>part_ix_expenses.all_other_expenses</t>
        </is>
      </c>
      <c r="F53" s="8" t="inlineStr">
        <is>
          <t>high</t>
        </is>
      </c>
      <c r="G53" s="9" t="n">
        <v>16206</v>
      </c>
    </row>
    <row r="54">
      <c r="A54" s="8" t="inlineStr">
        <is>
          <t>Balance sheet (detail)</t>
        </is>
      </c>
      <c r="B54" s="8" t="inlineStr">
        <is>
          <t>B7</t>
        </is>
      </c>
      <c r="C54" s="8" t="inlineStr">
        <is>
          <t>1. Cash - non-interest-bearing</t>
        </is>
      </c>
      <c r="D54" s="8" t="inlineStr">
        <is>
          <t>1E</t>
        </is>
      </c>
      <c r="E54" s="8" t="inlineStr">
        <is>
          <t>part_x_balance_sheet.cash_noninterest_eoy</t>
        </is>
      </c>
      <c r="F54" s="8" t="inlineStr">
        <is>
          <t>high</t>
        </is>
      </c>
      <c r="G54" s="9" t="n">
        <v>2346993</v>
      </c>
    </row>
    <row r="55">
      <c r="A55" s="8" t="inlineStr">
        <is>
          <t>Balance sheet (detail)</t>
        </is>
      </c>
      <c r="B55" s="8" t="inlineStr">
        <is>
          <t>C7</t>
        </is>
      </c>
      <c r="C55" s="8" t="inlineStr">
        <is>
          <t>1. Cash - non-interest-bearing</t>
        </is>
      </c>
      <c r="D55" s="8" t="inlineStr">
        <is>
          <t>1E</t>
        </is>
      </c>
      <c r="E55" s="8" t="inlineStr">
        <is>
          <t>part_x_balance_sheet.cash_noninterest_eoy</t>
        </is>
      </c>
      <c r="F55" s="8" t="inlineStr">
        <is>
          <t>high</t>
        </is>
      </c>
      <c r="G55" s="9" t="n">
        <v>1595390</v>
      </c>
    </row>
    <row r="56">
      <c r="A56" s="8" t="inlineStr">
        <is>
          <t>Balance sheet (detail)</t>
        </is>
      </c>
      <c r="B56" s="8" t="inlineStr">
        <is>
          <t>D7</t>
        </is>
      </c>
      <c r="C56" s="8" t="inlineStr">
        <is>
          <t>1. Cash - non-interest-bearing</t>
        </is>
      </c>
      <c r="D56" s="8" t="inlineStr">
        <is>
          <t>1E</t>
        </is>
      </c>
      <c r="E56" s="8" t="inlineStr">
        <is>
          <t>part_x_balance_sheet.cash_noninterest_eoy</t>
        </is>
      </c>
      <c r="F56" s="8" t="inlineStr">
        <is>
          <t>high</t>
        </is>
      </c>
      <c r="G56" s="9" t="n">
        <v>11062489</v>
      </c>
    </row>
    <row r="57">
      <c r="A57" s="8" t="inlineStr">
        <is>
          <t>Balance sheet (detail)</t>
        </is>
      </c>
      <c r="B57" s="8" t="inlineStr">
        <is>
          <t>E7</t>
        </is>
      </c>
      <c r="C57" s="8" t="inlineStr">
        <is>
          <t>1. Cash - non-interest-bearing</t>
        </is>
      </c>
      <c r="D57" s="8" t="inlineStr">
        <is>
          <t>1E</t>
        </is>
      </c>
      <c r="E57" s="8" t="inlineStr">
        <is>
          <t>part_x_balance_sheet.cash_noninterest_eoy</t>
        </is>
      </c>
      <c r="F57" s="8" t="inlineStr">
        <is>
          <t>high</t>
        </is>
      </c>
      <c r="G57" s="9" t="n">
        <v>8858790</v>
      </c>
    </row>
    <row r="58">
      <c r="A58" s="8" t="inlineStr">
        <is>
          <t>Balance sheet (detail)</t>
        </is>
      </c>
      <c r="B58" s="8" t="inlineStr">
        <is>
          <t>B8</t>
        </is>
      </c>
      <c r="C58" s="8" t="inlineStr">
        <is>
          <t>4. Accounts receivable, net</t>
        </is>
      </c>
      <c r="D58" s="8" t="inlineStr">
        <is>
          <t>4E</t>
        </is>
      </c>
      <c r="E58" s="8" t="inlineStr">
        <is>
          <t>part_x_balance_sheet.accounts_receivable_eoy</t>
        </is>
      </c>
      <c r="F58" s="8" t="inlineStr">
        <is>
          <t>high</t>
        </is>
      </c>
      <c r="G58" s="9" t="n">
        <v>9485977</v>
      </c>
    </row>
    <row r="59">
      <c r="A59" s="8" t="inlineStr">
        <is>
          <t>Balance sheet (detail)</t>
        </is>
      </c>
      <c r="B59" s="8" t="inlineStr">
        <is>
          <t>C8</t>
        </is>
      </c>
      <c r="C59" s="8" t="inlineStr">
        <is>
          <t>4. Accounts receivable, net</t>
        </is>
      </c>
      <c r="D59" s="8" t="inlineStr">
        <is>
          <t>4E</t>
        </is>
      </c>
      <c r="E59" s="8" t="inlineStr">
        <is>
          <t>part_x_balance_sheet.accounts_receivable_eoy</t>
        </is>
      </c>
      <c r="F59" s="8" t="inlineStr">
        <is>
          <t>high</t>
        </is>
      </c>
      <c r="G59" s="9" t="n">
        <v>9200348</v>
      </c>
    </row>
    <row r="60">
      <c r="A60" s="8" t="inlineStr">
        <is>
          <t>Balance sheet (detail)</t>
        </is>
      </c>
      <c r="B60" s="8" t="inlineStr">
        <is>
          <t>D8</t>
        </is>
      </c>
      <c r="C60" s="8" t="inlineStr">
        <is>
          <t>4. Accounts receivable, net</t>
        </is>
      </c>
      <c r="D60" s="8" t="inlineStr">
        <is>
          <t>4E</t>
        </is>
      </c>
      <c r="E60" s="8" t="inlineStr">
        <is>
          <t>part_x_balance_sheet.accounts_receivable_eoy</t>
        </is>
      </c>
      <c r="F60" s="8" t="inlineStr">
        <is>
          <t>high</t>
        </is>
      </c>
      <c r="G60" s="9" t="n">
        <v>5920242</v>
      </c>
    </row>
    <row r="61">
      <c r="A61" s="8" t="inlineStr">
        <is>
          <t>Balance sheet (detail)</t>
        </is>
      </c>
      <c r="B61" s="8" t="inlineStr">
        <is>
          <t>E8</t>
        </is>
      </c>
      <c r="C61" s="8" t="inlineStr">
        <is>
          <t>4. Accounts receivable, net</t>
        </is>
      </c>
      <c r="D61" s="8" t="inlineStr">
        <is>
          <t>4E</t>
        </is>
      </c>
      <c r="E61" s="8" t="inlineStr">
        <is>
          <t>part_x_balance_sheet.accounts_receivable_eoy</t>
        </is>
      </c>
      <c r="F61" s="8" t="inlineStr">
        <is>
          <t>high</t>
        </is>
      </c>
      <c r="G61" s="9" t="n">
        <v>4431936</v>
      </c>
    </row>
    <row r="62">
      <c r="A62" s="8" t="inlineStr">
        <is>
          <t>Balance sheet (detail)</t>
        </is>
      </c>
      <c r="B62" s="8" t="inlineStr">
        <is>
          <t>B9</t>
        </is>
      </c>
      <c r="C62" s="8" t="inlineStr">
        <is>
          <t>7. Notes and loans receivable, net</t>
        </is>
      </c>
      <c r="D62" s="8" t="inlineStr">
        <is>
          <t>7E</t>
        </is>
      </c>
      <c r="E62" s="8" t="inlineStr">
        <is>
          <t>part_x_balance_sheet.notes_loans_receivable_eoy</t>
        </is>
      </c>
      <c r="F62" s="8" t="inlineStr">
        <is>
          <t>high</t>
        </is>
      </c>
      <c r="G62" s="9" t="n">
        <v>1228000</v>
      </c>
    </row>
    <row r="63">
      <c r="A63" s="8" t="inlineStr">
        <is>
          <t>Balance sheet (detail)</t>
        </is>
      </c>
      <c r="B63" s="8" t="inlineStr">
        <is>
          <t>C9</t>
        </is>
      </c>
      <c r="C63" s="8" t="inlineStr">
        <is>
          <t>7. Notes and loans receivable, net</t>
        </is>
      </c>
      <c r="D63" s="8" t="inlineStr">
        <is>
          <t>7E</t>
        </is>
      </c>
      <c r="E63" s="8" t="inlineStr">
        <is>
          <t>part_x_balance_sheet.notes_loans_receivable_eoy</t>
        </is>
      </c>
      <c r="F63" s="8" t="inlineStr">
        <is>
          <t>high</t>
        </is>
      </c>
      <c r="G63" s="9" t="n">
        <v>1228000</v>
      </c>
    </row>
    <row r="64">
      <c r="A64" s="8" t="inlineStr">
        <is>
          <t>Balance sheet (detail)</t>
        </is>
      </c>
      <c r="B64" s="8" t="inlineStr">
        <is>
          <t>D9</t>
        </is>
      </c>
      <c r="C64" s="8" t="inlineStr">
        <is>
          <t>7. Notes and loans receivable, net</t>
        </is>
      </c>
      <c r="D64" s="8" t="inlineStr">
        <is>
          <t>7E</t>
        </is>
      </c>
      <c r="E64" s="8" t="inlineStr">
        <is>
          <t>part_x_balance_sheet.notes_loans_receivable_eoy</t>
        </is>
      </c>
      <c r="F64" s="8" t="inlineStr">
        <is>
          <t>high</t>
        </is>
      </c>
      <c r="G64" s="9" t="n">
        <v>1228000</v>
      </c>
    </row>
    <row r="65">
      <c r="A65" s="8" t="inlineStr">
        <is>
          <t>Balance sheet (detail)</t>
        </is>
      </c>
      <c r="B65" s="8" t="inlineStr">
        <is>
          <t>E9</t>
        </is>
      </c>
      <c r="C65" s="8" t="inlineStr">
        <is>
          <t>7. Notes and loans receivable, net</t>
        </is>
      </c>
      <c r="D65" s="8" t="inlineStr">
        <is>
          <t>7E</t>
        </is>
      </c>
      <c r="E65" s="8" t="inlineStr">
        <is>
          <t>part_x_balance_sheet.notes_loans_receivable_eoy</t>
        </is>
      </c>
      <c r="F65" s="8" t="inlineStr">
        <is>
          <t>high</t>
        </is>
      </c>
      <c r="G65" s="9" t="n">
        <v>1950889</v>
      </c>
    </row>
    <row r="66">
      <c r="A66" s="8" t="inlineStr">
        <is>
          <t>Balance sheet (detail)</t>
        </is>
      </c>
      <c r="B66" s="8" t="inlineStr">
        <is>
          <t>B10</t>
        </is>
      </c>
      <c r="C66" s="8" t="inlineStr">
        <is>
          <t>8. Inventories for sale or use</t>
        </is>
      </c>
      <c r="D66" s="8" t="inlineStr">
        <is>
          <t>8E</t>
        </is>
      </c>
      <c r="E66" s="8" t="inlineStr">
        <is>
          <t>part_x_balance_sheet.inventories_eoy</t>
        </is>
      </c>
      <c r="F66" s="8" t="inlineStr">
        <is>
          <t>high</t>
        </is>
      </c>
      <c r="G66" s="9" t="n">
        <v>17774</v>
      </c>
    </row>
    <row r="67">
      <c r="A67" s="8" t="inlineStr">
        <is>
          <t>Balance sheet (detail)</t>
        </is>
      </c>
      <c r="B67" s="8" t="inlineStr">
        <is>
          <t>C10</t>
        </is>
      </c>
      <c r="C67" s="8" t="inlineStr">
        <is>
          <t>8. Inventories for sale or use</t>
        </is>
      </c>
      <c r="D67" s="8" t="inlineStr">
        <is>
          <t>8E</t>
        </is>
      </c>
      <c r="E67" s="8" t="inlineStr">
        <is>
          <t>part_x_balance_sheet.inventories_eoy</t>
        </is>
      </c>
      <c r="F67" s="8" t="inlineStr">
        <is>
          <t>high</t>
        </is>
      </c>
      <c r="G67" s="9" t="n">
        <v>17774</v>
      </c>
    </row>
    <row r="68">
      <c r="A68" s="8" t="inlineStr">
        <is>
          <t>Balance sheet (detail)</t>
        </is>
      </c>
      <c r="B68" s="8" t="inlineStr">
        <is>
          <t>D10</t>
        </is>
      </c>
      <c r="C68" s="8" t="inlineStr">
        <is>
          <t>8. Inventories for sale or use</t>
        </is>
      </c>
      <c r="D68" s="8" t="inlineStr">
        <is>
          <t>8E</t>
        </is>
      </c>
      <c r="E68" s="8" t="inlineStr">
        <is>
          <t>part_x_balance_sheet.inventories_eoy</t>
        </is>
      </c>
      <c r="F68" s="8" t="inlineStr">
        <is>
          <t>high</t>
        </is>
      </c>
      <c r="G68" s="9" t="n">
        <v>17774</v>
      </c>
    </row>
    <row r="69">
      <c r="A69" s="8" t="inlineStr">
        <is>
          <t>Balance sheet (detail)</t>
        </is>
      </c>
      <c r="B69" s="8" t="inlineStr">
        <is>
          <t>E10</t>
        </is>
      </c>
      <c r="C69" s="8" t="inlineStr">
        <is>
          <t>8. Inventories for sale or use</t>
        </is>
      </c>
      <c r="D69" s="8" t="inlineStr">
        <is>
          <t>8E</t>
        </is>
      </c>
      <c r="E69" s="8" t="inlineStr">
        <is>
          <t>part_x_balance_sheet.inventories_eoy</t>
        </is>
      </c>
      <c r="F69" s="8" t="inlineStr">
        <is>
          <t>high</t>
        </is>
      </c>
      <c r="G69" s="9" t="n">
        <v>17774</v>
      </c>
    </row>
    <row r="70">
      <c r="A70" s="8" t="inlineStr">
        <is>
          <t>Balance sheet (detail)</t>
        </is>
      </c>
      <c r="B70" s="8" t="inlineStr">
        <is>
          <t>B11</t>
        </is>
      </c>
      <c r="C70" s="8" t="inlineStr">
        <is>
          <t>9. Prepaid expenses and deferred charges</t>
        </is>
      </c>
      <c r="D70" s="8" t="inlineStr">
        <is>
          <t>9E</t>
        </is>
      </c>
      <c r="E70" s="8" t="inlineStr">
        <is>
          <t>part_x_balance_sheet.prepaid_expenses_eoy</t>
        </is>
      </c>
      <c r="F70" s="8" t="inlineStr">
        <is>
          <t>high</t>
        </is>
      </c>
      <c r="G70" s="9" t="n">
        <v>10721670</v>
      </c>
    </row>
    <row r="71">
      <c r="A71" s="8" t="inlineStr">
        <is>
          <t>Balance sheet (detail)</t>
        </is>
      </c>
      <c r="B71" s="8" t="inlineStr">
        <is>
          <t>C11</t>
        </is>
      </c>
      <c r="C71" s="8" t="inlineStr">
        <is>
          <t>9. Prepaid expenses and deferred charges</t>
        </is>
      </c>
      <c r="D71" s="8" t="inlineStr">
        <is>
          <t>9E</t>
        </is>
      </c>
      <c r="E71" s="8" t="inlineStr">
        <is>
          <t>part_x_balance_sheet.prepaid_expenses_eoy</t>
        </is>
      </c>
      <c r="F71" s="8" t="inlineStr">
        <is>
          <t>high</t>
        </is>
      </c>
      <c r="G71" s="9" t="n">
        <v>12677386</v>
      </c>
    </row>
    <row r="72">
      <c r="A72" s="8" t="inlineStr">
        <is>
          <t>Balance sheet (detail)</t>
        </is>
      </c>
      <c r="B72" s="8" t="inlineStr">
        <is>
          <t>D11</t>
        </is>
      </c>
      <c r="C72" s="8" t="inlineStr">
        <is>
          <t>9. Prepaid expenses and deferred charges</t>
        </is>
      </c>
      <c r="D72" s="8" t="inlineStr">
        <is>
          <t>9E</t>
        </is>
      </c>
      <c r="E72" s="8" t="inlineStr">
        <is>
          <t>part_x_balance_sheet.prepaid_expenses_eoy</t>
        </is>
      </c>
      <c r="F72" s="8" t="inlineStr">
        <is>
          <t>high</t>
        </is>
      </c>
      <c r="G72" s="9" t="n">
        <v>14394682</v>
      </c>
    </row>
    <row r="73">
      <c r="A73" s="8" t="inlineStr">
        <is>
          <t>Balance sheet (detail)</t>
        </is>
      </c>
      <c r="B73" s="8" t="inlineStr">
        <is>
          <t>E11</t>
        </is>
      </c>
      <c r="C73" s="8" t="inlineStr">
        <is>
          <t>9. Prepaid expenses and deferred charges</t>
        </is>
      </c>
      <c r="D73" s="8" t="inlineStr">
        <is>
          <t>9E</t>
        </is>
      </c>
      <c r="E73" s="8" t="inlineStr">
        <is>
          <t>part_x_balance_sheet.prepaid_expenses_eoy</t>
        </is>
      </c>
      <c r="F73" s="8" t="inlineStr">
        <is>
          <t>high</t>
        </is>
      </c>
      <c r="G73" s="9" t="n">
        <v>16864822</v>
      </c>
    </row>
    <row r="74">
      <c r="A74" s="8" t="inlineStr">
        <is>
          <t>Balance sheet (detail)</t>
        </is>
      </c>
      <c r="B74" s="8" t="inlineStr">
        <is>
          <t>B12</t>
        </is>
      </c>
      <c r="C74" s="8" t="inlineStr">
        <is>
          <t>10c. Land, buildings, and equipment, net</t>
        </is>
      </c>
      <c r="D74" s="8" t="inlineStr">
        <is>
          <t>10cE</t>
        </is>
      </c>
      <c r="E74" s="8" t="inlineStr">
        <is>
          <t>part_x_balance_sheet.land_bldg_equip_net_eoy</t>
        </is>
      </c>
      <c r="F74" s="8" t="inlineStr">
        <is>
          <t>high</t>
        </is>
      </c>
      <c r="G74" s="9" t="n">
        <v>30157314</v>
      </c>
    </row>
    <row r="75">
      <c r="A75" s="8" t="inlineStr">
        <is>
          <t>Balance sheet (detail)</t>
        </is>
      </c>
      <c r="B75" s="8" t="inlineStr">
        <is>
          <t>C12</t>
        </is>
      </c>
      <c r="C75" s="8" t="inlineStr">
        <is>
          <t>10c. Land, buildings, and equipment, net</t>
        </is>
      </c>
      <c r="D75" s="8" t="inlineStr">
        <is>
          <t>10cE</t>
        </is>
      </c>
      <c r="E75" s="8" t="inlineStr">
        <is>
          <t>part_x_balance_sheet.land_bldg_equip_net_eoy</t>
        </is>
      </c>
      <c r="F75" s="8" t="inlineStr">
        <is>
          <t>high</t>
        </is>
      </c>
      <c r="G75" s="9" t="n">
        <v>29305791</v>
      </c>
    </row>
    <row r="76">
      <c r="A76" s="8" t="inlineStr">
        <is>
          <t>Balance sheet (detail)</t>
        </is>
      </c>
      <c r="B76" s="8" t="inlineStr">
        <is>
          <t>D12</t>
        </is>
      </c>
      <c r="C76" s="8" t="inlineStr">
        <is>
          <t>10c. Land, buildings, and equipment, net</t>
        </is>
      </c>
      <c r="D76" s="8" t="inlineStr">
        <is>
          <t>10cE</t>
        </is>
      </c>
      <c r="E76" s="8" t="inlineStr">
        <is>
          <t>part_x_balance_sheet.land_bldg_equip_net_eoy</t>
        </is>
      </c>
      <c r="F76" s="8" t="inlineStr">
        <is>
          <t>high</t>
        </is>
      </c>
      <c r="G76" s="9" t="n">
        <v>29717550</v>
      </c>
    </row>
    <row r="77">
      <c r="A77" s="8" t="inlineStr">
        <is>
          <t>Balance sheet (detail)</t>
        </is>
      </c>
      <c r="B77" s="8" t="inlineStr">
        <is>
          <t>E12</t>
        </is>
      </c>
      <c r="C77" s="8" t="inlineStr">
        <is>
          <t>10c. Land, buildings, and equipment, net</t>
        </is>
      </c>
      <c r="D77" s="8" t="inlineStr">
        <is>
          <t>10cE</t>
        </is>
      </c>
      <c r="E77" s="8" t="inlineStr">
        <is>
          <t>part_x_balance_sheet.land_bldg_equip_net_eoy</t>
        </is>
      </c>
      <c r="F77" s="8" t="inlineStr">
        <is>
          <t>high</t>
        </is>
      </c>
      <c r="G77" s="9" t="n">
        <v>30612087</v>
      </c>
    </row>
    <row r="78">
      <c r="A78" s="8" t="inlineStr">
        <is>
          <t>Balance sheet (detail)</t>
        </is>
      </c>
      <c r="B78" s="8" t="inlineStr">
        <is>
          <t>B13</t>
        </is>
      </c>
      <c r="C78" s="8" t="inlineStr">
        <is>
          <t>12. Investments - other securities</t>
        </is>
      </c>
      <c r="D78" s="8" t="inlineStr">
        <is>
          <t>12E</t>
        </is>
      </c>
      <c r="E78" s="8" t="inlineStr">
        <is>
          <t>part_x_balance_sheet.investments_other_securities_eoy</t>
        </is>
      </c>
      <c r="F78" s="8" t="inlineStr">
        <is>
          <t>high</t>
        </is>
      </c>
      <c r="G78" s="9" t="n">
        <v>3810047</v>
      </c>
    </row>
    <row r="79">
      <c r="A79" s="8" t="inlineStr">
        <is>
          <t>Balance sheet (detail)</t>
        </is>
      </c>
      <c r="B79" s="8" t="inlineStr">
        <is>
          <t>C13</t>
        </is>
      </c>
      <c r="C79" s="8" t="inlineStr">
        <is>
          <t>12. Investments - other securities</t>
        </is>
      </c>
      <c r="D79" s="8" t="inlineStr">
        <is>
          <t>12E</t>
        </is>
      </c>
      <c r="E79" s="8" t="inlineStr">
        <is>
          <t>part_x_balance_sheet.investments_other_securities_eoy</t>
        </is>
      </c>
      <c r="F79" s="8" t="inlineStr">
        <is>
          <t>high</t>
        </is>
      </c>
      <c r="G79" s="9" t="n">
        <v>3810047</v>
      </c>
    </row>
    <row r="80">
      <c r="A80" s="8" t="inlineStr">
        <is>
          <t>Balance sheet (detail)</t>
        </is>
      </c>
      <c r="B80" s="8" t="inlineStr">
        <is>
          <t>D13</t>
        </is>
      </c>
      <c r="C80" s="8" t="inlineStr">
        <is>
          <t>12. Investments - other securities</t>
        </is>
      </c>
      <c r="D80" s="8" t="inlineStr">
        <is>
          <t>12E</t>
        </is>
      </c>
      <c r="E80" s="8" t="inlineStr">
        <is>
          <t>part_x_balance_sheet.investments_other_securities_eoy</t>
        </is>
      </c>
      <c r="F80" s="8" t="inlineStr">
        <is>
          <t>high</t>
        </is>
      </c>
      <c r="G80" s="9" t="n">
        <v>3810047</v>
      </c>
    </row>
    <row r="81">
      <c r="A81" s="8" t="inlineStr">
        <is>
          <t>Balance sheet (detail)</t>
        </is>
      </c>
      <c r="B81" s="8" t="inlineStr">
        <is>
          <t>E13</t>
        </is>
      </c>
      <c r="C81" s="8" t="inlineStr">
        <is>
          <t>12. Investments - other securities</t>
        </is>
      </c>
      <c r="D81" s="8" t="inlineStr">
        <is>
          <t>12E</t>
        </is>
      </c>
      <c r="E81" s="8" t="inlineStr">
        <is>
          <t>part_x_balance_sheet.investments_other_securities_eoy</t>
        </is>
      </c>
      <c r="F81" s="8" t="inlineStr">
        <is>
          <t>high</t>
        </is>
      </c>
      <c r="G81" s="9" t="n">
        <v>3810047</v>
      </c>
    </row>
    <row r="82">
      <c r="A82" s="8" t="inlineStr">
        <is>
          <t>Balance sheet (detail)</t>
        </is>
      </c>
      <c r="B82" s="8" t="inlineStr">
        <is>
          <t>B14</t>
        </is>
      </c>
      <c r="C82" s="8" t="inlineStr">
        <is>
          <t>14. Intangible assets</t>
        </is>
      </c>
      <c r="D82" s="8" t="inlineStr">
        <is>
          <t>14E</t>
        </is>
      </c>
      <c r="E82" s="8" t="inlineStr">
        <is>
          <t>part_x_balance_sheet.intangible_assets_eoy</t>
        </is>
      </c>
      <c r="F82" s="8" t="inlineStr">
        <is>
          <t>high</t>
        </is>
      </c>
      <c r="G82" s="9" t="n">
        <v>17560900</v>
      </c>
    </row>
    <row r="83">
      <c r="A83" s="8" t="inlineStr">
        <is>
          <t>Balance sheet (detail)</t>
        </is>
      </c>
      <c r="B83" s="8" t="inlineStr">
        <is>
          <t>C14</t>
        </is>
      </c>
      <c r="C83" s="8" t="inlineStr">
        <is>
          <t>14. Intangible assets</t>
        </is>
      </c>
      <c r="D83" s="8" t="inlineStr">
        <is>
          <t>14E</t>
        </is>
      </c>
      <c r="E83" s="8" t="inlineStr">
        <is>
          <t>part_x_balance_sheet.intangible_assets_eoy</t>
        </is>
      </c>
      <c r="F83" s="8" t="inlineStr">
        <is>
          <t>high</t>
        </is>
      </c>
      <c r="G83" s="9" t="n">
        <v>17560900</v>
      </c>
    </row>
    <row r="84">
      <c r="A84" s="8" t="inlineStr">
        <is>
          <t>Balance sheet (detail)</t>
        </is>
      </c>
      <c r="B84" s="8" t="inlineStr">
        <is>
          <t>D14</t>
        </is>
      </c>
      <c r="C84" s="8" t="inlineStr">
        <is>
          <t>14. Intangible assets</t>
        </is>
      </c>
      <c r="D84" s="8" t="inlineStr">
        <is>
          <t>14E</t>
        </is>
      </c>
      <c r="E84" s="8" t="inlineStr">
        <is>
          <t>part_x_balance_sheet.intangible_assets_eoy</t>
        </is>
      </c>
      <c r="F84" s="8" t="inlineStr">
        <is>
          <t>high</t>
        </is>
      </c>
      <c r="G84" s="9" t="n">
        <v>17560900</v>
      </c>
    </row>
    <row r="85">
      <c r="A85" s="8" t="inlineStr">
        <is>
          <t>Balance sheet (detail)</t>
        </is>
      </c>
      <c r="B85" s="8" t="inlineStr">
        <is>
          <t>E14</t>
        </is>
      </c>
      <c r="C85" s="8" t="inlineStr">
        <is>
          <t>14. Intangible assets</t>
        </is>
      </c>
      <c r="D85" s="8" t="inlineStr">
        <is>
          <t>14E</t>
        </is>
      </c>
      <c r="E85" s="8" t="inlineStr">
        <is>
          <t>part_x_balance_sheet.intangible_assets_eoy</t>
        </is>
      </c>
      <c r="F85" s="8" t="inlineStr">
        <is>
          <t>high</t>
        </is>
      </c>
      <c r="G85" s="9" t="n">
        <v>17810900</v>
      </c>
    </row>
    <row r="86">
      <c r="A86" s="8" t="inlineStr">
        <is>
          <t>Balance sheet (detail)</t>
        </is>
      </c>
      <c r="B86" s="8" t="inlineStr">
        <is>
          <t>B18</t>
        </is>
      </c>
      <c r="C86" s="8" t="inlineStr">
        <is>
          <t>17. Accounts payable and accrued expenses</t>
        </is>
      </c>
      <c r="D86" s="8" t="inlineStr">
        <is>
          <t>17E</t>
        </is>
      </c>
      <c r="E86" s="8" t="inlineStr">
        <is>
          <t>part_x_balance_sheet.accounts_payable_eoy</t>
        </is>
      </c>
      <c r="F86" s="8" t="inlineStr">
        <is>
          <t>high</t>
        </is>
      </c>
      <c r="G86" s="9" t="n">
        <v>9067118</v>
      </c>
    </row>
    <row r="87">
      <c r="A87" s="8" t="inlineStr">
        <is>
          <t>Balance sheet (detail)</t>
        </is>
      </c>
      <c r="B87" s="8" t="inlineStr">
        <is>
          <t>C18</t>
        </is>
      </c>
      <c r="C87" s="8" t="inlineStr">
        <is>
          <t>17. Accounts payable and accrued expenses</t>
        </is>
      </c>
      <c r="D87" s="8" t="inlineStr">
        <is>
          <t>17E</t>
        </is>
      </c>
      <c r="E87" s="8" t="inlineStr">
        <is>
          <t>part_x_balance_sheet.accounts_payable_eoy</t>
        </is>
      </c>
      <c r="F87" s="8" t="inlineStr">
        <is>
          <t>high</t>
        </is>
      </c>
      <c r="G87" s="9" t="n">
        <v>8961436</v>
      </c>
    </row>
    <row r="88">
      <c r="A88" s="8" t="inlineStr">
        <is>
          <t>Balance sheet (detail)</t>
        </is>
      </c>
      <c r="B88" s="8" t="inlineStr">
        <is>
          <t>D18</t>
        </is>
      </c>
      <c r="C88" s="8" t="inlineStr">
        <is>
          <t>17. Accounts payable and accrued expenses</t>
        </is>
      </c>
      <c r="D88" s="8" t="inlineStr">
        <is>
          <t>17E</t>
        </is>
      </c>
      <c r="E88" s="8" t="inlineStr">
        <is>
          <t>part_x_balance_sheet.accounts_payable_eoy</t>
        </is>
      </c>
      <c r="F88" s="8" t="inlineStr">
        <is>
          <t>high</t>
        </is>
      </c>
      <c r="G88" s="9" t="n">
        <v>10365650</v>
      </c>
    </row>
    <row r="89">
      <c r="A89" s="8" t="inlineStr">
        <is>
          <t>Balance sheet (detail)</t>
        </is>
      </c>
      <c r="B89" s="8" t="inlineStr">
        <is>
          <t>E18</t>
        </is>
      </c>
      <c r="C89" s="8" t="inlineStr">
        <is>
          <t>17. Accounts payable and accrued expenses</t>
        </is>
      </c>
      <c r="D89" s="8" t="inlineStr">
        <is>
          <t>17E</t>
        </is>
      </c>
      <c r="E89" s="8" t="inlineStr">
        <is>
          <t>part_x_balance_sheet.accounts_payable_eoy</t>
        </is>
      </c>
      <c r="F89" s="8" t="inlineStr">
        <is>
          <t>high</t>
        </is>
      </c>
      <c r="G89" s="9" t="n">
        <v>10732671</v>
      </c>
    </row>
    <row r="90">
      <c r="A90" s="8" t="inlineStr">
        <is>
          <t>Balance sheet (detail)</t>
        </is>
      </c>
      <c r="B90" s="8" t="inlineStr">
        <is>
          <t>D19</t>
        </is>
      </c>
      <c r="C90" s="8" t="inlineStr">
        <is>
          <t>19. Deferred revenue</t>
        </is>
      </c>
      <c r="D90" s="8" t="inlineStr">
        <is>
          <t>19E</t>
        </is>
      </c>
      <c r="E90" s="8" t="inlineStr">
        <is>
          <t>part_x_balance_sheet.deferred_revenue_eoy</t>
        </is>
      </c>
      <c r="F90" s="8" t="inlineStr">
        <is>
          <t>high</t>
        </is>
      </c>
      <c r="G90" s="9" t="n">
        <v>1444240</v>
      </c>
    </row>
    <row r="91">
      <c r="A91" s="8" t="inlineStr">
        <is>
          <t>Balance sheet (detail)</t>
        </is>
      </c>
      <c r="B91" s="8" t="inlineStr">
        <is>
          <t>E19</t>
        </is>
      </c>
      <c r="C91" s="8" t="inlineStr">
        <is>
          <t>19. Deferred revenue</t>
        </is>
      </c>
      <c r="D91" s="8" t="inlineStr">
        <is>
          <t>19E</t>
        </is>
      </c>
      <c r="E91" s="8" t="inlineStr">
        <is>
          <t>part_x_balance_sheet.deferred_revenue_eoy</t>
        </is>
      </c>
      <c r="F91" s="8" t="inlineStr">
        <is>
          <t>high</t>
        </is>
      </c>
      <c r="G91" s="9" t="n">
        <v>2600000</v>
      </c>
    </row>
    <row r="92">
      <c r="A92" s="8" t="inlineStr">
        <is>
          <t>Balance sheet (detail)</t>
        </is>
      </c>
      <c r="B92" s="8" t="inlineStr">
        <is>
          <t>B20</t>
        </is>
      </c>
      <c r="C92" s="8" t="inlineStr">
        <is>
          <t>25. Other liabilities</t>
        </is>
      </c>
      <c r="D92" s="8" t="inlineStr">
        <is>
          <t>25E</t>
        </is>
      </c>
      <c r="E92" s="8" t="inlineStr">
        <is>
          <t>part_x_balance_sheet.other_liabilities_eoy</t>
        </is>
      </c>
      <c r="F92" s="8" t="inlineStr">
        <is>
          <t>high</t>
        </is>
      </c>
      <c r="G92" s="9" t="n">
        <v>798</v>
      </c>
    </row>
    <row r="93">
      <c r="A93" s="8" t="inlineStr">
        <is>
          <t>Balance sheet (detail)</t>
        </is>
      </c>
      <c r="B93" s="8" t="inlineStr">
        <is>
          <t>C20</t>
        </is>
      </c>
      <c r="C93" s="8" t="inlineStr">
        <is>
          <t>25. Other liabilities</t>
        </is>
      </c>
      <c r="D93" s="8" t="inlineStr">
        <is>
          <t>25E</t>
        </is>
      </c>
      <c r="E93" s="8" t="inlineStr">
        <is>
          <t>part_x_balance_sheet.other_liabilities_eoy</t>
        </is>
      </c>
      <c r="F93" s="8" t="inlineStr">
        <is>
          <t>high</t>
        </is>
      </c>
      <c r="G93" s="9" t="n">
        <v>12702</v>
      </c>
    </row>
    <row r="94">
      <c r="A94" s="8" t="inlineStr">
        <is>
          <t>Balance sheet (detail)</t>
        </is>
      </c>
      <c r="B94" s="8" t="inlineStr">
        <is>
          <t>D20</t>
        </is>
      </c>
      <c r="C94" s="8" t="inlineStr">
        <is>
          <t>25. Other liabilities</t>
        </is>
      </c>
      <c r="D94" s="8" t="inlineStr">
        <is>
          <t>25E</t>
        </is>
      </c>
      <c r="E94" s="8" t="inlineStr">
        <is>
          <t>part_x_balance_sheet.other_liabilities_eoy</t>
        </is>
      </c>
      <c r="F94" s="8" t="inlineStr">
        <is>
          <t>high</t>
        </is>
      </c>
      <c r="G94" s="9" t="n">
        <v>13566</v>
      </c>
    </row>
    <row r="95">
      <c r="A95" s="8" t="inlineStr">
        <is>
          <t>Balance sheet (detail)</t>
        </is>
      </c>
      <c r="B95" s="8" t="inlineStr">
        <is>
          <t>E20</t>
        </is>
      </c>
      <c r="C95" s="8" t="inlineStr">
        <is>
          <t>25. Other liabilities</t>
        </is>
      </c>
      <c r="D95" s="8" t="inlineStr">
        <is>
          <t>25E</t>
        </is>
      </c>
      <c r="E95" s="8" t="inlineStr">
        <is>
          <t>part_x_balance_sheet.other_liabilities_eoy</t>
        </is>
      </c>
      <c r="F95" s="8" t="inlineStr">
        <is>
          <t>high</t>
        </is>
      </c>
      <c r="G95" s="9" t="n">
        <v>39134</v>
      </c>
    </row>
    <row r="96">
      <c r="A96" s="8" t="inlineStr">
        <is>
          <t>Balance sheet (detail)</t>
        </is>
      </c>
      <c r="B96" s="8" t="inlineStr">
        <is>
          <t>B24</t>
        </is>
      </c>
      <c r="C96" s="8" t="inlineStr">
        <is>
          <t>29. Capital stock or trust principal</t>
        </is>
      </c>
      <c r="D96" s="8" t="inlineStr">
        <is>
          <t>29E</t>
        </is>
      </c>
      <c r="E96" s="8" t="inlineStr">
        <is>
          <t>part_x_balance_sheet.cap_stock_eoy</t>
        </is>
      </c>
      <c r="F96" s="8" t="inlineStr">
        <is>
          <t>high</t>
        </is>
      </c>
      <c r="G96" s="9" t="n">
        <v>21078527</v>
      </c>
    </row>
    <row r="97">
      <c r="A97" s="8" t="inlineStr">
        <is>
          <t>Balance sheet (detail)</t>
        </is>
      </c>
      <c r="B97" s="8" t="inlineStr">
        <is>
          <t>C24</t>
        </is>
      </c>
      <c r="C97" s="8" t="inlineStr">
        <is>
          <t>29. Capital stock or trust principal</t>
        </is>
      </c>
      <c r="D97" s="8" t="inlineStr">
        <is>
          <t>29E</t>
        </is>
      </c>
      <c r="E97" s="8" t="inlineStr">
        <is>
          <t>part_x_balance_sheet.cap_stock_eoy</t>
        </is>
      </c>
      <c r="F97" s="8" t="inlineStr">
        <is>
          <t>high</t>
        </is>
      </c>
      <c r="G97" s="9" t="n">
        <v>21078527</v>
      </c>
    </row>
    <row r="98">
      <c r="A98" s="8" t="inlineStr">
        <is>
          <t>Balance sheet (detail)</t>
        </is>
      </c>
      <c r="B98" s="8" t="inlineStr">
        <is>
          <t>D24</t>
        </is>
      </c>
      <c r="C98" s="8" t="inlineStr">
        <is>
          <t>29. Capital stock or trust principal</t>
        </is>
      </c>
      <c r="D98" s="8" t="inlineStr">
        <is>
          <t>29E</t>
        </is>
      </c>
      <c r="E98" s="8" t="inlineStr">
        <is>
          <t>part_x_balance_sheet.cap_stock_eoy</t>
        </is>
      </c>
      <c r="F98" s="8" t="inlineStr">
        <is>
          <t>high</t>
        </is>
      </c>
      <c r="G98" s="9" t="n">
        <v>21096389</v>
      </c>
    </row>
    <row r="99">
      <c r="A99" s="8" t="inlineStr">
        <is>
          <t>Balance sheet (detail)</t>
        </is>
      </c>
      <c r="B99" s="8" t="inlineStr">
        <is>
          <t>E24</t>
        </is>
      </c>
      <c r="C99" s="8" t="inlineStr">
        <is>
          <t>29. Capital stock or trust principal</t>
        </is>
      </c>
      <c r="D99" s="8" t="inlineStr">
        <is>
          <t>29E</t>
        </is>
      </c>
      <c r="E99" s="8" t="inlineStr">
        <is>
          <t>part_x_balance_sheet.cap_stock_eoy</t>
        </is>
      </c>
      <c r="F99" s="8" t="inlineStr">
        <is>
          <t>high</t>
        </is>
      </c>
      <c r="G99" s="9" t="n">
        <v>21095214</v>
      </c>
    </row>
    <row r="100">
      <c r="A100" s="8" t="inlineStr">
        <is>
          <t>Balance sheet (detail)</t>
        </is>
      </c>
      <c r="B100" s="8" t="inlineStr">
        <is>
          <t>B25</t>
        </is>
      </c>
      <c r="C100" s="8" t="inlineStr">
        <is>
          <t>30. Paid-in or capital surplus</t>
        </is>
      </c>
      <c r="D100" s="8" t="inlineStr">
        <is>
          <t>30E</t>
        </is>
      </c>
      <c r="E100" s="8" t="inlineStr">
        <is>
          <t>part_x_balance_sheet.paid_in_capital_eoy</t>
        </is>
      </c>
      <c r="F100" s="8" t="inlineStr">
        <is>
          <t>high</t>
        </is>
      </c>
      <c r="G100" s="9" t="n">
        <v>1907130</v>
      </c>
    </row>
    <row r="101">
      <c r="A101" s="8" t="inlineStr">
        <is>
          <t>Balance sheet (detail)</t>
        </is>
      </c>
      <c r="B101" s="8" t="inlineStr">
        <is>
          <t>C25</t>
        </is>
      </c>
      <c r="C101" s="8" t="inlineStr">
        <is>
          <t>30. Paid-in or capital surplus</t>
        </is>
      </c>
      <c r="D101" s="8" t="inlineStr">
        <is>
          <t>30E</t>
        </is>
      </c>
      <c r="E101" s="8" t="inlineStr">
        <is>
          <t>part_x_balance_sheet.paid_in_capital_eoy</t>
        </is>
      </c>
      <c r="F101" s="8" t="inlineStr">
        <is>
          <t>high</t>
        </is>
      </c>
      <c r="G101" s="9" t="n">
        <v>1907130</v>
      </c>
    </row>
    <row r="102">
      <c r="A102" s="8" t="inlineStr">
        <is>
          <t>Balance sheet (detail)</t>
        </is>
      </c>
      <c r="B102" s="8" t="inlineStr">
        <is>
          <t>D25</t>
        </is>
      </c>
      <c r="C102" s="8" t="inlineStr">
        <is>
          <t>30. Paid-in or capital surplus</t>
        </is>
      </c>
      <c r="D102" s="8" t="inlineStr">
        <is>
          <t>30E</t>
        </is>
      </c>
      <c r="E102" s="8" t="inlineStr">
        <is>
          <t>part_x_balance_sheet.paid_in_capital_eoy</t>
        </is>
      </c>
      <c r="F102" s="8" t="inlineStr">
        <is>
          <t>high</t>
        </is>
      </c>
      <c r="G102" s="9" t="n">
        <v>7337330</v>
      </c>
    </row>
    <row r="103">
      <c r="A103" s="8" t="inlineStr">
        <is>
          <t>Balance sheet (detail)</t>
        </is>
      </c>
      <c r="B103" s="8" t="inlineStr">
        <is>
          <t>E25</t>
        </is>
      </c>
      <c r="C103" s="8" t="inlineStr">
        <is>
          <t>30. Paid-in or capital surplus</t>
        </is>
      </c>
      <c r="D103" s="8" t="inlineStr">
        <is>
          <t>30E</t>
        </is>
      </c>
      <c r="E103" s="8" t="inlineStr">
        <is>
          <t>part_x_balance_sheet.paid_in_capital_eoy</t>
        </is>
      </c>
      <c r="F103" s="8" t="inlineStr">
        <is>
          <t>high</t>
        </is>
      </c>
      <c r="G103" s="9" t="n">
        <v>6958275</v>
      </c>
    </row>
    <row r="104">
      <c r="A104" s="8" t="inlineStr">
        <is>
          <t>Balance sheet (detail)</t>
        </is>
      </c>
      <c r="B104" s="8" t="inlineStr">
        <is>
          <t>B26</t>
        </is>
      </c>
      <c r="C104" s="8" t="inlineStr">
        <is>
          <t>31. Retained earnings / accumulated funds</t>
        </is>
      </c>
      <c r="D104" s="8" t="inlineStr">
        <is>
          <t>31E</t>
        </is>
      </c>
      <c r="E104" s="8" t="inlineStr">
        <is>
          <t>part_x_balance_sheet.retained_earnings_eoy</t>
        </is>
      </c>
      <c r="F104" s="8" t="inlineStr">
        <is>
          <t>high</t>
        </is>
      </c>
      <c r="G104" s="9" t="n">
        <v>43275102</v>
      </c>
    </row>
    <row r="105">
      <c r="A105" s="8" t="inlineStr">
        <is>
          <t>Balance sheet (detail)</t>
        </is>
      </c>
      <c r="B105" s="8" t="inlineStr">
        <is>
          <t>C26</t>
        </is>
      </c>
      <c r="C105" s="8" t="inlineStr">
        <is>
          <t>31. Retained earnings / accumulated funds</t>
        </is>
      </c>
      <c r="D105" s="8" t="inlineStr">
        <is>
          <t>31E</t>
        </is>
      </c>
      <c r="E105" s="8" t="inlineStr">
        <is>
          <t>part_x_balance_sheet.retained_earnings_eoy</t>
        </is>
      </c>
      <c r="F105" s="8" t="inlineStr">
        <is>
          <t>high</t>
        </is>
      </c>
      <c r="G105" s="9" t="n">
        <v>43435841</v>
      </c>
    </row>
    <row r="106">
      <c r="A106" s="8" t="inlineStr">
        <is>
          <t>Balance sheet (detail)</t>
        </is>
      </c>
      <c r="B106" s="8" t="inlineStr">
        <is>
          <t>D26</t>
        </is>
      </c>
      <c r="C106" s="8" t="inlineStr">
        <is>
          <t>31. Retained earnings / accumulated funds</t>
        </is>
      </c>
      <c r="D106" s="8" t="inlineStr">
        <is>
          <t>31E</t>
        </is>
      </c>
      <c r="E106" s="8" t="inlineStr">
        <is>
          <t>part_x_balance_sheet.retained_earnings_eoy</t>
        </is>
      </c>
      <c r="F106" s="8" t="inlineStr">
        <is>
          <t>high</t>
        </is>
      </c>
      <c r="G106" s="9" t="n">
        <v>43454509</v>
      </c>
    </row>
    <row r="107">
      <c r="A107" s="8" t="inlineStr">
        <is>
          <t>Balance sheet (detail)</t>
        </is>
      </c>
      <c r="B107" s="8" t="inlineStr">
        <is>
          <t>E26</t>
        </is>
      </c>
      <c r="C107" s="8" t="inlineStr">
        <is>
          <t>31. Retained earnings / accumulated funds</t>
        </is>
      </c>
      <c r="D107" s="8" t="inlineStr">
        <is>
          <t>31E</t>
        </is>
      </c>
      <c r="E107" s="8" t="inlineStr">
        <is>
          <t>part_x_balance_sheet.retained_earnings_eoy</t>
        </is>
      </c>
      <c r="F107" s="8" t="inlineStr">
        <is>
          <t>high</t>
        </is>
      </c>
      <c r="G107" s="9" t="n">
        <v>42931951</v>
      </c>
    </row>
    <row r="108">
      <c r="A108" s="8" t="inlineStr">
        <is>
          <t>Net-assets reconciliation</t>
        </is>
      </c>
      <c r="B108" s="8" t="inlineStr">
        <is>
          <t>B7</t>
        </is>
      </c>
      <c r="C108" s="8" t="inlineStr">
        <is>
          <t>4. Net assets, beginning of year</t>
        </is>
      </c>
      <c r="D108" s="8" t="inlineStr">
        <is>
          <t>Part XI line 4</t>
        </is>
      </c>
      <c r="E108" s="8" t="inlineStr">
        <is>
          <t>part_xi_reconciliation.net_assets_boy</t>
        </is>
      </c>
      <c r="F108" s="8" t="inlineStr">
        <is>
          <t>high</t>
        </is>
      </c>
      <c r="G108" s="9" t="n">
        <v>66178746</v>
      </c>
    </row>
    <row r="109">
      <c r="A109" s="8" t="inlineStr">
        <is>
          <t>Net-assets reconciliation</t>
        </is>
      </c>
      <c r="B109" s="8" t="inlineStr">
        <is>
          <t>C7</t>
        </is>
      </c>
      <c r="C109" s="8" t="inlineStr">
        <is>
          <t>4. Net assets, beginning of year</t>
        </is>
      </c>
      <c r="D109" s="8" t="inlineStr">
        <is>
          <t>Part XI line 4</t>
        </is>
      </c>
      <c r="E109" s="8" t="inlineStr">
        <is>
          <t>part_xi_reconciliation.net_assets_boy</t>
        </is>
      </c>
      <c r="F109" s="8" t="inlineStr">
        <is>
          <t>high</t>
        </is>
      </c>
      <c r="G109" s="9" t="n">
        <v>66260759</v>
      </c>
    </row>
    <row r="110">
      <c r="A110" s="8" t="inlineStr">
        <is>
          <t>Net-assets reconciliation</t>
        </is>
      </c>
      <c r="B110" s="8" t="inlineStr">
        <is>
          <t>D7</t>
        </is>
      </c>
      <c r="C110" s="8" t="inlineStr">
        <is>
          <t>4. Net assets, beginning of year</t>
        </is>
      </c>
      <c r="D110" s="8" t="inlineStr">
        <is>
          <t>Part XI line 4</t>
        </is>
      </c>
      <c r="E110" s="8" t="inlineStr">
        <is>
          <t>part_xi_reconciliation.net_assets_boy</t>
        </is>
      </c>
      <c r="F110" s="8" t="inlineStr">
        <is>
          <t>high</t>
        </is>
      </c>
      <c r="G110" s="9" t="n">
        <v>66421498</v>
      </c>
    </row>
    <row r="111">
      <c r="A111" s="8" t="inlineStr">
        <is>
          <t>Net-assets reconciliation</t>
        </is>
      </c>
      <c r="B111" s="8" t="inlineStr">
        <is>
          <t>E7</t>
        </is>
      </c>
      <c r="C111" s="8" t="inlineStr">
        <is>
          <t>4. Net assets, beginning of year</t>
        </is>
      </c>
      <c r="D111" s="8" t="inlineStr">
        <is>
          <t>Part XI line 4</t>
        </is>
      </c>
      <c r="E111" s="8" t="inlineStr">
        <is>
          <t>part_xi_reconciliation.net_assets_boy</t>
        </is>
      </c>
      <c r="F111" s="8" t="inlineStr">
        <is>
          <t>high</t>
        </is>
      </c>
      <c r="G111" s="9" t="n">
        <v>71888228</v>
      </c>
    </row>
    <row r="112">
      <c r="A112" s="8" t="inlineStr">
        <is>
          <t>Net-assets reconciliation</t>
        </is>
      </c>
      <c r="B112" s="8" t="inlineStr">
        <is>
          <t>B8</t>
        </is>
      </c>
      <c r="C112" s="8" t="inlineStr">
        <is>
          <t>3. Revenue less expenses</t>
        </is>
      </c>
      <c r="D112" s="8" t="inlineStr">
        <is>
          <t>Part XI line 3</t>
        </is>
      </c>
      <c r="E112" s="8" t="inlineStr">
        <is>
          <t>part_xi_reconciliation.reconciliation_revenue_expenses</t>
        </is>
      </c>
      <c r="F112" s="8" t="inlineStr">
        <is>
          <t>high</t>
        </is>
      </c>
      <c r="G112" s="9" t="n">
        <v>236514</v>
      </c>
    </row>
    <row r="113">
      <c r="A113" s="8" t="inlineStr">
        <is>
          <t>Net-assets reconciliation</t>
        </is>
      </c>
      <c r="B113" s="8" t="inlineStr">
        <is>
          <t>C8</t>
        </is>
      </c>
      <c r="C113" s="8" t="inlineStr">
        <is>
          <t>3. Revenue less expenses</t>
        </is>
      </c>
      <c r="D113" s="8" t="inlineStr">
        <is>
          <t>Part XI line 3</t>
        </is>
      </c>
      <c r="E113" s="8" t="inlineStr">
        <is>
          <t>part_xi_reconciliation.reconciliation_revenue_expenses</t>
        </is>
      </c>
      <c r="F113" s="8" t="inlineStr">
        <is>
          <t>high</t>
        </is>
      </c>
      <c r="G113" s="9" t="n">
        <v>813854</v>
      </c>
    </row>
    <row r="114">
      <c r="A114" s="8" t="inlineStr">
        <is>
          <t>Net-assets reconciliation</t>
        </is>
      </c>
      <c r="B114" s="8" t="inlineStr">
        <is>
          <t>D8</t>
        </is>
      </c>
      <c r="C114" s="8" t="inlineStr">
        <is>
          <t>3. Revenue less expenses</t>
        </is>
      </c>
      <c r="D114" s="8" t="inlineStr">
        <is>
          <t>Part XI line 3</t>
        </is>
      </c>
      <c r="E114" s="8" t="inlineStr">
        <is>
          <t>part_xi_reconciliation.reconciliation_revenue_expenses</t>
        </is>
      </c>
      <c r="F114" s="8" t="inlineStr">
        <is>
          <t>high</t>
        </is>
      </c>
      <c r="G114" s="9" t="n">
        <v>-122395</v>
      </c>
    </row>
    <row r="115">
      <c r="A115" s="8" t="inlineStr">
        <is>
          <t>Net-assets reconciliation</t>
        </is>
      </c>
      <c r="B115" s="8" t="inlineStr">
        <is>
          <t>E8</t>
        </is>
      </c>
      <c r="C115" s="8" t="inlineStr">
        <is>
          <t>3. Revenue less expenses</t>
        </is>
      </c>
      <c r="D115" s="8" t="inlineStr">
        <is>
          <t>Part XI line 3</t>
        </is>
      </c>
      <c r="E115" s="8" t="inlineStr">
        <is>
          <t>part_xi_reconciliation.reconciliation_revenue_expenses</t>
        </is>
      </c>
      <c r="F115" s="8" t="inlineStr">
        <is>
          <t>high</t>
        </is>
      </c>
      <c r="G115" s="9" t="n">
        <v>-522558</v>
      </c>
    </row>
    <row r="116">
      <c r="A116" s="8" t="inlineStr">
        <is>
          <t>Net-assets reconciliation</t>
        </is>
      </c>
      <c r="B116" s="8" t="inlineStr">
        <is>
          <t>B10</t>
        </is>
      </c>
      <c r="C116" s="8" t="inlineStr">
        <is>
          <t>9. Other changes in net assets</t>
        </is>
      </c>
      <c r="D116" s="8" t="inlineStr">
        <is>
          <t>Part XI line 9</t>
        </is>
      </c>
      <c r="E116" s="8" t="inlineStr">
        <is>
          <t>part_xi_reconciliation.other_changes_net_assets</t>
        </is>
      </c>
      <c r="F116" s="8" t="inlineStr">
        <is>
          <t>high</t>
        </is>
      </c>
      <c r="G116" s="9" t="n">
        <v>-154501</v>
      </c>
    </row>
    <row r="117">
      <c r="A117" s="8" t="inlineStr">
        <is>
          <t>Net-assets reconciliation</t>
        </is>
      </c>
      <c r="B117" s="8" t="inlineStr">
        <is>
          <t>C10</t>
        </is>
      </c>
      <c r="C117" s="8" t="inlineStr">
        <is>
          <t>9. Other changes in net assets</t>
        </is>
      </c>
      <c r="D117" s="8" t="inlineStr">
        <is>
          <t>Part XI line 9</t>
        </is>
      </c>
      <c r="E117" s="8" t="inlineStr">
        <is>
          <t>part_xi_reconciliation.other_changes_net_assets</t>
        </is>
      </c>
      <c r="F117" s="8" t="inlineStr">
        <is>
          <t>high</t>
        </is>
      </c>
      <c r="G117" s="9" t="n">
        <v>-653115</v>
      </c>
    </row>
    <row r="118">
      <c r="A118" s="8" t="inlineStr">
        <is>
          <t>Net-assets reconciliation</t>
        </is>
      </c>
      <c r="B118" s="8" t="inlineStr">
        <is>
          <t>D10</t>
        </is>
      </c>
      <c r="C118" s="8" t="inlineStr">
        <is>
          <t>9. Other changes in net assets</t>
        </is>
      </c>
      <c r="D118" s="8" t="inlineStr">
        <is>
          <t>Part XI line 9</t>
        </is>
      </c>
      <c r="E118" s="8" t="inlineStr">
        <is>
          <t>part_xi_reconciliation.other_changes_net_assets</t>
        </is>
      </c>
      <c r="F118" s="8" t="inlineStr">
        <is>
          <t>high</t>
        </is>
      </c>
      <c r="G118" s="9" t="n">
        <v>5589125</v>
      </c>
    </row>
    <row r="119">
      <c r="A119" s="8" t="inlineStr">
        <is>
          <t>Net-assets reconciliation</t>
        </is>
      </c>
      <c r="B119" s="8" t="inlineStr">
        <is>
          <t>E10</t>
        </is>
      </c>
      <c r="C119" s="8" t="inlineStr">
        <is>
          <t>9. Other changes in net assets</t>
        </is>
      </c>
      <c r="D119" s="8" t="inlineStr">
        <is>
          <t>Part XI line 9</t>
        </is>
      </c>
      <c r="E119" s="8" t="inlineStr">
        <is>
          <t>part_xi_reconciliation.other_changes_net_assets</t>
        </is>
      </c>
      <c r="F119" s="8" t="inlineStr">
        <is>
          <t>high</t>
        </is>
      </c>
      <c r="G119" s="9" t="n">
        <v>-380230</v>
      </c>
    </row>
    <row r="121">
      <c r="A121" s="28" t="inlineStr">
        <is>
          <t>C. Tie-out checks (filed vs computed; any nonzero variance is flagged red)</t>
        </is>
      </c>
      <c r="B121" s="7" t="n"/>
      <c r="C121" s="7" t="n"/>
      <c r="D121" s="7" t="n"/>
      <c r="E121" s="7" t="n"/>
      <c r="F121" s="7" t="n"/>
      <c r="G121" s="7" t="n"/>
      <c r="H121" s="7" t="n"/>
      <c r="I121" s="7" t="n"/>
      <c r="J121" s="7" t="n"/>
      <c r="K121" s="7" t="n"/>
    </row>
    <row r="122">
      <c r="A122" s="5" t="inlineStr">
        <is>
          <t>Tab</t>
        </is>
      </c>
      <c r="B122" s="5" t="inlineStr">
        <is>
          <t>Check</t>
        </is>
      </c>
      <c r="C122" s="5" t="inlineStr">
        <is>
          <t>Fiscal year</t>
        </is>
      </c>
      <c r="D122" s="5" t="inlineStr">
        <is>
          <t>Filed</t>
        </is>
      </c>
      <c r="E122" s="5" t="inlineStr">
        <is>
          <t>Computed</t>
        </is>
      </c>
      <c r="F122" s="5" t="inlineStr">
        <is>
          <t>Variance (computed - filed)</t>
        </is>
      </c>
    </row>
    <row r="123">
      <c r="A123" s="30" t="inlineStr">
        <is>
          <t>Revenue (detail)</t>
        </is>
      </c>
      <c r="B123" s="30" t="inlineStr">
        <is>
          <t>12. Total revenue</t>
        </is>
      </c>
      <c r="C123" s="30" t="inlineStr">
        <is>
          <t>FY2021</t>
        </is>
      </c>
      <c r="D123" s="9" t="n">
        <v>19972014</v>
      </c>
      <c r="E123" s="9">
        <f>'Revenue (detail)'!B13</f>
        <v/>
      </c>
      <c r="F123" s="9">
        <f>E123-D123</f>
        <v/>
      </c>
    </row>
    <row r="124">
      <c r="A124" s="30" t="inlineStr">
        <is>
          <t>Revenue (detail)</t>
        </is>
      </c>
      <c r="B124" s="30" t="inlineStr">
        <is>
          <t>12. Total revenue</t>
        </is>
      </c>
      <c r="C124" s="30" t="inlineStr">
        <is>
          <t>FY2022</t>
        </is>
      </c>
      <c r="D124" s="9" t="n">
        <v>19759648</v>
      </c>
      <c r="E124" s="9">
        <f>'Revenue (detail)'!C13</f>
        <v/>
      </c>
      <c r="F124" s="9">
        <f>E124-D124</f>
        <v/>
      </c>
    </row>
    <row r="125">
      <c r="A125" s="30" t="inlineStr">
        <is>
          <t>Revenue (detail)</t>
        </is>
      </c>
      <c r="B125" s="30" t="inlineStr">
        <is>
          <t>12. Total revenue</t>
        </is>
      </c>
      <c r="C125" s="30" t="inlineStr">
        <is>
          <t>FY2023</t>
        </is>
      </c>
      <c r="D125" s="9" t="n">
        <v>15879268</v>
      </c>
      <c r="E125" s="9">
        <f>'Revenue (detail)'!D13</f>
        <v/>
      </c>
      <c r="F125" s="9">
        <f>E125-D125</f>
        <v/>
      </c>
    </row>
    <row r="126">
      <c r="A126" s="30" t="inlineStr">
        <is>
          <t>Revenue (detail)</t>
        </is>
      </c>
      <c r="B126" s="30" t="inlineStr">
        <is>
          <t>12. Total revenue</t>
        </is>
      </c>
      <c r="C126" s="30" t="inlineStr">
        <is>
          <t>FY2024</t>
        </is>
      </c>
      <c r="D126" s="9" t="n">
        <v>15414997</v>
      </c>
      <c r="E126" s="9">
        <f>'Revenue (detail)'!E13</f>
        <v/>
      </c>
      <c r="F126" s="9">
        <f>E126-D126</f>
        <v/>
      </c>
    </row>
    <row r="127">
      <c r="A127" s="30" t="inlineStr">
        <is>
          <t>Revenue (detail)</t>
        </is>
      </c>
      <c r="B127" s="30" t="inlineStr">
        <is>
          <t>2g program service revenue = sum of lines 2a-2f (FY2024)</t>
        </is>
      </c>
      <c r="C127" s="30" t="inlineStr">
        <is>
          <t>FY2024</t>
        </is>
      </c>
      <c r="D127" s="9" t="n">
        <v>14992578</v>
      </c>
      <c r="E127" s="9">
        <f>SUM('Revenue (detail)'!C17:C18)</f>
        <v/>
      </c>
      <c r="F127" s="9">
        <f>E127-D127</f>
        <v/>
      </c>
    </row>
    <row r="128">
      <c r="A128" s="30" t="inlineStr">
        <is>
          <t>Operating expenses (detail)</t>
        </is>
      </c>
      <c r="B128" s="30" t="inlineStr">
        <is>
          <t>25. Total functional expenses</t>
        </is>
      </c>
      <c r="C128" s="30" t="inlineStr">
        <is>
          <t>FY2021</t>
        </is>
      </c>
      <c r="D128" s="9" t="n">
        <v>19735500</v>
      </c>
      <c r="E128" s="9">
        <f>'Operating expenses (detail)'!B21</f>
        <v/>
      </c>
      <c r="F128" s="9">
        <f>E128-D128</f>
        <v/>
      </c>
    </row>
    <row r="129">
      <c r="A129" s="30" t="inlineStr">
        <is>
          <t>Operating expenses (detail)</t>
        </is>
      </c>
      <c r="B129" s="30" t="inlineStr">
        <is>
          <t>25. Total functional expenses</t>
        </is>
      </c>
      <c r="C129" s="30" t="inlineStr">
        <is>
          <t>FY2022</t>
        </is>
      </c>
      <c r="D129" s="9" t="n">
        <v>18945794</v>
      </c>
      <c r="E129" s="9">
        <f>'Operating expenses (detail)'!C21</f>
        <v/>
      </c>
      <c r="F129" s="9">
        <f>E129-D129</f>
        <v/>
      </c>
    </row>
    <row r="130">
      <c r="A130" s="30" t="inlineStr">
        <is>
          <t>Operating expenses (detail)</t>
        </is>
      </c>
      <c r="B130" s="30" t="inlineStr">
        <is>
          <t>25. Total functional expenses</t>
        </is>
      </c>
      <c r="C130" s="30" t="inlineStr">
        <is>
          <t>FY2023</t>
        </is>
      </c>
      <c r="D130" s="9" t="n">
        <v>16001663</v>
      </c>
      <c r="E130" s="9">
        <f>'Operating expenses (detail)'!D21</f>
        <v/>
      </c>
      <c r="F130" s="9">
        <f>E130-D130</f>
        <v/>
      </c>
    </row>
    <row r="131">
      <c r="A131" s="30" t="inlineStr">
        <is>
          <t>Operating expenses (detail)</t>
        </is>
      </c>
      <c r="B131" s="30" t="inlineStr">
        <is>
          <t>25. Total functional expenses</t>
        </is>
      </c>
      <c r="C131" s="30" t="inlineStr">
        <is>
          <t>FY2024</t>
        </is>
      </c>
      <c r="D131" s="9" t="n">
        <v>15937555</v>
      </c>
      <c r="E131" s="9">
        <f>'Operating expenses (detail)'!E21</f>
        <v/>
      </c>
      <c r="F131" s="9">
        <f>E131-D131</f>
        <v/>
      </c>
    </row>
    <row r="132">
      <c r="A132" s="30" t="inlineStr">
        <is>
          <t>Balance sheet (detail)</t>
        </is>
      </c>
      <c r="B132" s="30" t="inlineStr">
        <is>
          <t>16. Total assets</t>
        </is>
      </c>
      <c r="C132" s="30" t="inlineStr">
        <is>
          <t>FY2021</t>
        </is>
      </c>
      <c r="D132" s="9" t="n">
        <v>75328675</v>
      </c>
      <c r="E132" s="9">
        <f>'Balance sheet (detail)'!B15</f>
        <v/>
      </c>
      <c r="F132" s="9">
        <f>E132-D132</f>
        <v/>
      </c>
    </row>
    <row r="133">
      <c r="A133" s="30" t="inlineStr">
        <is>
          <t>Balance sheet (detail)</t>
        </is>
      </c>
      <c r="B133" s="30" t="inlineStr">
        <is>
          <t>16. Total assets</t>
        </is>
      </c>
      <c r="C133" s="30" t="inlineStr">
        <is>
          <t>FY2022</t>
        </is>
      </c>
      <c r="D133" s="9" t="n">
        <v>75395636</v>
      </c>
      <c r="E133" s="9">
        <f>'Balance sheet (detail)'!C15</f>
        <v/>
      </c>
      <c r="F133" s="9">
        <f>E133-D133</f>
        <v/>
      </c>
    </row>
    <row r="134">
      <c r="A134" s="30" t="inlineStr">
        <is>
          <t>Balance sheet (detail)</t>
        </is>
      </c>
      <c r="B134" s="30" t="inlineStr">
        <is>
          <t>16. Total assets</t>
        </is>
      </c>
      <c r="C134" s="30" t="inlineStr">
        <is>
          <t>FY2023</t>
        </is>
      </c>
      <c r="D134" s="9" t="n">
        <v>83711684</v>
      </c>
      <c r="E134" s="9">
        <f>'Balance sheet (detail)'!D15</f>
        <v/>
      </c>
      <c r="F134" s="9">
        <f>E134-D134</f>
        <v/>
      </c>
    </row>
    <row r="135">
      <c r="A135" s="30" t="inlineStr">
        <is>
          <t>Balance sheet (detail)</t>
        </is>
      </c>
      <c r="B135" s="30" t="inlineStr">
        <is>
          <t>16. Total assets</t>
        </is>
      </c>
      <c r="C135" s="30" t="inlineStr">
        <is>
          <t>FY2024</t>
        </is>
      </c>
      <c r="D135" s="9" t="n">
        <v>84357245</v>
      </c>
      <c r="E135" s="9">
        <f>'Balance sheet (detail)'!E15</f>
        <v/>
      </c>
      <c r="F135" s="9">
        <f>E135-D135</f>
        <v/>
      </c>
    </row>
    <row r="136">
      <c r="A136" s="30" t="inlineStr">
        <is>
          <t>Balance sheet (detail)</t>
        </is>
      </c>
      <c r="B136" s="30" t="inlineStr">
        <is>
          <t>26. Total liabilities</t>
        </is>
      </c>
      <c r="C136" s="30" t="inlineStr">
        <is>
          <t>FY2021</t>
        </is>
      </c>
      <c r="D136" s="9" t="n">
        <v>9067916</v>
      </c>
      <c r="E136" s="9">
        <f>'Balance sheet (detail)'!B21</f>
        <v/>
      </c>
      <c r="F136" s="9">
        <f>E136-D136</f>
        <v/>
      </c>
    </row>
    <row r="137">
      <c r="A137" s="30" t="inlineStr">
        <is>
          <t>Balance sheet (detail)</t>
        </is>
      </c>
      <c r="B137" s="30" t="inlineStr">
        <is>
          <t>26. Total liabilities</t>
        </is>
      </c>
      <c r="C137" s="30" t="inlineStr">
        <is>
          <t>FY2022</t>
        </is>
      </c>
      <c r="D137" s="9" t="n">
        <v>8974138</v>
      </c>
      <c r="E137" s="9">
        <f>'Balance sheet (detail)'!C21</f>
        <v/>
      </c>
      <c r="F137" s="9">
        <f>E137-D137</f>
        <v/>
      </c>
    </row>
    <row r="138">
      <c r="A138" s="30" t="inlineStr">
        <is>
          <t>Balance sheet (detail)</t>
        </is>
      </c>
      <c r="B138" s="30" t="inlineStr">
        <is>
          <t>26. Total liabilities</t>
        </is>
      </c>
      <c r="C138" s="30" t="inlineStr">
        <is>
          <t>FY2023</t>
        </is>
      </c>
      <c r="D138" s="9" t="n">
        <v>11823456</v>
      </c>
      <c r="E138" s="9">
        <f>'Balance sheet (detail)'!D21</f>
        <v/>
      </c>
      <c r="F138" s="9">
        <f>E138-D138</f>
        <v/>
      </c>
    </row>
    <row r="139">
      <c r="A139" s="30" t="inlineStr">
        <is>
          <t>Balance sheet (detail)</t>
        </is>
      </c>
      <c r="B139" s="30" t="inlineStr">
        <is>
          <t>26. Total liabilities</t>
        </is>
      </c>
      <c r="C139" s="30" t="inlineStr">
        <is>
          <t>FY2024</t>
        </is>
      </c>
      <c r="D139" s="9" t="n">
        <v>13371805</v>
      </c>
      <c r="E139" s="9">
        <f>'Balance sheet (detail)'!E21</f>
        <v/>
      </c>
      <c r="F139" s="9">
        <f>E139-D139</f>
        <v/>
      </c>
    </row>
    <row r="140">
      <c r="A140" s="30" t="inlineStr">
        <is>
          <t>Balance sheet (detail)</t>
        </is>
      </c>
      <c r="B140" s="30" t="inlineStr">
        <is>
          <t>32. Total net assets / fund balances</t>
        </is>
      </c>
      <c r="C140" s="30" t="inlineStr">
        <is>
          <t>FY2021</t>
        </is>
      </c>
      <c r="D140" s="9" t="n">
        <v>66260759</v>
      </c>
      <c r="E140" s="9">
        <f>'Balance sheet (detail)'!B27</f>
        <v/>
      </c>
      <c r="F140" s="9">
        <f>E140-D140</f>
        <v/>
      </c>
    </row>
    <row r="141">
      <c r="A141" s="30" t="inlineStr">
        <is>
          <t>Balance sheet (detail)</t>
        </is>
      </c>
      <c r="B141" s="30" t="inlineStr">
        <is>
          <t>32. Total net assets / fund balances</t>
        </is>
      </c>
      <c r="C141" s="30" t="inlineStr">
        <is>
          <t>FY2022</t>
        </is>
      </c>
      <c r="D141" s="9" t="n">
        <v>66421498</v>
      </c>
      <c r="E141" s="9">
        <f>'Balance sheet (detail)'!C27</f>
        <v/>
      </c>
      <c r="F141" s="9">
        <f>E141-D141</f>
        <v/>
      </c>
    </row>
    <row r="142">
      <c r="A142" s="30" t="inlineStr">
        <is>
          <t>Balance sheet (detail)</t>
        </is>
      </c>
      <c r="B142" s="30" t="inlineStr">
        <is>
          <t>32. Total net assets / fund balances</t>
        </is>
      </c>
      <c r="C142" s="30" t="inlineStr">
        <is>
          <t>FY2023</t>
        </is>
      </c>
      <c r="D142" s="9" t="n">
        <v>71888228</v>
      </c>
      <c r="E142" s="9">
        <f>'Balance sheet (detail)'!D27</f>
        <v/>
      </c>
      <c r="F142" s="9">
        <f>E142-D142</f>
        <v/>
      </c>
    </row>
    <row r="143">
      <c r="A143" s="30" t="inlineStr">
        <is>
          <t>Balance sheet (detail)</t>
        </is>
      </c>
      <c r="B143" s="30" t="inlineStr">
        <is>
          <t>32. Total net assets / fund balances</t>
        </is>
      </c>
      <c r="C143" s="30" t="inlineStr">
        <is>
          <t>FY2024</t>
        </is>
      </c>
      <c r="D143" s="9" t="n">
        <v>70985440</v>
      </c>
      <c r="E143" s="9">
        <f>'Balance sheet (detail)'!E27</f>
        <v/>
      </c>
      <c r="F143" s="9">
        <f>E143-D143</f>
        <v/>
      </c>
    </row>
    <row r="144">
      <c r="A144" s="30" t="inlineStr">
        <is>
          <t>Balance sheet (detail)</t>
        </is>
      </c>
      <c r="B144" s="30" t="inlineStr">
        <is>
          <t>Balance sheet identity: line 16 = line 26 + line 32 (EOY)</t>
        </is>
      </c>
      <c r="C144" s="30" t="inlineStr">
        <is>
          <t>FY2021</t>
        </is>
      </c>
      <c r="D144" s="9">
        <f>'Balance sheet (detail)'!B15</f>
        <v/>
      </c>
      <c r="E144" s="9">
        <f>SUM('Balance sheet (detail)'!B21,'Balance sheet (detail)'!B27)</f>
        <v/>
      </c>
      <c r="F144" s="9">
        <f>E144-D144</f>
        <v/>
      </c>
    </row>
    <row r="145">
      <c r="A145" s="30" t="inlineStr">
        <is>
          <t>Balance sheet (detail)</t>
        </is>
      </c>
      <c r="B145" s="30" t="inlineStr">
        <is>
          <t>Balance sheet identity: line 16 = line 26 + line 32 (EOY)</t>
        </is>
      </c>
      <c r="C145" s="30" t="inlineStr">
        <is>
          <t>FY2022</t>
        </is>
      </c>
      <c r="D145" s="9">
        <f>'Balance sheet (detail)'!C15</f>
        <v/>
      </c>
      <c r="E145" s="9">
        <f>SUM('Balance sheet (detail)'!C21,'Balance sheet (detail)'!C27)</f>
        <v/>
      </c>
      <c r="F145" s="9">
        <f>E145-D145</f>
        <v/>
      </c>
    </row>
    <row r="146">
      <c r="A146" s="30" t="inlineStr">
        <is>
          <t>Balance sheet (detail)</t>
        </is>
      </c>
      <c r="B146" s="30" t="inlineStr">
        <is>
          <t>Balance sheet identity: line 16 = line 26 + line 32 (EOY)</t>
        </is>
      </c>
      <c r="C146" s="30" t="inlineStr">
        <is>
          <t>FY2023</t>
        </is>
      </c>
      <c r="D146" s="9">
        <f>'Balance sheet (detail)'!D15</f>
        <v/>
      </c>
      <c r="E146" s="9">
        <f>SUM('Balance sheet (detail)'!D21,'Balance sheet (detail)'!D27)</f>
        <v/>
      </c>
      <c r="F146" s="9">
        <f>E146-D146</f>
        <v/>
      </c>
    </row>
    <row r="147">
      <c r="A147" s="30" t="inlineStr">
        <is>
          <t>Balance sheet (detail)</t>
        </is>
      </c>
      <c r="B147" s="30" t="inlineStr">
        <is>
          <t>Balance sheet identity: line 16 = line 26 + line 32 (EOY)</t>
        </is>
      </c>
      <c r="C147" s="30" t="inlineStr">
        <is>
          <t>FY2024</t>
        </is>
      </c>
      <c r="D147" s="9">
        <f>'Balance sheet (detail)'!E15</f>
        <v/>
      </c>
      <c r="E147" s="9">
        <f>SUM('Balance sheet (detail)'!E21,'Balance sheet (detail)'!E27)</f>
        <v/>
      </c>
      <c r="F147" s="9">
        <f>E147-D147</f>
        <v/>
      </c>
    </row>
    <row r="148">
      <c r="A148" s="30" t="inlineStr">
        <is>
          <t>Net-assets reconciliation</t>
        </is>
      </c>
      <c r="B148" s="30" t="inlineStr">
        <is>
          <t>10. Net assets, end of year</t>
        </is>
      </c>
      <c r="C148" s="30" t="inlineStr">
        <is>
          <t>FY2021</t>
        </is>
      </c>
      <c r="D148" s="9" t="n">
        <v>66260759</v>
      </c>
      <c r="E148" s="9">
        <f>'Net-assets reconciliation'!B11</f>
        <v/>
      </c>
      <c r="F148" s="9">
        <f>E148-D148</f>
        <v/>
      </c>
    </row>
    <row r="149">
      <c r="A149" s="30" t="inlineStr">
        <is>
          <t>Net-assets reconciliation</t>
        </is>
      </c>
      <c r="B149" s="30" t="inlineStr">
        <is>
          <t>10. Net assets, end of year</t>
        </is>
      </c>
      <c r="C149" s="30" t="inlineStr">
        <is>
          <t>FY2022</t>
        </is>
      </c>
      <c r="D149" s="9" t="n">
        <v>66421498</v>
      </c>
      <c r="E149" s="9">
        <f>'Net-assets reconciliation'!C11</f>
        <v/>
      </c>
      <c r="F149" s="9">
        <f>E149-D149</f>
        <v/>
      </c>
    </row>
    <row r="150">
      <c r="A150" s="30" t="inlineStr">
        <is>
          <t>Net-assets reconciliation</t>
        </is>
      </c>
      <c r="B150" s="30" t="inlineStr">
        <is>
          <t>10. Net assets, end of year</t>
        </is>
      </c>
      <c r="C150" s="30" t="inlineStr">
        <is>
          <t>FY2023</t>
        </is>
      </c>
      <c r="D150" s="9" t="n">
        <v>71888228</v>
      </c>
      <c r="E150" s="9">
        <f>'Net-assets reconciliation'!D11</f>
        <v/>
      </c>
      <c r="F150" s="9">
        <f>E150-D150</f>
        <v/>
      </c>
    </row>
    <row r="151">
      <c r="A151" s="30" t="inlineStr">
        <is>
          <t>Net-assets reconciliation</t>
        </is>
      </c>
      <c r="B151" s="30" t="inlineStr">
        <is>
          <t>10. Net assets, end of year</t>
        </is>
      </c>
      <c r="C151" s="30" t="inlineStr">
        <is>
          <t>FY2024</t>
        </is>
      </c>
      <c r="D151" s="9" t="n">
        <v>70985440</v>
      </c>
      <c r="E151" s="9">
        <f>'Net-assets reconciliation'!E11</f>
        <v/>
      </c>
      <c r="F151" s="9">
        <f>E151-D151</f>
        <v/>
      </c>
    </row>
    <row r="153">
      <c r="A153" s="28" t="inlineStr">
        <is>
          <t>D. Preparer / auditor trail (one row per fiscal year, as filed)</t>
        </is>
      </c>
      <c r="B153" s="7" t="n"/>
      <c r="C153" s="7" t="n"/>
      <c r="D153" s="7" t="n"/>
      <c r="E153" s="7" t="n"/>
      <c r="F153" s="7" t="n"/>
      <c r="G153" s="7" t="n"/>
      <c r="H153" s="7" t="n"/>
      <c r="I153" s="7" t="n"/>
      <c r="J153" s="7" t="n"/>
      <c r="K153" s="7" t="n"/>
    </row>
    <row r="154">
      <c r="A154" s="5" t="inlineStr">
        <is>
          <t>Fiscal year</t>
        </is>
      </c>
      <c r="B154" s="5" t="inlineStr">
        <is>
          <t>Paid preparer</t>
        </is>
      </c>
      <c r="C154" s="5" t="inlineStr">
        <is>
          <t>Preparer firm</t>
        </is>
      </c>
      <c r="D154" s="5" t="inlineStr">
        <is>
          <t>Independent auditor</t>
        </is>
      </c>
      <c r="E154" s="5" t="inlineStr">
        <is>
          <t>Citation</t>
        </is>
      </c>
    </row>
    <row r="155" ht="42" customHeight="1">
      <c r="A155" s="29" t="inlineStr">
        <is>
          <t>FY2021</t>
        </is>
      </c>
      <c r="B155" s="8" t="inlineStr">
        <is>
          <t>CINDY G LIM CPA</t>
        </is>
      </c>
      <c r="C155" s="8" t="inlineStr">
        <is>
          <t>FRAZER LLP</t>
        </is>
      </c>
      <c r="D155" s="31" t="inlineStr">
        <is>
          <t>not reported</t>
        </is>
      </c>
      <c r="E155" s="22" t="inlineStr">
        <is>
          <t>Form 990 Return Header, Paid Preparer block (return_header.preparer_person_name / preparer_firm_name); auditor: Part XII line 2 reports audited financial statements but does not name the firm.</t>
        </is>
      </c>
    </row>
    <row r="156" ht="42" customHeight="1">
      <c r="A156" s="29" t="inlineStr">
        <is>
          <t>FY2022</t>
        </is>
      </c>
      <c r="B156" s="8" t="inlineStr">
        <is>
          <t>Gail N Egan</t>
        </is>
      </c>
      <c r="C156" s="8" t="inlineStr">
        <is>
          <t>EGAN CPAs LP</t>
        </is>
      </c>
      <c r="D156" s="31" t="inlineStr">
        <is>
          <t>not reported</t>
        </is>
      </c>
      <c r="E156" s="22" t="inlineStr">
        <is>
          <t>Form 990 Return Header, Paid Preparer block (return_header.preparer_person_name / preparer_firm_name); auditor: Part XII line 2 reports audited financial statements but does not name the firm.</t>
        </is>
      </c>
    </row>
    <row r="157" ht="42" customHeight="1">
      <c r="A157" s="29" t="inlineStr">
        <is>
          <t>FY2023</t>
        </is>
      </c>
      <c r="B157" s="8" t="inlineStr">
        <is>
          <t>Gail N Egan</t>
        </is>
      </c>
      <c r="C157" s="8" t="inlineStr">
        <is>
          <t>EGAN CPAs LP</t>
        </is>
      </c>
      <c r="D157" s="31" t="inlineStr">
        <is>
          <t>not reported</t>
        </is>
      </c>
      <c r="E157" s="22" t="inlineStr">
        <is>
          <t>Form 990 Return Header, Paid Preparer block (return_header.preparer_person_name / preparer_firm_name); auditor: Part XII line 2 reports audited financial statements but does not name the firm.</t>
        </is>
      </c>
    </row>
    <row r="158" ht="42" customHeight="1">
      <c r="A158" s="29" t="inlineStr">
        <is>
          <t>FY2024</t>
        </is>
      </c>
      <c r="B158" s="8" t="inlineStr">
        <is>
          <t>Gail N Egan</t>
        </is>
      </c>
      <c r="C158" s="8" t="inlineStr">
        <is>
          <t>EGAN CPAs LP</t>
        </is>
      </c>
      <c r="D158" s="31" t="inlineStr">
        <is>
          <t>not reported</t>
        </is>
      </c>
      <c r="E158" s="22" t="inlineStr">
        <is>
          <t>Form 990 Return Header, Paid Preparer block (return_header.preparer_person_name / preparer_firm_name); auditor: Part XII line 2 reports audited financial statements but does not name the firm.</t>
        </is>
      </c>
    </row>
    <row r="160" ht="42" customHeight="1">
      <c r="A160" s="3" t="inlineStr">
        <is>
          <t>Section B lists every figure on the statement tabs by its cell, so any number can be traced to its Form 990 line, key path, and confidence without cluttering the statements. Section C recomputes each statutory total live from the statement cells and compares it with the as-filed value; a nonzero variance turns red. A red row is a filer-internal inconsistency (e.g. an ending net-assets figure that does not equal the beginning balance plus the year's surplus or deficit), carried exactly as filed and never reconciled; the statutory totals otherwise tie to zero. Section D records the paid preparer and (where named) the auditor for each year, as filed; the 990 names the preparer but not the auditing firm, so the auditor reads "not reported". Section E lists every as-filed wording variant for Part IX line-24 rows that were consolidated across years because they differed only by capitalization or spacing. IRS efile XML has no page numbers, so 990 figures cite by Part and line (the key path), not a page.</t>
        </is>
      </c>
    </row>
  </sheetData>
  <mergeCells count="6">
    <mergeCell ref="A6:K6"/>
    <mergeCell ref="A3:K3"/>
    <mergeCell ref="A2:K2"/>
    <mergeCell ref="A160:K160"/>
    <mergeCell ref="A5:K5"/>
    <mergeCell ref="A1:K1"/>
  </mergeCells>
  <conditionalFormatting sqref="F123:F151">
    <cfRule type="cellIs" priority="1" operator="notEqual" dxfId="0">
      <formula>0</formula>
    </cfRule>
  </conditionalFormatting>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90" customWidth="1" min="2" max="2"/>
  </cols>
  <sheetData>
    <row r="1">
      <c r="A1" t="inlineStr">
        <is>
          <t>Build provenance</t>
        </is>
      </c>
      <c r="B1" t="inlineStr">
        <is>
          <t>Built from source commit 98dc98bc0062 (2026-09-23); source fingerprint 324dc8855ca42b84; 111 companies (99 retail mutual, 4 irrigation mutual, 3 mutual, no PWSID, purpose not stated, 2 frozen non-mutual (special district), 1 frozen non-mutual (investor-owned), 1 frozen non-mutual (municipal), 1 wholesale mutual); 88 gates; build id 5f652918e4cc.</t>
        </is>
      </c>
    </row>
    <row r="2">
      <c r="A2" t="inlineStr">
        <is>
          <t>source_commit</t>
        </is>
      </c>
      <c r="B2" t="inlineStr">
        <is>
          <t>98dc98bc00622fcb88235e1279e1d57fef7ff8b2</t>
        </is>
      </c>
    </row>
    <row r="3">
      <c r="A3" t="inlineStr">
        <is>
          <t>source_commit_date</t>
        </is>
      </c>
      <c r="B3" t="inlineStr">
        <is>
          <t>2026-09-23</t>
        </is>
      </c>
    </row>
    <row r="4">
      <c r="A4" t="inlineStr">
        <is>
          <t>source_fingerprint</t>
        </is>
      </c>
      <c r="B4" t="inlineStr">
        <is>
          <t>324dc8855ca42b84120c64d4114787c454bb5556a34f4f98da03d5c73c1e9bc3</t>
        </is>
      </c>
    </row>
    <row r="5">
      <c r="A5" t="inlineStr">
        <is>
          <t>gate_count</t>
        </is>
      </c>
      <c r="B5" t="n">
        <v>88</v>
      </c>
    </row>
    <row r="6">
      <c r="A6" t="inlineStr">
        <is>
          <t>build_id</t>
        </is>
      </c>
      <c r="B6" t="inlineStr">
        <is>
          <t>5f652918e4cc</t>
        </is>
      </c>
    </row>
    <row r="7">
      <c r="A7" t="inlineStr">
        <is>
          <t>registry: frozen non-mutual (investor-owned)</t>
        </is>
      </c>
      <c r="B7" t="n">
        <v>1</v>
      </c>
    </row>
    <row r="8">
      <c r="A8" t="inlineStr">
        <is>
          <t>registry: frozen non-mutual (municipal)</t>
        </is>
      </c>
      <c r="B8" t="n">
        <v>1</v>
      </c>
    </row>
    <row r="9">
      <c r="A9" t="inlineStr">
        <is>
          <t>registry: frozen non-mutual (special district)</t>
        </is>
      </c>
      <c r="B9" t="n">
        <v>2</v>
      </c>
    </row>
    <row r="10">
      <c r="A10" t="inlineStr">
        <is>
          <t>registry: irrigation mutual</t>
        </is>
      </c>
      <c r="B10" t="n">
        <v>4</v>
      </c>
    </row>
    <row r="11">
      <c r="A11" t="inlineStr">
        <is>
          <t>registry: mutual, no PWSID, purpose not stated</t>
        </is>
      </c>
      <c r="B11" t="n">
        <v>3</v>
      </c>
    </row>
    <row r="12">
      <c r="A12" t="inlineStr">
        <is>
          <t>registry: retail mutual</t>
        </is>
      </c>
      <c r="B12" t="n">
        <v>99</v>
      </c>
    </row>
    <row r="13">
      <c r="A13" t="inlineStr">
        <is>
          <t>registry: wholesale mutual</t>
        </is>
      </c>
      <c r="B1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2020-01-01T00:00:00Z</dcterms:created>
  <dcterms:modified xsi:type="dcterms:W3CDTF">2020-01-01T00:00:00Z</dcterms:modified>
</cp:coreProperties>
</file>