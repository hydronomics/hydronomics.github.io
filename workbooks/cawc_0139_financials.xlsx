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Hemlock Mutual Water Company</t>
        </is>
      </c>
    </row>
    <row r="2">
      <c r="A2" s="2" t="inlineStr">
        <is>
          <t>Financial Summary - multi-year overview (USD)</t>
        </is>
      </c>
    </row>
    <row r="3">
      <c r="A3" s="2" t="inlineStr">
        <is>
          <t>Entity ID: cawc_0139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255328</v>
      </c>
      <c r="C10" s="9" t="n">
        <v>252274</v>
      </c>
      <c r="D10" s="9" t="n">
        <v>267861</v>
      </c>
      <c r="E10" s="9" t="n">
        <v>258089</v>
      </c>
      <c r="F10" s="9" t="n">
        <v>305516</v>
      </c>
    </row>
    <row r="11">
      <c r="A11" s="8" t="inlineStr">
        <is>
          <t xml:space="preserve">    Total expenses</t>
        </is>
      </c>
      <c r="B11" s="9" t="n">
        <v>257449</v>
      </c>
      <c r="C11" s="9" t="n">
        <v>268872</v>
      </c>
      <c r="D11" s="9" t="n">
        <v>252837</v>
      </c>
      <c r="E11" s="9" t="n">
        <v>257280</v>
      </c>
      <c r="F11" s="9" t="n">
        <v>289264</v>
      </c>
    </row>
    <row r="12">
      <c r="A12" s="10" t="inlineStr">
        <is>
          <t xml:space="preserve">    Net income</t>
        </is>
      </c>
      <c r="B12" s="11" t="n">
        <v>-2121</v>
      </c>
      <c r="C12" s="11" t="n">
        <v>-16598</v>
      </c>
      <c r="D12" s="11" t="n">
        <v>15024</v>
      </c>
      <c r="E12" s="11" t="n">
        <v>809</v>
      </c>
      <c r="F12" s="11" t="n">
        <v>16252</v>
      </c>
    </row>
    <row r="14">
      <c r="A14" s="6" t="inlineStr">
        <is>
          <t>Financial position (USD, end of year)</t>
        </is>
      </c>
      <c r="B14" s="7" t="n"/>
      <c r="C14" s="7" t="n"/>
      <c r="D14" s="7" t="n"/>
      <c r="E14" s="7" t="n"/>
      <c r="F14" s="7" t="n"/>
    </row>
    <row r="15">
      <c r="A15" s="8" t="inlineStr">
        <is>
          <t xml:space="preserve">    Total assets</t>
        </is>
      </c>
      <c r="B15" s="9" t="n">
        <v>45755</v>
      </c>
      <c r="C15" s="9" t="n">
        <v>51063</v>
      </c>
      <c r="D15" s="9" t="n">
        <v>66087</v>
      </c>
      <c r="E15" s="9" t="n">
        <v>33504</v>
      </c>
      <c r="F15" s="9" t="n">
        <v>49756</v>
      </c>
    </row>
    <row r="16">
      <c r="A16" s="8" t="inlineStr">
        <is>
          <t xml:space="preserve">    Total liabilities</t>
        </is>
      </c>
      <c r="B16" s="9" t="n">
        <v>0</v>
      </c>
      <c r="C16" s="9" t="n">
        <v>0</v>
      </c>
      <c r="D16" s="9" t="n">
        <v>0</v>
      </c>
      <c r="E16" s="9" t="n">
        <v>0</v>
      </c>
      <c r="F16" s="9" t="n">
        <v>0</v>
      </c>
    </row>
    <row r="17">
      <c r="A17" s="10" t="inlineStr">
        <is>
          <t xml:space="preserve">    Net assets</t>
        </is>
      </c>
      <c r="B17" s="11" t="n">
        <v>45755</v>
      </c>
      <c r="C17" s="11" t="n">
        <v>51063</v>
      </c>
      <c r="D17" s="11" t="n">
        <v>66087</v>
      </c>
      <c r="E17" s="11" t="n">
        <v>33504</v>
      </c>
      <c r="F17" s="11" t="n">
        <v>49756</v>
      </c>
    </row>
    <row r="19">
      <c r="A19" s="6" t="inlineStr">
        <is>
          <t>Headline ratios</t>
        </is>
      </c>
      <c r="B19" s="7" t="n"/>
      <c r="C19" s="7" t="n"/>
      <c r="D19" s="7" t="n"/>
      <c r="E19" s="7" t="n"/>
      <c r="F19" s="7" t="n"/>
    </row>
    <row r="20">
      <c r="A20" s="8" t="inlineStr">
        <is>
          <t xml:space="preserve">    Operating margin</t>
        </is>
      </c>
      <c r="B20" s="12" t="n">
        <v>-0.008306962025316455</v>
      </c>
      <c r="C20" s="12" t="n">
        <v>-0.0657935419424911</v>
      </c>
      <c r="D20" s="12" t="n">
        <v>0.05608879232139057</v>
      </c>
      <c r="E20" s="12" t="n">
        <v>0.00313457760694954</v>
      </c>
      <c r="F20" s="12" t="n">
        <v>0.05319525000327315</v>
      </c>
    </row>
    <row r="21">
      <c r="A21" s="8" t="inlineStr">
        <is>
          <t xml:space="preserve">    Revenue growth (YoY)</t>
        </is>
      </c>
      <c r="B21" s="12" t="n">
        <v>0.04220614887259784</v>
      </c>
      <c r="C21" s="12" t="n">
        <v>-0.01196108534904123</v>
      </c>
      <c r="D21" s="12" t="n">
        <v>0.06178599459318043</v>
      </c>
      <c r="E21" s="12" t="n">
        <v>-0.03648160799817816</v>
      </c>
      <c r="F21" s="12" t="n">
        <v>0.1837621905621704</v>
      </c>
    </row>
    <row r="22">
      <c r="A22" s="8" t="inlineStr">
        <is>
          <t xml:space="preserve">    Return on assets</t>
        </is>
      </c>
      <c r="B22" s="12" t="n">
        <v>-0.04635558955305431</v>
      </c>
      <c r="C22" s="12" t="n">
        <v>-0.3250494487202084</v>
      </c>
      <c r="D22" s="12" t="n">
        <v>0.2273366925416496</v>
      </c>
      <c r="E22" s="12" t="n">
        <v>0.024146370582617</v>
      </c>
      <c r="F22" s="12" t="n">
        <v>0.3266339737921055</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Hemlock Mutual Water Company</t>
        </is>
      </c>
    </row>
    <row r="2">
      <c r="A2" s="2" t="inlineStr">
        <is>
          <t>Financial Statements - income statement, balance sheet, cash flow, member income test (USD)</t>
        </is>
      </c>
    </row>
    <row r="3">
      <c r="A3" s="2" t="inlineStr">
        <is>
          <t>Entity ID: cawc_0139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255328</v>
      </c>
      <c r="C8" s="9" t="n">
        <v>252274</v>
      </c>
      <c r="D8" s="9" t="n">
        <v>267861</v>
      </c>
      <c r="E8" s="9" t="n">
        <v>258089</v>
      </c>
      <c r="F8" s="9" t="n">
        <v>305516</v>
      </c>
    </row>
    <row r="9">
      <c r="A9" s="8" t="inlineStr">
        <is>
          <t xml:space="preserve">    Investment income</t>
        </is>
      </c>
      <c r="B9" s="9" t="n"/>
      <c r="C9" s="9" t="n"/>
      <c r="D9" s="9" t="n"/>
      <c r="E9" s="9" t="n"/>
      <c r="F9" s="9" t="n"/>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v>255328</v>
      </c>
      <c r="C14" s="11" t="n">
        <v>252274</v>
      </c>
      <c r="D14" s="11" t="n">
        <v>267861</v>
      </c>
      <c r="E14" s="11" t="n">
        <v>258089</v>
      </c>
      <c r="F14" s="11" t="n">
        <v>305516</v>
      </c>
    </row>
    <row r="16">
      <c r="A16" s="6" t="inlineStr">
        <is>
          <t>Expenses</t>
        </is>
      </c>
      <c r="B16" s="7" t="n"/>
      <c r="C16" s="7" t="n"/>
      <c r="D16" s="7" t="n"/>
      <c r="E16" s="7" t="n"/>
      <c r="F16" s="7" t="n"/>
    </row>
    <row r="17">
      <c r="A17" s="8" t="inlineStr">
        <is>
          <t xml:space="preserve">    Depreciation</t>
        </is>
      </c>
      <c r="B17" s="9" t="n">
        <v>5587</v>
      </c>
      <c r="C17" s="9" t="n">
        <v>4224</v>
      </c>
      <c r="D17" s="9" t="n">
        <v>3655</v>
      </c>
      <c r="E17" s="9" t="n">
        <v>5470</v>
      </c>
      <c r="F17" s="9" t="n">
        <v>5470</v>
      </c>
    </row>
    <row r="18">
      <c r="A18" s="8" t="inlineStr">
        <is>
          <t xml:space="preserve">    Interest expense</t>
        </is>
      </c>
      <c r="B18" s="9" t="n"/>
      <c r="C18" s="9" t="n"/>
      <c r="D18" s="9" t="n"/>
      <c r="E18" s="9" t="n"/>
      <c r="F18" s="9" t="n"/>
    </row>
    <row r="19">
      <c r="A19" s="10" t="inlineStr">
        <is>
          <t>Total expenses</t>
        </is>
      </c>
      <c r="B19" s="11" t="n">
        <v>257449</v>
      </c>
      <c r="C19" s="11" t="n">
        <v>268872</v>
      </c>
      <c r="D19" s="11" t="n">
        <v>252837</v>
      </c>
      <c r="E19" s="11" t="n">
        <v>257280</v>
      </c>
      <c r="F19" s="11" t="n">
        <v>289264</v>
      </c>
    </row>
    <row r="21">
      <c r="A21" s="10" t="inlineStr">
        <is>
          <t>Net income</t>
        </is>
      </c>
      <c r="B21" s="11" t="n">
        <v>-2121</v>
      </c>
      <c r="C21" s="11" t="n">
        <v>-16598</v>
      </c>
      <c r="D21" s="11" t="n">
        <v>15024</v>
      </c>
      <c r="E21" s="11" t="n">
        <v>809</v>
      </c>
      <c r="F21" s="11" t="n">
        <v>16252</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1180</v>
      </c>
      <c r="C27" s="9" t="n">
        <v>10712</v>
      </c>
      <c r="D27" s="9" t="n">
        <v>29391</v>
      </c>
      <c r="E27" s="9" t="n">
        <v>1991</v>
      </c>
      <c r="F27" s="9" t="n">
        <v>23713</v>
      </c>
    </row>
    <row r="28">
      <c r="A28" s="8" t="inlineStr">
        <is>
          <t xml:space="preserve">    Savings &amp; temporary investments</t>
        </is>
      </c>
      <c r="B28" s="9" t="n"/>
      <c r="C28" s="9" t="n"/>
      <c r="D28" s="9" t="n"/>
      <c r="E28" s="9" t="n"/>
      <c r="F28" s="9" t="n"/>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v>118093</v>
      </c>
      <c r="C32" s="9" t="n">
        <v>118093</v>
      </c>
      <c r="D32" s="9" t="n">
        <v>118093</v>
      </c>
      <c r="E32" s="9" t="n">
        <v>108244</v>
      </c>
      <c r="F32" s="9" t="n">
        <v>108244</v>
      </c>
    </row>
    <row r="33">
      <c r="A33" s="8" t="inlineStr">
        <is>
          <t xml:space="preserve">    Less: accumulated depreciation</t>
        </is>
      </c>
      <c r="B33" s="9" t="n">
        <v>-73518</v>
      </c>
      <c r="C33" s="9" t="n">
        <v>-77742</v>
      </c>
      <c r="D33" s="9" t="n">
        <v>-81397</v>
      </c>
      <c r="E33" s="9" t="n">
        <v>-76731</v>
      </c>
      <c r="F33" s="9" t="n">
        <v>-82201</v>
      </c>
    </row>
    <row r="34">
      <c r="A34" s="10" t="inlineStr">
        <is>
          <t xml:space="preserve">    Net property, plant &amp; equipment</t>
        </is>
      </c>
      <c r="B34" s="11" t="n">
        <v>44575</v>
      </c>
      <c r="C34" s="11" t="n">
        <v>40351</v>
      </c>
      <c r="D34" s="11" t="n">
        <v>36696</v>
      </c>
      <c r="E34" s="11" t="n">
        <v>31513</v>
      </c>
      <c r="F34" s="11" t="n">
        <v>26043</v>
      </c>
    </row>
    <row r="35">
      <c r="A35" s="10" t="inlineStr">
        <is>
          <t>Total assets</t>
        </is>
      </c>
      <c r="B35" s="11" t="n">
        <v>45755</v>
      </c>
      <c r="C35" s="11" t="n">
        <v>51063</v>
      </c>
      <c r="D35" s="11" t="n">
        <v>66087</v>
      </c>
      <c r="E35" s="11" t="n">
        <v>33504</v>
      </c>
      <c r="F35" s="11" t="n">
        <v>49756</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0</v>
      </c>
      <c r="C40" s="11" t="n">
        <v>0</v>
      </c>
      <c r="D40" s="11" t="n">
        <v>0</v>
      </c>
      <c r="E40" s="11" t="n">
        <v>0</v>
      </c>
      <c r="F40" s="11" t="n">
        <v>0</v>
      </c>
    </row>
    <row r="42">
      <c r="A42" s="6" t="inlineStr">
        <is>
          <t>Net Assets / Equity</t>
        </is>
      </c>
      <c r="B42" s="7" t="n"/>
      <c r="C42" s="7" t="n"/>
      <c r="D42" s="7" t="n"/>
      <c r="E42" s="7" t="n"/>
      <c r="F42" s="7" t="n"/>
    </row>
    <row r="43">
      <c r="A43" s="8" t="inlineStr">
        <is>
          <t xml:space="preserve">    Capital stock</t>
        </is>
      </c>
      <c r="B43" s="9" t="n"/>
      <c r="C43" s="9" t="n"/>
      <c r="D43" s="9" t="n">
        <v>44410</v>
      </c>
      <c r="E43" s="9" t="n">
        <v>33504</v>
      </c>
      <c r="F43" s="9" t="n">
        <v>49756</v>
      </c>
    </row>
    <row r="44">
      <c r="A44" s="8" t="inlineStr">
        <is>
          <t xml:space="preserve">    Paid-in capital</t>
        </is>
      </c>
      <c r="B44" s="9" t="n"/>
      <c r="C44" s="9" t="n">
        <v>41531</v>
      </c>
      <c r="D44" s="9" t="n"/>
      <c r="E44" s="9" t="n"/>
      <c r="F44" s="9" t="n"/>
    </row>
    <row r="45">
      <c r="A45" s="8" t="inlineStr">
        <is>
          <t xml:space="preserve">    Retained earnings</t>
        </is>
      </c>
      <c r="B45" s="9" t="n">
        <v>45755</v>
      </c>
      <c r="C45" s="9" t="n">
        <v>9532</v>
      </c>
      <c r="D45" s="9" t="n">
        <v>21677</v>
      </c>
      <c r="E45" s="9" t="n"/>
      <c r="F45" s="9" t="n">
        <v>0</v>
      </c>
    </row>
    <row r="46">
      <c r="A46" s="10" t="inlineStr">
        <is>
          <t>Net assets</t>
        </is>
      </c>
      <c r="B46" s="11" t="n">
        <v>45755</v>
      </c>
      <c r="C46" s="11" t="n">
        <v>51063</v>
      </c>
      <c r="D46" s="11" t="n">
        <v>66087</v>
      </c>
      <c r="E46" s="11" t="n">
        <v>33504</v>
      </c>
      <c r="F46" s="11" t="n">
        <v>49756</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-2121</v>
      </c>
      <c r="C52" s="9" t="n">
        <v>-16598</v>
      </c>
      <c r="D52" s="9" t="n">
        <v>15024</v>
      </c>
      <c r="E52" s="9" t="n">
        <v>809</v>
      </c>
      <c r="F52" s="9" t="n">
        <v>16252</v>
      </c>
    </row>
    <row r="53">
      <c r="A53" s="8" t="inlineStr">
        <is>
          <t xml:space="preserve">    + Depreciation (reported)</t>
        </is>
      </c>
      <c r="B53" s="9" t="n">
        <v>5587</v>
      </c>
      <c r="C53" s="9" t="n">
        <v>4224</v>
      </c>
      <c r="D53" s="9" t="n">
        <v>3655</v>
      </c>
      <c r="E53" s="9" t="n">
        <v>5470</v>
      </c>
      <c r="F53" s="9" t="n">
        <v>5470</v>
      </c>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-12374</v>
      </c>
      <c r="D58" s="11" t="n">
        <v>18679</v>
      </c>
      <c r="E58" s="11" t="n">
        <v>6279</v>
      </c>
      <c r="F58" s="11" t="n">
        <v>21722</v>
      </c>
    </row>
    <row r="60">
      <c r="A60" s="6" t="inlineStr">
        <is>
          <t>Investing</t>
        </is>
      </c>
      <c r="B60" s="7" t="n"/>
      <c r="C60" s="7" t="n"/>
      <c r="D60" s="7" t="n"/>
      <c r="E60" s="7" t="n"/>
      <c r="F60" s="7" t="n"/>
    </row>
    <row r="61">
      <c r="A61" s="8" t="inlineStr">
        <is>
          <t xml:space="preserve">    − Δ PP&amp;E gross (capex proxy)</t>
        </is>
      </c>
      <c r="B61" s="9" t="n"/>
      <c r="C61" s="9" t="n">
        <v>0</v>
      </c>
      <c r="D61" s="9" t="n">
        <v>0</v>
      </c>
      <c r="E61" s="9" t="n">
        <v>9849</v>
      </c>
      <c r="F61" s="9" t="n">
        <v>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9532</v>
      </c>
      <c r="D67" s="11" t="n">
        <v>18679</v>
      </c>
      <c r="E67" s="11" t="n">
        <v>-27400</v>
      </c>
      <c r="F67" s="11" t="n">
        <v>21722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Hemlock Mutual Water Company</t>
        </is>
      </c>
    </row>
    <row r="2">
      <c r="A2" s="2" t="inlineStr">
        <is>
          <t>Balance Sheet - as reported (USD, end of year)</t>
        </is>
      </c>
    </row>
    <row r="3">
      <c r="A3" s="2" t="inlineStr">
        <is>
          <t>Entity ID: cawc_0139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1180</v>
      </c>
      <c r="C7" s="9" t="n">
        <v>10712</v>
      </c>
      <c r="D7" s="9" t="n">
        <v>29391</v>
      </c>
      <c r="E7" s="9" t="n">
        <v>1991</v>
      </c>
      <c r="F7" s="9" t="n">
        <v>23713</v>
      </c>
    </row>
    <row r="8">
      <c r="A8" s="8" t="inlineStr">
        <is>
          <t xml:space="preserve">    Savings &amp; temporary investments</t>
        </is>
      </c>
      <c r="B8" s="9" t="n"/>
      <c r="C8" s="9" t="n"/>
      <c r="D8" s="9" t="n"/>
      <c r="E8" s="9" t="n"/>
      <c r="F8" s="9" t="n"/>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v>118093</v>
      </c>
      <c r="C12" s="9" t="n">
        <v>118093</v>
      </c>
      <c r="D12" s="9" t="n">
        <v>118093</v>
      </c>
      <c r="E12" s="9" t="n">
        <v>108244</v>
      </c>
      <c r="F12" s="9" t="n">
        <v>108244</v>
      </c>
    </row>
    <row r="13">
      <c r="A13" s="8" t="inlineStr">
        <is>
          <t xml:space="preserve">    Less: accumulated depreciation</t>
        </is>
      </c>
      <c r="B13" s="9" t="n">
        <v>-73518</v>
      </c>
      <c r="C13" s="9" t="n">
        <v>-77742</v>
      </c>
      <c r="D13" s="9" t="n">
        <v>-81397</v>
      </c>
      <c r="E13" s="9" t="n">
        <v>-76731</v>
      </c>
      <c r="F13" s="9" t="n">
        <v>-82201</v>
      </c>
    </row>
    <row r="14">
      <c r="A14" s="10" t="inlineStr">
        <is>
          <t xml:space="preserve">    Net property, plant &amp; equipment</t>
        </is>
      </c>
      <c r="B14" s="11" t="n">
        <v>44575</v>
      </c>
      <c r="C14" s="11" t="n">
        <v>40351</v>
      </c>
      <c r="D14" s="11" t="n">
        <v>36696</v>
      </c>
      <c r="E14" s="11" t="n">
        <v>31513</v>
      </c>
      <c r="F14" s="11" t="n">
        <v>26043</v>
      </c>
    </row>
    <row r="15">
      <c r="A15" s="10" t="inlineStr">
        <is>
          <t>Total assets</t>
        </is>
      </c>
      <c r="B15" s="11" t="n">
        <v>45755</v>
      </c>
      <c r="C15" s="11" t="n">
        <v>51063</v>
      </c>
      <c r="D15" s="11" t="n">
        <v>66087</v>
      </c>
      <c r="E15" s="11" t="n">
        <v>33504</v>
      </c>
      <c r="F15" s="11" t="n">
        <v>49756</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0</v>
      </c>
      <c r="C20" s="11" t="n">
        <v>0</v>
      </c>
      <c r="D20" s="11" t="n">
        <v>0</v>
      </c>
      <c r="E20" s="11" t="n">
        <v>0</v>
      </c>
      <c r="F20" s="11" t="n">
        <v>0</v>
      </c>
    </row>
    <row r="22">
      <c r="A22" s="6" t="inlineStr">
        <is>
          <t>Net Assets / Equity</t>
        </is>
      </c>
      <c r="B22" s="7" t="n"/>
      <c r="C22" s="7" t="n"/>
      <c r="D22" s="7" t="n"/>
      <c r="E22" s="7" t="n"/>
      <c r="F22" s="7" t="n"/>
    </row>
    <row r="23">
      <c r="A23" s="8" t="inlineStr">
        <is>
          <t xml:space="preserve">    Capital stock</t>
        </is>
      </c>
      <c r="B23" s="9" t="n"/>
      <c r="C23" s="9" t="n"/>
      <c r="D23" s="9" t="n">
        <v>44410</v>
      </c>
      <c r="E23" s="9" t="n">
        <v>33504</v>
      </c>
      <c r="F23" s="9" t="n">
        <v>49756</v>
      </c>
    </row>
    <row r="24">
      <c r="A24" s="8" t="inlineStr">
        <is>
          <t xml:space="preserve">    Paid-in capital</t>
        </is>
      </c>
      <c r="B24" s="9" t="n"/>
      <c r="C24" s="9" t="n">
        <v>41531</v>
      </c>
      <c r="D24" s="9" t="n"/>
      <c r="E24" s="9" t="n"/>
      <c r="F24" s="9" t="n"/>
    </row>
    <row r="25">
      <c r="A25" s="8" t="inlineStr">
        <is>
          <t xml:space="preserve">    Retained earnings</t>
        </is>
      </c>
      <c r="B25" s="9" t="n">
        <v>45755</v>
      </c>
      <c r="C25" s="9" t="n">
        <v>9532</v>
      </c>
      <c r="D25" s="9" t="n">
        <v>21677</v>
      </c>
      <c r="E25" s="9" t="n"/>
      <c r="F25" s="9" t="n">
        <v>0</v>
      </c>
    </row>
    <row r="26">
      <c r="A26" s="10" t="inlineStr">
        <is>
          <t>Net assets</t>
        </is>
      </c>
      <c r="B26" s="11" t="n">
        <v>45755</v>
      </c>
      <c r="C26" s="11" t="n">
        <v>51063</v>
      </c>
      <c r="D26" s="11" t="n">
        <v>66087</v>
      </c>
      <c r="E26" s="11" t="n">
        <v>33504</v>
      </c>
      <c r="F26" s="11" t="n">
        <v>49756</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Hemlock Mutual Water Company</t>
        </is>
      </c>
    </row>
    <row r="2">
      <c r="A2" s="2" t="inlineStr">
        <is>
          <t>Officers, Directors &amp; Contractors - Form 990 Part VII (FY2024; USD)</t>
        </is>
      </c>
    </row>
    <row r="3">
      <c r="A3" s="2" t="inlineStr">
        <is>
          <t>Entity ID: cawc_0139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FERNANDO AVILA</t>
        </is>
      </c>
      <c r="B7" s="8" t="inlineStr">
        <is>
          <t>OFFICER</t>
        </is>
      </c>
      <c r="C7" s="9" t="n">
        <v>0</v>
      </c>
      <c r="D7" s="9" t="n">
        <v>0</v>
      </c>
      <c r="E7" s="9" t="n">
        <v>0</v>
      </c>
      <c r="F7" s="9" t="n">
        <v>0</v>
      </c>
    </row>
    <row r="8">
      <c r="A8" s="8" t="inlineStr">
        <is>
          <t>BLANCA BECERA</t>
        </is>
      </c>
      <c r="B8" s="8" t="inlineStr">
        <is>
          <t>PRESIDENT</t>
        </is>
      </c>
      <c r="C8" s="9" t="n">
        <v>0</v>
      </c>
      <c r="D8" s="9" t="n">
        <v>0</v>
      </c>
      <c r="E8" s="9" t="n">
        <v>0</v>
      </c>
      <c r="F8" s="9" t="n">
        <v>0</v>
      </c>
    </row>
    <row r="9">
      <c r="A9" s="8" t="inlineStr">
        <is>
          <t>JOSE BECERRA</t>
        </is>
      </c>
      <c r="B9" s="8" t="inlineStr">
        <is>
          <t>OFFICER</t>
        </is>
      </c>
      <c r="C9" s="9" t="n">
        <v>0</v>
      </c>
      <c r="D9" s="9" t="n">
        <v>0</v>
      </c>
      <c r="E9" s="9" t="n">
        <v>0</v>
      </c>
      <c r="F9" s="9" t="n">
        <v>0</v>
      </c>
    </row>
    <row r="10">
      <c r="A10" s="8" t="inlineStr">
        <is>
          <t>ROBERT QUEZADA</t>
        </is>
      </c>
      <c r="B10" s="8" t="inlineStr">
        <is>
          <t>OFFICER</t>
        </is>
      </c>
      <c r="C10" s="9" t="n">
        <v>0</v>
      </c>
      <c r="D10" s="9" t="n">
        <v>0</v>
      </c>
      <c r="E10" s="9" t="n">
        <v>0</v>
      </c>
      <c r="F10" s="9" t="n">
        <v>0</v>
      </c>
    </row>
    <row r="11">
      <c r="A11" s="8" t="inlineStr">
        <is>
          <t>OMAR RAMIREZ</t>
        </is>
      </c>
      <c r="B11" s="8" t="inlineStr">
        <is>
          <t>VICE PRESIDENT</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Hemlock Mutual Water Company</t>
        </is>
      </c>
    </row>
    <row r="2">
      <c r="A2" s="2" t="inlineStr">
        <is>
          <t>Revenue - Form 990 Part VIII (USD)</t>
        </is>
      </c>
    </row>
    <row r="3">
      <c r="A3" s="2" t="inlineStr">
        <is>
          <t>Entity ID: cawc_0139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4" t="inlineStr">
        <is>
          <t>not reported</t>
        </is>
      </c>
      <c r="C7" s="14" t="inlineStr">
        <is>
          <t>not reported</t>
        </is>
      </c>
      <c r="D7" s="14" t="inlineStr">
        <is>
          <t>not reported</t>
        </is>
      </c>
      <c r="E7" s="14" t="inlineStr">
        <is>
          <t>not reported</t>
        </is>
      </c>
      <c r="F7" s="14" t="inlineStr">
        <is>
          <t>not reported</t>
        </is>
      </c>
    </row>
    <row r="8">
      <c r="A8" s="8" t="inlineStr">
        <is>
          <t xml:space="preserve">    2g. Total program service revenue</t>
        </is>
      </c>
      <c r="B8" s="9" t="n">
        <v>255328</v>
      </c>
      <c r="C8" s="9" t="n">
        <v>252274</v>
      </c>
      <c r="D8" s="9" t="n">
        <v>267861</v>
      </c>
      <c r="E8" s="9" t="n">
        <v>258089</v>
      </c>
      <c r="F8" s="9" t="n">
        <v>305516</v>
      </c>
    </row>
    <row r="9">
      <c r="A9" s="8" t="inlineStr">
        <is>
          <t xml:space="preserve">    3. Investment income</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6d. Net rental income</t>
        </is>
      </c>
      <c r="B10" s="14" t="inlineStr">
        <is>
          <t>not reported</t>
        </is>
      </c>
      <c r="C10" s="14" t="inlineStr">
        <is>
          <t>not reported</t>
        </is>
      </c>
      <c r="D10" s="14" t="inlineStr">
        <is>
          <t>not reported</t>
        </is>
      </c>
      <c r="E10" s="14" t="inlineStr">
        <is>
          <t>not reported</t>
        </is>
      </c>
      <c r="F10" s="14" t="inlineStr">
        <is>
          <t>not reported</t>
        </is>
      </c>
    </row>
    <row r="11">
      <c r="A11" s="8" t="inlineStr">
        <is>
          <t xml:space="preserve">    7d. Net gain/(loss) from investment sales</t>
        </is>
      </c>
      <c r="B11" s="14" t="inlineStr">
        <is>
          <t>not reported</t>
        </is>
      </c>
      <c r="C11" s="14" t="inlineStr">
        <is>
          <t>not reported</t>
        </is>
      </c>
      <c r="D11" s="14" t="inlineStr">
        <is>
          <t>not reported</t>
        </is>
      </c>
      <c r="E11" s="14" t="inlineStr">
        <is>
          <t>not reported</t>
        </is>
      </c>
      <c r="F11" s="14" t="inlineStr">
        <is>
          <t>not reported</t>
        </is>
      </c>
    </row>
    <row r="12">
      <c r="A12" s="8" t="inlineStr">
        <is>
          <t xml:space="preserve">    11e. Other revenue</t>
        </is>
      </c>
      <c r="B12" s="14" t="inlineStr">
        <is>
          <t>not reported</t>
        </is>
      </c>
      <c r="C12" s="14" t="inlineStr">
        <is>
          <t>not reported</t>
        </is>
      </c>
      <c r="D12" s="14" t="inlineStr">
        <is>
          <t>not reported</t>
        </is>
      </c>
      <c r="E12" s="14" t="inlineStr">
        <is>
          <t>not reported</t>
        </is>
      </c>
      <c r="F12" s="14"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WATER SALES</t>
        </is>
      </c>
      <c r="B17" s="8" t="inlineStr">
        <is>
          <t>221000</t>
        </is>
      </c>
      <c r="C17" s="9" t="n">
        <v>305516</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Hemlock Mutual Water Company</t>
        </is>
      </c>
    </row>
    <row r="2">
      <c r="A2" s="2" t="inlineStr">
        <is>
          <t>Statement of Functional Expenses - Form 990 Part IX (USD)</t>
        </is>
      </c>
    </row>
    <row r="3">
      <c r="A3" s="2" t="inlineStr">
        <is>
          <t>Entity ID: cawc_0139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11c. Fees for services: accounting</t>
        </is>
      </c>
      <c r="B7" s="9" t="n">
        <v>525</v>
      </c>
      <c r="C7" s="9" t="n">
        <v>540</v>
      </c>
      <c r="D7" s="9" t="n">
        <v>595</v>
      </c>
      <c r="E7" s="9" t="n">
        <v>650</v>
      </c>
      <c r="F7" s="9" t="n">
        <v>650</v>
      </c>
    </row>
    <row r="8">
      <c r="A8" s="8" t="inlineStr">
        <is>
          <t xml:space="preserve">    13. Office expenses</t>
        </is>
      </c>
      <c r="B8" s="9" t="n">
        <v>39374</v>
      </c>
      <c r="C8" s="9" t="n">
        <v>47872</v>
      </c>
      <c r="D8" s="9" t="n">
        <v>38951</v>
      </c>
      <c r="E8" s="9" t="n">
        <v>36910</v>
      </c>
      <c r="F8" s="9" t="n">
        <v>47327</v>
      </c>
    </row>
    <row r="9">
      <c r="A9" s="8" t="inlineStr">
        <is>
          <t xml:space="preserve">    16. Occupancy</t>
        </is>
      </c>
      <c r="B9" s="9" t="n">
        <v>56312</v>
      </c>
      <c r="C9" s="9" t="n">
        <v>61793</v>
      </c>
      <c r="D9" s="9" t="n">
        <v>46887</v>
      </c>
      <c r="E9" s="9" t="n">
        <v>42984</v>
      </c>
      <c r="F9" s="9" t="n">
        <v>43311</v>
      </c>
    </row>
    <row r="10">
      <c r="A10" s="8" t="inlineStr">
        <is>
          <t xml:space="preserve">    22. Depreciation, depletion, and amortization</t>
        </is>
      </c>
      <c r="B10" s="9" t="n">
        <v>5587</v>
      </c>
      <c r="C10" s="9" t="n">
        <v>4224</v>
      </c>
      <c r="D10" s="9" t="n">
        <v>3655</v>
      </c>
      <c r="E10" s="9" t="n">
        <v>5470</v>
      </c>
      <c r="F10" s="9" t="n">
        <v>5470</v>
      </c>
    </row>
    <row r="11">
      <c r="A11" s="8" t="inlineStr">
        <is>
          <t xml:space="preserve">    24. PARTS/REPAIRS</t>
        </is>
      </c>
      <c r="B11" s="9" t="n">
        <v>64227</v>
      </c>
      <c r="C11" s="14" t="inlineStr">
        <is>
          <t>not reported</t>
        </is>
      </c>
      <c r="D11" s="14" t="inlineStr">
        <is>
          <t>not reported</t>
        </is>
      </c>
      <c r="E11" s="14" t="inlineStr">
        <is>
          <t>not reported</t>
        </is>
      </c>
      <c r="F11" s="14" t="inlineStr">
        <is>
          <t>not reported</t>
        </is>
      </c>
    </row>
    <row r="12">
      <c r="A12" s="8" t="inlineStr">
        <is>
          <t xml:space="preserve">    24. WATER BD ASSESSMENTS</t>
        </is>
      </c>
      <c r="B12" s="9" t="n">
        <v>23563</v>
      </c>
      <c r="C12" s="14" t="inlineStr">
        <is>
          <t>not reported</t>
        </is>
      </c>
      <c r="D12" s="14" t="inlineStr">
        <is>
          <t>not reported</t>
        </is>
      </c>
      <c r="E12" s="14" t="inlineStr">
        <is>
          <t>not reported</t>
        </is>
      </c>
      <c r="F12" s="14" t="inlineStr">
        <is>
          <t>not reported</t>
        </is>
      </c>
    </row>
    <row r="13">
      <c r="A13" s="8" t="inlineStr">
        <is>
          <t xml:space="preserve">    24. SUBCONTRACTORS</t>
        </is>
      </c>
      <c r="B13" s="9" t="n">
        <v>22500</v>
      </c>
      <c r="C13" s="9" t="n">
        <v>24000</v>
      </c>
      <c r="D13" s="14" t="inlineStr">
        <is>
          <t>not reported</t>
        </is>
      </c>
      <c r="E13" s="14" t="inlineStr">
        <is>
          <t>not reported</t>
        </is>
      </c>
      <c r="F13" s="9" t="n">
        <v>21000</v>
      </c>
    </row>
    <row r="14">
      <c r="A14" s="8" t="inlineStr">
        <is>
          <t xml:space="preserve">    24. METER READING</t>
        </is>
      </c>
      <c r="B14" s="9" t="n">
        <v>13200</v>
      </c>
      <c r="C14" s="9" t="n">
        <v>14400</v>
      </c>
      <c r="D14" s="9" t="n">
        <v>13200</v>
      </c>
      <c r="E14" s="9" t="n">
        <v>14300</v>
      </c>
      <c r="F14" s="9" t="n">
        <v>13200</v>
      </c>
    </row>
    <row r="15">
      <c r="A15" s="8" t="inlineStr">
        <is>
          <t xml:space="preserve">    24. PARTS AND REPAIRS</t>
        </is>
      </c>
      <c r="B15" s="14" t="inlineStr">
        <is>
          <t>not reported</t>
        </is>
      </c>
      <c r="C15" s="9" t="n">
        <v>63775</v>
      </c>
      <c r="D15" s="9" t="n">
        <v>67790</v>
      </c>
      <c r="E15" s="9" t="n">
        <v>81770</v>
      </c>
      <c r="F15" s="9" t="n">
        <v>104305</v>
      </c>
    </row>
    <row r="16">
      <c r="A16" s="8" t="inlineStr">
        <is>
          <t xml:space="preserve">    24. WATER BOARD ASSESSMENTS</t>
        </is>
      </c>
      <c r="B16" s="14" t="inlineStr">
        <is>
          <t>not reported</t>
        </is>
      </c>
      <c r="C16" s="9" t="n">
        <v>33819</v>
      </c>
      <c r="D16" s="9" t="n">
        <v>37443</v>
      </c>
      <c r="E16" s="9" t="n">
        <v>38946</v>
      </c>
      <c r="F16" s="9" t="n">
        <v>34708</v>
      </c>
    </row>
    <row r="17">
      <c r="A17" s="8" t="inlineStr">
        <is>
          <t xml:space="preserve">    24. SUBCONTRATORS</t>
        </is>
      </c>
      <c r="B17" s="14" t="inlineStr">
        <is>
          <t>not reported</t>
        </is>
      </c>
      <c r="C17" s="14" t="inlineStr">
        <is>
          <t>not reported</t>
        </is>
      </c>
      <c r="D17" s="9" t="n">
        <v>25000</v>
      </c>
      <c r="E17" s="9" t="n">
        <v>19000</v>
      </c>
      <c r="F17" s="14" t="inlineStr">
        <is>
          <t>not reported</t>
        </is>
      </c>
    </row>
    <row r="18">
      <c r="A18" s="8" t="inlineStr">
        <is>
          <t xml:space="preserve">    24e. All other expenses</t>
        </is>
      </c>
      <c r="B18" s="9" t="n">
        <v>32161</v>
      </c>
      <c r="C18" s="9" t="n">
        <v>18449</v>
      </c>
      <c r="D18" s="9" t="n">
        <v>19316</v>
      </c>
      <c r="E18" s="9" t="n">
        <v>17250</v>
      </c>
      <c r="F18" s="9" t="n">
        <v>19293</v>
      </c>
    </row>
    <row r="19">
      <c r="A19" s="10" t="inlineStr">
        <is>
          <t>25. Total functional expenses</t>
        </is>
      </c>
      <c r="B19" s="11">
        <f>SUM(B7:B18)</f>
        <v/>
      </c>
      <c r="C19" s="11">
        <f>SUM(C7:C18)</f>
        <v/>
      </c>
      <c r="D19" s="11">
        <f>SUM(D7:D18)</f>
        <v/>
      </c>
      <c r="E19" s="11">
        <f>SUM(E7:E18)</f>
        <v/>
      </c>
      <c r="F19" s="11">
        <f>SUM(F7:F18)</f>
        <v/>
      </c>
    </row>
    <row r="21">
      <c r="A21" s="6" t="inlineStr">
        <is>
          <t>Functional column split - FY2024 (col A = B + C + D)</t>
        </is>
      </c>
      <c r="B21" s="7" t="n"/>
      <c r="C21" s="7" t="n"/>
      <c r="D21" s="7" t="n"/>
      <c r="E21" s="7" t="n"/>
      <c r="F21" s="7" t="n"/>
    </row>
    <row r="22">
      <c r="A22" s="5" t="inlineStr">
        <is>
          <t>Part IX line</t>
        </is>
      </c>
      <c r="B22" s="5" t="inlineStr">
        <is>
          <t>A. Total</t>
        </is>
      </c>
      <c r="C22" s="5" t="inlineStr">
        <is>
          <t>B. Program services</t>
        </is>
      </c>
      <c r="D22" s="5" t="inlineStr">
        <is>
          <t>C. Management &amp; general</t>
        </is>
      </c>
      <c r="E22" s="5" t="inlineStr">
        <is>
          <t>D. Fundraising</t>
        </is>
      </c>
    </row>
    <row r="23">
      <c r="A23" s="18" t="inlineStr">
        <is>
          <t>11c. Fees for services: accounting</t>
        </is>
      </c>
      <c r="B23" s="9" t="n">
        <v>650</v>
      </c>
      <c r="C23" s="9" t="n"/>
      <c r="D23" s="9" t="n">
        <v>650</v>
      </c>
      <c r="E23" s="9" t="n"/>
    </row>
    <row r="24">
      <c r="A24" s="18" t="inlineStr">
        <is>
          <t>13. Office expenses</t>
        </is>
      </c>
      <c r="B24" s="9" t="n">
        <v>47327</v>
      </c>
      <c r="C24" s="9" t="n"/>
      <c r="D24" s="9" t="n">
        <v>47327</v>
      </c>
      <c r="E24" s="9" t="n"/>
    </row>
    <row r="25">
      <c r="A25" s="18" t="inlineStr">
        <is>
          <t>16. Occupancy</t>
        </is>
      </c>
      <c r="B25" s="9" t="n">
        <v>43311</v>
      </c>
      <c r="C25" s="9" t="n">
        <v>29520</v>
      </c>
      <c r="D25" s="9" t="n">
        <v>13791</v>
      </c>
      <c r="E25" s="9" t="n"/>
    </row>
    <row r="26">
      <c r="A26" s="18" t="inlineStr">
        <is>
          <t>22. Depreciation, depletion, and amortization</t>
        </is>
      </c>
      <c r="B26" s="9" t="n">
        <v>5470</v>
      </c>
      <c r="C26" s="9" t="n">
        <v>5470</v>
      </c>
      <c r="D26" s="9" t="n"/>
      <c r="E26" s="9" t="n"/>
    </row>
    <row r="27">
      <c r="A27" s="10" t="inlineStr">
        <is>
          <t>25. Total (filed col A / B / C / D)</t>
        </is>
      </c>
      <c r="B27" s="11" t="n">
        <v>289264</v>
      </c>
      <c r="C27" s="11" t="n">
        <v>195003</v>
      </c>
      <c r="D27" s="11" t="n">
        <v>94261</v>
      </c>
      <c r="E27" s="11" t="n">
        <v>0</v>
      </c>
    </row>
    <row r="29" ht="42" customHeight="1">
      <c r="A2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29:F2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Hemlock Mutual Water Company</t>
        </is>
      </c>
    </row>
    <row r="2">
      <c r="A2" s="2" t="inlineStr">
        <is>
          <t>Balance Sheet - Form 990 Part X (end of year, USD)</t>
        </is>
      </c>
    </row>
    <row r="3">
      <c r="A3" s="2" t="inlineStr">
        <is>
          <t>Entity ID: cawc_0139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1180</v>
      </c>
      <c r="C7" s="9" t="n">
        <v>10712</v>
      </c>
      <c r="D7" s="9" t="n">
        <v>29391</v>
      </c>
      <c r="E7" s="9" t="n">
        <v>1991</v>
      </c>
      <c r="F7" s="9" t="n">
        <v>23713</v>
      </c>
    </row>
    <row r="8">
      <c r="A8" s="8" t="inlineStr">
        <is>
          <t xml:space="preserve">    10c. Land, buildings, and equipment, net</t>
        </is>
      </c>
      <c r="B8" s="9" t="n">
        <v>44575</v>
      </c>
      <c r="C8" s="9" t="n">
        <v>40351</v>
      </c>
      <c r="D8" s="9" t="n">
        <v>36696</v>
      </c>
      <c r="E8" s="9" t="n">
        <v>31513</v>
      </c>
      <c r="F8" s="9" t="n">
        <v>26043</v>
      </c>
    </row>
    <row r="9">
      <c r="A9" s="10" t="inlineStr">
        <is>
          <t>16. Total assets</t>
        </is>
      </c>
      <c r="B9" s="11">
        <f>SUM(B7:B8)</f>
        <v/>
      </c>
      <c r="C9" s="11">
        <f>SUM(C7:C8)</f>
        <v/>
      </c>
      <c r="D9" s="11">
        <f>SUM(D7:D8)</f>
        <v/>
      </c>
      <c r="E9" s="11">
        <f>SUM(E7:E8)</f>
        <v/>
      </c>
      <c r="F9" s="11">
        <f>SUM(F7:F8)</f>
        <v/>
      </c>
    </row>
    <row r="11">
      <c r="A11" s="6" t="inlineStr">
        <is>
          <t>Liabilities</t>
        </is>
      </c>
      <c r="B11" s="7" t="n"/>
      <c r="C11" s="7" t="n"/>
      <c r="D11" s="7" t="n"/>
      <c r="E11" s="7" t="n"/>
      <c r="F11" s="7" t="n"/>
    </row>
    <row r="12">
      <c r="A12" s="10" t="inlineStr">
        <is>
          <t>26. Total liabilities</t>
        </is>
      </c>
      <c r="B12" s="11">
        <f>SUM(B12:B11)</f>
        <v/>
      </c>
      <c r="C12" s="11">
        <f>SUM(C12:C11)</f>
        <v/>
      </c>
      <c r="D12" s="11">
        <f>SUM(D12:D11)</f>
        <v/>
      </c>
      <c r="E12" s="11">
        <f>SUM(E12:E11)</f>
        <v/>
      </c>
      <c r="F12" s="11">
        <f>SUM(F12:F11)</f>
        <v/>
      </c>
    </row>
    <row r="14">
      <c r="A14" s="6" t="inlineStr">
        <is>
          <t>Net assets / fund balances</t>
        </is>
      </c>
      <c r="B14" s="7" t="n"/>
      <c r="C14" s="7" t="n"/>
      <c r="D14" s="7" t="n"/>
      <c r="E14" s="7" t="n"/>
      <c r="F14" s="7" t="n"/>
    </row>
    <row r="15">
      <c r="A15" s="8" t="inlineStr">
        <is>
          <t xml:space="preserve">    29. Capital stock or trust principal</t>
        </is>
      </c>
      <c r="B15" s="14" t="inlineStr">
        <is>
          <t>not reported</t>
        </is>
      </c>
      <c r="C15" s="14" t="inlineStr">
        <is>
          <t>not reported</t>
        </is>
      </c>
      <c r="D15" s="9" t="n">
        <v>44410</v>
      </c>
      <c r="E15" s="9" t="n">
        <v>33504</v>
      </c>
      <c r="F15" s="9" t="n">
        <v>49756</v>
      </c>
    </row>
    <row r="16">
      <c r="A16" s="8" t="inlineStr">
        <is>
          <t xml:space="preserve">    30. Paid-in or capital surplus</t>
        </is>
      </c>
      <c r="B16" s="14" t="inlineStr">
        <is>
          <t>not reported</t>
        </is>
      </c>
      <c r="C16" s="9" t="n">
        <v>41531</v>
      </c>
      <c r="D16" s="14" t="inlineStr">
        <is>
          <t>not reported</t>
        </is>
      </c>
      <c r="E16" s="14" t="inlineStr">
        <is>
          <t>not reported</t>
        </is>
      </c>
      <c r="F16" s="14" t="inlineStr">
        <is>
          <t>not reported</t>
        </is>
      </c>
    </row>
    <row r="17">
      <c r="A17" s="8" t="inlineStr">
        <is>
          <t xml:space="preserve">    31. Retained earnings / accumulated funds</t>
        </is>
      </c>
      <c r="B17" s="9" t="n">
        <v>45755</v>
      </c>
      <c r="C17" s="9" t="n">
        <v>9532</v>
      </c>
      <c r="D17" s="9" t="n">
        <v>21677</v>
      </c>
      <c r="E17" s="14" t="inlineStr">
        <is>
          <t>not reported</t>
        </is>
      </c>
      <c r="F17" s="9" t="n">
        <v>0</v>
      </c>
    </row>
    <row r="18">
      <c r="A18" s="10" t="inlineStr">
        <is>
          <t>32. Total net assets / fund balances</t>
        </is>
      </c>
      <c r="B18" s="11">
        <f>SUM(B15:B17)</f>
        <v/>
      </c>
      <c r="C18" s="11">
        <f>SUM(C15:C17)</f>
        <v/>
      </c>
      <c r="D18" s="11">
        <f>SUM(D15:D17)</f>
        <v/>
      </c>
      <c r="E18" s="11">
        <f>SUM(E15:E17)</f>
        <v/>
      </c>
      <c r="F18" s="11">
        <f>SUM(F15:F17)</f>
        <v/>
      </c>
    </row>
    <row r="20" ht="42" customHeight="1">
      <c r="A20"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20:F20"/>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Hemlock Mutual Water Company</t>
        </is>
      </c>
    </row>
    <row r="2">
      <c r="A2" s="2" t="inlineStr">
        <is>
          <t>Reconciliation of Net Assets - Form 990 Part XI (USD)</t>
        </is>
      </c>
    </row>
    <row r="3">
      <c r="A3" s="2" t="inlineStr">
        <is>
          <t>Entity ID: cawc_0139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47372</v>
      </c>
      <c r="C7" s="9" t="n">
        <v>45755</v>
      </c>
      <c r="D7" s="9" t="n">
        <v>51063</v>
      </c>
      <c r="E7" s="9" t="n">
        <v>66087</v>
      </c>
      <c r="F7" s="9" t="n">
        <v>33504</v>
      </c>
    </row>
    <row r="8">
      <c r="A8" s="8" t="inlineStr">
        <is>
          <t xml:space="preserve">    3. Revenue less expenses</t>
        </is>
      </c>
      <c r="B8" s="9" t="n">
        <v>-2121</v>
      </c>
      <c r="C8" s="9" t="n">
        <v>-16598</v>
      </c>
      <c r="D8" s="9" t="n">
        <v>15024</v>
      </c>
      <c r="E8" s="9" t="n">
        <v>809</v>
      </c>
      <c r="F8" s="9" t="n">
        <v>16252</v>
      </c>
    </row>
    <row r="9">
      <c r="A9" s="8" t="inlineStr">
        <is>
          <t xml:space="preserve">    8. Prior period adjustments</t>
        </is>
      </c>
      <c r="B9" s="14" t="inlineStr">
        <is>
          <t>not reported</t>
        </is>
      </c>
      <c r="C9" s="9" t="n">
        <v>21906</v>
      </c>
      <c r="D9" s="14" t="inlineStr">
        <is>
          <t>not reported</t>
        </is>
      </c>
      <c r="E9" s="9" t="n">
        <v>-33392</v>
      </c>
      <c r="F9" s="14" t="inlineStr">
        <is>
          <t>not reported</t>
        </is>
      </c>
    </row>
    <row r="10">
      <c r="A10" s="8" t="inlineStr">
        <is>
          <t xml:space="preserve">    9. Other changes in net assets</t>
        </is>
      </c>
      <c r="B10" s="9" t="n">
        <v>504</v>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Hemlock Mutual Water Company</t>
        </is>
      </c>
    </row>
    <row r="2">
      <c r="A2" s="2" t="inlineStr">
        <is>
          <t>Cash Flow Proxies - derived (USD)</t>
        </is>
      </c>
    </row>
    <row r="3">
      <c r="A3" s="2" t="inlineStr">
        <is>
          <t>Entity ID: cawc_0139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-2121</v>
      </c>
      <c r="C9" s="9" t="n">
        <v>-16598</v>
      </c>
      <c r="D9" s="9" t="n">
        <v>15024</v>
      </c>
      <c r="E9" s="9" t="n">
        <v>809</v>
      </c>
      <c r="F9" s="9" t="n">
        <v>16252</v>
      </c>
    </row>
    <row r="10">
      <c r="A10" s="8" t="inlineStr">
        <is>
          <t xml:space="preserve">    + Depreciation (reported)</t>
        </is>
      </c>
      <c r="B10" s="9" t="n">
        <v>5587</v>
      </c>
      <c r="C10" s="9" t="n">
        <v>4224</v>
      </c>
      <c r="D10" s="9" t="n">
        <v>3655</v>
      </c>
      <c r="E10" s="9" t="n">
        <v>5470</v>
      </c>
      <c r="F10" s="9" t="n">
        <v>5470</v>
      </c>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-12374</v>
      </c>
      <c r="D15" s="11" t="n">
        <v>18679</v>
      </c>
      <c r="E15" s="11" t="n">
        <v>6279</v>
      </c>
      <c r="F15" s="11" t="n">
        <v>21722</v>
      </c>
    </row>
    <row r="17">
      <c r="A17" s="6" t="inlineStr">
        <is>
          <t>Investing</t>
        </is>
      </c>
      <c r="B17" s="7" t="n"/>
      <c r="C17" s="7" t="n"/>
      <c r="D17" s="7" t="n"/>
      <c r="E17" s="7" t="n"/>
      <c r="F17" s="7" t="n"/>
    </row>
    <row r="18">
      <c r="A18" s="8" t="inlineStr">
        <is>
          <t xml:space="preserve">    − Δ PP&amp;E gross (capex proxy)</t>
        </is>
      </c>
      <c r="B18" s="9" t="n"/>
      <c r="C18" s="9" t="n">
        <v>0</v>
      </c>
      <c r="D18" s="9" t="n">
        <v>0</v>
      </c>
      <c r="E18" s="9" t="n">
        <v>9849</v>
      </c>
      <c r="F18" s="9" t="n">
        <v>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9532</v>
      </c>
      <c r="D24" s="11" t="n">
        <v>18679</v>
      </c>
      <c r="E24" s="11" t="n">
        <v>-27400</v>
      </c>
      <c r="F24" s="11" t="n">
        <v>21722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Hemlock Mutual Water Company</t>
        </is>
      </c>
    </row>
    <row r="2">
      <c r="A2" s="2" t="inlineStr">
        <is>
          <t>Financial Ratios</t>
        </is>
      </c>
    </row>
    <row r="3">
      <c r="A3" s="2" t="inlineStr">
        <is>
          <t>Entity ID: cawc_0139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-0.008306962025316455</v>
      </c>
      <c r="C7" s="12" t="n">
        <v>-0.0657935419424911</v>
      </c>
      <c r="D7" s="12" t="n">
        <v>0.05608879232139057</v>
      </c>
      <c r="E7" s="12" t="n">
        <v>0.00313457760694954</v>
      </c>
      <c r="F7" s="12" t="n">
        <v>0.05319525000327315</v>
      </c>
    </row>
    <row r="8">
      <c r="A8" s="8" t="inlineStr">
        <is>
          <t xml:space="preserve">    Expense ratio (expenses / revenue)</t>
        </is>
      </c>
      <c r="B8" s="12" t="n">
        <v>1.008306962025316</v>
      </c>
      <c r="C8" s="12" t="n">
        <v>1.065793541942491</v>
      </c>
      <c r="D8" s="12" t="n">
        <v>0.9439112076786095</v>
      </c>
      <c r="E8" s="12" t="n">
        <v>0.9968654223930504</v>
      </c>
      <c r="F8" s="12" t="n">
        <v>0.9468047499967268</v>
      </c>
    </row>
    <row r="9">
      <c r="A9" s="8" t="inlineStr">
        <is>
          <t xml:space="preserve">    Return on assets (NI / assets)</t>
        </is>
      </c>
      <c r="B9" s="12" t="n">
        <v>-0.04635558955305431</v>
      </c>
      <c r="C9" s="12" t="n">
        <v>-0.3250494487202084</v>
      </c>
      <c r="D9" s="12" t="n">
        <v>0.2273366925416496</v>
      </c>
      <c r="E9" s="12" t="n">
        <v>0.024146370582617</v>
      </c>
      <c r="F9" s="12" t="n">
        <v>0.3266339737921055</v>
      </c>
    </row>
    <row r="10">
      <c r="A10" s="8" t="inlineStr">
        <is>
          <t xml:space="preserve">    Revenue growth (YoY)</t>
        </is>
      </c>
      <c r="B10" s="12" t="n">
        <v>0.04220614887259784</v>
      </c>
      <c r="C10" s="12" t="n">
        <v>-0.01196108534904123</v>
      </c>
      <c r="D10" s="12" t="n">
        <v>0.06178599459318043</v>
      </c>
      <c r="E10" s="12" t="n">
        <v>-0.03648160799817816</v>
      </c>
      <c r="F10" s="12" t="n">
        <v>0.1837621905621704</v>
      </c>
    </row>
    <row r="12">
      <c r="A12" s="6" t="inlineStr">
        <is>
          <t>Leverage &amp; solvency</t>
        </is>
      </c>
      <c r="B12" s="7" t="n"/>
      <c r="C12" s="7" t="n"/>
      <c r="D12" s="7" t="n"/>
      <c r="E12" s="7" t="n"/>
      <c r="F12" s="7" t="n"/>
    </row>
    <row r="13">
      <c r="A13" s="8" t="inlineStr">
        <is>
          <t xml:space="preserve">    Debt-to-assets (liab. / assets)</t>
        </is>
      </c>
      <c r="B13" s="12" t="n">
        <v>0</v>
      </c>
      <c r="C13" s="12" t="n">
        <v>0</v>
      </c>
      <c r="D13" s="12" t="n">
        <v>0</v>
      </c>
      <c r="E13" s="12" t="n">
        <v>0</v>
      </c>
      <c r="F13" s="12" t="n">
        <v>0</v>
      </c>
    </row>
    <row r="14">
      <c r="A14" s="8" t="inlineStr">
        <is>
          <t xml:space="preserve">    Equity ratio (net assets / assets)</t>
        </is>
      </c>
      <c r="B14" s="12" t="n">
        <v>1</v>
      </c>
      <c r="C14" s="12" t="n">
        <v>1</v>
      </c>
      <c r="D14" s="12" t="n">
        <v>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c r="E17" s="19" t="n"/>
      <c r="F17" s="19" t="n"/>
    </row>
    <row r="18">
      <c r="A18" s="8" t="inlineStr">
        <is>
          <t xml:space="preserve">    Cash ratio ((cash+temp inv.) / total liab.)</t>
        </is>
      </c>
      <c r="B18" s="19" t="n"/>
      <c r="C18" s="19" t="n"/>
      <c r="D18" s="19" t="n"/>
      <c r="E18" s="19" t="n"/>
      <c r="F18" s="19" t="n"/>
    </row>
    <row r="19">
      <c r="A19" s="8" t="inlineStr">
        <is>
          <t xml:space="preserve">    Asset age proxy (accum. deprec. / gross PP&amp;E)</t>
        </is>
      </c>
      <c r="B19" s="12" t="n">
        <v>0.6225432498115891</v>
      </c>
      <c r="C19" s="12" t="n">
        <v>0.6583116696163194</v>
      </c>
      <c r="D19" s="12" t="n">
        <v>0.6892618529464066</v>
      </c>
      <c r="E19" s="12" t="n">
        <v>0.7088706995306899</v>
      </c>
      <c r="F19" s="12" t="n">
        <v>0.7594046783193525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Hemlock Mutual Water Company</t>
        </is>
      </c>
    </row>
    <row r="2">
      <c r="A2" s="2" t="inlineStr">
        <is>
          <t>Unit economics - per-customer revenue by category (USD)</t>
        </is>
      </c>
    </row>
    <row r="3">
      <c r="A3" s="2" t="inlineStr">
        <is>
          <t>Entity ID: cawc_0139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Hemlock Mutual Water Company</t>
        </is>
      </c>
    </row>
    <row r="2">
      <c r="A2" s="2" t="inlineStr">
        <is>
          <t>Rate structure and representative bill - eAR Section 8a</t>
        </is>
      </c>
    </row>
    <row r="3">
      <c r="A3" s="2" t="inlineStr">
        <is>
          <t>Entity ID: cawc_0139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Hemlock Mutual Water Company</t>
        </is>
      </c>
    </row>
    <row r="2">
      <c r="A2" s="2" t="inlineStr">
        <is>
          <t>Operational metrics - plant per acre, density, terrain</t>
        </is>
      </c>
    </row>
    <row r="3">
      <c r="A3" s="2" t="inlineStr">
        <is>
          <t>Entity ID: cawc_0139   |   Fiscal year ends December 31.</t>
        </is>
      </c>
    </row>
    <row r="5">
      <c r="A5" s="6" t="inlineStr">
        <is>
          <t>Plant assets per acre</t>
        </is>
      </c>
      <c r="B5" s="7" t="n"/>
      <c r="C5" s="7" t="n"/>
    </row>
    <row r="6">
      <c r="A6" s="20" t="inlineStr">
        <is>
          <t>Service-area acres</t>
        </is>
      </c>
      <c r="B6" s="26" t="n">
        <v>32.7</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3611.4067</v>
      </c>
      <c r="C8" s="9" t="n">
        <v>1363.1498</v>
      </c>
    </row>
    <row r="9">
      <c r="A9" s="18" t="inlineStr">
        <is>
          <t>FY2021</t>
        </is>
      </c>
      <c r="B9" s="9" t="n">
        <v>3611.4067</v>
      </c>
      <c r="C9" s="9" t="n">
        <v>1233.9755</v>
      </c>
    </row>
    <row r="10">
      <c r="A10" s="18" t="inlineStr">
        <is>
          <t>FY2022</t>
        </is>
      </c>
      <c r="B10" s="9" t="n">
        <v>3611.4067</v>
      </c>
      <c r="C10" s="9" t="n">
        <v>1122.2018</v>
      </c>
    </row>
    <row r="11">
      <c r="A11" s="18" t="inlineStr">
        <is>
          <t>FY2023</t>
        </is>
      </c>
      <c r="B11" s="9" t="n">
        <v>3310.2141</v>
      </c>
      <c r="C11" s="9" t="n">
        <v>963.7003</v>
      </c>
    </row>
    <row r="12">
      <c r="A12" s="18" t="inlineStr">
        <is>
          <t>FY2024</t>
        </is>
      </c>
      <c r="B12" s="9" t="n">
        <v>3310.2141</v>
      </c>
      <c r="C12" s="9" t="n">
        <v>796.422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6.18</v>
      </c>
      <c r="C19" s="22" t="inlineStr">
        <is>
          <t>202 connections / 32.7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Hemlock Mutual Water Company</t>
        </is>
      </c>
    </row>
    <row r="2">
      <c r="A2" s="2" t="inlineStr">
        <is>
          <t>Supply and weather indicators (DWR water year)</t>
        </is>
      </c>
    </row>
    <row r="3">
      <c r="A3" s="2" t="inlineStr">
        <is>
          <t>Entity ID: cawc_0139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7" t="inlineStr">
        <is>
          <t>Dry</t>
        </is>
      </c>
      <c r="C8" s="27" t="inlineStr">
        <is>
          <t>Critical</t>
        </is>
      </c>
      <c r="D8" s="27" t="inlineStr">
        <is>
          <t>Critical</t>
        </is>
      </c>
      <c r="E8" s="27" t="inlineStr">
        <is>
          <t>Wet</t>
        </is>
      </c>
      <c r="F8" s="27" t="inlineStr">
        <is>
          <t>Above Normal</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63</t>
        </is>
      </c>
      <c r="C10" s="27" t="inlineStr">
        <is>
          <t>48</t>
        </is>
      </c>
      <c r="D10" s="27" t="inlineStr">
        <is>
          <t>86</t>
        </is>
      </c>
      <c r="E10" s="27" t="inlineStr">
        <is>
          <t>133</t>
        </is>
      </c>
      <c r="F10" s="27" t="inlineStr">
        <is>
          <t>96</t>
        </is>
      </c>
    </row>
    <row r="11">
      <c r="A11" s="8" t="inlineStr">
        <is>
          <t>Snowpack, April 1 percent of average</t>
        </is>
      </c>
      <c r="B11" s="27" t="inlineStr">
        <is>
          <t>53%</t>
        </is>
      </c>
      <c r="C11" s="27" t="inlineStr">
        <is>
          <t>59%</t>
        </is>
      </c>
      <c r="D11" s="27" t="inlineStr">
        <is>
          <t>38%</t>
        </is>
      </c>
      <c r="E11" s="27" t="inlineStr">
        <is>
          <t>237%</t>
        </is>
      </c>
      <c r="F11" s="27" t="inlineStr">
        <is>
          <t>110%</t>
        </is>
      </c>
    </row>
    <row r="12">
      <c r="A12" s="8" t="inlineStr">
        <is>
          <t>State Water Project allocation</t>
        </is>
      </c>
      <c r="B12" s="27" t="inlineStr">
        <is>
          <t>20%</t>
        </is>
      </c>
      <c r="C12" s="27" t="inlineStr">
        <is>
          <t>5%</t>
        </is>
      </c>
      <c r="D12" s="27" t="inlineStr">
        <is>
          <t>5%</t>
        </is>
      </c>
      <c r="E12" s="27" t="inlineStr">
        <is>
          <t>100%</t>
        </is>
      </c>
      <c r="F12" s="2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Hemlock Mutual Water Company</t>
        </is>
      </c>
    </row>
    <row r="2">
      <c r="A2" s="2" t="inlineStr">
        <is>
          <t>How this was built - forensic lineage</t>
        </is>
      </c>
    </row>
    <row r="3">
      <c r="A3" s="2" t="inlineStr">
        <is>
          <t>Entity ID: cawc_0139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2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Hemlock Mutual Water Company</t>
        </is>
      </c>
    </row>
    <row r="2">
      <c r="A2" s="2" t="inlineStr">
        <is>
          <t>Sources &amp; audit - full provenance and tie-outs (kept off the statements so they read clean)</t>
        </is>
      </c>
    </row>
    <row r="3">
      <c r="A3" s="2" t="inlineStr">
        <is>
          <t>Entity ID: cawc_0139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7f912e37-8592-4356-b151-4f0673010bd8</t>
        </is>
      </c>
      <c r="F10" s="8" t="inlineStr">
        <is>
          <t>202120909349301317</t>
        </is>
      </c>
      <c r="G10" s="8" t="inlineStr">
        <is>
          <t>claude-opus-5</t>
        </is>
      </c>
      <c r="H10" s="8" t="inlineStr">
        <is>
          <t>2026-10-03T23:10:03+00:00</t>
        </is>
      </c>
      <c r="I10" s="8" t="inlineStr">
        <is>
          <t>https://apps.irs.gov/pub/epostcard/990/xml/2021/2021_TEOS_XML_01A.zip#202120909349301317_public.xml</t>
        </is>
      </c>
    </row>
    <row r="11">
      <c r="A11" s="27" t="inlineStr">
        <is>
          <t>FY2021</t>
        </is>
      </c>
      <c r="B11" s="8" t="inlineStr">
        <is>
          <t>2021-12-31</t>
        </is>
      </c>
      <c r="C11" s="8" t="inlineStr">
        <is>
          <t>990</t>
        </is>
      </c>
      <c r="D11" s="8" t="inlineStr">
        <is>
          <t>high</t>
        </is>
      </c>
      <c r="E11" s="8" t="inlineStr">
        <is>
          <t>96aeec60-b90a-4d0e-a41e-2131f633a9b8</t>
        </is>
      </c>
      <c r="F11" s="8" t="inlineStr">
        <is>
          <t>202212739349300441</t>
        </is>
      </c>
      <c r="G11" s="8" t="inlineStr">
        <is>
          <t>claude-opus-5</t>
        </is>
      </c>
      <c r="H11" s="8" t="inlineStr">
        <is>
          <t>2026-10-03T23:10:03+00:00</t>
        </is>
      </c>
      <c r="I11" s="8" t="inlineStr">
        <is>
          <t>https://apps.irs.gov/pub/epostcard/990/xml/2022/2022_TEOS_XML_01A.zip#202212739349300441_public.xml</t>
        </is>
      </c>
    </row>
    <row r="12">
      <c r="A12" s="27" t="inlineStr">
        <is>
          <t>FY2022</t>
        </is>
      </c>
      <c r="B12" s="8" t="inlineStr">
        <is>
          <t>2022-12-31</t>
        </is>
      </c>
      <c r="C12" s="8" t="inlineStr">
        <is>
          <t>990</t>
        </is>
      </c>
      <c r="D12" s="8" t="inlineStr">
        <is>
          <t>high</t>
        </is>
      </c>
      <c r="E12" s="8" t="inlineStr">
        <is>
          <t>7cd3c9f9-1ccf-44da-a4c7-ae95938119af</t>
        </is>
      </c>
      <c r="F12" s="8" t="inlineStr">
        <is>
          <t>202321049349301737</t>
        </is>
      </c>
      <c r="G12" s="8" t="inlineStr">
        <is>
          <t>claude-opus-5</t>
        </is>
      </c>
      <c r="H12" s="8" t="inlineStr">
        <is>
          <t>2026-10-03T23:10:03+00:00</t>
        </is>
      </c>
      <c r="I12" s="8" t="inlineStr">
        <is>
          <t>https://apps.irs.gov/pub/epostcard/990/xml/2023/2023_TEOS_XML_04A.zip#202321049349301737_public.xml</t>
        </is>
      </c>
    </row>
    <row r="13">
      <c r="A13" s="27" t="inlineStr">
        <is>
          <t>FY2023</t>
        </is>
      </c>
      <c r="B13" s="8" t="inlineStr">
        <is>
          <t>2023-12-31</t>
        </is>
      </c>
      <c r="C13" s="8" t="inlineStr">
        <is>
          <t>990</t>
        </is>
      </c>
      <c r="D13" s="8" t="inlineStr">
        <is>
          <t>high</t>
        </is>
      </c>
      <c r="E13" s="8" t="inlineStr">
        <is>
          <t>d999ae18-1621-42f1-a598-da03ca78cd7b</t>
        </is>
      </c>
      <c r="F13" s="8" t="inlineStr">
        <is>
          <t>202431019349301003</t>
        </is>
      </c>
      <c r="G13" s="8" t="inlineStr">
        <is>
          <t>claude-opus-5</t>
        </is>
      </c>
      <c r="H13" s="8" t="inlineStr">
        <is>
          <t>2026-10-03T23:10:03+00:00</t>
        </is>
      </c>
      <c r="I13" s="8" t="inlineStr">
        <is>
          <t>https://apps.irs.gov/pub/epostcard/990/xml/2024/2024_TEOS_XML_04A.zip#202431019349301003_public.xml</t>
        </is>
      </c>
    </row>
    <row r="14">
      <c r="A14" s="27" t="inlineStr">
        <is>
          <t>FY2024</t>
        </is>
      </c>
      <c r="B14" s="8" t="inlineStr">
        <is>
          <t>2024-12-31</t>
        </is>
      </c>
      <c r="C14" s="8" t="inlineStr">
        <is>
          <t>990</t>
        </is>
      </c>
      <c r="D14" s="8" t="inlineStr">
        <is>
          <t>high</t>
        </is>
      </c>
      <c r="E14" s="8" t="inlineStr">
        <is>
          <t>440ed59d-b472-4ab2-94a1-8b15d4e9b28a</t>
        </is>
      </c>
      <c r="F14" s="8" t="inlineStr">
        <is>
          <t>202511059349301896</t>
        </is>
      </c>
      <c r="G14" s="8" t="inlineStr">
        <is>
          <t>claude-opus-5</t>
        </is>
      </c>
      <c r="H14" s="8" t="inlineStr">
        <is>
          <t>2026-10-03T23:10:03+00:00</t>
        </is>
      </c>
      <c r="I14" s="8" t="inlineStr">
        <is>
          <t>https://apps.irs.gov/pub/epostcard/990/xml/2025/2025_TEOS_XML_04A.zip#202511059349301896_public.xml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Revenue (detail)</t>
        </is>
      </c>
      <c r="B18" s="8" t="inlineStr">
        <is>
          <t>B8</t>
        </is>
      </c>
      <c r="C18" s="8" t="inlineStr">
        <is>
          <t>2g. Total program service revenue</t>
        </is>
      </c>
      <c r="D18" s="8" t="inlineStr">
        <is>
          <t>2g</t>
        </is>
      </c>
      <c r="E18" s="8" t="inlineStr">
        <is>
          <t>part_viii_revenue.total_program_service_revenue</t>
        </is>
      </c>
      <c r="F18" s="8" t="inlineStr">
        <is>
          <t>high</t>
        </is>
      </c>
      <c r="G18" s="9" t="n">
        <v>255328</v>
      </c>
    </row>
    <row r="19">
      <c r="A19" s="8" t="inlineStr">
        <is>
          <t>Revenue (detail)</t>
        </is>
      </c>
      <c r="B19" s="8" t="inlineStr">
        <is>
          <t>C8</t>
        </is>
      </c>
      <c r="C19" s="8" t="inlineStr">
        <is>
          <t>2g. Total program service revenue</t>
        </is>
      </c>
      <c r="D19" s="8" t="inlineStr">
        <is>
          <t>2g</t>
        </is>
      </c>
      <c r="E19" s="8" t="inlineStr">
        <is>
          <t>part_viii_revenue.total_program_service_revenue</t>
        </is>
      </c>
      <c r="F19" s="8" t="inlineStr">
        <is>
          <t>high</t>
        </is>
      </c>
      <c r="G19" s="9" t="n">
        <v>252274</v>
      </c>
    </row>
    <row r="20">
      <c r="A20" s="8" t="inlineStr">
        <is>
          <t>Revenue (detail)</t>
        </is>
      </c>
      <c r="B20" s="8" t="inlineStr">
        <is>
          <t>D8</t>
        </is>
      </c>
      <c r="C20" s="8" t="inlineStr">
        <is>
          <t>2g. Total program service revenue</t>
        </is>
      </c>
      <c r="D20" s="8" t="inlineStr">
        <is>
          <t>2g</t>
        </is>
      </c>
      <c r="E20" s="8" t="inlineStr">
        <is>
          <t>part_viii_revenue.total_program_service_revenue</t>
        </is>
      </c>
      <c r="F20" s="8" t="inlineStr">
        <is>
          <t>high</t>
        </is>
      </c>
      <c r="G20" s="9" t="n">
        <v>267861</v>
      </c>
    </row>
    <row r="21">
      <c r="A21" s="8" t="inlineStr">
        <is>
          <t>Revenue (detail)</t>
        </is>
      </c>
      <c r="B21" s="8" t="inlineStr">
        <is>
          <t>E8</t>
        </is>
      </c>
      <c r="C21" s="8" t="inlineStr">
        <is>
          <t>2g. Total program service revenue</t>
        </is>
      </c>
      <c r="D21" s="8" t="inlineStr">
        <is>
          <t>2g</t>
        </is>
      </c>
      <c r="E21" s="8" t="inlineStr">
        <is>
          <t>part_viii_revenue.total_program_service_revenue</t>
        </is>
      </c>
      <c r="F21" s="8" t="inlineStr">
        <is>
          <t>high</t>
        </is>
      </c>
      <c r="G21" s="9" t="n">
        <v>258089</v>
      </c>
    </row>
    <row r="22">
      <c r="A22" s="8" t="inlineStr">
        <is>
          <t>Revenue (detail)</t>
        </is>
      </c>
      <c r="B22" s="8" t="inlineStr">
        <is>
          <t>F8</t>
        </is>
      </c>
      <c r="C22" s="8" t="inlineStr">
        <is>
          <t>2g. Total program service revenue</t>
        </is>
      </c>
      <c r="D22" s="8" t="inlineStr">
        <is>
          <t>2g</t>
        </is>
      </c>
      <c r="E22" s="8" t="inlineStr">
        <is>
          <t>part_viii_revenue.total_program_service_revenue</t>
        </is>
      </c>
      <c r="F22" s="8" t="inlineStr">
        <is>
          <t>high</t>
        </is>
      </c>
      <c r="G22" s="9" t="n">
        <v>305516</v>
      </c>
    </row>
    <row r="23">
      <c r="A23" s="8" t="inlineStr">
        <is>
          <t>Operating expenses (detail)</t>
        </is>
      </c>
      <c r="B23" s="8" t="inlineStr">
        <is>
          <t>B7</t>
        </is>
      </c>
      <c r="C23" s="8" t="inlineStr">
        <is>
          <t>11c. Fees for services: accounting</t>
        </is>
      </c>
      <c r="D23" s="8" t="inlineStr">
        <is>
          <t>11c</t>
        </is>
      </c>
      <c r="E23" s="8" t="inlineStr">
        <is>
          <t>part_ix_expenses.fees_accounting</t>
        </is>
      </c>
      <c r="F23" s="8" t="inlineStr">
        <is>
          <t>high</t>
        </is>
      </c>
      <c r="G23" s="9" t="n">
        <v>525</v>
      </c>
    </row>
    <row r="24">
      <c r="A24" s="8" t="inlineStr">
        <is>
          <t>Operating expenses (detail)</t>
        </is>
      </c>
      <c r="B24" s="8" t="inlineStr">
        <is>
          <t>C7</t>
        </is>
      </c>
      <c r="C24" s="8" t="inlineStr">
        <is>
          <t>11c. Fees for services: accounting</t>
        </is>
      </c>
      <c r="D24" s="8" t="inlineStr">
        <is>
          <t>11c</t>
        </is>
      </c>
      <c r="E24" s="8" t="inlineStr">
        <is>
          <t>part_ix_expenses.fees_accounting</t>
        </is>
      </c>
      <c r="F24" s="8" t="inlineStr">
        <is>
          <t>high</t>
        </is>
      </c>
      <c r="G24" s="9" t="n">
        <v>540</v>
      </c>
    </row>
    <row r="25">
      <c r="A25" s="8" t="inlineStr">
        <is>
          <t>Operating expenses (detail)</t>
        </is>
      </c>
      <c r="B25" s="8" t="inlineStr">
        <is>
          <t>D7</t>
        </is>
      </c>
      <c r="C25" s="8" t="inlineStr">
        <is>
          <t>11c. Fees for services: accounting</t>
        </is>
      </c>
      <c r="D25" s="8" t="inlineStr">
        <is>
          <t>11c</t>
        </is>
      </c>
      <c r="E25" s="8" t="inlineStr">
        <is>
          <t>part_ix_expenses.fees_accounting</t>
        </is>
      </c>
      <c r="F25" s="8" t="inlineStr">
        <is>
          <t>high</t>
        </is>
      </c>
      <c r="G25" s="9" t="n">
        <v>595</v>
      </c>
    </row>
    <row r="26">
      <c r="A26" s="8" t="inlineStr">
        <is>
          <t>Operating expenses (detail)</t>
        </is>
      </c>
      <c r="B26" s="8" t="inlineStr">
        <is>
          <t>E7</t>
        </is>
      </c>
      <c r="C26" s="8" t="inlineStr">
        <is>
          <t>11c. Fees for services: accounting</t>
        </is>
      </c>
      <c r="D26" s="8" t="inlineStr">
        <is>
          <t>11c</t>
        </is>
      </c>
      <c r="E26" s="8" t="inlineStr">
        <is>
          <t>part_ix_expenses.fees_accounting</t>
        </is>
      </c>
      <c r="F26" s="8" t="inlineStr">
        <is>
          <t>high</t>
        </is>
      </c>
      <c r="G26" s="9" t="n">
        <v>650</v>
      </c>
    </row>
    <row r="27">
      <c r="A27" s="8" t="inlineStr">
        <is>
          <t>Operating expenses (detail)</t>
        </is>
      </c>
      <c r="B27" s="8" t="inlineStr">
        <is>
          <t>F7</t>
        </is>
      </c>
      <c r="C27" s="8" t="inlineStr">
        <is>
          <t>11c. Fees for services: accounting</t>
        </is>
      </c>
      <c r="D27" s="8" t="inlineStr">
        <is>
          <t>11c</t>
        </is>
      </c>
      <c r="E27" s="8" t="inlineStr">
        <is>
          <t>part_ix_expenses.fees_accounting</t>
        </is>
      </c>
      <c r="F27" s="8" t="inlineStr">
        <is>
          <t>high</t>
        </is>
      </c>
      <c r="G27" s="9" t="n">
        <v>650</v>
      </c>
    </row>
    <row r="28">
      <c r="A28" s="8" t="inlineStr">
        <is>
          <t>Operating expenses (detail)</t>
        </is>
      </c>
      <c r="B28" s="8" t="inlineStr">
        <is>
          <t>B8</t>
        </is>
      </c>
      <c r="C28" s="8" t="inlineStr">
        <is>
          <t>13. Office expenses</t>
        </is>
      </c>
      <c r="D28" s="8" t="inlineStr">
        <is>
          <t>13</t>
        </is>
      </c>
      <c r="E28" s="8" t="inlineStr">
        <is>
          <t>part_ix_expenses.office_expenses</t>
        </is>
      </c>
      <c r="F28" s="8" t="inlineStr">
        <is>
          <t>high</t>
        </is>
      </c>
      <c r="G28" s="9" t="n">
        <v>39374</v>
      </c>
    </row>
    <row r="29">
      <c r="A29" s="8" t="inlineStr">
        <is>
          <t>Operating expenses (detail)</t>
        </is>
      </c>
      <c r="B29" s="8" t="inlineStr">
        <is>
          <t>C8</t>
        </is>
      </c>
      <c r="C29" s="8" t="inlineStr">
        <is>
          <t>13. Office expenses</t>
        </is>
      </c>
      <c r="D29" s="8" t="inlineStr">
        <is>
          <t>13</t>
        </is>
      </c>
      <c r="E29" s="8" t="inlineStr">
        <is>
          <t>part_ix_expenses.office_expenses</t>
        </is>
      </c>
      <c r="F29" s="8" t="inlineStr">
        <is>
          <t>high</t>
        </is>
      </c>
      <c r="G29" s="9" t="n">
        <v>47872</v>
      </c>
    </row>
    <row r="30">
      <c r="A30" s="8" t="inlineStr">
        <is>
          <t>Operating expenses (detail)</t>
        </is>
      </c>
      <c r="B30" s="8" t="inlineStr">
        <is>
          <t>D8</t>
        </is>
      </c>
      <c r="C30" s="8" t="inlineStr">
        <is>
          <t>13. Office expenses</t>
        </is>
      </c>
      <c r="D30" s="8" t="inlineStr">
        <is>
          <t>13</t>
        </is>
      </c>
      <c r="E30" s="8" t="inlineStr">
        <is>
          <t>part_ix_expenses.office_expenses</t>
        </is>
      </c>
      <c r="F30" s="8" t="inlineStr">
        <is>
          <t>high</t>
        </is>
      </c>
      <c r="G30" s="9" t="n">
        <v>38951</v>
      </c>
    </row>
    <row r="31">
      <c r="A31" s="8" t="inlineStr">
        <is>
          <t>Operating expenses (detail)</t>
        </is>
      </c>
      <c r="B31" s="8" t="inlineStr">
        <is>
          <t>E8</t>
        </is>
      </c>
      <c r="C31" s="8" t="inlineStr">
        <is>
          <t>13. Office expenses</t>
        </is>
      </c>
      <c r="D31" s="8" t="inlineStr">
        <is>
          <t>13</t>
        </is>
      </c>
      <c r="E31" s="8" t="inlineStr">
        <is>
          <t>part_ix_expenses.office_expenses</t>
        </is>
      </c>
      <c r="F31" s="8" t="inlineStr">
        <is>
          <t>high</t>
        </is>
      </c>
      <c r="G31" s="9" t="n">
        <v>36910</v>
      </c>
    </row>
    <row r="32">
      <c r="A32" s="8" t="inlineStr">
        <is>
          <t>Operating expenses (detail)</t>
        </is>
      </c>
      <c r="B32" s="8" t="inlineStr">
        <is>
          <t>F8</t>
        </is>
      </c>
      <c r="C32" s="8" t="inlineStr">
        <is>
          <t>13. Office expenses</t>
        </is>
      </c>
      <c r="D32" s="8" t="inlineStr">
        <is>
          <t>13</t>
        </is>
      </c>
      <c r="E32" s="8" t="inlineStr">
        <is>
          <t>part_ix_expenses.office_expenses</t>
        </is>
      </c>
      <c r="F32" s="8" t="inlineStr">
        <is>
          <t>high</t>
        </is>
      </c>
      <c r="G32" s="9" t="n">
        <v>47327</v>
      </c>
    </row>
    <row r="33">
      <c r="A33" s="8" t="inlineStr">
        <is>
          <t>Operating expenses (detail)</t>
        </is>
      </c>
      <c r="B33" s="8" t="inlineStr">
        <is>
          <t>B9</t>
        </is>
      </c>
      <c r="C33" s="8" t="inlineStr">
        <is>
          <t>16. Occupancy</t>
        </is>
      </c>
      <c r="D33" s="8" t="inlineStr">
        <is>
          <t>16</t>
        </is>
      </c>
      <c r="E33" s="8" t="inlineStr">
        <is>
          <t>part_ix_expenses.occupancy</t>
        </is>
      </c>
      <c r="F33" s="8" t="inlineStr">
        <is>
          <t>high</t>
        </is>
      </c>
      <c r="G33" s="9" t="n">
        <v>56312</v>
      </c>
    </row>
    <row r="34">
      <c r="A34" s="8" t="inlineStr">
        <is>
          <t>Operating expenses (detail)</t>
        </is>
      </c>
      <c r="B34" s="8" t="inlineStr">
        <is>
          <t>C9</t>
        </is>
      </c>
      <c r="C34" s="8" t="inlineStr">
        <is>
          <t>16. Occupancy</t>
        </is>
      </c>
      <c r="D34" s="8" t="inlineStr">
        <is>
          <t>16</t>
        </is>
      </c>
      <c r="E34" s="8" t="inlineStr">
        <is>
          <t>part_ix_expenses.occupancy</t>
        </is>
      </c>
      <c r="F34" s="8" t="inlineStr">
        <is>
          <t>high</t>
        </is>
      </c>
      <c r="G34" s="9" t="n">
        <v>61793</v>
      </c>
    </row>
    <row r="35">
      <c r="A35" s="8" t="inlineStr">
        <is>
          <t>Operating expenses (detail)</t>
        </is>
      </c>
      <c r="B35" s="8" t="inlineStr">
        <is>
          <t>D9</t>
        </is>
      </c>
      <c r="C35" s="8" t="inlineStr">
        <is>
          <t>16. Occupancy</t>
        </is>
      </c>
      <c r="D35" s="8" t="inlineStr">
        <is>
          <t>16</t>
        </is>
      </c>
      <c r="E35" s="8" t="inlineStr">
        <is>
          <t>part_ix_expenses.occupancy</t>
        </is>
      </c>
      <c r="F35" s="8" t="inlineStr">
        <is>
          <t>high</t>
        </is>
      </c>
      <c r="G35" s="9" t="n">
        <v>46887</v>
      </c>
    </row>
    <row r="36">
      <c r="A36" s="8" t="inlineStr">
        <is>
          <t>Operating expenses (detail)</t>
        </is>
      </c>
      <c r="B36" s="8" t="inlineStr">
        <is>
          <t>E9</t>
        </is>
      </c>
      <c r="C36" s="8" t="inlineStr">
        <is>
          <t>16. Occupancy</t>
        </is>
      </c>
      <c r="D36" s="8" t="inlineStr">
        <is>
          <t>16</t>
        </is>
      </c>
      <c r="E36" s="8" t="inlineStr">
        <is>
          <t>part_ix_expenses.occupancy</t>
        </is>
      </c>
      <c r="F36" s="8" t="inlineStr">
        <is>
          <t>high</t>
        </is>
      </c>
      <c r="G36" s="9" t="n">
        <v>42984</v>
      </c>
    </row>
    <row r="37">
      <c r="A37" s="8" t="inlineStr">
        <is>
          <t>Operating expenses (detail)</t>
        </is>
      </c>
      <c r="B37" s="8" t="inlineStr">
        <is>
          <t>F9</t>
        </is>
      </c>
      <c r="C37" s="8" t="inlineStr">
        <is>
          <t>16. Occupancy</t>
        </is>
      </c>
      <c r="D37" s="8" t="inlineStr">
        <is>
          <t>16</t>
        </is>
      </c>
      <c r="E37" s="8" t="inlineStr">
        <is>
          <t>part_ix_expenses.occupancy</t>
        </is>
      </c>
      <c r="F37" s="8" t="inlineStr">
        <is>
          <t>high</t>
        </is>
      </c>
      <c r="G37" s="9" t="n">
        <v>43311</v>
      </c>
    </row>
    <row r="38">
      <c r="A38" s="8" t="inlineStr">
        <is>
          <t>Operating expenses (detail)</t>
        </is>
      </c>
      <c r="B38" s="8" t="inlineStr">
        <is>
          <t>B10</t>
        </is>
      </c>
      <c r="C38" s="8" t="inlineStr">
        <is>
          <t>22. Depreciation, depletion, and amortization</t>
        </is>
      </c>
      <c r="D38" s="8" t="inlineStr">
        <is>
          <t>22</t>
        </is>
      </c>
      <c r="E38" s="8" t="inlineStr">
        <is>
          <t>part_ix_expenses.depreciation</t>
        </is>
      </c>
      <c r="F38" s="8" t="inlineStr">
        <is>
          <t>high</t>
        </is>
      </c>
      <c r="G38" s="9" t="n">
        <v>5587</v>
      </c>
    </row>
    <row r="39">
      <c r="A39" s="8" t="inlineStr">
        <is>
          <t>Operating expenses (detail)</t>
        </is>
      </c>
      <c r="B39" s="8" t="inlineStr">
        <is>
          <t>C10</t>
        </is>
      </c>
      <c r="C39" s="8" t="inlineStr">
        <is>
          <t>22. Depreciation, depletion, and amortization</t>
        </is>
      </c>
      <c r="D39" s="8" t="inlineStr">
        <is>
          <t>22</t>
        </is>
      </c>
      <c r="E39" s="8" t="inlineStr">
        <is>
          <t>part_ix_expenses.depreciation</t>
        </is>
      </c>
      <c r="F39" s="8" t="inlineStr">
        <is>
          <t>high</t>
        </is>
      </c>
      <c r="G39" s="9" t="n">
        <v>4224</v>
      </c>
    </row>
    <row r="40">
      <c r="A40" s="8" t="inlineStr">
        <is>
          <t>Operating expenses (detail)</t>
        </is>
      </c>
      <c r="B40" s="8" t="inlineStr">
        <is>
          <t>D10</t>
        </is>
      </c>
      <c r="C40" s="8" t="inlineStr">
        <is>
          <t>22. Depreciation, depletion, and amortization</t>
        </is>
      </c>
      <c r="D40" s="8" t="inlineStr">
        <is>
          <t>22</t>
        </is>
      </c>
      <c r="E40" s="8" t="inlineStr">
        <is>
          <t>part_ix_expenses.depreciation</t>
        </is>
      </c>
      <c r="F40" s="8" t="inlineStr">
        <is>
          <t>high</t>
        </is>
      </c>
      <c r="G40" s="9" t="n">
        <v>3655</v>
      </c>
    </row>
    <row r="41">
      <c r="A41" s="8" t="inlineStr">
        <is>
          <t>Operating expenses (detail)</t>
        </is>
      </c>
      <c r="B41" s="8" t="inlineStr">
        <is>
          <t>E10</t>
        </is>
      </c>
      <c r="C41" s="8" t="inlineStr">
        <is>
          <t>22. Depreciation, depletion, and amortization</t>
        </is>
      </c>
      <c r="D41" s="8" t="inlineStr">
        <is>
          <t>22</t>
        </is>
      </c>
      <c r="E41" s="8" t="inlineStr">
        <is>
          <t>part_ix_expenses.depreciation</t>
        </is>
      </c>
      <c r="F41" s="8" t="inlineStr">
        <is>
          <t>high</t>
        </is>
      </c>
      <c r="G41" s="9" t="n">
        <v>5470</v>
      </c>
    </row>
    <row r="42">
      <c r="A42" s="8" t="inlineStr">
        <is>
          <t>Operating expenses (detail)</t>
        </is>
      </c>
      <c r="B42" s="8" t="inlineStr">
        <is>
          <t>F10</t>
        </is>
      </c>
      <c r="C42" s="8" t="inlineStr">
        <is>
          <t>22. Depreciation, depletion, and amortization</t>
        </is>
      </c>
      <c r="D42" s="8" t="inlineStr">
        <is>
          <t>22</t>
        </is>
      </c>
      <c r="E42" s="8" t="inlineStr">
        <is>
          <t>part_ix_expenses.depreciation</t>
        </is>
      </c>
      <c r="F42" s="8" t="inlineStr">
        <is>
          <t>high</t>
        </is>
      </c>
      <c r="G42" s="9" t="n">
        <v>5470</v>
      </c>
    </row>
    <row r="43">
      <c r="A43" s="8" t="inlineStr">
        <is>
          <t>Operating expenses (detail)</t>
        </is>
      </c>
      <c r="B43" s="8" t="inlineStr">
        <is>
          <t>B18</t>
        </is>
      </c>
      <c r="C43" s="8" t="inlineStr">
        <is>
          <t>24e. All other expenses</t>
        </is>
      </c>
      <c r="D43" s="8" t="inlineStr">
        <is>
          <t>24e</t>
        </is>
      </c>
      <c r="E43" s="8" t="inlineStr">
        <is>
          <t>part_ix_expenses.all_other_expenses</t>
        </is>
      </c>
      <c r="F43" s="8" t="inlineStr">
        <is>
          <t>high</t>
        </is>
      </c>
      <c r="G43" s="9" t="n">
        <v>32161</v>
      </c>
    </row>
    <row r="44">
      <c r="A44" s="8" t="inlineStr">
        <is>
          <t>Operating expenses (detail)</t>
        </is>
      </c>
      <c r="B44" s="8" t="inlineStr">
        <is>
          <t>C18</t>
        </is>
      </c>
      <c r="C44" s="8" t="inlineStr">
        <is>
          <t>24e. All other expenses</t>
        </is>
      </c>
      <c r="D44" s="8" t="inlineStr">
        <is>
          <t>24e</t>
        </is>
      </c>
      <c r="E44" s="8" t="inlineStr">
        <is>
          <t>part_ix_expenses.all_other_expenses</t>
        </is>
      </c>
      <c r="F44" s="8" t="inlineStr">
        <is>
          <t>high</t>
        </is>
      </c>
      <c r="G44" s="9" t="n">
        <v>18449</v>
      </c>
    </row>
    <row r="45">
      <c r="A45" s="8" t="inlineStr">
        <is>
          <t>Operating expenses (detail)</t>
        </is>
      </c>
      <c r="B45" s="8" t="inlineStr">
        <is>
          <t>D18</t>
        </is>
      </c>
      <c r="C45" s="8" t="inlineStr">
        <is>
          <t>24e. All other expenses</t>
        </is>
      </c>
      <c r="D45" s="8" t="inlineStr">
        <is>
          <t>24e</t>
        </is>
      </c>
      <c r="E45" s="8" t="inlineStr">
        <is>
          <t>part_ix_expenses.all_other_expenses</t>
        </is>
      </c>
      <c r="F45" s="8" t="inlineStr">
        <is>
          <t>high</t>
        </is>
      </c>
      <c r="G45" s="9" t="n">
        <v>19316</v>
      </c>
    </row>
    <row r="46">
      <c r="A46" s="8" t="inlineStr">
        <is>
          <t>Operating expenses (detail)</t>
        </is>
      </c>
      <c r="B46" s="8" t="inlineStr">
        <is>
          <t>E18</t>
        </is>
      </c>
      <c r="C46" s="8" t="inlineStr">
        <is>
          <t>24e. All other expenses</t>
        </is>
      </c>
      <c r="D46" s="8" t="inlineStr">
        <is>
          <t>24e</t>
        </is>
      </c>
      <c r="E46" s="8" t="inlineStr">
        <is>
          <t>part_ix_expenses.all_other_expenses</t>
        </is>
      </c>
      <c r="F46" s="8" t="inlineStr">
        <is>
          <t>high</t>
        </is>
      </c>
      <c r="G46" s="9" t="n">
        <v>17250</v>
      </c>
    </row>
    <row r="47">
      <c r="A47" s="8" t="inlineStr">
        <is>
          <t>Operating expenses (detail)</t>
        </is>
      </c>
      <c r="B47" s="8" t="inlineStr">
        <is>
          <t>F18</t>
        </is>
      </c>
      <c r="C47" s="8" t="inlineStr">
        <is>
          <t>24e. All other expenses</t>
        </is>
      </c>
      <c r="D47" s="8" t="inlineStr">
        <is>
          <t>24e</t>
        </is>
      </c>
      <c r="E47" s="8" t="inlineStr">
        <is>
          <t>part_ix_expenses.all_other_expenses</t>
        </is>
      </c>
      <c r="F47" s="8" t="inlineStr">
        <is>
          <t>high</t>
        </is>
      </c>
      <c r="G47" s="9" t="n">
        <v>19293</v>
      </c>
    </row>
    <row r="48">
      <c r="A48" s="8" t="inlineStr">
        <is>
          <t>Balance sheet (detail)</t>
        </is>
      </c>
      <c r="B48" s="8" t="inlineStr">
        <is>
          <t>B7</t>
        </is>
      </c>
      <c r="C48" s="8" t="inlineStr">
        <is>
          <t>1. Cash - non-interest-bearing</t>
        </is>
      </c>
      <c r="D48" s="8" t="inlineStr">
        <is>
          <t>1E</t>
        </is>
      </c>
      <c r="E48" s="8" t="inlineStr">
        <is>
          <t>part_x_balance_sheet.cash_noninterest_eoy</t>
        </is>
      </c>
      <c r="F48" s="8" t="inlineStr">
        <is>
          <t>high</t>
        </is>
      </c>
      <c r="G48" s="9" t="n">
        <v>1180</v>
      </c>
    </row>
    <row r="49">
      <c r="A49" s="8" t="inlineStr">
        <is>
          <t>Balance sheet (detail)</t>
        </is>
      </c>
      <c r="B49" s="8" t="inlineStr">
        <is>
          <t>C7</t>
        </is>
      </c>
      <c r="C49" s="8" t="inlineStr">
        <is>
          <t>1. Cash - non-interest-bearing</t>
        </is>
      </c>
      <c r="D49" s="8" t="inlineStr">
        <is>
          <t>1E</t>
        </is>
      </c>
      <c r="E49" s="8" t="inlineStr">
        <is>
          <t>part_x_balance_sheet.cash_noninterest_eoy</t>
        </is>
      </c>
      <c r="F49" s="8" t="inlineStr">
        <is>
          <t>high</t>
        </is>
      </c>
      <c r="G49" s="9" t="n">
        <v>10712</v>
      </c>
    </row>
    <row r="50">
      <c r="A50" s="8" t="inlineStr">
        <is>
          <t>Balance sheet (detail)</t>
        </is>
      </c>
      <c r="B50" s="8" t="inlineStr">
        <is>
          <t>D7</t>
        </is>
      </c>
      <c r="C50" s="8" t="inlineStr">
        <is>
          <t>1. Cash - non-interest-bearing</t>
        </is>
      </c>
      <c r="D50" s="8" t="inlineStr">
        <is>
          <t>1E</t>
        </is>
      </c>
      <c r="E50" s="8" t="inlineStr">
        <is>
          <t>part_x_balance_sheet.cash_noninterest_eoy</t>
        </is>
      </c>
      <c r="F50" s="8" t="inlineStr">
        <is>
          <t>high</t>
        </is>
      </c>
      <c r="G50" s="9" t="n">
        <v>29391</v>
      </c>
    </row>
    <row r="51">
      <c r="A51" s="8" t="inlineStr">
        <is>
          <t>Balance sheet (detail)</t>
        </is>
      </c>
      <c r="B51" s="8" t="inlineStr">
        <is>
          <t>E7</t>
        </is>
      </c>
      <c r="C51" s="8" t="inlineStr">
        <is>
          <t>1. Cash - non-interest-bearing</t>
        </is>
      </c>
      <c r="D51" s="8" t="inlineStr">
        <is>
          <t>1E</t>
        </is>
      </c>
      <c r="E51" s="8" t="inlineStr">
        <is>
          <t>part_x_balance_sheet.cash_noninterest_eoy</t>
        </is>
      </c>
      <c r="F51" s="8" t="inlineStr">
        <is>
          <t>high</t>
        </is>
      </c>
      <c r="G51" s="9" t="n">
        <v>1991</v>
      </c>
    </row>
    <row r="52">
      <c r="A52" s="8" t="inlineStr">
        <is>
          <t>Balance sheet (detail)</t>
        </is>
      </c>
      <c r="B52" s="8" t="inlineStr">
        <is>
          <t>F7</t>
        </is>
      </c>
      <c r="C52" s="8" t="inlineStr">
        <is>
          <t>1. Cash - non-interest-bearing</t>
        </is>
      </c>
      <c r="D52" s="8" t="inlineStr">
        <is>
          <t>1E</t>
        </is>
      </c>
      <c r="E52" s="8" t="inlineStr">
        <is>
          <t>part_x_balance_sheet.cash_noninterest_eoy</t>
        </is>
      </c>
      <c r="F52" s="8" t="inlineStr">
        <is>
          <t>high</t>
        </is>
      </c>
      <c r="G52" s="9" t="n">
        <v>23713</v>
      </c>
    </row>
    <row r="53">
      <c r="A53" s="8" t="inlineStr">
        <is>
          <t>Balance sheet (detail)</t>
        </is>
      </c>
      <c r="B53" s="8" t="inlineStr">
        <is>
          <t>B8</t>
        </is>
      </c>
      <c r="C53" s="8" t="inlineStr">
        <is>
          <t>10c. Land, buildings, and equipment, net</t>
        </is>
      </c>
      <c r="D53" s="8" t="inlineStr">
        <is>
          <t>10cE</t>
        </is>
      </c>
      <c r="E53" s="8" t="inlineStr">
        <is>
          <t>part_x_balance_sheet.land_bldg_equip_net_eoy</t>
        </is>
      </c>
      <c r="F53" s="8" t="inlineStr">
        <is>
          <t>high</t>
        </is>
      </c>
      <c r="G53" s="9" t="n">
        <v>44575</v>
      </c>
    </row>
    <row r="54">
      <c r="A54" s="8" t="inlineStr">
        <is>
          <t>Balance sheet (detail)</t>
        </is>
      </c>
      <c r="B54" s="8" t="inlineStr">
        <is>
          <t>C8</t>
        </is>
      </c>
      <c r="C54" s="8" t="inlineStr">
        <is>
          <t>10c. Land, buildings, and equipment, net</t>
        </is>
      </c>
      <c r="D54" s="8" t="inlineStr">
        <is>
          <t>10cE</t>
        </is>
      </c>
      <c r="E54" s="8" t="inlineStr">
        <is>
          <t>part_x_balance_sheet.land_bldg_equip_net_eoy</t>
        </is>
      </c>
      <c r="F54" s="8" t="inlineStr">
        <is>
          <t>high</t>
        </is>
      </c>
      <c r="G54" s="9" t="n">
        <v>40351</v>
      </c>
    </row>
    <row r="55">
      <c r="A55" s="8" t="inlineStr">
        <is>
          <t>Balance sheet (detail)</t>
        </is>
      </c>
      <c r="B55" s="8" t="inlineStr">
        <is>
          <t>D8</t>
        </is>
      </c>
      <c r="C55" s="8" t="inlineStr">
        <is>
          <t>10c. Land, buildings, and equipment, net</t>
        </is>
      </c>
      <c r="D55" s="8" t="inlineStr">
        <is>
          <t>10cE</t>
        </is>
      </c>
      <c r="E55" s="8" t="inlineStr">
        <is>
          <t>part_x_balance_sheet.land_bldg_equip_net_eoy</t>
        </is>
      </c>
      <c r="F55" s="8" t="inlineStr">
        <is>
          <t>high</t>
        </is>
      </c>
      <c r="G55" s="9" t="n">
        <v>36696</v>
      </c>
    </row>
    <row r="56">
      <c r="A56" s="8" t="inlineStr">
        <is>
          <t>Balance sheet (detail)</t>
        </is>
      </c>
      <c r="B56" s="8" t="inlineStr">
        <is>
          <t>E8</t>
        </is>
      </c>
      <c r="C56" s="8" t="inlineStr">
        <is>
          <t>10c. Land, buildings, and equipment, net</t>
        </is>
      </c>
      <c r="D56" s="8" t="inlineStr">
        <is>
          <t>10cE</t>
        </is>
      </c>
      <c r="E56" s="8" t="inlineStr">
        <is>
          <t>part_x_balance_sheet.land_bldg_equip_net_eoy</t>
        </is>
      </c>
      <c r="F56" s="8" t="inlineStr">
        <is>
          <t>high</t>
        </is>
      </c>
      <c r="G56" s="9" t="n">
        <v>31513</v>
      </c>
    </row>
    <row r="57">
      <c r="A57" s="8" t="inlineStr">
        <is>
          <t>Balance sheet (detail)</t>
        </is>
      </c>
      <c r="B57" s="8" t="inlineStr">
        <is>
          <t>F8</t>
        </is>
      </c>
      <c r="C57" s="8" t="inlineStr">
        <is>
          <t>10c. Land, buildings, and equipment, net</t>
        </is>
      </c>
      <c r="D57" s="8" t="inlineStr">
        <is>
          <t>10cE</t>
        </is>
      </c>
      <c r="E57" s="8" t="inlineStr">
        <is>
          <t>part_x_balance_sheet.land_bldg_equip_net_eoy</t>
        </is>
      </c>
      <c r="F57" s="8" t="inlineStr">
        <is>
          <t>high</t>
        </is>
      </c>
      <c r="G57" s="9" t="n">
        <v>26043</v>
      </c>
    </row>
    <row r="58">
      <c r="A58" s="8" t="inlineStr">
        <is>
          <t>Balance sheet (detail)</t>
        </is>
      </c>
      <c r="B58" s="8" t="inlineStr">
        <is>
          <t>D15</t>
        </is>
      </c>
      <c r="C58" s="8" t="inlineStr">
        <is>
          <t>29. Capital stock or trust principal</t>
        </is>
      </c>
      <c r="D58" s="8" t="inlineStr">
        <is>
          <t>29E</t>
        </is>
      </c>
      <c r="E58" s="8" t="inlineStr">
        <is>
          <t>part_x_balance_sheet.cap_stock_eoy</t>
        </is>
      </c>
      <c r="F58" s="8" t="inlineStr">
        <is>
          <t>high</t>
        </is>
      </c>
      <c r="G58" s="9" t="n">
        <v>44410</v>
      </c>
    </row>
    <row r="59">
      <c r="A59" s="8" t="inlineStr">
        <is>
          <t>Balance sheet (detail)</t>
        </is>
      </c>
      <c r="B59" s="8" t="inlineStr">
        <is>
          <t>E15</t>
        </is>
      </c>
      <c r="C59" s="8" t="inlineStr">
        <is>
          <t>29. Capital stock or trust principal</t>
        </is>
      </c>
      <c r="D59" s="8" t="inlineStr">
        <is>
          <t>29E</t>
        </is>
      </c>
      <c r="E59" s="8" t="inlineStr">
        <is>
          <t>part_x_balance_sheet.cap_stock_eoy</t>
        </is>
      </c>
      <c r="F59" s="8" t="inlineStr">
        <is>
          <t>high</t>
        </is>
      </c>
      <c r="G59" s="9" t="n">
        <v>33504</v>
      </c>
    </row>
    <row r="60">
      <c r="A60" s="8" t="inlineStr">
        <is>
          <t>Balance sheet (detail)</t>
        </is>
      </c>
      <c r="B60" s="8" t="inlineStr">
        <is>
          <t>F15</t>
        </is>
      </c>
      <c r="C60" s="8" t="inlineStr">
        <is>
          <t>29. Capital stock or trust principal</t>
        </is>
      </c>
      <c r="D60" s="8" t="inlineStr">
        <is>
          <t>29E</t>
        </is>
      </c>
      <c r="E60" s="8" t="inlineStr">
        <is>
          <t>part_x_balance_sheet.cap_stock_eoy</t>
        </is>
      </c>
      <c r="F60" s="8" t="inlineStr">
        <is>
          <t>high</t>
        </is>
      </c>
      <c r="G60" s="9" t="n">
        <v>49756</v>
      </c>
    </row>
    <row r="61">
      <c r="A61" s="8" t="inlineStr">
        <is>
          <t>Balance sheet (detail)</t>
        </is>
      </c>
      <c r="B61" s="8" t="inlineStr">
        <is>
          <t>C16</t>
        </is>
      </c>
      <c r="C61" s="8" t="inlineStr">
        <is>
          <t>30. Paid-in or capital surplus</t>
        </is>
      </c>
      <c r="D61" s="8" t="inlineStr">
        <is>
          <t>30E</t>
        </is>
      </c>
      <c r="E61" s="8" t="inlineStr">
        <is>
          <t>part_x_balance_sheet.paid_in_capital_eoy</t>
        </is>
      </c>
      <c r="F61" s="8" t="inlineStr">
        <is>
          <t>high</t>
        </is>
      </c>
      <c r="G61" s="9" t="n">
        <v>41531</v>
      </c>
    </row>
    <row r="62">
      <c r="A62" s="8" t="inlineStr">
        <is>
          <t>Balance sheet (detail)</t>
        </is>
      </c>
      <c r="B62" s="8" t="inlineStr">
        <is>
          <t>B17</t>
        </is>
      </c>
      <c r="C62" s="8" t="inlineStr">
        <is>
          <t>31. Retained earnings / accumulated funds</t>
        </is>
      </c>
      <c r="D62" s="8" t="inlineStr">
        <is>
          <t>31E</t>
        </is>
      </c>
      <c r="E62" s="8" t="inlineStr">
        <is>
          <t>part_x_balance_sheet.retained_earnings_eoy</t>
        </is>
      </c>
      <c r="F62" s="8" t="inlineStr">
        <is>
          <t>high</t>
        </is>
      </c>
      <c r="G62" s="9" t="n">
        <v>45755</v>
      </c>
    </row>
    <row r="63">
      <c r="A63" s="8" t="inlineStr">
        <is>
          <t>Balance sheet (detail)</t>
        </is>
      </c>
      <c r="B63" s="8" t="inlineStr">
        <is>
          <t>C17</t>
        </is>
      </c>
      <c r="C63" s="8" t="inlineStr">
        <is>
          <t>31. Retained earnings / accumulated funds</t>
        </is>
      </c>
      <c r="D63" s="8" t="inlineStr">
        <is>
          <t>31E</t>
        </is>
      </c>
      <c r="E63" s="8" t="inlineStr">
        <is>
          <t>part_x_balance_sheet.retained_earnings_eoy</t>
        </is>
      </c>
      <c r="F63" s="8" t="inlineStr">
        <is>
          <t>high</t>
        </is>
      </c>
      <c r="G63" s="9" t="n">
        <v>9532</v>
      </c>
    </row>
    <row r="64">
      <c r="A64" s="8" t="inlineStr">
        <is>
          <t>Balance sheet (detail)</t>
        </is>
      </c>
      <c r="B64" s="8" t="inlineStr">
        <is>
          <t>D17</t>
        </is>
      </c>
      <c r="C64" s="8" t="inlineStr">
        <is>
          <t>31. Retained earnings / accumulated funds</t>
        </is>
      </c>
      <c r="D64" s="8" t="inlineStr">
        <is>
          <t>31E</t>
        </is>
      </c>
      <c r="E64" s="8" t="inlineStr">
        <is>
          <t>part_x_balance_sheet.retained_earnings_eoy</t>
        </is>
      </c>
      <c r="F64" s="8" t="inlineStr">
        <is>
          <t>high</t>
        </is>
      </c>
      <c r="G64" s="9" t="n">
        <v>21677</v>
      </c>
    </row>
    <row r="65">
      <c r="A65" s="8" t="inlineStr">
        <is>
          <t>Balance sheet (detail)</t>
        </is>
      </c>
      <c r="B65" s="8" t="inlineStr">
        <is>
          <t>F17</t>
        </is>
      </c>
      <c r="C65" s="8" t="inlineStr">
        <is>
          <t>31. Retained earnings / accumulated funds</t>
        </is>
      </c>
      <c r="D65" s="8" t="inlineStr">
        <is>
          <t>31E</t>
        </is>
      </c>
      <c r="E65" s="8" t="inlineStr">
        <is>
          <t>part_x_balance_sheet.retained_earnings_eoy</t>
        </is>
      </c>
      <c r="F65" s="8" t="inlineStr">
        <is>
          <t>high</t>
        </is>
      </c>
      <c r="G65" s="9" t="n">
        <v>0</v>
      </c>
    </row>
    <row r="66">
      <c r="A66" s="8" t="inlineStr">
        <is>
          <t>Net-assets reconciliation</t>
        </is>
      </c>
      <c r="B66" s="8" t="inlineStr">
        <is>
          <t>B7</t>
        </is>
      </c>
      <c r="C66" s="8" t="inlineStr">
        <is>
          <t>4. Net assets, beginning of year</t>
        </is>
      </c>
      <c r="D66" s="8" t="inlineStr">
        <is>
          <t>Part XI line 4</t>
        </is>
      </c>
      <c r="E66" s="8" t="inlineStr">
        <is>
          <t>part_xi_reconciliation.net_assets_boy</t>
        </is>
      </c>
      <c r="F66" s="8" t="inlineStr">
        <is>
          <t>high</t>
        </is>
      </c>
      <c r="G66" s="9" t="n">
        <v>47372</v>
      </c>
    </row>
    <row r="67">
      <c r="A67" s="8" t="inlineStr">
        <is>
          <t>Net-assets reconciliation</t>
        </is>
      </c>
      <c r="B67" s="8" t="inlineStr">
        <is>
          <t>C7</t>
        </is>
      </c>
      <c r="C67" s="8" t="inlineStr">
        <is>
          <t>4. Net assets, beginning of year</t>
        </is>
      </c>
      <c r="D67" s="8" t="inlineStr">
        <is>
          <t>Part XI line 4</t>
        </is>
      </c>
      <c r="E67" s="8" t="inlineStr">
        <is>
          <t>part_xi_reconciliation.net_assets_boy</t>
        </is>
      </c>
      <c r="F67" s="8" t="inlineStr">
        <is>
          <t>high</t>
        </is>
      </c>
      <c r="G67" s="9" t="n">
        <v>45755</v>
      </c>
    </row>
    <row r="68">
      <c r="A68" s="8" t="inlineStr">
        <is>
          <t>Net-assets reconciliation</t>
        </is>
      </c>
      <c r="B68" s="8" t="inlineStr">
        <is>
          <t>D7</t>
        </is>
      </c>
      <c r="C68" s="8" t="inlineStr">
        <is>
          <t>4. Net assets, beginning of year</t>
        </is>
      </c>
      <c r="D68" s="8" t="inlineStr">
        <is>
          <t>Part XI line 4</t>
        </is>
      </c>
      <c r="E68" s="8" t="inlineStr">
        <is>
          <t>part_xi_reconciliation.net_assets_boy</t>
        </is>
      </c>
      <c r="F68" s="8" t="inlineStr">
        <is>
          <t>high</t>
        </is>
      </c>
      <c r="G68" s="9" t="n">
        <v>51063</v>
      </c>
    </row>
    <row r="69">
      <c r="A69" s="8" t="inlineStr">
        <is>
          <t>Net-assets reconciliation</t>
        </is>
      </c>
      <c r="B69" s="8" t="inlineStr">
        <is>
          <t>E7</t>
        </is>
      </c>
      <c r="C69" s="8" t="inlineStr">
        <is>
          <t>4. Net assets, beginning of year</t>
        </is>
      </c>
      <c r="D69" s="8" t="inlineStr">
        <is>
          <t>Part XI line 4</t>
        </is>
      </c>
      <c r="E69" s="8" t="inlineStr">
        <is>
          <t>part_xi_reconciliation.net_assets_boy</t>
        </is>
      </c>
      <c r="F69" s="8" t="inlineStr">
        <is>
          <t>high</t>
        </is>
      </c>
      <c r="G69" s="9" t="n">
        <v>66087</v>
      </c>
    </row>
    <row r="70">
      <c r="A70" s="8" t="inlineStr">
        <is>
          <t>Net-assets reconciliation</t>
        </is>
      </c>
      <c r="B70" s="8" t="inlineStr">
        <is>
          <t>F7</t>
        </is>
      </c>
      <c r="C70" s="8" t="inlineStr">
        <is>
          <t>4. Net assets, beginning of year</t>
        </is>
      </c>
      <c r="D70" s="8" t="inlineStr">
        <is>
          <t>Part XI line 4</t>
        </is>
      </c>
      <c r="E70" s="8" t="inlineStr">
        <is>
          <t>part_xi_reconciliation.net_assets_boy</t>
        </is>
      </c>
      <c r="F70" s="8" t="inlineStr">
        <is>
          <t>high</t>
        </is>
      </c>
      <c r="G70" s="9" t="n">
        <v>33504</v>
      </c>
    </row>
    <row r="71">
      <c r="A71" s="8" t="inlineStr">
        <is>
          <t>Net-assets reconciliation</t>
        </is>
      </c>
      <c r="B71" s="8" t="inlineStr">
        <is>
          <t>B8</t>
        </is>
      </c>
      <c r="C71" s="8" t="inlineStr">
        <is>
          <t>3. Revenue less expenses</t>
        </is>
      </c>
      <c r="D71" s="8" t="inlineStr">
        <is>
          <t>Part XI line 3</t>
        </is>
      </c>
      <c r="E71" s="8" t="inlineStr">
        <is>
          <t>part_xi_reconciliation.reconciliation_revenue_expenses</t>
        </is>
      </c>
      <c r="F71" s="8" t="inlineStr">
        <is>
          <t>high</t>
        </is>
      </c>
      <c r="G71" s="9" t="n">
        <v>-2121</v>
      </c>
    </row>
    <row r="72">
      <c r="A72" s="8" t="inlineStr">
        <is>
          <t>Net-assets reconciliation</t>
        </is>
      </c>
      <c r="B72" s="8" t="inlineStr">
        <is>
          <t>C8</t>
        </is>
      </c>
      <c r="C72" s="8" t="inlineStr">
        <is>
          <t>3. Revenue less expenses</t>
        </is>
      </c>
      <c r="D72" s="8" t="inlineStr">
        <is>
          <t>Part XI line 3</t>
        </is>
      </c>
      <c r="E72" s="8" t="inlineStr">
        <is>
          <t>part_xi_reconciliation.reconciliation_revenue_expenses</t>
        </is>
      </c>
      <c r="F72" s="8" t="inlineStr">
        <is>
          <t>high</t>
        </is>
      </c>
      <c r="G72" s="9" t="n">
        <v>-16598</v>
      </c>
    </row>
    <row r="73">
      <c r="A73" s="8" t="inlineStr">
        <is>
          <t>Net-assets reconciliation</t>
        </is>
      </c>
      <c r="B73" s="8" t="inlineStr">
        <is>
          <t>D8</t>
        </is>
      </c>
      <c r="C73" s="8" t="inlineStr">
        <is>
          <t>3. Revenue less expenses</t>
        </is>
      </c>
      <c r="D73" s="8" t="inlineStr">
        <is>
          <t>Part XI line 3</t>
        </is>
      </c>
      <c r="E73" s="8" t="inlineStr">
        <is>
          <t>part_xi_reconciliation.reconciliation_revenue_expenses</t>
        </is>
      </c>
      <c r="F73" s="8" t="inlineStr">
        <is>
          <t>high</t>
        </is>
      </c>
      <c r="G73" s="9" t="n">
        <v>15024</v>
      </c>
    </row>
    <row r="74">
      <c r="A74" s="8" t="inlineStr">
        <is>
          <t>Net-assets reconciliation</t>
        </is>
      </c>
      <c r="B74" s="8" t="inlineStr">
        <is>
          <t>E8</t>
        </is>
      </c>
      <c r="C74" s="8" t="inlineStr">
        <is>
          <t>3. Revenue less expenses</t>
        </is>
      </c>
      <c r="D74" s="8" t="inlineStr">
        <is>
          <t>Part XI line 3</t>
        </is>
      </c>
      <c r="E74" s="8" t="inlineStr">
        <is>
          <t>part_xi_reconciliation.reconciliation_revenue_expenses</t>
        </is>
      </c>
      <c r="F74" s="8" t="inlineStr">
        <is>
          <t>high</t>
        </is>
      </c>
      <c r="G74" s="9" t="n">
        <v>809</v>
      </c>
    </row>
    <row r="75">
      <c r="A75" s="8" t="inlineStr">
        <is>
          <t>Net-assets reconciliation</t>
        </is>
      </c>
      <c r="B75" s="8" t="inlineStr">
        <is>
          <t>F8</t>
        </is>
      </c>
      <c r="C75" s="8" t="inlineStr">
        <is>
          <t>3. Revenue less expenses</t>
        </is>
      </c>
      <c r="D75" s="8" t="inlineStr">
        <is>
          <t>Part XI line 3</t>
        </is>
      </c>
      <c r="E75" s="8" t="inlineStr">
        <is>
          <t>part_xi_reconciliation.reconciliation_revenue_expenses</t>
        </is>
      </c>
      <c r="F75" s="8" t="inlineStr">
        <is>
          <t>high</t>
        </is>
      </c>
      <c r="G75" s="9" t="n">
        <v>16252</v>
      </c>
    </row>
    <row r="76">
      <c r="A76" s="8" t="inlineStr">
        <is>
          <t>Net-assets reconciliation</t>
        </is>
      </c>
      <c r="B76" s="8" t="inlineStr">
        <is>
          <t>C9</t>
        </is>
      </c>
      <c r="C76" s="8" t="inlineStr">
        <is>
          <t>8. Prior period adjustments</t>
        </is>
      </c>
      <c r="D76" s="8" t="inlineStr">
        <is>
          <t>Part XI line 8</t>
        </is>
      </c>
      <c r="E76" s="8" t="inlineStr">
        <is>
          <t>part_xi_reconciliation.prior_period_adjustments</t>
        </is>
      </c>
      <c r="F76" s="8" t="inlineStr">
        <is>
          <t>high</t>
        </is>
      </c>
      <c r="G76" s="9" t="n">
        <v>21906</v>
      </c>
    </row>
    <row r="77">
      <c r="A77" s="8" t="inlineStr">
        <is>
          <t>Net-assets reconciliation</t>
        </is>
      </c>
      <c r="B77" s="8" t="inlineStr">
        <is>
          <t>E9</t>
        </is>
      </c>
      <c r="C77" s="8" t="inlineStr">
        <is>
          <t>8. Prior period adjustments</t>
        </is>
      </c>
      <c r="D77" s="8" t="inlineStr">
        <is>
          <t>Part XI line 8</t>
        </is>
      </c>
      <c r="E77" s="8" t="inlineStr">
        <is>
          <t>part_xi_reconciliation.prior_period_adjustments</t>
        </is>
      </c>
      <c r="F77" s="8" t="inlineStr">
        <is>
          <t>high</t>
        </is>
      </c>
      <c r="G77" s="9" t="n">
        <v>-33392</v>
      </c>
    </row>
    <row r="78">
      <c r="A78" s="8" t="inlineStr">
        <is>
          <t>Net-assets reconciliation</t>
        </is>
      </c>
      <c r="B78" s="8" t="inlineStr">
        <is>
          <t>B10</t>
        </is>
      </c>
      <c r="C78" s="8" t="inlineStr">
        <is>
          <t>9. Other changes in net assets</t>
        </is>
      </c>
      <c r="D78" s="8" t="inlineStr">
        <is>
          <t>Part XI line 9</t>
        </is>
      </c>
      <c r="E78" s="8" t="inlineStr">
        <is>
          <t>part_xi_reconciliation.other_changes_net_assets</t>
        </is>
      </c>
      <c r="F78" s="8" t="inlineStr">
        <is>
          <t>high</t>
        </is>
      </c>
      <c r="G78" s="9" t="n">
        <v>504</v>
      </c>
    </row>
    <row r="80">
      <c r="A80" s="29" t="inlineStr">
        <is>
          <t>C. Tie-out checks (filed vs computed; any nonzero variance is flagged red)</t>
        </is>
      </c>
      <c r="B80" s="7" t="n"/>
      <c r="C80" s="7" t="n"/>
      <c r="D80" s="7" t="n"/>
      <c r="E80" s="7" t="n"/>
      <c r="F80" s="7" t="n"/>
      <c r="G80" s="7" t="n"/>
      <c r="H80" s="7" t="n"/>
      <c r="I80" s="7" t="n"/>
      <c r="J80" s="7" t="n"/>
      <c r="K80" s="7" t="n"/>
    </row>
    <row r="81">
      <c r="A81" s="5" t="inlineStr">
        <is>
          <t>Tab</t>
        </is>
      </c>
      <c r="B81" s="5" t="inlineStr">
        <is>
          <t>Check</t>
        </is>
      </c>
      <c r="C81" s="5" t="inlineStr">
        <is>
          <t>Fiscal year</t>
        </is>
      </c>
      <c r="D81" s="5" t="inlineStr">
        <is>
          <t>Filed</t>
        </is>
      </c>
      <c r="E81" s="5" t="inlineStr">
        <is>
          <t>Computed</t>
        </is>
      </c>
      <c r="F81" s="5" t="inlineStr">
        <is>
          <t>Variance (computed - filed)</t>
        </is>
      </c>
    </row>
    <row r="82">
      <c r="A82" s="18" t="inlineStr">
        <is>
          <t>Revenue (detail)</t>
        </is>
      </c>
      <c r="B82" s="18" t="inlineStr">
        <is>
          <t>12. Total revenue</t>
        </is>
      </c>
      <c r="C82" s="18" t="inlineStr">
        <is>
          <t>FY2020</t>
        </is>
      </c>
      <c r="D82" s="9" t="n">
        <v>255328</v>
      </c>
      <c r="E82" s="9">
        <f>'Revenue (detail)'!B13</f>
        <v/>
      </c>
      <c r="F82" s="9">
        <f>E82-D82</f>
        <v/>
      </c>
    </row>
    <row r="83">
      <c r="A83" s="18" t="inlineStr">
        <is>
          <t>Revenue (detail)</t>
        </is>
      </c>
      <c r="B83" s="18" t="inlineStr">
        <is>
          <t>12. Total revenue</t>
        </is>
      </c>
      <c r="C83" s="18" t="inlineStr">
        <is>
          <t>FY2021</t>
        </is>
      </c>
      <c r="D83" s="9" t="n">
        <v>252274</v>
      </c>
      <c r="E83" s="9">
        <f>'Revenue (detail)'!C13</f>
        <v/>
      </c>
      <c r="F83" s="9">
        <f>E83-D83</f>
        <v/>
      </c>
    </row>
    <row r="84">
      <c r="A84" s="18" t="inlineStr">
        <is>
          <t>Revenue (detail)</t>
        </is>
      </c>
      <c r="B84" s="18" t="inlineStr">
        <is>
          <t>12. Total revenue</t>
        </is>
      </c>
      <c r="C84" s="18" t="inlineStr">
        <is>
          <t>FY2022</t>
        </is>
      </c>
      <c r="D84" s="9" t="n">
        <v>267861</v>
      </c>
      <c r="E84" s="9">
        <f>'Revenue (detail)'!D13</f>
        <v/>
      </c>
      <c r="F84" s="9">
        <f>E84-D84</f>
        <v/>
      </c>
    </row>
    <row r="85">
      <c r="A85" s="18" t="inlineStr">
        <is>
          <t>Revenue (detail)</t>
        </is>
      </c>
      <c r="B85" s="18" t="inlineStr">
        <is>
          <t>12. Total revenue</t>
        </is>
      </c>
      <c r="C85" s="18" t="inlineStr">
        <is>
          <t>FY2023</t>
        </is>
      </c>
      <c r="D85" s="9" t="n">
        <v>258089</v>
      </c>
      <c r="E85" s="9">
        <f>'Revenue (detail)'!E13</f>
        <v/>
      </c>
      <c r="F85" s="9">
        <f>E85-D85</f>
        <v/>
      </c>
    </row>
    <row r="86">
      <c r="A86" s="18" t="inlineStr">
        <is>
          <t>Revenue (detail)</t>
        </is>
      </c>
      <c r="B86" s="18" t="inlineStr">
        <is>
          <t>12. Total revenue</t>
        </is>
      </c>
      <c r="C86" s="18" t="inlineStr">
        <is>
          <t>FY2024</t>
        </is>
      </c>
      <c r="D86" s="9" t="n">
        <v>305516</v>
      </c>
      <c r="E86" s="9">
        <f>'Revenue (detail)'!F13</f>
        <v/>
      </c>
      <c r="F86" s="9">
        <f>E86-D86</f>
        <v/>
      </c>
    </row>
    <row r="87">
      <c r="A87" s="18" t="inlineStr">
        <is>
          <t>Revenue (detail)</t>
        </is>
      </c>
      <c r="B87" s="18" t="inlineStr">
        <is>
          <t>2g program service revenue = sum of lines 2a-2f (FY2024)</t>
        </is>
      </c>
      <c r="C87" s="18" t="inlineStr">
        <is>
          <t>FY2024</t>
        </is>
      </c>
      <c r="D87" s="9" t="n">
        <v>305516</v>
      </c>
      <c r="E87" s="9">
        <f>SUM('Revenue (detail)'!C17:C17)</f>
        <v/>
      </c>
      <c r="F87" s="9">
        <f>E87-D87</f>
        <v/>
      </c>
    </row>
    <row r="88">
      <c r="A88" s="18" t="inlineStr">
        <is>
          <t>Operating expenses (detail)</t>
        </is>
      </c>
      <c r="B88" s="18" t="inlineStr">
        <is>
          <t>25. Total functional expenses</t>
        </is>
      </c>
      <c r="C88" s="18" t="inlineStr">
        <is>
          <t>FY2020</t>
        </is>
      </c>
      <c r="D88" s="9" t="n">
        <v>257449</v>
      </c>
      <c r="E88" s="9">
        <f>'Operating expenses (detail)'!B19</f>
        <v/>
      </c>
      <c r="F88" s="9">
        <f>E88-D88</f>
        <v/>
      </c>
    </row>
    <row r="89">
      <c r="A89" s="18" t="inlineStr">
        <is>
          <t>Operating expenses (detail)</t>
        </is>
      </c>
      <c r="B89" s="18" t="inlineStr">
        <is>
          <t>25. Total functional expenses</t>
        </is>
      </c>
      <c r="C89" s="18" t="inlineStr">
        <is>
          <t>FY2021</t>
        </is>
      </c>
      <c r="D89" s="9" t="n">
        <v>268872</v>
      </c>
      <c r="E89" s="9">
        <f>'Operating expenses (detail)'!C19</f>
        <v/>
      </c>
      <c r="F89" s="9">
        <f>E89-D89</f>
        <v/>
      </c>
    </row>
    <row r="90">
      <c r="A90" s="18" t="inlineStr">
        <is>
          <t>Operating expenses (detail)</t>
        </is>
      </c>
      <c r="B90" s="18" t="inlineStr">
        <is>
          <t>25. Total functional expenses</t>
        </is>
      </c>
      <c r="C90" s="18" t="inlineStr">
        <is>
          <t>FY2022</t>
        </is>
      </c>
      <c r="D90" s="9" t="n">
        <v>252837</v>
      </c>
      <c r="E90" s="9">
        <f>'Operating expenses (detail)'!D19</f>
        <v/>
      </c>
      <c r="F90" s="9">
        <f>E90-D90</f>
        <v/>
      </c>
    </row>
    <row r="91">
      <c r="A91" s="18" t="inlineStr">
        <is>
          <t>Operating expenses (detail)</t>
        </is>
      </c>
      <c r="B91" s="18" t="inlineStr">
        <is>
          <t>25. Total functional expenses</t>
        </is>
      </c>
      <c r="C91" s="18" t="inlineStr">
        <is>
          <t>FY2023</t>
        </is>
      </c>
      <c r="D91" s="9" t="n">
        <v>257280</v>
      </c>
      <c r="E91" s="9">
        <f>'Operating expenses (detail)'!E19</f>
        <v/>
      </c>
      <c r="F91" s="9">
        <f>E91-D91</f>
        <v/>
      </c>
    </row>
    <row r="92">
      <c r="A92" s="18" t="inlineStr">
        <is>
          <t>Operating expenses (detail)</t>
        </is>
      </c>
      <c r="B92" s="18" t="inlineStr">
        <is>
          <t>25. Total functional expenses</t>
        </is>
      </c>
      <c r="C92" s="18" t="inlineStr">
        <is>
          <t>FY2024</t>
        </is>
      </c>
      <c r="D92" s="9" t="n">
        <v>289264</v>
      </c>
      <c r="E92" s="9">
        <f>'Operating expenses (detail)'!F19</f>
        <v/>
      </c>
      <c r="F92" s="9">
        <f>E92-D92</f>
        <v/>
      </c>
    </row>
    <row r="93">
      <c r="A93" s="18" t="inlineStr">
        <is>
          <t>Operating expenses (detail)</t>
        </is>
      </c>
      <c r="B93" s="18" t="inlineStr">
        <is>
          <t>Part IX column split: col A = B + C + D (FY2024)</t>
        </is>
      </c>
      <c r="C93" s="18" t="inlineStr">
        <is>
          <t>FY2024</t>
        </is>
      </c>
      <c r="D93" s="9">
        <f>'Operating expenses (detail)'!B27</f>
        <v/>
      </c>
      <c r="E93" s="9">
        <f>'Operating expenses (detail)'!C27+'Operating expenses (detail)'!D27+'Operating expenses (detail)'!E27</f>
        <v/>
      </c>
      <c r="F93" s="9">
        <f>E93-D93</f>
        <v/>
      </c>
    </row>
    <row r="94">
      <c r="A94" s="18" t="inlineStr">
        <is>
          <t>Balance sheet (detail)</t>
        </is>
      </c>
      <c r="B94" s="18" t="inlineStr">
        <is>
          <t>16. Total assets</t>
        </is>
      </c>
      <c r="C94" s="18" t="inlineStr">
        <is>
          <t>FY2020</t>
        </is>
      </c>
      <c r="D94" s="9" t="n">
        <v>45755</v>
      </c>
      <c r="E94" s="9">
        <f>'Balance sheet (detail)'!B9</f>
        <v/>
      </c>
      <c r="F94" s="9">
        <f>E94-D94</f>
        <v/>
      </c>
    </row>
    <row r="95">
      <c r="A95" s="18" t="inlineStr">
        <is>
          <t>Balance sheet (detail)</t>
        </is>
      </c>
      <c r="B95" s="18" t="inlineStr">
        <is>
          <t>16. Total assets</t>
        </is>
      </c>
      <c r="C95" s="18" t="inlineStr">
        <is>
          <t>FY2021</t>
        </is>
      </c>
      <c r="D95" s="9" t="n">
        <v>51063</v>
      </c>
      <c r="E95" s="9">
        <f>'Balance sheet (detail)'!C9</f>
        <v/>
      </c>
      <c r="F95" s="9">
        <f>E95-D95</f>
        <v/>
      </c>
    </row>
    <row r="96">
      <c r="A96" s="18" t="inlineStr">
        <is>
          <t>Balance sheet (detail)</t>
        </is>
      </c>
      <c r="B96" s="18" t="inlineStr">
        <is>
          <t>16. Total assets</t>
        </is>
      </c>
      <c r="C96" s="18" t="inlineStr">
        <is>
          <t>FY2022</t>
        </is>
      </c>
      <c r="D96" s="9" t="n">
        <v>66087</v>
      </c>
      <c r="E96" s="9">
        <f>'Balance sheet (detail)'!D9</f>
        <v/>
      </c>
      <c r="F96" s="9">
        <f>E96-D96</f>
        <v/>
      </c>
    </row>
    <row r="97">
      <c r="A97" s="18" t="inlineStr">
        <is>
          <t>Balance sheet (detail)</t>
        </is>
      </c>
      <c r="B97" s="18" t="inlineStr">
        <is>
          <t>16. Total assets</t>
        </is>
      </c>
      <c r="C97" s="18" t="inlineStr">
        <is>
          <t>FY2023</t>
        </is>
      </c>
      <c r="D97" s="9" t="n">
        <v>33504</v>
      </c>
      <c r="E97" s="9">
        <f>'Balance sheet (detail)'!E9</f>
        <v/>
      </c>
      <c r="F97" s="9">
        <f>E97-D97</f>
        <v/>
      </c>
    </row>
    <row r="98">
      <c r="A98" s="18" t="inlineStr">
        <is>
          <t>Balance sheet (detail)</t>
        </is>
      </c>
      <c r="B98" s="18" t="inlineStr">
        <is>
          <t>16. Total assets</t>
        </is>
      </c>
      <c r="C98" s="18" t="inlineStr">
        <is>
          <t>FY2024</t>
        </is>
      </c>
      <c r="D98" s="9" t="n">
        <v>49756</v>
      </c>
      <c r="E98" s="9">
        <f>'Balance sheet (detail)'!F9</f>
        <v/>
      </c>
      <c r="F98" s="9">
        <f>E98-D98</f>
        <v/>
      </c>
    </row>
    <row r="99">
      <c r="A99" s="18" t="inlineStr">
        <is>
          <t>Balance sheet (detail)</t>
        </is>
      </c>
      <c r="B99" s="18" t="inlineStr">
        <is>
          <t>26. Total liabilities</t>
        </is>
      </c>
      <c r="C99" s="18" t="inlineStr">
        <is>
          <t>FY2020</t>
        </is>
      </c>
      <c r="D99" s="9" t="n">
        <v>0</v>
      </c>
      <c r="E99" s="9">
        <f>'Balance sheet (detail)'!B12</f>
        <v/>
      </c>
      <c r="F99" s="9">
        <f>E99-D99</f>
        <v/>
      </c>
    </row>
    <row r="100">
      <c r="A100" s="18" t="inlineStr">
        <is>
          <t>Balance sheet (detail)</t>
        </is>
      </c>
      <c r="B100" s="18" t="inlineStr">
        <is>
          <t>26. Total liabilities</t>
        </is>
      </c>
      <c r="C100" s="18" t="inlineStr">
        <is>
          <t>FY2021</t>
        </is>
      </c>
      <c r="D100" s="9" t="n">
        <v>0</v>
      </c>
      <c r="E100" s="9">
        <f>'Balance sheet (detail)'!C12</f>
        <v/>
      </c>
      <c r="F100" s="9">
        <f>E100-D100</f>
        <v/>
      </c>
    </row>
    <row r="101">
      <c r="A101" s="18" t="inlineStr">
        <is>
          <t>Balance sheet (detail)</t>
        </is>
      </c>
      <c r="B101" s="18" t="inlineStr">
        <is>
          <t>26. Total liabilities</t>
        </is>
      </c>
      <c r="C101" s="18" t="inlineStr">
        <is>
          <t>FY2022</t>
        </is>
      </c>
      <c r="D101" s="9" t="n">
        <v>0</v>
      </c>
      <c r="E101" s="9">
        <f>'Balance sheet (detail)'!D12</f>
        <v/>
      </c>
      <c r="F101" s="9">
        <f>E101-D101</f>
        <v/>
      </c>
    </row>
    <row r="102">
      <c r="A102" s="18" t="inlineStr">
        <is>
          <t>Balance sheet (detail)</t>
        </is>
      </c>
      <c r="B102" s="18" t="inlineStr">
        <is>
          <t>26. Total liabilities</t>
        </is>
      </c>
      <c r="C102" s="18" t="inlineStr">
        <is>
          <t>FY2023</t>
        </is>
      </c>
      <c r="D102" s="9" t="n">
        <v>0</v>
      </c>
      <c r="E102" s="9">
        <f>'Balance sheet (detail)'!E12</f>
        <v/>
      </c>
      <c r="F102" s="9">
        <f>E102-D102</f>
        <v/>
      </c>
    </row>
    <row r="103">
      <c r="A103" s="18" t="inlineStr">
        <is>
          <t>Balance sheet (detail)</t>
        </is>
      </c>
      <c r="B103" s="18" t="inlineStr">
        <is>
          <t>26. Total liabilities</t>
        </is>
      </c>
      <c r="C103" s="18" t="inlineStr">
        <is>
          <t>FY2024</t>
        </is>
      </c>
      <c r="D103" s="9" t="n">
        <v>0</v>
      </c>
      <c r="E103" s="9">
        <f>'Balance sheet (detail)'!F12</f>
        <v/>
      </c>
      <c r="F103" s="9">
        <f>E103-D103</f>
        <v/>
      </c>
    </row>
    <row r="104">
      <c r="A104" s="18" t="inlineStr">
        <is>
          <t>Balance sheet (detail)</t>
        </is>
      </c>
      <c r="B104" s="18" t="inlineStr">
        <is>
          <t>32. Total net assets / fund balances</t>
        </is>
      </c>
      <c r="C104" s="18" t="inlineStr">
        <is>
          <t>FY2020</t>
        </is>
      </c>
      <c r="D104" s="9" t="n">
        <v>45755</v>
      </c>
      <c r="E104" s="9">
        <f>'Balance sheet (detail)'!B18</f>
        <v/>
      </c>
      <c r="F104" s="9">
        <f>E104-D104</f>
        <v/>
      </c>
    </row>
    <row r="105">
      <c r="A105" s="18" t="inlineStr">
        <is>
          <t>Balance sheet (detail)</t>
        </is>
      </c>
      <c r="B105" s="18" t="inlineStr">
        <is>
          <t>32. Total net assets / fund balances</t>
        </is>
      </c>
      <c r="C105" s="18" t="inlineStr">
        <is>
          <t>FY2021</t>
        </is>
      </c>
      <c r="D105" s="9" t="n">
        <v>51063</v>
      </c>
      <c r="E105" s="9">
        <f>'Balance sheet (detail)'!C18</f>
        <v/>
      </c>
      <c r="F105" s="9">
        <f>E105-D105</f>
        <v/>
      </c>
    </row>
    <row r="106">
      <c r="A106" s="18" t="inlineStr">
        <is>
          <t>Balance sheet (detail)</t>
        </is>
      </c>
      <c r="B106" s="18" t="inlineStr">
        <is>
          <t>32. Total net assets / fund balances</t>
        </is>
      </c>
      <c r="C106" s="18" t="inlineStr">
        <is>
          <t>FY2022</t>
        </is>
      </c>
      <c r="D106" s="9" t="n">
        <v>66087</v>
      </c>
      <c r="E106" s="9">
        <f>'Balance sheet (detail)'!D18</f>
        <v/>
      </c>
      <c r="F106" s="9">
        <f>E106-D106</f>
        <v/>
      </c>
    </row>
    <row r="107">
      <c r="A107" s="18" t="inlineStr">
        <is>
          <t>Balance sheet (detail)</t>
        </is>
      </c>
      <c r="B107" s="18" t="inlineStr">
        <is>
          <t>32. Total net assets / fund balances</t>
        </is>
      </c>
      <c r="C107" s="18" t="inlineStr">
        <is>
          <t>FY2023</t>
        </is>
      </c>
      <c r="D107" s="9" t="n">
        <v>33504</v>
      </c>
      <c r="E107" s="9">
        <f>'Balance sheet (detail)'!E18</f>
        <v/>
      </c>
      <c r="F107" s="9">
        <f>E107-D107</f>
        <v/>
      </c>
    </row>
    <row r="108">
      <c r="A108" s="18" t="inlineStr">
        <is>
          <t>Balance sheet (detail)</t>
        </is>
      </c>
      <c r="B108" s="18" t="inlineStr">
        <is>
          <t>32. Total net assets / fund balances</t>
        </is>
      </c>
      <c r="C108" s="18" t="inlineStr">
        <is>
          <t>FY2024</t>
        </is>
      </c>
      <c r="D108" s="9" t="n">
        <v>49756</v>
      </c>
      <c r="E108" s="9">
        <f>'Balance sheet (detail)'!F18</f>
        <v/>
      </c>
      <c r="F108" s="9">
        <f>E108-D108</f>
        <v/>
      </c>
    </row>
    <row r="109">
      <c r="A109" s="18" t="inlineStr">
        <is>
          <t>Balance sheet (detail)</t>
        </is>
      </c>
      <c r="B109" s="18" t="inlineStr">
        <is>
          <t>Balance sheet identity: line 16 = line 26 + line 32 (EOY)</t>
        </is>
      </c>
      <c r="C109" s="18" t="inlineStr">
        <is>
          <t>FY2020</t>
        </is>
      </c>
      <c r="D109" s="9">
        <f>'Balance sheet (detail)'!B9</f>
        <v/>
      </c>
      <c r="E109" s="9">
        <f>SUM('Balance sheet (detail)'!B12,'Balance sheet (detail)'!B18)</f>
        <v/>
      </c>
      <c r="F109" s="9">
        <f>E109-D109</f>
        <v/>
      </c>
    </row>
    <row r="110">
      <c r="A110" s="18" t="inlineStr">
        <is>
          <t>Balance sheet (detail)</t>
        </is>
      </c>
      <c r="B110" s="18" t="inlineStr">
        <is>
          <t>Balance sheet identity: line 16 = line 26 + line 32 (EOY)</t>
        </is>
      </c>
      <c r="C110" s="18" t="inlineStr">
        <is>
          <t>FY2021</t>
        </is>
      </c>
      <c r="D110" s="9">
        <f>'Balance sheet (detail)'!C9</f>
        <v/>
      </c>
      <c r="E110" s="9">
        <f>SUM('Balance sheet (detail)'!C12,'Balance sheet (detail)'!C18)</f>
        <v/>
      </c>
      <c r="F110" s="9">
        <f>E110-D110</f>
        <v/>
      </c>
    </row>
    <row r="111">
      <c r="A111" s="18" t="inlineStr">
        <is>
          <t>Balance sheet (detail)</t>
        </is>
      </c>
      <c r="B111" s="18" t="inlineStr">
        <is>
          <t>Balance sheet identity: line 16 = line 26 + line 32 (EOY)</t>
        </is>
      </c>
      <c r="C111" s="18" t="inlineStr">
        <is>
          <t>FY2022</t>
        </is>
      </c>
      <c r="D111" s="9">
        <f>'Balance sheet (detail)'!D9</f>
        <v/>
      </c>
      <c r="E111" s="9">
        <f>SUM('Balance sheet (detail)'!D12,'Balance sheet (detail)'!D18)</f>
        <v/>
      </c>
      <c r="F111" s="9">
        <f>E111-D111</f>
        <v/>
      </c>
    </row>
    <row r="112">
      <c r="A112" s="18" t="inlineStr">
        <is>
          <t>Balance sheet (detail)</t>
        </is>
      </c>
      <c r="B112" s="18" t="inlineStr">
        <is>
          <t>Balance sheet identity: line 16 = line 26 + line 32 (EOY)</t>
        </is>
      </c>
      <c r="C112" s="18" t="inlineStr">
        <is>
          <t>FY2023</t>
        </is>
      </c>
      <c r="D112" s="9">
        <f>'Balance sheet (detail)'!E9</f>
        <v/>
      </c>
      <c r="E112" s="9">
        <f>SUM('Balance sheet (detail)'!E12,'Balance sheet (detail)'!E18)</f>
        <v/>
      </c>
      <c r="F112" s="9">
        <f>E112-D112</f>
        <v/>
      </c>
    </row>
    <row r="113">
      <c r="A113" s="18" t="inlineStr">
        <is>
          <t>Balance sheet (detail)</t>
        </is>
      </c>
      <c r="B113" s="18" t="inlineStr">
        <is>
          <t>Balance sheet identity: line 16 = line 26 + line 32 (EOY)</t>
        </is>
      </c>
      <c r="C113" s="18" t="inlineStr">
        <is>
          <t>FY2024</t>
        </is>
      </c>
      <c r="D113" s="9">
        <f>'Balance sheet (detail)'!F9</f>
        <v/>
      </c>
      <c r="E113" s="9">
        <f>SUM('Balance sheet (detail)'!F12,'Balance sheet (detail)'!F18)</f>
        <v/>
      </c>
      <c r="F113" s="9">
        <f>E113-D113</f>
        <v/>
      </c>
    </row>
    <row r="114">
      <c r="A114" s="18" t="inlineStr">
        <is>
          <t>Net-assets reconciliation</t>
        </is>
      </c>
      <c r="B114" s="18" t="inlineStr">
        <is>
          <t>10. Net assets, end of year</t>
        </is>
      </c>
      <c r="C114" s="18" t="inlineStr">
        <is>
          <t>FY2020</t>
        </is>
      </c>
      <c r="D114" s="9" t="n">
        <v>45755</v>
      </c>
      <c r="E114" s="9">
        <f>'Net-assets reconciliation'!B11</f>
        <v/>
      </c>
      <c r="F114" s="9">
        <f>E114-D114</f>
        <v/>
      </c>
    </row>
    <row r="115">
      <c r="A115" s="18" t="inlineStr">
        <is>
          <t>Net-assets reconciliation</t>
        </is>
      </c>
      <c r="B115" s="18" t="inlineStr">
        <is>
          <t>10. Net assets, end of year</t>
        </is>
      </c>
      <c r="C115" s="18" t="inlineStr">
        <is>
          <t>FY2021</t>
        </is>
      </c>
      <c r="D115" s="9" t="n">
        <v>51063</v>
      </c>
      <c r="E115" s="9">
        <f>'Net-assets reconciliation'!C11</f>
        <v/>
      </c>
      <c r="F115" s="9">
        <f>E115-D115</f>
        <v/>
      </c>
    </row>
    <row r="116">
      <c r="A116" s="18" t="inlineStr">
        <is>
          <t>Net-assets reconciliation</t>
        </is>
      </c>
      <c r="B116" s="18" t="inlineStr">
        <is>
          <t>10. Net assets, end of year</t>
        </is>
      </c>
      <c r="C116" s="18" t="inlineStr">
        <is>
          <t>FY2022</t>
        </is>
      </c>
      <c r="D116" s="9" t="n">
        <v>66087</v>
      </c>
      <c r="E116" s="9">
        <f>'Net-assets reconciliation'!D11</f>
        <v/>
      </c>
      <c r="F116" s="9">
        <f>E116-D116</f>
        <v/>
      </c>
    </row>
    <row r="117">
      <c r="A117" s="18" t="inlineStr">
        <is>
          <t>Net-assets reconciliation</t>
        </is>
      </c>
      <c r="B117" s="18" t="inlineStr">
        <is>
          <t>10. Net assets, end of year</t>
        </is>
      </c>
      <c r="C117" s="18" t="inlineStr">
        <is>
          <t>FY2023</t>
        </is>
      </c>
      <c r="D117" s="9" t="n">
        <v>33504</v>
      </c>
      <c r="E117" s="9">
        <f>'Net-assets reconciliation'!E11</f>
        <v/>
      </c>
      <c r="F117" s="9">
        <f>E117-D117</f>
        <v/>
      </c>
    </row>
    <row r="118">
      <c r="A118" s="18" t="inlineStr">
        <is>
          <t>Net-assets reconciliation</t>
        </is>
      </c>
      <c r="B118" s="18" t="inlineStr">
        <is>
          <t>10. Net assets, end of year</t>
        </is>
      </c>
      <c r="C118" s="18" t="inlineStr">
        <is>
          <t>FY2024</t>
        </is>
      </c>
      <c r="D118" s="9" t="n">
        <v>49756</v>
      </c>
      <c r="E118" s="9">
        <f>'Net-assets reconciliation'!F11</f>
        <v/>
      </c>
      <c r="F118" s="9">
        <f>E118-D118</f>
        <v/>
      </c>
    </row>
    <row r="120">
      <c r="A120" s="29" t="inlineStr">
        <is>
          <t>D. Preparer / auditor trail (one row per fiscal year, as filed)</t>
        </is>
      </c>
      <c r="B120" s="7" t="n"/>
      <c r="C120" s="7" t="n"/>
      <c r="D120" s="7" t="n"/>
      <c r="E120" s="7" t="n"/>
      <c r="F120" s="7" t="n"/>
      <c r="G120" s="7" t="n"/>
      <c r="H120" s="7" t="n"/>
      <c r="I120" s="7" t="n"/>
      <c r="J120" s="7" t="n"/>
      <c r="K120" s="7" t="n"/>
    </row>
    <row r="121">
      <c r="A121" s="5" t="inlineStr">
        <is>
          <t>Fiscal year</t>
        </is>
      </c>
      <c r="B121" s="5" t="inlineStr">
        <is>
          <t>Paid preparer</t>
        </is>
      </c>
      <c r="C121" s="5" t="inlineStr">
        <is>
          <t>Preparer firm</t>
        </is>
      </c>
      <c r="D121" s="5" t="inlineStr">
        <is>
          <t>Independent auditor</t>
        </is>
      </c>
      <c r="E121" s="5" t="inlineStr">
        <is>
          <t>Citation</t>
        </is>
      </c>
    </row>
    <row r="122" ht="42" customHeight="1">
      <c r="A122" s="27" t="inlineStr">
        <is>
          <t>FY2020</t>
        </is>
      </c>
      <c r="B122" s="8" t="inlineStr">
        <is>
          <t>MARY KLEMETSON</t>
        </is>
      </c>
      <c r="C122" s="8" t="inlineStr">
        <is>
          <t>MARY KLEMETSON</t>
        </is>
      </c>
      <c r="D122" s="30" t="inlineStr">
        <is>
          <t>not reported</t>
        </is>
      </c>
      <c r="E122" s="21" t="inlineStr">
        <is>
          <t>Form 990 Return Header, Paid Preparer block (return_header.preparer_person_name / preparer_firm_name); auditor: Part XII line 2 reports audited financial statements but does not name the firm.</t>
        </is>
      </c>
    </row>
    <row r="123" ht="42" customHeight="1">
      <c r="A123" s="27" t="inlineStr">
        <is>
          <t>FY2021</t>
        </is>
      </c>
      <c r="B123" s="8" t="inlineStr">
        <is>
          <t>RODNEY D ROSS</t>
        </is>
      </c>
      <c r="C123" s="8" t="inlineStr">
        <is>
          <t>ROSS AND ASSOCIATES ACCOUNTANCY</t>
        </is>
      </c>
      <c r="D123" s="30" t="inlineStr">
        <is>
          <t>not reported</t>
        </is>
      </c>
      <c r="E123" s="21" t="inlineStr">
        <is>
          <t>Form 990 Return Header, Paid Preparer block (return_header.preparer_person_name / preparer_firm_name); auditor: Part XII line 2 reports audited financial statements but does not name the firm.</t>
        </is>
      </c>
    </row>
    <row r="124" ht="42" customHeight="1">
      <c r="A124" s="27" t="inlineStr">
        <is>
          <t>FY2022</t>
        </is>
      </c>
      <c r="B124" s="8" t="inlineStr">
        <is>
          <t>RODNEY D ROSS</t>
        </is>
      </c>
      <c r="C124" s="8" t="inlineStr">
        <is>
          <t>ROSS AND ASSOCIATES ACCOUNTANCY</t>
        </is>
      </c>
      <c r="D124" s="30" t="inlineStr">
        <is>
          <t>not reported</t>
        </is>
      </c>
      <c r="E124" s="21" t="inlineStr">
        <is>
          <t>Form 990 Return Header, Paid Preparer block (return_header.preparer_person_name / preparer_firm_name); auditor: Part XII line 2 reports audited financial statements but does not name the firm.</t>
        </is>
      </c>
    </row>
    <row r="125" ht="42" customHeight="1">
      <c r="A125" s="27" t="inlineStr">
        <is>
          <t>FY2023</t>
        </is>
      </c>
      <c r="B125" s="8" t="inlineStr">
        <is>
          <t>RODNEY D ROSS</t>
        </is>
      </c>
      <c r="C125" s="8" t="inlineStr">
        <is>
          <t>ROSS AND ASSOCIATES ACCOUNTANCY</t>
        </is>
      </c>
      <c r="D125" s="30" t="inlineStr">
        <is>
          <t>not reported</t>
        </is>
      </c>
      <c r="E125" s="21" t="inlineStr">
        <is>
          <t>Form 990 Return Header, Paid Preparer block (return_header.preparer_person_name / preparer_firm_name); auditor: Part XII line 2 reports audited financial statements but does not name the firm.</t>
        </is>
      </c>
    </row>
    <row r="126" ht="42" customHeight="1">
      <c r="A126" s="27" t="inlineStr">
        <is>
          <t>FY2024</t>
        </is>
      </c>
      <c r="B126" s="8" t="inlineStr">
        <is>
          <t>RODNEY D ROSS</t>
        </is>
      </c>
      <c r="C126" s="8" t="inlineStr">
        <is>
          <t>ROSS AND ASSOCIATES ACCOUNTANCY</t>
        </is>
      </c>
      <c r="D126" s="30" t="inlineStr">
        <is>
          <t>not reported</t>
        </is>
      </c>
      <c r="E126" s="21" t="inlineStr">
        <is>
          <t>Form 990 Return Header, Paid Preparer block (return_header.preparer_person_name / preparer_firm_name); auditor: Part XII line 2 reports audited financial statements but does not name the firm.</t>
        </is>
      </c>
    </row>
    <row r="128" ht="42" customHeight="1">
      <c r="A12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28:K128"/>
    <mergeCell ref="A2:K2"/>
    <mergeCell ref="A5:K5"/>
    <mergeCell ref="A1:K1"/>
  </mergeCells>
  <conditionalFormatting sqref="F82:F118">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