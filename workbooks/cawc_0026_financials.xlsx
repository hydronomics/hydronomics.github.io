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2.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eAR revenue &amp; expenses" sheetId="14" state="visible" r:id="rId14"/>
    <sheet name="Denominators &amp; alignment" sheetId="15" state="visible" r:id="rId15"/>
    <sheet name="Governance evidence" sheetId="16" state="visible" r:id="rId16"/>
    <sheet name="Operational metrics" sheetId="17" state="visible" r:id="rId17"/>
    <sheet name="Supply &amp; weather" sheetId="18" state="visible" r:id="rId18"/>
    <sheet name="How this was built" sheetId="19" state="visible" r:id="rId19"/>
    <sheet name="Water Operations" sheetId="20" state="visible" r:id="rId20"/>
    <sheet name="Anomaly Flags" sheetId="21" state="visible" r:id="rId21"/>
    <sheet name="Sources &amp; audit" sheetId="22" state="visible" r:id="rId22"/>
    <sheet name="Provenance" sheetId="23" state="visible" r:id="rId23"/>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
    <numFmt numFmtId="167" formatCode="$#,##0.00###"/>
    <numFmt numFmtId="168" formatCode="#,##0.####"/>
    <numFmt numFmtId="169" formatCode="#,##0.0"/>
  </numFmts>
  <fonts count="13">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
      <name val="Calibri"/>
      <b val="1"/>
      <color rgb="007F6000"/>
      <sz val="10"/>
    </font>
    <font>
      <name val="Calibri"/>
      <i val="1"/>
      <color rgb="007F4F00"/>
      <sz val="10"/>
    </font>
  </fonts>
  <fills count="9">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
      <patternFill patternType="solid">
        <fgColor rgb="00FFF2CC"/>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2" borderId="1" pivotButton="0" quotePrefix="0" xfId="0"/>
    <xf numFmtId="4" fontId="11" fillId="7" borderId="1" applyAlignment="1" pivotButton="0" quotePrefix="0" xfId="0">
      <alignment horizontal="right"/>
    </xf>
    <xf numFmtId="1" fontId="11" fillId="7" borderId="1" applyAlignment="1" pivotButton="0" quotePrefix="0" xfId="0">
      <alignment horizontal="right"/>
    </xf>
    <xf numFmtId="0" fontId="4" fillId="2" borderId="1" applyAlignment="1" pivotButton="0" quotePrefix="0" xfId="0">
      <alignment horizontal="right"/>
    </xf>
    <xf numFmtId="167" fontId="6" fillId="0" borderId="1" applyAlignment="1" pivotButton="0" quotePrefix="0" xfId="0">
      <alignment horizontal="right"/>
    </xf>
    <xf numFmtId="168" fontId="6" fillId="0" borderId="1" applyAlignment="1" pivotButton="0" quotePrefix="0" xfId="0">
      <alignment horizontal="right"/>
    </xf>
    <xf numFmtId="4" fontId="8" fillId="5" borderId="1" applyAlignment="1" pivotButton="0" quotePrefix="0" xfId="0">
      <alignment horizontal="right"/>
    </xf>
    <xf numFmtId="166" fontId="8" fillId="5" borderId="1" applyAlignment="1" pivotButton="0" quotePrefix="0" xfId="0">
      <alignment horizontal="right"/>
    </xf>
    <xf numFmtId="166" fontId="8" fillId="4" borderId="1" applyAlignment="1" pivotButton="0" quotePrefix="0" xfId="0">
      <alignment horizontal="right"/>
    </xf>
    <xf numFmtId="10" fontId="8" fillId="5" borderId="1" applyAlignment="1" pivotButton="0" quotePrefix="0" xfId="0">
      <alignment horizontal="right"/>
    </xf>
    <xf numFmtId="2" fontId="8" fillId="5" borderId="1" applyAlignment="1" pivotButton="0" quotePrefix="0" xfId="0">
      <alignment horizontal="right"/>
    </xf>
    <xf numFmtId="0" fontId="8" fillId="0" borderId="1" applyAlignment="1" pivotButton="0" quotePrefix="0" xfId="0">
      <alignment horizontal="left" vertical="center"/>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169" fontId="6" fillId="0" borderId="1" applyAlignment="1" pivotButton="0" quotePrefix="0" xfId="0">
      <alignment horizontal="right"/>
    </xf>
    <xf numFmtId="0" fontId="6" fillId="0" borderId="1" pivotButton="0" quotePrefix="0" xfId="0"/>
    <xf numFmtId="0" fontId="12" fillId="8" borderId="1" applyAlignment="1" pivotButton="0" quotePrefix="0" xfId="0">
      <alignment horizontal="left" vertical="top" wrapText="1"/>
    </xf>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Hydronomics anomaly flagger</author>
  </authors>
  <commentList>
    <comment ref="F19" authorId="0" shapeId="0">
      <text>
        <t>Documented anomaly (auto-flagged): FY2024 total expenses swing. See the Anomaly Flags tab for the what, why, and source.</t>
      </text>
    </comment>
  </commentList>
</comments>
</file>

<file path=xl/comments/comment2.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peak weekly category over Jul 2019-Jun 2020 (moderate)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2022-Jun 2023 (exceptional)</t>
      </text>
    </comment>
    <comment ref="F9" authorId="0" shapeId="0">
      <text>
        <t>peak weekly category over Jul 2023-Jun 2024 (none)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Lincoln Avenue Water Company</t>
        </is>
      </c>
    </row>
    <row r="2">
      <c r="A2" s="2" t="inlineStr">
        <is>
          <t>Financial Summary - multi-year overview (USD)</t>
        </is>
      </c>
    </row>
    <row r="3">
      <c r="A3" s="2" t="inlineStr">
        <is>
          <t>Entity ID: cawc_0026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2769445</v>
      </c>
      <c r="C10" s="9" t="n">
        <v>2974975</v>
      </c>
      <c r="D10" s="9" t="n">
        <v>3134087</v>
      </c>
      <c r="E10" s="9" t="n">
        <v>3533209</v>
      </c>
      <c r="F10" s="9" t="n">
        <v>6225040</v>
      </c>
    </row>
    <row r="11">
      <c r="A11" s="8" t="inlineStr">
        <is>
          <t xml:space="preserve">    Total expenses</t>
        </is>
      </c>
      <c r="B11" s="9" t="n">
        <v>1852566</v>
      </c>
      <c r="C11" s="9" t="n">
        <v>1955097</v>
      </c>
      <c r="D11" s="9" t="n">
        <v>1981011</v>
      </c>
      <c r="E11" s="9" t="n">
        <v>2103504</v>
      </c>
      <c r="F11" s="9" t="n">
        <v>5675518</v>
      </c>
    </row>
    <row r="12">
      <c r="A12" s="10" t="inlineStr">
        <is>
          <t xml:space="preserve">    Net income</t>
        </is>
      </c>
      <c r="B12" s="11" t="n">
        <v>916879</v>
      </c>
      <c r="C12" s="11" t="n">
        <v>1019878</v>
      </c>
      <c r="D12" s="11" t="n">
        <v>1153076</v>
      </c>
      <c r="E12" s="11" t="n">
        <v>1429705</v>
      </c>
      <c r="F12" s="11" t="n">
        <v>549522</v>
      </c>
    </row>
    <row r="14">
      <c r="A14" s="6" t="inlineStr">
        <is>
          <t>Financial position (USD, end of year)</t>
        </is>
      </c>
      <c r="B14" s="7" t="n"/>
      <c r="C14" s="7" t="n"/>
      <c r="D14" s="7" t="n"/>
      <c r="E14" s="7" t="n"/>
      <c r="F14" s="7" t="n"/>
    </row>
    <row r="15">
      <c r="A15" s="8" t="inlineStr">
        <is>
          <t xml:space="preserve">    Total assets</t>
        </is>
      </c>
      <c r="B15" s="9" t="n">
        <v>21689529</v>
      </c>
      <c r="C15" s="9" t="n">
        <v>22298610</v>
      </c>
      <c r="D15" s="9" t="n">
        <v>23088687</v>
      </c>
      <c r="E15" s="9" t="n">
        <v>24418088</v>
      </c>
      <c r="F15" s="9" t="n">
        <v>24559739</v>
      </c>
    </row>
    <row r="16">
      <c r="A16" s="8" t="inlineStr">
        <is>
          <t xml:space="preserve">    Total liabilities</t>
        </is>
      </c>
      <c r="B16" s="9" t="n">
        <v>2261448</v>
      </c>
      <c r="C16" s="9" t="n">
        <v>1843451</v>
      </c>
      <c r="D16" s="9" t="n">
        <v>1484052</v>
      </c>
      <c r="E16" s="9" t="n">
        <v>1351348</v>
      </c>
      <c r="F16" s="9" t="n">
        <v>923877</v>
      </c>
    </row>
    <row r="17">
      <c r="A17" s="10" t="inlineStr">
        <is>
          <t xml:space="preserve">    Net assets</t>
        </is>
      </c>
      <c r="B17" s="11" t="n">
        <v>19428081</v>
      </c>
      <c r="C17" s="11" t="n">
        <v>20455159</v>
      </c>
      <c r="D17" s="11" t="n">
        <v>21604635</v>
      </c>
      <c r="E17" s="11" t="n">
        <v>23066740</v>
      </c>
      <c r="F17" s="11" t="n">
        <v>23635862</v>
      </c>
    </row>
    <row r="19">
      <c r="A19" s="6" t="inlineStr">
        <is>
          <t>Headline ratios</t>
        </is>
      </c>
      <c r="B19" s="7" t="n"/>
      <c r="C19" s="7" t="n"/>
      <c r="D19" s="7" t="n"/>
      <c r="E19" s="7" t="n"/>
      <c r="F19" s="7" t="n"/>
    </row>
    <row r="20">
      <c r="A20" s="8" t="inlineStr">
        <is>
          <t xml:space="preserve">    Operating margin</t>
        </is>
      </c>
      <c r="B20" s="12" t="n">
        <v>0.3310695825336846</v>
      </c>
      <c r="C20" s="12" t="n">
        <v>0.3428190152858427</v>
      </c>
      <c r="D20" s="12" t="n">
        <v>0.3679144835481593</v>
      </c>
      <c r="E20" s="12" t="n">
        <v>0.4046477295852015</v>
      </c>
      <c r="F20" s="12" t="n">
        <v>0.08827605927030188</v>
      </c>
    </row>
    <row r="21">
      <c r="A21" s="8" t="inlineStr">
        <is>
          <t xml:space="preserve">    Revenue growth (YoY)</t>
        </is>
      </c>
      <c r="B21" s="12" t="n">
        <v>-0.06725684878449652</v>
      </c>
      <c r="C21" s="12" t="n">
        <v>0.07421342543361575</v>
      </c>
      <c r="D21" s="12" t="n">
        <v>0.05348347465104749</v>
      </c>
      <c r="E21" s="12" t="n">
        <v>0.127348730268177</v>
      </c>
      <c r="F21" s="12" t="n">
        <v>0.7618657713144057</v>
      </c>
    </row>
    <row r="22">
      <c r="A22" s="8" t="inlineStr">
        <is>
          <t xml:space="preserve">    Return on assets</t>
        </is>
      </c>
      <c r="B22" s="12" t="n">
        <v>0.04227288660809555</v>
      </c>
      <c r="C22" s="12" t="n">
        <v>0.04573729035128198</v>
      </c>
      <c r="D22" s="12" t="n">
        <v>0.04994116815737508</v>
      </c>
      <c r="E22" s="12" t="n">
        <v>0.05855106263848341</v>
      </c>
      <c r="F22" s="12" t="n">
        <v>0.022374912046093</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Lincoln Avenue Water Company</t>
        </is>
      </c>
    </row>
    <row r="2">
      <c r="A2" s="2" t="inlineStr">
        <is>
          <t>Financial Statements - income statement, balance sheet, cash flow, member income test (USD)</t>
        </is>
      </c>
    </row>
    <row r="3">
      <c r="A3" s="2" t="inlineStr">
        <is>
          <t>Entity ID: cawc_0026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c r="C8" s="9" t="n"/>
      <c r="D8" s="9" t="n"/>
      <c r="E8" s="9" t="n"/>
      <c r="F8" s="9" t="n">
        <v>6087629</v>
      </c>
    </row>
    <row r="9">
      <c r="A9" s="8" t="inlineStr">
        <is>
          <t xml:space="preserve">    Investment income</t>
        </is>
      </c>
      <c r="B9" s="9" t="n">
        <v>12146</v>
      </c>
      <c r="C9" s="9" t="n">
        <v>6266</v>
      </c>
      <c r="D9" s="9" t="n">
        <v>16752</v>
      </c>
      <c r="E9" s="9" t="n">
        <v>73752</v>
      </c>
      <c r="F9" s="9" t="n">
        <v>89023</v>
      </c>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row>
    <row r="12">
      <c r="A12" s="8" t="inlineStr">
        <is>
          <t xml:space="preserve">    Other revenue</t>
        </is>
      </c>
      <c r="B12" s="9" t="n"/>
      <c r="C12" s="9" t="n"/>
      <c r="D12" s="9" t="n">
        <v>145710</v>
      </c>
      <c r="E12" s="9" t="n">
        <v>271761</v>
      </c>
      <c r="F12" s="9" t="n">
        <v>48388</v>
      </c>
    </row>
    <row r="13">
      <c r="A13" s="8" t="inlineStr">
        <is>
          <t xml:space="preserve">    Contributions &amp; grants</t>
        </is>
      </c>
      <c r="B13" s="9" t="n"/>
      <c r="C13" s="9" t="n"/>
      <c r="D13" s="9" t="n"/>
      <c r="E13" s="9" t="n"/>
      <c r="F13" s="9" t="n"/>
    </row>
    <row r="14">
      <c r="A14" s="10" t="inlineStr">
        <is>
          <t>Total revenue</t>
        </is>
      </c>
      <c r="B14" s="11" t="n">
        <v>2769445</v>
      </c>
      <c r="C14" s="11" t="n">
        <v>2974975</v>
      </c>
      <c r="D14" s="11" t="n">
        <v>3134087</v>
      </c>
      <c r="E14" s="11" t="n">
        <v>3533209</v>
      </c>
      <c r="F14" s="11" t="n">
        <v>6225040</v>
      </c>
    </row>
    <row r="16">
      <c r="A16" s="6" t="inlineStr">
        <is>
          <t>Expenses</t>
        </is>
      </c>
      <c r="B16" s="7" t="n"/>
      <c r="C16" s="7" t="n"/>
      <c r="D16" s="7" t="n"/>
      <c r="E16" s="7" t="n"/>
      <c r="F16" s="7" t="n"/>
    </row>
    <row r="17">
      <c r="A17" s="8" t="inlineStr">
        <is>
          <t xml:space="preserve">    Depreciation</t>
        </is>
      </c>
      <c r="B17" s="9" t="n">
        <v>566049</v>
      </c>
      <c r="C17" s="9" t="n">
        <v>588471</v>
      </c>
      <c r="D17" s="9" t="n">
        <v>621280</v>
      </c>
      <c r="E17" s="9" t="n">
        <v>648774</v>
      </c>
      <c r="F17" s="9" t="n">
        <v>701225</v>
      </c>
    </row>
    <row r="18">
      <c r="A18" s="8" t="inlineStr">
        <is>
          <t xml:space="preserve">    Interest expense</t>
        </is>
      </c>
      <c r="B18" s="9" t="n">
        <v>26312</v>
      </c>
      <c r="C18" s="9" t="n">
        <v>37279</v>
      </c>
      <c r="D18" s="9" t="n">
        <v>25742</v>
      </c>
      <c r="E18" s="9" t="n">
        <v>19569</v>
      </c>
      <c r="F18" s="9" t="n">
        <v>13173</v>
      </c>
    </row>
    <row r="19">
      <c r="A19" s="10" t="inlineStr">
        <is>
          <t>Total expenses</t>
        </is>
      </c>
      <c r="B19" s="11" t="n">
        <v>1852566</v>
      </c>
      <c r="C19" s="11" t="n">
        <v>1955097</v>
      </c>
      <c r="D19" s="11" t="n">
        <v>1981011</v>
      </c>
      <c r="E19" s="11" t="n">
        <v>2103504</v>
      </c>
      <c r="F19" s="11" t="n">
        <v>5675518</v>
      </c>
    </row>
    <row r="21">
      <c r="A21" s="10" t="inlineStr">
        <is>
          <t>Net income</t>
        </is>
      </c>
      <c r="B21" s="11" t="n">
        <v>916879</v>
      </c>
      <c r="C21" s="11" t="n">
        <v>1019878</v>
      </c>
      <c r="D21" s="11" t="n">
        <v>1153076</v>
      </c>
      <c r="E21" s="11" t="n">
        <v>1429705</v>
      </c>
      <c r="F21" s="11" t="n">
        <v>549522</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3409433</v>
      </c>
      <c r="C27" s="9" t="n">
        <v>3878249</v>
      </c>
      <c r="D27" s="9" t="n">
        <v>4371783</v>
      </c>
      <c r="E27" s="9" t="n">
        <v>4818195</v>
      </c>
      <c r="F27" s="9" t="n">
        <v>4046571</v>
      </c>
    </row>
    <row r="28">
      <c r="A28" s="8" t="inlineStr">
        <is>
          <t xml:space="preserve">    Savings &amp; temporary investments</t>
        </is>
      </c>
      <c r="B28" s="9" t="n"/>
      <c r="C28" s="9" t="n"/>
      <c r="D28" s="9" t="n"/>
      <c r="E28" s="9" t="n"/>
      <c r="F28" s="9" t="n"/>
    </row>
    <row r="29">
      <c r="A29" s="8" t="inlineStr">
        <is>
          <t xml:space="preserve">    Accounts receivable</t>
        </is>
      </c>
      <c r="B29" s="9" t="n">
        <v>641215</v>
      </c>
      <c r="C29" s="9" t="n">
        <v>496861</v>
      </c>
      <c r="D29" s="9" t="n">
        <v>383551</v>
      </c>
      <c r="E29" s="9" t="n">
        <v>553260</v>
      </c>
      <c r="F29" s="9" t="n">
        <v>520235</v>
      </c>
    </row>
    <row r="30">
      <c r="A30" s="8" t="inlineStr">
        <is>
          <t xml:space="preserve">    Inventories</t>
        </is>
      </c>
      <c r="B30" s="9" t="n">
        <v>80829</v>
      </c>
      <c r="C30" s="9" t="n">
        <v>75744</v>
      </c>
      <c r="D30" s="9" t="n">
        <v>66071</v>
      </c>
      <c r="E30" s="9" t="n">
        <v>97207</v>
      </c>
      <c r="F30" s="9" t="n">
        <v>70771</v>
      </c>
    </row>
    <row r="31">
      <c r="A31" s="8" t="inlineStr">
        <is>
          <t xml:space="preserve">    Prepaid expenses</t>
        </is>
      </c>
      <c r="B31" s="9" t="n">
        <v>47334</v>
      </c>
      <c r="C31" s="9" t="n">
        <v>69348</v>
      </c>
      <c r="D31" s="9" t="n">
        <v>87055</v>
      </c>
      <c r="E31" s="9" t="n">
        <v>95504</v>
      </c>
      <c r="F31" s="9" t="n">
        <v>184024</v>
      </c>
    </row>
    <row r="32">
      <c r="A32" s="8" t="inlineStr">
        <is>
          <t xml:space="preserve">    Property, plant &amp; equipment (gross)</t>
        </is>
      </c>
      <c r="B32" s="9" t="n">
        <v>28961796</v>
      </c>
      <c r="C32" s="9" t="n">
        <v>29817957</v>
      </c>
      <c r="D32" s="9" t="n">
        <v>30813831</v>
      </c>
      <c r="E32" s="9" t="n">
        <v>32104419</v>
      </c>
      <c r="F32" s="9" t="n">
        <v>33625886</v>
      </c>
    </row>
    <row r="33">
      <c r="A33" s="8" t="inlineStr">
        <is>
          <t xml:space="preserve">    Less: accumulated depreciation</t>
        </is>
      </c>
      <c r="B33" s="9" t="n">
        <v>-11452086</v>
      </c>
      <c r="C33" s="9" t="n">
        <v>-12040557</v>
      </c>
      <c r="D33" s="9" t="n">
        <v>-12633612</v>
      </c>
      <c r="E33" s="9" t="n">
        <v>-13250505</v>
      </c>
      <c r="F33" s="9" t="n">
        <v>-13887756</v>
      </c>
    </row>
    <row r="34">
      <c r="A34" s="10" t="inlineStr">
        <is>
          <t xml:space="preserve">    Net property, plant &amp; equipment</t>
        </is>
      </c>
      <c r="B34" s="11" t="n">
        <v>17509710</v>
      </c>
      <c r="C34" s="11" t="n">
        <v>17777400</v>
      </c>
      <c r="D34" s="11" t="n">
        <v>18180219</v>
      </c>
      <c r="E34" s="11" t="n">
        <v>18853914</v>
      </c>
      <c r="F34" s="11" t="n">
        <v>19738130</v>
      </c>
    </row>
    <row r="35">
      <c r="A35" s="10" t="inlineStr">
        <is>
          <t>Total assets</t>
        </is>
      </c>
      <c r="B35" s="11" t="n">
        <v>21689529</v>
      </c>
      <c r="C35" s="11" t="n">
        <v>22298610</v>
      </c>
      <c r="D35" s="11" t="n">
        <v>23088687</v>
      </c>
      <c r="E35" s="11" t="n">
        <v>24418088</v>
      </c>
      <c r="F35" s="11" t="n">
        <v>24559739</v>
      </c>
    </row>
    <row r="37">
      <c r="A37" s="6" t="inlineStr">
        <is>
          <t>Liabilities</t>
        </is>
      </c>
      <c r="B37" s="7" t="n"/>
      <c r="C37" s="7" t="n"/>
      <c r="D37" s="7" t="n"/>
      <c r="E37" s="7" t="n"/>
      <c r="F37" s="7" t="n"/>
    </row>
    <row r="38">
      <c r="A38" s="8" t="inlineStr">
        <is>
          <t xml:space="preserve">    Accounts payable</t>
        </is>
      </c>
      <c r="B38" s="9" t="n">
        <v>553124</v>
      </c>
      <c r="C38" s="9" t="n">
        <v>401493</v>
      </c>
      <c r="D38" s="9" t="n">
        <v>319587</v>
      </c>
      <c r="E38" s="9" t="n">
        <v>472094</v>
      </c>
      <c r="F38" s="9" t="n">
        <v>344750</v>
      </c>
    </row>
    <row r="39">
      <c r="A39" s="8" t="inlineStr">
        <is>
          <t xml:space="preserve">    Mortgages &amp; notes payable</t>
        </is>
      </c>
      <c r="B39" s="9" t="n"/>
      <c r="C39" s="9" t="n"/>
      <c r="D39" s="9" t="n"/>
      <c r="E39" s="9" t="n"/>
      <c r="F39" s="9" t="n"/>
    </row>
    <row r="40">
      <c r="A40" s="10" t="inlineStr">
        <is>
          <t>Total liabilities</t>
        </is>
      </c>
      <c r="B40" s="11" t="n">
        <v>2261448</v>
      </c>
      <c r="C40" s="11" t="n">
        <v>1843451</v>
      </c>
      <c r="D40" s="11" t="n">
        <v>1484052</v>
      </c>
      <c r="E40" s="11" t="n">
        <v>1351348</v>
      </c>
      <c r="F40" s="11" t="n">
        <v>923877</v>
      </c>
    </row>
    <row r="42">
      <c r="A42" s="6" t="inlineStr">
        <is>
          <t>Net Assets / Equity</t>
        </is>
      </c>
      <c r="B42" s="7" t="n"/>
      <c r="C42" s="7" t="n"/>
      <c r="D42" s="7" t="n"/>
      <c r="E42" s="7" t="n"/>
      <c r="F42" s="7" t="n"/>
    </row>
    <row r="43">
      <c r="A43" s="8" t="inlineStr">
        <is>
          <t xml:space="preserve">    Capital stock</t>
        </is>
      </c>
      <c r="B43" s="9" t="n">
        <v>328023</v>
      </c>
      <c r="C43" s="9" t="n">
        <v>335223</v>
      </c>
      <c r="D43" s="9" t="n">
        <v>331623</v>
      </c>
      <c r="E43" s="9" t="n">
        <v>364023</v>
      </c>
      <c r="F43" s="9" t="n">
        <v>383623</v>
      </c>
    </row>
    <row r="44">
      <c r="A44" s="8" t="inlineStr">
        <is>
          <t xml:space="preserve">    Paid-in capital</t>
        </is>
      </c>
      <c r="B44" s="9" t="n">
        <v>0</v>
      </c>
      <c r="C44" s="9" t="n">
        <v>0</v>
      </c>
      <c r="D44" s="9" t="n">
        <v>0</v>
      </c>
      <c r="E44" s="9" t="n">
        <v>0</v>
      </c>
      <c r="F44" s="9" t="n">
        <v>0</v>
      </c>
    </row>
    <row r="45">
      <c r="A45" s="8" t="inlineStr">
        <is>
          <t xml:space="preserve">    Retained earnings</t>
        </is>
      </c>
      <c r="B45" s="9" t="n">
        <v>19100058</v>
      </c>
      <c r="C45" s="9" t="n">
        <v>20119936</v>
      </c>
      <c r="D45" s="9" t="n">
        <v>21273012</v>
      </c>
      <c r="E45" s="9" t="n">
        <v>22702717</v>
      </c>
      <c r="F45" s="9" t="n">
        <v>23252239</v>
      </c>
    </row>
    <row r="46">
      <c r="A46" s="10" t="inlineStr">
        <is>
          <t>Net assets</t>
        </is>
      </c>
      <c r="B46" s="11" t="n">
        <v>19428081</v>
      </c>
      <c r="C46" s="11" t="n">
        <v>20455159</v>
      </c>
      <c r="D46" s="11" t="n">
        <v>21604635</v>
      </c>
      <c r="E46" s="11" t="n">
        <v>23066740</v>
      </c>
      <c r="F46" s="11" t="n">
        <v>23635862</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916879</v>
      </c>
      <c r="C52" s="9" t="n">
        <v>1019878</v>
      </c>
      <c r="D52" s="9" t="n">
        <v>1153076</v>
      </c>
      <c r="E52" s="9" t="n">
        <v>1429705</v>
      </c>
      <c r="F52" s="9" t="n">
        <v>549522</v>
      </c>
    </row>
    <row r="53">
      <c r="A53" s="8" t="inlineStr">
        <is>
          <t xml:space="preserve">    + Depreciation (reported)</t>
        </is>
      </c>
      <c r="B53" s="9" t="n">
        <v>566049</v>
      </c>
      <c r="C53" s="9" t="n">
        <v>588471</v>
      </c>
      <c r="D53" s="9" t="n">
        <v>621280</v>
      </c>
      <c r="E53" s="9" t="n">
        <v>648774</v>
      </c>
      <c r="F53" s="9" t="n">
        <v>701225</v>
      </c>
    </row>
    <row r="54">
      <c r="A54" s="8" t="inlineStr">
        <is>
          <t xml:space="preserve">    − Δ Accounts receivable</t>
        </is>
      </c>
      <c r="B54" s="9" t="n"/>
      <c r="C54" s="9" t="n">
        <v>144354</v>
      </c>
      <c r="D54" s="9" t="n">
        <v>113310</v>
      </c>
      <c r="E54" s="9" t="n">
        <v>-169709</v>
      </c>
      <c r="F54" s="9" t="n">
        <v>33025</v>
      </c>
    </row>
    <row r="55">
      <c r="A55" s="8" t="inlineStr">
        <is>
          <t xml:space="preserve">    − Δ Inventories</t>
        </is>
      </c>
      <c r="B55" s="9" t="n"/>
      <c r="C55" s="9" t="n">
        <v>5085</v>
      </c>
      <c r="D55" s="9" t="n">
        <v>9673</v>
      </c>
      <c r="E55" s="9" t="n">
        <v>-31136</v>
      </c>
      <c r="F55" s="9" t="n">
        <v>26436</v>
      </c>
    </row>
    <row r="56">
      <c r="A56" s="8" t="inlineStr">
        <is>
          <t xml:space="preserve">    − Δ Prepaid expenses</t>
        </is>
      </c>
      <c r="B56" s="9" t="n"/>
      <c r="C56" s="9" t="n">
        <v>-22014</v>
      </c>
      <c r="D56" s="9" t="n">
        <v>-17707</v>
      </c>
      <c r="E56" s="9" t="n">
        <v>-8449</v>
      </c>
      <c r="F56" s="9" t="n">
        <v>-88520</v>
      </c>
    </row>
    <row r="57">
      <c r="A57" s="8" t="inlineStr">
        <is>
          <t xml:space="preserve">    + Δ Accounts payable</t>
        </is>
      </c>
      <c r="B57" s="9" t="n"/>
      <c r="C57" s="9" t="n">
        <v>-151631</v>
      </c>
      <c r="D57" s="9" t="n">
        <v>-81906</v>
      </c>
      <c r="E57" s="9" t="n">
        <v>152507</v>
      </c>
      <c r="F57" s="9" t="n">
        <v>-127344</v>
      </c>
    </row>
    <row r="58">
      <c r="A58" s="10" t="inlineStr">
        <is>
          <t xml:space="preserve">    Operating cash flow proxy</t>
        </is>
      </c>
      <c r="B58" s="11" t="n"/>
      <c r="C58" s="11" t="n">
        <v>1584143</v>
      </c>
      <c r="D58" s="11" t="n">
        <v>1797726</v>
      </c>
      <c r="E58" s="11" t="n">
        <v>2021692</v>
      </c>
      <c r="F58" s="11" t="n">
        <v>1094344</v>
      </c>
    </row>
    <row r="60">
      <c r="A60" s="6" t="inlineStr">
        <is>
          <t>Investing</t>
        </is>
      </c>
      <c r="B60" s="7" t="n"/>
      <c r="C60" s="7" t="n"/>
      <c r="D60" s="7" t="n"/>
      <c r="E60" s="7" t="n"/>
      <c r="F60" s="7" t="n"/>
    </row>
    <row r="61">
      <c r="A61" s="8" t="inlineStr">
        <is>
          <t xml:space="preserve">    − Δ PP&amp;E gross (capex proxy)</t>
        </is>
      </c>
      <c r="B61" s="9" t="n"/>
      <c r="C61" s="9" t="n">
        <v>-856161</v>
      </c>
      <c r="D61" s="9" t="n">
        <v>-995874</v>
      </c>
      <c r="E61" s="9" t="n">
        <v>-1290588</v>
      </c>
      <c r="F61" s="9" t="n">
        <v>-1521467</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468816</v>
      </c>
      <c r="D67" s="11" t="n">
        <v>493534</v>
      </c>
      <c r="E67" s="11" t="n">
        <v>446412</v>
      </c>
      <c r="F67" s="11" t="n">
        <v>-771624</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9" t="n">
        <v>5740379</v>
      </c>
      <c r="C73" s="9" t="n">
        <v>6729864</v>
      </c>
      <c r="D73" s="9" t="n">
        <v>6014623</v>
      </c>
      <c r="E73" s="9" t="n">
        <v>6138729</v>
      </c>
      <c r="F73" s="9" t="n">
        <v>6087629</v>
      </c>
    </row>
    <row r="74">
      <c r="A74" s="8" t="inlineStr">
        <is>
          <t xml:space="preserve">    11b. Gross income from other sources</t>
        </is>
      </c>
      <c r="B74" s="9" t="n">
        <v>12149</v>
      </c>
      <c r="C74" s="9" t="n">
        <v>6266</v>
      </c>
      <c r="D74" s="9" t="n">
        <v>162462</v>
      </c>
      <c r="E74" s="9" t="n">
        <v>73752</v>
      </c>
      <c r="F74" s="9" t="n">
        <v>248851</v>
      </c>
    </row>
    <row r="75">
      <c r="A75" s="14" t="inlineStr">
        <is>
          <t>Total gross income (11a + 11b)</t>
        </is>
      </c>
      <c r="B75" s="15">
        <f>SUM(B73,B74)</f>
        <v/>
      </c>
      <c r="C75" s="15">
        <f>SUM(C73,C74)</f>
        <v/>
      </c>
      <c r="D75" s="15">
        <f>SUM(D73,D74)</f>
        <v/>
      </c>
      <c r="E75" s="15">
        <f>SUM(E73,E74)</f>
        <v/>
      </c>
      <c r="F75" s="15">
        <f>SUM(F73,F74)</f>
        <v/>
      </c>
    </row>
    <row r="76">
      <c r="A76" s="14" t="inlineStr">
        <is>
          <t>Member income share (11a / total)</t>
        </is>
      </c>
      <c r="B76" s="16">
        <f>IF(B75=0,"",B73/B75)</f>
        <v/>
      </c>
      <c r="C76" s="16">
        <f>IF(C75=0,"",C73/C75)</f>
        <v/>
      </c>
      <c r="D76" s="16">
        <f>IF(D75=0,"",D73/D75)</f>
        <v/>
      </c>
      <c r="E76" s="16">
        <f>IF(E75=0,"",E73/E75)</f>
        <v/>
      </c>
      <c r="F76" s="16">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Lincoln Avenue Water Company</t>
        </is>
      </c>
    </row>
    <row r="2">
      <c r="A2" s="2" t="inlineStr">
        <is>
          <t>Balance Sheet - as reported (USD, end of year)</t>
        </is>
      </c>
    </row>
    <row r="3">
      <c r="A3" s="2" t="inlineStr">
        <is>
          <t>Entity ID: cawc_0026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3409433</v>
      </c>
      <c r="C7" s="9" t="n">
        <v>3878249</v>
      </c>
      <c r="D7" s="9" t="n">
        <v>4371783</v>
      </c>
      <c r="E7" s="9" t="n">
        <v>4818195</v>
      </c>
      <c r="F7" s="9" t="n">
        <v>4046571</v>
      </c>
    </row>
    <row r="8">
      <c r="A8" s="8" t="inlineStr">
        <is>
          <t xml:space="preserve">    Savings &amp; temporary investments</t>
        </is>
      </c>
      <c r="B8" s="9" t="n"/>
      <c r="C8" s="9" t="n"/>
      <c r="D8" s="9" t="n"/>
      <c r="E8" s="9" t="n"/>
      <c r="F8" s="9" t="n"/>
    </row>
    <row r="9">
      <c r="A9" s="8" t="inlineStr">
        <is>
          <t xml:space="preserve">    Accounts receivable</t>
        </is>
      </c>
      <c r="B9" s="9" t="n">
        <v>641215</v>
      </c>
      <c r="C9" s="9" t="n">
        <v>496861</v>
      </c>
      <c r="D9" s="9" t="n">
        <v>383551</v>
      </c>
      <c r="E9" s="9" t="n">
        <v>553260</v>
      </c>
      <c r="F9" s="9" t="n">
        <v>520235</v>
      </c>
    </row>
    <row r="10">
      <c r="A10" s="8" t="inlineStr">
        <is>
          <t xml:space="preserve">    Inventories</t>
        </is>
      </c>
      <c r="B10" s="9" t="n">
        <v>80829</v>
      </c>
      <c r="C10" s="9" t="n">
        <v>75744</v>
      </c>
      <c r="D10" s="9" t="n">
        <v>66071</v>
      </c>
      <c r="E10" s="9" t="n">
        <v>97207</v>
      </c>
      <c r="F10" s="9" t="n">
        <v>70771</v>
      </c>
    </row>
    <row r="11">
      <c r="A11" s="8" t="inlineStr">
        <is>
          <t xml:space="preserve">    Prepaid expenses</t>
        </is>
      </c>
      <c r="B11" s="9" t="n">
        <v>47334</v>
      </c>
      <c r="C11" s="9" t="n">
        <v>69348</v>
      </c>
      <c r="D11" s="9" t="n">
        <v>87055</v>
      </c>
      <c r="E11" s="9" t="n">
        <v>95504</v>
      </c>
      <c r="F11" s="9" t="n">
        <v>184024</v>
      </c>
    </row>
    <row r="12">
      <c r="A12" s="8" t="inlineStr">
        <is>
          <t xml:space="preserve">    Property, plant &amp; equipment (gross)</t>
        </is>
      </c>
      <c r="B12" s="9" t="n">
        <v>28961796</v>
      </c>
      <c r="C12" s="9" t="n">
        <v>29817957</v>
      </c>
      <c r="D12" s="9" t="n">
        <v>30813831</v>
      </c>
      <c r="E12" s="9" t="n">
        <v>32104419</v>
      </c>
      <c r="F12" s="9" t="n">
        <v>33625886</v>
      </c>
    </row>
    <row r="13">
      <c r="A13" s="8" t="inlineStr">
        <is>
          <t xml:space="preserve">    Less: accumulated depreciation</t>
        </is>
      </c>
      <c r="B13" s="9" t="n">
        <v>-11452086</v>
      </c>
      <c r="C13" s="9" t="n">
        <v>-12040557</v>
      </c>
      <c r="D13" s="9" t="n">
        <v>-12633612</v>
      </c>
      <c r="E13" s="9" t="n">
        <v>-13250505</v>
      </c>
      <c r="F13" s="9" t="n">
        <v>-13887756</v>
      </c>
    </row>
    <row r="14">
      <c r="A14" s="10" t="inlineStr">
        <is>
          <t xml:space="preserve">    Net property, plant &amp; equipment</t>
        </is>
      </c>
      <c r="B14" s="11" t="n">
        <v>17509710</v>
      </c>
      <c r="C14" s="11" t="n">
        <v>17777400</v>
      </c>
      <c r="D14" s="11" t="n">
        <v>18180219</v>
      </c>
      <c r="E14" s="11" t="n">
        <v>18853914</v>
      </c>
      <c r="F14" s="11" t="n">
        <v>19738130</v>
      </c>
    </row>
    <row r="15">
      <c r="A15" s="10" t="inlineStr">
        <is>
          <t>Total assets</t>
        </is>
      </c>
      <c r="B15" s="11" t="n">
        <v>21689529</v>
      </c>
      <c r="C15" s="11" t="n">
        <v>22298610</v>
      </c>
      <c r="D15" s="11" t="n">
        <v>23088687</v>
      </c>
      <c r="E15" s="11" t="n">
        <v>24418088</v>
      </c>
      <c r="F15" s="11" t="n">
        <v>24559739</v>
      </c>
    </row>
    <row r="17">
      <c r="A17" s="6" t="inlineStr">
        <is>
          <t>Liabilities</t>
        </is>
      </c>
      <c r="B17" s="7" t="n"/>
      <c r="C17" s="7" t="n"/>
      <c r="D17" s="7" t="n"/>
      <c r="E17" s="7" t="n"/>
      <c r="F17" s="7" t="n"/>
    </row>
    <row r="18">
      <c r="A18" s="8" t="inlineStr">
        <is>
          <t xml:space="preserve">    Accounts payable</t>
        </is>
      </c>
      <c r="B18" s="9" t="n">
        <v>553124</v>
      </c>
      <c r="C18" s="9" t="n">
        <v>401493</v>
      </c>
      <c r="D18" s="9" t="n">
        <v>319587</v>
      </c>
      <c r="E18" s="9" t="n">
        <v>472094</v>
      </c>
      <c r="F18" s="9" t="n">
        <v>344750</v>
      </c>
    </row>
    <row r="19">
      <c r="A19" s="8" t="inlineStr">
        <is>
          <t xml:space="preserve">    Mortgages &amp; notes payable</t>
        </is>
      </c>
      <c r="B19" s="9" t="n"/>
      <c r="C19" s="9" t="n"/>
      <c r="D19" s="9" t="n"/>
      <c r="E19" s="9" t="n"/>
      <c r="F19" s="9" t="n"/>
    </row>
    <row r="20">
      <c r="A20" s="10" t="inlineStr">
        <is>
          <t>Total liabilities</t>
        </is>
      </c>
      <c r="B20" s="11" t="n">
        <v>2261448</v>
      </c>
      <c r="C20" s="11" t="n">
        <v>1843451</v>
      </c>
      <c r="D20" s="11" t="n">
        <v>1484052</v>
      </c>
      <c r="E20" s="11" t="n">
        <v>1351348</v>
      </c>
      <c r="F20" s="11" t="n">
        <v>923877</v>
      </c>
    </row>
    <row r="22">
      <c r="A22" s="6" t="inlineStr">
        <is>
          <t>Net Assets / Equity</t>
        </is>
      </c>
      <c r="B22" s="7" t="n"/>
      <c r="C22" s="7" t="n"/>
      <c r="D22" s="7" t="n"/>
      <c r="E22" s="7" t="n"/>
      <c r="F22" s="7" t="n"/>
    </row>
    <row r="23">
      <c r="A23" s="8" t="inlineStr">
        <is>
          <t xml:space="preserve">    Capital stock</t>
        </is>
      </c>
      <c r="B23" s="9" t="n">
        <v>328023</v>
      </c>
      <c r="C23" s="9" t="n">
        <v>335223</v>
      </c>
      <c r="D23" s="9" t="n">
        <v>331623</v>
      </c>
      <c r="E23" s="9" t="n">
        <v>364023</v>
      </c>
      <c r="F23" s="9" t="n">
        <v>383623</v>
      </c>
    </row>
    <row r="24">
      <c r="A24" s="8" t="inlineStr">
        <is>
          <t xml:space="preserve">    Paid-in capital</t>
        </is>
      </c>
      <c r="B24" s="9" t="n">
        <v>0</v>
      </c>
      <c r="C24" s="9" t="n">
        <v>0</v>
      </c>
      <c r="D24" s="9" t="n">
        <v>0</v>
      </c>
      <c r="E24" s="9" t="n">
        <v>0</v>
      </c>
      <c r="F24" s="9" t="n">
        <v>0</v>
      </c>
    </row>
    <row r="25">
      <c r="A25" s="8" t="inlineStr">
        <is>
          <t xml:space="preserve">    Retained earnings</t>
        </is>
      </c>
      <c r="B25" s="9" t="n">
        <v>19100058</v>
      </c>
      <c r="C25" s="9" t="n">
        <v>20119936</v>
      </c>
      <c r="D25" s="9" t="n">
        <v>21273012</v>
      </c>
      <c r="E25" s="9" t="n">
        <v>22702717</v>
      </c>
      <c r="F25" s="9" t="n">
        <v>23252239</v>
      </c>
    </row>
    <row r="26">
      <c r="A26" s="10" t="inlineStr">
        <is>
          <t>Net assets</t>
        </is>
      </c>
      <c r="B26" s="11" t="n">
        <v>19428081</v>
      </c>
      <c r="C26" s="11" t="n">
        <v>20455159</v>
      </c>
      <c r="D26" s="11" t="n">
        <v>21604635</v>
      </c>
      <c r="E26" s="11" t="n">
        <v>23066740</v>
      </c>
      <c r="F26" s="11" t="n">
        <v>23635862</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Lincoln Avenue Water Company</t>
        </is>
      </c>
    </row>
    <row r="2">
      <c r="A2" s="2" t="inlineStr">
        <is>
          <t>Officers, Directors &amp; Contractors - Form 990 Part VII (FY2024; USD)</t>
        </is>
      </c>
    </row>
    <row r="3">
      <c r="A3" s="2" t="inlineStr">
        <is>
          <t>Entity ID: cawc_0026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7" t="inlineStr">
        <is>
          <t>J CLAIRDAY</t>
        </is>
      </c>
      <c r="B7" s="17" t="inlineStr">
        <is>
          <t>PRESIDENT</t>
        </is>
      </c>
      <c r="C7" s="18" t="n">
        <v>15900</v>
      </c>
      <c r="D7" s="18" t="n">
        <v>0</v>
      </c>
      <c r="E7" s="18" t="n">
        <v>0</v>
      </c>
      <c r="F7" s="18" t="n">
        <v>15900</v>
      </c>
    </row>
    <row r="8">
      <c r="A8" s="8" t="inlineStr">
        <is>
          <t>R GOMPERZ</t>
        </is>
      </c>
      <c r="B8" s="8" t="inlineStr">
        <is>
          <t>VP</t>
        </is>
      </c>
      <c r="C8" s="9" t="n">
        <v>9600</v>
      </c>
      <c r="D8" s="9" t="n">
        <v>0</v>
      </c>
      <c r="E8" s="9" t="n">
        <v>0</v>
      </c>
      <c r="F8" s="9" t="n">
        <v>9600</v>
      </c>
    </row>
    <row r="9">
      <c r="A9" s="8" t="inlineStr">
        <is>
          <t>L DUNCAN</t>
        </is>
      </c>
      <c r="B9" s="8" t="inlineStr">
        <is>
          <t>1S VP</t>
        </is>
      </c>
      <c r="C9" s="9" t="n">
        <v>12840</v>
      </c>
      <c r="D9" s="9" t="n">
        <v>0</v>
      </c>
      <c r="E9" s="9" t="n">
        <v>0</v>
      </c>
      <c r="F9" s="9" t="n">
        <v>12840</v>
      </c>
    </row>
    <row r="10">
      <c r="A10" s="8" t="inlineStr">
        <is>
          <t>D FERNANDEZ</t>
        </is>
      </c>
      <c r="B10" s="8" t="inlineStr">
        <is>
          <t>TREAS.</t>
        </is>
      </c>
      <c r="C10" s="9" t="n">
        <v>9600</v>
      </c>
      <c r="D10" s="9" t="n">
        <v>0</v>
      </c>
      <c r="E10" s="9" t="n">
        <v>0</v>
      </c>
      <c r="F10" s="9" t="n">
        <v>9600</v>
      </c>
    </row>
    <row r="11">
      <c r="A11" s="17" t="inlineStr">
        <is>
          <t>J BETANCOURT REPORTED ON W-2</t>
        </is>
      </c>
      <c r="B11" s="17" t="inlineStr">
        <is>
          <t>SECRETARY/COO</t>
        </is>
      </c>
      <c r="C11" s="18" t="n">
        <v>178973</v>
      </c>
      <c r="D11" s="18" t="n">
        <v>0</v>
      </c>
      <c r="E11" s="18" t="n">
        <v>0</v>
      </c>
      <c r="F11" s="18" t="n">
        <v>178973</v>
      </c>
    </row>
    <row r="12">
      <c r="A12" s="8" t="inlineStr">
        <is>
          <t>V THOMPSON</t>
        </is>
      </c>
      <c r="B12" s="8" t="inlineStr">
        <is>
          <t>ASST. SEC</t>
        </is>
      </c>
      <c r="C12" s="9" t="n">
        <v>9600</v>
      </c>
      <c r="D12" s="9" t="n">
        <v>0</v>
      </c>
      <c r="E12" s="9" t="n">
        <v>0</v>
      </c>
      <c r="F12" s="9" t="n">
        <v>9600</v>
      </c>
    </row>
    <row r="14">
      <c r="A14" s="6" t="inlineStr">
        <is>
          <t>Section B - Independent contractors (over $100,000)</t>
        </is>
      </c>
      <c r="B14" s="7" t="n"/>
      <c r="C14" s="7" t="n"/>
      <c r="D14" s="7" t="n"/>
      <c r="E14" s="7" t="n"/>
      <c r="F14" s="7" t="n"/>
    </row>
    <row r="15">
      <c r="A15" s="5" t="inlineStr">
        <is>
          <t>Contractor</t>
        </is>
      </c>
      <c r="B15" s="5" t="inlineStr">
        <is>
          <t>Services</t>
        </is>
      </c>
      <c r="C15" s="5" t="inlineStr">
        <is>
          <t>Compensation</t>
        </is>
      </c>
    </row>
    <row r="17" ht="42" customHeight="1">
      <c r="A17"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7:F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Lincoln Avenue Water Company</t>
        </is>
      </c>
    </row>
    <row r="2">
      <c r="A2" s="2" t="inlineStr">
        <is>
          <t>Revenue - Form 990 Part VIII (USD)</t>
        </is>
      </c>
    </row>
    <row r="3">
      <c r="A3" s="2" t="inlineStr">
        <is>
          <t>Entity ID: cawc_0026   |   Fiscal year ends December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19" t="inlineStr">
        <is>
          <t>not reported</t>
        </is>
      </c>
      <c r="C7" s="19" t="inlineStr">
        <is>
          <t>not reported</t>
        </is>
      </c>
      <c r="D7" s="19" t="inlineStr">
        <is>
          <t>not reported</t>
        </is>
      </c>
      <c r="E7" s="19" t="inlineStr">
        <is>
          <t>not reported</t>
        </is>
      </c>
      <c r="F7" s="19" t="inlineStr">
        <is>
          <t>not reported</t>
        </is>
      </c>
    </row>
    <row r="8">
      <c r="A8" s="8" t="inlineStr">
        <is>
          <t xml:space="preserve">    2g. Total program service revenue</t>
        </is>
      </c>
      <c r="B8" s="19" t="inlineStr">
        <is>
          <t>not reported</t>
        </is>
      </c>
      <c r="C8" s="19" t="inlineStr">
        <is>
          <t>not reported</t>
        </is>
      </c>
      <c r="D8" s="19" t="inlineStr">
        <is>
          <t>not reported</t>
        </is>
      </c>
      <c r="E8" s="19" t="inlineStr">
        <is>
          <t>not reported</t>
        </is>
      </c>
      <c r="F8" s="9" t="n">
        <v>6087629</v>
      </c>
    </row>
    <row r="9">
      <c r="A9" s="8" t="inlineStr">
        <is>
          <t xml:space="preserve">    3. Investment income</t>
        </is>
      </c>
      <c r="B9" s="9" t="n">
        <v>12146</v>
      </c>
      <c r="C9" s="9" t="n">
        <v>6266</v>
      </c>
      <c r="D9" s="9" t="n">
        <v>16752</v>
      </c>
      <c r="E9" s="9" t="n">
        <v>73752</v>
      </c>
      <c r="F9" s="9" t="n">
        <v>89023</v>
      </c>
    </row>
    <row r="10">
      <c r="A10" s="8" t="inlineStr">
        <is>
          <t xml:space="preserve">    6d. Net rental income</t>
        </is>
      </c>
      <c r="B10" s="19" t="inlineStr">
        <is>
          <t>not reported</t>
        </is>
      </c>
      <c r="C10" s="19" t="inlineStr">
        <is>
          <t>not reported</t>
        </is>
      </c>
      <c r="D10" s="19" t="inlineStr">
        <is>
          <t>not reported</t>
        </is>
      </c>
      <c r="E10" s="19" t="inlineStr">
        <is>
          <t>not reported</t>
        </is>
      </c>
      <c r="F10" s="19" t="inlineStr">
        <is>
          <t>not reported</t>
        </is>
      </c>
    </row>
    <row r="11">
      <c r="A11" s="8" t="inlineStr">
        <is>
          <t xml:space="preserve">    7d. Net gain/(loss) from investment sales</t>
        </is>
      </c>
      <c r="B11" s="19" t="inlineStr">
        <is>
          <t>not reported</t>
        </is>
      </c>
      <c r="C11" s="19" t="inlineStr">
        <is>
          <t>not reported</t>
        </is>
      </c>
      <c r="D11" s="19" t="inlineStr">
        <is>
          <t>not reported</t>
        </is>
      </c>
      <c r="E11" s="19" t="inlineStr">
        <is>
          <t>not reported</t>
        </is>
      </c>
      <c r="F11" s="19" t="inlineStr">
        <is>
          <t>not reported</t>
        </is>
      </c>
    </row>
    <row r="12">
      <c r="A12" s="8" t="inlineStr">
        <is>
          <t xml:space="preserve">    11e. Other revenue</t>
        </is>
      </c>
      <c r="B12" s="19" t="inlineStr">
        <is>
          <t>not reported</t>
        </is>
      </c>
      <c r="C12" s="19" t="inlineStr">
        <is>
          <t>not reported</t>
        </is>
      </c>
      <c r="D12" s="9" t="n">
        <v>145710</v>
      </c>
      <c r="E12" s="9" t="n">
        <v>271761</v>
      </c>
      <c r="F12" s="9" t="n">
        <v>48388</v>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POTABLE WATER UTILITY</t>
        </is>
      </c>
      <c r="B17" s="8" t="inlineStr">
        <is>
          <t>221000</t>
        </is>
      </c>
      <c r="C17" s="9" t="n">
        <v>6087629</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F1"/>
    <mergeCell ref="A18:F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Lincoln Avenue Water Company</t>
        </is>
      </c>
    </row>
    <row r="2">
      <c r="A2" s="2" t="inlineStr">
        <is>
          <t>Statement of Functional Expenses - Form 990 Part IX (USD)</t>
        </is>
      </c>
    </row>
    <row r="3">
      <c r="A3" s="2" t="inlineStr">
        <is>
          <t>Entity ID: cawc_0026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5. Compensation of current officers, directors, trustees</t>
        </is>
      </c>
      <c r="B7" s="9" t="n">
        <v>201820</v>
      </c>
      <c r="C7" s="9" t="n">
        <v>181700</v>
      </c>
      <c r="D7" s="9" t="n">
        <v>215316</v>
      </c>
      <c r="E7" s="9" t="n">
        <v>222430</v>
      </c>
      <c r="F7" s="9" t="n">
        <v>236513</v>
      </c>
    </row>
    <row r="8">
      <c r="A8" s="8" t="inlineStr">
        <is>
          <t xml:space="preserve">    7. Other salaries and wages</t>
        </is>
      </c>
      <c r="B8" s="9" t="n">
        <v>330604</v>
      </c>
      <c r="C8" s="9" t="n">
        <v>378761</v>
      </c>
      <c r="D8" s="9" t="n">
        <v>290201</v>
      </c>
      <c r="E8" s="9" t="n">
        <v>300606</v>
      </c>
      <c r="F8" s="9" t="n">
        <v>962568</v>
      </c>
    </row>
    <row r="9">
      <c r="A9" s="8" t="inlineStr">
        <is>
          <t xml:space="preserve">    8. Pension plan accruals and contributions</t>
        </is>
      </c>
      <c r="B9" s="9" t="n">
        <v>65000</v>
      </c>
      <c r="C9" s="9" t="n">
        <v>65000</v>
      </c>
      <c r="D9" s="9" t="n">
        <v>60000</v>
      </c>
      <c r="E9" s="9" t="n">
        <v>65000</v>
      </c>
      <c r="F9" s="9" t="n">
        <v>65000</v>
      </c>
    </row>
    <row r="10">
      <c r="A10" s="8" t="inlineStr">
        <is>
          <t xml:space="preserve">    9. Other employee benefits</t>
        </is>
      </c>
      <c r="B10" s="9" t="n">
        <v>119170</v>
      </c>
      <c r="C10" s="9" t="n">
        <v>118381</v>
      </c>
      <c r="D10" s="9" t="n">
        <v>210159</v>
      </c>
      <c r="E10" s="9" t="n">
        <v>252574</v>
      </c>
      <c r="F10" s="19" t="inlineStr">
        <is>
          <t>not reported</t>
        </is>
      </c>
    </row>
    <row r="11">
      <c r="A11" s="8" t="inlineStr">
        <is>
          <t xml:space="preserve">    10. Payroll taxes</t>
        </is>
      </c>
      <c r="B11" s="9" t="n">
        <v>82163</v>
      </c>
      <c r="C11" s="9" t="n">
        <v>79223</v>
      </c>
      <c r="D11" s="9" t="n">
        <v>81823</v>
      </c>
      <c r="E11" s="9" t="n">
        <v>84066</v>
      </c>
      <c r="F11" s="9" t="n">
        <v>89767</v>
      </c>
    </row>
    <row r="12">
      <c r="A12" s="8" t="inlineStr">
        <is>
          <t xml:space="preserve">    11g. Fees for services: other</t>
        </is>
      </c>
      <c r="B12" s="9" t="n">
        <v>33776</v>
      </c>
      <c r="C12" s="9" t="n">
        <v>34020</v>
      </c>
      <c r="D12" s="9" t="n">
        <v>26120</v>
      </c>
      <c r="E12" s="9" t="n">
        <v>32235</v>
      </c>
      <c r="F12" s="9" t="n">
        <v>192888</v>
      </c>
    </row>
    <row r="13">
      <c r="A13" s="8" t="inlineStr">
        <is>
          <t xml:space="preserve">    13. Office expenses</t>
        </is>
      </c>
      <c r="B13" s="9" t="n">
        <v>31285</v>
      </c>
      <c r="C13" s="9" t="n">
        <v>38462</v>
      </c>
      <c r="D13" s="9" t="n">
        <v>31280</v>
      </c>
      <c r="E13" s="9" t="n">
        <v>40336</v>
      </c>
      <c r="F13" s="9" t="n">
        <v>63863</v>
      </c>
    </row>
    <row r="14">
      <c r="A14" s="8" t="inlineStr">
        <is>
          <t xml:space="preserve">    14. Information technology</t>
        </is>
      </c>
      <c r="B14" s="9" t="n">
        <v>28915</v>
      </c>
      <c r="C14" s="9" t="n">
        <v>47718</v>
      </c>
      <c r="D14" s="9" t="n">
        <v>48439</v>
      </c>
      <c r="E14" s="9" t="n">
        <v>48630</v>
      </c>
      <c r="F14" s="9" t="n">
        <v>56881</v>
      </c>
    </row>
    <row r="15">
      <c r="A15" s="8" t="inlineStr">
        <is>
          <t xml:space="preserve">    20. Interest</t>
        </is>
      </c>
      <c r="B15" s="9" t="n">
        <v>26312</v>
      </c>
      <c r="C15" s="9" t="n">
        <v>37279</v>
      </c>
      <c r="D15" s="9" t="n">
        <v>25742</v>
      </c>
      <c r="E15" s="9" t="n">
        <v>19569</v>
      </c>
      <c r="F15" s="9" t="n">
        <v>13173</v>
      </c>
    </row>
    <row r="16">
      <c r="A16" s="8" t="inlineStr">
        <is>
          <t xml:space="preserve">    22. Depreciation, depletion, and amortization</t>
        </is>
      </c>
      <c r="B16" s="9" t="n">
        <v>566049</v>
      </c>
      <c r="C16" s="9" t="n">
        <v>588471</v>
      </c>
      <c r="D16" s="9" t="n">
        <v>621280</v>
      </c>
      <c r="E16" s="9" t="n">
        <v>648774</v>
      </c>
      <c r="F16" s="9" t="n">
        <v>701225</v>
      </c>
    </row>
    <row r="17">
      <c r="A17" s="8" t="inlineStr">
        <is>
          <t xml:space="preserve">    23. Insurance</t>
        </is>
      </c>
      <c r="B17" s="9" t="n">
        <v>214941</v>
      </c>
      <c r="C17" s="9" t="n">
        <v>166720</v>
      </c>
      <c r="D17" s="9" t="n">
        <v>145328</v>
      </c>
      <c r="E17" s="9" t="n">
        <v>170632</v>
      </c>
      <c r="F17" s="9" t="n">
        <v>418385</v>
      </c>
    </row>
    <row r="18">
      <c r="A18" s="8" t="inlineStr">
        <is>
          <t xml:space="preserve">    24. ALL OTHER</t>
        </is>
      </c>
      <c r="B18" s="9" t="n">
        <v>55389</v>
      </c>
      <c r="C18" s="9" t="n">
        <v>79448</v>
      </c>
      <c r="D18" s="9" t="n">
        <v>93174</v>
      </c>
      <c r="E18" s="9" t="n">
        <v>77009</v>
      </c>
      <c r="F18" s="9" t="n">
        <v>98788</v>
      </c>
    </row>
    <row r="19">
      <c r="A19" s="8" t="inlineStr">
        <is>
          <t xml:space="preserve">    24. PROPERTY TAXES, LICENSE</t>
        </is>
      </c>
      <c r="B19" s="9" t="n">
        <v>51326</v>
      </c>
      <c r="C19" s="9" t="n">
        <v>40983</v>
      </c>
      <c r="D19" s="9" t="n">
        <v>61602</v>
      </c>
      <c r="E19" s="9" t="n">
        <v>59409</v>
      </c>
      <c r="F19" s="9" t="n">
        <v>80793</v>
      </c>
    </row>
    <row r="20">
      <c r="A20" s="8" t="inlineStr">
        <is>
          <t xml:space="preserve">    24. UTILITIES</t>
        </is>
      </c>
      <c r="B20" s="9" t="n">
        <v>23440</v>
      </c>
      <c r="C20" s="9" t="n">
        <v>20270</v>
      </c>
      <c r="D20" s="9" t="n">
        <v>22905</v>
      </c>
      <c r="E20" s="9" t="n">
        <v>31154</v>
      </c>
      <c r="F20" s="9" t="n">
        <v>407933</v>
      </c>
    </row>
    <row r="21">
      <c r="A21" s="8" t="inlineStr">
        <is>
          <t xml:space="preserve">    24. OUTSIDE SERVICE</t>
        </is>
      </c>
      <c r="B21" s="9" t="n">
        <v>16810</v>
      </c>
      <c r="C21" s="9" t="n">
        <v>61551</v>
      </c>
      <c r="D21" s="9" t="n">
        <v>40606</v>
      </c>
      <c r="E21" s="9" t="n">
        <v>43792</v>
      </c>
      <c r="F21" s="19" t="inlineStr">
        <is>
          <t>not reported</t>
        </is>
      </c>
    </row>
    <row r="22">
      <c r="A22" s="8" t="inlineStr">
        <is>
          <t xml:space="preserve">    24. DISTRIBUTION, PURCHASED</t>
        </is>
      </c>
      <c r="B22" s="19" t="inlineStr">
        <is>
          <t>not reported</t>
        </is>
      </c>
      <c r="C22" s="19" t="inlineStr">
        <is>
          <t>not reported</t>
        </is>
      </c>
      <c r="D22" s="19" t="inlineStr">
        <is>
          <t>not reported</t>
        </is>
      </c>
      <c r="E22" s="19" t="inlineStr">
        <is>
          <t>not reported</t>
        </is>
      </c>
      <c r="F22" s="9" t="n">
        <v>2246250</v>
      </c>
    </row>
    <row r="23">
      <c r="A23" s="8" t="inlineStr">
        <is>
          <t xml:space="preserve">    24e. All other expenses</t>
        </is>
      </c>
      <c r="B23" s="9" t="n">
        <v>5566</v>
      </c>
      <c r="C23" s="9" t="n">
        <v>17110</v>
      </c>
      <c r="D23" s="9" t="n">
        <v>7036</v>
      </c>
      <c r="E23" s="9" t="n">
        <v>7288</v>
      </c>
      <c r="F23" s="9" t="n">
        <v>41491</v>
      </c>
    </row>
    <row r="24">
      <c r="A24" s="10" t="inlineStr">
        <is>
          <t>25. Total functional expenses</t>
        </is>
      </c>
      <c r="B24" s="11">
        <f>SUM(B7:B23)</f>
        <v/>
      </c>
      <c r="C24" s="11">
        <f>SUM(C7:C23)</f>
        <v/>
      </c>
      <c r="D24" s="11">
        <f>SUM(D7:D23)</f>
        <v/>
      </c>
      <c r="E24" s="11">
        <f>SUM(E7:E23)</f>
        <v/>
      </c>
      <c r="F24" s="11">
        <f>SUM(F7:F23)</f>
        <v/>
      </c>
    </row>
    <row r="26">
      <c r="A26" s="6" t="inlineStr">
        <is>
          <t>Functional column split - FY2024</t>
        </is>
      </c>
      <c r="B26" s="7" t="n"/>
      <c r="C26" s="7" t="n"/>
      <c r="D26" s="7" t="n"/>
      <c r="E26" s="7" t="n"/>
      <c r="F26" s="7" t="n"/>
    </row>
    <row r="27" ht="42" customHeight="1">
      <c r="A27" s="3" t="inlineStr">
        <is>
          <t>Not reported. This filer reports only column A (Total) of Part IX; the program / management / fundraising split (columns B-D) is not filed, so it is left as not reported rather than shown empty or inferred.</t>
        </is>
      </c>
    </row>
    <row r="28" ht="42" customHeight="1">
      <c r="A28"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This filer reports only column A (Total); the program / management / fundraising split (columns B-D) is not reported. Lines this filer does not report are omitted rather than shown empty.</t>
        </is>
      </c>
    </row>
  </sheetData>
  <mergeCells count="5">
    <mergeCell ref="A2:F2"/>
    <mergeCell ref="A28:F28"/>
    <mergeCell ref="A1:F1"/>
    <mergeCell ref="A27:F27"/>
    <mergeCell ref="A3:F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Lincoln Avenue Water Company</t>
        </is>
      </c>
    </row>
    <row r="2">
      <c r="A2" s="2" t="inlineStr">
        <is>
          <t>Balance Sheet - Form 990 Part X (end of year, USD)</t>
        </is>
      </c>
    </row>
    <row r="3">
      <c r="A3" s="2" t="inlineStr">
        <is>
          <t>Entity ID: cawc_0026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3409433</v>
      </c>
      <c r="C7" s="9" t="n">
        <v>3878249</v>
      </c>
      <c r="D7" s="9" t="n">
        <v>4371783</v>
      </c>
      <c r="E7" s="9" t="n">
        <v>4818195</v>
      </c>
      <c r="F7" s="9" t="n">
        <v>4046571</v>
      </c>
    </row>
    <row r="8">
      <c r="A8" s="8" t="inlineStr">
        <is>
          <t xml:space="preserve">    4. Accounts receivable, net</t>
        </is>
      </c>
      <c r="B8" s="9" t="n">
        <v>641215</v>
      </c>
      <c r="C8" s="9" t="n">
        <v>496861</v>
      </c>
      <c r="D8" s="9" t="n">
        <v>383551</v>
      </c>
      <c r="E8" s="9" t="n">
        <v>553260</v>
      </c>
      <c r="F8" s="9" t="n">
        <v>520235</v>
      </c>
    </row>
    <row r="9">
      <c r="A9" s="8" t="inlineStr">
        <is>
          <t xml:space="preserve">    8. Inventories for sale or use</t>
        </is>
      </c>
      <c r="B9" s="9" t="n">
        <v>80829</v>
      </c>
      <c r="C9" s="9" t="n">
        <v>75744</v>
      </c>
      <c r="D9" s="9" t="n">
        <v>66071</v>
      </c>
      <c r="E9" s="9" t="n">
        <v>97207</v>
      </c>
      <c r="F9" s="9" t="n">
        <v>70771</v>
      </c>
    </row>
    <row r="10">
      <c r="A10" s="8" t="inlineStr">
        <is>
          <t xml:space="preserve">    9. Prepaid expenses and deferred charges</t>
        </is>
      </c>
      <c r="B10" s="9" t="n">
        <v>47334</v>
      </c>
      <c r="C10" s="9" t="n">
        <v>69348</v>
      </c>
      <c r="D10" s="9" t="n">
        <v>87055</v>
      </c>
      <c r="E10" s="9" t="n">
        <v>95504</v>
      </c>
      <c r="F10" s="9" t="n">
        <v>184024</v>
      </c>
    </row>
    <row r="11">
      <c r="A11" s="8" t="inlineStr">
        <is>
          <t xml:space="preserve">    10c. Land, buildings, and equipment, net</t>
        </is>
      </c>
      <c r="B11" s="9" t="n">
        <v>17509710</v>
      </c>
      <c r="C11" s="9" t="n">
        <v>17777400</v>
      </c>
      <c r="D11" s="9" t="n">
        <v>18180219</v>
      </c>
      <c r="E11" s="9" t="n">
        <v>18853914</v>
      </c>
      <c r="F11" s="9" t="n">
        <v>19738130</v>
      </c>
    </row>
    <row r="12">
      <c r="A12" s="8" t="inlineStr">
        <is>
          <t xml:space="preserve">    15. Other assets</t>
        </is>
      </c>
      <c r="B12" s="9" t="n">
        <v>1008</v>
      </c>
      <c r="C12" s="9" t="n">
        <v>1008</v>
      </c>
      <c r="D12" s="9" t="n">
        <v>8</v>
      </c>
      <c r="E12" s="9" t="n">
        <v>8</v>
      </c>
      <c r="F12" s="9" t="n">
        <v>8</v>
      </c>
    </row>
    <row r="13">
      <c r="A13" s="10" t="inlineStr">
        <is>
          <t>16. Total assets</t>
        </is>
      </c>
      <c r="B13" s="11">
        <f>SUM(B7:B12)</f>
        <v/>
      </c>
      <c r="C13" s="11">
        <f>SUM(C7:C12)</f>
        <v/>
      </c>
      <c r="D13" s="11">
        <f>SUM(D7:D12)</f>
        <v/>
      </c>
      <c r="E13" s="11">
        <f>SUM(E7:E12)</f>
        <v/>
      </c>
      <c r="F13" s="11">
        <f>SUM(F7:F12)</f>
        <v/>
      </c>
    </row>
    <row r="15">
      <c r="A15" s="6" t="inlineStr">
        <is>
          <t>Liabilities</t>
        </is>
      </c>
      <c r="B15" s="7" t="n"/>
      <c r="C15" s="7" t="n"/>
      <c r="D15" s="7" t="n"/>
      <c r="E15" s="7" t="n"/>
      <c r="F15" s="7" t="n"/>
    </row>
    <row r="16">
      <c r="A16" s="8" t="inlineStr">
        <is>
          <t xml:space="preserve">    17. Accounts payable and accrued expenses</t>
        </is>
      </c>
      <c r="B16" s="9" t="n">
        <v>553124</v>
      </c>
      <c r="C16" s="9" t="n">
        <v>401493</v>
      </c>
      <c r="D16" s="9" t="n">
        <v>319587</v>
      </c>
      <c r="E16" s="9" t="n">
        <v>472094</v>
      </c>
      <c r="F16" s="9" t="n">
        <v>344750</v>
      </c>
    </row>
    <row r="17">
      <c r="A17" s="8" t="inlineStr">
        <is>
          <t xml:space="preserve">    24. Unsecured notes and loans payable</t>
        </is>
      </c>
      <c r="B17" s="9" t="n">
        <v>1359806</v>
      </c>
      <c r="C17" s="9" t="n">
        <v>1073280</v>
      </c>
      <c r="D17" s="9" t="n">
        <v>775205</v>
      </c>
      <c r="E17" s="9" t="n">
        <v>470950</v>
      </c>
      <c r="F17" s="9" t="n">
        <v>160277</v>
      </c>
    </row>
    <row r="18">
      <c r="A18" s="8" t="inlineStr">
        <is>
          <t xml:space="preserve">    25. Other liabilities</t>
        </is>
      </c>
      <c r="B18" s="9" t="n">
        <v>348518</v>
      </c>
      <c r="C18" s="9" t="n">
        <v>368678</v>
      </c>
      <c r="D18" s="9" t="n">
        <v>389260</v>
      </c>
      <c r="E18" s="9" t="n">
        <v>408304</v>
      </c>
      <c r="F18" s="9" t="n">
        <v>418850</v>
      </c>
    </row>
    <row r="19">
      <c r="A19" s="10" t="inlineStr">
        <is>
          <t>26. Total liabilities</t>
        </is>
      </c>
      <c r="B19" s="11">
        <f>SUM(B16:B18)</f>
        <v/>
      </c>
      <c r="C19" s="11">
        <f>SUM(C16:C18)</f>
        <v/>
      </c>
      <c r="D19" s="11">
        <f>SUM(D16:D18)</f>
        <v/>
      </c>
      <c r="E19" s="11">
        <f>SUM(E16:E18)</f>
        <v/>
      </c>
      <c r="F19" s="11">
        <f>SUM(F16:F18)</f>
        <v/>
      </c>
    </row>
    <row r="21">
      <c r="A21" s="6" t="inlineStr">
        <is>
          <t>Net assets / fund balances</t>
        </is>
      </c>
      <c r="B21" s="7" t="n"/>
      <c r="C21" s="7" t="n"/>
      <c r="D21" s="7" t="n"/>
      <c r="E21" s="7" t="n"/>
      <c r="F21" s="7" t="n"/>
    </row>
    <row r="22">
      <c r="A22" s="8" t="inlineStr">
        <is>
          <t xml:space="preserve">    29. Capital stock or trust principal</t>
        </is>
      </c>
      <c r="B22" s="9" t="n">
        <v>328023</v>
      </c>
      <c r="C22" s="9" t="n">
        <v>335223</v>
      </c>
      <c r="D22" s="9" t="n">
        <v>331623</v>
      </c>
      <c r="E22" s="9" t="n">
        <v>364023</v>
      </c>
      <c r="F22" s="9" t="n">
        <v>383623</v>
      </c>
    </row>
    <row r="23">
      <c r="A23" s="8" t="inlineStr">
        <is>
          <t xml:space="preserve">    30. Paid-in or capital surplus</t>
        </is>
      </c>
      <c r="B23" s="9" t="n">
        <v>0</v>
      </c>
      <c r="C23" s="9" t="n">
        <v>0</v>
      </c>
      <c r="D23" s="9" t="n">
        <v>0</v>
      </c>
      <c r="E23" s="9" t="n">
        <v>0</v>
      </c>
      <c r="F23" s="9" t="n">
        <v>0</v>
      </c>
    </row>
    <row r="24">
      <c r="A24" s="8" t="inlineStr">
        <is>
          <t xml:space="preserve">    31. Retained earnings / accumulated funds</t>
        </is>
      </c>
      <c r="B24" s="9" t="n">
        <v>19100058</v>
      </c>
      <c r="C24" s="9" t="n">
        <v>20119936</v>
      </c>
      <c r="D24" s="9" t="n">
        <v>21273012</v>
      </c>
      <c r="E24" s="9" t="n">
        <v>22702717</v>
      </c>
      <c r="F24" s="9" t="n">
        <v>23252239</v>
      </c>
    </row>
    <row r="25">
      <c r="A25" s="10" t="inlineStr">
        <is>
          <t>32. Total net assets / fund balances</t>
        </is>
      </c>
      <c r="B25" s="11">
        <f>SUM(B22:B24)</f>
        <v/>
      </c>
      <c r="C25" s="11">
        <f>SUM(C22:C24)</f>
        <v/>
      </c>
      <c r="D25" s="11">
        <f>SUM(D22:D24)</f>
        <v/>
      </c>
      <c r="E25" s="11">
        <f>SUM(E22:E24)</f>
        <v/>
      </c>
      <c r="F25" s="11">
        <f>SUM(F22:F24)</f>
        <v/>
      </c>
    </row>
    <row r="27" ht="42" customHeight="1">
      <c r="A27"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27:F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Lincoln Avenue Water Company</t>
        </is>
      </c>
    </row>
    <row r="2">
      <c r="A2" s="2" t="inlineStr">
        <is>
          <t>Reconciliation of Net Assets - Form 990 Part XI (USD)</t>
        </is>
      </c>
    </row>
    <row r="3">
      <c r="A3" s="2" t="inlineStr">
        <is>
          <t>Entity ID: cawc_0026   |   Fiscal year ends December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18511202</v>
      </c>
      <c r="C7" s="9" t="n">
        <v>19428081</v>
      </c>
      <c r="D7" s="9" t="n">
        <v>20455159</v>
      </c>
      <c r="E7" s="9" t="n">
        <v>21604635</v>
      </c>
      <c r="F7" s="9" t="n">
        <v>23066740</v>
      </c>
    </row>
    <row r="8">
      <c r="A8" s="8" t="inlineStr">
        <is>
          <t xml:space="preserve">    3. Revenue less expenses</t>
        </is>
      </c>
      <c r="B8" s="9" t="n">
        <v>916879</v>
      </c>
      <c r="C8" s="9" t="n">
        <v>1019878</v>
      </c>
      <c r="D8" s="9" t="n">
        <v>1153076</v>
      </c>
      <c r="E8" s="9" t="n">
        <v>1429705</v>
      </c>
      <c r="F8" s="9" t="n">
        <v>549522</v>
      </c>
    </row>
    <row r="9">
      <c r="A9" s="8" t="inlineStr">
        <is>
          <t xml:space="preserve">    8. Prior period adjustments</t>
        </is>
      </c>
      <c r="B9" s="19" t="inlineStr">
        <is>
          <t>not reported</t>
        </is>
      </c>
      <c r="C9" s="19" t="inlineStr">
        <is>
          <t>not reported</t>
        </is>
      </c>
      <c r="D9" s="19" t="inlineStr">
        <is>
          <t>not reported</t>
        </is>
      </c>
      <c r="E9" s="19" t="inlineStr">
        <is>
          <t>not reported</t>
        </is>
      </c>
      <c r="F9" s="19" t="inlineStr">
        <is>
          <t>not reported</t>
        </is>
      </c>
    </row>
    <row r="10">
      <c r="A10" s="8" t="inlineStr">
        <is>
          <t xml:space="preserve">    9. Other changes in net assets</t>
        </is>
      </c>
      <c r="B10" s="9" t="n">
        <v>0</v>
      </c>
      <c r="C10" s="9" t="n">
        <v>7200</v>
      </c>
      <c r="D10" s="9" t="n">
        <v>-3600</v>
      </c>
      <c r="E10" s="9" t="n">
        <v>32400</v>
      </c>
      <c r="F10" s="9" t="n">
        <v>19600</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Lincoln Avenue Water Company</t>
        </is>
      </c>
    </row>
    <row r="2">
      <c r="A2" s="2" t="inlineStr">
        <is>
          <t>Cash Flow Proxies - derived (USD)</t>
        </is>
      </c>
    </row>
    <row r="3">
      <c r="A3" s="2" t="inlineStr">
        <is>
          <t>Entity ID: cawc_0026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916879</v>
      </c>
      <c r="C9" s="9" t="n">
        <v>1019878</v>
      </c>
      <c r="D9" s="9" t="n">
        <v>1153076</v>
      </c>
      <c r="E9" s="9" t="n">
        <v>1429705</v>
      </c>
      <c r="F9" s="9" t="n">
        <v>549522</v>
      </c>
    </row>
    <row r="10">
      <c r="A10" s="8" t="inlineStr">
        <is>
          <t xml:space="preserve">    + Depreciation (reported)</t>
        </is>
      </c>
      <c r="B10" s="9" t="n">
        <v>566049</v>
      </c>
      <c r="C10" s="9" t="n">
        <v>588471</v>
      </c>
      <c r="D10" s="9" t="n">
        <v>621280</v>
      </c>
      <c r="E10" s="9" t="n">
        <v>648774</v>
      </c>
      <c r="F10" s="9" t="n">
        <v>701225</v>
      </c>
    </row>
    <row r="11">
      <c r="A11" s="8" t="inlineStr">
        <is>
          <t xml:space="preserve">    − Δ Accounts receivable</t>
        </is>
      </c>
      <c r="B11" s="9" t="n"/>
      <c r="C11" s="9" t="n">
        <v>144354</v>
      </c>
      <c r="D11" s="9" t="n">
        <v>113310</v>
      </c>
      <c r="E11" s="9" t="n">
        <v>-169709</v>
      </c>
      <c r="F11" s="9" t="n">
        <v>33025</v>
      </c>
    </row>
    <row r="12">
      <c r="A12" s="8" t="inlineStr">
        <is>
          <t xml:space="preserve">    − Δ Inventories</t>
        </is>
      </c>
      <c r="B12" s="9" t="n"/>
      <c r="C12" s="9" t="n">
        <v>5085</v>
      </c>
      <c r="D12" s="9" t="n">
        <v>9673</v>
      </c>
      <c r="E12" s="9" t="n">
        <v>-31136</v>
      </c>
      <c r="F12" s="9" t="n">
        <v>26436</v>
      </c>
    </row>
    <row r="13">
      <c r="A13" s="8" t="inlineStr">
        <is>
          <t xml:space="preserve">    − Δ Prepaid expenses</t>
        </is>
      </c>
      <c r="B13" s="9" t="n"/>
      <c r="C13" s="9" t="n">
        <v>-22014</v>
      </c>
      <c r="D13" s="9" t="n">
        <v>-17707</v>
      </c>
      <c r="E13" s="9" t="n">
        <v>-8449</v>
      </c>
      <c r="F13" s="9" t="n">
        <v>-88520</v>
      </c>
    </row>
    <row r="14">
      <c r="A14" s="8" t="inlineStr">
        <is>
          <t xml:space="preserve">    + Δ Accounts payable</t>
        </is>
      </c>
      <c r="B14" s="9" t="n"/>
      <c r="C14" s="9" t="n">
        <v>-151631</v>
      </c>
      <c r="D14" s="9" t="n">
        <v>-81906</v>
      </c>
      <c r="E14" s="9" t="n">
        <v>152507</v>
      </c>
      <c r="F14" s="9" t="n">
        <v>-127344</v>
      </c>
    </row>
    <row r="15">
      <c r="A15" s="10" t="inlineStr">
        <is>
          <t xml:space="preserve">    Operating cash flow proxy</t>
        </is>
      </c>
      <c r="B15" s="11" t="n"/>
      <c r="C15" s="11" t="n">
        <v>1584143</v>
      </c>
      <c r="D15" s="11" t="n">
        <v>1797726</v>
      </c>
      <c r="E15" s="11" t="n">
        <v>2021692</v>
      </c>
      <c r="F15" s="11" t="n">
        <v>1094344</v>
      </c>
    </row>
    <row r="17">
      <c r="A17" s="6" t="inlineStr">
        <is>
          <t>Investing</t>
        </is>
      </c>
      <c r="B17" s="7" t="n"/>
      <c r="C17" s="7" t="n"/>
      <c r="D17" s="7" t="n"/>
      <c r="E17" s="7" t="n"/>
      <c r="F17" s="7" t="n"/>
    </row>
    <row r="18">
      <c r="A18" s="8" t="inlineStr">
        <is>
          <t xml:space="preserve">    − Δ PP&amp;E gross (capex proxy)</t>
        </is>
      </c>
      <c r="B18" s="9" t="n"/>
      <c r="C18" s="9" t="n">
        <v>-856161</v>
      </c>
      <c r="D18" s="9" t="n">
        <v>-995874</v>
      </c>
      <c r="E18" s="9" t="n">
        <v>-1290588</v>
      </c>
      <c r="F18" s="9" t="n">
        <v>-1521467</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468816</v>
      </c>
      <c r="D24" s="11" t="n">
        <v>493534</v>
      </c>
      <c r="E24" s="11" t="n">
        <v>446412</v>
      </c>
      <c r="F24" s="11" t="n">
        <v>-771624</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Lincoln Avenue Water Company</t>
        </is>
      </c>
    </row>
    <row r="2">
      <c r="A2" s="2" t="inlineStr">
        <is>
          <t>Financial Ratios</t>
        </is>
      </c>
    </row>
    <row r="3">
      <c r="A3" s="2" t="inlineStr">
        <is>
          <t>Entity ID: cawc_0026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0.3310695825336846</v>
      </c>
      <c r="C7" s="12" t="n">
        <v>0.3428190152858427</v>
      </c>
      <c r="D7" s="12" t="n">
        <v>0.3679144835481593</v>
      </c>
      <c r="E7" s="12" t="n">
        <v>0.4046477295852015</v>
      </c>
      <c r="F7" s="12" t="n">
        <v>0.08827605927030188</v>
      </c>
    </row>
    <row r="8">
      <c r="A8" s="8" t="inlineStr">
        <is>
          <t xml:space="preserve">    Expense ratio (expenses / revenue)</t>
        </is>
      </c>
      <c r="B8" s="12" t="n">
        <v>0.6689304174663154</v>
      </c>
      <c r="C8" s="12" t="n">
        <v>0.6571809847141573</v>
      </c>
      <c r="D8" s="12" t="n">
        <v>0.6320855164518406</v>
      </c>
      <c r="E8" s="12" t="n">
        <v>0.5953522704147985</v>
      </c>
      <c r="F8" s="12" t="n">
        <v>0.9117239407296981</v>
      </c>
    </row>
    <row r="9">
      <c r="A9" s="8" t="inlineStr">
        <is>
          <t xml:space="preserve">    Return on assets (NI / assets)</t>
        </is>
      </c>
      <c r="B9" s="12" t="n">
        <v>0.04227288660809555</v>
      </c>
      <c r="C9" s="12" t="n">
        <v>0.04573729035128198</v>
      </c>
      <c r="D9" s="12" t="n">
        <v>0.04994116815737508</v>
      </c>
      <c r="E9" s="12" t="n">
        <v>0.05855106263848341</v>
      </c>
      <c r="F9" s="12" t="n">
        <v>0.022374912046093</v>
      </c>
    </row>
    <row r="10">
      <c r="A10" s="8" t="inlineStr">
        <is>
          <t xml:space="preserve">    Revenue growth (YoY)</t>
        </is>
      </c>
      <c r="B10" s="12" t="n">
        <v>-0.06725684878449652</v>
      </c>
      <c r="C10" s="12" t="n">
        <v>0.07421342543361575</v>
      </c>
      <c r="D10" s="12" t="n">
        <v>0.05348347465104749</v>
      </c>
      <c r="E10" s="12" t="n">
        <v>0.127348730268177</v>
      </c>
      <c r="F10" s="12" t="n">
        <v>0.7618657713144057</v>
      </c>
    </row>
    <row r="12">
      <c r="A12" s="6" t="inlineStr">
        <is>
          <t>Leverage &amp; solvency</t>
        </is>
      </c>
      <c r="B12" s="7" t="n"/>
      <c r="C12" s="7" t="n"/>
      <c r="D12" s="7" t="n"/>
      <c r="E12" s="7" t="n"/>
      <c r="F12" s="7" t="n"/>
    </row>
    <row r="13">
      <c r="A13" s="8" t="inlineStr">
        <is>
          <t xml:space="preserve">    Debt-to-assets (liab. / assets)</t>
        </is>
      </c>
      <c r="B13" s="12" t="n">
        <v>0.1042645047755532</v>
      </c>
      <c r="C13" s="12" t="n">
        <v>0.08267111716828986</v>
      </c>
      <c r="D13" s="12" t="n">
        <v>0.06427615394500345</v>
      </c>
      <c r="E13" s="12" t="n">
        <v>0.05534208902842844</v>
      </c>
      <c r="F13" s="12" t="n">
        <v>0.03761754145677199</v>
      </c>
    </row>
    <row r="14">
      <c r="A14" s="8" t="inlineStr">
        <is>
          <t xml:space="preserve">    Equity ratio (net assets / assets)</t>
        </is>
      </c>
      <c r="B14" s="12" t="n">
        <v>0.8957354952244467</v>
      </c>
      <c r="C14" s="12" t="n">
        <v>0.9173288828317101</v>
      </c>
      <c r="D14" s="12" t="n">
        <v>0.9357238460549966</v>
      </c>
      <c r="E14" s="12" t="n">
        <v>0.9446579109715716</v>
      </c>
      <c r="F14" s="12" t="n">
        <v>0.962382458543228</v>
      </c>
    </row>
    <row r="16">
      <c r="A16" s="6" t="inlineStr">
        <is>
          <t>Liquidity &amp; asset profile (derived here)</t>
        </is>
      </c>
      <c r="B16" s="7" t="n"/>
      <c r="C16" s="7" t="n"/>
      <c r="D16" s="7" t="n"/>
      <c r="E16" s="7" t="n"/>
      <c r="F16" s="7" t="n"/>
    </row>
    <row r="17">
      <c r="A17" s="8" t="inlineStr">
        <is>
          <t xml:space="preserve">    Current ratio (current assets / AP)</t>
        </is>
      </c>
      <c r="B17" s="20" t="n">
        <v>7.554926200996522</v>
      </c>
      <c r="C17" s="20" t="n">
        <v>11.25848271327271</v>
      </c>
      <c r="D17" s="20" t="n">
        <v>15.35875989949529</v>
      </c>
      <c r="E17" s="20" t="n">
        <v>11.7861400483802</v>
      </c>
      <c r="F17" s="20" t="n">
        <v>13.9857897026831</v>
      </c>
    </row>
    <row r="18">
      <c r="A18" s="8" t="inlineStr">
        <is>
          <t xml:space="preserve">    Cash ratio ((cash+temp inv.) / total liab.)</t>
        </is>
      </c>
      <c r="B18" s="20" t="n">
        <v>1.507632720274797</v>
      </c>
      <c r="C18" s="20" t="n">
        <v>2.103798256639314</v>
      </c>
      <c r="D18" s="20" t="n">
        <v>2.945842194208828</v>
      </c>
      <c r="E18" s="20" t="n">
        <v>3.565473142373393</v>
      </c>
      <c r="F18" s="20" t="n">
        <v>4.379988894625583</v>
      </c>
    </row>
    <row r="19">
      <c r="A19" s="8" t="inlineStr">
        <is>
          <t xml:space="preserve">    Asset age proxy (accum. deprec. / gross PP&amp;E)</t>
        </is>
      </c>
      <c r="B19" s="12" t="n">
        <v>0.3954204359425776</v>
      </c>
      <c r="C19" s="12" t="n">
        <v>0.4038022122038744</v>
      </c>
      <c r="D19" s="12" t="n">
        <v>0.4099980946867658</v>
      </c>
      <c r="E19" s="12" t="n">
        <v>0.4127314996729889</v>
      </c>
      <c r="F19" s="12" t="n">
        <v>0.4130078832718341</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Lincoln Avenue Water Company</t>
        </is>
      </c>
    </row>
    <row r="2">
      <c r="A2" s="2" t="inlineStr">
        <is>
          <t>Unit economics - per-customer revenue by category (USD)</t>
        </is>
      </c>
    </row>
    <row r="3">
      <c r="A3" s="2" t="inlineStr">
        <is>
          <t>Entity ID: cawc_0026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1" t="inlineStr">
        <is>
          <t>Per-customer denominator (service connections)</t>
        </is>
      </c>
      <c r="B6" s="22" t="n">
        <v>4477</v>
      </c>
      <c r="C6" s="23" t="inlineStr">
        <is>
          <t>State Water Board eAR Section 4 (CurTotalConnections), reporting year 2023</t>
        </is>
      </c>
    </row>
    <row r="7">
      <c r="A7" s="21" t="inlineStr">
        <is>
          <t>Total annual revenue (eAR Section 8b B1.8)</t>
        </is>
      </c>
      <c r="B7" s="9" t="n">
        <v>6191765</v>
      </c>
      <c r="C7" s="23" t="inlineStr">
        <is>
          <t>State Water Board eAR Section 8b, question B1.8 (total annual revenue), reporting year 2023</t>
        </is>
      </c>
    </row>
    <row r="8">
      <c r="A8" s="21" t="inlineStr">
        <is>
          <t>Primary source</t>
        </is>
      </c>
      <c r="B8" s="24" t="inlineStr"/>
      <c r="C8" s="23" t="inlineStr">
        <is>
          <t>State Water Board eAR Section 8b (revenue by rate/fee), reporting year 2023</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DIRECT</t>
        </is>
      </c>
      <c r="C12" s="9" t="n">
        <v>4758028</v>
      </c>
      <c r="D12" s="26" t="n">
        <v>1062.77</v>
      </c>
      <c r="E12" s="27" t="n">
        <v>0.7684</v>
      </c>
    </row>
    <row r="13">
      <c r="A13" s="8" t="inlineStr">
        <is>
          <t>Assessment revenue (990 program-service revenue not matched to eAR water-rate revenue)</t>
        </is>
      </c>
      <c r="B13" s="25" t="inlineStr">
        <is>
          <t>DERIVED</t>
        </is>
      </c>
      <c r="C13" s="9" t="n">
        <v>-4486267</v>
      </c>
      <c r="D13" s="26" t="n">
        <v>-1002.07</v>
      </c>
      <c r="E13" s="27" t="n">
        <v>-16.5081</v>
      </c>
    </row>
    <row r="14">
      <c r="A14" s="8" t="inlineStr">
        <is>
          <t>Meter revenue</t>
        </is>
      </c>
      <c r="B14" s="25" t="inlineStr">
        <is>
          <t>not reported</t>
        </is>
      </c>
      <c r="C14" s="28" t="inlineStr">
        <is>
          <t>not reported</t>
        </is>
      </c>
      <c r="D14" s="28" t="inlineStr">
        <is>
          <t>not reported</t>
        </is>
      </c>
      <c r="E14" s="28" t="inlineStr">
        <is>
          <t>not reported</t>
        </is>
      </c>
    </row>
    <row r="15">
      <c r="A15" s="8" t="inlineStr">
        <is>
          <t>Overage or tiered penalty revenue</t>
        </is>
      </c>
      <c r="B15" s="25" t="inlineStr">
        <is>
          <t>not reported</t>
        </is>
      </c>
      <c r="C15" s="28" t="inlineStr">
        <is>
          <t>not reported</t>
        </is>
      </c>
      <c r="D15" s="28" t="inlineStr">
        <is>
          <t>not reported</t>
        </is>
      </c>
      <c r="E15" s="28"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21" t="inlineStr">
        <is>
          <t>Numerator: Water rate revenue</t>
        </is>
      </c>
      <c r="B19" s="9" t="n">
        <v>4758028</v>
      </c>
      <c r="C19" s="23" t="inlineStr">
        <is>
          <t>eAR Section 8b field B1.1 (residential water rates) + B1.2 (non-residential water rates). State Water Board eAR Section 8b, question B1.1 + B1.2 (revenue from water rates), reporting year 2023</t>
        </is>
      </c>
    </row>
    <row r="20">
      <c r="A20" s="21" t="inlineStr">
        <is>
          <t>Denominator: Total service connections</t>
        </is>
      </c>
      <c r="B20" s="22" t="n">
        <v>4477</v>
      </c>
      <c r="C20" s="23" t="inlineStr">
        <is>
          <t>eAR Section 4 CurTotalConnections, reporting year 2023. State Water Board eAR Section 4 (CurTotalConnections), reporting year 2023</t>
        </is>
      </c>
    </row>
    <row r="21" ht="36" customHeight="1">
      <c r="A21" s="3" t="inlineStr">
        <is>
          <t>Per customer: water rate revenue $4,758,028 / 4,477 connections = $1,062.77 per connection</t>
        </is>
      </c>
    </row>
    <row r="22" ht="36" customHeight="1">
      <c r="A22" s="3" t="inlineStr">
        <is>
          <t>Share of revenue: water rate revenue $4,758,028 / total annual revenue (eAR Section 8b B1.8) $6,191,765 = 76.84%</t>
        </is>
      </c>
    </row>
    <row r="23" ht="66" customHeight="1">
      <c r="A23" s="3" t="inlineStr">
        <is>
          <t>Period treatment: Numerator (eAR Section 8b, the calendar year 2023) and denominator (eAR Section 4 connections reported in the same eAR filing) are both the eAR reporting year 2023,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DERIVED</t>
        </is>
      </c>
      <c r="B26" s="7" t="n"/>
      <c r="C26" s="7" t="n"/>
      <c r="D26" s="7" t="n"/>
      <c r="E26" s="7" t="n"/>
    </row>
    <row r="27" ht="66" customHeight="1">
      <c r="A27" s="3" t="inlineStr">
        <is>
          <t>A DERIVED residual (medium confidence): the part of the Form 990 program-service revenue that is not matched by the eAR water-rate revenue for the same period. Computed by us, not a filed line.</t>
        </is>
      </c>
    </row>
    <row r="28">
      <c r="A28" s="21" t="inlineStr">
        <is>
          <t>Input A: Form 990 program-service revenue</t>
        </is>
      </c>
      <c r="B28" s="9" t="n">
        <v>271761</v>
      </c>
      <c r="C28" s="23" t="inlineStr">
        <is>
          <t>Form 990 Part VIII line 2 (total program-service revenue), fiscal year 2023 ending December 31, 2023</t>
        </is>
      </c>
    </row>
    <row r="29">
      <c r="A29" s="21" t="inlineStr">
        <is>
          <t>Input B: eAR water-rate revenue</t>
        </is>
      </c>
      <c r="B29" s="9" t="n">
        <v>4758028</v>
      </c>
      <c r="C29" s="23" t="inlineStr">
        <is>
          <t>State Water Board eAR Section 8b, question B1.1 + B1.2 (revenue from water rates), reporting year 2023</t>
        </is>
      </c>
    </row>
    <row r="30">
      <c r="A30" s="14" t="inlineStr">
        <is>
          <t>Residual (A minus B) = assessment revenue</t>
        </is>
      </c>
      <c r="B30" s="15">
        <f>B28-B29</f>
        <v/>
      </c>
      <c r="C30" s="23" t="inlineStr">
        <is>
          <t>$271,761 (990 program-service revenue) minus $4,758,028 (eAR water-rate revenue) = $-4,486,267</t>
        </is>
      </c>
    </row>
    <row r="31" ht="66" customHeight="1">
      <c r="A31" s="3" t="inlineStr">
        <is>
          <t>Period alignment: Both inputs cover the same period: the eAR Section 8b is the calendar year 2023 and the Form 990 fiscal year 2023 ends December 31, 2023, so the residual is period-aligned.</t>
        </is>
      </c>
    </row>
    <row r="32" ht="51" customHeight="1">
      <c r="A32" s="3" t="inlineStr">
        <is>
          <t>What it IS: revenue the system booked as program service on its 990 that is not accounted for by the eAR water-rate line, plausibly member assessments and other service revenue.</t>
        </is>
      </c>
    </row>
    <row r="33" ht="51" customHeight="1">
      <c r="A33" s="3" t="inlineStr">
        <is>
          <t>This residual is a difference between two sources for the same period; it is not a separately filed assessment line and may include other unmatched revenue.</t>
        </is>
      </c>
    </row>
    <row r="34">
      <c r="A34" s="21" t="inlineStr">
        <is>
          <t>Denominator: Total service connections</t>
        </is>
      </c>
      <c r="B34" s="22" t="n">
        <v>4477</v>
      </c>
      <c r="C34" s="23" t="inlineStr">
        <is>
          <t>eAR Section 4 CurTotalConnections, reporting year 2023. State Water Board eAR Section 4 (CurTotalConnections), reporting year 2023</t>
        </is>
      </c>
    </row>
    <row r="35" ht="36" customHeight="1">
      <c r="A35" s="3" t="inlineStr">
        <is>
          <t>Per customer: residual $-4,486,267 / 4,477 connections = $-1,002.07 per connection</t>
        </is>
      </c>
    </row>
    <row r="36" ht="36" customHeight="1">
      <c r="A36" s="3" t="inlineStr">
        <is>
          <t>Share of revenue: residual $-4,486,267 / 990 program-service revenue $271,761 = -1650.81%</t>
        </is>
      </c>
    </row>
    <row r="38">
      <c r="A38" s="6" t="inlineStr">
        <is>
          <t>Meter revenue - not reported</t>
        </is>
      </c>
      <c r="B38" s="7" t="n"/>
      <c r="C38" s="7" t="n"/>
      <c r="D38" s="7" t="n"/>
      <c r="E38" s="7" t="n"/>
    </row>
    <row r="39" ht="36" customHeight="1">
      <c r="A39" s="3" t="inlineStr">
        <is>
          <t>Not reported. This category is not built because doing so would double-count.</t>
        </is>
      </c>
    </row>
    <row r="40" ht="81" customHeight="1">
      <c r="A40"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42">
      <c r="A42" s="6" t="inlineStr">
        <is>
          <t>Overage or tiered penalty revenue - not reported</t>
        </is>
      </c>
      <c r="B42" s="7" t="n"/>
      <c r="C42" s="7" t="n"/>
      <c r="D42" s="7" t="n"/>
      <c r="E42" s="7" t="n"/>
    </row>
    <row r="43" ht="36" customHeight="1">
      <c r="A43" s="3" t="inlineStr">
        <is>
          <t>Not reported. This category is not built because doing so would double-count.</t>
        </is>
      </c>
    </row>
    <row r="44" ht="81" customHeight="1">
      <c r="A44"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9">
    <mergeCell ref="A39:E39"/>
    <mergeCell ref="A24:E24"/>
    <mergeCell ref="A1:E1"/>
    <mergeCell ref="A36:E36"/>
    <mergeCell ref="A18:E18"/>
    <mergeCell ref="A27:E27"/>
    <mergeCell ref="A3:E3"/>
    <mergeCell ref="A21:E21"/>
    <mergeCell ref="A2:E2"/>
    <mergeCell ref="A33:E33"/>
    <mergeCell ref="A5:E5"/>
    <mergeCell ref="A23:E23"/>
    <mergeCell ref="A32:E32"/>
    <mergeCell ref="A22:E22"/>
    <mergeCell ref="A35:E35"/>
    <mergeCell ref="A43:E43"/>
    <mergeCell ref="A31:E31"/>
    <mergeCell ref="A44:E44"/>
    <mergeCell ref="A40:E4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2"/>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s>
  <sheetData>
    <row r="1">
      <c r="A1" s="1" t="inlineStr">
        <is>
          <t>Lincoln Avenue Water Company</t>
        </is>
      </c>
    </row>
    <row r="2">
      <c r="A2" s="2" t="inlineStr">
        <is>
          <t>Rate structure and representative bill - eAR Section 8a (RY2024)</t>
        </is>
      </c>
    </row>
    <row r="3">
      <c r="A3" s="2" t="inlineStr">
        <is>
          <t>Entity ID: cawc_0026   |   Fiscal year ends December 31.</t>
        </is>
      </c>
    </row>
    <row r="5" ht="81" customHeight="1">
      <c r="A5" s="29" t="inlineStr">
        <is>
          <t>This block is a rate-schedule illustration at defined usage levels. It is NOT billed revenue and not a claim about any real customer's usage. The revenue side of unit economics is the separate Unit Economics block.</t>
        </is>
      </c>
    </row>
    <row r="6" ht="51" customHeight="1">
      <c r="A6" s="30" t="inlineStr">
        <is>
          <t>Structure: Tiered increasing-block with a fixed base, billed monthly, priced per HCF. Rate schedule last updated 04/30/2010.</t>
        </is>
      </c>
    </row>
    <row r="7" ht="216" customHeight="1">
      <c r="A7" s="3" t="inlineStr">
        <is>
          <t>Defined single-family usage levels, identical for every company so the bill is comparable: Low = 5 HCF/month (~125 gallons/day); Median = 10 HCF/month (~249 gallons/day); High = 25 HCF/month (~623 gallons/day). 1 HCF = 748 gallons, and 1 thousand gallons = 1,000 gallons. The usage is converted into the company's own filed unit before the filed tiers are applied, and the bill is stated as a monthly equivalent: a bimonthly structure is computed at twice the monthly usage and divided by two, and any other billing period the same way with its factor stated. These are an illustration, not a measured usage for any real customer.</t>
        </is>
      </c>
    </row>
    <row r="9">
      <c r="A9" s="6" t="inlineStr">
        <is>
          <t>Defined usage levels (EDITABLE - change a yellow cell to move the bill)</t>
        </is>
      </c>
      <c r="B9" s="7" t="n"/>
      <c r="C9" s="7" t="n"/>
      <c r="D9" s="7" t="n"/>
    </row>
    <row r="10">
      <c r="A10" s="31" t="inlineStr"/>
      <c r="B10" s="5" t="inlineStr">
        <is>
          <t>Low</t>
        </is>
      </c>
      <c r="C10" s="5" t="inlineStr">
        <is>
          <t>Median</t>
        </is>
      </c>
      <c r="D10" s="5" t="inlineStr">
        <is>
          <t>High</t>
        </is>
      </c>
    </row>
    <row r="11">
      <c r="A11" s="8" t="inlineStr">
        <is>
          <t>Monthly usage (HCF)</t>
        </is>
      </c>
      <c r="B11" s="32" t="n">
        <v>5</v>
      </c>
      <c r="C11" s="32" t="n">
        <v>10</v>
      </c>
      <c r="D11" s="32" t="n">
        <v>25</v>
      </c>
    </row>
    <row r="12">
      <c r="A12" s="8" t="inlineStr">
        <is>
          <t>Months per bill (from filed billing frequency)</t>
        </is>
      </c>
      <c r="B12" s="33" t="n">
        <v>1</v>
      </c>
      <c r="C12" s="13" t="inlineStr">
        <is>
          <t>monthly biller</t>
        </is>
      </c>
    </row>
    <row r="14">
      <c r="A14" s="6" t="inlineStr">
        <is>
          <t>Filed rate table - single-family residential (as filed, eAR Section 8a)</t>
        </is>
      </c>
      <c r="B14" s="7" t="n"/>
      <c r="C14" s="7" t="n"/>
      <c r="D14" s="7" t="n"/>
    </row>
    <row r="15">
      <c r="A15" s="8" t="inlineStr">
        <is>
          <t>Base / fixed charge per monthly bill ($)</t>
        </is>
      </c>
      <c r="B15" s="26" t="n">
        <v>30.5</v>
      </c>
    </row>
    <row r="16">
      <c r="A16" s="4" t="inlineStr">
        <is>
          <t>Tier</t>
        </is>
      </c>
      <c r="B16" s="4" t="inlineStr">
        <is>
          <t>Range (HCF)</t>
        </is>
      </c>
      <c r="C16" s="34" t="inlineStr">
        <is>
          <t>Price ($/HCF)</t>
        </is>
      </c>
      <c r="D16" s="34" t="inlineStr">
        <is>
          <t>Upper limit (HCF)</t>
        </is>
      </c>
    </row>
    <row r="17">
      <c r="A17" s="8" t="inlineStr">
        <is>
          <t>Tier 1</t>
        </is>
      </c>
      <c r="B17" s="8" t="inlineStr">
        <is>
          <t>0 to 7 HCF</t>
        </is>
      </c>
      <c r="C17" s="35" t="n">
        <v>4.03</v>
      </c>
      <c r="D17" s="36" t="n">
        <v>7</v>
      </c>
    </row>
    <row r="18">
      <c r="A18" s="8" t="inlineStr">
        <is>
          <t>Tier 2</t>
        </is>
      </c>
      <c r="B18" s="8" t="inlineStr">
        <is>
          <t>7 to 20 HCF</t>
        </is>
      </c>
      <c r="C18" s="35" t="n">
        <v>4.76</v>
      </c>
      <c r="D18" s="36" t="n">
        <v>20</v>
      </c>
    </row>
    <row r="19">
      <c r="A19" s="8" t="inlineStr">
        <is>
          <t>Tier 3</t>
        </is>
      </c>
      <c r="B19" s="8" t="inlineStr">
        <is>
          <t>20 to 40 HCF</t>
        </is>
      </c>
      <c r="C19" s="35" t="n">
        <v>5.31</v>
      </c>
      <c r="D19" s="36" t="n">
        <v>40</v>
      </c>
    </row>
    <row r="20">
      <c r="A20" s="8" t="inlineStr">
        <is>
          <t>Tier 4</t>
        </is>
      </c>
      <c r="B20" s="8" t="inlineStr">
        <is>
          <t>over 40 HCF</t>
        </is>
      </c>
      <c r="C20" s="35" t="n">
        <v>5.92</v>
      </c>
      <c r="D20" s="36" t="inlineStr">
        <is>
          <t>no limit</t>
        </is>
      </c>
    </row>
    <row r="22">
      <c r="A22" s="6" t="inlineStr">
        <is>
          <t>Representative monthly bill - LIVE (edit a yellow usage cell to recompute)</t>
        </is>
      </c>
      <c r="B22" s="7" t="n"/>
      <c r="C22" s="7" t="n"/>
      <c r="D22" s="7" t="n"/>
    </row>
    <row r="23">
      <c r="A23" s="31" t="inlineStr"/>
      <c r="B23" s="5" t="inlineStr">
        <is>
          <t>Low</t>
        </is>
      </c>
      <c r="C23" s="5" t="inlineStr">
        <is>
          <t>Median</t>
        </is>
      </c>
      <c r="D23" s="5" t="inlineStr">
        <is>
          <t>High</t>
        </is>
      </c>
    </row>
    <row r="24">
      <c r="A24" s="8" t="inlineStr">
        <is>
          <t>Usage per bill (HCF)</t>
        </is>
      </c>
      <c r="B24" s="37">
        <f>B11*$B$12</f>
        <v/>
      </c>
      <c r="C24" s="37">
        <f>C11*$B$12</f>
        <v/>
      </c>
      <c r="D24" s="37">
        <f>D11*$B$12</f>
        <v/>
      </c>
    </row>
    <row r="25">
      <c r="A25" s="8" t="inlineStr">
        <is>
          <t xml:space="preserve">    Tier 1 charge per bill ($)</t>
        </is>
      </c>
      <c r="B25" s="38">
        <f>$C$17*MAX(0,MIN(B24,$D$17)-0)</f>
        <v/>
      </c>
      <c r="C25" s="38">
        <f>$C$17*MAX(0,MIN(C24,$D$17)-0)</f>
        <v/>
      </c>
      <c r="D25" s="38">
        <f>$C$17*MAX(0,MIN(D24,$D$17)-0)</f>
        <v/>
      </c>
    </row>
    <row r="26">
      <c r="A26" s="8" t="inlineStr">
        <is>
          <t xml:space="preserve">    Tier 2 charge per bill ($)</t>
        </is>
      </c>
      <c r="B26" s="38">
        <f>$C$18*MAX(0,MIN(B24,$D$18)-$D$17)</f>
        <v/>
      </c>
      <c r="C26" s="38">
        <f>$C$18*MAX(0,MIN(C24,$D$18)-$D$17)</f>
        <v/>
      </c>
      <c r="D26" s="38">
        <f>$C$18*MAX(0,MIN(D24,$D$18)-$D$17)</f>
        <v/>
      </c>
    </row>
    <row r="27">
      <c r="A27" s="8" t="inlineStr">
        <is>
          <t xml:space="preserve">    Tier 3 charge per bill ($)</t>
        </is>
      </c>
      <c r="B27" s="38">
        <f>$C$19*MAX(0,MIN(B24,$D$19)-$D$18)</f>
        <v/>
      </c>
      <c r="C27" s="38">
        <f>$C$19*MAX(0,MIN(C24,$D$19)-$D$18)</f>
        <v/>
      </c>
      <c r="D27" s="38">
        <f>$C$19*MAX(0,MIN(D24,$D$19)-$D$18)</f>
        <v/>
      </c>
    </row>
    <row r="28">
      <c r="A28" s="8" t="inlineStr">
        <is>
          <t xml:space="preserve">    Tier 4 charge per bill ($)</t>
        </is>
      </c>
      <c r="B28" s="38">
        <f>$C$20*MAX(0,B24-$D$19)</f>
        <v/>
      </c>
      <c r="C28" s="38">
        <f>$C$20*MAX(0,C24-$D$19)</f>
        <v/>
      </c>
      <c r="D28" s="38">
        <f>$C$20*MAX(0,D24-$D$19)</f>
        <v/>
      </c>
    </row>
    <row r="29">
      <c r="A29" s="8" t="inlineStr">
        <is>
          <t>Volumetric charge per bill ($)</t>
        </is>
      </c>
      <c r="B29" s="38">
        <f>SUM(B25,B26,B27,B28)</f>
        <v/>
      </c>
      <c r="C29" s="38">
        <f>SUM(C25,C26,C27,C28)</f>
        <v/>
      </c>
      <c r="D29" s="38">
        <f>SUM(D25,D26,D27,D28)</f>
        <v/>
      </c>
    </row>
    <row r="30">
      <c r="A30" s="8" t="inlineStr">
        <is>
          <t>Base charge per bill ($)</t>
        </is>
      </c>
      <c r="B30" s="38">
        <f>$B$15</f>
        <v/>
      </c>
      <c r="C30" s="38">
        <f>$B$15</f>
        <v/>
      </c>
      <c r="D30" s="38">
        <f>$B$15</f>
        <v/>
      </c>
    </row>
    <row r="31">
      <c r="A31" s="8" t="inlineStr">
        <is>
          <t>Total per bill ($)</t>
        </is>
      </c>
      <c r="B31" s="38">
        <f>B30+B29</f>
        <v/>
      </c>
      <c r="C31" s="38">
        <f>C30+C29</f>
        <v/>
      </c>
      <c r="D31" s="38">
        <f>D30+D29</f>
        <v/>
      </c>
    </row>
    <row r="32">
      <c r="A32" s="10" t="inlineStr">
        <is>
          <t>Total per MONTH ($)</t>
        </is>
      </c>
      <c r="B32" s="39">
        <f>B31/$B$12</f>
        <v/>
      </c>
      <c r="C32" s="39">
        <f>C31/$B$12</f>
        <v/>
      </c>
      <c r="D32" s="39">
        <f>D31/$B$12</f>
        <v/>
      </c>
    </row>
    <row r="33">
      <c r="A33" s="8" t="inlineStr">
        <is>
          <t xml:space="preserve">    Fixed per month ($)</t>
        </is>
      </c>
      <c r="B33" s="38">
        <f>$B$15/$B$12</f>
        <v/>
      </c>
      <c r="C33" s="38">
        <f>$B$15/$B$12</f>
        <v/>
      </c>
      <c r="D33" s="38">
        <f>$B$15/$B$12</f>
        <v/>
      </c>
    </row>
    <row r="34">
      <c r="A34" s="8" t="inlineStr">
        <is>
          <t xml:space="preserve">    Volumetric per month ($)</t>
        </is>
      </c>
      <c r="B34" s="38">
        <f>B29/$B$12</f>
        <v/>
      </c>
      <c r="C34" s="38">
        <f>C29/$B$12</f>
        <v/>
      </c>
      <c r="D34" s="38">
        <f>D29/$B$12</f>
        <v/>
      </c>
    </row>
    <row r="35">
      <c r="A35" s="8" t="inlineStr">
        <is>
          <t>Effective price ($/HCF)</t>
        </is>
      </c>
      <c r="B35" s="38">
        <f>IF(B11=0,"",B32/B11)</f>
        <v/>
      </c>
      <c r="C35" s="38">
        <f>IF(C11=0,"",C32/C11)</f>
        <v/>
      </c>
      <c r="D35" s="38">
        <f>IF(D11=0,"",D32/D11)</f>
        <v/>
      </c>
    </row>
    <row r="37">
      <c r="A37" s="6" t="inlineStr">
        <is>
          <t>Rate-structure comparison metrics</t>
        </is>
      </c>
      <c r="B37" s="7" t="n"/>
      <c r="C37" s="7" t="n"/>
      <c r="D37" s="7" t="n"/>
    </row>
    <row r="38">
      <c r="A38" s="8" t="inlineStr">
        <is>
          <t>Fixed share of the bill at median usage</t>
        </is>
      </c>
      <c r="B38" s="40">
        <f>C33/C32</f>
        <v/>
      </c>
      <c r="C38" s="13" t="inlineStr">
        <is>
          <t>fixed / total at 10 HCF/month</t>
        </is>
      </c>
    </row>
    <row r="39">
      <c r="A39" s="8" t="inlineStr">
        <is>
          <t>Tier price ratio (highest to lowest positive tier)</t>
        </is>
      </c>
      <c r="B39" s="41">
        <f>$C$20/$C$17</f>
        <v/>
      </c>
      <c r="C39" s="13" t="inlineStr">
        <is>
          <t>highest filed tier price divided by lowest filed tier price.</t>
        </is>
      </c>
    </row>
    <row r="40">
      <c r="A40" s="8" t="inlineStr">
        <is>
          <t>Rate structure (as filed)</t>
        </is>
      </c>
      <c r="B40" s="42" t="inlineStr">
        <is>
          <t>tiered (Variable Base)</t>
        </is>
      </c>
    </row>
    <row r="42" ht="66" customHeight="1">
      <c r="A42" s="3" t="inlineStr">
        <is>
          <t>State Water Board eAR Section 8a (Customer Charges), single- and multi-family residential charges grid, reporting year 2024. Rate structure only; no revenue.</t>
        </is>
      </c>
    </row>
  </sheetData>
  <mergeCells count="7">
    <mergeCell ref="A1:D1"/>
    <mergeCell ref="A5:D5"/>
    <mergeCell ref="A6:D6"/>
    <mergeCell ref="A3:D3"/>
    <mergeCell ref="A7:D7"/>
    <mergeCell ref="A2:D2"/>
    <mergeCell ref="A42:D4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Lincoln Avenue Water Company</t>
        </is>
      </c>
    </row>
    <row r="2">
      <c r="A2" s="2" t="inlineStr">
        <is>
          <t>eAR annual revenue and expenses - State Water Board eAR Section 8b (USD)</t>
        </is>
      </c>
    </row>
    <row r="3">
      <c r="A3" s="2" t="inlineStr">
        <is>
          <t>Entity ID: cawc_0026   |   Fiscal year ends December 31.</t>
        </is>
      </c>
    </row>
    <row r="5" ht="141" customHeight="1">
      <c r="A5" s="3" t="inlineStr">
        <is>
          <t>The water system's own annual figures from the public eAR Section 8b, on the calendar year 2023 the filer self-reported (B0.1/B0.2). Shown beside the period-aligned Form 990 with the variance flagged: a different source (a State Water Board self-report vs an IRS filing). Preserved as filed, never reconciled.</t>
        </is>
      </c>
    </row>
    <row r="6">
      <c r="A6" s="21" t="inlineStr">
        <is>
          <t>Reporting period basis (self-reported)</t>
        </is>
      </c>
      <c r="B6" s="24" t="inlineStr">
        <is>
          <t>calendar year 2023</t>
        </is>
      </c>
      <c r="C6" s="23" t="inlineStr">
        <is>
          <t>eAR Section 8b B0.1 (WRFinancialReportingPeriod)</t>
        </is>
      </c>
    </row>
    <row r="8">
      <c r="A8" s="6" t="inlineStr">
        <is>
          <t>Revenue (eAR Section 8b, questions B1.x)</t>
        </is>
      </c>
      <c r="B8" s="7" t="n"/>
      <c r="C8" s="7" t="n"/>
    </row>
    <row r="9">
      <c r="A9" s="5" t="inlineStr">
        <is>
          <t>Line</t>
        </is>
      </c>
      <c r="B9" s="5" t="inlineStr">
        <is>
          <t>Amount (USD)</t>
        </is>
      </c>
      <c r="C9" s="5" t="inlineStr">
        <is>
          <t>Citation</t>
        </is>
      </c>
    </row>
    <row r="10">
      <c r="A10" s="21" t="inlineStr">
        <is>
          <t>Water rate revenue</t>
        </is>
      </c>
      <c r="B10" s="9" t="n">
        <v>4758028</v>
      </c>
      <c r="C10" s="23" t="inlineStr">
        <is>
          <t>State Water Board eAR Section 8b, question B1.1 + B1.2 (revenue from water rates), reporting year 2023</t>
        </is>
      </c>
    </row>
    <row r="11">
      <c r="A11" s="21" t="inlineStr">
        <is>
          <t>Other fees and charges</t>
        </is>
      </c>
      <c r="B11" s="9" t="n">
        <v>115576</v>
      </c>
      <c r="C11" s="23" t="inlineStr">
        <is>
          <t>State Water Board eAR Section 8b, question B1.3 + B1.4 (revenue from other fees), reporting year 2023</t>
        </is>
      </c>
    </row>
    <row r="12">
      <c r="A12" s="21" t="inlineStr">
        <is>
          <t>Non-customer revenue</t>
        </is>
      </c>
      <c r="B12" s="9" t="n">
        <v>1318161</v>
      </c>
      <c r="C12" s="23" t="inlineStr">
        <is>
          <t>State Water Board eAR Section 8b, question B1.7 (grants, interest, and other non-customer), reporting year 2023</t>
        </is>
      </c>
    </row>
    <row r="13">
      <c r="A13" s="21" t="inlineStr">
        <is>
          <t>Total annual revenue</t>
        </is>
      </c>
      <c r="B13" s="43" t="n">
        <v>6191765</v>
      </c>
      <c r="C13" s="23" t="inlineStr">
        <is>
          <t>State Water Board eAR Section 8b, question B1.8 (total annual revenue for the reporting year), reporting year 2023</t>
        </is>
      </c>
    </row>
    <row r="15">
      <c r="A15" s="6" t="inlineStr">
        <is>
          <t>Expenses (eAR Section 8b, questions B2.x)</t>
        </is>
      </c>
      <c r="B15" s="7" t="n"/>
      <c r="C15" s="7" t="n"/>
    </row>
    <row r="16">
      <c r="A16" s="5" t="inlineStr">
        <is>
          <t>Line</t>
        </is>
      </c>
      <c r="B16" s="5" t="inlineStr">
        <is>
          <t>Amount (USD)</t>
        </is>
      </c>
      <c r="C16" s="5" t="inlineStr">
        <is>
          <t>Citation</t>
        </is>
      </c>
    </row>
    <row r="17">
      <c r="A17" s="21" t="inlineStr">
        <is>
          <t>Operations and maintenance</t>
        </is>
      </c>
      <c r="B17" s="9" t="n">
        <v>4763207</v>
      </c>
      <c r="C17" s="23" t="inlineStr">
        <is>
          <t>State Water Board eAR Section 8b, question B2.1 (annual O and M expense), reporting year 2023</t>
        </is>
      </c>
    </row>
    <row r="18">
      <c r="A18" s="21" t="inlineStr">
        <is>
          <t>Capital</t>
        </is>
      </c>
      <c r="B18" s="9" t="n">
        <v>1339232</v>
      </c>
      <c r="C18" s="23" t="inlineStr">
        <is>
          <t>State Water Board eAR Section 8b, question B2.2 (annual expenses from investing or capital), reporting year 2023</t>
        </is>
      </c>
    </row>
    <row r="19">
      <c r="A19" s="21" t="inlineStr">
        <is>
          <t>Financing</t>
        </is>
      </c>
      <c r="B19" s="9" t="n">
        <v>19569</v>
      </c>
      <c r="C19" s="23" t="inlineStr">
        <is>
          <t>State Water Board eAR Section 8b, question B2.3 (annual expenses from financing), reporting year 2023</t>
        </is>
      </c>
    </row>
    <row r="20">
      <c r="A20" s="21" t="inlineStr">
        <is>
          <t>Other</t>
        </is>
      </c>
      <c r="B20" s="9" t="n">
        <v>0</v>
      </c>
      <c r="C20" s="23" t="inlineStr">
        <is>
          <t>State Water Board eAR Section 8b, question B2.4 (total other annual expenses), reporting year 2023</t>
        </is>
      </c>
    </row>
    <row r="21">
      <c r="A21" s="21" t="inlineStr">
        <is>
          <t>Total annual expenses</t>
        </is>
      </c>
      <c r="B21" s="43" t="n">
        <v>6122008</v>
      </c>
      <c r="C21" s="23" t="inlineStr">
        <is>
          <t>State Water Board eAR Section 8b, question B2.5 (total annual expenses), reporting year 2023</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6191765</v>
      </c>
      <c r="C25" s="9" t="n">
        <v>3533209</v>
      </c>
    </row>
    <row r="26">
      <c r="A26" s="14" t="inlineStr">
        <is>
          <t>Variance (eAR minus Form 990)</t>
        </is>
      </c>
      <c r="B26" s="15">
        <f>B25-C25</f>
        <v/>
      </c>
      <c r="C26" s="44" t="n"/>
    </row>
    <row r="27" ht="126" customHeight="1">
      <c r="A27" s="3" t="inlineStr">
        <is>
          <t>The eAR Section 8b total revenue (State Water Board self-report, calendar year 2023) and the Form 990 total revenue (IRS filing) are a different source and cover the same calendar year 2023. Both are carried as filed; the variance is surfaced, never reconciled.</t>
        </is>
      </c>
    </row>
    <row r="28">
      <c r="A28" s="8" t="inlineStr">
        <is>
          <t>total expenses</t>
        </is>
      </c>
      <c r="B28" s="9" t="n">
        <v>6122008</v>
      </c>
      <c r="C28" s="9" t="n">
        <v>2103504</v>
      </c>
    </row>
    <row r="29">
      <c r="A29" s="14" t="inlineStr">
        <is>
          <t>Variance (eAR minus Form 990)</t>
        </is>
      </c>
      <c r="B29" s="15">
        <f>B28-C28</f>
        <v/>
      </c>
      <c r="C29" s="44" t="n"/>
    </row>
    <row r="30" ht="126" customHeight="1">
      <c r="A30" s="3" t="inlineStr">
        <is>
          <t>The eAR Section 8b total expenses (State Water Board self-report, calendar year 2023) and the Form 990 total expenses (IRS filing) are a different source and cover the same calendar year 2023.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Lincoln Avenue Water Company</t>
        </is>
      </c>
    </row>
    <row r="2">
      <c r="A2" s="2" t="inlineStr">
        <is>
          <t>Denominators and calendar alignment</t>
        </is>
      </c>
    </row>
    <row r="3">
      <c r="A3" s="2" t="inlineStr">
        <is>
          <t>Entity ID: cawc_0026   |   Fiscal year ends December 31.</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1" t="inlineStr">
        <is>
          <t>Customer (service connection)</t>
        </is>
      </c>
      <c r="B7" s="22" t="n">
        <v>4493</v>
      </c>
      <c r="C7" s="23" t="inlineStr">
        <is>
          <t>State Water Board eAR Section 4 (CurTotalConnections), reporting year 2024</t>
        </is>
      </c>
    </row>
    <row r="8">
      <c r="A8" s="21" t="inlineStr">
        <is>
          <t>SDWIS service-connection count (different registry)</t>
        </is>
      </c>
      <c r="B8" s="22" t="n">
        <v>4493</v>
      </c>
      <c r="C8" s="23" t="inlineStr"/>
    </row>
    <row r="9">
      <c r="A9" s="21" t="inlineStr">
        <is>
          <t>Member (shareholder)</t>
        </is>
      </c>
      <c r="B9" s="24" t="n"/>
      <c r="C9" s="23" t="inlineStr">
        <is>
          <t>No published shareholder count</t>
        </is>
      </c>
    </row>
    <row r="10" ht="96" customHeight="1">
      <c r="A10"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2">
      <c r="A12" s="6" t="inlineStr">
        <is>
          <t>Denominator layer by fiscal year</t>
        </is>
      </c>
      <c r="B12" s="7" t="n"/>
      <c r="C12" s="7" t="n"/>
      <c r="D12" s="7" t="n"/>
      <c r="E12" s="7" t="n"/>
      <c r="F12" s="7" t="n"/>
      <c r="G12" s="7" t="n"/>
    </row>
    <row r="13">
      <c r="A13" s="5" t="inlineStr">
        <is>
          <t>Fiscal year (end)</t>
        </is>
      </c>
      <c r="B13" s="5" t="inlineStr">
        <is>
          <t>Connections</t>
        </is>
      </c>
      <c r="C13" s="5" t="inlineStr">
        <is>
          <t>Population</t>
        </is>
      </c>
      <c r="D13" s="5" t="inlineStr">
        <is>
          <t>Service-area acres</t>
        </is>
      </c>
      <c r="E13" s="5" t="inlineStr">
        <is>
          <t>Water produced (AF)</t>
        </is>
      </c>
      <c r="F13" s="5" t="inlineStr">
        <is>
          <t>Water delivered (AF)</t>
        </is>
      </c>
      <c r="G13" s="5" t="inlineStr">
        <is>
          <t>Alignment method</t>
        </is>
      </c>
    </row>
    <row r="14" ht="40" customHeight="1">
      <c r="A14" s="8" t="inlineStr">
        <is>
          <t>FY2020 (2020-12-31)</t>
        </is>
      </c>
      <c r="B14" s="22" t="n">
        <v>4476</v>
      </c>
      <c r="C14" s="19" t="inlineStr">
        <is>
          <t>not reported</t>
        </is>
      </c>
      <c r="D14" s="22" t="n">
        <v>1693.4</v>
      </c>
      <c r="E14" s="22" t="n">
        <v>2307.9</v>
      </c>
      <c r="F14" s="22" t="n">
        <v>2045.9</v>
      </c>
      <c r="G14" s="24" t="inlineStr">
        <is>
          <t>eAR annual total, calendar filer, equals fiscal year (not a monthly recast)</t>
        </is>
      </c>
    </row>
    <row r="15" ht="40" customHeight="1">
      <c r="A15" s="8" t="inlineStr">
        <is>
          <t>FY2021 (2021-12-31)</t>
        </is>
      </c>
      <c r="B15" s="22" t="n">
        <v>4477</v>
      </c>
      <c r="C15" s="19" t="inlineStr">
        <is>
          <t>not reported</t>
        </is>
      </c>
      <c r="D15" s="22" t="n">
        <v>1693.4</v>
      </c>
      <c r="E15" s="22" t="n">
        <v>2177.1</v>
      </c>
      <c r="F15" s="22" t="n">
        <v>889149</v>
      </c>
      <c r="G15" s="24" t="inlineStr">
        <is>
          <t>eAR annual total, calendar filer, equals fiscal year (not a monthly recast)</t>
        </is>
      </c>
    </row>
    <row r="16" ht="40" customHeight="1">
      <c r="A16" s="8" t="inlineStr">
        <is>
          <t>FY2022 (2022-12-31)</t>
        </is>
      </c>
      <c r="B16" s="22" t="n">
        <v>4477</v>
      </c>
      <c r="C16" s="19" t="inlineStr">
        <is>
          <t>not reported</t>
        </is>
      </c>
      <c r="D16" s="22" t="n">
        <v>1693.4</v>
      </c>
      <c r="E16" s="22" t="n">
        <v>1896.6</v>
      </c>
      <c r="F16" s="22" t="n">
        <v>782140</v>
      </c>
      <c r="G16" s="24" t="inlineStr">
        <is>
          <t>eAR annual total, calendar filer, equals fiscal year (not a monthly recast)</t>
        </is>
      </c>
    </row>
    <row r="17" ht="40" customHeight="1">
      <c r="A17" s="8" t="inlineStr">
        <is>
          <t>FY2023 (2023-12-31)</t>
        </is>
      </c>
      <c r="B17" s="22" t="n">
        <v>4477</v>
      </c>
      <c r="C17" s="22" t="n">
        <v>16126</v>
      </c>
      <c r="D17" s="22" t="n">
        <v>1693.4</v>
      </c>
      <c r="E17" s="19" t="inlineStr">
        <is>
          <t>not reported</t>
        </is>
      </c>
      <c r="F17" s="19" t="inlineStr">
        <is>
          <t>not reported</t>
        </is>
      </c>
      <c r="G17" s="24" t="inlineStr">
        <is>
          <t>eAR annual total, calendar filer, equals fiscal year (not a monthly recast)</t>
        </is>
      </c>
    </row>
    <row r="18" ht="40" customHeight="1">
      <c r="A18" s="8" t="inlineStr">
        <is>
          <t>FY2024 (2024-12-31)</t>
        </is>
      </c>
      <c r="B18" s="22" t="n">
        <v>4493</v>
      </c>
      <c r="C18" s="22" t="n">
        <v>16126</v>
      </c>
      <c r="D18" s="22" t="n">
        <v>1693.4</v>
      </c>
      <c r="E18" s="19" t="inlineStr">
        <is>
          <t>not reported</t>
        </is>
      </c>
      <c r="F18" s="19" t="inlineStr">
        <is>
          <t>not reported</t>
        </is>
      </c>
      <c r="G18" s="24" t="inlineStr">
        <is>
          <t>eAR annual total, calendar filer, equals fiscal year (not a monthly recast)</t>
        </is>
      </c>
    </row>
    <row r="20">
      <c r="A20" s="6" t="inlineStr">
        <is>
          <t>Connections by class - FY2024 (eAR Section 4)</t>
        </is>
      </c>
      <c r="B20" s="7" t="n"/>
      <c r="C20" s="7" t="n"/>
      <c r="D20" s="7" t="n"/>
      <c r="E20" s="7" t="n"/>
      <c r="F20" s="7" t="n"/>
      <c r="G20" s="7" t="n"/>
    </row>
    <row r="21">
      <c r="A21" s="21" t="inlineStr">
        <is>
          <t>Single-family residential</t>
        </is>
      </c>
      <c r="B21" s="22" t="n">
        <v>4148</v>
      </c>
      <c r="C21" s="23" t="inlineStr"/>
    </row>
    <row r="22">
      <c r="A22" s="21" t="inlineStr">
        <is>
          <t>Multi-family residential</t>
        </is>
      </c>
      <c r="B22" s="22" t="n">
        <v>218</v>
      </c>
      <c r="C22" s="23" t="inlineStr"/>
    </row>
    <row r="23">
      <c r="A23" s="21" t="inlineStr">
        <is>
          <t>Commercial and institutional</t>
        </is>
      </c>
      <c r="B23" s="22" t="n">
        <v>133</v>
      </c>
      <c r="C23" s="23" t="inlineStr"/>
    </row>
    <row r="24">
      <c r="A24" s="21" t="inlineStr">
        <is>
          <t>Industrial</t>
        </is>
      </c>
      <c r="B24" s="22" t="n">
        <v>0</v>
      </c>
      <c r="C24" s="23" t="inlineStr"/>
    </row>
    <row r="25">
      <c r="A25" s="21" t="inlineStr">
        <is>
          <t>Landscape irrigation</t>
        </is>
      </c>
      <c r="B25" s="22" t="n">
        <v>0</v>
      </c>
      <c r="C25" s="23" t="inlineStr"/>
    </row>
    <row r="26">
      <c r="A26" s="21" t="inlineStr">
        <is>
          <t>Agricultural</t>
        </is>
      </c>
      <c r="B26" s="22" t="n">
        <v>0</v>
      </c>
      <c r="C26" s="23" t="inlineStr"/>
    </row>
    <row r="27" ht="81" customHeight="1">
      <c r="A27"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27:G27"/>
    <mergeCell ref="A3:G3"/>
    <mergeCell ref="A2:G2"/>
    <mergeCell ref="A10:G10"/>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Lincoln Avenue Water Company</t>
        </is>
      </c>
    </row>
    <row r="2">
      <c r="A2" s="2" t="inlineStr">
        <is>
          <t>Governance evidence status - Ostrom's eight design principles</t>
        </is>
      </c>
    </row>
    <row r="3">
      <c r="A3" s="2" t="inlineStr">
        <is>
          <t>Entity ID: cawc_0026   |   Fiscal year ends December 31.</t>
        </is>
      </c>
    </row>
    <row r="5">
      <c r="A5" s="45" t="inlineStr">
        <is>
          <t>Evidence summary: 5 documented, 1 partial, 2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5" t="inlineStr">
        <is>
          <t>DOCUMENTED</t>
        </is>
      </c>
      <c r="C10" s="24" t="inlineStr">
        <is>
          <t>The system is a defined public water system: 4,493 service connections over a State-published service-area boundary.</t>
        </is>
      </c>
      <c r="D10" s="24" t="inlineStr">
        <is>
          <t>SDWIS Community water system; SABL service-area boundary (not verified (sabl)); connections defined.</t>
        </is>
      </c>
      <c r="E10" s="46" t="inlineStr">
        <is>
          <t>[C][G]</t>
        </is>
      </c>
    </row>
    <row r="11" ht="81" customHeight="1">
      <c r="A11" s="3" t="inlineStr">
        <is>
          <t>What the record shows: SDWIS defines the membership as a fixed set of service connections and the State Water Board publishes a SABL service-area polygon, so who is inside and outside the system is documented. The boundary is Not Verified (SABL), so its outer edge rests on that State layer.</t>
        </is>
      </c>
    </row>
    <row r="12" ht="46" customHeight="1">
      <c r="A12" s="8" t="inlineStr">
        <is>
          <t>Rules fit local conditions</t>
        </is>
      </c>
      <c r="B12" s="25" t="inlineStr">
        <is>
          <t>DOCUMENTED</t>
        </is>
      </c>
      <c r="C12" s="24" t="inlineStr">
        <is>
          <t>Charges are tied to service under a documented rate or share-based allocation rule reported to the State or set in the company's structure.</t>
        </is>
      </c>
      <c r="D12" s="24" t="inlineStr">
        <is>
          <t>eAR Section 8a customer charges; documented rate or share-allocation rule.</t>
        </is>
      </c>
      <c r="E12" s="46" t="inlineStr">
        <is>
          <t>[E][r1]</t>
        </is>
      </c>
    </row>
    <row r="13" ht="81" customHeight="1">
      <c r="A13" s="3" t="inlineStr">
        <is>
          <t>What the record shows: The record documents how charges are set, whether a filed metered rate schedule or a share-and-acreage allocation, so cost tracks service. Whether every tier scales precisely with use is only partially visible at this scale, but a real cost-to-service rule is on record.</t>
        </is>
      </c>
    </row>
    <row r="14" ht="46" customHeight="1">
      <c r="A14" s="8" t="inlineStr">
        <is>
          <t>Collective-choice arrangements</t>
        </is>
      </c>
      <c r="B14" s="25" t="inlineStr">
        <is>
          <t>DOCUMENTED</t>
        </is>
      </c>
      <c r="C14" s="24" t="inlineStr">
        <is>
          <t>The company is owned by its customer-shareholders and run by a named board they elect, documented in its Form 990 governance section.</t>
        </is>
      </c>
      <c r="D14" s="24" t="inlineStr">
        <is>
          <t>Mutual ownership; named elected board of directors (Form 990).</t>
        </is>
      </c>
      <c r="E14" s="46" t="inlineStr">
        <is>
          <t>[990][r1]</t>
        </is>
      </c>
    </row>
    <row r="15" ht="81" customHeight="1">
      <c r="A15" s="3" t="inlineStr">
        <is>
          <t>What the record shows: The record documents a collective-choice mechanism: customers are shareholders who elect a named board that governs the company. Turnout and specific member votes on major decisions are not documented, but the elected-board structure and its membership are on record.</t>
        </is>
      </c>
    </row>
    <row r="16" ht="46" customHeight="1">
      <c r="A16" s="8" t="inlineStr">
        <is>
          <t>Monitoring</t>
        </is>
      </c>
      <c r="B16" s="25" t="inlineStr">
        <is>
          <t>DOCUMENTED</t>
        </is>
      </c>
      <c r="C16" s="24" t="inlineStr">
        <is>
          <t>The system is metered and monitored: the State SAFER risk assessment shows it Not Failing, and it files an annual eAR.</t>
        </is>
      </c>
      <c r="D16" s="24" t="inlineStr">
        <is>
          <t>SAFER Not Failing; annual eAR reporting; metered connections.</t>
        </is>
      </c>
      <c r="E16" s="46" t="inlineStr">
        <is>
          <t>[S][E]</t>
        </is>
      </c>
    </row>
    <row r="17" ht="81" customHeight="1">
      <c r="A17" s="3" t="inlineStr">
        <is>
          <t>What the record shows: Operational monitoring is documented: the State rates the system Not Failing on its drinking-water risk assessment and the system files an annual eAR. No independent audited financial statement is published, so financial monitoring is weaker, but the operational record is present.</t>
        </is>
      </c>
    </row>
    <row r="18" ht="46" customHeight="1">
      <c r="A18" s="8" t="inlineStr">
        <is>
          <t>Graduated sanctions</t>
        </is>
      </c>
      <c r="B18" s="25" t="inlineStr">
        <is>
          <t>NOT DOCUMENTED</t>
        </is>
      </c>
      <c r="C18" s="24" t="inlineStr">
        <is>
          <t>No published shut-off, penalty, or delinquency policy was found for this system.</t>
        </is>
      </c>
      <c r="D18" s="24" t="inlineStr">
        <is>
          <t>No sourced sanctions policy.</t>
        </is>
      </c>
      <c r="E18" s="46" t="inlineStr">
        <is>
          <t>not reported</t>
        </is>
      </c>
    </row>
    <row r="19" ht="81" customHeight="1">
      <c r="A19" s="3" t="inlineStr">
        <is>
          <t>What the record shows: No public record of a graduated shut-off or penalty policy was found for a system this small.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5" t="inlineStr">
        <is>
          <t>NOT DOCUMENTED</t>
        </is>
      </c>
      <c r="C20" s="24" t="inlineStr">
        <is>
          <t>No published bylaws, dispute procedure, or grievance mechanism was found for this system.</t>
        </is>
      </c>
      <c r="D20" s="24" t="inlineStr">
        <is>
          <t>No sourced conflict-resolution record.</t>
        </is>
      </c>
      <c r="E20" s="46" t="inlineStr">
        <is>
          <t>not reported</t>
        </is>
      </c>
    </row>
    <row r="21" ht="81" customHeight="1">
      <c r="A21" s="3" t="inlineStr">
        <is>
          <t>What the record shows: No public record of a member dispute or conflict-resolution procedure was found.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5" t="inlineStr">
        <is>
          <t>DOCUMENTED</t>
        </is>
      </c>
      <c r="C22" s="24" t="inlineStr">
        <is>
          <t>An incorporated California mutual water company recognized by the IRS (501(c)(12)) and by the State Water Board as a public water system.</t>
        </is>
      </c>
      <c r="D22" s="24" t="inlineStr">
        <is>
          <t>IRS 501(c)(12) exempt filer (Form 990); SDWIS public water system.</t>
        </is>
      </c>
      <c r="E22" s="46" t="inlineStr">
        <is>
          <t>[990][C][SOS]</t>
        </is>
      </c>
    </row>
    <row r="23" ht="150" customHeight="1">
      <c r="A23" s="3" t="inlineStr">
        <is>
          <t>What the record shows: Baseline legal standing is documented: the company is an incorporated mutual recognized by the IRS as a tax-exempt filer and by the State Water Board as a regulated water system. This records the right to organize as a member entity, not a documented instance of exercising it. The California Secretary of State holds the company as a registered corporation, entity number 0025301, first registered 03/26/1896, status as filed "Active", with a governing body named in the Statement of Information filed 2/25/2026. That is a direct state record of the right to organize being recognized, so the evidence behind this status is now a filed corporate record rather than an inference from the company's tax form. The status was already DOCUMENTED and does not move.</t>
        </is>
      </c>
    </row>
    <row r="24" ht="46" customHeight="1">
      <c r="A24" s="8" t="inlineStr">
        <is>
          <t>Nested enterprises</t>
        </is>
      </c>
      <c r="B24" s="25" t="inlineStr">
        <is>
          <t>PARTIAL</t>
        </is>
      </c>
      <c r="C24" s="24" t="inlineStr">
        <is>
          <t>The system draws on a shared local groundwater basin, embedding it in a larger physical water system, though its role in basin governance is not documented.</t>
        </is>
      </c>
      <c r="D24" s="24" t="inlineStr">
        <is>
          <t>SDWIS Primary Water Source Type: groundwater (shared basin).</t>
        </is>
      </c>
      <c r="E24" s="46" t="inlineStr">
        <is>
          <t>[C]</t>
        </is>
      </c>
    </row>
    <row r="25" ht="66" customHeight="1">
      <c r="A25" s="3" t="inlineStr">
        <is>
          <t>What the record shows: The system relies on a shared groundwater basin, so it is physically nested in a larger hydrologic system. Its participation in a groundwater sustainability agency or basin governance is not documented, so the nesting evidence is partial.</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3"/>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Lincoln Avenue Water Company</t>
        </is>
      </c>
    </row>
    <row r="2">
      <c r="A2" s="2" t="inlineStr">
        <is>
          <t>Operational metrics - plant per acre, density, terrain</t>
        </is>
      </c>
    </row>
    <row r="3">
      <c r="A3" s="2" t="inlineStr">
        <is>
          <t>Entity ID: cawc_0026   |   Fiscal year ends December 31.</t>
        </is>
      </c>
    </row>
    <row r="5">
      <c r="A5" s="6" t="inlineStr">
        <is>
          <t>Plant assets per acre</t>
        </is>
      </c>
      <c r="B5" s="7" t="n"/>
      <c r="C5" s="7" t="n"/>
    </row>
    <row r="6">
      <c r="A6" s="21" t="inlineStr">
        <is>
          <t>Service-area acres</t>
        </is>
      </c>
      <c r="B6" s="47" t="n">
        <v>1693.4</v>
      </c>
      <c r="C6" s="23" t="inlineStr">
        <is>
          <t>Geodesic area (WGS84 spherical excess) of the SABL service-area polygon.</t>
        </is>
      </c>
    </row>
    <row r="7">
      <c r="A7" s="5" t="inlineStr">
        <is>
          <t>Fiscal year</t>
        </is>
      </c>
      <c r="B7" s="5" t="inlineStr">
        <is>
          <t>Gross plant per acre (primary)</t>
        </is>
      </c>
      <c r="C7" s="5" t="inlineStr">
        <is>
          <t>Net plant per acre</t>
        </is>
      </c>
    </row>
    <row r="8">
      <c r="A8" s="48" t="inlineStr">
        <is>
          <t>FY2020</t>
        </is>
      </c>
      <c r="B8" s="9" t="n">
        <v>17102.7495</v>
      </c>
      <c r="C8" s="9" t="n">
        <v>10339.9728</v>
      </c>
    </row>
    <row r="9">
      <c r="A9" s="48" t="inlineStr">
        <is>
          <t>FY2021</t>
        </is>
      </c>
      <c r="B9" s="9" t="n">
        <v>17608.3365</v>
      </c>
      <c r="C9" s="9" t="n">
        <v>10498.0513</v>
      </c>
    </row>
    <row r="10">
      <c r="A10" s="48" t="inlineStr">
        <is>
          <t>FY2022</t>
        </is>
      </c>
      <c r="B10" s="9" t="n">
        <v>18196.4279</v>
      </c>
      <c r="C10" s="9" t="n">
        <v>10735.9271</v>
      </c>
    </row>
    <row r="11">
      <c r="A11" s="48" t="inlineStr">
        <is>
          <t>FY2023</t>
        </is>
      </c>
      <c r="B11" s="9" t="n">
        <v>18958.5562</v>
      </c>
      <c r="C11" s="9" t="n">
        <v>11133.7628</v>
      </c>
    </row>
    <row r="12">
      <c r="A12" s="48" t="inlineStr">
        <is>
          <t>FY2024</t>
        </is>
      </c>
      <c r="B12" s="9" t="n">
        <v>19857.0249</v>
      </c>
      <c r="C12" s="9" t="n">
        <v>11655.9171</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1" t="inlineStr">
        <is>
          <t>Connections per acre</t>
        </is>
      </c>
      <c r="B19" s="20" t="n">
        <v>2.66</v>
      </c>
      <c r="C19" s="23" t="inlineStr">
        <is>
          <t>4,508 connections / 1,693.4 acres. CA State Water Board SABL SERVICE_CONNECTIONS; Geodesic area (WGS84 spherical excess) of the SABL service-area polygon.</t>
        </is>
      </c>
    </row>
    <row r="21">
      <c r="A21" s="6" t="inlineStr">
        <is>
          <t>Who they are</t>
        </is>
      </c>
      <c r="B21" s="7" t="n"/>
      <c r="C21" s="7" t="n"/>
    </row>
    <row r="22">
      <c r="A22" s="21" t="inlineStr">
        <is>
          <t>Terrain class</t>
        </is>
      </c>
      <c r="B22" s="24" t="inlineStr">
        <is>
          <t>canyon</t>
        </is>
      </c>
      <c r="C22" s="23" t="inlineStr">
        <is>
          <t>Company context page (BLUEPRINT 5B)</t>
        </is>
      </c>
    </row>
    <row r="23" ht="111" customHeight="1">
      <c r="A23" s="3" t="inlineStr">
        <is>
          <t>A private not-for-profit mutual water company serving about 4,490 service connections and roughly 16,000 residents in western and northwest Altadena, Los Angeles County, in the San Gabriel Mountain foothills and canyons.</t>
        </is>
      </c>
    </row>
  </sheetData>
  <mergeCells count="8">
    <mergeCell ref="A13:C13"/>
    <mergeCell ref="A1:C1"/>
    <mergeCell ref="A16:C16"/>
    <mergeCell ref="A23:C23"/>
    <mergeCell ref="A14:C14"/>
    <mergeCell ref="A3:C3"/>
    <mergeCell ref="A15:C15"/>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Lincoln Avenue Water Company</t>
        </is>
      </c>
    </row>
    <row r="2">
      <c r="A2" s="2" t="inlineStr">
        <is>
          <t>Supply and weather indicators (DWR water year)</t>
        </is>
      </c>
    </row>
    <row r="3">
      <c r="A3" s="2" t="inlineStr">
        <is>
          <t>Entity ID: cawc_0026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46" t="inlineStr">
        <is>
          <t>Dry</t>
        </is>
      </c>
      <c r="C8" s="46" t="inlineStr">
        <is>
          <t>Critical</t>
        </is>
      </c>
      <c r="D8" s="46" t="inlineStr">
        <is>
          <t>Critical</t>
        </is>
      </c>
      <c r="E8" s="46" t="inlineStr">
        <is>
          <t>Wet</t>
        </is>
      </c>
      <c r="F8" s="46" t="inlineStr">
        <is>
          <t>Above Normal</t>
        </is>
      </c>
    </row>
    <row r="9">
      <c r="A9" s="8" t="inlineStr">
        <is>
          <t>Peak drought, Los Angeles County</t>
        </is>
      </c>
      <c r="B9" s="46" t="inlineStr">
        <is>
          <t>D1</t>
        </is>
      </c>
      <c r="C9" s="46" t="inlineStr">
        <is>
          <t>D4</t>
        </is>
      </c>
      <c r="D9" s="46" t="inlineStr">
        <is>
          <t>D4</t>
        </is>
      </c>
      <c r="E9" s="46" t="inlineStr">
        <is>
          <t>D4</t>
        </is>
      </c>
      <c r="F9" s="46" t="inlineStr">
        <is>
          <t>None (no D0-D4 during the fiscal year)</t>
        </is>
      </c>
    </row>
    <row r="10">
      <c r="A10" s="8" t="inlineStr">
        <is>
          <t>Precip, percent of normal (8-Station Index)</t>
        </is>
      </c>
      <c r="B10" s="46" t="inlineStr">
        <is>
          <t>63</t>
        </is>
      </c>
      <c r="C10" s="46" t="inlineStr">
        <is>
          <t>48</t>
        </is>
      </c>
      <c r="D10" s="46" t="inlineStr">
        <is>
          <t>86</t>
        </is>
      </c>
      <c r="E10" s="46" t="inlineStr">
        <is>
          <t>133</t>
        </is>
      </c>
      <c r="F10" s="46" t="inlineStr">
        <is>
          <t>96</t>
        </is>
      </c>
    </row>
    <row r="11">
      <c r="A11" s="8" t="inlineStr">
        <is>
          <t>Snowpack, April 1 percent of average</t>
        </is>
      </c>
      <c r="B11" s="46" t="inlineStr">
        <is>
          <t>53%</t>
        </is>
      </c>
      <c r="C11" s="46" t="inlineStr">
        <is>
          <t>59%</t>
        </is>
      </c>
      <c r="D11" s="46" t="inlineStr">
        <is>
          <t>38%</t>
        </is>
      </c>
      <c r="E11" s="46" t="inlineStr">
        <is>
          <t>237%</t>
        </is>
      </c>
      <c r="F11" s="46" t="inlineStr">
        <is>
          <t>110%</t>
        </is>
      </c>
    </row>
    <row r="12">
      <c r="A12" s="8" t="inlineStr">
        <is>
          <t>State Water Project allocation</t>
        </is>
      </c>
      <c r="B12" s="46" t="inlineStr">
        <is>
          <t>20%</t>
        </is>
      </c>
      <c r="C12" s="46" t="inlineStr">
        <is>
          <t>5%</t>
        </is>
      </c>
      <c r="D12" s="46" t="inlineStr">
        <is>
          <t>5%</t>
        </is>
      </c>
      <c r="E12" s="46" t="inlineStr">
        <is>
          <t>100%</t>
        </is>
      </c>
      <c r="F12" s="46"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Lincoln Avenue Water Company</t>
        </is>
      </c>
    </row>
    <row r="2">
      <c r="A2" s="2" t="inlineStr">
        <is>
          <t>How this was built - forensic lineage</t>
        </is>
      </c>
    </row>
    <row r="3">
      <c r="A3" s="2" t="inlineStr">
        <is>
          <t>Entity ID: cawc_0026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21" t="inlineStr">
        <is>
          <t>Sources checked</t>
        </is>
      </c>
      <c r="B8" s="23" t="inlineStr">
        <is>
          <t>State Water Board eAR Section 8b (water-rate revenue B1.1/B1.2); State Water Board eAR Section 4 (connection count, same reporting year); audited financial statement (secondary cross-check, where published)</t>
        </is>
      </c>
    </row>
    <row r="9" ht="72" customHeight="1">
      <c r="A9" s="21" t="inlineStr">
        <is>
          <t>What was found</t>
        </is>
      </c>
      <c r="B9" s="23" t="inlineStr">
        <is>
          <t>The eAR Section 8b reports water-rate revenue for reporting year 2023, so this is a DIRECT filed figure; per customer it is divided by the eAR Section 4 connection count for the same reporting year, so numerator and denominator share the year.</t>
        </is>
      </c>
    </row>
    <row r="11">
      <c r="A11" s="6" t="inlineStr">
        <is>
          <t>Assessment revenue (residual) - DERIVED</t>
        </is>
      </c>
      <c r="B11" s="7" t="n"/>
    </row>
    <row r="12" ht="72" customHeight="1">
      <c r="A12" s="21" t="inlineStr">
        <is>
          <t>Sources checked</t>
        </is>
      </c>
      <c r="B12" s="23" t="inlineStr">
        <is>
          <t>Form 990 Part VIII line 2 (program-service revenue); State Water Board eAR Section 8b (water-rate revenue B1.1/B1.2)</t>
        </is>
      </c>
    </row>
    <row r="13" ht="72" customHeight="1">
      <c r="A13" s="21" t="inlineStr">
        <is>
          <t>What was found</t>
        </is>
      </c>
      <c r="B13" s="23" t="inlineStr">
        <is>
          <t>No source separately reports a member assessment, so it is DERIVED as a residual: $271,761 (990 program-service revenue) minus $4,758,028 (eAR water-rate revenue) = $-4,486,267. Period-aligned; medium confidence.</t>
        </is>
      </c>
    </row>
    <row r="14" ht="72" customHeight="1">
      <c r="A14" s="21" t="inlineStr">
        <is>
          <t>Caveat</t>
        </is>
      </c>
      <c r="B14" s="23" t="inlineStr">
        <is>
          <t>This residual is a difference between two sources for the same period; it is not a separately filed assessment line and may include other unmatched revenue.</t>
        </is>
      </c>
    </row>
    <row r="16">
      <c r="A16" s="6" t="inlineStr">
        <is>
          <t>Meter revenue - not reported</t>
        </is>
      </c>
      <c r="B16" s="7" t="n"/>
    </row>
    <row r="17" ht="72" customHeight="1">
      <c r="A17" s="21" t="inlineStr">
        <is>
          <t>Sources checked</t>
        </is>
      </c>
      <c r="B17" s="23" t="inlineStr">
        <is>
          <t>State Water Board eAR Section 8a (rate prices); State Water Board eAR Section 8b (revenue lines); audited financial statement</t>
        </is>
      </c>
    </row>
    <row r="18" ht="72" customHeight="1">
      <c r="A18" s="21" t="inlineStr">
        <is>
          <t>What was found</t>
        </is>
      </c>
      <c r="B18" s="23" t="inlineStr">
        <is>
          <t>The rate price exists in Section 8a but no revenue or tier volume is reported, and the base charge is already inside water sales.</t>
        </is>
      </c>
    </row>
    <row r="19" ht="72" customHeight="1">
      <c r="A19" s="21" t="inlineStr">
        <is>
          <t>Caveat</t>
        </is>
      </c>
      <c r="B19" s="23"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1" t="inlineStr">
        <is>
          <t>Sources checked</t>
        </is>
      </c>
      <c r="B22" s="23" t="inlineStr">
        <is>
          <t>State Water Board eAR Section 8a (rate prices); State Water Board eAR Section 8b (revenue lines); audited financial statement</t>
        </is>
      </c>
    </row>
    <row r="23" ht="72" customHeight="1">
      <c r="A23" s="21" t="inlineStr">
        <is>
          <t>What was found</t>
        </is>
      </c>
      <c r="B23" s="23" t="inlineStr">
        <is>
          <t>The rate price exists in Section 8a but no revenue or tier volume is reported, and the base charge is already inside water sales.</t>
        </is>
      </c>
    </row>
    <row r="24" ht="72" customHeight="1">
      <c r="A24" s="21" t="inlineStr">
        <is>
          <t>Caveat</t>
        </is>
      </c>
      <c r="B24" s="23"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1" t="inlineStr">
        <is>
          <t>Sources checked</t>
        </is>
      </c>
      <c r="B27" s="23" t="inlineStr">
        <is>
          <t>eAR Section 8b B0.1 (WRFinancialReportingPeriod); eAR Section 8b B0.2 (WRFiscalYearStartDate)</t>
        </is>
      </c>
    </row>
    <row r="28" ht="72" customHeight="1">
      <c r="A28" s="21" t="inlineStr">
        <is>
          <t>What was found</t>
        </is>
      </c>
      <c r="B28" s="23"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1" t="inlineStr">
        <is>
          <t>Sources checked</t>
        </is>
      </c>
      <c r="B31" s="23" t="inlineStr">
        <is>
          <t>Form 990 (no member count stated); company website</t>
        </is>
      </c>
    </row>
    <row r="32" ht="72" customHeight="1">
      <c r="A32" s="21" t="inlineStr">
        <is>
          <t>What was found</t>
        </is>
      </c>
      <c r="B32" s="23"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1" t="inlineStr">
        <is>
          <t>Sources checked</t>
        </is>
      </c>
      <c r="B35" s="23" t="inlineStr">
        <is>
          <t>Form 990 (not in the filing); Consumer Confidence Report; eAR Section 6 (PRA-gated)</t>
        </is>
      </c>
    </row>
    <row r="36" ht="72" customHeight="1">
      <c r="A36" s="21" t="inlineStr">
        <is>
          <t>What was found</t>
        </is>
      </c>
      <c r="B36" s="23"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7"/>
  <sheetViews>
    <sheetView workbookViewId="0">
      <pane ySplit="7" topLeftCell="A8" activePane="bottomLeft" state="frozen"/>
      <selection pane="bottomLeft" activeCell="A1" sqref="A1"/>
    </sheetView>
  </sheetViews>
  <sheetFormatPr baseColWidth="8" defaultRowHeight="15"/>
  <cols>
    <col width="30" customWidth="1" min="1" max="1"/>
    <col width="46" customWidth="1" min="2" max="2"/>
    <col width="30" customWidth="1" min="3" max="3"/>
    <col width="10" customWidth="1" min="4" max="4"/>
    <col width="12" customWidth="1" min="5" max="5"/>
    <col width="60" customWidth="1" min="6" max="6"/>
  </cols>
  <sheetData>
    <row r="1">
      <c r="A1" s="1" t="inlineStr">
        <is>
          <t>Lincoln Avenue Water Company</t>
        </is>
      </c>
    </row>
    <row r="2">
      <c r="A2" s="2" t="inlineStr">
        <is>
          <t>Water Operations (sourced outside the financial filings)</t>
        </is>
      </c>
    </row>
    <row r="3">
      <c r="A3" s="2" t="inlineStr">
        <is>
          <t>Entity ID: cawc_0026   |   Fiscal year ends December 31.</t>
        </is>
      </c>
    </row>
    <row r="5" ht="42" customHeight="1">
      <c r="A5" s="3" t="inlineStr">
        <is>
          <t>A separate dialect of data from the financial statements: the system's water supply, from the California State Water Board records (the Consumer Confidence Report served by the eAR portal, and SDWIS Drinking Water Watch). Each field carries its source, year, and confidence the same way a financial line item does; a field the source does not state reads 'not reported' with the source still needed. Figures are as reported, never estimated or reconciled across sources.</t>
        </is>
      </c>
    </row>
    <row r="7">
      <c r="A7" s="5" t="inlineStr">
        <is>
          <t>Field</t>
        </is>
      </c>
      <c r="B7" s="5" t="inlineStr">
        <is>
          <t>Value</t>
        </is>
      </c>
      <c r="C7" s="5" t="inlineStr">
        <is>
          <t>Source</t>
        </is>
      </c>
      <c r="D7" s="5" t="inlineStr">
        <is>
          <t>Year</t>
        </is>
      </c>
      <c r="E7" s="5" t="inlineStr">
        <is>
          <t>Confidence</t>
        </is>
      </c>
      <c r="F7" s="5" t="inlineStr">
        <is>
          <t>Source excerpt / cross-source note</t>
        </is>
      </c>
    </row>
    <row r="8" ht="42" customHeight="1">
      <c r="A8" s="8" t="inlineStr">
        <is>
          <t>Water type</t>
        </is>
      </c>
      <c r="B8" s="24" t="inlineStr">
        <is>
          <t>Potable (community drinking water)</t>
        </is>
      </c>
      <c r="C8" s="8" t="inlineStr">
        <is>
          <t>SDWIS Drinking Water Watch (State Water Board)</t>
        </is>
      </c>
      <c r="D8" s="46" t="n">
        <v>2024</v>
      </c>
      <c r="E8" s="8" t="inlineStr">
        <is>
          <t>high</t>
        </is>
      </c>
      <c r="F8" s="24" t="inlineStr">
        <is>
          <t>LINCOLN AVENUE WATER CO.: State Water System Type = Community.</t>
        </is>
      </c>
    </row>
    <row r="9" ht="42" customHeight="1">
      <c r="A9" s="8" t="inlineStr">
        <is>
          <t>Source mix</t>
        </is>
      </c>
      <c r="B9" s="24" t="inlineStr">
        <is>
          <t>Primary source: surface water (SDWIS Primary Water Source Type: Surface Water). SDWIS classifies the primary supply type; it states no acre-foot volume by source.</t>
        </is>
      </c>
      <c r="C9" s="8" t="inlineStr">
        <is>
          <t>SDWIS Drinking Water Watch (State Water Board)</t>
        </is>
      </c>
      <c r="D9" s="46" t="n">
        <v>2024</v>
      </c>
      <c r="E9" s="8" t="inlineStr">
        <is>
          <t>high</t>
        </is>
      </c>
      <c r="F9" s="24" t="inlineStr">
        <is>
          <t>LINCOLN AVENUE WATER CO.: Primary Water Source Type = Surface Water.</t>
        </is>
      </c>
    </row>
    <row r="10" ht="42" customHeight="1">
      <c r="A10" s="8" t="inlineStr">
        <is>
          <t>Service connections (total)</t>
        </is>
      </c>
      <c r="B10" s="24" t="inlineStr">
        <is>
          <t>4,493 connections</t>
        </is>
      </c>
      <c r="C10" s="8" t="inlineStr">
        <is>
          <t>SDWIS Drinking Water Watch (State Water Board)</t>
        </is>
      </c>
      <c r="D10" s="46" t="n">
        <v>2024</v>
      </c>
      <c r="E10" s="8" t="inlineStr">
        <is>
          <t>high</t>
        </is>
      </c>
      <c r="F10" s="24" t="inlineStr">
        <is>
          <t>LINCOLN AVENUE WATER CO.: Total Number of Service Connections = 4,493.  [cross-source: SDWIS connection snapshot; the eAR reports active service connections on its own basis and per reporting year. Both preserved, not reconciled.]</t>
        </is>
      </c>
    </row>
    <row r="11" ht="42" customHeight="1">
      <c r="A11" s="8" t="inlineStr">
        <is>
          <t>Connections by class</t>
        </is>
      </c>
      <c r="B11" s="24" t="inlineStr">
        <is>
          <t>Service connections by type (SDWIS snapshot): Residential 4,360; Commercial 133; Total 4,493.</t>
        </is>
      </c>
      <c r="C11" s="8" t="inlineStr">
        <is>
          <t>SDWIS Drinking Water Watch (State Water Board)</t>
        </is>
      </c>
      <c r="D11" s="46" t="n">
        <v>2024</v>
      </c>
      <c r="E11" s="8" t="inlineStr">
        <is>
          <t>high</t>
        </is>
      </c>
      <c r="F11" s="24" t="inlineStr">
        <is>
          <t>LINCOLN AVENUE WATER CO.: connections by type - Residential 4,360; Commercial 133; Total 4,493.</t>
        </is>
      </c>
    </row>
    <row r="12" ht="42" customHeight="1">
      <c r="A12" s="8" t="inlineStr">
        <is>
          <t>Population served</t>
        </is>
      </c>
      <c r="B12" s="24" t="inlineStr">
        <is>
          <t>16,126 residents</t>
        </is>
      </c>
      <c r="C12" s="8" t="inlineStr">
        <is>
          <t>SDWIS Drinking Water Watch (State Water Board)</t>
        </is>
      </c>
      <c r="D12" s="46" t="n">
        <v>2024</v>
      </c>
      <c r="E12" s="8" t="inlineStr">
        <is>
          <t>high</t>
        </is>
      </c>
      <c r="F12" s="24" t="inlineStr">
        <is>
          <t>LINCOLN AVENUE WATER CO.: Total Population = 16,126.</t>
        </is>
      </c>
    </row>
    <row r="13" ht="42" customHeight="1">
      <c r="A13" s="8" t="inlineStr">
        <is>
          <t>Treatment and water quality</t>
        </is>
      </c>
      <c r="B13" s="24" t="inlineStr">
        <is>
          <t>Operator certification on file: Treatment Operator Level 2; Distribution Operator Level 4. SDWIS states operator grades, not the treatment process detail.</t>
        </is>
      </c>
      <c r="C13" s="8" t="inlineStr">
        <is>
          <t>SDWIS Drinking Water Watch (State Water Board)</t>
        </is>
      </c>
      <c r="D13" s="46" t="n">
        <v>2024</v>
      </c>
      <c r="E13" s="8" t="inlineStr">
        <is>
          <t>high</t>
        </is>
      </c>
      <c r="F13" s="24" t="inlineStr">
        <is>
          <t>LINCOLN AVENUE WATER CO.: Treatment Plant Class = Treatment Operator Level 2; Distribution System Class = Distribution Operator Level 4.</t>
        </is>
      </c>
    </row>
    <row r="15">
      <c r="A15" s="6" t="inlineStr">
        <is>
          <t>Not reported (source still needed)</t>
        </is>
      </c>
      <c r="B15" s="7" t="n"/>
      <c r="C15" s="7" t="n"/>
      <c r="D15" s="7" t="n"/>
      <c r="E15" s="7" t="n"/>
      <c r="F15" s="7" t="n"/>
    </row>
    <row r="16" ht="30" customHeight="1">
      <c r="A16" s="8" t="inlineStr">
        <is>
          <t>Annual volume delivered (acre-feet)</t>
        </is>
      </c>
      <c r="B16" s="23" t="inlineStr">
        <is>
          <t>not reported - needs annual volume in acre-feet (State Water Board eAR Section 6 or company production records); the CCR states only a percentage mix</t>
        </is>
      </c>
      <c r="C16" s="44" t="n"/>
      <c r="D16" s="44" t="n"/>
      <c r="E16" s="44" t="n"/>
      <c r="F16" s="44" t="n"/>
    </row>
    <row r="17" ht="30" customHeight="1">
      <c r="A17" s="8" t="inlineStr">
        <is>
          <t>Customer classes served</t>
        </is>
      </c>
      <c r="B17" s="23" t="inlineStr">
        <is>
          <t>not reported - needs the State Water Board eAR or the system CCR</t>
        </is>
      </c>
      <c r="C17" s="44" t="n"/>
      <c r="D17" s="44" t="n"/>
      <c r="E17" s="44" t="n"/>
      <c r="F17" s="44" t="n"/>
    </row>
  </sheetData>
  <mergeCells count="4">
    <mergeCell ref="A3:F3"/>
    <mergeCell ref="A2:F2"/>
    <mergeCell ref="A1:F1"/>
    <mergeCell ref="A5:F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23"/>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Lincoln Avenue Water Company</t>
        </is>
      </c>
    </row>
    <row r="2">
      <c r="A2" s="2" t="inlineStr">
        <is>
          <t>Anomaly Flags (automated; kept separate from the clean statements)</t>
        </is>
      </c>
    </row>
    <row r="3">
      <c r="A3" s="2" t="inlineStr">
        <is>
          <t>Entity ID: cawc_0026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FY2024 total expenses swing</t>
        </is>
      </c>
      <c r="B7" s="7" t="n"/>
    </row>
    <row r="8">
      <c r="A8" s="21" t="inlineStr">
        <is>
          <t>Affected figure</t>
        </is>
      </c>
      <c r="B8" s="23" t="inlineStr">
        <is>
          <t>Total expenses FY2024</t>
        </is>
      </c>
    </row>
    <row r="9">
      <c r="A9" s="21" t="inlineStr">
        <is>
          <t>Confidence</t>
        </is>
      </c>
      <c r="B9" s="23" t="inlineStr">
        <is>
          <t>high</t>
        </is>
      </c>
    </row>
    <row r="10" ht="72" customHeight="1">
      <c r="A10" s="21" t="inlineStr">
        <is>
          <t>What happened (filed, sourced)</t>
        </is>
      </c>
      <c r="B10" s="23" t="inlineStr">
        <is>
          <t>FY2024 total expenses rose to $5,675,518 from $2,103,504 in FY2023, a 170 percent move ($3,572,014 in absolute terms). Carried as filed and flagged as a documented anomaly, not smoothed.</t>
        </is>
      </c>
    </row>
    <row r="11" ht="22" customHeight="1">
      <c r="A11" s="21" t="inlineStr">
        <is>
          <t>Source lines</t>
        </is>
      </c>
      <c r="B11" s="23" t="inlineStr">
        <is>
          <t>- total expenses: $2,103,504 FY2023, $5,675,518 FY2024</t>
        </is>
      </c>
    </row>
    <row r="12" ht="72" customHeight="1">
      <c r="A12" s="21" t="inlineStr">
        <is>
          <t>Confidence reasoning</t>
        </is>
      </c>
      <c r="B12" s="23" t="inlineStr">
        <is>
          <t>A year-over-year move in a filed headline total that exceeds both the percentage and the dollar threshold; carried as filed.</t>
        </is>
      </c>
    </row>
    <row r="13">
      <c r="A13" s="21" t="inlineStr">
        <is>
          <t>Why (not stated in the filing)</t>
        </is>
      </c>
      <c r="B13" s="23" t="inlineStr">
        <is>
          <t>The filing does not state a reason.</t>
        </is>
      </c>
    </row>
    <row r="14" ht="60" customHeight="1">
      <c r="A14" s="21" t="inlineStr">
        <is>
          <t>Possible explanation (guess)</t>
        </is>
      </c>
      <c r="B14" s="49" t="inlineStr">
        <is>
          <t>Possible explanation, not stated in filing: a large one-year move in total expenses may reflect a one-time item or a change in how it was recorded. This is an educated guess, not something the filing actually says.</t>
        </is>
      </c>
    </row>
    <row r="16">
      <c r="A16" s="6" t="inlineStr">
        <is>
          <t>Flag: FY2024 total revenue swing</t>
        </is>
      </c>
      <c r="B16" s="7" t="n"/>
    </row>
    <row r="17">
      <c r="A17" s="21" t="inlineStr">
        <is>
          <t>Affected figure</t>
        </is>
      </c>
      <c r="B17" s="23" t="inlineStr">
        <is>
          <t>Operating revenue FY2024</t>
        </is>
      </c>
    </row>
    <row r="18">
      <c r="A18" s="21" t="inlineStr">
        <is>
          <t>Confidence</t>
        </is>
      </c>
      <c r="B18" s="23" t="inlineStr">
        <is>
          <t>high</t>
        </is>
      </c>
    </row>
    <row r="19" ht="72" customHeight="1">
      <c r="A19" s="21" t="inlineStr">
        <is>
          <t>What happened (filed, sourced)</t>
        </is>
      </c>
      <c r="B19" s="23" t="inlineStr">
        <is>
          <t>FY2024 total revenue rose to $6,225,040 from $3,533,209 in FY2023, a 76 percent move ($2,691,831 in absolute terms). Carried as filed and flagged as a documented anomaly, not smoothed.</t>
        </is>
      </c>
    </row>
    <row r="20" ht="22" customHeight="1">
      <c r="A20" s="21" t="inlineStr">
        <is>
          <t>Source lines</t>
        </is>
      </c>
      <c r="B20" s="23" t="inlineStr">
        <is>
          <t>- total revenue: $3,533,209 FY2023, $6,225,040 FY2024</t>
        </is>
      </c>
    </row>
    <row r="21" ht="72" customHeight="1">
      <c r="A21" s="21" t="inlineStr">
        <is>
          <t>Confidence reasoning</t>
        </is>
      </c>
      <c r="B21" s="23" t="inlineStr">
        <is>
          <t>A year-over-year move in a filed headline total that exceeds both the percentage and the dollar threshold; carried as filed.</t>
        </is>
      </c>
    </row>
    <row r="22">
      <c r="A22" s="21" t="inlineStr">
        <is>
          <t>Why (not stated in the filing)</t>
        </is>
      </c>
      <c r="B22" s="23" t="inlineStr">
        <is>
          <t>The filing does not state a reason.</t>
        </is>
      </c>
    </row>
    <row r="23" ht="60" customHeight="1">
      <c r="A23" s="21" t="inlineStr">
        <is>
          <t>Possible explanation (guess)</t>
        </is>
      </c>
      <c r="B23" s="49" t="inlineStr">
        <is>
          <t>Possible explanation, not stated in filing: a large one-year move in total revenue may reflect a one-time item or a change in how it was recorded. This is an educated guess, not something the filing actually says.</t>
        </is>
      </c>
    </row>
  </sheetData>
  <mergeCells count="4">
    <mergeCell ref="A3:B3"/>
    <mergeCell ref="A2:B2"/>
    <mergeCell ref="A1:B1"/>
    <mergeCell ref="A5:B5"/>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219"/>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Lincoln Avenue Water Company</t>
        </is>
      </c>
    </row>
    <row r="2">
      <c r="A2" s="2" t="inlineStr">
        <is>
          <t>Sources &amp; audit - full provenance and tie-outs (kept off the statements so they read clean)</t>
        </is>
      </c>
    </row>
    <row r="3">
      <c r="A3" s="2" t="inlineStr">
        <is>
          <t>Entity ID: cawc_0026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5"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46" t="inlineStr">
        <is>
          <t>FY2020</t>
        </is>
      </c>
      <c r="B10" s="8" t="inlineStr">
        <is>
          <t>2020-12-31</t>
        </is>
      </c>
      <c r="C10" s="8" t="inlineStr">
        <is>
          <t>990</t>
        </is>
      </c>
      <c r="D10" s="8" t="inlineStr">
        <is>
          <t>high</t>
        </is>
      </c>
      <c r="E10" s="8" t="inlineStr">
        <is>
          <t>0781502c-3cdd-4bc4-8c4c-99d9898520ae</t>
        </is>
      </c>
      <c r="F10" s="8" t="inlineStr">
        <is>
          <t>202141799349300024</t>
        </is>
      </c>
      <c r="G10" s="8" t="inlineStr">
        <is>
          <t>claude-opus-5</t>
        </is>
      </c>
      <c r="H10" s="8" t="inlineStr">
        <is>
          <t>2026-09-14T20:40:24+00:00</t>
        </is>
      </c>
      <c r="I10" s="8" t="inlineStr">
        <is>
          <t>https://apps.irs.gov/pub/epostcard/990/xml/2021/2021_TEOS_XML_01A.zip#202141799349300024_public.xml</t>
        </is>
      </c>
    </row>
    <row r="11">
      <c r="A11" s="46" t="inlineStr">
        <is>
          <t>FY2021</t>
        </is>
      </c>
      <c r="B11" s="8" t="inlineStr">
        <is>
          <t>2021-12-31</t>
        </is>
      </c>
      <c r="C11" s="8" t="inlineStr">
        <is>
          <t>990</t>
        </is>
      </c>
      <c r="D11" s="8" t="inlineStr">
        <is>
          <t>high</t>
        </is>
      </c>
      <c r="E11" s="8" t="inlineStr">
        <is>
          <t>f92caee2-1153-4080-b118-f9375f2a8a23</t>
        </is>
      </c>
      <c r="F11" s="8" t="inlineStr">
        <is>
          <t>202242499349300814</t>
        </is>
      </c>
      <c r="G11" s="8" t="inlineStr">
        <is>
          <t>claude-opus-5</t>
        </is>
      </c>
      <c r="H11" s="8" t="inlineStr">
        <is>
          <t>2026-09-14T20:40:24+00:00</t>
        </is>
      </c>
      <c r="I11" s="8" t="inlineStr">
        <is>
          <t>https://apps.irs.gov/pub/epostcard/990/xml/2022/2022_TEOS_XML_01A.zip#202242499349300814_public.xml</t>
        </is>
      </c>
    </row>
    <row r="12">
      <c r="A12" s="46" t="inlineStr">
        <is>
          <t>FY2022</t>
        </is>
      </c>
      <c r="B12" s="8" t="inlineStr">
        <is>
          <t>2022-12-31</t>
        </is>
      </c>
      <c r="C12" s="8" t="inlineStr">
        <is>
          <t>990</t>
        </is>
      </c>
      <c r="D12" s="8" t="inlineStr">
        <is>
          <t>high</t>
        </is>
      </c>
      <c r="E12" s="8" t="inlineStr">
        <is>
          <t>13c9f3c4-0b9f-4e49-9acc-9a9f53782977</t>
        </is>
      </c>
      <c r="F12" s="8" t="inlineStr">
        <is>
          <t>202332499349300248</t>
        </is>
      </c>
      <c r="G12" s="8" t="inlineStr">
        <is>
          <t>claude-opus-5</t>
        </is>
      </c>
      <c r="H12" s="8" t="inlineStr">
        <is>
          <t>2026-09-14T20:40:24+00:00</t>
        </is>
      </c>
      <c r="I12" s="8" t="inlineStr">
        <is>
          <t>https://apps.irs.gov/pub/epostcard/990/xml/2023/2023_TEOS_XML_09A.zip#202332499349300248_public.xml</t>
        </is>
      </c>
    </row>
    <row r="13">
      <c r="A13" s="46" t="inlineStr">
        <is>
          <t>FY2023</t>
        </is>
      </c>
      <c r="B13" s="8" t="inlineStr">
        <is>
          <t>2023-12-31</t>
        </is>
      </c>
      <c r="C13" s="8" t="inlineStr">
        <is>
          <t>990</t>
        </is>
      </c>
      <c r="D13" s="8" t="inlineStr">
        <is>
          <t>high</t>
        </is>
      </c>
      <c r="E13" s="8" t="inlineStr">
        <is>
          <t>5cb25910-d5dd-414d-8ff3-630f5c292ea2</t>
        </is>
      </c>
      <c r="F13" s="8" t="inlineStr">
        <is>
          <t>202402199349301030</t>
        </is>
      </c>
      <c r="G13" s="8" t="inlineStr">
        <is>
          <t>claude-opus-5</t>
        </is>
      </c>
      <c r="H13" s="8" t="inlineStr">
        <is>
          <t>2026-09-14T20:40:24+00:00</t>
        </is>
      </c>
      <c r="I13" s="8" t="inlineStr">
        <is>
          <t>https://apps.irs.gov/pub/epostcard/990/xml/2024/2024_TEOS_XML_08A.zip#202402199349301030_public.xml</t>
        </is>
      </c>
    </row>
    <row r="14">
      <c r="A14" s="46" t="inlineStr">
        <is>
          <t>FY2024</t>
        </is>
      </c>
      <c r="B14" s="8" t="inlineStr">
        <is>
          <t>2024-12-31</t>
        </is>
      </c>
      <c r="C14" s="8" t="inlineStr">
        <is>
          <t>990</t>
        </is>
      </c>
      <c r="D14" s="8" t="inlineStr">
        <is>
          <t>high</t>
        </is>
      </c>
      <c r="E14" s="8" t="inlineStr">
        <is>
          <t>127c6671-c869-4487-a61e-5b22c0ec75d6</t>
        </is>
      </c>
      <c r="F14" s="8" t="inlineStr">
        <is>
          <t>202533149349306653</t>
        </is>
      </c>
      <c r="G14" s="8" t="inlineStr">
        <is>
          <t>claude-opus-5</t>
        </is>
      </c>
      <c r="H14" s="8" t="inlineStr">
        <is>
          <t>2026-09-14T20:40:24+00:00</t>
        </is>
      </c>
      <c r="I14" s="8" t="inlineStr">
        <is>
          <t>https://apps.irs.gov/pub/epostcard/990/xml/2025/2025_TEOS_XML_11B.zip#202533149349306653_public.xml</t>
        </is>
      </c>
    </row>
    <row r="16">
      <c r="A16" s="45"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5740379</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6729864</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6014623</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6138729</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6087629</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12149</v>
      </c>
    </row>
    <row r="24">
      <c r="A24" s="8" t="inlineStr">
        <is>
          <t>Financial Statements</t>
        </is>
      </c>
      <c r="B24" s="8" t="inlineStr">
        <is>
          <t>C74</t>
        </is>
      </c>
      <c r="C24" s="8" t="inlineStr">
        <is>
          <t>11b. Gross income from other sources</t>
        </is>
      </c>
      <c r="D24" s="8" t="inlineStr">
        <is>
          <t>11b</t>
        </is>
      </c>
      <c r="E24" s="8" t="inlineStr">
        <is>
          <t>part_v_other_irs_filings.other_sources_gross_income</t>
        </is>
      </c>
      <c r="F24" s="8" t="inlineStr">
        <is>
          <t>high</t>
        </is>
      </c>
      <c r="G24" s="9" t="n">
        <v>6266</v>
      </c>
    </row>
    <row r="25">
      <c r="A25" s="8" t="inlineStr">
        <is>
          <t>Financial Statements</t>
        </is>
      </c>
      <c r="B25" s="8" t="inlineStr">
        <is>
          <t>D74</t>
        </is>
      </c>
      <c r="C25" s="8" t="inlineStr">
        <is>
          <t>11b. Gross income from other sources</t>
        </is>
      </c>
      <c r="D25" s="8" t="inlineStr">
        <is>
          <t>11b</t>
        </is>
      </c>
      <c r="E25" s="8" t="inlineStr">
        <is>
          <t>part_v_other_irs_filings.other_sources_gross_income</t>
        </is>
      </c>
      <c r="F25" s="8" t="inlineStr">
        <is>
          <t>high</t>
        </is>
      </c>
      <c r="G25" s="9" t="n">
        <v>162462</v>
      </c>
    </row>
    <row r="26">
      <c r="A26" s="8" t="inlineStr">
        <is>
          <t>Financial Statements</t>
        </is>
      </c>
      <c r="B26" s="8" t="inlineStr">
        <is>
          <t>E74</t>
        </is>
      </c>
      <c r="C26" s="8" t="inlineStr">
        <is>
          <t>11b. Gross income from other sources</t>
        </is>
      </c>
      <c r="D26" s="8" t="inlineStr">
        <is>
          <t>11b</t>
        </is>
      </c>
      <c r="E26" s="8" t="inlineStr">
        <is>
          <t>part_v_other_irs_filings.other_sources_gross_income</t>
        </is>
      </c>
      <c r="F26" s="8" t="inlineStr">
        <is>
          <t>high</t>
        </is>
      </c>
      <c r="G26" s="9" t="n">
        <v>73752</v>
      </c>
    </row>
    <row r="27">
      <c r="A27" s="8" t="inlineStr">
        <is>
          <t>Financial Statements</t>
        </is>
      </c>
      <c r="B27" s="8" t="inlineStr">
        <is>
          <t>F74</t>
        </is>
      </c>
      <c r="C27" s="8" t="inlineStr">
        <is>
          <t>11b. Gross income from other sources</t>
        </is>
      </c>
      <c r="D27" s="8" t="inlineStr">
        <is>
          <t>11b</t>
        </is>
      </c>
      <c r="E27" s="8" t="inlineStr">
        <is>
          <t>part_v_other_irs_filings.other_sources_gross_income</t>
        </is>
      </c>
      <c r="F27" s="8" t="inlineStr">
        <is>
          <t>high</t>
        </is>
      </c>
      <c r="G27" s="9" t="n">
        <v>248851</v>
      </c>
    </row>
    <row r="28">
      <c r="A28" s="8" t="inlineStr">
        <is>
          <t>Revenue (detail)</t>
        </is>
      </c>
      <c r="B28" s="8" t="inlineStr">
        <is>
          <t>F8</t>
        </is>
      </c>
      <c r="C28" s="8" t="inlineStr">
        <is>
          <t>2g. Total program service revenue</t>
        </is>
      </c>
      <c r="D28" s="8" t="inlineStr">
        <is>
          <t>2g</t>
        </is>
      </c>
      <c r="E28" s="8" t="inlineStr">
        <is>
          <t>part_viii_revenue.total_program_service_revenue</t>
        </is>
      </c>
      <c r="F28" s="8" t="inlineStr">
        <is>
          <t>high</t>
        </is>
      </c>
      <c r="G28" s="9" t="n">
        <v>6087629</v>
      </c>
    </row>
    <row r="29">
      <c r="A29" s="8" t="inlineStr">
        <is>
          <t>Revenue (detail)</t>
        </is>
      </c>
      <c r="B29" s="8" t="inlineStr">
        <is>
          <t>B9</t>
        </is>
      </c>
      <c r="C29" s="8" t="inlineStr">
        <is>
          <t>3. Investment income</t>
        </is>
      </c>
      <c r="D29" s="8" t="inlineStr">
        <is>
          <t>3</t>
        </is>
      </c>
      <c r="E29" s="8" t="inlineStr">
        <is>
          <t>part_viii_revenue.investment_income</t>
        </is>
      </c>
      <c r="F29" s="8" t="inlineStr">
        <is>
          <t>high</t>
        </is>
      </c>
      <c r="G29" s="9" t="n">
        <v>12146</v>
      </c>
    </row>
    <row r="30">
      <c r="A30" s="8" t="inlineStr">
        <is>
          <t>Revenue (detail)</t>
        </is>
      </c>
      <c r="B30" s="8" t="inlineStr">
        <is>
          <t>C9</t>
        </is>
      </c>
      <c r="C30" s="8" t="inlineStr">
        <is>
          <t>3. Investment income</t>
        </is>
      </c>
      <c r="D30" s="8" t="inlineStr">
        <is>
          <t>3</t>
        </is>
      </c>
      <c r="E30" s="8" t="inlineStr">
        <is>
          <t>part_viii_revenue.investment_income</t>
        </is>
      </c>
      <c r="F30" s="8" t="inlineStr">
        <is>
          <t>high</t>
        </is>
      </c>
      <c r="G30" s="9" t="n">
        <v>6266</v>
      </c>
    </row>
    <row r="31">
      <c r="A31" s="8" t="inlineStr">
        <is>
          <t>Revenue (detail)</t>
        </is>
      </c>
      <c r="B31" s="8" t="inlineStr">
        <is>
          <t>D9</t>
        </is>
      </c>
      <c r="C31" s="8" t="inlineStr">
        <is>
          <t>3. Investment income</t>
        </is>
      </c>
      <c r="D31" s="8" t="inlineStr">
        <is>
          <t>3</t>
        </is>
      </c>
      <c r="E31" s="8" t="inlineStr">
        <is>
          <t>part_viii_revenue.investment_income</t>
        </is>
      </c>
      <c r="F31" s="8" t="inlineStr">
        <is>
          <t>high</t>
        </is>
      </c>
      <c r="G31" s="9" t="n">
        <v>16752</v>
      </c>
    </row>
    <row r="32">
      <c r="A32" s="8" t="inlineStr">
        <is>
          <t>Revenue (detail)</t>
        </is>
      </c>
      <c r="B32" s="8" t="inlineStr">
        <is>
          <t>E9</t>
        </is>
      </c>
      <c r="C32" s="8" t="inlineStr">
        <is>
          <t>3. Investment income</t>
        </is>
      </c>
      <c r="D32" s="8" t="inlineStr">
        <is>
          <t>3</t>
        </is>
      </c>
      <c r="E32" s="8" t="inlineStr">
        <is>
          <t>part_viii_revenue.investment_income</t>
        </is>
      </c>
      <c r="F32" s="8" t="inlineStr">
        <is>
          <t>high</t>
        </is>
      </c>
      <c r="G32" s="9" t="n">
        <v>73752</v>
      </c>
    </row>
    <row r="33">
      <c r="A33" s="8" t="inlineStr">
        <is>
          <t>Revenue (detail)</t>
        </is>
      </c>
      <c r="B33" s="8" t="inlineStr">
        <is>
          <t>F9</t>
        </is>
      </c>
      <c r="C33" s="8" t="inlineStr">
        <is>
          <t>3. Investment income</t>
        </is>
      </c>
      <c r="D33" s="8" t="inlineStr">
        <is>
          <t>3</t>
        </is>
      </c>
      <c r="E33" s="8" t="inlineStr">
        <is>
          <t>part_viii_revenue.investment_income</t>
        </is>
      </c>
      <c r="F33" s="8" t="inlineStr">
        <is>
          <t>high</t>
        </is>
      </c>
      <c r="G33" s="9" t="n">
        <v>89023</v>
      </c>
    </row>
    <row r="34">
      <c r="A34" s="8" t="inlineStr">
        <is>
          <t>Revenue (detail)</t>
        </is>
      </c>
      <c r="B34" s="8" t="inlineStr">
        <is>
          <t>D12</t>
        </is>
      </c>
      <c r="C34" s="8" t="inlineStr">
        <is>
          <t>11e. Other revenue</t>
        </is>
      </c>
      <c r="D34" s="8" t="inlineStr">
        <is>
          <t>11e</t>
        </is>
      </c>
      <c r="E34" s="8" t="inlineStr">
        <is>
          <t>part_viii_revenue.other_revenue_total</t>
        </is>
      </c>
      <c r="F34" s="8" t="inlineStr">
        <is>
          <t>high</t>
        </is>
      </c>
      <c r="G34" s="9" t="n">
        <v>145710</v>
      </c>
    </row>
    <row r="35">
      <c r="A35" s="8" t="inlineStr">
        <is>
          <t>Revenue (detail)</t>
        </is>
      </c>
      <c r="B35" s="8" t="inlineStr">
        <is>
          <t>E12</t>
        </is>
      </c>
      <c r="C35" s="8" t="inlineStr">
        <is>
          <t>11e. Other revenue</t>
        </is>
      </c>
      <c r="D35" s="8" t="inlineStr">
        <is>
          <t>11e</t>
        </is>
      </c>
      <c r="E35" s="8" t="inlineStr">
        <is>
          <t>part_viii_revenue.other_revenue_total</t>
        </is>
      </c>
      <c r="F35" s="8" t="inlineStr">
        <is>
          <t>high</t>
        </is>
      </c>
      <c r="G35" s="9" t="n">
        <v>271761</v>
      </c>
    </row>
    <row r="36">
      <c r="A36" s="8" t="inlineStr">
        <is>
          <t>Revenue (detail)</t>
        </is>
      </c>
      <c r="B36" s="8" t="inlineStr">
        <is>
          <t>F12</t>
        </is>
      </c>
      <c r="C36" s="8" t="inlineStr">
        <is>
          <t>11e. Other revenue</t>
        </is>
      </c>
      <c r="D36" s="8" t="inlineStr">
        <is>
          <t>11e</t>
        </is>
      </c>
      <c r="E36" s="8" t="inlineStr">
        <is>
          <t>part_viii_revenue.other_revenue_total</t>
        </is>
      </c>
      <c r="F36" s="8" t="inlineStr">
        <is>
          <t>high</t>
        </is>
      </c>
      <c r="G36" s="9" t="n">
        <v>48388</v>
      </c>
    </row>
    <row r="37">
      <c r="A37" s="8" t="inlineStr">
        <is>
          <t>Operating expenses (detail)</t>
        </is>
      </c>
      <c r="B37" s="8" t="inlineStr">
        <is>
          <t>B7</t>
        </is>
      </c>
      <c r="C37" s="8" t="inlineStr">
        <is>
          <t>5. Compensation of current officers, directors, trustees</t>
        </is>
      </c>
      <c r="D37" s="8" t="inlineStr">
        <is>
          <t>5</t>
        </is>
      </c>
      <c r="E37" s="8" t="inlineStr">
        <is>
          <t>part_ix_expenses.comp_current_officers</t>
        </is>
      </c>
      <c r="F37" s="8" t="inlineStr">
        <is>
          <t>high</t>
        </is>
      </c>
      <c r="G37" s="9" t="n">
        <v>201820</v>
      </c>
    </row>
    <row r="38">
      <c r="A38" s="8" t="inlineStr">
        <is>
          <t>Operating expenses (detail)</t>
        </is>
      </c>
      <c r="B38" s="8" t="inlineStr">
        <is>
          <t>C7</t>
        </is>
      </c>
      <c r="C38" s="8" t="inlineStr">
        <is>
          <t>5. Compensation of current officers, directors, trustees</t>
        </is>
      </c>
      <c r="D38" s="8" t="inlineStr">
        <is>
          <t>5</t>
        </is>
      </c>
      <c r="E38" s="8" t="inlineStr">
        <is>
          <t>part_ix_expenses.comp_current_officers</t>
        </is>
      </c>
      <c r="F38" s="8" t="inlineStr">
        <is>
          <t>high</t>
        </is>
      </c>
      <c r="G38" s="9" t="n">
        <v>181700</v>
      </c>
    </row>
    <row r="39">
      <c r="A39" s="8" t="inlineStr">
        <is>
          <t>Operating expenses (detail)</t>
        </is>
      </c>
      <c r="B39" s="8" t="inlineStr">
        <is>
          <t>D7</t>
        </is>
      </c>
      <c r="C39" s="8" t="inlineStr">
        <is>
          <t>5. Compensation of current officers, directors, trustees</t>
        </is>
      </c>
      <c r="D39" s="8" t="inlineStr">
        <is>
          <t>5</t>
        </is>
      </c>
      <c r="E39" s="8" t="inlineStr">
        <is>
          <t>part_ix_expenses.comp_current_officers</t>
        </is>
      </c>
      <c r="F39" s="8" t="inlineStr">
        <is>
          <t>high</t>
        </is>
      </c>
      <c r="G39" s="9" t="n">
        <v>215316</v>
      </c>
    </row>
    <row r="40">
      <c r="A40" s="8" t="inlineStr">
        <is>
          <t>Operating expenses (detail)</t>
        </is>
      </c>
      <c r="B40" s="8" t="inlineStr">
        <is>
          <t>E7</t>
        </is>
      </c>
      <c r="C40" s="8" t="inlineStr">
        <is>
          <t>5. Compensation of current officers, directors, trustees</t>
        </is>
      </c>
      <c r="D40" s="8" t="inlineStr">
        <is>
          <t>5</t>
        </is>
      </c>
      <c r="E40" s="8" t="inlineStr">
        <is>
          <t>part_ix_expenses.comp_current_officers</t>
        </is>
      </c>
      <c r="F40" s="8" t="inlineStr">
        <is>
          <t>high</t>
        </is>
      </c>
      <c r="G40" s="9" t="n">
        <v>222430</v>
      </c>
    </row>
    <row r="41">
      <c r="A41" s="8" t="inlineStr">
        <is>
          <t>Operating expenses (detail)</t>
        </is>
      </c>
      <c r="B41" s="8" t="inlineStr">
        <is>
          <t>F7</t>
        </is>
      </c>
      <c r="C41" s="8" t="inlineStr">
        <is>
          <t>5. Compensation of current officers, directors, trustees</t>
        </is>
      </c>
      <c r="D41" s="8" t="inlineStr">
        <is>
          <t>5</t>
        </is>
      </c>
      <c r="E41" s="8" t="inlineStr">
        <is>
          <t>part_ix_expenses.comp_current_officers</t>
        </is>
      </c>
      <c r="F41" s="8" t="inlineStr">
        <is>
          <t>high</t>
        </is>
      </c>
      <c r="G41" s="9" t="n">
        <v>236513</v>
      </c>
    </row>
    <row r="42">
      <c r="A42" s="8" t="inlineStr">
        <is>
          <t>Operating expenses (detail)</t>
        </is>
      </c>
      <c r="B42" s="8" t="inlineStr">
        <is>
          <t>B8</t>
        </is>
      </c>
      <c r="C42" s="8" t="inlineStr">
        <is>
          <t>7. Other salaries and wages</t>
        </is>
      </c>
      <c r="D42" s="8" t="inlineStr">
        <is>
          <t>7</t>
        </is>
      </c>
      <c r="E42" s="8" t="inlineStr">
        <is>
          <t>part_ix_expenses.other_salaries_and_wages</t>
        </is>
      </c>
      <c r="F42" s="8" t="inlineStr">
        <is>
          <t>high</t>
        </is>
      </c>
      <c r="G42" s="9" t="n">
        <v>330604</v>
      </c>
    </row>
    <row r="43">
      <c r="A43" s="8" t="inlineStr">
        <is>
          <t>Operating expenses (detail)</t>
        </is>
      </c>
      <c r="B43" s="8" t="inlineStr">
        <is>
          <t>C8</t>
        </is>
      </c>
      <c r="C43" s="8" t="inlineStr">
        <is>
          <t>7. Other salaries and wages</t>
        </is>
      </c>
      <c r="D43" s="8" t="inlineStr">
        <is>
          <t>7</t>
        </is>
      </c>
      <c r="E43" s="8" t="inlineStr">
        <is>
          <t>part_ix_expenses.other_salaries_and_wages</t>
        </is>
      </c>
      <c r="F43" s="8" t="inlineStr">
        <is>
          <t>high</t>
        </is>
      </c>
      <c r="G43" s="9" t="n">
        <v>378761</v>
      </c>
    </row>
    <row r="44">
      <c r="A44" s="8" t="inlineStr">
        <is>
          <t>Operating expenses (detail)</t>
        </is>
      </c>
      <c r="B44" s="8" t="inlineStr">
        <is>
          <t>D8</t>
        </is>
      </c>
      <c r="C44" s="8" t="inlineStr">
        <is>
          <t>7. Other salaries and wages</t>
        </is>
      </c>
      <c r="D44" s="8" t="inlineStr">
        <is>
          <t>7</t>
        </is>
      </c>
      <c r="E44" s="8" t="inlineStr">
        <is>
          <t>part_ix_expenses.other_salaries_and_wages</t>
        </is>
      </c>
      <c r="F44" s="8" t="inlineStr">
        <is>
          <t>high</t>
        </is>
      </c>
      <c r="G44" s="9" t="n">
        <v>290201</v>
      </c>
    </row>
    <row r="45">
      <c r="A45" s="8" t="inlineStr">
        <is>
          <t>Operating expenses (detail)</t>
        </is>
      </c>
      <c r="B45" s="8" t="inlineStr">
        <is>
          <t>E8</t>
        </is>
      </c>
      <c r="C45" s="8" t="inlineStr">
        <is>
          <t>7. Other salaries and wages</t>
        </is>
      </c>
      <c r="D45" s="8" t="inlineStr">
        <is>
          <t>7</t>
        </is>
      </c>
      <c r="E45" s="8" t="inlineStr">
        <is>
          <t>part_ix_expenses.other_salaries_and_wages</t>
        </is>
      </c>
      <c r="F45" s="8" t="inlineStr">
        <is>
          <t>high</t>
        </is>
      </c>
      <c r="G45" s="9" t="n">
        <v>300606</v>
      </c>
    </row>
    <row r="46">
      <c r="A46" s="8" t="inlineStr">
        <is>
          <t>Operating expenses (detail)</t>
        </is>
      </c>
      <c r="B46" s="8" t="inlineStr">
        <is>
          <t>F8</t>
        </is>
      </c>
      <c r="C46" s="8" t="inlineStr">
        <is>
          <t>7. Other salaries and wages</t>
        </is>
      </c>
      <c r="D46" s="8" t="inlineStr">
        <is>
          <t>7</t>
        </is>
      </c>
      <c r="E46" s="8" t="inlineStr">
        <is>
          <t>part_ix_expenses.other_salaries_and_wages</t>
        </is>
      </c>
      <c r="F46" s="8" t="inlineStr">
        <is>
          <t>high</t>
        </is>
      </c>
      <c r="G46" s="9" t="n">
        <v>962568</v>
      </c>
    </row>
    <row r="47">
      <c r="A47" s="8" t="inlineStr">
        <is>
          <t>Operating expenses (detail)</t>
        </is>
      </c>
      <c r="B47" s="8" t="inlineStr">
        <is>
          <t>B9</t>
        </is>
      </c>
      <c r="C47" s="8" t="inlineStr">
        <is>
          <t>8. Pension plan accruals and contributions</t>
        </is>
      </c>
      <c r="D47" s="8" t="inlineStr">
        <is>
          <t>8</t>
        </is>
      </c>
      <c r="E47" s="8" t="inlineStr">
        <is>
          <t>part_ix_expenses.pension_plan_contributions</t>
        </is>
      </c>
      <c r="F47" s="8" t="inlineStr">
        <is>
          <t>high</t>
        </is>
      </c>
      <c r="G47" s="9" t="n">
        <v>65000</v>
      </c>
    </row>
    <row r="48">
      <c r="A48" s="8" t="inlineStr">
        <is>
          <t>Operating expenses (detail)</t>
        </is>
      </c>
      <c r="B48" s="8" t="inlineStr">
        <is>
          <t>C9</t>
        </is>
      </c>
      <c r="C48" s="8" t="inlineStr">
        <is>
          <t>8. Pension plan accruals and contributions</t>
        </is>
      </c>
      <c r="D48" s="8" t="inlineStr">
        <is>
          <t>8</t>
        </is>
      </c>
      <c r="E48" s="8" t="inlineStr">
        <is>
          <t>part_ix_expenses.pension_plan_contributions</t>
        </is>
      </c>
      <c r="F48" s="8" t="inlineStr">
        <is>
          <t>high</t>
        </is>
      </c>
      <c r="G48" s="9" t="n">
        <v>65000</v>
      </c>
    </row>
    <row r="49">
      <c r="A49" s="8" t="inlineStr">
        <is>
          <t>Operating expenses (detail)</t>
        </is>
      </c>
      <c r="B49" s="8" t="inlineStr">
        <is>
          <t>D9</t>
        </is>
      </c>
      <c r="C49" s="8" t="inlineStr">
        <is>
          <t>8. Pension plan accruals and contributions</t>
        </is>
      </c>
      <c r="D49" s="8" t="inlineStr">
        <is>
          <t>8</t>
        </is>
      </c>
      <c r="E49" s="8" t="inlineStr">
        <is>
          <t>part_ix_expenses.pension_plan_contributions</t>
        </is>
      </c>
      <c r="F49" s="8" t="inlineStr">
        <is>
          <t>high</t>
        </is>
      </c>
      <c r="G49" s="9" t="n">
        <v>60000</v>
      </c>
    </row>
    <row r="50">
      <c r="A50" s="8" t="inlineStr">
        <is>
          <t>Operating expenses (detail)</t>
        </is>
      </c>
      <c r="B50" s="8" t="inlineStr">
        <is>
          <t>E9</t>
        </is>
      </c>
      <c r="C50" s="8" t="inlineStr">
        <is>
          <t>8. Pension plan accruals and contributions</t>
        </is>
      </c>
      <c r="D50" s="8" t="inlineStr">
        <is>
          <t>8</t>
        </is>
      </c>
      <c r="E50" s="8" t="inlineStr">
        <is>
          <t>part_ix_expenses.pension_plan_contributions</t>
        </is>
      </c>
      <c r="F50" s="8" t="inlineStr">
        <is>
          <t>high</t>
        </is>
      </c>
      <c r="G50" s="9" t="n">
        <v>65000</v>
      </c>
    </row>
    <row r="51">
      <c r="A51" s="8" t="inlineStr">
        <is>
          <t>Operating expenses (detail)</t>
        </is>
      </c>
      <c r="B51" s="8" t="inlineStr">
        <is>
          <t>F9</t>
        </is>
      </c>
      <c r="C51" s="8" t="inlineStr">
        <is>
          <t>8. Pension plan accruals and contributions</t>
        </is>
      </c>
      <c r="D51" s="8" t="inlineStr">
        <is>
          <t>8</t>
        </is>
      </c>
      <c r="E51" s="8" t="inlineStr">
        <is>
          <t>part_ix_expenses.pension_plan_contributions</t>
        </is>
      </c>
      <c r="F51" s="8" t="inlineStr">
        <is>
          <t>high</t>
        </is>
      </c>
      <c r="G51" s="9" t="n">
        <v>65000</v>
      </c>
    </row>
    <row r="52">
      <c r="A52" s="8" t="inlineStr">
        <is>
          <t>Operating expenses (detail)</t>
        </is>
      </c>
      <c r="B52" s="8" t="inlineStr">
        <is>
          <t>B10</t>
        </is>
      </c>
      <c r="C52" s="8" t="inlineStr">
        <is>
          <t>9. Other employee benefits</t>
        </is>
      </c>
      <c r="D52" s="8" t="inlineStr">
        <is>
          <t>9</t>
        </is>
      </c>
      <c r="E52" s="8" t="inlineStr">
        <is>
          <t>part_ix_expenses.other_employee_benefits</t>
        </is>
      </c>
      <c r="F52" s="8" t="inlineStr">
        <is>
          <t>high</t>
        </is>
      </c>
      <c r="G52" s="9" t="n">
        <v>119170</v>
      </c>
    </row>
    <row r="53">
      <c r="A53" s="8" t="inlineStr">
        <is>
          <t>Operating expenses (detail)</t>
        </is>
      </c>
      <c r="B53" s="8" t="inlineStr">
        <is>
          <t>C10</t>
        </is>
      </c>
      <c r="C53" s="8" t="inlineStr">
        <is>
          <t>9. Other employee benefits</t>
        </is>
      </c>
      <c r="D53" s="8" t="inlineStr">
        <is>
          <t>9</t>
        </is>
      </c>
      <c r="E53" s="8" t="inlineStr">
        <is>
          <t>part_ix_expenses.other_employee_benefits</t>
        </is>
      </c>
      <c r="F53" s="8" t="inlineStr">
        <is>
          <t>high</t>
        </is>
      </c>
      <c r="G53" s="9" t="n">
        <v>118381</v>
      </c>
    </row>
    <row r="54">
      <c r="A54" s="8" t="inlineStr">
        <is>
          <t>Operating expenses (detail)</t>
        </is>
      </c>
      <c r="B54" s="8" t="inlineStr">
        <is>
          <t>D10</t>
        </is>
      </c>
      <c r="C54" s="8" t="inlineStr">
        <is>
          <t>9. Other employee benefits</t>
        </is>
      </c>
      <c r="D54" s="8" t="inlineStr">
        <is>
          <t>9</t>
        </is>
      </c>
      <c r="E54" s="8" t="inlineStr">
        <is>
          <t>part_ix_expenses.other_employee_benefits</t>
        </is>
      </c>
      <c r="F54" s="8" t="inlineStr">
        <is>
          <t>high</t>
        </is>
      </c>
      <c r="G54" s="9" t="n">
        <v>210159</v>
      </c>
    </row>
    <row r="55">
      <c r="A55" s="8" t="inlineStr">
        <is>
          <t>Operating expenses (detail)</t>
        </is>
      </c>
      <c r="B55" s="8" t="inlineStr">
        <is>
          <t>E10</t>
        </is>
      </c>
      <c r="C55" s="8" t="inlineStr">
        <is>
          <t>9. Other employee benefits</t>
        </is>
      </c>
      <c r="D55" s="8" t="inlineStr">
        <is>
          <t>9</t>
        </is>
      </c>
      <c r="E55" s="8" t="inlineStr">
        <is>
          <t>part_ix_expenses.other_employee_benefits</t>
        </is>
      </c>
      <c r="F55" s="8" t="inlineStr">
        <is>
          <t>high</t>
        </is>
      </c>
      <c r="G55" s="9" t="n">
        <v>252574</v>
      </c>
    </row>
    <row r="56">
      <c r="A56" s="8" t="inlineStr">
        <is>
          <t>Operating expenses (detail)</t>
        </is>
      </c>
      <c r="B56" s="8" t="inlineStr">
        <is>
          <t>B11</t>
        </is>
      </c>
      <c r="C56" s="8" t="inlineStr">
        <is>
          <t>10. Payroll taxes</t>
        </is>
      </c>
      <c r="D56" s="8" t="inlineStr">
        <is>
          <t>10</t>
        </is>
      </c>
      <c r="E56" s="8" t="inlineStr">
        <is>
          <t>part_ix_expenses.payroll_taxes</t>
        </is>
      </c>
      <c r="F56" s="8" t="inlineStr">
        <is>
          <t>high</t>
        </is>
      </c>
      <c r="G56" s="9" t="n">
        <v>82163</v>
      </c>
    </row>
    <row r="57">
      <c r="A57" s="8" t="inlineStr">
        <is>
          <t>Operating expenses (detail)</t>
        </is>
      </c>
      <c r="B57" s="8" t="inlineStr">
        <is>
          <t>C11</t>
        </is>
      </c>
      <c r="C57" s="8" t="inlineStr">
        <is>
          <t>10. Payroll taxes</t>
        </is>
      </c>
      <c r="D57" s="8" t="inlineStr">
        <is>
          <t>10</t>
        </is>
      </c>
      <c r="E57" s="8" t="inlineStr">
        <is>
          <t>part_ix_expenses.payroll_taxes</t>
        </is>
      </c>
      <c r="F57" s="8" t="inlineStr">
        <is>
          <t>high</t>
        </is>
      </c>
      <c r="G57" s="9" t="n">
        <v>79223</v>
      </c>
    </row>
    <row r="58">
      <c r="A58" s="8" t="inlineStr">
        <is>
          <t>Operating expenses (detail)</t>
        </is>
      </c>
      <c r="B58" s="8" t="inlineStr">
        <is>
          <t>D11</t>
        </is>
      </c>
      <c r="C58" s="8" t="inlineStr">
        <is>
          <t>10. Payroll taxes</t>
        </is>
      </c>
      <c r="D58" s="8" t="inlineStr">
        <is>
          <t>10</t>
        </is>
      </c>
      <c r="E58" s="8" t="inlineStr">
        <is>
          <t>part_ix_expenses.payroll_taxes</t>
        </is>
      </c>
      <c r="F58" s="8" t="inlineStr">
        <is>
          <t>high</t>
        </is>
      </c>
      <c r="G58" s="9" t="n">
        <v>81823</v>
      </c>
    </row>
    <row r="59">
      <c r="A59" s="8" t="inlineStr">
        <is>
          <t>Operating expenses (detail)</t>
        </is>
      </c>
      <c r="B59" s="8" t="inlineStr">
        <is>
          <t>E11</t>
        </is>
      </c>
      <c r="C59" s="8" t="inlineStr">
        <is>
          <t>10. Payroll taxes</t>
        </is>
      </c>
      <c r="D59" s="8" t="inlineStr">
        <is>
          <t>10</t>
        </is>
      </c>
      <c r="E59" s="8" t="inlineStr">
        <is>
          <t>part_ix_expenses.payroll_taxes</t>
        </is>
      </c>
      <c r="F59" s="8" t="inlineStr">
        <is>
          <t>high</t>
        </is>
      </c>
      <c r="G59" s="9" t="n">
        <v>84066</v>
      </c>
    </row>
    <row r="60">
      <c r="A60" s="8" t="inlineStr">
        <is>
          <t>Operating expenses (detail)</t>
        </is>
      </c>
      <c r="B60" s="8" t="inlineStr">
        <is>
          <t>F11</t>
        </is>
      </c>
      <c r="C60" s="8" t="inlineStr">
        <is>
          <t>10. Payroll taxes</t>
        </is>
      </c>
      <c r="D60" s="8" t="inlineStr">
        <is>
          <t>10</t>
        </is>
      </c>
      <c r="E60" s="8" t="inlineStr">
        <is>
          <t>part_ix_expenses.payroll_taxes</t>
        </is>
      </c>
      <c r="F60" s="8" t="inlineStr">
        <is>
          <t>high</t>
        </is>
      </c>
      <c r="G60" s="9" t="n">
        <v>89767</v>
      </c>
    </row>
    <row r="61">
      <c r="A61" s="8" t="inlineStr">
        <is>
          <t>Operating expenses (detail)</t>
        </is>
      </c>
      <c r="B61" s="8" t="inlineStr">
        <is>
          <t>B12</t>
        </is>
      </c>
      <c r="C61" s="8" t="inlineStr">
        <is>
          <t>11g. Fees for services: other</t>
        </is>
      </c>
      <c r="D61" s="8" t="inlineStr">
        <is>
          <t>11g</t>
        </is>
      </c>
      <c r="E61" s="8" t="inlineStr">
        <is>
          <t>part_ix_expenses.fees_other</t>
        </is>
      </c>
      <c r="F61" s="8" t="inlineStr">
        <is>
          <t>high</t>
        </is>
      </c>
      <c r="G61" s="9" t="n">
        <v>33776</v>
      </c>
    </row>
    <row r="62">
      <c r="A62" s="8" t="inlineStr">
        <is>
          <t>Operating expenses (detail)</t>
        </is>
      </c>
      <c r="B62" s="8" t="inlineStr">
        <is>
          <t>C12</t>
        </is>
      </c>
      <c r="C62" s="8" t="inlineStr">
        <is>
          <t>11g. Fees for services: other</t>
        </is>
      </c>
      <c r="D62" s="8" t="inlineStr">
        <is>
          <t>11g</t>
        </is>
      </c>
      <c r="E62" s="8" t="inlineStr">
        <is>
          <t>part_ix_expenses.fees_other</t>
        </is>
      </c>
      <c r="F62" s="8" t="inlineStr">
        <is>
          <t>high</t>
        </is>
      </c>
      <c r="G62" s="9" t="n">
        <v>34020</v>
      </c>
    </row>
    <row r="63">
      <c r="A63" s="8" t="inlineStr">
        <is>
          <t>Operating expenses (detail)</t>
        </is>
      </c>
      <c r="B63" s="8" t="inlineStr">
        <is>
          <t>D12</t>
        </is>
      </c>
      <c r="C63" s="8" t="inlineStr">
        <is>
          <t>11g. Fees for services: other</t>
        </is>
      </c>
      <c r="D63" s="8" t="inlineStr">
        <is>
          <t>11g</t>
        </is>
      </c>
      <c r="E63" s="8" t="inlineStr">
        <is>
          <t>part_ix_expenses.fees_other</t>
        </is>
      </c>
      <c r="F63" s="8" t="inlineStr">
        <is>
          <t>high</t>
        </is>
      </c>
      <c r="G63" s="9" t="n">
        <v>26120</v>
      </c>
    </row>
    <row r="64">
      <c r="A64" s="8" t="inlineStr">
        <is>
          <t>Operating expenses (detail)</t>
        </is>
      </c>
      <c r="B64" s="8" t="inlineStr">
        <is>
          <t>E12</t>
        </is>
      </c>
      <c r="C64" s="8" t="inlineStr">
        <is>
          <t>11g. Fees for services: other</t>
        </is>
      </c>
      <c r="D64" s="8" t="inlineStr">
        <is>
          <t>11g</t>
        </is>
      </c>
      <c r="E64" s="8" t="inlineStr">
        <is>
          <t>part_ix_expenses.fees_other</t>
        </is>
      </c>
      <c r="F64" s="8" t="inlineStr">
        <is>
          <t>high</t>
        </is>
      </c>
      <c r="G64" s="9" t="n">
        <v>32235</v>
      </c>
    </row>
    <row r="65">
      <c r="A65" s="8" t="inlineStr">
        <is>
          <t>Operating expenses (detail)</t>
        </is>
      </c>
      <c r="B65" s="8" t="inlineStr">
        <is>
          <t>F12</t>
        </is>
      </c>
      <c r="C65" s="8" t="inlineStr">
        <is>
          <t>11g. Fees for services: other</t>
        </is>
      </c>
      <c r="D65" s="8" t="inlineStr">
        <is>
          <t>11g</t>
        </is>
      </c>
      <c r="E65" s="8" t="inlineStr">
        <is>
          <t>part_ix_expenses.fees_other</t>
        </is>
      </c>
      <c r="F65" s="8" t="inlineStr">
        <is>
          <t>high</t>
        </is>
      </c>
      <c r="G65" s="9" t="n">
        <v>192888</v>
      </c>
    </row>
    <row r="66">
      <c r="A66" s="8" t="inlineStr">
        <is>
          <t>Operating expenses (detail)</t>
        </is>
      </c>
      <c r="B66" s="8" t="inlineStr">
        <is>
          <t>B13</t>
        </is>
      </c>
      <c r="C66" s="8" t="inlineStr">
        <is>
          <t>13. Office expenses</t>
        </is>
      </c>
      <c r="D66" s="8" t="inlineStr">
        <is>
          <t>13</t>
        </is>
      </c>
      <c r="E66" s="8" t="inlineStr">
        <is>
          <t>part_ix_expenses.office_expenses</t>
        </is>
      </c>
      <c r="F66" s="8" t="inlineStr">
        <is>
          <t>high</t>
        </is>
      </c>
      <c r="G66" s="9" t="n">
        <v>31285</v>
      </c>
    </row>
    <row r="67">
      <c r="A67" s="8" t="inlineStr">
        <is>
          <t>Operating expenses (detail)</t>
        </is>
      </c>
      <c r="B67" s="8" t="inlineStr">
        <is>
          <t>C13</t>
        </is>
      </c>
      <c r="C67" s="8" t="inlineStr">
        <is>
          <t>13. Office expenses</t>
        </is>
      </c>
      <c r="D67" s="8" t="inlineStr">
        <is>
          <t>13</t>
        </is>
      </c>
      <c r="E67" s="8" t="inlineStr">
        <is>
          <t>part_ix_expenses.office_expenses</t>
        </is>
      </c>
      <c r="F67" s="8" t="inlineStr">
        <is>
          <t>high</t>
        </is>
      </c>
      <c r="G67" s="9" t="n">
        <v>38462</v>
      </c>
    </row>
    <row r="68">
      <c r="A68" s="8" t="inlineStr">
        <is>
          <t>Operating expenses (detail)</t>
        </is>
      </c>
      <c r="B68" s="8" t="inlineStr">
        <is>
          <t>D13</t>
        </is>
      </c>
      <c r="C68" s="8" t="inlineStr">
        <is>
          <t>13. Office expenses</t>
        </is>
      </c>
      <c r="D68" s="8" t="inlineStr">
        <is>
          <t>13</t>
        </is>
      </c>
      <c r="E68" s="8" t="inlineStr">
        <is>
          <t>part_ix_expenses.office_expenses</t>
        </is>
      </c>
      <c r="F68" s="8" t="inlineStr">
        <is>
          <t>high</t>
        </is>
      </c>
      <c r="G68" s="9" t="n">
        <v>31280</v>
      </c>
    </row>
    <row r="69">
      <c r="A69" s="8" t="inlineStr">
        <is>
          <t>Operating expenses (detail)</t>
        </is>
      </c>
      <c r="B69" s="8" t="inlineStr">
        <is>
          <t>E13</t>
        </is>
      </c>
      <c r="C69" s="8" t="inlineStr">
        <is>
          <t>13. Office expenses</t>
        </is>
      </c>
      <c r="D69" s="8" t="inlineStr">
        <is>
          <t>13</t>
        </is>
      </c>
      <c r="E69" s="8" t="inlineStr">
        <is>
          <t>part_ix_expenses.office_expenses</t>
        </is>
      </c>
      <c r="F69" s="8" t="inlineStr">
        <is>
          <t>high</t>
        </is>
      </c>
      <c r="G69" s="9" t="n">
        <v>40336</v>
      </c>
    </row>
    <row r="70">
      <c r="A70" s="8" t="inlineStr">
        <is>
          <t>Operating expenses (detail)</t>
        </is>
      </c>
      <c r="B70" s="8" t="inlineStr">
        <is>
          <t>F13</t>
        </is>
      </c>
      <c r="C70" s="8" t="inlineStr">
        <is>
          <t>13. Office expenses</t>
        </is>
      </c>
      <c r="D70" s="8" t="inlineStr">
        <is>
          <t>13</t>
        </is>
      </c>
      <c r="E70" s="8" t="inlineStr">
        <is>
          <t>part_ix_expenses.office_expenses</t>
        </is>
      </c>
      <c r="F70" s="8" t="inlineStr">
        <is>
          <t>high</t>
        </is>
      </c>
      <c r="G70" s="9" t="n">
        <v>63863</v>
      </c>
    </row>
    <row r="71">
      <c r="A71" s="8" t="inlineStr">
        <is>
          <t>Operating expenses (detail)</t>
        </is>
      </c>
      <c r="B71" s="8" t="inlineStr">
        <is>
          <t>B14</t>
        </is>
      </c>
      <c r="C71" s="8" t="inlineStr">
        <is>
          <t>14. Information technology</t>
        </is>
      </c>
      <c r="D71" s="8" t="inlineStr">
        <is>
          <t>14</t>
        </is>
      </c>
      <c r="E71" s="8" t="inlineStr">
        <is>
          <t>part_ix_expenses.information_technology</t>
        </is>
      </c>
      <c r="F71" s="8" t="inlineStr">
        <is>
          <t>high</t>
        </is>
      </c>
      <c r="G71" s="9" t="n">
        <v>28915</v>
      </c>
    </row>
    <row r="72">
      <c r="A72" s="8" t="inlineStr">
        <is>
          <t>Operating expenses (detail)</t>
        </is>
      </c>
      <c r="B72" s="8" t="inlineStr">
        <is>
          <t>C14</t>
        </is>
      </c>
      <c r="C72" s="8" t="inlineStr">
        <is>
          <t>14. Information technology</t>
        </is>
      </c>
      <c r="D72" s="8" t="inlineStr">
        <is>
          <t>14</t>
        </is>
      </c>
      <c r="E72" s="8" t="inlineStr">
        <is>
          <t>part_ix_expenses.information_technology</t>
        </is>
      </c>
      <c r="F72" s="8" t="inlineStr">
        <is>
          <t>high</t>
        </is>
      </c>
      <c r="G72" s="9" t="n">
        <v>47718</v>
      </c>
    </row>
    <row r="73">
      <c r="A73" s="8" t="inlineStr">
        <is>
          <t>Operating expenses (detail)</t>
        </is>
      </c>
      <c r="B73" s="8" t="inlineStr">
        <is>
          <t>D14</t>
        </is>
      </c>
      <c r="C73" s="8" t="inlineStr">
        <is>
          <t>14. Information technology</t>
        </is>
      </c>
      <c r="D73" s="8" t="inlineStr">
        <is>
          <t>14</t>
        </is>
      </c>
      <c r="E73" s="8" t="inlineStr">
        <is>
          <t>part_ix_expenses.information_technology</t>
        </is>
      </c>
      <c r="F73" s="8" t="inlineStr">
        <is>
          <t>high</t>
        </is>
      </c>
      <c r="G73" s="9" t="n">
        <v>48439</v>
      </c>
    </row>
    <row r="74">
      <c r="A74" s="8" t="inlineStr">
        <is>
          <t>Operating expenses (detail)</t>
        </is>
      </c>
      <c r="B74" s="8" t="inlineStr">
        <is>
          <t>E14</t>
        </is>
      </c>
      <c r="C74" s="8" t="inlineStr">
        <is>
          <t>14. Information technology</t>
        </is>
      </c>
      <c r="D74" s="8" t="inlineStr">
        <is>
          <t>14</t>
        </is>
      </c>
      <c r="E74" s="8" t="inlineStr">
        <is>
          <t>part_ix_expenses.information_technology</t>
        </is>
      </c>
      <c r="F74" s="8" t="inlineStr">
        <is>
          <t>high</t>
        </is>
      </c>
      <c r="G74" s="9" t="n">
        <v>48630</v>
      </c>
    </row>
    <row r="75">
      <c r="A75" s="8" t="inlineStr">
        <is>
          <t>Operating expenses (detail)</t>
        </is>
      </c>
      <c r="B75" s="8" t="inlineStr">
        <is>
          <t>F14</t>
        </is>
      </c>
      <c r="C75" s="8" t="inlineStr">
        <is>
          <t>14. Information technology</t>
        </is>
      </c>
      <c r="D75" s="8" t="inlineStr">
        <is>
          <t>14</t>
        </is>
      </c>
      <c r="E75" s="8" t="inlineStr">
        <is>
          <t>part_ix_expenses.information_technology</t>
        </is>
      </c>
      <c r="F75" s="8" t="inlineStr">
        <is>
          <t>high</t>
        </is>
      </c>
      <c r="G75" s="9" t="n">
        <v>56881</v>
      </c>
    </row>
    <row r="76">
      <c r="A76" s="8" t="inlineStr">
        <is>
          <t>Operating expenses (detail)</t>
        </is>
      </c>
      <c r="B76" s="8" t="inlineStr">
        <is>
          <t>B15</t>
        </is>
      </c>
      <c r="C76" s="8" t="inlineStr">
        <is>
          <t>20. Interest</t>
        </is>
      </c>
      <c r="D76" s="8" t="inlineStr">
        <is>
          <t>20</t>
        </is>
      </c>
      <c r="E76" s="8" t="inlineStr">
        <is>
          <t>part_ix_expenses.interest</t>
        </is>
      </c>
      <c r="F76" s="8" t="inlineStr">
        <is>
          <t>high</t>
        </is>
      </c>
      <c r="G76" s="9" t="n">
        <v>26312</v>
      </c>
    </row>
    <row r="77">
      <c r="A77" s="8" t="inlineStr">
        <is>
          <t>Operating expenses (detail)</t>
        </is>
      </c>
      <c r="B77" s="8" t="inlineStr">
        <is>
          <t>C15</t>
        </is>
      </c>
      <c r="C77" s="8" t="inlineStr">
        <is>
          <t>20. Interest</t>
        </is>
      </c>
      <c r="D77" s="8" t="inlineStr">
        <is>
          <t>20</t>
        </is>
      </c>
      <c r="E77" s="8" t="inlineStr">
        <is>
          <t>part_ix_expenses.interest</t>
        </is>
      </c>
      <c r="F77" s="8" t="inlineStr">
        <is>
          <t>high</t>
        </is>
      </c>
      <c r="G77" s="9" t="n">
        <v>37279</v>
      </c>
    </row>
    <row r="78">
      <c r="A78" s="8" t="inlineStr">
        <is>
          <t>Operating expenses (detail)</t>
        </is>
      </c>
      <c r="B78" s="8" t="inlineStr">
        <is>
          <t>D15</t>
        </is>
      </c>
      <c r="C78" s="8" t="inlineStr">
        <is>
          <t>20. Interest</t>
        </is>
      </c>
      <c r="D78" s="8" t="inlineStr">
        <is>
          <t>20</t>
        </is>
      </c>
      <c r="E78" s="8" t="inlineStr">
        <is>
          <t>part_ix_expenses.interest</t>
        </is>
      </c>
      <c r="F78" s="8" t="inlineStr">
        <is>
          <t>high</t>
        </is>
      </c>
      <c r="G78" s="9" t="n">
        <v>25742</v>
      </c>
    </row>
    <row r="79">
      <c r="A79" s="8" t="inlineStr">
        <is>
          <t>Operating expenses (detail)</t>
        </is>
      </c>
      <c r="B79" s="8" t="inlineStr">
        <is>
          <t>E15</t>
        </is>
      </c>
      <c r="C79" s="8" t="inlineStr">
        <is>
          <t>20. Interest</t>
        </is>
      </c>
      <c r="D79" s="8" t="inlineStr">
        <is>
          <t>20</t>
        </is>
      </c>
      <c r="E79" s="8" t="inlineStr">
        <is>
          <t>part_ix_expenses.interest</t>
        </is>
      </c>
      <c r="F79" s="8" t="inlineStr">
        <is>
          <t>high</t>
        </is>
      </c>
      <c r="G79" s="9" t="n">
        <v>19569</v>
      </c>
    </row>
    <row r="80">
      <c r="A80" s="8" t="inlineStr">
        <is>
          <t>Operating expenses (detail)</t>
        </is>
      </c>
      <c r="B80" s="8" t="inlineStr">
        <is>
          <t>F15</t>
        </is>
      </c>
      <c r="C80" s="8" t="inlineStr">
        <is>
          <t>20. Interest</t>
        </is>
      </c>
      <c r="D80" s="8" t="inlineStr">
        <is>
          <t>20</t>
        </is>
      </c>
      <c r="E80" s="8" t="inlineStr">
        <is>
          <t>part_ix_expenses.interest</t>
        </is>
      </c>
      <c r="F80" s="8" t="inlineStr">
        <is>
          <t>high</t>
        </is>
      </c>
      <c r="G80" s="9" t="n">
        <v>13173</v>
      </c>
    </row>
    <row r="81">
      <c r="A81" s="8" t="inlineStr">
        <is>
          <t>Operating expenses (detail)</t>
        </is>
      </c>
      <c r="B81" s="8" t="inlineStr">
        <is>
          <t>B16</t>
        </is>
      </c>
      <c r="C81" s="8" t="inlineStr">
        <is>
          <t>22. Depreciation, depletion, and amortization</t>
        </is>
      </c>
      <c r="D81" s="8" t="inlineStr">
        <is>
          <t>22</t>
        </is>
      </c>
      <c r="E81" s="8" t="inlineStr">
        <is>
          <t>part_ix_expenses.depreciation</t>
        </is>
      </c>
      <c r="F81" s="8" t="inlineStr">
        <is>
          <t>high</t>
        </is>
      </c>
      <c r="G81" s="9" t="n">
        <v>566049</v>
      </c>
    </row>
    <row r="82">
      <c r="A82" s="8" t="inlineStr">
        <is>
          <t>Operating expenses (detail)</t>
        </is>
      </c>
      <c r="B82" s="8" t="inlineStr">
        <is>
          <t>C16</t>
        </is>
      </c>
      <c r="C82" s="8" t="inlineStr">
        <is>
          <t>22. Depreciation, depletion, and amortization</t>
        </is>
      </c>
      <c r="D82" s="8" t="inlineStr">
        <is>
          <t>22</t>
        </is>
      </c>
      <c r="E82" s="8" t="inlineStr">
        <is>
          <t>part_ix_expenses.depreciation</t>
        </is>
      </c>
      <c r="F82" s="8" t="inlineStr">
        <is>
          <t>high</t>
        </is>
      </c>
      <c r="G82" s="9" t="n">
        <v>588471</v>
      </c>
    </row>
    <row r="83">
      <c r="A83" s="8" t="inlineStr">
        <is>
          <t>Operating expenses (detail)</t>
        </is>
      </c>
      <c r="B83" s="8" t="inlineStr">
        <is>
          <t>D16</t>
        </is>
      </c>
      <c r="C83" s="8" t="inlineStr">
        <is>
          <t>22. Depreciation, depletion, and amortization</t>
        </is>
      </c>
      <c r="D83" s="8" t="inlineStr">
        <is>
          <t>22</t>
        </is>
      </c>
      <c r="E83" s="8" t="inlineStr">
        <is>
          <t>part_ix_expenses.depreciation</t>
        </is>
      </c>
      <c r="F83" s="8" t="inlineStr">
        <is>
          <t>high</t>
        </is>
      </c>
      <c r="G83" s="9" t="n">
        <v>621280</v>
      </c>
    </row>
    <row r="84">
      <c r="A84" s="8" t="inlineStr">
        <is>
          <t>Operating expenses (detail)</t>
        </is>
      </c>
      <c r="B84" s="8" t="inlineStr">
        <is>
          <t>E16</t>
        </is>
      </c>
      <c r="C84" s="8" t="inlineStr">
        <is>
          <t>22. Depreciation, depletion, and amortization</t>
        </is>
      </c>
      <c r="D84" s="8" t="inlineStr">
        <is>
          <t>22</t>
        </is>
      </c>
      <c r="E84" s="8" t="inlineStr">
        <is>
          <t>part_ix_expenses.depreciation</t>
        </is>
      </c>
      <c r="F84" s="8" t="inlineStr">
        <is>
          <t>high</t>
        </is>
      </c>
      <c r="G84" s="9" t="n">
        <v>648774</v>
      </c>
    </row>
    <row r="85">
      <c r="A85" s="8" t="inlineStr">
        <is>
          <t>Operating expenses (detail)</t>
        </is>
      </c>
      <c r="B85" s="8" t="inlineStr">
        <is>
          <t>F16</t>
        </is>
      </c>
      <c r="C85" s="8" t="inlineStr">
        <is>
          <t>22. Depreciation, depletion, and amortization</t>
        </is>
      </c>
      <c r="D85" s="8" t="inlineStr">
        <is>
          <t>22</t>
        </is>
      </c>
      <c r="E85" s="8" t="inlineStr">
        <is>
          <t>part_ix_expenses.depreciation</t>
        </is>
      </c>
      <c r="F85" s="8" t="inlineStr">
        <is>
          <t>high</t>
        </is>
      </c>
      <c r="G85" s="9" t="n">
        <v>701225</v>
      </c>
    </row>
    <row r="86">
      <c r="A86" s="8" t="inlineStr">
        <is>
          <t>Operating expenses (detail)</t>
        </is>
      </c>
      <c r="B86" s="8" t="inlineStr">
        <is>
          <t>B17</t>
        </is>
      </c>
      <c r="C86" s="8" t="inlineStr">
        <is>
          <t>23. Insurance</t>
        </is>
      </c>
      <c r="D86" s="8" t="inlineStr">
        <is>
          <t>23</t>
        </is>
      </c>
      <c r="E86" s="8" t="inlineStr">
        <is>
          <t>part_ix_expenses.insurance</t>
        </is>
      </c>
      <c r="F86" s="8" t="inlineStr">
        <is>
          <t>high</t>
        </is>
      </c>
      <c r="G86" s="9" t="n">
        <v>214941</v>
      </c>
    </row>
    <row r="87">
      <c r="A87" s="8" t="inlineStr">
        <is>
          <t>Operating expenses (detail)</t>
        </is>
      </c>
      <c r="B87" s="8" t="inlineStr">
        <is>
          <t>C17</t>
        </is>
      </c>
      <c r="C87" s="8" t="inlineStr">
        <is>
          <t>23. Insurance</t>
        </is>
      </c>
      <c r="D87" s="8" t="inlineStr">
        <is>
          <t>23</t>
        </is>
      </c>
      <c r="E87" s="8" t="inlineStr">
        <is>
          <t>part_ix_expenses.insurance</t>
        </is>
      </c>
      <c r="F87" s="8" t="inlineStr">
        <is>
          <t>high</t>
        </is>
      </c>
      <c r="G87" s="9" t="n">
        <v>166720</v>
      </c>
    </row>
    <row r="88">
      <c r="A88" s="8" t="inlineStr">
        <is>
          <t>Operating expenses (detail)</t>
        </is>
      </c>
      <c r="B88" s="8" t="inlineStr">
        <is>
          <t>D17</t>
        </is>
      </c>
      <c r="C88" s="8" t="inlineStr">
        <is>
          <t>23. Insurance</t>
        </is>
      </c>
      <c r="D88" s="8" t="inlineStr">
        <is>
          <t>23</t>
        </is>
      </c>
      <c r="E88" s="8" t="inlineStr">
        <is>
          <t>part_ix_expenses.insurance</t>
        </is>
      </c>
      <c r="F88" s="8" t="inlineStr">
        <is>
          <t>high</t>
        </is>
      </c>
      <c r="G88" s="9" t="n">
        <v>145328</v>
      </c>
    </row>
    <row r="89">
      <c r="A89" s="8" t="inlineStr">
        <is>
          <t>Operating expenses (detail)</t>
        </is>
      </c>
      <c r="B89" s="8" t="inlineStr">
        <is>
          <t>E17</t>
        </is>
      </c>
      <c r="C89" s="8" t="inlineStr">
        <is>
          <t>23. Insurance</t>
        </is>
      </c>
      <c r="D89" s="8" t="inlineStr">
        <is>
          <t>23</t>
        </is>
      </c>
      <c r="E89" s="8" t="inlineStr">
        <is>
          <t>part_ix_expenses.insurance</t>
        </is>
      </c>
      <c r="F89" s="8" t="inlineStr">
        <is>
          <t>high</t>
        </is>
      </c>
      <c r="G89" s="9" t="n">
        <v>170632</v>
      </c>
    </row>
    <row r="90">
      <c r="A90" s="8" t="inlineStr">
        <is>
          <t>Operating expenses (detail)</t>
        </is>
      </c>
      <c r="B90" s="8" t="inlineStr">
        <is>
          <t>F17</t>
        </is>
      </c>
      <c r="C90" s="8" t="inlineStr">
        <is>
          <t>23. Insurance</t>
        </is>
      </c>
      <c r="D90" s="8" t="inlineStr">
        <is>
          <t>23</t>
        </is>
      </c>
      <c r="E90" s="8" t="inlineStr">
        <is>
          <t>part_ix_expenses.insurance</t>
        </is>
      </c>
      <c r="F90" s="8" t="inlineStr">
        <is>
          <t>high</t>
        </is>
      </c>
      <c r="G90" s="9" t="n">
        <v>418385</v>
      </c>
    </row>
    <row r="91">
      <c r="A91" s="8" t="inlineStr">
        <is>
          <t>Operating expenses (detail)</t>
        </is>
      </c>
      <c r="B91" s="8" t="inlineStr">
        <is>
          <t>B23</t>
        </is>
      </c>
      <c r="C91" s="8" t="inlineStr">
        <is>
          <t>24e. All other expenses</t>
        </is>
      </c>
      <c r="D91" s="8" t="inlineStr">
        <is>
          <t>24e</t>
        </is>
      </c>
      <c r="E91" s="8" t="inlineStr">
        <is>
          <t>part_ix_expenses.all_other_expenses</t>
        </is>
      </c>
      <c r="F91" s="8" t="inlineStr">
        <is>
          <t>high</t>
        </is>
      </c>
      <c r="G91" s="9" t="n">
        <v>5566</v>
      </c>
    </row>
    <row r="92">
      <c r="A92" s="8" t="inlineStr">
        <is>
          <t>Operating expenses (detail)</t>
        </is>
      </c>
      <c r="B92" s="8" t="inlineStr">
        <is>
          <t>C23</t>
        </is>
      </c>
      <c r="C92" s="8" t="inlineStr">
        <is>
          <t>24e. All other expenses</t>
        </is>
      </c>
      <c r="D92" s="8" t="inlineStr">
        <is>
          <t>24e</t>
        </is>
      </c>
      <c r="E92" s="8" t="inlineStr">
        <is>
          <t>part_ix_expenses.all_other_expenses</t>
        </is>
      </c>
      <c r="F92" s="8" t="inlineStr">
        <is>
          <t>high</t>
        </is>
      </c>
      <c r="G92" s="9" t="n">
        <v>17110</v>
      </c>
    </row>
    <row r="93">
      <c r="A93" s="8" t="inlineStr">
        <is>
          <t>Operating expenses (detail)</t>
        </is>
      </c>
      <c r="B93" s="8" t="inlineStr">
        <is>
          <t>D23</t>
        </is>
      </c>
      <c r="C93" s="8" t="inlineStr">
        <is>
          <t>24e. All other expenses</t>
        </is>
      </c>
      <c r="D93" s="8" t="inlineStr">
        <is>
          <t>24e</t>
        </is>
      </c>
      <c r="E93" s="8" t="inlineStr">
        <is>
          <t>part_ix_expenses.all_other_expenses</t>
        </is>
      </c>
      <c r="F93" s="8" t="inlineStr">
        <is>
          <t>high</t>
        </is>
      </c>
      <c r="G93" s="9" t="n">
        <v>7036</v>
      </c>
    </row>
    <row r="94">
      <c r="A94" s="8" t="inlineStr">
        <is>
          <t>Operating expenses (detail)</t>
        </is>
      </c>
      <c r="B94" s="8" t="inlineStr">
        <is>
          <t>E23</t>
        </is>
      </c>
      <c r="C94" s="8" t="inlineStr">
        <is>
          <t>24e. All other expenses</t>
        </is>
      </c>
      <c r="D94" s="8" t="inlineStr">
        <is>
          <t>24e</t>
        </is>
      </c>
      <c r="E94" s="8" t="inlineStr">
        <is>
          <t>part_ix_expenses.all_other_expenses</t>
        </is>
      </c>
      <c r="F94" s="8" t="inlineStr">
        <is>
          <t>high</t>
        </is>
      </c>
      <c r="G94" s="9" t="n">
        <v>7288</v>
      </c>
    </row>
    <row r="95">
      <c r="A95" s="8" t="inlineStr">
        <is>
          <t>Operating expenses (detail)</t>
        </is>
      </c>
      <c r="B95" s="8" t="inlineStr">
        <is>
          <t>F23</t>
        </is>
      </c>
      <c r="C95" s="8" t="inlineStr">
        <is>
          <t>24e. All other expenses</t>
        </is>
      </c>
      <c r="D95" s="8" t="inlineStr">
        <is>
          <t>24e</t>
        </is>
      </c>
      <c r="E95" s="8" t="inlineStr">
        <is>
          <t>part_ix_expenses.all_other_expenses</t>
        </is>
      </c>
      <c r="F95" s="8" t="inlineStr">
        <is>
          <t>high</t>
        </is>
      </c>
      <c r="G95" s="9" t="n">
        <v>41491</v>
      </c>
    </row>
    <row r="96">
      <c r="A96" s="8" t="inlineStr">
        <is>
          <t>Balance sheet (detail)</t>
        </is>
      </c>
      <c r="B96" s="8" t="inlineStr">
        <is>
          <t>B7</t>
        </is>
      </c>
      <c r="C96" s="8" t="inlineStr">
        <is>
          <t>1. Cash - non-interest-bearing</t>
        </is>
      </c>
      <c r="D96" s="8" t="inlineStr">
        <is>
          <t>1E</t>
        </is>
      </c>
      <c r="E96" s="8" t="inlineStr">
        <is>
          <t>part_x_balance_sheet.cash_noninterest_eoy</t>
        </is>
      </c>
      <c r="F96" s="8" t="inlineStr">
        <is>
          <t>high</t>
        </is>
      </c>
      <c r="G96" s="9" t="n">
        <v>3409433</v>
      </c>
    </row>
    <row r="97">
      <c r="A97" s="8" t="inlineStr">
        <is>
          <t>Balance sheet (detail)</t>
        </is>
      </c>
      <c r="B97" s="8" t="inlineStr">
        <is>
          <t>C7</t>
        </is>
      </c>
      <c r="C97" s="8" t="inlineStr">
        <is>
          <t>1. Cash - non-interest-bearing</t>
        </is>
      </c>
      <c r="D97" s="8" t="inlineStr">
        <is>
          <t>1E</t>
        </is>
      </c>
      <c r="E97" s="8" t="inlineStr">
        <is>
          <t>part_x_balance_sheet.cash_noninterest_eoy</t>
        </is>
      </c>
      <c r="F97" s="8" t="inlineStr">
        <is>
          <t>high</t>
        </is>
      </c>
      <c r="G97" s="9" t="n">
        <v>3878249</v>
      </c>
    </row>
    <row r="98">
      <c r="A98" s="8" t="inlineStr">
        <is>
          <t>Balance sheet (detail)</t>
        </is>
      </c>
      <c r="B98" s="8" t="inlineStr">
        <is>
          <t>D7</t>
        </is>
      </c>
      <c r="C98" s="8" t="inlineStr">
        <is>
          <t>1. Cash - non-interest-bearing</t>
        </is>
      </c>
      <c r="D98" s="8" t="inlineStr">
        <is>
          <t>1E</t>
        </is>
      </c>
      <c r="E98" s="8" t="inlineStr">
        <is>
          <t>part_x_balance_sheet.cash_noninterest_eoy</t>
        </is>
      </c>
      <c r="F98" s="8" t="inlineStr">
        <is>
          <t>high</t>
        </is>
      </c>
      <c r="G98" s="9" t="n">
        <v>4371783</v>
      </c>
    </row>
    <row r="99">
      <c r="A99" s="8" t="inlineStr">
        <is>
          <t>Balance sheet (detail)</t>
        </is>
      </c>
      <c r="B99" s="8" t="inlineStr">
        <is>
          <t>E7</t>
        </is>
      </c>
      <c r="C99" s="8" t="inlineStr">
        <is>
          <t>1. Cash - non-interest-bearing</t>
        </is>
      </c>
      <c r="D99" s="8" t="inlineStr">
        <is>
          <t>1E</t>
        </is>
      </c>
      <c r="E99" s="8" t="inlineStr">
        <is>
          <t>part_x_balance_sheet.cash_noninterest_eoy</t>
        </is>
      </c>
      <c r="F99" s="8" t="inlineStr">
        <is>
          <t>high</t>
        </is>
      </c>
      <c r="G99" s="9" t="n">
        <v>4818195</v>
      </c>
    </row>
    <row r="100">
      <c r="A100" s="8" t="inlineStr">
        <is>
          <t>Balance sheet (detail)</t>
        </is>
      </c>
      <c r="B100" s="8" t="inlineStr">
        <is>
          <t>F7</t>
        </is>
      </c>
      <c r="C100" s="8" t="inlineStr">
        <is>
          <t>1. Cash - non-interest-bearing</t>
        </is>
      </c>
      <c r="D100" s="8" t="inlineStr">
        <is>
          <t>1E</t>
        </is>
      </c>
      <c r="E100" s="8" t="inlineStr">
        <is>
          <t>part_x_balance_sheet.cash_noninterest_eoy</t>
        </is>
      </c>
      <c r="F100" s="8" t="inlineStr">
        <is>
          <t>high</t>
        </is>
      </c>
      <c r="G100" s="9" t="n">
        <v>4046571</v>
      </c>
    </row>
    <row r="101">
      <c r="A101" s="8" t="inlineStr">
        <is>
          <t>Balance sheet (detail)</t>
        </is>
      </c>
      <c r="B101" s="8" t="inlineStr">
        <is>
          <t>B8</t>
        </is>
      </c>
      <c r="C101" s="8" t="inlineStr">
        <is>
          <t>4. Accounts receivable, net</t>
        </is>
      </c>
      <c r="D101" s="8" t="inlineStr">
        <is>
          <t>4E</t>
        </is>
      </c>
      <c r="E101" s="8" t="inlineStr">
        <is>
          <t>part_x_balance_sheet.accounts_receivable_eoy</t>
        </is>
      </c>
      <c r="F101" s="8" t="inlineStr">
        <is>
          <t>high</t>
        </is>
      </c>
      <c r="G101" s="9" t="n">
        <v>641215</v>
      </c>
    </row>
    <row r="102">
      <c r="A102" s="8" t="inlineStr">
        <is>
          <t>Balance sheet (detail)</t>
        </is>
      </c>
      <c r="B102" s="8" t="inlineStr">
        <is>
          <t>C8</t>
        </is>
      </c>
      <c r="C102" s="8" t="inlineStr">
        <is>
          <t>4. Accounts receivable, net</t>
        </is>
      </c>
      <c r="D102" s="8" t="inlineStr">
        <is>
          <t>4E</t>
        </is>
      </c>
      <c r="E102" s="8" t="inlineStr">
        <is>
          <t>part_x_balance_sheet.accounts_receivable_eoy</t>
        </is>
      </c>
      <c r="F102" s="8" t="inlineStr">
        <is>
          <t>high</t>
        </is>
      </c>
      <c r="G102" s="9" t="n">
        <v>496861</v>
      </c>
    </row>
    <row r="103">
      <c r="A103" s="8" t="inlineStr">
        <is>
          <t>Balance sheet (detail)</t>
        </is>
      </c>
      <c r="B103" s="8" t="inlineStr">
        <is>
          <t>D8</t>
        </is>
      </c>
      <c r="C103" s="8" t="inlineStr">
        <is>
          <t>4. Accounts receivable, net</t>
        </is>
      </c>
      <c r="D103" s="8" t="inlineStr">
        <is>
          <t>4E</t>
        </is>
      </c>
      <c r="E103" s="8" t="inlineStr">
        <is>
          <t>part_x_balance_sheet.accounts_receivable_eoy</t>
        </is>
      </c>
      <c r="F103" s="8" t="inlineStr">
        <is>
          <t>high</t>
        </is>
      </c>
      <c r="G103" s="9" t="n">
        <v>383551</v>
      </c>
    </row>
    <row r="104">
      <c r="A104" s="8" t="inlineStr">
        <is>
          <t>Balance sheet (detail)</t>
        </is>
      </c>
      <c r="B104" s="8" t="inlineStr">
        <is>
          <t>E8</t>
        </is>
      </c>
      <c r="C104" s="8" t="inlineStr">
        <is>
          <t>4. Accounts receivable, net</t>
        </is>
      </c>
      <c r="D104" s="8" t="inlineStr">
        <is>
          <t>4E</t>
        </is>
      </c>
      <c r="E104" s="8" t="inlineStr">
        <is>
          <t>part_x_balance_sheet.accounts_receivable_eoy</t>
        </is>
      </c>
      <c r="F104" s="8" t="inlineStr">
        <is>
          <t>high</t>
        </is>
      </c>
      <c r="G104" s="9" t="n">
        <v>553260</v>
      </c>
    </row>
    <row r="105">
      <c r="A105" s="8" t="inlineStr">
        <is>
          <t>Balance sheet (detail)</t>
        </is>
      </c>
      <c r="B105" s="8" t="inlineStr">
        <is>
          <t>F8</t>
        </is>
      </c>
      <c r="C105" s="8" t="inlineStr">
        <is>
          <t>4. Accounts receivable, net</t>
        </is>
      </c>
      <c r="D105" s="8" t="inlineStr">
        <is>
          <t>4E</t>
        </is>
      </c>
      <c r="E105" s="8" t="inlineStr">
        <is>
          <t>part_x_balance_sheet.accounts_receivable_eoy</t>
        </is>
      </c>
      <c r="F105" s="8" t="inlineStr">
        <is>
          <t>high</t>
        </is>
      </c>
      <c r="G105" s="9" t="n">
        <v>520235</v>
      </c>
    </row>
    <row r="106">
      <c r="A106" s="8" t="inlineStr">
        <is>
          <t>Balance sheet (detail)</t>
        </is>
      </c>
      <c r="B106" s="8" t="inlineStr">
        <is>
          <t>B9</t>
        </is>
      </c>
      <c r="C106" s="8" t="inlineStr">
        <is>
          <t>8. Inventories for sale or use</t>
        </is>
      </c>
      <c r="D106" s="8" t="inlineStr">
        <is>
          <t>8E</t>
        </is>
      </c>
      <c r="E106" s="8" t="inlineStr">
        <is>
          <t>part_x_balance_sheet.inventories_eoy</t>
        </is>
      </c>
      <c r="F106" s="8" t="inlineStr">
        <is>
          <t>high</t>
        </is>
      </c>
      <c r="G106" s="9" t="n">
        <v>80829</v>
      </c>
    </row>
    <row r="107">
      <c r="A107" s="8" t="inlineStr">
        <is>
          <t>Balance sheet (detail)</t>
        </is>
      </c>
      <c r="B107" s="8" t="inlineStr">
        <is>
          <t>C9</t>
        </is>
      </c>
      <c r="C107" s="8" t="inlineStr">
        <is>
          <t>8. Inventories for sale or use</t>
        </is>
      </c>
      <c r="D107" s="8" t="inlineStr">
        <is>
          <t>8E</t>
        </is>
      </c>
      <c r="E107" s="8" t="inlineStr">
        <is>
          <t>part_x_balance_sheet.inventories_eoy</t>
        </is>
      </c>
      <c r="F107" s="8" t="inlineStr">
        <is>
          <t>high</t>
        </is>
      </c>
      <c r="G107" s="9" t="n">
        <v>75744</v>
      </c>
    </row>
    <row r="108">
      <c r="A108" s="8" t="inlineStr">
        <is>
          <t>Balance sheet (detail)</t>
        </is>
      </c>
      <c r="B108" s="8" t="inlineStr">
        <is>
          <t>D9</t>
        </is>
      </c>
      <c r="C108" s="8" t="inlineStr">
        <is>
          <t>8. Inventories for sale or use</t>
        </is>
      </c>
      <c r="D108" s="8" t="inlineStr">
        <is>
          <t>8E</t>
        </is>
      </c>
      <c r="E108" s="8" t="inlineStr">
        <is>
          <t>part_x_balance_sheet.inventories_eoy</t>
        </is>
      </c>
      <c r="F108" s="8" t="inlineStr">
        <is>
          <t>high</t>
        </is>
      </c>
      <c r="G108" s="9" t="n">
        <v>66071</v>
      </c>
    </row>
    <row r="109">
      <c r="A109" s="8" t="inlineStr">
        <is>
          <t>Balance sheet (detail)</t>
        </is>
      </c>
      <c r="B109" s="8" t="inlineStr">
        <is>
          <t>E9</t>
        </is>
      </c>
      <c r="C109" s="8" t="inlineStr">
        <is>
          <t>8. Inventories for sale or use</t>
        </is>
      </c>
      <c r="D109" s="8" t="inlineStr">
        <is>
          <t>8E</t>
        </is>
      </c>
      <c r="E109" s="8" t="inlineStr">
        <is>
          <t>part_x_balance_sheet.inventories_eoy</t>
        </is>
      </c>
      <c r="F109" s="8" t="inlineStr">
        <is>
          <t>high</t>
        </is>
      </c>
      <c r="G109" s="9" t="n">
        <v>97207</v>
      </c>
    </row>
    <row r="110">
      <c r="A110" s="8" t="inlineStr">
        <is>
          <t>Balance sheet (detail)</t>
        </is>
      </c>
      <c r="B110" s="8" t="inlineStr">
        <is>
          <t>F9</t>
        </is>
      </c>
      <c r="C110" s="8" t="inlineStr">
        <is>
          <t>8. Inventories for sale or use</t>
        </is>
      </c>
      <c r="D110" s="8" t="inlineStr">
        <is>
          <t>8E</t>
        </is>
      </c>
      <c r="E110" s="8" t="inlineStr">
        <is>
          <t>part_x_balance_sheet.inventories_eoy</t>
        </is>
      </c>
      <c r="F110" s="8" t="inlineStr">
        <is>
          <t>high</t>
        </is>
      </c>
      <c r="G110" s="9" t="n">
        <v>70771</v>
      </c>
    </row>
    <row r="111">
      <c r="A111" s="8" t="inlineStr">
        <is>
          <t>Balance sheet (detail)</t>
        </is>
      </c>
      <c r="B111" s="8" t="inlineStr">
        <is>
          <t>B10</t>
        </is>
      </c>
      <c r="C111" s="8" t="inlineStr">
        <is>
          <t>9. Prepaid expenses and deferred charges</t>
        </is>
      </c>
      <c r="D111" s="8" t="inlineStr">
        <is>
          <t>9E</t>
        </is>
      </c>
      <c r="E111" s="8" t="inlineStr">
        <is>
          <t>part_x_balance_sheet.prepaid_expenses_eoy</t>
        </is>
      </c>
      <c r="F111" s="8" t="inlineStr">
        <is>
          <t>high</t>
        </is>
      </c>
      <c r="G111" s="9" t="n">
        <v>47334</v>
      </c>
    </row>
    <row r="112">
      <c r="A112" s="8" t="inlineStr">
        <is>
          <t>Balance sheet (detail)</t>
        </is>
      </c>
      <c r="B112" s="8" t="inlineStr">
        <is>
          <t>C10</t>
        </is>
      </c>
      <c r="C112" s="8" t="inlineStr">
        <is>
          <t>9. Prepaid expenses and deferred charges</t>
        </is>
      </c>
      <c r="D112" s="8" t="inlineStr">
        <is>
          <t>9E</t>
        </is>
      </c>
      <c r="E112" s="8" t="inlineStr">
        <is>
          <t>part_x_balance_sheet.prepaid_expenses_eoy</t>
        </is>
      </c>
      <c r="F112" s="8" t="inlineStr">
        <is>
          <t>high</t>
        </is>
      </c>
      <c r="G112" s="9" t="n">
        <v>69348</v>
      </c>
    </row>
    <row r="113">
      <c r="A113" s="8" t="inlineStr">
        <is>
          <t>Balance sheet (detail)</t>
        </is>
      </c>
      <c r="B113" s="8" t="inlineStr">
        <is>
          <t>D10</t>
        </is>
      </c>
      <c r="C113" s="8" t="inlineStr">
        <is>
          <t>9. Prepaid expenses and deferred charges</t>
        </is>
      </c>
      <c r="D113" s="8" t="inlineStr">
        <is>
          <t>9E</t>
        </is>
      </c>
      <c r="E113" s="8" t="inlineStr">
        <is>
          <t>part_x_balance_sheet.prepaid_expenses_eoy</t>
        </is>
      </c>
      <c r="F113" s="8" t="inlineStr">
        <is>
          <t>high</t>
        </is>
      </c>
      <c r="G113" s="9" t="n">
        <v>87055</v>
      </c>
    </row>
    <row r="114">
      <c r="A114" s="8" t="inlineStr">
        <is>
          <t>Balance sheet (detail)</t>
        </is>
      </c>
      <c r="B114" s="8" t="inlineStr">
        <is>
          <t>E10</t>
        </is>
      </c>
      <c r="C114" s="8" t="inlineStr">
        <is>
          <t>9. Prepaid expenses and deferred charges</t>
        </is>
      </c>
      <c r="D114" s="8" t="inlineStr">
        <is>
          <t>9E</t>
        </is>
      </c>
      <c r="E114" s="8" t="inlineStr">
        <is>
          <t>part_x_balance_sheet.prepaid_expenses_eoy</t>
        </is>
      </c>
      <c r="F114" s="8" t="inlineStr">
        <is>
          <t>high</t>
        </is>
      </c>
      <c r="G114" s="9" t="n">
        <v>95504</v>
      </c>
    </row>
    <row r="115">
      <c r="A115" s="8" t="inlineStr">
        <is>
          <t>Balance sheet (detail)</t>
        </is>
      </c>
      <c r="B115" s="8" t="inlineStr">
        <is>
          <t>F10</t>
        </is>
      </c>
      <c r="C115" s="8" t="inlineStr">
        <is>
          <t>9. Prepaid expenses and deferred charges</t>
        </is>
      </c>
      <c r="D115" s="8" t="inlineStr">
        <is>
          <t>9E</t>
        </is>
      </c>
      <c r="E115" s="8" t="inlineStr">
        <is>
          <t>part_x_balance_sheet.prepaid_expenses_eoy</t>
        </is>
      </c>
      <c r="F115" s="8" t="inlineStr">
        <is>
          <t>high</t>
        </is>
      </c>
      <c r="G115" s="9" t="n">
        <v>184024</v>
      </c>
    </row>
    <row r="116">
      <c r="A116" s="8" t="inlineStr">
        <is>
          <t>Balance sheet (detail)</t>
        </is>
      </c>
      <c r="B116" s="8" t="inlineStr">
        <is>
          <t>B11</t>
        </is>
      </c>
      <c r="C116" s="8" t="inlineStr">
        <is>
          <t>10c. Land, buildings, and equipment, net</t>
        </is>
      </c>
      <c r="D116" s="8" t="inlineStr">
        <is>
          <t>10cE</t>
        </is>
      </c>
      <c r="E116" s="8" t="inlineStr">
        <is>
          <t>part_x_balance_sheet.land_bldg_equip_net_eoy</t>
        </is>
      </c>
      <c r="F116" s="8" t="inlineStr">
        <is>
          <t>high</t>
        </is>
      </c>
      <c r="G116" s="9" t="n">
        <v>17509710</v>
      </c>
    </row>
    <row r="117">
      <c r="A117" s="8" t="inlineStr">
        <is>
          <t>Balance sheet (detail)</t>
        </is>
      </c>
      <c r="B117" s="8" t="inlineStr">
        <is>
          <t>C11</t>
        </is>
      </c>
      <c r="C117" s="8" t="inlineStr">
        <is>
          <t>10c. Land, buildings, and equipment, net</t>
        </is>
      </c>
      <c r="D117" s="8" t="inlineStr">
        <is>
          <t>10cE</t>
        </is>
      </c>
      <c r="E117" s="8" t="inlineStr">
        <is>
          <t>part_x_balance_sheet.land_bldg_equip_net_eoy</t>
        </is>
      </c>
      <c r="F117" s="8" t="inlineStr">
        <is>
          <t>high</t>
        </is>
      </c>
      <c r="G117" s="9" t="n">
        <v>17777400</v>
      </c>
    </row>
    <row r="118">
      <c r="A118" s="8" t="inlineStr">
        <is>
          <t>Balance sheet (detail)</t>
        </is>
      </c>
      <c r="B118" s="8" t="inlineStr">
        <is>
          <t>D11</t>
        </is>
      </c>
      <c r="C118" s="8" t="inlineStr">
        <is>
          <t>10c. Land, buildings, and equipment, net</t>
        </is>
      </c>
      <c r="D118" s="8" t="inlineStr">
        <is>
          <t>10cE</t>
        </is>
      </c>
      <c r="E118" s="8" t="inlineStr">
        <is>
          <t>part_x_balance_sheet.land_bldg_equip_net_eoy</t>
        </is>
      </c>
      <c r="F118" s="8" t="inlineStr">
        <is>
          <t>high</t>
        </is>
      </c>
      <c r="G118" s="9" t="n">
        <v>18180219</v>
      </c>
    </row>
    <row r="119">
      <c r="A119" s="8" t="inlineStr">
        <is>
          <t>Balance sheet (detail)</t>
        </is>
      </c>
      <c r="B119" s="8" t="inlineStr">
        <is>
          <t>E11</t>
        </is>
      </c>
      <c r="C119" s="8" t="inlineStr">
        <is>
          <t>10c. Land, buildings, and equipment, net</t>
        </is>
      </c>
      <c r="D119" s="8" t="inlineStr">
        <is>
          <t>10cE</t>
        </is>
      </c>
      <c r="E119" s="8" t="inlineStr">
        <is>
          <t>part_x_balance_sheet.land_bldg_equip_net_eoy</t>
        </is>
      </c>
      <c r="F119" s="8" t="inlineStr">
        <is>
          <t>high</t>
        </is>
      </c>
      <c r="G119" s="9" t="n">
        <v>18853914</v>
      </c>
    </row>
    <row r="120">
      <c r="A120" s="8" t="inlineStr">
        <is>
          <t>Balance sheet (detail)</t>
        </is>
      </c>
      <c r="B120" s="8" t="inlineStr">
        <is>
          <t>F11</t>
        </is>
      </c>
      <c r="C120" s="8" t="inlineStr">
        <is>
          <t>10c. Land, buildings, and equipment, net</t>
        </is>
      </c>
      <c r="D120" s="8" t="inlineStr">
        <is>
          <t>10cE</t>
        </is>
      </c>
      <c r="E120" s="8" t="inlineStr">
        <is>
          <t>part_x_balance_sheet.land_bldg_equip_net_eoy</t>
        </is>
      </c>
      <c r="F120" s="8" t="inlineStr">
        <is>
          <t>high</t>
        </is>
      </c>
      <c r="G120" s="9" t="n">
        <v>19738130</v>
      </c>
    </row>
    <row r="121">
      <c r="A121" s="8" t="inlineStr">
        <is>
          <t>Balance sheet (detail)</t>
        </is>
      </c>
      <c r="B121" s="8" t="inlineStr">
        <is>
          <t>B12</t>
        </is>
      </c>
      <c r="C121" s="8" t="inlineStr">
        <is>
          <t>15. Other assets</t>
        </is>
      </c>
      <c r="D121" s="8" t="inlineStr">
        <is>
          <t>15E</t>
        </is>
      </c>
      <c r="E121" s="8" t="inlineStr">
        <is>
          <t>part_x_balance_sheet.other_assets_eoy</t>
        </is>
      </c>
      <c r="F121" s="8" t="inlineStr">
        <is>
          <t>high</t>
        </is>
      </c>
      <c r="G121" s="9" t="n">
        <v>1008</v>
      </c>
    </row>
    <row r="122">
      <c r="A122" s="8" t="inlineStr">
        <is>
          <t>Balance sheet (detail)</t>
        </is>
      </c>
      <c r="B122" s="8" t="inlineStr">
        <is>
          <t>C12</t>
        </is>
      </c>
      <c r="C122" s="8" t="inlineStr">
        <is>
          <t>15. Other assets</t>
        </is>
      </c>
      <c r="D122" s="8" t="inlineStr">
        <is>
          <t>15E</t>
        </is>
      </c>
      <c r="E122" s="8" t="inlineStr">
        <is>
          <t>part_x_balance_sheet.other_assets_eoy</t>
        </is>
      </c>
      <c r="F122" s="8" t="inlineStr">
        <is>
          <t>high</t>
        </is>
      </c>
      <c r="G122" s="9" t="n">
        <v>1008</v>
      </c>
    </row>
    <row r="123">
      <c r="A123" s="8" t="inlineStr">
        <is>
          <t>Balance sheet (detail)</t>
        </is>
      </c>
      <c r="B123" s="8" t="inlineStr">
        <is>
          <t>D12</t>
        </is>
      </c>
      <c r="C123" s="8" t="inlineStr">
        <is>
          <t>15. Other assets</t>
        </is>
      </c>
      <c r="D123" s="8" t="inlineStr">
        <is>
          <t>15E</t>
        </is>
      </c>
      <c r="E123" s="8" t="inlineStr">
        <is>
          <t>part_x_balance_sheet.other_assets_eoy</t>
        </is>
      </c>
      <c r="F123" s="8" t="inlineStr">
        <is>
          <t>high</t>
        </is>
      </c>
      <c r="G123" s="9" t="n">
        <v>8</v>
      </c>
    </row>
    <row r="124">
      <c r="A124" s="8" t="inlineStr">
        <is>
          <t>Balance sheet (detail)</t>
        </is>
      </c>
      <c r="B124" s="8" t="inlineStr">
        <is>
          <t>E12</t>
        </is>
      </c>
      <c r="C124" s="8" t="inlineStr">
        <is>
          <t>15. Other assets</t>
        </is>
      </c>
      <c r="D124" s="8" t="inlineStr">
        <is>
          <t>15E</t>
        </is>
      </c>
      <c r="E124" s="8" t="inlineStr">
        <is>
          <t>part_x_balance_sheet.other_assets_eoy</t>
        </is>
      </c>
      <c r="F124" s="8" t="inlineStr">
        <is>
          <t>high</t>
        </is>
      </c>
      <c r="G124" s="9" t="n">
        <v>8</v>
      </c>
    </row>
    <row r="125">
      <c r="A125" s="8" t="inlineStr">
        <is>
          <t>Balance sheet (detail)</t>
        </is>
      </c>
      <c r="B125" s="8" t="inlineStr">
        <is>
          <t>F12</t>
        </is>
      </c>
      <c r="C125" s="8" t="inlineStr">
        <is>
          <t>15. Other assets</t>
        </is>
      </c>
      <c r="D125" s="8" t="inlineStr">
        <is>
          <t>15E</t>
        </is>
      </c>
      <c r="E125" s="8" t="inlineStr">
        <is>
          <t>part_x_balance_sheet.other_assets_eoy</t>
        </is>
      </c>
      <c r="F125" s="8" t="inlineStr">
        <is>
          <t>high</t>
        </is>
      </c>
      <c r="G125" s="9" t="n">
        <v>8</v>
      </c>
    </row>
    <row r="126">
      <c r="A126" s="8" t="inlineStr">
        <is>
          <t>Balance sheet (detail)</t>
        </is>
      </c>
      <c r="B126" s="8" t="inlineStr">
        <is>
          <t>B16</t>
        </is>
      </c>
      <c r="C126" s="8" t="inlineStr">
        <is>
          <t>17. Accounts payable and accrued expenses</t>
        </is>
      </c>
      <c r="D126" s="8" t="inlineStr">
        <is>
          <t>17E</t>
        </is>
      </c>
      <c r="E126" s="8" t="inlineStr">
        <is>
          <t>part_x_balance_sheet.accounts_payable_eoy</t>
        </is>
      </c>
      <c r="F126" s="8" t="inlineStr">
        <is>
          <t>high</t>
        </is>
      </c>
      <c r="G126" s="9" t="n">
        <v>553124</v>
      </c>
    </row>
    <row r="127">
      <c r="A127" s="8" t="inlineStr">
        <is>
          <t>Balance sheet (detail)</t>
        </is>
      </c>
      <c r="B127" s="8" t="inlineStr">
        <is>
          <t>C16</t>
        </is>
      </c>
      <c r="C127" s="8" t="inlineStr">
        <is>
          <t>17. Accounts payable and accrued expenses</t>
        </is>
      </c>
      <c r="D127" s="8" t="inlineStr">
        <is>
          <t>17E</t>
        </is>
      </c>
      <c r="E127" s="8" t="inlineStr">
        <is>
          <t>part_x_balance_sheet.accounts_payable_eoy</t>
        </is>
      </c>
      <c r="F127" s="8" t="inlineStr">
        <is>
          <t>high</t>
        </is>
      </c>
      <c r="G127" s="9" t="n">
        <v>401493</v>
      </c>
    </row>
    <row r="128">
      <c r="A128" s="8" t="inlineStr">
        <is>
          <t>Balance sheet (detail)</t>
        </is>
      </c>
      <c r="B128" s="8" t="inlineStr">
        <is>
          <t>D16</t>
        </is>
      </c>
      <c r="C128" s="8" t="inlineStr">
        <is>
          <t>17. Accounts payable and accrued expenses</t>
        </is>
      </c>
      <c r="D128" s="8" t="inlineStr">
        <is>
          <t>17E</t>
        </is>
      </c>
      <c r="E128" s="8" t="inlineStr">
        <is>
          <t>part_x_balance_sheet.accounts_payable_eoy</t>
        </is>
      </c>
      <c r="F128" s="8" t="inlineStr">
        <is>
          <t>high</t>
        </is>
      </c>
      <c r="G128" s="9" t="n">
        <v>319587</v>
      </c>
    </row>
    <row r="129">
      <c r="A129" s="8" t="inlineStr">
        <is>
          <t>Balance sheet (detail)</t>
        </is>
      </c>
      <c r="B129" s="8" t="inlineStr">
        <is>
          <t>E16</t>
        </is>
      </c>
      <c r="C129" s="8" t="inlineStr">
        <is>
          <t>17. Accounts payable and accrued expenses</t>
        </is>
      </c>
      <c r="D129" s="8" t="inlineStr">
        <is>
          <t>17E</t>
        </is>
      </c>
      <c r="E129" s="8" t="inlineStr">
        <is>
          <t>part_x_balance_sheet.accounts_payable_eoy</t>
        </is>
      </c>
      <c r="F129" s="8" t="inlineStr">
        <is>
          <t>high</t>
        </is>
      </c>
      <c r="G129" s="9" t="n">
        <v>472094</v>
      </c>
    </row>
    <row r="130">
      <c r="A130" s="8" t="inlineStr">
        <is>
          <t>Balance sheet (detail)</t>
        </is>
      </c>
      <c r="B130" s="8" t="inlineStr">
        <is>
          <t>F16</t>
        </is>
      </c>
      <c r="C130" s="8" t="inlineStr">
        <is>
          <t>17. Accounts payable and accrued expenses</t>
        </is>
      </c>
      <c r="D130" s="8" t="inlineStr">
        <is>
          <t>17E</t>
        </is>
      </c>
      <c r="E130" s="8" t="inlineStr">
        <is>
          <t>part_x_balance_sheet.accounts_payable_eoy</t>
        </is>
      </c>
      <c r="F130" s="8" t="inlineStr">
        <is>
          <t>high</t>
        </is>
      </c>
      <c r="G130" s="9" t="n">
        <v>344750</v>
      </c>
    </row>
    <row r="131">
      <c r="A131" s="8" t="inlineStr">
        <is>
          <t>Balance sheet (detail)</t>
        </is>
      </c>
      <c r="B131" s="8" t="inlineStr">
        <is>
          <t>B17</t>
        </is>
      </c>
      <c r="C131" s="8" t="inlineStr">
        <is>
          <t>24. Unsecured notes and loans payable</t>
        </is>
      </c>
      <c r="D131" s="8" t="inlineStr">
        <is>
          <t>24E</t>
        </is>
      </c>
      <c r="E131" s="8" t="inlineStr">
        <is>
          <t>part_x_balance_sheet.unsecured_notes_loans_payable_eoy</t>
        </is>
      </c>
      <c r="F131" s="8" t="inlineStr">
        <is>
          <t>high</t>
        </is>
      </c>
      <c r="G131" s="9" t="n">
        <v>1359806</v>
      </c>
    </row>
    <row r="132">
      <c r="A132" s="8" t="inlineStr">
        <is>
          <t>Balance sheet (detail)</t>
        </is>
      </c>
      <c r="B132" s="8" t="inlineStr">
        <is>
          <t>C17</t>
        </is>
      </c>
      <c r="C132" s="8" t="inlineStr">
        <is>
          <t>24. Unsecured notes and loans payable</t>
        </is>
      </c>
      <c r="D132" s="8" t="inlineStr">
        <is>
          <t>24E</t>
        </is>
      </c>
      <c r="E132" s="8" t="inlineStr">
        <is>
          <t>part_x_balance_sheet.unsecured_notes_loans_payable_eoy</t>
        </is>
      </c>
      <c r="F132" s="8" t="inlineStr">
        <is>
          <t>high</t>
        </is>
      </c>
      <c r="G132" s="9" t="n">
        <v>1073280</v>
      </c>
    </row>
    <row r="133">
      <c r="A133" s="8" t="inlineStr">
        <is>
          <t>Balance sheet (detail)</t>
        </is>
      </c>
      <c r="B133" s="8" t="inlineStr">
        <is>
          <t>D17</t>
        </is>
      </c>
      <c r="C133" s="8" t="inlineStr">
        <is>
          <t>24. Unsecured notes and loans payable</t>
        </is>
      </c>
      <c r="D133" s="8" t="inlineStr">
        <is>
          <t>24E</t>
        </is>
      </c>
      <c r="E133" s="8" t="inlineStr">
        <is>
          <t>part_x_balance_sheet.unsecured_notes_loans_payable_eoy</t>
        </is>
      </c>
      <c r="F133" s="8" t="inlineStr">
        <is>
          <t>high</t>
        </is>
      </c>
      <c r="G133" s="9" t="n">
        <v>775205</v>
      </c>
    </row>
    <row r="134">
      <c r="A134" s="8" t="inlineStr">
        <is>
          <t>Balance sheet (detail)</t>
        </is>
      </c>
      <c r="B134" s="8" t="inlineStr">
        <is>
          <t>E17</t>
        </is>
      </c>
      <c r="C134" s="8" t="inlineStr">
        <is>
          <t>24. Unsecured notes and loans payable</t>
        </is>
      </c>
      <c r="D134" s="8" t="inlineStr">
        <is>
          <t>24E</t>
        </is>
      </c>
      <c r="E134" s="8" t="inlineStr">
        <is>
          <t>part_x_balance_sheet.unsecured_notes_loans_payable_eoy</t>
        </is>
      </c>
      <c r="F134" s="8" t="inlineStr">
        <is>
          <t>high</t>
        </is>
      </c>
      <c r="G134" s="9" t="n">
        <v>470950</v>
      </c>
    </row>
    <row r="135">
      <c r="A135" s="8" t="inlineStr">
        <is>
          <t>Balance sheet (detail)</t>
        </is>
      </c>
      <c r="B135" s="8" t="inlineStr">
        <is>
          <t>F17</t>
        </is>
      </c>
      <c r="C135" s="8" t="inlineStr">
        <is>
          <t>24. Unsecured notes and loans payable</t>
        </is>
      </c>
      <c r="D135" s="8" t="inlineStr">
        <is>
          <t>24E</t>
        </is>
      </c>
      <c r="E135" s="8" t="inlineStr">
        <is>
          <t>part_x_balance_sheet.unsecured_notes_loans_payable_eoy</t>
        </is>
      </c>
      <c r="F135" s="8" t="inlineStr">
        <is>
          <t>high</t>
        </is>
      </c>
      <c r="G135" s="9" t="n">
        <v>160277</v>
      </c>
    </row>
    <row r="136">
      <c r="A136" s="8" t="inlineStr">
        <is>
          <t>Balance sheet (detail)</t>
        </is>
      </c>
      <c r="B136" s="8" t="inlineStr">
        <is>
          <t>B18</t>
        </is>
      </c>
      <c r="C136" s="8" t="inlineStr">
        <is>
          <t>25. Other liabilities</t>
        </is>
      </c>
      <c r="D136" s="8" t="inlineStr">
        <is>
          <t>25E</t>
        </is>
      </c>
      <c r="E136" s="8" t="inlineStr">
        <is>
          <t>part_x_balance_sheet.other_liabilities_eoy</t>
        </is>
      </c>
      <c r="F136" s="8" t="inlineStr">
        <is>
          <t>high</t>
        </is>
      </c>
      <c r="G136" s="9" t="n">
        <v>348518</v>
      </c>
    </row>
    <row r="137">
      <c r="A137" s="8" t="inlineStr">
        <is>
          <t>Balance sheet (detail)</t>
        </is>
      </c>
      <c r="B137" s="8" t="inlineStr">
        <is>
          <t>C18</t>
        </is>
      </c>
      <c r="C137" s="8" t="inlineStr">
        <is>
          <t>25. Other liabilities</t>
        </is>
      </c>
      <c r="D137" s="8" t="inlineStr">
        <is>
          <t>25E</t>
        </is>
      </c>
      <c r="E137" s="8" t="inlineStr">
        <is>
          <t>part_x_balance_sheet.other_liabilities_eoy</t>
        </is>
      </c>
      <c r="F137" s="8" t="inlineStr">
        <is>
          <t>high</t>
        </is>
      </c>
      <c r="G137" s="9" t="n">
        <v>368678</v>
      </c>
    </row>
    <row r="138">
      <c r="A138" s="8" t="inlineStr">
        <is>
          <t>Balance sheet (detail)</t>
        </is>
      </c>
      <c r="B138" s="8" t="inlineStr">
        <is>
          <t>D18</t>
        </is>
      </c>
      <c r="C138" s="8" t="inlineStr">
        <is>
          <t>25. Other liabilities</t>
        </is>
      </c>
      <c r="D138" s="8" t="inlineStr">
        <is>
          <t>25E</t>
        </is>
      </c>
      <c r="E138" s="8" t="inlineStr">
        <is>
          <t>part_x_balance_sheet.other_liabilities_eoy</t>
        </is>
      </c>
      <c r="F138" s="8" t="inlineStr">
        <is>
          <t>high</t>
        </is>
      </c>
      <c r="G138" s="9" t="n">
        <v>389260</v>
      </c>
    </row>
    <row r="139">
      <c r="A139" s="8" t="inlineStr">
        <is>
          <t>Balance sheet (detail)</t>
        </is>
      </c>
      <c r="B139" s="8" t="inlineStr">
        <is>
          <t>E18</t>
        </is>
      </c>
      <c r="C139" s="8" t="inlineStr">
        <is>
          <t>25. Other liabilities</t>
        </is>
      </c>
      <c r="D139" s="8" t="inlineStr">
        <is>
          <t>25E</t>
        </is>
      </c>
      <c r="E139" s="8" t="inlineStr">
        <is>
          <t>part_x_balance_sheet.other_liabilities_eoy</t>
        </is>
      </c>
      <c r="F139" s="8" t="inlineStr">
        <is>
          <t>high</t>
        </is>
      </c>
      <c r="G139" s="9" t="n">
        <v>408304</v>
      </c>
    </row>
    <row r="140">
      <c r="A140" s="8" t="inlineStr">
        <is>
          <t>Balance sheet (detail)</t>
        </is>
      </c>
      <c r="B140" s="8" t="inlineStr">
        <is>
          <t>F18</t>
        </is>
      </c>
      <c r="C140" s="8" t="inlineStr">
        <is>
          <t>25. Other liabilities</t>
        </is>
      </c>
      <c r="D140" s="8" t="inlineStr">
        <is>
          <t>25E</t>
        </is>
      </c>
      <c r="E140" s="8" t="inlineStr">
        <is>
          <t>part_x_balance_sheet.other_liabilities_eoy</t>
        </is>
      </c>
      <c r="F140" s="8" t="inlineStr">
        <is>
          <t>high</t>
        </is>
      </c>
      <c r="G140" s="9" t="n">
        <v>418850</v>
      </c>
    </row>
    <row r="141">
      <c r="A141" s="8" t="inlineStr">
        <is>
          <t>Balance sheet (detail)</t>
        </is>
      </c>
      <c r="B141" s="8" t="inlineStr">
        <is>
          <t>B22</t>
        </is>
      </c>
      <c r="C141" s="8" t="inlineStr">
        <is>
          <t>29. Capital stock or trust principal</t>
        </is>
      </c>
      <c r="D141" s="8" t="inlineStr">
        <is>
          <t>29E</t>
        </is>
      </c>
      <c r="E141" s="8" t="inlineStr">
        <is>
          <t>part_x_balance_sheet.cap_stock_eoy</t>
        </is>
      </c>
      <c r="F141" s="8" t="inlineStr">
        <is>
          <t>high</t>
        </is>
      </c>
      <c r="G141" s="9" t="n">
        <v>328023</v>
      </c>
    </row>
    <row r="142">
      <c r="A142" s="8" t="inlineStr">
        <is>
          <t>Balance sheet (detail)</t>
        </is>
      </c>
      <c r="B142" s="8" t="inlineStr">
        <is>
          <t>C22</t>
        </is>
      </c>
      <c r="C142" s="8" t="inlineStr">
        <is>
          <t>29. Capital stock or trust principal</t>
        </is>
      </c>
      <c r="D142" s="8" t="inlineStr">
        <is>
          <t>29E</t>
        </is>
      </c>
      <c r="E142" s="8" t="inlineStr">
        <is>
          <t>part_x_balance_sheet.cap_stock_eoy</t>
        </is>
      </c>
      <c r="F142" s="8" t="inlineStr">
        <is>
          <t>high</t>
        </is>
      </c>
      <c r="G142" s="9" t="n">
        <v>335223</v>
      </c>
    </row>
    <row r="143">
      <c r="A143" s="8" t="inlineStr">
        <is>
          <t>Balance sheet (detail)</t>
        </is>
      </c>
      <c r="B143" s="8" t="inlineStr">
        <is>
          <t>D22</t>
        </is>
      </c>
      <c r="C143" s="8" t="inlineStr">
        <is>
          <t>29. Capital stock or trust principal</t>
        </is>
      </c>
      <c r="D143" s="8" t="inlineStr">
        <is>
          <t>29E</t>
        </is>
      </c>
      <c r="E143" s="8" t="inlineStr">
        <is>
          <t>part_x_balance_sheet.cap_stock_eoy</t>
        </is>
      </c>
      <c r="F143" s="8" t="inlineStr">
        <is>
          <t>high</t>
        </is>
      </c>
      <c r="G143" s="9" t="n">
        <v>331623</v>
      </c>
    </row>
    <row r="144">
      <c r="A144" s="8" t="inlineStr">
        <is>
          <t>Balance sheet (detail)</t>
        </is>
      </c>
      <c r="B144" s="8" t="inlineStr">
        <is>
          <t>E22</t>
        </is>
      </c>
      <c r="C144" s="8" t="inlineStr">
        <is>
          <t>29. Capital stock or trust principal</t>
        </is>
      </c>
      <c r="D144" s="8" t="inlineStr">
        <is>
          <t>29E</t>
        </is>
      </c>
      <c r="E144" s="8" t="inlineStr">
        <is>
          <t>part_x_balance_sheet.cap_stock_eoy</t>
        </is>
      </c>
      <c r="F144" s="8" t="inlineStr">
        <is>
          <t>high</t>
        </is>
      </c>
      <c r="G144" s="9" t="n">
        <v>364023</v>
      </c>
    </row>
    <row r="145">
      <c r="A145" s="8" t="inlineStr">
        <is>
          <t>Balance sheet (detail)</t>
        </is>
      </c>
      <c r="B145" s="8" t="inlineStr">
        <is>
          <t>F22</t>
        </is>
      </c>
      <c r="C145" s="8" t="inlineStr">
        <is>
          <t>29. Capital stock or trust principal</t>
        </is>
      </c>
      <c r="D145" s="8" t="inlineStr">
        <is>
          <t>29E</t>
        </is>
      </c>
      <c r="E145" s="8" t="inlineStr">
        <is>
          <t>part_x_balance_sheet.cap_stock_eoy</t>
        </is>
      </c>
      <c r="F145" s="8" t="inlineStr">
        <is>
          <t>high</t>
        </is>
      </c>
      <c r="G145" s="9" t="n">
        <v>383623</v>
      </c>
    </row>
    <row r="146">
      <c r="A146" s="8" t="inlineStr">
        <is>
          <t>Balance sheet (detail)</t>
        </is>
      </c>
      <c r="B146" s="8" t="inlineStr">
        <is>
          <t>B23</t>
        </is>
      </c>
      <c r="C146" s="8" t="inlineStr">
        <is>
          <t>30. Paid-in or capital surplus</t>
        </is>
      </c>
      <c r="D146" s="8" t="inlineStr">
        <is>
          <t>30E</t>
        </is>
      </c>
      <c r="E146" s="8" t="inlineStr">
        <is>
          <t>part_x_balance_sheet.paid_in_capital_eoy</t>
        </is>
      </c>
      <c r="F146" s="8" t="inlineStr">
        <is>
          <t>high</t>
        </is>
      </c>
      <c r="G146" s="9" t="n">
        <v>0</v>
      </c>
    </row>
    <row r="147">
      <c r="A147" s="8" t="inlineStr">
        <is>
          <t>Balance sheet (detail)</t>
        </is>
      </c>
      <c r="B147" s="8" t="inlineStr">
        <is>
          <t>C23</t>
        </is>
      </c>
      <c r="C147" s="8" t="inlineStr">
        <is>
          <t>30. Paid-in or capital surplus</t>
        </is>
      </c>
      <c r="D147" s="8" t="inlineStr">
        <is>
          <t>30E</t>
        </is>
      </c>
      <c r="E147" s="8" t="inlineStr">
        <is>
          <t>part_x_balance_sheet.paid_in_capital_eoy</t>
        </is>
      </c>
      <c r="F147" s="8" t="inlineStr">
        <is>
          <t>high</t>
        </is>
      </c>
      <c r="G147" s="9" t="n">
        <v>0</v>
      </c>
    </row>
    <row r="148">
      <c r="A148" s="8" t="inlineStr">
        <is>
          <t>Balance sheet (detail)</t>
        </is>
      </c>
      <c r="B148" s="8" t="inlineStr">
        <is>
          <t>D23</t>
        </is>
      </c>
      <c r="C148" s="8" t="inlineStr">
        <is>
          <t>30. Paid-in or capital surplus</t>
        </is>
      </c>
      <c r="D148" s="8" t="inlineStr">
        <is>
          <t>30E</t>
        </is>
      </c>
      <c r="E148" s="8" t="inlineStr">
        <is>
          <t>part_x_balance_sheet.paid_in_capital_eoy</t>
        </is>
      </c>
      <c r="F148" s="8" t="inlineStr">
        <is>
          <t>high</t>
        </is>
      </c>
      <c r="G148" s="9" t="n">
        <v>0</v>
      </c>
    </row>
    <row r="149">
      <c r="A149" s="8" t="inlineStr">
        <is>
          <t>Balance sheet (detail)</t>
        </is>
      </c>
      <c r="B149" s="8" t="inlineStr">
        <is>
          <t>E23</t>
        </is>
      </c>
      <c r="C149" s="8" t="inlineStr">
        <is>
          <t>30. Paid-in or capital surplus</t>
        </is>
      </c>
      <c r="D149" s="8" t="inlineStr">
        <is>
          <t>30E</t>
        </is>
      </c>
      <c r="E149" s="8" t="inlineStr">
        <is>
          <t>part_x_balance_sheet.paid_in_capital_eoy</t>
        </is>
      </c>
      <c r="F149" s="8" t="inlineStr">
        <is>
          <t>high</t>
        </is>
      </c>
      <c r="G149" s="9" t="n">
        <v>0</v>
      </c>
    </row>
    <row r="150">
      <c r="A150" s="8" t="inlineStr">
        <is>
          <t>Balance sheet (detail)</t>
        </is>
      </c>
      <c r="B150" s="8" t="inlineStr">
        <is>
          <t>F23</t>
        </is>
      </c>
      <c r="C150" s="8" t="inlineStr">
        <is>
          <t>30. Paid-in or capital surplus</t>
        </is>
      </c>
      <c r="D150" s="8" t="inlineStr">
        <is>
          <t>30E</t>
        </is>
      </c>
      <c r="E150" s="8" t="inlineStr">
        <is>
          <t>part_x_balance_sheet.paid_in_capital_eoy</t>
        </is>
      </c>
      <c r="F150" s="8" t="inlineStr">
        <is>
          <t>high</t>
        </is>
      </c>
      <c r="G150" s="9" t="n">
        <v>0</v>
      </c>
    </row>
    <row r="151">
      <c r="A151" s="8" t="inlineStr">
        <is>
          <t>Balance sheet (detail)</t>
        </is>
      </c>
      <c r="B151" s="8" t="inlineStr">
        <is>
          <t>B24</t>
        </is>
      </c>
      <c r="C151" s="8" t="inlineStr">
        <is>
          <t>31. Retained earnings / accumulated funds</t>
        </is>
      </c>
      <c r="D151" s="8" t="inlineStr">
        <is>
          <t>31E</t>
        </is>
      </c>
      <c r="E151" s="8" t="inlineStr">
        <is>
          <t>part_x_balance_sheet.retained_earnings_eoy</t>
        </is>
      </c>
      <c r="F151" s="8" t="inlineStr">
        <is>
          <t>high</t>
        </is>
      </c>
      <c r="G151" s="9" t="n">
        <v>19100058</v>
      </c>
    </row>
    <row r="152">
      <c r="A152" s="8" t="inlineStr">
        <is>
          <t>Balance sheet (detail)</t>
        </is>
      </c>
      <c r="B152" s="8" t="inlineStr">
        <is>
          <t>C24</t>
        </is>
      </c>
      <c r="C152" s="8" t="inlineStr">
        <is>
          <t>31. Retained earnings / accumulated funds</t>
        </is>
      </c>
      <c r="D152" s="8" t="inlineStr">
        <is>
          <t>31E</t>
        </is>
      </c>
      <c r="E152" s="8" t="inlineStr">
        <is>
          <t>part_x_balance_sheet.retained_earnings_eoy</t>
        </is>
      </c>
      <c r="F152" s="8" t="inlineStr">
        <is>
          <t>high</t>
        </is>
      </c>
      <c r="G152" s="9" t="n">
        <v>20119936</v>
      </c>
    </row>
    <row r="153">
      <c r="A153" s="8" t="inlineStr">
        <is>
          <t>Balance sheet (detail)</t>
        </is>
      </c>
      <c r="B153" s="8" t="inlineStr">
        <is>
          <t>D24</t>
        </is>
      </c>
      <c r="C153" s="8" t="inlineStr">
        <is>
          <t>31. Retained earnings / accumulated funds</t>
        </is>
      </c>
      <c r="D153" s="8" t="inlineStr">
        <is>
          <t>31E</t>
        </is>
      </c>
      <c r="E153" s="8" t="inlineStr">
        <is>
          <t>part_x_balance_sheet.retained_earnings_eoy</t>
        </is>
      </c>
      <c r="F153" s="8" t="inlineStr">
        <is>
          <t>high</t>
        </is>
      </c>
      <c r="G153" s="9" t="n">
        <v>21273012</v>
      </c>
    </row>
    <row r="154">
      <c r="A154" s="8" t="inlineStr">
        <is>
          <t>Balance sheet (detail)</t>
        </is>
      </c>
      <c r="B154" s="8" t="inlineStr">
        <is>
          <t>E24</t>
        </is>
      </c>
      <c r="C154" s="8" t="inlineStr">
        <is>
          <t>31. Retained earnings / accumulated funds</t>
        </is>
      </c>
      <c r="D154" s="8" t="inlineStr">
        <is>
          <t>31E</t>
        </is>
      </c>
      <c r="E154" s="8" t="inlineStr">
        <is>
          <t>part_x_balance_sheet.retained_earnings_eoy</t>
        </is>
      </c>
      <c r="F154" s="8" t="inlineStr">
        <is>
          <t>high</t>
        </is>
      </c>
      <c r="G154" s="9" t="n">
        <v>22702717</v>
      </c>
    </row>
    <row r="155">
      <c r="A155" s="8" t="inlineStr">
        <is>
          <t>Balance sheet (detail)</t>
        </is>
      </c>
      <c r="B155" s="8" t="inlineStr">
        <is>
          <t>F24</t>
        </is>
      </c>
      <c r="C155" s="8" t="inlineStr">
        <is>
          <t>31. Retained earnings / accumulated funds</t>
        </is>
      </c>
      <c r="D155" s="8" t="inlineStr">
        <is>
          <t>31E</t>
        </is>
      </c>
      <c r="E155" s="8" t="inlineStr">
        <is>
          <t>part_x_balance_sheet.retained_earnings_eoy</t>
        </is>
      </c>
      <c r="F155" s="8" t="inlineStr">
        <is>
          <t>high</t>
        </is>
      </c>
      <c r="G155" s="9" t="n">
        <v>23252239</v>
      </c>
    </row>
    <row r="156">
      <c r="A156" s="8" t="inlineStr">
        <is>
          <t>Net-assets reconciliation</t>
        </is>
      </c>
      <c r="B156" s="8" t="inlineStr">
        <is>
          <t>B7</t>
        </is>
      </c>
      <c r="C156" s="8" t="inlineStr">
        <is>
          <t>4. Net assets, beginning of year</t>
        </is>
      </c>
      <c r="D156" s="8" t="inlineStr">
        <is>
          <t>Part XI line 4</t>
        </is>
      </c>
      <c r="E156" s="8" t="inlineStr">
        <is>
          <t>part_xi_reconciliation.net_assets_boy</t>
        </is>
      </c>
      <c r="F156" s="8" t="inlineStr">
        <is>
          <t>high</t>
        </is>
      </c>
      <c r="G156" s="9" t="n">
        <v>18511202</v>
      </c>
    </row>
    <row r="157">
      <c r="A157" s="8" t="inlineStr">
        <is>
          <t>Net-assets reconciliation</t>
        </is>
      </c>
      <c r="B157" s="8" t="inlineStr">
        <is>
          <t>C7</t>
        </is>
      </c>
      <c r="C157" s="8" t="inlineStr">
        <is>
          <t>4. Net assets, beginning of year</t>
        </is>
      </c>
      <c r="D157" s="8" t="inlineStr">
        <is>
          <t>Part XI line 4</t>
        </is>
      </c>
      <c r="E157" s="8" t="inlineStr">
        <is>
          <t>part_xi_reconciliation.net_assets_boy</t>
        </is>
      </c>
      <c r="F157" s="8" t="inlineStr">
        <is>
          <t>high</t>
        </is>
      </c>
      <c r="G157" s="9" t="n">
        <v>19428081</v>
      </c>
    </row>
    <row r="158">
      <c r="A158" s="8" t="inlineStr">
        <is>
          <t>Net-assets reconciliation</t>
        </is>
      </c>
      <c r="B158" s="8" t="inlineStr">
        <is>
          <t>D7</t>
        </is>
      </c>
      <c r="C158" s="8" t="inlineStr">
        <is>
          <t>4. Net assets, beginning of year</t>
        </is>
      </c>
      <c r="D158" s="8" t="inlineStr">
        <is>
          <t>Part XI line 4</t>
        </is>
      </c>
      <c r="E158" s="8" t="inlineStr">
        <is>
          <t>part_xi_reconciliation.net_assets_boy</t>
        </is>
      </c>
      <c r="F158" s="8" t="inlineStr">
        <is>
          <t>high</t>
        </is>
      </c>
      <c r="G158" s="9" t="n">
        <v>20455159</v>
      </c>
    </row>
    <row r="159">
      <c r="A159" s="8" t="inlineStr">
        <is>
          <t>Net-assets reconciliation</t>
        </is>
      </c>
      <c r="B159" s="8" t="inlineStr">
        <is>
          <t>E7</t>
        </is>
      </c>
      <c r="C159" s="8" t="inlineStr">
        <is>
          <t>4. Net assets, beginning of year</t>
        </is>
      </c>
      <c r="D159" s="8" t="inlineStr">
        <is>
          <t>Part XI line 4</t>
        </is>
      </c>
      <c r="E159" s="8" t="inlineStr">
        <is>
          <t>part_xi_reconciliation.net_assets_boy</t>
        </is>
      </c>
      <c r="F159" s="8" t="inlineStr">
        <is>
          <t>high</t>
        </is>
      </c>
      <c r="G159" s="9" t="n">
        <v>21604635</v>
      </c>
    </row>
    <row r="160">
      <c r="A160" s="8" t="inlineStr">
        <is>
          <t>Net-assets reconciliation</t>
        </is>
      </c>
      <c r="B160" s="8" t="inlineStr">
        <is>
          <t>F7</t>
        </is>
      </c>
      <c r="C160" s="8" t="inlineStr">
        <is>
          <t>4. Net assets, beginning of year</t>
        </is>
      </c>
      <c r="D160" s="8" t="inlineStr">
        <is>
          <t>Part XI line 4</t>
        </is>
      </c>
      <c r="E160" s="8" t="inlineStr">
        <is>
          <t>part_xi_reconciliation.net_assets_boy</t>
        </is>
      </c>
      <c r="F160" s="8" t="inlineStr">
        <is>
          <t>high</t>
        </is>
      </c>
      <c r="G160" s="9" t="n">
        <v>23066740</v>
      </c>
    </row>
    <row r="161">
      <c r="A161" s="8" t="inlineStr">
        <is>
          <t>Net-assets reconciliation</t>
        </is>
      </c>
      <c r="B161" s="8" t="inlineStr">
        <is>
          <t>B8</t>
        </is>
      </c>
      <c r="C161" s="8" t="inlineStr">
        <is>
          <t>3. Revenue less expenses</t>
        </is>
      </c>
      <c r="D161" s="8" t="inlineStr">
        <is>
          <t>Part XI line 3</t>
        </is>
      </c>
      <c r="E161" s="8" t="inlineStr">
        <is>
          <t>part_xi_reconciliation.reconciliation_revenue_expenses</t>
        </is>
      </c>
      <c r="F161" s="8" t="inlineStr">
        <is>
          <t>high</t>
        </is>
      </c>
      <c r="G161" s="9" t="n">
        <v>916879</v>
      </c>
    </row>
    <row r="162">
      <c r="A162" s="8" t="inlineStr">
        <is>
          <t>Net-assets reconciliation</t>
        </is>
      </c>
      <c r="B162" s="8" t="inlineStr">
        <is>
          <t>C8</t>
        </is>
      </c>
      <c r="C162" s="8" t="inlineStr">
        <is>
          <t>3. Revenue less expenses</t>
        </is>
      </c>
      <c r="D162" s="8" t="inlineStr">
        <is>
          <t>Part XI line 3</t>
        </is>
      </c>
      <c r="E162" s="8" t="inlineStr">
        <is>
          <t>part_xi_reconciliation.reconciliation_revenue_expenses</t>
        </is>
      </c>
      <c r="F162" s="8" t="inlineStr">
        <is>
          <t>high</t>
        </is>
      </c>
      <c r="G162" s="9" t="n">
        <v>1019878</v>
      </c>
    </row>
    <row r="163">
      <c r="A163" s="8" t="inlineStr">
        <is>
          <t>Net-assets reconciliation</t>
        </is>
      </c>
      <c r="B163" s="8" t="inlineStr">
        <is>
          <t>D8</t>
        </is>
      </c>
      <c r="C163" s="8" t="inlineStr">
        <is>
          <t>3. Revenue less expenses</t>
        </is>
      </c>
      <c r="D163" s="8" t="inlineStr">
        <is>
          <t>Part XI line 3</t>
        </is>
      </c>
      <c r="E163" s="8" t="inlineStr">
        <is>
          <t>part_xi_reconciliation.reconciliation_revenue_expenses</t>
        </is>
      </c>
      <c r="F163" s="8" t="inlineStr">
        <is>
          <t>high</t>
        </is>
      </c>
      <c r="G163" s="9" t="n">
        <v>1153076</v>
      </c>
    </row>
    <row r="164">
      <c r="A164" s="8" t="inlineStr">
        <is>
          <t>Net-assets reconciliation</t>
        </is>
      </c>
      <c r="B164" s="8" t="inlineStr">
        <is>
          <t>E8</t>
        </is>
      </c>
      <c r="C164" s="8" t="inlineStr">
        <is>
          <t>3. Revenue less expenses</t>
        </is>
      </c>
      <c r="D164" s="8" t="inlineStr">
        <is>
          <t>Part XI line 3</t>
        </is>
      </c>
      <c r="E164" s="8" t="inlineStr">
        <is>
          <t>part_xi_reconciliation.reconciliation_revenue_expenses</t>
        </is>
      </c>
      <c r="F164" s="8" t="inlineStr">
        <is>
          <t>high</t>
        </is>
      </c>
      <c r="G164" s="9" t="n">
        <v>1429705</v>
      </c>
    </row>
    <row r="165">
      <c r="A165" s="8" t="inlineStr">
        <is>
          <t>Net-assets reconciliation</t>
        </is>
      </c>
      <c r="B165" s="8" t="inlineStr">
        <is>
          <t>F8</t>
        </is>
      </c>
      <c r="C165" s="8" t="inlineStr">
        <is>
          <t>3. Revenue less expenses</t>
        </is>
      </c>
      <c r="D165" s="8" t="inlineStr">
        <is>
          <t>Part XI line 3</t>
        </is>
      </c>
      <c r="E165" s="8" t="inlineStr">
        <is>
          <t>part_xi_reconciliation.reconciliation_revenue_expenses</t>
        </is>
      </c>
      <c r="F165" s="8" t="inlineStr">
        <is>
          <t>high</t>
        </is>
      </c>
      <c r="G165" s="9" t="n">
        <v>549522</v>
      </c>
    </row>
    <row r="166">
      <c r="A166" s="8" t="inlineStr">
        <is>
          <t>Net-assets reconciliation</t>
        </is>
      </c>
      <c r="B166" s="8" t="inlineStr">
        <is>
          <t>B10</t>
        </is>
      </c>
      <c r="C166" s="8" t="inlineStr">
        <is>
          <t>9. Other changes in net assets</t>
        </is>
      </c>
      <c r="D166" s="8" t="inlineStr">
        <is>
          <t>Part XI line 9</t>
        </is>
      </c>
      <c r="E166" s="8" t="inlineStr">
        <is>
          <t>part_xi_reconciliation.other_changes_net_assets</t>
        </is>
      </c>
      <c r="F166" s="8" t="inlineStr">
        <is>
          <t>high</t>
        </is>
      </c>
      <c r="G166" s="9" t="n">
        <v>0</v>
      </c>
    </row>
    <row r="167">
      <c r="A167" s="8" t="inlineStr">
        <is>
          <t>Net-assets reconciliation</t>
        </is>
      </c>
      <c r="B167" s="8" t="inlineStr">
        <is>
          <t>C10</t>
        </is>
      </c>
      <c r="C167" s="8" t="inlineStr">
        <is>
          <t>9. Other changes in net assets</t>
        </is>
      </c>
      <c r="D167" s="8" t="inlineStr">
        <is>
          <t>Part XI line 9</t>
        </is>
      </c>
      <c r="E167" s="8" t="inlineStr">
        <is>
          <t>part_xi_reconciliation.other_changes_net_assets</t>
        </is>
      </c>
      <c r="F167" s="8" t="inlineStr">
        <is>
          <t>high</t>
        </is>
      </c>
      <c r="G167" s="9" t="n">
        <v>7200</v>
      </c>
    </row>
    <row r="168">
      <c r="A168" s="8" t="inlineStr">
        <is>
          <t>Net-assets reconciliation</t>
        </is>
      </c>
      <c r="B168" s="8" t="inlineStr">
        <is>
          <t>D10</t>
        </is>
      </c>
      <c r="C168" s="8" t="inlineStr">
        <is>
          <t>9. Other changes in net assets</t>
        </is>
      </c>
      <c r="D168" s="8" t="inlineStr">
        <is>
          <t>Part XI line 9</t>
        </is>
      </c>
      <c r="E168" s="8" t="inlineStr">
        <is>
          <t>part_xi_reconciliation.other_changes_net_assets</t>
        </is>
      </c>
      <c r="F168" s="8" t="inlineStr">
        <is>
          <t>high</t>
        </is>
      </c>
      <c r="G168" s="9" t="n">
        <v>-3600</v>
      </c>
    </row>
    <row r="169">
      <c r="A169" s="8" t="inlineStr">
        <is>
          <t>Net-assets reconciliation</t>
        </is>
      </c>
      <c r="B169" s="8" t="inlineStr">
        <is>
          <t>E10</t>
        </is>
      </c>
      <c r="C169" s="8" t="inlineStr">
        <is>
          <t>9. Other changes in net assets</t>
        </is>
      </c>
      <c r="D169" s="8" t="inlineStr">
        <is>
          <t>Part XI line 9</t>
        </is>
      </c>
      <c r="E169" s="8" t="inlineStr">
        <is>
          <t>part_xi_reconciliation.other_changes_net_assets</t>
        </is>
      </c>
      <c r="F169" s="8" t="inlineStr">
        <is>
          <t>high</t>
        </is>
      </c>
      <c r="G169" s="9" t="n">
        <v>32400</v>
      </c>
    </row>
    <row r="170">
      <c r="A170" s="8" t="inlineStr">
        <is>
          <t>Net-assets reconciliation</t>
        </is>
      </c>
      <c r="B170" s="8" t="inlineStr">
        <is>
          <t>F10</t>
        </is>
      </c>
      <c r="C170" s="8" t="inlineStr">
        <is>
          <t>9. Other changes in net assets</t>
        </is>
      </c>
      <c r="D170" s="8" t="inlineStr">
        <is>
          <t>Part XI line 9</t>
        </is>
      </c>
      <c r="E170" s="8" t="inlineStr">
        <is>
          <t>part_xi_reconciliation.other_changes_net_assets</t>
        </is>
      </c>
      <c r="F170" s="8" t="inlineStr">
        <is>
          <t>high</t>
        </is>
      </c>
      <c r="G170" s="9" t="n">
        <v>19600</v>
      </c>
    </row>
    <row r="172">
      <c r="A172" s="45" t="inlineStr">
        <is>
          <t>C. Tie-out checks (filed vs computed; any nonzero variance is flagged red)</t>
        </is>
      </c>
      <c r="B172" s="7" t="n"/>
      <c r="C172" s="7" t="n"/>
      <c r="D172" s="7" t="n"/>
      <c r="E172" s="7" t="n"/>
      <c r="F172" s="7" t="n"/>
      <c r="G172" s="7" t="n"/>
      <c r="H172" s="7" t="n"/>
      <c r="I172" s="7" t="n"/>
      <c r="J172" s="7" t="n"/>
      <c r="K172" s="7" t="n"/>
    </row>
    <row r="173">
      <c r="A173" s="5" t="inlineStr">
        <is>
          <t>Tab</t>
        </is>
      </c>
      <c r="B173" s="5" t="inlineStr">
        <is>
          <t>Check</t>
        </is>
      </c>
      <c r="C173" s="5" t="inlineStr">
        <is>
          <t>Fiscal year</t>
        </is>
      </c>
      <c r="D173" s="5" t="inlineStr">
        <is>
          <t>Filed</t>
        </is>
      </c>
      <c r="E173" s="5" t="inlineStr">
        <is>
          <t>Computed</t>
        </is>
      </c>
      <c r="F173" s="5" t="inlineStr">
        <is>
          <t>Variance (computed - filed)</t>
        </is>
      </c>
    </row>
    <row r="174">
      <c r="A174" s="48" t="inlineStr">
        <is>
          <t>Revenue (detail)</t>
        </is>
      </c>
      <c r="B174" s="48" t="inlineStr">
        <is>
          <t>12. Total revenue</t>
        </is>
      </c>
      <c r="C174" s="48" t="inlineStr">
        <is>
          <t>FY2020</t>
        </is>
      </c>
      <c r="D174" s="9" t="n">
        <v>2769445</v>
      </c>
      <c r="E174" s="9">
        <f>'Revenue (detail)'!B13</f>
        <v/>
      </c>
      <c r="F174" s="9">
        <f>E174-D174</f>
        <v/>
      </c>
    </row>
    <row r="175">
      <c r="A175" s="48" t="inlineStr">
        <is>
          <t>Revenue (detail)</t>
        </is>
      </c>
      <c r="B175" s="48" t="inlineStr">
        <is>
          <t>12. Total revenue</t>
        </is>
      </c>
      <c r="C175" s="48" t="inlineStr">
        <is>
          <t>FY2021</t>
        </is>
      </c>
      <c r="D175" s="9" t="n">
        <v>2974975</v>
      </c>
      <c r="E175" s="9">
        <f>'Revenue (detail)'!C13</f>
        <v/>
      </c>
      <c r="F175" s="9">
        <f>E175-D175</f>
        <v/>
      </c>
    </row>
    <row r="176">
      <c r="A176" s="48" t="inlineStr">
        <is>
          <t>Revenue (detail)</t>
        </is>
      </c>
      <c r="B176" s="48" t="inlineStr">
        <is>
          <t>12. Total revenue</t>
        </is>
      </c>
      <c r="C176" s="48" t="inlineStr">
        <is>
          <t>FY2022</t>
        </is>
      </c>
      <c r="D176" s="9" t="n">
        <v>3134087</v>
      </c>
      <c r="E176" s="9">
        <f>'Revenue (detail)'!D13</f>
        <v/>
      </c>
      <c r="F176" s="9">
        <f>E176-D176</f>
        <v/>
      </c>
    </row>
    <row r="177">
      <c r="A177" s="48" t="inlineStr">
        <is>
          <t>Revenue (detail)</t>
        </is>
      </c>
      <c r="B177" s="48" t="inlineStr">
        <is>
          <t>12. Total revenue</t>
        </is>
      </c>
      <c r="C177" s="48" t="inlineStr">
        <is>
          <t>FY2023</t>
        </is>
      </c>
      <c r="D177" s="9" t="n">
        <v>3533209</v>
      </c>
      <c r="E177" s="9">
        <f>'Revenue (detail)'!E13</f>
        <v/>
      </c>
      <c r="F177" s="9">
        <f>E177-D177</f>
        <v/>
      </c>
    </row>
    <row r="178">
      <c r="A178" s="48" t="inlineStr">
        <is>
          <t>Revenue (detail)</t>
        </is>
      </c>
      <c r="B178" s="48" t="inlineStr">
        <is>
          <t>12. Total revenue</t>
        </is>
      </c>
      <c r="C178" s="48" t="inlineStr">
        <is>
          <t>FY2024</t>
        </is>
      </c>
      <c r="D178" s="9" t="n">
        <v>6225040</v>
      </c>
      <c r="E178" s="9">
        <f>'Revenue (detail)'!F13</f>
        <v/>
      </c>
      <c r="F178" s="9">
        <f>E178-D178</f>
        <v/>
      </c>
    </row>
    <row r="179">
      <c r="A179" s="48" t="inlineStr">
        <is>
          <t>Revenue (detail)</t>
        </is>
      </c>
      <c r="B179" s="48" t="inlineStr">
        <is>
          <t>2g program service revenue = sum of lines 2a-2f (FY2024)</t>
        </is>
      </c>
      <c r="C179" s="48" t="inlineStr">
        <is>
          <t>FY2024</t>
        </is>
      </c>
      <c r="D179" s="9" t="n">
        <v>6087629</v>
      </c>
      <c r="E179" s="9">
        <f>SUM('Revenue (detail)'!C17:C17)</f>
        <v/>
      </c>
      <c r="F179" s="9">
        <f>E179-D179</f>
        <v/>
      </c>
    </row>
    <row r="180">
      <c r="A180" s="48" t="inlineStr">
        <is>
          <t>Operating expenses (detail)</t>
        </is>
      </c>
      <c r="B180" s="48" t="inlineStr">
        <is>
          <t>25. Total functional expenses</t>
        </is>
      </c>
      <c r="C180" s="48" t="inlineStr">
        <is>
          <t>FY2020</t>
        </is>
      </c>
      <c r="D180" s="9" t="n">
        <v>1852566</v>
      </c>
      <c r="E180" s="9">
        <f>'Operating expenses (detail)'!B24</f>
        <v/>
      </c>
      <c r="F180" s="9">
        <f>E180-D180</f>
        <v/>
      </c>
    </row>
    <row r="181">
      <c r="A181" s="48" t="inlineStr">
        <is>
          <t>Operating expenses (detail)</t>
        </is>
      </c>
      <c r="B181" s="48" t="inlineStr">
        <is>
          <t>25. Total functional expenses</t>
        </is>
      </c>
      <c r="C181" s="48" t="inlineStr">
        <is>
          <t>FY2021</t>
        </is>
      </c>
      <c r="D181" s="9" t="n">
        <v>1955097</v>
      </c>
      <c r="E181" s="9">
        <f>'Operating expenses (detail)'!C24</f>
        <v/>
      </c>
      <c r="F181" s="9">
        <f>E181-D181</f>
        <v/>
      </c>
    </row>
    <row r="182">
      <c r="A182" s="48" t="inlineStr">
        <is>
          <t>Operating expenses (detail)</t>
        </is>
      </c>
      <c r="B182" s="48" t="inlineStr">
        <is>
          <t>25. Total functional expenses</t>
        </is>
      </c>
      <c r="C182" s="48" t="inlineStr">
        <is>
          <t>FY2022</t>
        </is>
      </c>
      <c r="D182" s="9" t="n">
        <v>1981011</v>
      </c>
      <c r="E182" s="9">
        <f>'Operating expenses (detail)'!D24</f>
        <v/>
      </c>
      <c r="F182" s="9">
        <f>E182-D182</f>
        <v/>
      </c>
    </row>
    <row r="183">
      <c r="A183" s="48" t="inlineStr">
        <is>
          <t>Operating expenses (detail)</t>
        </is>
      </c>
      <c r="B183" s="48" t="inlineStr">
        <is>
          <t>25. Total functional expenses</t>
        </is>
      </c>
      <c r="C183" s="48" t="inlineStr">
        <is>
          <t>FY2023</t>
        </is>
      </c>
      <c r="D183" s="9" t="n">
        <v>2103504</v>
      </c>
      <c r="E183" s="9">
        <f>'Operating expenses (detail)'!E24</f>
        <v/>
      </c>
      <c r="F183" s="9">
        <f>E183-D183</f>
        <v/>
      </c>
    </row>
    <row r="184">
      <c r="A184" s="48" t="inlineStr">
        <is>
          <t>Operating expenses (detail)</t>
        </is>
      </c>
      <c r="B184" s="48" t="inlineStr">
        <is>
          <t>25. Total functional expenses</t>
        </is>
      </c>
      <c r="C184" s="48" t="inlineStr">
        <is>
          <t>FY2024</t>
        </is>
      </c>
      <c r="D184" s="9" t="n">
        <v>5675518</v>
      </c>
      <c r="E184" s="9">
        <f>'Operating expenses (detail)'!F24</f>
        <v/>
      </c>
      <c r="F184" s="9">
        <f>E184-D184</f>
        <v/>
      </c>
    </row>
    <row r="185">
      <c r="A185" s="48" t="inlineStr">
        <is>
          <t>Balance sheet (detail)</t>
        </is>
      </c>
      <c r="B185" s="48" t="inlineStr">
        <is>
          <t>16. Total assets</t>
        </is>
      </c>
      <c r="C185" s="48" t="inlineStr">
        <is>
          <t>FY2020</t>
        </is>
      </c>
      <c r="D185" s="9" t="n">
        <v>21689529</v>
      </c>
      <c r="E185" s="9">
        <f>'Balance sheet (detail)'!B13</f>
        <v/>
      </c>
      <c r="F185" s="9">
        <f>E185-D185</f>
        <v/>
      </c>
    </row>
    <row r="186">
      <c r="A186" s="48" t="inlineStr">
        <is>
          <t>Balance sheet (detail)</t>
        </is>
      </c>
      <c r="B186" s="48" t="inlineStr">
        <is>
          <t>16. Total assets</t>
        </is>
      </c>
      <c r="C186" s="48" t="inlineStr">
        <is>
          <t>FY2021</t>
        </is>
      </c>
      <c r="D186" s="9" t="n">
        <v>22298610</v>
      </c>
      <c r="E186" s="9">
        <f>'Balance sheet (detail)'!C13</f>
        <v/>
      </c>
      <c r="F186" s="9">
        <f>E186-D186</f>
        <v/>
      </c>
    </row>
    <row r="187">
      <c r="A187" s="48" t="inlineStr">
        <is>
          <t>Balance sheet (detail)</t>
        </is>
      </c>
      <c r="B187" s="48" t="inlineStr">
        <is>
          <t>16. Total assets</t>
        </is>
      </c>
      <c r="C187" s="48" t="inlineStr">
        <is>
          <t>FY2022</t>
        </is>
      </c>
      <c r="D187" s="9" t="n">
        <v>23088687</v>
      </c>
      <c r="E187" s="9">
        <f>'Balance sheet (detail)'!D13</f>
        <v/>
      </c>
      <c r="F187" s="9">
        <f>E187-D187</f>
        <v/>
      </c>
    </row>
    <row r="188">
      <c r="A188" s="48" t="inlineStr">
        <is>
          <t>Balance sheet (detail)</t>
        </is>
      </c>
      <c r="B188" s="48" t="inlineStr">
        <is>
          <t>16. Total assets</t>
        </is>
      </c>
      <c r="C188" s="48" t="inlineStr">
        <is>
          <t>FY2023</t>
        </is>
      </c>
      <c r="D188" s="9" t="n">
        <v>24418088</v>
      </c>
      <c r="E188" s="9">
        <f>'Balance sheet (detail)'!E13</f>
        <v/>
      </c>
      <c r="F188" s="9">
        <f>E188-D188</f>
        <v/>
      </c>
    </row>
    <row r="189">
      <c r="A189" s="48" t="inlineStr">
        <is>
          <t>Balance sheet (detail)</t>
        </is>
      </c>
      <c r="B189" s="48" t="inlineStr">
        <is>
          <t>16. Total assets</t>
        </is>
      </c>
      <c r="C189" s="48" t="inlineStr">
        <is>
          <t>FY2024</t>
        </is>
      </c>
      <c r="D189" s="9" t="n">
        <v>24559739</v>
      </c>
      <c r="E189" s="9">
        <f>'Balance sheet (detail)'!F13</f>
        <v/>
      </c>
      <c r="F189" s="9">
        <f>E189-D189</f>
        <v/>
      </c>
    </row>
    <row r="190">
      <c r="A190" s="48" t="inlineStr">
        <is>
          <t>Balance sheet (detail)</t>
        </is>
      </c>
      <c r="B190" s="48" t="inlineStr">
        <is>
          <t>26. Total liabilities</t>
        </is>
      </c>
      <c r="C190" s="48" t="inlineStr">
        <is>
          <t>FY2020</t>
        </is>
      </c>
      <c r="D190" s="9" t="n">
        <v>2261448</v>
      </c>
      <c r="E190" s="9">
        <f>'Balance sheet (detail)'!B19</f>
        <v/>
      </c>
      <c r="F190" s="9">
        <f>E190-D190</f>
        <v/>
      </c>
    </row>
    <row r="191">
      <c r="A191" s="48" t="inlineStr">
        <is>
          <t>Balance sheet (detail)</t>
        </is>
      </c>
      <c r="B191" s="48" t="inlineStr">
        <is>
          <t>26. Total liabilities</t>
        </is>
      </c>
      <c r="C191" s="48" t="inlineStr">
        <is>
          <t>FY2021</t>
        </is>
      </c>
      <c r="D191" s="9" t="n">
        <v>1843451</v>
      </c>
      <c r="E191" s="9">
        <f>'Balance sheet (detail)'!C19</f>
        <v/>
      </c>
      <c r="F191" s="9">
        <f>E191-D191</f>
        <v/>
      </c>
    </row>
    <row r="192">
      <c r="A192" s="48" t="inlineStr">
        <is>
          <t>Balance sheet (detail)</t>
        </is>
      </c>
      <c r="B192" s="48" t="inlineStr">
        <is>
          <t>26. Total liabilities</t>
        </is>
      </c>
      <c r="C192" s="48" t="inlineStr">
        <is>
          <t>FY2022</t>
        </is>
      </c>
      <c r="D192" s="9" t="n">
        <v>1484052</v>
      </c>
      <c r="E192" s="9">
        <f>'Balance sheet (detail)'!D19</f>
        <v/>
      </c>
      <c r="F192" s="9">
        <f>E192-D192</f>
        <v/>
      </c>
    </row>
    <row r="193">
      <c r="A193" s="48" t="inlineStr">
        <is>
          <t>Balance sheet (detail)</t>
        </is>
      </c>
      <c r="B193" s="48" t="inlineStr">
        <is>
          <t>26. Total liabilities</t>
        </is>
      </c>
      <c r="C193" s="48" t="inlineStr">
        <is>
          <t>FY2023</t>
        </is>
      </c>
      <c r="D193" s="9" t="n">
        <v>1351348</v>
      </c>
      <c r="E193" s="9">
        <f>'Balance sheet (detail)'!E19</f>
        <v/>
      </c>
      <c r="F193" s="9">
        <f>E193-D193</f>
        <v/>
      </c>
    </row>
    <row r="194">
      <c r="A194" s="48" t="inlineStr">
        <is>
          <t>Balance sheet (detail)</t>
        </is>
      </c>
      <c r="B194" s="48" t="inlineStr">
        <is>
          <t>26. Total liabilities</t>
        </is>
      </c>
      <c r="C194" s="48" t="inlineStr">
        <is>
          <t>FY2024</t>
        </is>
      </c>
      <c r="D194" s="9" t="n">
        <v>923877</v>
      </c>
      <c r="E194" s="9">
        <f>'Balance sheet (detail)'!F19</f>
        <v/>
      </c>
      <c r="F194" s="9">
        <f>E194-D194</f>
        <v/>
      </c>
    </row>
    <row r="195">
      <c r="A195" s="48" t="inlineStr">
        <is>
          <t>Balance sheet (detail)</t>
        </is>
      </c>
      <c r="B195" s="48" t="inlineStr">
        <is>
          <t>32. Total net assets / fund balances</t>
        </is>
      </c>
      <c r="C195" s="48" t="inlineStr">
        <is>
          <t>FY2020</t>
        </is>
      </c>
      <c r="D195" s="9" t="n">
        <v>19428081</v>
      </c>
      <c r="E195" s="9">
        <f>'Balance sheet (detail)'!B25</f>
        <v/>
      </c>
      <c r="F195" s="9">
        <f>E195-D195</f>
        <v/>
      </c>
    </row>
    <row r="196">
      <c r="A196" s="48" t="inlineStr">
        <is>
          <t>Balance sheet (detail)</t>
        </is>
      </c>
      <c r="B196" s="48" t="inlineStr">
        <is>
          <t>32. Total net assets / fund balances</t>
        </is>
      </c>
      <c r="C196" s="48" t="inlineStr">
        <is>
          <t>FY2021</t>
        </is>
      </c>
      <c r="D196" s="9" t="n">
        <v>20455159</v>
      </c>
      <c r="E196" s="9">
        <f>'Balance sheet (detail)'!C25</f>
        <v/>
      </c>
      <c r="F196" s="9">
        <f>E196-D196</f>
        <v/>
      </c>
    </row>
    <row r="197">
      <c r="A197" s="48" t="inlineStr">
        <is>
          <t>Balance sheet (detail)</t>
        </is>
      </c>
      <c r="B197" s="48" t="inlineStr">
        <is>
          <t>32. Total net assets / fund balances</t>
        </is>
      </c>
      <c r="C197" s="48" t="inlineStr">
        <is>
          <t>FY2022</t>
        </is>
      </c>
      <c r="D197" s="9" t="n">
        <v>21604635</v>
      </c>
      <c r="E197" s="9">
        <f>'Balance sheet (detail)'!D25</f>
        <v/>
      </c>
      <c r="F197" s="9">
        <f>E197-D197</f>
        <v/>
      </c>
    </row>
    <row r="198">
      <c r="A198" s="48" t="inlineStr">
        <is>
          <t>Balance sheet (detail)</t>
        </is>
      </c>
      <c r="B198" s="48" t="inlineStr">
        <is>
          <t>32. Total net assets / fund balances</t>
        </is>
      </c>
      <c r="C198" s="48" t="inlineStr">
        <is>
          <t>FY2023</t>
        </is>
      </c>
      <c r="D198" s="9" t="n">
        <v>23066740</v>
      </c>
      <c r="E198" s="9">
        <f>'Balance sheet (detail)'!E25</f>
        <v/>
      </c>
      <c r="F198" s="9">
        <f>E198-D198</f>
        <v/>
      </c>
    </row>
    <row r="199">
      <c r="A199" s="48" t="inlineStr">
        <is>
          <t>Balance sheet (detail)</t>
        </is>
      </c>
      <c r="B199" s="48" t="inlineStr">
        <is>
          <t>32. Total net assets / fund balances</t>
        </is>
      </c>
      <c r="C199" s="48" t="inlineStr">
        <is>
          <t>FY2024</t>
        </is>
      </c>
      <c r="D199" s="9" t="n">
        <v>23635862</v>
      </c>
      <c r="E199" s="9">
        <f>'Balance sheet (detail)'!F25</f>
        <v/>
      </c>
      <c r="F199" s="9">
        <f>E199-D199</f>
        <v/>
      </c>
    </row>
    <row r="200">
      <c r="A200" s="48" t="inlineStr">
        <is>
          <t>Balance sheet (detail)</t>
        </is>
      </c>
      <c r="B200" s="48" t="inlineStr">
        <is>
          <t>Balance sheet identity: line 16 = line 26 + line 32 (EOY)</t>
        </is>
      </c>
      <c r="C200" s="48" t="inlineStr">
        <is>
          <t>FY2020</t>
        </is>
      </c>
      <c r="D200" s="9">
        <f>'Balance sheet (detail)'!B13</f>
        <v/>
      </c>
      <c r="E200" s="9">
        <f>SUM('Balance sheet (detail)'!B19,'Balance sheet (detail)'!B25)</f>
        <v/>
      </c>
      <c r="F200" s="9">
        <f>E200-D200</f>
        <v/>
      </c>
    </row>
    <row r="201">
      <c r="A201" s="48" t="inlineStr">
        <is>
          <t>Balance sheet (detail)</t>
        </is>
      </c>
      <c r="B201" s="48" t="inlineStr">
        <is>
          <t>Balance sheet identity: line 16 = line 26 + line 32 (EOY)</t>
        </is>
      </c>
      <c r="C201" s="48" t="inlineStr">
        <is>
          <t>FY2021</t>
        </is>
      </c>
      <c r="D201" s="9">
        <f>'Balance sheet (detail)'!C13</f>
        <v/>
      </c>
      <c r="E201" s="9">
        <f>SUM('Balance sheet (detail)'!C19,'Balance sheet (detail)'!C25)</f>
        <v/>
      </c>
      <c r="F201" s="9">
        <f>E201-D201</f>
        <v/>
      </c>
    </row>
    <row r="202">
      <c r="A202" s="48" t="inlineStr">
        <is>
          <t>Balance sheet (detail)</t>
        </is>
      </c>
      <c r="B202" s="48" t="inlineStr">
        <is>
          <t>Balance sheet identity: line 16 = line 26 + line 32 (EOY)</t>
        </is>
      </c>
      <c r="C202" s="48" t="inlineStr">
        <is>
          <t>FY2022</t>
        </is>
      </c>
      <c r="D202" s="9">
        <f>'Balance sheet (detail)'!D13</f>
        <v/>
      </c>
      <c r="E202" s="9">
        <f>SUM('Balance sheet (detail)'!D19,'Balance sheet (detail)'!D25)</f>
        <v/>
      </c>
      <c r="F202" s="9">
        <f>E202-D202</f>
        <v/>
      </c>
    </row>
    <row r="203">
      <c r="A203" s="48" t="inlineStr">
        <is>
          <t>Balance sheet (detail)</t>
        </is>
      </c>
      <c r="B203" s="48" t="inlineStr">
        <is>
          <t>Balance sheet identity: line 16 = line 26 + line 32 (EOY)</t>
        </is>
      </c>
      <c r="C203" s="48" t="inlineStr">
        <is>
          <t>FY2023</t>
        </is>
      </c>
      <c r="D203" s="9">
        <f>'Balance sheet (detail)'!E13</f>
        <v/>
      </c>
      <c r="E203" s="9">
        <f>SUM('Balance sheet (detail)'!E19,'Balance sheet (detail)'!E25)</f>
        <v/>
      </c>
      <c r="F203" s="9">
        <f>E203-D203</f>
        <v/>
      </c>
    </row>
    <row r="204">
      <c r="A204" s="48" t="inlineStr">
        <is>
          <t>Balance sheet (detail)</t>
        </is>
      </c>
      <c r="B204" s="48" t="inlineStr">
        <is>
          <t>Balance sheet identity: line 16 = line 26 + line 32 (EOY)</t>
        </is>
      </c>
      <c r="C204" s="48" t="inlineStr">
        <is>
          <t>FY2024</t>
        </is>
      </c>
      <c r="D204" s="9">
        <f>'Balance sheet (detail)'!F13</f>
        <v/>
      </c>
      <c r="E204" s="9">
        <f>SUM('Balance sheet (detail)'!F19,'Balance sheet (detail)'!F25)</f>
        <v/>
      </c>
      <c r="F204" s="9">
        <f>E204-D204</f>
        <v/>
      </c>
    </row>
    <row r="205">
      <c r="A205" s="48" t="inlineStr">
        <is>
          <t>Net-assets reconciliation</t>
        </is>
      </c>
      <c r="B205" s="48" t="inlineStr">
        <is>
          <t>10. Net assets, end of year</t>
        </is>
      </c>
      <c r="C205" s="48" t="inlineStr">
        <is>
          <t>FY2020</t>
        </is>
      </c>
      <c r="D205" s="9" t="n">
        <v>19428081</v>
      </c>
      <c r="E205" s="9">
        <f>'Net-assets reconciliation'!B11</f>
        <v/>
      </c>
      <c r="F205" s="9">
        <f>E205-D205</f>
        <v/>
      </c>
    </row>
    <row r="206">
      <c r="A206" s="48" t="inlineStr">
        <is>
          <t>Net-assets reconciliation</t>
        </is>
      </c>
      <c r="B206" s="48" t="inlineStr">
        <is>
          <t>10. Net assets, end of year</t>
        </is>
      </c>
      <c r="C206" s="48" t="inlineStr">
        <is>
          <t>FY2021</t>
        </is>
      </c>
      <c r="D206" s="9" t="n">
        <v>20455159</v>
      </c>
      <c r="E206" s="9">
        <f>'Net-assets reconciliation'!C11</f>
        <v/>
      </c>
      <c r="F206" s="9">
        <f>E206-D206</f>
        <v/>
      </c>
    </row>
    <row r="207">
      <c r="A207" s="48" t="inlineStr">
        <is>
          <t>Net-assets reconciliation</t>
        </is>
      </c>
      <c r="B207" s="48" t="inlineStr">
        <is>
          <t>10. Net assets, end of year</t>
        </is>
      </c>
      <c r="C207" s="48" t="inlineStr">
        <is>
          <t>FY2022</t>
        </is>
      </c>
      <c r="D207" s="9" t="n">
        <v>21604635</v>
      </c>
      <c r="E207" s="9">
        <f>'Net-assets reconciliation'!D11</f>
        <v/>
      </c>
      <c r="F207" s="9">
        <f>E207-D207</f>
        <v/>
      </c>
    </row>
    <row r="208">
      <c r="A208" s="48" t="inlineStr">
        <is>
          <t>Net-assets reconciliation</t>
        </is>
      </c>
      <c r="B208" s="48" t="inlineStr">
        <is>
          <t>10. Net assets, end of year</t>
        </is>
      </c>
      <c r="C208" s="48" t="inlineStr">
        <is>
          <t>FY2023</t>
        </is>
      </c>
      <c r="D208" s="9" t="n">
        <v>23066740</v>
      </c>
      <c r="E208" s="9">
        <f>'Net-assets reconciliation'!E11</f>
        <v/>
      </c>
      <c r="F208" s="9">
        <f>E208-D208</f>
        <v/>
      </c>
    </row>
    <row r="209">
      <c r="A209" s="48" t="inlineStr">
        <is>
          <t>Net-assets reconciliation</t>
        </is>
      </c>
      <c r="B209" s="48" t="inlineStr">
        <is>
          <t>10. Net assets, end of year</t>
        </is>
      </c>
      <c r="C209" s="48" t="inlineStr">
        <is>
          <t>FY2024</t>
        </is>
      </c>
      <c r="D209" s="9" t="n">
        <v>23635862</v>
      </c>
      <c r="E209" s="9">
        <f>'Net-assets reconciliation'!F11</f>
        <v/>
      </c>
      <c r="F209" s="9">
        <f>E209-D209</f>
        <v/>
      </c>
    </row>
    <row r="211">
      <c r="A211" s="45" t="inlineStr">
        <is>
          <t>D. Preparer / auditor trail (one row per fiscal year, as filed)</t>
        </is>
      </c>
      <c r="B211" s="7" t="n"/>
      <c r="C211" s="7" t="n"/>
      <c r="D211" s="7" t="n"/>
      <c r="E211" s="7" t="n"/>
      <c r="F211" s="7" t="n"/>
      <c r="G211" s="7" t="n"/>
      <c r="H211" s="7" t="n"/>
      <c r="I211" s="7" t="n"/>
      <c r="J211" s="7" t="n"/>
      <c r="K211" s="7" t="n"/>
    </row>
    <row r="212">
      <c r="A212" s="5" t="inlineStr">
        <is>
          <t>Fiscal year</t>
        </is>
      </c>
      <c r="B212" s="5" t="inlineStr">
        <is>
          <t>Paid preparer</t>
        </is>
      </c>
      <c r="C212" s="5" t="inlineStr">
        <is>
          <t>Preparer firm</t>
        </is>
      </c>
      <c r="D212" s="5" t="inlineStr">
        <is>
          <t>Independent auditor</t>
        </is>
      </c>
      <c r="E212" s="5" t="inlineStr">
        <is>
          <t>Citation</t>
        </is>
      </c>
    </row>
    <row r="213" ht="42" customHeight="1">
      <c r="A213" s="46" t="inlineStr">
        <is>
          <t>FY2020</t>
        </is>
      </c>
      <c r="B213" s="8" t="inlineStr">
        <is>
          <t>Gail N Egan</t>
        </is>
      </c>
      <c r="C213" s="8" t="inlineStr">
        <is>
          <t>EGAN CPAs LP</t>
        </is>
      </c>
      <c r="D213" s="50" t="inlineStr">
        <is>
          <t>not reported</t>
        </is>
      </c>
      <c r="E213" s="24" t="inlineStr">
        <is>
          <t>Form 990 Return Header, Paid Preparer block (return_header.preparer_person_name / preparer_firm_name); auditor: Part XII line 2 reports audited financial statements but does not name the firm.</t>
        </is>
      </c>
    </row>
    <row r="214" ht="42" customHeight="1">
      <c r="A214" s="46" t="inlineStr">
        <is>
          <t>FY2021</t>
        </is>
      </c>
      <c r="B214" s="8" t="inlineStr">
        <is>
          <t>Gail N Egan</t>
        </is>
      </c>
      <c r="C214" s="8" t="inlineStr">
        <is>
          <t>EGAN CPAs LP</t>
        </is>
      </c>
      <c r="D214" s="50" t="inlineStr">
        <is>
          <t>not reported</t>
        </is>
      </c>
      <c r="E214" s="24" t="inlineStr">
        <is>
          <t>Form 990 Return Header, Paid Preparer block (return_header.preparer_person_name / preparer_firm_name); auditor: Part XII line 2 reports audited financial statements but does not name the firm.</t>
        </is>
      </c>
    </row>
    <row r="215" ht="42" customHeight="1">
      <c r="A215" s="46" t="inlineStr">
        <is>
          <t>FY2022</t>
        </is>
      </c>
      <c r="B215" s="8" t="inlineStr">
        <is>
          <t>Gail N Egan</t>
        </is>
      </c>
      <c r="C215" s="8" t="inlineStr">
        <is>
          <t>EGAN CPAs LP</t>
        </is>
      </c>
      <c r="D215" s="50" t="inlineStr">
        <is>
          <t>not reported</t>
        </is>
      </c>
      <c r="E215" s="24" t="inlineStr">
        <is>
          <t>Form 990 Return Header, Paid Preparer block (return_header.preparer_person_name / preparer_firm_name); auditor: Part XII line 2 reports audited financial statements but does not name the firm.</t>
        </is>
      </c>
    </row>
    <row r="216" ht="42" customHeight="1">
      <c r="A216" s="46" t="inlineStr">
        <is>
          <t>FY2023</t>
        </is>
      </c>
      <c r="B216" s="8" t="inlineStr">
        <is>
          <t>Gail N Egan</t>
        </is>
      </c>
      <c r="C216" s="8" t="inlineStr">
        <is>
          <t>EGAN CPAs LP</t>
        </is>
      </c>
      <c r="D216" s="50" t="inlineStr">
        <is>
          <t>not reported</t>
        </is>
      </c>
      <c r="E216" s="24" t="inlineStr">
        <is>
          <t>Form 990 Return Header, Paid Preparer block (return_header.preparer_person_name / preparer_firm_name); auditor: Part XII line 2 reports audited financial statements but does not name the firm.</t>
        </is>
      </c>
    </row>
    <row r="217" ht="42" customHeight="1">
      <c r="A217" s="46" t="inlineStr">
        <is>
          <t>FY2024</t>
        </is>
      </c>
      <c r="B217" s="8" t="inlineStr">
        <is>
          <t>Gail N Egan</t>
        </is>
      </c>
      <c r="C217" s="8" t="inlineStr">
        <is>
          <t>EGAN CPAs LP</t>
        </is>
      </c>
      <c r="D217" s="50" t="inlineStr">
        <is>
          <t>not reported</t>
        </is>
      </c>
      <c r="E217" s="24" t="inlineStr">
        <is>
          <t>Form 990 Return Header, Paid Preparer block (return_header.preparer_person_name / preparer_firm_name); auditor: Part XII line 2 reports audited financial statements but does not name the firm.</t>
        </is>
      </c>
    </row>
    <row r="219" ht="42" customHeight="1">
      <c r="A219"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219:K219"/>
    <mergeCell ref="A3:K3"/>
    <mergeCell ref="A2:K2"/>
    <mergeCell ref="A5:K5"/>
    <mergeCell ref="A1:K1"/>
  </mergeCells>
  <conditionalFormatting sqref="F174:F209">
    <cfRule type="cellIs" priority="1" operator="notEqual" dxfId="0">
      <formula>0</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