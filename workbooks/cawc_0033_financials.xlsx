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1.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Denominators &amp; alignment" sheetId="14" state="visible" r:id="rId14"/>
    <sheet name="Governance evidence" sheetId="15" state="visible" r:id="rId15"/>
    <sheet name="Operational metrics" sheetId="16" state="visible" r:id="rId16"/>
    <sheet name="Supply &amp; weather" sheetId="17" state="visible" r:id="rId17"/>
    <sheet name="How this was built" sheetId="18" state="visible" r:id="rId18"/>
    <sheet name="Sources &amp; audit" sheetId="19" state="visible" r:id="rId19"/>
    <sheet name="Provenance" sheetId="20" state="visible" r:id="rId20"/>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3" fontId="6" fillId="0" borderId="1" applyAlignment="1" pivotButton="0" quotePrefix="0" xfId="0">
      <alignment horizontal="right"/>
    </xf>
    <xf numFmtId="0" fontId="5" fillId="3" borderId="0" applyAlignment="1" pivotButton="0" quotePrefix="0" xfId="0">
      <alignment horizontal="left" vertical="center"/>
    </xf>
    <xf numFmtId="0" fontId="6" fillId="0" borderId="1" applyAlignment="1" pivotButton="0" quotePrefix="0" xfId="0">
      <alignment horizontal="center" vertical="center"/>
    </xf>
    <xf numFmtId="166" fontId="6" fillId="0" borderId="1" applyAlignment="1" pivotButton="0" quotePrefix="0" xfId="0">
      <alignment horizontal="right"/>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Sunny Slope Water Company</t>
        </is>
      </c>
    </row>
    <row r="2">
      <c r="A2" s="2" t="inlineStr">
        <is>
          <t>Financial Summary - multi-year overview (USD)</t>
        </is>
      </c>
    </row>
    <row r="3">
      <c r="A3" s="2" t="inlineStr">
        <is>
          <t>Entity ID: cawc_0033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5950902</v>
      </c>
      <c r="C10" s="9" t="n">
        <v>10112414</v>
      </c>
      <c r="D10" s="9" t="n">
        <v>6811105</v>
      </c>
      <c r="E10" s="9" t="n">
        <v>6585472</v>
      </c>
      <c r="F10" s="9" t="n">
        <v>7117630</v>
      </c>
    </row>
    <row r="11">
      <c r="A11" s="8" t="inlineStr">
        <is>
          <t xml:space="preserve">    Total expenses</t>
        </is>
      </c>
      <c r="B11" s="9" t="n">
        <v>4749900</v>
      </c>
      <c r="C11" s="9" t="n">
        <v>5116557</v>
      </c>
      <c r="D11" s="9" t="n">
        <v>5116592</v>
      </c>
      <c r="E11" s="9" t="n">
        <v>5094873</v>
      </c>
      <c r="F11" s="9" t="n">
        <v>5197001</v>
      </c>
    </row>
    <row r="12">
      <c r="A12" s="10" t="inlineStr">
        <is>
          <t xml:space="preserve">    Net income</t>
        </is>
      </c>
      <c r="B12" s="11" t="n">
        <v>1201002</v>
      </c>
      <c r="C12" s="11" t="n">
        <v>4995857</v>
      </c>
      <c r="D12" s="11" t="n">
        <v>1694513</v>
      </c>
      <c r="E12" s="11" t="n">
        <v>1490599</v>
      </c>
      <c r="F12" s="11" t="n">
        <v>1920629</v>
      </c>
    </row>
    <row r="14">
      <c r="A14" s="6" t="inlineStr">
        <is>
          <t>Financial position (USD, end of year)</t>
        </is>
      </c>
      <c r="B14" s="7" t="n"/>
      <c r="C14" s="7" t="n"/>
      <c r="D14" s="7" t="n"/>
      <c r="E14" s="7" t="n"/>
      <c r="F14" s="7" t="n"/>
    </row>
    <row r="15">
      <c r="A15" s="8" t="inlineStr">
        <is>
          <t xml:space="preserve">    Total assets</t>
        </is>
      </c>
      <c r="B15" s="9" t="n">
        <v>25694945</v>
      </c>
      <c r="C15" s="9" t="n">
        <v>31584980</v>
      </c>
      <c r="D15" s="9" t="n">
        <v>32249066</v>
      </c>
      <c r="E15" s="9" t="n">
        <v>33745190</v>
      </c>
      <c r="F15" s="9" t="n">
        <v>35866460</v>
      </c>
    </row>
    <row r="16">
      <c r="A16" s="8" t="inlineStr">
        <is>
          <t xml:space="preserve">    Total liabilities</t>
        </is>
      </c>
      <c r="B16" s="9" t="n">
        <v>755923</v>
      </c>
      <c r="C16" s="9" t="n">
        <v>1482563</v>
      </c>
      <c r="D16" s="9" t="n">
        <v>2271389</v>
      </c>
      <c r="E16" s="9" t="n">
        <v>1772893</v>
      </c>
      <c r="F16" s="9" t="n">
        <v>1627427</v>
      </c>
    </row>
    <row r="17">
      <c r="A17" s="10" t="inlineStr">
        <is>
          <t xml:space="preserve">    Net assets</t>
        </is>
      </c>
      <c r="B17" s="11" t="n">
        <v>24939022</v>
      </c>
      <c r="C17" s="11" t="n">
        <v>30102417</v>
      </c>
      <c r="D17" s="11" t="n">
        <v>29977677</v>
      </c>
      <c r="E17" s="11" t="n">
        <v>31972297</v>
      </c>
      <c r="F17" s="11" t="n">
        <v>34239033</v>
      </c>
    </row>
    <row r="19">
      <c r="A19" s="6" t="inlineStr">
        <is>
          <t>Headline ratios</t>
        </is>
      </c>
      <c r="B19" s="7" t="n"/>
      <c r="C19" s="7" t="n"/>
      <c r="D19" s="7" t="n"/>
      <c r="E19" s="7" t="n"/>
      <c r="F19" s="7" t="n"/>
    </row>
    <row r="20">
      <c r="A20" s="8" t="inlineStr">
        <is>
          <t xml:space="preserve">    Operating margin</t>
        </is>
      </c>
      <c r="B20" s="12" t="n">
        <v>0.2018184806269705</v>
      </c>
      <c r="C20" s="12" t="n">
        <v>0.4940320876894478</v>
      </c>
      <c r="D20" s="12" t="n">
        <v>0.248786797443293</v>
      </c>
      <c r="E20" s="12" t="n">
        <v>0.226346570147136</v>
      </c>
      <c r="F20" s="12" t="n">
        <v>0.2698410847430956</v>
      </c>
    </row>
    <row r="21">
      <c r="A21" s="8" t="inlineStr">
        <is>
          <t xml:space="preserve">    Revenue growth (YoY)</t>
        </is>
      </c>
      <c r="B21" s="12" t="n">
        <v>0.05459791706835736</v>
      </c>
      <c r="C21" s="12" t="n">
        <v>0.6993077688054685</v>
      </c>
      <c r="D21" s="12" t="n">
        <v>-0.3264610210776576</v>
      </c>
      <c r="E21" s="12" t="n">
        <v>-0.03312722384987458</v>
      </c>
      <c r="F21" s="12" t="n">
        <v>0.08080787527454372</v>
      </c>
    </row>
    <row r="22">
      <c r="A22" s="8" t="inlineStr">
        <is>
          <t xml:space="preserve">    Return on assets</t>
        </is>
      </c>
      <c r="B22" s="12" t="n">
        <v>0.04674078889836113</v>
      </c>
      <c r="C22" s="12" t="n">
        <v>0.1581719222237912</v>
      </c>
      <c r="D22" s="12" t="n">
        <v>0.05254456051533399</v>
      </c>
      <c r="E22" s="12" t="n">
        <v>0.0441721916516102</v>
      </c>
      <c r="F22" s="12" t="n">
        <v>0.05354944424400958</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Sunny Slope Water Company</t>
        </is>
      </c>
    </row>
    <row r="2">
      <c r="A2" s="2" t="inlineStr">
        <is>
          <t>Financial Statements - income statement, balance sheet, cash flow, member income test (USD)</t>
        </is>
      </c>
    </row>
    <row r="3">
      <c r="A3" s="2" t="inlineStr">
        <is>
          <t>Entity ID: cawc_0033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5572638</v>
      </c>
      <c r="C8" s="9" t="n">
        <v>6055746</v>
      </c>
      <c r="D8" s="9" t="n">
        <v>6044091</v>
      </c>
      <c r="E8" s="9" t="n">
        <v>6034077</v>
      </c>
      <c r="F8" s="9" t="n">
        <v>6503705</v>
      </c>
    </row>
    <row r="9">
      <c r="A9" s="8" t="inlineStr">
        <is>
          <t xml:space="preserve">    Investment income</t>
        </is>
      </c>
      <c r="B9" s="9" t="n">
        <v>150813</v>
      </c>
      <c r="C9" s="9" t="n">
        <v>277195</v>
      </c>
      <c r="D9" s="9" t="n">
        <v>322028</v>
      </c>
      <c r="E9" s="9" t="n">
        <v>349489</v>
      </c>
      <c r="F9" s="9" t="n">
        <v>356537</v>
      </c>
    </row>
    <row r="10">
      <c r="A10" s="8" t="inlineStr">
        <is>
          <t xml:space="preserve">    Net rental income</t>
        </is>
      </c>
      <c r="B10" s="9" t="n">
        <v>25169</v>
      </c>
      <c r="C10" s="9" t="n">
        <v>21050</v>
      </c>
      <c r="D10" s="9" t="n">
        <v>22390</v>
      </c>
      <c r="E10" s="9" t="n">
        <v>20713</v>
      </c>
      <c r="F10" s="9" t="n">
        <v>12524</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3614268</v>
      </c>
      <c r="D12" s="9" t="n">
        <v>1440</v>
      </c>
      <c r="E12" s="9" t="n">
        <v>0</v>
      </c>
      <c r="F12" s="9" t="n">
        <v>0</v>
      </c>
    </row>
    <row r="13">
      <c r="A13" s="8" t="inlineStr">
        <is>
          <t xml:space="preserve">    Contributions &amp; grants</t>
        </is>
      </c>
      <c r="B13" s="9" t="n">
        <v>202282</v>
      </c>
      <c r="C13" s="9" t="n">
        <v>144155</v>
      </c>
      <c r="D13" s="9" t="n">
        <v>421156</v>
      </c>
      <c r="E13" s="9" t="n">
        <v>181193</v>
      </c>
      <c r="F13" s="9" t="n">
        <v>244864</v>
      </c>
    </row>
    <row r="14">
      <c r="A14" s="10" t="inlineStr">
        <is>
          <t>Total revenue</t>
        </is>
      </c>
      <c r="B14" s="11" t="n">
        <v>5950902</v>
      </c>
      <c r="C14" s="11" t="n">
        <v>10112414</v>
      </c>
      <c r="D14" s="11" t="n">
        <v>6811105</v>
      </c>
      <c r="E14" s="11" t="n">
        <v>6585472</v>
      </c>
      <c r="F14" s="11" t="n">
        <v>7117630</v>
      </c>
    </row>
    <row r="16">
      <c r="A16" s="6" t="inlineStr">
        <is>
          <t>Expenses</t>
        </is>
      </c>
      <c r="B16" s="7" t="n"/>
      <c r="C16" s="7" t="n"/>
      <c r="D16" s="7" t="n"/>
      <c r="E16" s="7" t="n"/>
      <c r="F16" s="7" t="n"/>
    </row>
    <row r="17">
      <c r="A17" s="8" t="inlineStr">
        <is>
          <t xml:space="preserve">    Depreciation</t>
        </is>
      </c>
      <c r="B17" s="9" t="n">
        <v>814040</v>
      </c>
      <c r="C17" s="9" t="n">
        <v>811593</v>
      </c>
      <c r="D17" s="9" t="n">
        <v>881236</v>
      </c>
      <c r="E17" s="9" t="n">
        <v>994003</v>
      </c>
      <c r="F17" s="9" t="n">
        <v>992344</v>
      </c>
    </row>
    <row r="18">
      <c r="A18" s="8" t="inlineStr">
        <is>
          <t xml:space="preserve">    Interest expense</t>
        </is>
      </c>
      <c r="B18" s="9" t="n">
        <v>0</v>
      </c>
      <c r="C18" s="9" t="n">
        <v>0</v>
      </c>
      <c r="D18" s="9" t="n">
        <v>19871</v>
      </c>
      <c r="E18" s="9" t="n">
        <v>90575</v>
      </c>
      <c r="F18" s="9" t="n">
        <v>52204</v>
      </c>
    </row>
    <row r="19">
      <c r="A19" s="10" t="inlineStr">
        <is>
          <t>Total expenses</t>
        </is>
      </c>
      <c r="B19" s="11" t="n">
        <v>4749900</v>
      </c>
      <c r="C19" s="11" t="n">
        <v>5116557</v>
      </c>
      <c r="D19" s="11" t="n">
        <v>5116592</v>
      </c>
      <c r="E19" s="11" t="n">
        <v>5094873</v>
      </c>
      <c r="F19" s="11" t="n">
        <v>5197001</v>
      </c>
    </row>
    <row r="21">
      <c r="A21" s="10" t="inlineStr">
        <is>
          <t>Net income</t>
        </is>
      </c>
      <c r="B21" s="11" t="n">
        <v>1201002</v>
      </c>
      <c r="C21" s="11" t="n">
        <v>4995857</v>
      </c>
      <c r="D21" s="11" t="n">
        <v>1694513</v>
      </c>
      <c r="E21" s="11" t="n">
        <v>1490599</v>
      </c>
      <c r="F21" s="11" t="n">
        <v>1920629</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0</v>
      </c>
      <c r="C27" s="9" t="n">
        <v>0</v>
      </c>
      <c r="D27" s="9" t="n">
        <v>0</v>
      </c>
      <c r="E27" s="9" t="n">
        <v>0</v>
      </c>
      <c r="F27" s="9" t="n">
        <v>0</v>
      </c>
    </row>
    <row r="28">
      <c r="A28" s="8" t="inlineStr">
        <is>
          <t xml:space="preserve">    Savings &amp; temporary investments</t>
        </is>
      </c>
      <c r="B28" s="9" t="n">
        <v>7362093</v>
      </c>
      <c r="C28" s="9" t="n">
        <v>12094085</v>
      </c>
      <c r="D28" s="9" t="n">
        <v>8538549</v>
      </c>
      <c r="E28" s="9" t="n">
        <v>9602070</v>
      </c>
      <c r="F28" s="9" t="n">
        <v>11385262</v>
      </c>
    </row>
    <row r="29">
      <c r="A29" s="8" t="inlineStr">
        <is>
          <t xml:space="preserve">    Accounts receivable</t>
        </is>
      </c>
      <c r="B29" s="9" t="n">
        <v>695780</v>
      </c>
      <c r="C29" s="9" t="n">
        <v>763711</v>
      </c>
      <c r="D29" s="9" t="n">
        <v>843646</v>
      </c>
      <c r="E29" s="9" t="n">
        <v>885008</v>
      </c>
      <c r="F29" s="9" t="n">
        <v>897819</v>
      </c>
    </row>
    <row r="30">
      <c r="A30" s="8" t="inlineStr">
        <is>
          <t xml:space="preserve">    Inventories</t>
        </is>
      </c>
      <c r="B30" s="9" t="n">
        <v>127331</v>
      </c>
      <c r="C30" s="9" t="n">
        <v>127884</v>
      </c>
      <c r="D30" s="9" t="n">
        <v>134215</v>
      </c>
      <c r="E30" s="9" t="n">
        <v>139531</v>
      </c>
      <c r="F30" s="9" t="n">
        <v>141813</v>
      </c>
    </row>
    <row r="31">
      <c r="A31" s="8" t="inlineStr">
        <is>
          <t xml:space="preserve">    Prepaid expenses</t>
        </is>
      </c>
      <c r="B31" s="9" t="n">
        <v>106209</v>
      </c>
      <c r="C31" s="9" t="n">
        <v>120518</v>
      </c>
      <c r="D31" s="9" t="n">
        <v>124986</v>
      </c>
      <c r="E31" s="9" t="n">
        <v>142230</v>
      </c>
      <c r="F31" s="9" t="n">
        <v>155316</v>
      </c>
    </row>
    <row r="32">
      <c r="A32" s="8" t="inlineStr">
        <is>
          <t xml:space="preserve">    Property, plant &amp; equipment (gross)</t>
        </is>
      </c>
      <c r="B32" s="9" t="n">
        <v>23777034</v>
      </c>
      <c r="C32" s="9" t="n">
        <v>24533624</v>
      </c>
      <c r="D32" s="9" t="n">
        <v>31067930</v>
      </c>
      <c r="E32" s="9" t="n">
        <v>32593392</v>
      </c>
      <c r="F32" s="9" t="n">
        <v>33950492</v>
      </c>
    </row>
    <row r="33">
      <c r="A33" s="8" t="inlineStr">
        <is>
          <t xml:space="preserve">    Less: accumulated depreciation</t>
        </is>
      </c>
      <c r="B33" s="9" t="n">
        <v>-9485897</v>
      </c>
      <c r="C33" s="9" t="n">
        <v>-10297490</v>
      </c>
      <c r="D33" s="9" t="n">
        <v>-11133000</v>
      </c>
      <c r="E33" s="9" t="n">
        <v>-12119593</v>
      </c>
      <c r="F33" s="9" t="n">
        <v>-13106997</v>
      </c>
    </row>
    <row r="34">
      <c r="A34" s="10" t="inlineStr">
        <is>
          <t xml:space="preserve">    Net property, plant &amp; equipment</t>
        </is>
      </c>
      <c r="B34" s="11" t="n">
        <v>14291137</v>
      </c>
      <c r="C34" s="11" t="n">
        <v>14236134</v>
      </c>
      <c r="D34" s="11" t="n">
        <v>19934930</v>
      </c>
      <c r="E34" s="11" t="n">
        <v>20473799</v>
      </c>
      <c r="F34" s="11" t="n">
        <v>20843495</v>
      </c>
    </row>
    <row r="35">
      <c r="A35" s="10" t="inlineStr">
        <is>
          <t>Total assets</t>
        </is>
      </c>
      <c r="B35" s="11" t="n">
        <v>25694945</v>
      </c>
      <c r="C35" s="11" t="n">
        <v>31584980</v>
      </c>
      <c r="D35" s="11" t="n">
        <v>32249066</v>
      </c>
      <c r="E35" s="11" t="n">
        <v>33745190</v>
      </c>
      <c r="F35" s="11" t="n">
        <v>35866460</v>
      </c>
    </row>
    <row r="37">
      <c r="A37" s="6" t="inlineStr">
        <is>
          <t>Liabilities</t>
        </is>
      </c>
      <c r="B37" s="7" t="n"/>
      <c r="C37" s="7" t="n"/>
      <c r="D37" s="7" t="n"/>
      <c r="E37" s="7" t="n"/>
      <c r="F37" s="7" t="n"/>
    </row>
    <row r="38">
      <c r="A38" s="8" t="inlineStr">
        <is>
          <t xml:space="preserve">    Accounts payable</t>
        </is>
      </c>
      <c r="B38" s="9" t="n">
        <v>546240</v>
      </c>
      <c r="C38" s="9" t="n">
        <v>1248168</v>
      </c>
      <c r="D38" s="9" t="n">
        <v>648797</v>
      </c>
      <c r="E38" s="9" t="n">
        <v>622103</v>
      </c>
      <c r="F38" s="9" t="n">
        <v>1390503</v>
      </c>
    </row>
    <row r="39">
      <c r="A39" s="8" t="inlineStr">
        <is>
          <t xml:space="preserve">    Mortgages &amp; notes payable</t>
        </is>
      </c>
      <c r="B39" s="9" t="n"/>
      <c r="C39" s="9" t="n"/>
      <c r="D39" s="9" t="n"/>
      <c r="E39" s="9" t="n"/>
      <c r="F39" s="9" t="n"/>
    </row>
    <row r="40">
      <c r="A40" s="10" t="inlineStr">
        <is>
          <t>Total liabilities</t>
        </is>
      </c>
      <c r="B40" s="11" t="n">
        <v>755923</v>
      </c>
      <c r="C40" s="11" t="n">
        <v>1482563</v>
      </c>
      <c r="D40" s="11" t="n">
        <v>2271389</v>
      </c>
      <c r="E40" s="11" t="n">
        <v>1772893</v>
      </c>
      <c r="F40" s="11" t="n">
        <v>1627427</v>
      </c>
    </row>
    <row r="42">
      <c r="A42" s="6" t="inlineStr">
        <is>
          <t>Net Assets / Equity</t>
        </is>
      </c>
      <c r="B42" s="7" t="n"/>
      <c r="C42" s="7" t="n"/>
      <c r="D42" s="7" t="n"/>
      <c r="E42" s="7" t="n"/>
      <c r="F42" s="7" t="n"/>
    </row>
    <row r="43">
      <c r="A43" s="8" t="inlineStr">
        <is>
          <t xml:space="preserve">    Capital stock</t>
        </is>
      </c>
      <c r="B43" s="9" t="n">
        <v>130000</v>
      </c>
      <c r="C43" s="9" t="n">
        <v>130000</v>
      </c>
      <c r="D43" s="9" t="n">
        <v>130000</v>
      </c>
      <c r="E43" s="9" t="n">
        <v>130000</v>
      </c>
      <c r="F43" s="9" t="n">
        <v>130000</v>
      </c>
    </row>
    <row r="44">
      <c r="A44" s="8" t="inlineStr">
        <is>
          <t xml:space="preserve">    Paid-in capital</t>
        </is>
      </c>
      <c r="B44" s="9" t="n"/>
      <c r="C44" s="9" t="n"/>
      <c r="D44" s="9" t="n"/>
      <c r="E44" s="9" t="n"/>
      <c r="F44" s="9" t="n"/>
    </row>
    <row r="45">
      <c r="A45" s="8" t="inlineStr">
        <is>
          <t xml:space="preserve">    Retained earnings</t>
        </is>
      </c>
      <c r="B45" s="9" t="n">
        <v>24809022</v>
      </c>
      <c r="C45" s="9" t="n">
        <v>29972417</v>
      </c>
      <c r="D45" s="9" t="n">
        <v>29847677</v>
      </c>
      <c r="E45" s="9" t="n">
        <v>31842297</v>
      </c>
      <c r="F45" s="9" t="n">
        <v>34109033</v>
      </c>
    </row>
    <row r="46">
      <c r="A46" s="10" t="inlineStr">
        <is>
          <t>Net assets</t>
        </is>
      </c>
      <c r="B46" s="11" t="n">
        <v>24939022</v>
      </c>
      <c r="C46" s="11" t="n">
        <v>30102417</v>
      </c>
      <c r="D46" s="11" t="n">
        <v>29977677</v>
      </c>
      <c r="E46" s="11" t="n">
        <v>31972297</v>
      </c>
      <c r="F46" s="11" t="n">
        <v>34239033</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1201002</v>
      </c>
      <c r="C52" s="9" t="n">
        <v>4995857</v>
      </c>
      <c r="D52" s="9" t="n">
        <v>1694513</v>
      </c>
      <c r="E52" s="9" t="n">
        <v>1490599</v>
      </c>
      <c r="F52" s="9" t="n">
        <v>1920629</v>
      </c>
    </row>
    <row r="53">
      <c r="A53" s="8" t="inlineStr">
        <is>
          <t xml:space="preserve">    + Depreciation (reported)</t>
        </is>
      </c>
      <c r="B53" s="9" t="n">
        <v>814040</v>
      </c>
      <c r="C53" s="9" t="n">
        <v>811593</v>
      </c>
      <c r="D53" s="9" t="n">
        <v>881236</v>
      </c>
      <c r="E53" s="9" t="n">
        <v>994003</v>
      </c>
      <c r="F53" s="9" t="n">
        <v>992344</v>
      </c>
    </row>
    <row r="54">
      <c r="A54" s="8" t="inlineStr">
        <is>
          <t xml:space="preserve">    − Δ Accounts receivable</t>
        </is>
      </c>
      <c r="B54" s="9" t="n"/>
      <c r="C54" s="9" t="n">
        <v>-67931</v>
      </c>
      <c r="D54" s="9" t="n">
        <v>-79935</v>
      </c>
      <c r="E54" s="9" t="n">
        <v>-41362</v>
      </c>
      <c r="F54" s="9" t="n">
        <v>-12811</v>
      </c>
    </row>
    <row r="55">
      <c r="A55" s="8" t="inlineStr">
        <is>
          <t xml:space="preserve">    − Δ Inventories</t>
        </is>
      </c>
      <c r="B55" s="9" t="n"/>
      <c r="C55" s="9" t="n">
        <v>-553</v>
      </c>
      <c r="D55" s="9" t="n">
        <v>-6331</v>
      </c>
      <c r="E55" s="9" t="n">
        <v>-5316</v>
      </c>
      <c r="F55" s="9" t="n">
        <v>-2282</v>
      </c>
    </row>
    <row r="56">
      <c r="A56" s="8" t="inlineStr">
        <is>
          <t xml:space="preserve">    − Δ Prepaid expenses</t>
        </is>
      </c>
      <c r="B56" s="9" t="n"/>
      <c r="C56" s="9" t="n">
        <v>-14309</v>
      </c>
      <c r="D56" s="9" t="n">
        <v>-4468</v>
      </c>
      <c r="E56" s="9" t="n">
        <v>-17244</v>
      </c>
      <c r="F56" s="9" t="n">
        <v>-13086</v>
      </c>
    </row>
    <row r="57">
      <c r="A57" s="8" t="inlineStr">
        <is>
          <t xml:space="preserve">    + Δ Accounts payable</t>
        </is>
      </c>
      <c r="B57" s="9" t="n"/>
      <c r="C57" s="9" t="n">
        <v>701928</v>
      </c>
      <c r="D57" s="9" t="n">
        <v>-599371</v>
      </c>
      <c r="E57" s="9" t="n">
        <v>-26694</v>
      </c>
      <c r="F57" s="9" t="n">
        <v>768400</v>
      </c>
    </row>
    <row r="58">
      <c r="A58" s="10" t="inlineStr">
        <is>
          <t xml:space="preserve">    Operating cash flow proxy</t>
        </is>
      </c>
      <c r="B58" s="11" t="n"/>
      <c r="C58" s="11" t="n">
        <v>6426585</v>
      </c>
      <c r="D58" s="11" t="n">
        <v>1885644</v>
      </c>
      <c r="E58" s="11" t="n">
        <v>2393986</v>
      </c>
      <c r="F58" s="11" t="n">
        <v>3653194</v>
      </c>
    </row>
    <row r="60">
      <c r="A60" s="6" t="inlineStr">
        <is>
          <t>Investing</t>
        </is>
      </c>
      <c r="B60" s="7" t="n"/>
      <c r="C60" s="7" t="n"/>
      <c r="D60" s="7" t="n"/>
      <c r="E60" s="7" t="n"/>
      <c r="F60" s="7" t="n"/>
    </row>
    <row r="61">
      <c r="A61" s="8" t="inlineStr">
        <is>
          <t xml:space="preserve">    − Δ PP&amp;E gross (capex proxy)</t>
        </is>
      </c>
      <c r="B61" s="9" t="n"/>
      <c r="C61" s="9" t="n">
        <v>-756590</v>
      </c>
      <c r="D61" s="9" t="n">
        <v>-6534306</v>
      </c>
      <c r="E61" s="9" t="n">
        <v>-1525462</v>
      </c>
      <c r="F61" s="9" t="n">
        <v>-1357100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4731992</v>
      </c>
      <c r="D67" s="11" t="n">
        <v>-3555536</v>
      </c>
      <c r="E67" s="11" t="n">
        <v>1063521</v>
      </c>
      <c r="F67" s="11" t="n">
        <v>1783192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Sunny Slope Water Company</t>
        </is>
      </c>
    </row>
    <row r="2">
      <c r="A2" s="2" t="inlineStr">
        <is>
          <t>Balance Sheet - as reported (USD, end of year)</t>
        </is>
      </c>
    </row>
    <row r="3">
      <c r="A3" s="2" t="inlineStr">
        <is>
          <t>Entity ID: cawc_0033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0</v>
      </c>
      <c r="C7" s="9" t="n">
        <v>0</v>
      </c>
      <c r="D7" s="9" t="n">
        <v>0</v>
      </c>
      <c r="E7" s="9" t="n">
        <v>0</v>
      </c>
      <c r="F7" s="9" t="n">
        <v>0</v>
      </c>
    </row>
    <row r="8">
      <c r="A8" s="8" t="inlineStr">
        <is>
          <t xml:space="preserve">    Savings &amp; temporary investments</t>
        </is>
      </c>
      <c r="B8" s="9" t="n">
        <v>7362093</v>
      </c>
      <c r="C8" s="9" t="n">
        <v>12094085</v>
      </c>
      <c r="D8" s="9" t="n">
        <v>8538549</v>
      </c>
      <c r="E8" s="9" t="n">
        <v>9602070</v>
      </c>
      <c r="F8" s="9" t="n">
        <v>11385262</v>
      </c>
    </row>
    <row r="9">
      <c r="A9" s="8" t="inlineStr">
        <is>
          <t xml:space="preserve">    Accounts receivable</t>
        </is>
      </c>
      <c r="B9" s="9" t="n">
        <v>695780</v>
      </c>
      <c r="C9" s="9" t="n">
        <v>763711</v>
      </c>
      <c r="D9" s="9" t="n">
        <v>843646</v>
      </c>
      <c r="E9" s="9" t="n">
        <v>885008</v>
      </c>
      <c r="F9" s="9" t="n">
        <v>897819</v>
      </c>
    </row>
    <row r="10">
      <c r="A10" s="8" t="inlineStr">
        <is>
          <t xml:space="preserve">    Inventories</t>
        </is>
      </c>
      <c r="B10" s="9" t="n">
        <v>127331</v>
      </c>
      <c r="C10" s="9" t="n">
        <v>127884</v>
      </c>
      <c r="D10" s="9" t="n">
        <v>134215</v>
      </c>
      <c r="E10" s="9" t="n">
        <v>139531</v>
      </c>
      <c r="F10" s="9" t="n">
        <v>141813</v>
      </c>
    </row>
    <row r="11">
      <c r="A11" s="8" t="inlineStr">
        <is>
          <t xml:space="preserve">    Prepaid expenses</t>
        </is>
      </c>
      <c r="B11" s="9" t="n">
        <v>106209</v>
      </c>
      <c r="C11" s="9" t="n">
        <v>120518</v>
      </c>
      <c r="D11" s="9" t="n">
        <v>124986</v>
      </c>
      <c r="E11" s="9" t="n">
        <v>142230</v>
      </c>
      <c r="F11" s="9" t="n">
        <v>155316</v>
      </c>
    </row>
    <row r="12">
      <c r="A12" s="8" t="inlineStr">
        <is>
          <t xml:space="preserve">    Property, plant &amp; equipment (gross)</t>
        </is>
      </c>
      <c r="B12" s="9" t="n">
        <v>23777034</v>
      </c>
      <c r="C12" s="9" t="n">
        <v>24533624</v>
      </c>
      <c r="D12" s="9" t="n">
        <v>31067930</v>
      </c>
      <c r="E12" s="9" t="n">
        <v>32593392</v>
      </c>
      <c r="F12" s="9" t="n">
        <v>33950492</v>
      </c>
    </row>
    <row r="13">
      <c r="A13" s="8" t="inlineStr">
        <is>
          <t xml:space="preserve">    Less: accumulated depreciation</t>
        </is>
      </c>
      <c r="B13" s="9" t="n">
        <v>-9485897</v>
      </c>
      <c r="C13" s="9" t="n">
        <v>-10297490</v>
      </c>
      <c r="D13" s="9" t="n">
        <v>-11133000</v>
      </c>
      <c r="E13" s="9" t="n">
        <v>-12119593</v>
      </c>
      <c r="F13" s="9" t="n">
        <v>-13106997</v>
      </c>
    </row>
    <row r="14">
      <c r="A14" s="10" t="inlineStr">
        <is>
          <t xml:space="preserve">    Net property, plant &amp; equipment</t>
        </is>
      </c>
      <c r="B14" s="11" t="n">
        <v>14291137</v>
      </c>
      <c r="C14" s="11" t="n">
        <v>14236134</v>
      </c>
      <c r="D14" s="11" t="n">
        <v>19934930</v>
      </c>
      <c r="E14" s="11" t="n">
        <v>20473799</v>
      </c>
      <c r="F14" s="11" t="n">
        <v>20843495</v>
      </c>
    </row>
    <row r="15">
      <c r="A15" s="10" t="inlineStr">
        <is>
          <t>Total assets</t>
        </is>
      </c>
      <c r="B15" s="11" t="n">
        <v>25694945</v>
      </c>
      <c r="C15" s="11" t="n">
        <v>31584980</v>
      </c>
      <c r="D15" s="11" t="n">
        <v>32249066</v>
      </c>
      <c r="E15" s="11" t="n">
        <v>33745190</v>
      </c>
      <c r="F15" s="11" t="n">
        <v>35866460</v>
      </c>
    </row>
    <row r="17">
      <c r="A17" s="6" t="inlineStr">
        <is>
          <t>Liabilities</t>
        </is>
      </c>
      <c r="B17" s="7" t="n"/>
      <c r="C17" s="7" t="n"/>
      <c r="D17" s="7" t="n"/>
      <c r="E17" s="7" t="n"/>
      <c r="F17" s="7" t="n"/>
    </row>
    <row r="18">
      <c r="A18" s="8" t="inlineStr">
        <is>
          <t xml:space="preserve">    Accounts payable</t>
        </is>
      </c>
      <c r="B18" s="9" t="n">
        <v>546240</v>
      </c>
      <c r="C18" s="9" t="n">
        <v>1248168</v>
      </c>
      <c r="D18" s="9" t="n">
        <v>648797</v>
      </c>
      <c r="E18" s="9" t="n">
        <v>622103</v>
      </c>
      <c r="F18" s="9" t="n">
        <v>1390503</v>
      </c>
    </row>
    <row r="19">
      <c r="A19" s="8" t="inlineStr">
        <is>
          <t xml:space="preserve">    Mortgages &amp; notes payable</t>
        </is>
      </c>
      <c r="B19" s="9" t="n"/>
      <c r="C19" s="9" t="n"/>
      <c r="D19" s="9" t="n"/>
      <c r="E19" s="9" t="n"/>
      <c r="F19" s="9" t="n"/>
    </row>
    <row r="20">
      <c r="A20" s="10" t="inlineStr">
        <is>
          <t>Total liabilities</t>
        </is>
      </c>
      <c r="B20" s="11" t="n">
        <v>755923</v>
      </c>
      <c r="C20" s="11" t="n">
        <v>1482563</v>
      </c>
      <c r="D20" s="11" t="n">
        <v>2271389</v>
      </c>
      <c r="E20" s="11" t="n">
        <v>1772893</v>
      </c>
      <c r="F20" s="11" t="n">
        <v>1627427</v>
      </c>
    </row>
    <row r="22">
      <c r="A22" s="6" t="inlineStr">
        <is>
          <t>Net Assets / Equity</t>
        </is>
      </c>
      <c r="B22" s="7" t="n"/>
      <c r="C22" s="7" t="n"/>
      <c r="D22" s="7" t="n"/>
      <c r="E22" s="7" t="n"/>
      <c r="F22" s="7" t="n"/>
    </row>
    <row r="23">
      <c r="A23" s="8" t="inlineStr">
        <is>
          <t xml:space="preserve">    Capital stock</t>
        </is>
      </c>
      <c r="B23" s="9" t="n">
        <v>130000</v>
      </c>
      <c r="C23" s="9" t="n">
        <v>130000</v>
      </c>
      <c r="D23" s="9" t="n">
        <v>130000</v>
      </c>
      <c r="E23" s="9" t="n">
        <v>130000</v>
      </c>
      <c r="F23" s="9" t="n">
        <v>130000</v>
      </c>
    </row>
    <row r="24">
      <c r="A24" s="8" t="inlineStr">
        <is>
          <t xml:space="preserve">    Paid-in capital</t>
        </is>
      </c>
      <c r="B24" s="9" t="n"/>
      <c r="C24" s="9" t="n"/>
      <c r="D24" s="9" t="n"/>
      <c r="E24" s="9" t="n"/>
      <c r="F24" s="9" t="n"/>
    </row>
    <row r="25">
      <c r="A25" s="8" t="inlineStr">
        <is>
          <t xml:space="preserve">    Retained earnings</t>
        </is>
      </c>
      <c r="B25" s="9" t="n">
        <v>24809022</v>
      </c>
      <c r="C25" s="9" t="n">
        <v>29972417</v>
      </c>
      <c r="D25" s="9" t="n">
        <v>29847677</v>
      </c>
      <c r="E25" s="9" t="n">
        <v>31842297</v>
      </c>
      <c r="F25" s="9" t="n">
        <v>34109033</v>
      </c>
    </row>
    <row r="26">
      <c r="A26" s="10" t="inlineStr">
        <is>
          <t>Net assets</t>
        </is>
      </c>
      <c r="B26" s="11" t="n">
        <v>24939022</v>
      </c>
      <c r="C26" s="11" t="n">
        <v>30102417</v>
      </c>
      <c r="D26" s="11" t="n">
        <v>29977677</v>
      </c>
      <c r="E26" s="11" t="n">
        <v>31972297</v>
      </c>
      <c r="F26" s="11" t="n">
        <v>34239033</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Sunny Slope Water Company</t>
        </is>
      </c>
    </row>
    <row r="2">
      <c r="A2" s="2" t="inlineStr">
        <is>
          <t>Officers, Directors &amp; Contractors - Form 990 Part VII (FY2024; USD)</t>
        </is>
      </c>
    </row>
    <row r="3">
      <c r="A3" s="2" t="inlineStr">
        <is>
          <t>Entity ID: cawc_0033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KENNETH TCHENG</t>
        </is>
      </c>
      <c r="B7" s="18" t="inlineStr">
        <is>
          <t>GENERAL MANEGER</t>
        </is>
      </c>
      <c r="C7" s="19" t="n">
        <v>255922</v>
      </c>
      <c r="D7" s="19" t="n">
        <v>0</v>
      </c>
      <c r="E7" s="19" t="n">
        <v>15473</v>
      </c>
      <c r="F7" s="19" t="n">
        <v>271395</v>
      </c>
    </row>
    <row r="8">
      <c r="A8" s="18" t="inlineStr">
        <is>
          <t>TROY HOLLAND</t>
        </is>
      </c>
      <c r="B8" s="18" t="inlineStr">
        <is>
          <t>SUPERINTENDENT</t>
        </is>
      </c>
      <c r="C8" s="19" t="n">
        <v>130809</v>
      </c>
      <c r="D8" s="19" t="n">
        <v>0</v>
      </c>
      <c r="E8" s="19" t="n">
        <v>0</v>
      </c>
      <c r="F8" s="19" t="n">
        <v>130809</v>
      </c>
    </row>
    <row r="9">
      <c r="A9" s="8" t="inlineStr">
        <is>
          <t>JOHN L SHAW</t>
        </is>
      </c>
      <c r="B9" s="8" t="inlineStr">
        <is>
          <t>Treasurer</t>
        </is>
      </c>
      <c r="C9" s="9" t="n">
        <v>15000</v>
      </c>
      <c r="D9" s="9" t="n">
        <v>0</v>
      </c>
      <c r="E9" s="9" t="n">
        <v>0</v>
      </c>
      <c r="F9" s="9" t="n">
        <v>15000</v>
      </c>
    </row>
    <row r="10">
      <c r="A10" s="8" t="inlineStr">
        <is>
          <t>PETER C JEONG</t>
        </is>
      </c>
      <c r="B10" s="8" t="inlineStr">
        <is>
          <t>Secretary</t>
        </is>
      </c>
      <c r="C10" s="9" t="n">
        <v>10900</v>
      </c>
      <c r="D10" s="9" t="n">
        <v>0</v>
      </c>
      <c r="E10" s="9" t="n">
        <v>0</v>
      </c>
      <c r="F10" s="9" t="n">
        <v>10900</v>
      </c>
    </row>
    <row r="11">
      <c r="A11" s="8" t="inlineStr">
        <is>
          <t>LAP T NG</t>
        </is>
      </c>
      <c r="B11" s="8" t="inlineStr">
        <is>
          <t>President</t>
        </is>
      </c>
      <c r="C11" s="9" t="n">
        <v>10300</v>
      </c>
      <c r="D11" s="9" t="n">
        <v>0</v>
      </c>
      <c r="E11" s="9" t="n">
        <v>0</v>
      </c>
      <c r="F11" s="9" t="n">
        <v>10300</v>
      </c>
    </row>
    <row r="12">
      <c r="A12" s="8" t="inlineStr">
        <is>
          <t>STEVEN R SEILER</t>
        </is>
      </c>
      <c r="B12" s="8" t="inlineStr">
        <is>
          <t>Director</t>
        </is>
      </c>
      <c r="C12" s="9" t="n">
        <v>10000</v>
      </c>
      <c r="D12" s="9" t="n">
        <v>0</v>
      </c>
      <c r="E12" s="9" t="n">
        <v>0</v>
      </c>
      <c r="F12" s="9" t="n">
        <v>10000</v>
      </c>
    </row>
    <row r="13">
      <c r="A13" s="8" t="inlineStr">
        <is>
          <t>MARK J SEDLACEK</t>
        </is>
      </c>
      <c r="B13" s="8" t="inlineStr">
        <is>
          <t>Vice President</t>
        </is>
      </c>
      <c r="C13" s="9" t="n">
        <v>4800</v>
      </c>
      <c r="D13" s="9" t="n">
        <v>0</v>
      </c>
      <c r="E13" s="9" t="n">
        <v>0</v>
      </c>
      <c r="F13" s="9" t="n">
        <v>4800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Sunny Slope Water Company</t>
        </is>
      </c>
    </row>
    <row r="2">
      <c r="A2" s="2" t="inlineStr">
        <is>
          <t>Revenue - Form 990 Part VIII (USD)</t>
        </is>
      </c>
    </row>
    <row r="3">
      <c r="A3" s="2" t="inlineStr">
        <is>
          <t>Entity ID: cawc_0033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202282</v>
      </c>
      <c r="C7" s="9" t="n">
        <v>144155</v>
      </c>
      <c r="D7" s="9" t="n">
        <v>421156</v>
      </c>
      <c r="E7" s="9" t="n">
        <v>181193</v>
      </c>
      <c r="F7" s="9" t="n">
        <v>244864</v>
      </c>
    </row>
    <row r="8">
      <c r="A8" s="8" t="inlineStr">
        <is>
          <t xml:space="preserve">    2g. Total program service revenue</t>
        </is>
      </c>
      <c r="B8" s="9" t="n">
        <v>5572638</v>
      </c>
      <c r="C8" s="9" t="n">
        <v>6055746</v>
      </c>
      <c r="D8" s="9" t="n">
        <v>6044091</v>
      </c>
      <c r="E8" s="9" t="n">
        <v>6034077</v>
      </c>
      <c r="F8" s="9" t="n">
        <v>6503705</v>
      </c>
    </row>
    <row r="9">
      <c r="A9" s="8" t="inlineStr">
        <is>
          <t xml:space="preserve">    3. Investment income</t>
        </is>
      </c>
      <c r="B9" s="9" t="n">
        <v>150813</v>
      </c>
      <c r="C9" s="9" t="n">
        <v>277195</v>
      </c>
      <c r="D9" s="9" t="n">
        <v>322028</v>
      </c>
      <c r="E9" s="9" t="n">
        <v>349489</v>
      </c>
      <c r="F9" s="9" t="n">
        <v>356537</v>
      </c>
    </row>
    <row r="10">
      <c r="A10" s="8" t="inlineStr">
        <is>
          <t xml:space="preserve">    6d. Net rental income</t>
        </is>
      </c>
      <c r="B10" s="9" t="n">
        <v>25169</v>
      </c>
      <c r="C10" s="9" t="n">
        <v>21050</v>
      </c>
      <c r="D10" s="9" t="n">
        <v>22390</v>
      </c>
      <c r="E10" s="9" t="n">
        <v>20713</v>
      </c>
      <c r="F10" s="9" t="n">
        <v>12524</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3614268</v>
      </c>
      <c r="D12" s="9" t="n">
        <v>1440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COMMERCIAL RATE NON STCK</t>
        </is>
      </c>
      <c r="B17" s="8" t="inlineStr">
        <is>
          <t>221000</t>
        </is>
      </c>
      <c r="C17" s="9" t="n">
        <v>648436</v>
      </c>
    </row>
    <row r="18">
      <c r="A18" s="8" t="inlineStr">
        <is>
          <t>MINIMUM RATE</t>
        </is>
      </c>
      <c r="B18" s="8" t="inlineStr">
        <is>
          <t>221000</t>
        </is>
      </c>
      <c r="C18" s="9" t="n">
        <v>2026073</v>
      </c>
    </row>
    <row r="19">
      <c r="A19" s="8" t="inlineStr">
        <is>
          <t>RESIDENTIAL - NON STOCK</t>
        </is>
      </c>
      <c r="B19" s="8" t="inlineStr">
        <is>
          <t>221000</t>
        </is>
      </c>
      <c r="C19" s="9" t="n">
        <v>1527130</v>
      </c>
    </row>
    <row r="20">
      <c r="A20" s="8" t="inlineStr">
        <is>
          <t>RESIDENTIAL - STOCK</t>
        </is>
      </c>
      <c r="B20" s="8" t="inlineStr">
        <is>
          <t>221000</t>
        </is>
      </c>
      <c r="C20" s="9" t="n">
        <v>1375222</v>
      </c>
    </row>
    <row r="21">
      <c r="A21" s="8" t="inlineStr">
        <is>
          <t>SPECIAL SURCHARGE</t>
        </is>
      </c>
      <c r="B21" s="8" t="inlineStr">
        <is>
          <t>221000</t>
        </is>
      </c>
      <c r="C21" s="9" t="n">
        <v>458699</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2:F2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Sunny Slope Water Company</t>
        </is>
      </c>
    </row>
    <row r="2">
      <c r="A2" s="2" t="inlineStr">
        <is>
          <t>Statement of Functional Expenses - Form 990 Part IX (USD)</t>
        </is>
      </c>
    </row>
    <row r="3">
      <c r="A3" s="2" t="inlineStr">
        <is>
          <t>Entity ID: cawc_0033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380702</v>
      </c>
      <c r="C11" s="9" t="n">
        <v>371733</v>
      </c>
      <c r="D11" s="9" t="n">
        <v>393211</v>
      </c>
      <c r="E11" s="9" t="n">
        <v>408170</v>
      </c>
      <c r="F11" s="9" t="n">
        <v>306922</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767871</v>
      </c>
      <c r="C13" s="9" t="n">
        <v>776422</v>
      </c>
      <c r="D13" s="9" t="n">
        <v>628128</v>
      </c>
      <c r="E13" s="9" t="n">
        <v>589908</v>
      </c>
      <c r="F13" s="9" t="n">
        <v>731922</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241833</v>
      </c>
      <c r="C15" s="9" t="n">
        <v>241146</v>
      </c>
      <c r="D15" s="9" t="n">
        <v>221564</v>
      </c>
      <c r="E15" s="9" t="n">
        <v>208301</v>
      </c>
      <c r="F15" s="9" t="n">
        <v>220866</v>
      </c>
    </row>
    <row r="16">
      <c r="A16" s="8" t="inlineStr">
        <is>
          <t xml:space="preserve">    10. Payroll taxes</t>
        </is>
      </c>
      <c r="B16" s="9" t="n">
        <v>89183</v>
      </c>
      <c r="C16" s="9" t="n">
        <v>90046</v>
      </c>
      <c r="D16" s="9" t="n">
        <v>92332</v>
      </c>
      <c r="E16" s="9" t="n">
        <v>89135</v>
      </c>
      <c r="F16" s="9" t="n">
        <v>89471</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15020</v>
      </c>
      <c r="C18" s="9" t="n">
        <v>25225</v>
      </c>
      <c r="D18" s="9" t="n">
        <v>15075</v>
      </c>
      <c r="E18" s="9" t="n">
        <v>15000</v>
      </c>
      <c r="F18" s="9" t="n">
        <v>15000</v>
      </c>
    </row>
    <row r="19">
      <c r="A19" s="8" t="inlineStr">
        <is>
          <t xml:space="preserve">    11c. Fees for services: accounting</t>
        </is>
      </c>
      <c r="B19" s="9" t="n">
        <v>25600</v>
      </c>
      <c r="C19" s="9" t="n">
        <v>16500</v>
      </c>
      <c r="D19" s="9" t="n">
        <v>16500</v>
      </c>
      <c r="E19" s="9" t="n">
        <v>18579</v>
      </c>
      <c r="F19" s="9" t="n">
        <v>18325</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42555</v>
      </c>
      <c r="D23" s="9" t="n">
        <v>63068</v>
      </c>
      <c r="E23" s="9" t="n">
        <v>109916</v>
      </c>
      <c r="F23" s="9" t="n">
        <v>39063</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0</v>
      </c>
      <c r="C25" s="9" t="n">
        <v>0</v>
      </c>
      <c r="D25" s="9" t="n">
        <v>0</v>
      </c>
      <c r="E25" s="9" t="n">
        <v>0</v>
      </c>
      <c r="F25" s="9" t="n">
        <v>0</v>
      </c>
    </row>
    <row r="26">
      <c r="A26" s="8" t="inlineStr">
        <is>
          <t xml:space="preserve">    14. Information technology</t>
        </is>
      </c>
      <c r="B26" s="9" t="n">
        <v>81015</v>
      </c>
      <c r="C26" s="9" t="n">
        <v>86673</v>
      </c>
      <c r="D26" s="9" t="n">
        <v>68677</v>
      </c>
      <c r="E26" s="9" t="n">
        <v>67536</v>
      </c>
      <c r="F26" s="9" t="n">
        <v>77907</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2455</v>
      </c>
      <c r="C29" s="9" t="n">
        <v>6861</v>
      </c>
      <c r="D29" s="9" t="n">
        <v>1605</v>
      </c>
      <c r="E29" s="9" t="n">
        <v>5175</v>
      </c>
      <c r="F29" s="9" t="n">
        <v>4347</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19871</v>
      </c>
      <c r="E32" s="9" t="n">
        <v>90575</v>
      </c>
      <c r="F32" s="9" t="n">
        <v>52204</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814040</v>
      </c>
      <c r="C34" s="9" t="n">
        <v>811593</v>
      </c>
      <c r="D34" s="9" t="n">
        <v>881236</v>
      </c>
      <c r="E34" s="9" t="n">
        <v>994003</v>
      </c>
      <c r="F34" s="9" t="n">
        <v>992344</v>
      </c>
    </row>
    <row r="35">
      <c r="A35" s="8" t="inlineStr">
        <is>
          <t xml:space="preserve">    23. Insurance</t>
        </is>
      </c>
      <c r="B35" s="9" t="n">
        <v>78899</v>
      </c>
      <c r="C35" s="9" t="n">
        <v>86728</v>
      </c>
      <c r="D35" s="9" t="n">
        <v>92217</v>
      </c>
      <c r="E35" s="9" t="n">
        <v>100023</v>
      </c>
      <c r="F35" s="9" t="n">
        <v>111389</v>
      </c>
    </row>
    <row r="36">
      <c r="A36" s="8" t="inlineStr">
        <is>
          <t xml:space="preserve">    24. SOURCE OF SUPPLY</t>
        </is>
      </c>
      <c r="B36" s="9" t="n">
        <v>1064200</v>
      </c>
      <c r="C36" s="9" t="n">
        <v>1263581</v>
      </c>
      <c r="D36" s="9" t="n">
        <v>961309</v>
      </c>
      <c r="E36" s="9" t="n">
        <v>607523</v>
      </c>
      <c r="F36" s="9" t="n">
        <v>705572</v>
      </c>
    </row>
    <row r="37">
      <c r="A37" s="8" t="inlineStr">
        <is>
          <t xml:space="preserve">    24. PURCHASED POWER</t>
        </is>
      </c>
      <c r="B37" s="9" t="n">
        <v>480322</v>
      </c>
      <c r="C37" s="9" t="n">
        <v>555812</v>
      </c>
      <c r="D37" s="14" t="inlineStr">
        <is>
          <t>not reported</t>
        </is>
      </c>
      <c r="E37" s="14" t="inlineStr">
        <is>
          <t>not reported</t>
        </is>
      </c>
      <c r="F37" s="14" t="inlineStr">
        <is>
          <t>not reported</t>
        </is>
      </c>
    </row>
    <row r="38">
      <c r="A38" s="8" t="inlineStr">
        <is>
          <t xml:space="preserve">    24. MATERIALS AND SERVICES</t>
        </is>
      </c>
      <c r="B38" s="9" t="n">
        <v>376708</v>
      </c>
      <c r="C38" s="9" t="n">
        <v>377642</v>
      </c>
      <c r="D38" s="14" t="inlineStr">
        <is>
          <t>not reported</t>
        </is>
      </c>
      <c r="E38" s="14" t="inlineStr">
        <is>
          <t>not reported</t>
        </is>
      </c>
      <c r="F38" s="9" t="n">
        <v>179659</v>
      </c>
    </row>
    <row r="39">
      <c r="A39" s="8" t="inlineStr">
        <is>
          <t xml:space="preserve">    24. REPAIRS AND MAINTENANCE</t>
        </is>
      </c>
      <c r="B39" s="9" t="n">
        <v>92733</v>
      </c>
      <c r="C39" s="9" t="n">
        <v>73098</v>
      </c>
      <c r="D39" s="14" t="inlineStr">
        <is>
          <t>not reported</t>
        </is>
      </c>
      <c r="E39" s="14" t="inlineStr">
        <is>
          <t>not reported</t>
        </is>
      </c>
      <c r="F39" s="14" t="inlineStr">
        <is>
          <t>not reported</t>
        </is>
      </c>
    </row>
    <row r="40">
      <c r="A40" s="8" t="inlineStr">
        <is>
          <t xml:space="preserve">    24. PUMPING AND POWER</t>
        </is>
      </c>
      <c r="B40" s="14" t="inlineStr">
        <is>
          <t>not reported</t>
        </is>
      </c>
      <c r="C40" s="14" t="inlineStr">
        <is>
          <t>not reported</t>
        </is>
      </c>
      <c r="D40" s="9" t="n">
        <v>641005</v>
      </c>
      <c r="E40" s="9" t="n">
        <v>682755</v>
      </c>
      <c r="F40" s="9" t="n">
        <v>800925</v>
      </c>
    </row>
    <row r="41">
      <c r="A41" s="8" t="inlineStr">
        <is>
          <t xml:space="preserve">    24. TRANSMISSION AND DISTRIBUTION</t>
        </is>
      </c>
      <c r="B41" s="14" t="inlineStr">
        <is>
          <t>not reported</t>
        </is>
      </c>
      <c r="C41" s="14" t="inlineStr">
        <is>
          <t>not reported</t>
        </is>
      </c>
      <c r="D41" s="9" t="n">
        <v>402082</v>
      </c>
      <c r="E41" s="9" t="n">
        <v>502413</v>
      </c>
      <c r="F41" s="9" t="n">
        <v>423199</v>
      </c>
    </row>
    <row r="42">
      <c r="A42" s="8" t="inlineStr">
        <is>
          <t xml:space="preserve">    24. PURIFICATION</t>
        </is>
      </c>
      <c r="B42" s="14" t="inlineStr">
        <is>
          <t>not reported</t>
        </is>
      </c>
      <c r="C42" s="14" t="inlineStr">
        <is>
          <t>not reported</t>
        </is>
      </c>
      <c r="D42" s="9" t="n">
        <v>220203</v>
      </c>
      <c r="E42" s="9" t="n">
        <v>206395</v>
      </c>
      <c r="F42" s="14" t="inlineStr">
        <is>
          <t>not reported</t>
        </is>
      </c>
    </row>
    <row r="43">
      <c r="A43" s="8" t="inlineStr">
        <is>
          <t xml:space="preserve">    24e. All other expenses</t>
        </is>
      </c>
      <c r="B43" s="9" t="n">
        <v>239319</v>
      </c>
      <c r="C43" s="9" t="n">
        <v>290942</v>
      </c>
      <c r="D43" s="9" t="n">
        <v>398509</v>
      </c>
      <c r="E43" s="9" t="n">
        <v>399466</v>
      </c>
      <c r="F43" s="9" t="n">
        <v>427886</v>
      </c>
    </row>
    <row r="44">
      <c r="A44" s="10" t="inlineStr">
        <is>
          <t>25. Total functional expenses</t>
        </is>
      </c>
      <c r="B44" s="11">
        <f>SUM(B7:B43)</f>
        <v/>
      </c>
      <c r="C44" s="11">
        <f>SUM(C7:C43)</f>
        <v/>
      </c>
      <c r="D44" s="11">
        <f>SUM(D7:D43)</f>
        <v/>
      </c>
      <c r="E44" s="11">
        <f>SUM(E7:E43)</f>
        <v/>
      </c>
      <c r="F44" s="11">
        <f>SUM(F7:F43)</f>
        <v/>
      </c>
    </row>
    <row r="46">
      <c r="A46" s="6" t="inlineStr">
        <is>
          <t>Functional column split - FY2024 (col A = B + C + D)</t>
        </is>
      </c>
      <c r="B46" s="7" t="n"/>
      <c r="C46" s="7" t="n"/>
      <c r="D46" s="7" t="n"/>
      <c r="E46" s="7" t="n"/>
      <c r="F46" s="7" t="n"/>
    </row>
    <row r="47">
      <c r="A47" s="5" t="inlineStr">
        <is>
          <t>Part IX line</t>
        </is>
      </c>
      <c r="B47" s="5" t="inlineStr">
        <is>
          <t>A. Total</t>
        </is>
      </c>
      <c r="C47" s="5" t="inlineStr">
        <is>
          <t>B. Program services</t>
        </is>
      </c>
      <c r="D47" s="5" t="inlineStr">
        <is>
          <t>C. Management &amp; general</t>
        </is>
      </c>
      <c r="E47" s="5" t="inlineStr">
        <is>
          <t>D. Fundraising</t>
        </is>
      </c>
    </row>
    <row r="48">
      <c r="A48" s="20" t="inlineStr">
        <is>
          <t>1. Grants to domestic organizations and governments</t>
        </is>
      </c>
      <c r="B48" s="9" t="n">
        <v>0</v>
      </c>
      <c r="C48" s="9" t="n"/>
      <c r="D48" s="9" t="n"/>
      <c r="E48" s="9" t="n"/>
    </row>
    <row r="49">
      <c r="A49" s="20" t="inlineStr">
        <is>
          <t>2. Grants to domestic individuals</t>
        </is>
      </c>
      <c r="B49" s="9" t="n">
        <v>0</v>
      </c>
      <c r="C49" s="9" t="n"/>
      <c r="D49" s="9" t="n"/>
      <c r="E49" s="9" t="n"/>
    </row>
    <row r="50">
      <c r="A50" s="20" t="inlineStr">
        <is>
          <t>3. Grants to foreign organizations and individuals</t>
        </is>
      </c>
      <c r="B50" s="9" t="n">
        <v>0</v>
      </c>
      <c r="C50" s="9" t="n"/>
      <c r="D50" s="9" t="n"/>
      <c r="E50" s="9" t="n"/>
    </row>
    <row r="51">
      <c r="A51" s="20" t="inlineStr">
        <is>
          <t>4. Benefits paid to or for members</t>
        </is>
      </c>
      <c r="B51" s="9" t="n">
        <v>0</v>
      </c>
      <c r="C51" s="9" t="n"/>
      <c r="D51" s="9" t="n"/>
      <c r="E51" s="9" t="n"/>
    </row>
    <row r="52">
      <c r="A52" s="20" t="inlineStr">
        <is>
          <t>5. Compensation of current officers, directors, trustees</t>
        </is>
      </c>
      <c r="B52" s="9" t="n">
        <v>306922</v>
      </c>
      <c r="C52" s="9" t="n">
        <v>306922</v>
      </c>
      <c r="D52" s="9" t="n"/>
      <c r="E52" s="9" t="n"/>
    </row>
    <row r="53">
      <c r="A53" s="20" t="inlineStr">
        <is>
          <t>6. Compensation to disqualified persons</t>
        </is>
      </c>
      <c r="B53" s="9" t="n">
        <v>0</v>
      </c>
      <c r="C53" s="9" t="n"/>
      <c r="D53" s="9" t="n"/>
      <c r="E53" s="9" t="n"/>
    </row>
    <row r="54">
      <c r="A54" s="20" t="inlineStr">
        <is>
          <t>7. Other salaries and wages</t>
        </is>
      </c>
      <c r="B54" s="9" t="n">
        <v>731922</v>
      </c>
      <c r="C54" s="9" t="n">
        <v>731922</v>
      </c>
      <c r="D54" s="9" t="n"/>
      <c r="E54" s="9" t="n"/>
    </row>
    <row r="55">
      <c r="A55" s="20" t="inlineStr">
        <is>
          <t>8. Pension plan accruals and contributions</t>
        </is>
      </c>
      <c r="B55" s="9" t="n">
        <v>0</v>
      </c>
      <c r="C55" s="9" t="n"/>
      <c r="D55" s="9" t="n"/>
      <c r="E55" s="9" t="n"/>
    </row>
    <row r="56">
      <c r="A56" s="20" t="inlineStr">
        <is>
          <t>9. Other employee benefits</t>
        </is>
      </c>
      <c r="B56" s="9" t="n">
        <v>220866</v>
      </c>
      <c r="C56" s="9" t="n">
        <v>220866</v>
      </c>
      <c r="D56" s="9" t="n"/>
      <c r="E56" s="9" t="n"/>
    </row>
    <row r="57">
      <c r="A57" s="20" t="inlineStr">
        <is>
          <t>10. Payroll taxes</t>
        </is>
      </c>
      <c r="B57" s="9" t="n">
        <v>89471</v>
      </c>
      <c r="C57" s="9" t="n">
        <v>89471</v>
      </c>
      <c r="D57" s="9" t="n"/>
      <c r="E57" s="9" t="n"/>
    </row>
    <row r="58">
      <c r="A58" s="20" t="inlineStr">
        <is>
          <t>11a. Fees for services: management</t>
        </is>
      </c>
      <c r="B58" s="9" t="n">
        <v>0</v>
      </c>
      <c r="C58" s="9" t="n"/>
      <c r="D58" s="9" t="n"/>
      <c r="E58" s="9" t="n"/>
    </row>
    <row r="59">
      <c r="A59" s="20" t="inlineStr">
        <is>
          <t>11b. Fees for services: legal</t>
        </is>
      </c>
      <c r="B59" s="9" t="n">
        <v>15000</v>
      </c>
      <c r="C59" s="9" t="n">
        <v>15000</v>
      </c>
      <c r="D59" s="9" t="n"/>
      <c r="E59" s="9" t="n"/>
    </row>
    <row r="60">
      <c r="A60" s="20" t="inlineStr">
        <is>
          <t>11c. Fees for services: accounting</t>
        </is>
      </c>
      <c r="B60" s="9" t="n">
        <v>18325</v>
      </c>
      <c r="C60" s="9" t="n">
        <v>18325</v>
      </c>
      <c r="D60" s="9" t="n"/>
      <c r="E60" s="9" t="n"/>
    </row>
    <row r="61">
      <c r="A61" s="20" t="inlineStr">
        <is>
          <t>11d. Fees for services: lobbying</t>
        </is>
      </c>
      <c r="B61" s="9" t="n">
        <v>0</v>
      </c>
      <c r="C61" s="9" t="n"/>
      <c r="D61" s="9" t="n"/>
      <c r="E61" s="9" t="n"/>
    </row>
    <row r="62">
      <c r="A62" s="20" t="inlineStr">
        <is>
          <t>11e. Fees for services: professional fundraising</t>
        </is>
      </c>
      <c r="B62" s="9" t="n">
        <v>0</v>
      </c>
      <c r="C62" s="9" t="n"/>
      <c r="D62" s="9" t="n"/>
      <c r="E62" s="9" t="n"/>
    </row>
    <row r="63">
      <c r="A63" s="20" t="inlineStr">
        <is>
          <t>11f. Fees for services: investment management</t>
        </is>
      </c>
      <c r="B63" s="9" t="n">
        <v>0</v>
      </c>
      <c r="C63" s="9" t="n"/>
      <c r="D63" s="9" t="n"/>
      <c r="E63" s="9" t="n"/>
    </row>
    <row r="64">
      <c r="A64" s="20" t="inlineStr">
        <is>
          <t>11g. Fees for services: other</t>
        </is>
      </c>
      <c r="B64" s="9" t="n">
        <v>39063</v>
      </c>
      <c r="C64" s="9" t="n">
        <v>39063</v>
      </c>
      <c r="D64" s="9" t="n"/>
      <c r="E64" s="9" t="n"/>
    </row>
    <row r="65">
      <c r="A65" s="20" t="inlineStr">
        <is>
          <t>12. Advertising and promotion</t>
        </is>
      </c>
      <c r="B65" s="9" t="n">
        <v>0</v>
      </c>
      <c r="C65" s="9" t="n"/>
      <c r="D65" s="9" t="n"/>
      <c r="E65" s="9" t="n"/>
    </row>
    <row r="66">
      <c r="A66" s="20" t="inlineStr">
        <is>
          <t>13. Office expenses</t>
        </is>
      </c>
      <c r="B66" s="9" t="n">
        <v>0</v>
      </c>
      <c r="C66" s="9" t="n"/>
      <c r="D66" s="9" t="n"/>
      <c r="E66" s="9" t="n"/>
    </row>
    <row r="67">
      <c r="A67" s="20" t="inlineStr">
        <is>
          <t>14. Information technology</t>
        </is>
      </c>
      <c r="B67" s="9" t="n">
        <v>77907</v>
      </c>
      <c r="C67" s="9" t="n">
        <v>77907</v>
      </c>
      <c r="D67" s="9" t="n"/>
      <c r="E67" s="9" t="n"/>
    </row>
    <row r="68">
      <c r="A68" s="20" t="inlineStr">
        <is>
          <t>15. Royalties</t>
        </is>
      </c>
      <c r="B68" s="9" t="n">
        <v>0</v>
      </c>
      <c r="C68" s="9" t="n"/>
      <c r="D68" s="9" t="n"/>
      <c r="E68" s="9" t="n"/>
    </row>
    <row r="69">
      <c r="A69" s="20" t="inlineStr">
        <is>
          <t>16. Occupancy</t>
        </is>
      </c>
      <c r="B69" s="9" t="n">
        <v>0</v>
      </c>
      <c r="C69" s="9" t="n"/>
      <c r="D69" s="9" t="n"/>
      <c r="E69" s="9" t="n"/>
    </row>
    <row r="70">
      <c r="A70" s="20" t="inlineStr">
        <is>
          <t>17. Travel</t>
        </is>
      </c>
      <c r="B70" s="9" t="n">
        <v>4347</v>
      </c>
      <c r="C70" s="9" t="n">
        <v>4347</v>
      </c>
      <c r="D70" s="9" t="n"/>
      <c r="E70" s="9" t="n"/>
    </row>
    <row r="71">
      <c r="A71" s="20" t="inlineStr">
        <is>
          <t>18. Payments of travel/entertainment for public officials</t>
        </is>
      </c>
      <c r="B71" s="9" t="n">
        <v>0</v>
      </c>
      <c r="C71" s="9" t="n"/>
      <c r="D71" s="9" t="n"/>
      <c r="E71" s="9" t="n"/>
    </row>
    <row r="72">
      <c r="A72" s="20" t="inlineStr">
        <is>
          <t>19. Conferences, conventions, and meetings</t>
        </is>
      </c>
      <c r="B72" s="9" t="n">
        <v>0</v>
      </c>
      <c r="C72" s="9" t="n"/>
      <c r="D72" s="9" t="n"/>
      <c r="E72" s="9" t="n"/>
    </row>
    <row r="73">
      <c r="A73" s="20" t="inlineStr">
        <is>
          <t>20. Interest</t>
        </is>
      </c>
      <c r="B73" s="9" t="n">
        <v>52204</v>
      </c>
      <c r="C73" s="9" t="n">
        <v>52204</v>
      </c>
      <c r="D73" s="9" t="n"/>
      <c r="E73" s="9" t="n"/>
    </row>
    <row r="74">
      <c r="A74" s="20" t="inlineStr">
        <is>
          <t>21. Payments to affiliates</t>
        </is>
      </c>
      <c r="B74" s="9" t="n">
        <v>0</v>
      </c>
      <c r="C74" s="9" t="n"/>
      <c r="D74" s="9" t="n"/>
      <c r="E74" s="9" t="n"/>
    </row>
    <row r="75">
      <c r="A75" s="20" t="inlineStr">
        <is>
          <t>22. Depreciation, depletion, and amortization</t>
        </is>
      </c>
      <c r="B75" s="9" t="n">
        <v>992344</v>
      </c>
      <c r="C75" s="9" t="n">
        <v>992344</v>
      </c>
      <c r="D75" s="9" t="n"/>
      <c r="E75" s="9" t="n"/>
    </row>
    <row r="76">
      <c r="A76" s="20" t="inlineStr">
        <is>
          <t>23. Insurance</t>
        </is>
      </c>
      <c r="B76" s="9" t="n">
        <v>111389</v>
      </c>
      <c r="C76" s="9" t="n">
        <v>111389</v>
      </c>
      <c r="D76" s="9" t="n"/>
      <c r="E76" s="9" t="n"/>
    </row>
    <row r="77">
      <c r="A77" s="10" t="inlineStr">
        <is>
          <t>25. Total (filed col A / B / C / D)</t>
        </is>
      </c>
      <c r="B77" s="11" t="n">
        <v>5197001</v>
      </c>
      <c r="C77" s="11" t="n">
        <v>5197001</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79:F7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Sunny Slope Water Company</t>
        </is>
      </c>
    </row>
    <row r="2">
      <c r="A2" s="2" t="inlineStr">
        <is>
          <t>Balance Sheet - Form 990 Part X (end of year, USD)</t>
        </is>
      </c>
    </row>
    <row r="3">
      <c r="A3" s="2" t="inlineStr">
        <is>
          <t>Entity ID: cawc_0033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0</v>
      </c>
      <c r="C7" s="9" t="n">
        <v>0</v>
      </c>
      <c r="D7" s="9" t="n">
        <v>0</v>
      </c>
      <c r="E7" s="9" t="n">
        <v>0</v>
      </c>
      <c r="F7" s="9" t="n">
        <v>0</v>
      </c>
    </row>
    <row r="8">
      <c r="A8" s="8" t="inlineStr">
        <is>
          <t xml:space="preserve">    2. Savings and temporary cash investments</t>
        </is>
      </c>
      <c r="B8" s="9" t="n">
        <v>7362093</v>
      </c>
      <c r="C8" s="9" t="n">
        <v>12094085</v>
      </c>
      <c r="D8" s="9" t="n">
        <v>8538549</v>
      </c>
      <c r="E8" s="9" t="n">
        <v>9602070</v>
      </c>
      <c r="F8" s="9" t="n">
        <v>11385262</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695780</v>
      </c>
      <c r="C10" s="9" t="n">
        <v>763711</v>
      </c>
      <c r="D10" s="9" t="n">
        <v>843646</v>
      </c>
      <c r="E10" s="9" t="n">
        <v>885008</v>
      </c>
      <c r="F10" s="9" t="n">
        <v>897819</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127331</v>
      </c>
      <c r="C14" s="9" t="n">
        <v>127884</v>
      </c>
      <c r="D14" s="9" t="n">
        <v>134215</v>
      </c>
      <c r="E14" s="9" t="n">
        <v>139531</v>
      </c>
      <c r="F14" s="9" t="n">
        <v>141813</v>
      </c>
    </row>
    <row r="15">
      <c r="A15" s="8" t="inlineStr">
        <is>
          <t xml:space="preserve">    9. Prepaid expenses and deferred charges</t>
        </is>
      </c>
      <c r="B15" s="9" t="n">
        <v>106209</v>
      </c>
      <c r="C15" s="9" t="n">
        <v>120518</v>
      </c>
      <c r="D15" s="9" t="n">
        <v>124986</v>
      </c>
      <c r="E15" s="9" t="n">
        <v>142230</v>
      </c>
      <c r="F15" s="9" t="n">
        <v>155316</v>
      </c>
    </row>
    <row r="16">
      <c r="A16" s="8" t="inlineStr">
        <is>
          <t xml:space="preserve">    10c. Land, buildings, and equipment, net</t>
        </is>
      </c>
      <c r="B16" s="9" t="n">
        <v>14291137</v>
      </c>
      <c r="C16" s="9" t="n">
        <v>14236134</v>
      </c>
      <c r="D16" s="9" t="n">
        <v>19934930</v>
      </c>
      <c r="E16" s="9" t="n">
        <v>20473799</v>
      </c>
      <c r="F16" s="9" t="n">
        <v>20843495</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33080</v>
      </c>
      <c r="C20" s="9" t="n">
        <v>33080</v>
      </c>
      <c r="D20" s="9" t="n">
        <v>33080</v>
      </c>
      <c r="E20" s="9" t="n">
        <v>33080</v>
      </c>
      <c r="F20" s="9" t="n">
        <v>33080</v>
      </c>
    </row>
    <row r="21">
      <c r="A21" s="8" t="inlineStr">
        <is>
          <t xml:space="preserve">    15. Other assets</t>
        </is>
      </c>
      <c r="B21" s="9" t="n">
        <v>3079315</v>
      </c>
      <c r="C21" s="9" t="n">
        <v>4209568</v>
      </c>
      <c r="D21" s="9" t="n">
        <v>2639660</v>
      </c>
      <c r="E21" s="9" t="n">
        <v>2469472</v>
      </c>
      <c r="F21" s="9" t="n">
        <v>2409675</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546240</v>
      </c>
      <c r="C25" s="9" t="n">
        <v>1248168</v>
      </c>
      <c r="D25" s="9" t="n">
        <v>648797</v>
      </c>
      <c r="E25" s="9" t="n">
        <v>622103</v>
      </c>
      <c r="F25" s="9" t="n">
        <v>1390503</v>
      </c>
    </row>
    <row r="26">
      <c r="A26" s="8" t="inlineStr">
        <is>
          <t xml:space="preserve">    19. Deferred revenue</t>
        </is>
      </c>
      <c r="B26" s="9" t="n">
        <v>32472</v>
      </c>
      <c r="C26" s="9" t="n">
        <v>53184</v>
      </c>
      <c r="D26" s="9" t="n">
        <v>24762</v>
      </c>
      <c r="E26" s="9" t="n">
        <v>41456</v>
      </c>
      <c r="F26" s="9" t="n">
        <v>28924</v>
      </c>
    </row>
    <row r="27">
      <c r="A27" s="8" t="inlineStr">
        <is>
          <t xml:space="preserve">    24. Unsecured notes and loans payable</t>
        </is>
      </c>
      <c r="B27" s="14" t="inlineStr">
        <is>
          <t>not reported</t>
        </is>
      </c>
      <c r="C27" s="14" t="inlineStr">
        <is>
          <t>not reported</t>
        </is>
      </c>
      <c r="D27" s="9" t="n">
        <v>1400000</v>
      </c>
      <c r="E27" s="9" t="n">
        <v>900000</v>
      </c>
      <c r="F27" s="14" t="inlineStr">
        <is>
          <t>not reported</t>
        </is>
      </c>
    </row>
    <row r="28">
      <c r="A28" s="8" t="inlineStr">
        <is>
          <t xml:space="preserve">    25. Other liabilities</t>
        </is>
      </c>
      <c r="B28" s="9" t="n">
        <v>177211</v>
      </c>
      <c r="C28" s="9" t="n">
        <v>181211</v>
      </c>
      <c r="D28" s="9" t="n">
        <v>197830</v>
      </c>
      <c r="E28" s="9" t="n">
        <v>209334</v>
      </c>
      <c r="F28" s="9" t="n">
        <v>208000</v>
      </c>
    </row>
    <row r="29">
      <c r="A29" s="10" t="inlineStr">
        <is>
          <t>26. Total liabilities</t>
        </is>
      </c>
      <c r="B29" s="11">
        <f>SUM(B25:B28)</f>
        <v/>
      </c>
      <c r="C29" s="11">
        <f>SUM(C25:C28)</f>
        <v/>
      </c>
      <c r="D29" s="11">
        <f>SUM(D25:D28)</f>
        <v/>
      </c>
      <c r="E29" s="11">
        <f>SUM(E25:E28)</f>
        <v/>
      </c>
      <c r="F29" s="11">
        <f>SUM(F25:F28)</f>
        <v/>
      </c>
    </row>
    <row r="31">
      <c r="A31" s="6" t="inlineStr">
        <is>
          <t>Net assets / fund balances</t>
        </is>
      </c>
      <c r="B31" s="7" t="n"/>
      <c r="C31" s="7" t="n"/>
      <c r="D31" s="7" t="n"/>
      <c r="E31" s="7" t="n"/>
      <c r="F31" s="7" t="n"/>
    </row>
    <row r="32">
      <c r="A32" s="8" t="inlineStr">
        <is>
          <t xml:space="preserve">    29. Capital stock or trust principal</t>
        </is>
      </c>
      <c r="B32" s="9" t="n">
        <v>130000</v>
      </c>
      <c r="C32" s="9" t="n">
        <v>130000</v>
      </c>
      <c r="D32" s="9" t="n">
        <v>130000</v>
      </c>
      <c r="E32" s="9" t="n">
        <v>130000</v>
      </c>
      <c r="F32" s="9" t="n">
        <v>130000</v>
      </c>
    </row>
    <row r="33">
      <c r="A33" s="8" t="inlineStr">
        <is>
          <t xml:space="preserve">    31. Retained earnings / accumulated funds</t>
        </is>
      </c>
      <c r="B33" s="9" t="n">
        <v>24809022</v>
      </c>
      <c r="C33" s="9" t="n">
        <v>29972417</v>
      </c>
      <c r="D33" s="9" t="n">
        <v>29847677</v>
      </c>
      <c r="E33" s="9" t="n">
        <v>31842297</v>
      </c>
      <c r="F33" s="9" t="n">
        <v>34109033</v>
      </c>
    </row>
    <row r="34">
      <c r="A34" s="10" t="inlineStr">
        <is>
          <t>32. Total net assets / fund balances</t>
        </is>
      </c>
      <c r="B34" s="11">
        <f>SUM(B32:B33)</f>
        <v/>
      </c>
      <c r="C34" s="11">
        <f>SUM(C32:C33)</f>
        <v/>
      </c>
      <c r="D34" s="11">
        <f>SUM(D32:D33)</f>
        <v/>
      </c>
      <c r="E34" s="11">
        <f>SUM(E32:E33)</f>
        <v/>
      </c>
      <c r="F34" s="11">
        <f>SUM(F32:F33)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6:F3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Sunny Slope Water Company</t>
        </is>
      </c>
    </row>
    <row r="2">
      <c r="A2" s="2" t="inlineStr">
        <is>
          <t>Reconciliation of Net Assets - Form 990 Part XI (USD)</t>
        </is>
      </c>
    </row>
    <row r="3">
      <c r="A3" s="2" t="inlineStr">
        <is>
          <t>Entity ID: cawc_0033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23426788</v>
      </c>
      <c r="C7" s="9" t="n">
        <v>24939022</v>
      </c>
      <c r="D7" s="9" t="n">
        <v>30102417</v>
      </c>
      <c r="E7" s="9" t="n">
        <v>29977677</v>
      </c>
      <c r="F7" s="9" t="n">
        <v>31972297</v>
      </c>
    </row>
    <row r="8">
      <c r="A8" s="8" t="inlineStr">
        <is>
          <t xml:space="preserve">    3. Revenue less expenses</t>
        </is>
      </c>
      <c r="B8" s="9" t="n">
        <v>1201002</v>
      </c>
      <c r="C8" s="9" t="n">
        <v>4995857</v>
      </c>
      <c r="D8" s="9" t="n">
        <v>1694513</v>
      </c>
      <c r="E8" s="9" t="n">
        <v>1490599</v>
      </c>
      <c r="F8" s="9" t="n">
        <v>1920629</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Sunny Slope Water Company</t>
        </is>
      </c>
    </row>
    <row r="2">
      <c r="A2" s="2" t="inlineStr">
        <is>
          <t>Cash Flow Proxies - derived (USD)</t>
        </is>
      </c>
    </row>
    <row r="3">
      <c r="A3" s="2" t="inlineStr">
        <is>
          <t>Entity ID: cawc_0033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1201002</v>
      </c>
      <c r="C9" s="9" t="n">
        <v>4995857</v>
      </c>
      <c r="D9" s="9" t="n">
        <v>1694513</v>
      </c>
      <c r="E9" s="9" t="n">
        <v>1490599</v>
      </c>
      <c r="F9" s="9" t="n">
        <v>1920629</v>
      </c>
    </row>
    <row r="10">
      <c r="A10" s="8" t="inlineStr">
        <is>
          <t xml:space="preserve">    + Depreciation (reported)</t>
        </is>
      </c>
      <c r="B10" s="9" t="n">
        <v>814040</v>
      </c>
      <c r="C10" s="9" t="n">
        <v>811593</v>
      </c>
      <c r="D10" s="9" t="n">
        <v>881236</v>
      </c>
      <c r="E10" s="9" t="n">
        <v>994003</v>
      </c>
      <c r="F10" s="9" t="n">
        <v>992344</v>
      </c>
    </row>
    <row r="11">
      <c r="A11" s="8" t="inlineStr">
        <is>
          <t xml:space="preserve">    − Δ Accounts receivable</t>
        </is>
      </c>
      <c r="B11" s="9" t="n"/>
      <c r="C11" s="9" t="n">
        <v>-67931</v>
      </c>
      <c r="D11" s="9" t="n">
        <v>-79935</v>
      </c>
      <c r="E11" s="9" t="n">
        <v>-41362</v>
      </c>
      <c r="F11" s="9" t="n">
        <v>-12811</v>
      </c>
    </row>
    <row r="12">
      <c r="A12" s="8" t="inlineStr">
        <is>
          <t xml:space="preserve">    − Δ Inventories</t>
        </is>
      </c>
      <c r="B12" s="9" t="n"/>
      <c r="C12" s="9" t="n">
        <v>-553</v>
      </c>
      <c r="D12" s="9" t="n">
        <v>-6331</v>
      </c>
      <c r="E12" s="9" t="n">
        <v>-5316</v>
      </c>
      <c r="F12" s="9" t="n">
        <v>-2282</v>
      </c>
    </row>
    <row r="13">
      <c r="A13" s="8" t="inlineStr">
        <is>
          <t xml:space="preserve">    − Δ Prepaid expenses</t>
        </is>
      </c>
      <c r="B13" s="9" t="n"/>
      <c r="C13" s="9" t="n">
        <v>-14309</v>
      </c>
      <c r="D13" s="9" t="n">
        <v>-4468</v>
      </c>
      <c r="E13" s="9" t="n">
        <v>-17244</v>
      </c>
      <c r="F13" s="9" t="n">
        <v>-13086</v>
      </c>
    </row>
    <row r="14">
      <c r="A14" s="8" t="inlineStr">
        <is>
          <t xml:space="preserve">    + Δ Accounts payable</t>
        </is>
      </c>
      <c r="B14" s="9" t="n"/>
      <c r="C14" s="9" t="n">
        <v>701928</v>
      </c>
      <c r="D14" s="9" t="n">
        <v>-599371</v>
      </c>
      <c r="E14" s="9" t="n">
        <v>-26694</v>
      </c>
      <c r="F14" s="9" t="n">
        <v>768400</v>
      </c>
    </row>
    <row r="15">
      <c r="A15" s="10" t="inlineStr">
        <is>
          <t xml:space="preserve">    Operating cash flow proxy</t>
        </is>
      </c>
      <c r="B15" s="11" t="n"/>
      <c r="C15" s="11" t="n">
        <v>6426585</v>
      </c>
      <c r="D15" s="11" t="n">
        <v>1885644</v>
      </c>
      <c r="E15" s="11" t="n">
        <v>2393986</v>
      </c>
      <c r="F15" s="11" t="n">
        <v>3653194</v>
      </c>
    </row>
    <row r="17">
      <c r="A17" s="6" t="inlineStr">
        <is>
          <t>Investing</t>
        </is>
      </c>
      <c r="B17" s="7" t="n"/>
      <c r="C17" s="7" t="n"/>
      <c r="D17" s="7" t="n"/>
      <c r="E17" s="7" t="n"/>
      <c r="F17" s="7" t="n"/>
    </row>
    <row r="18">
      <c r="A18" s="8" t="inlineStr">
        <is>
          <t xml:space="preserve">    − Δ PP&amp;E gross (capex proxy)</t>
        </is>
      </c>
      <c r="B18" s="9" t="n"/>
      <c r="C18" s="9" t="n">
        <v>-756590</v>
      </c>
      <c r="D18" s="9" t="n">
        <v>-6534306</v>
      </c>
      <c r="E18" s="9" t="n">
        <v>-1525462</v>
      </c>
      <c r="F18" s="9" t="n">
        <v>-1357100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4731992</v>
      </c>
      <c r="D24" s="11" t="n">
        <v>-3555536</v>
      </c>
      <c r="E24" s="11" t="n">
        <v>1063521</v>
      </c>
      <c r="F24" s="11" t="n">
        <v>1783192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Sunny Slope Water Company</t>
        </is>
      </c>
    </row>
    <row r="2">
      <c r="A2" s="2" t="inlineStr">
        <is>
          <t>Financial Ratios</t>
        </is>
      </c>
    </row>
    <row r="3">
      <c r="A3" s="2" t="inlineStr">
        <is>
          <t>Entity ID: cawc_0033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0.2018184806269705</v>
      </c>
      <c r="C7" s="12" t="n">
        <v>0.4940320876894478</v>
      </c>
      <c r="D7" s="12" t="n">
        <v>0.248786797443293</v>
      </c>
      <c r="E7" s="12" t="n">
        <v>0.226346570147136</v>
      </c>
      <c r="F7" s="12" t="n">
        <v>0.2698410847430956</v>
      </c>
    </row>
    <row r="8">
      <c r="A8" s="8" t="inlineStr">
        <is>
          <t xml:space="preserve">    Expense ratio (expenses / revenue)</t>
        </is>
      </c>
      <c r="B8" s="12" t="n">
        <v>0.7981815193730295</v>
      </c>
      <c r="C8" s="12" t="n">
        <v>0.5059679123105522</v>
      </c>
      <c r="D8" s="12" t="n">
        <v>0.751213202556707</v>
      </c>
      <c r="E8" s="12" t="n">
        <v>0.773653429852864</v>
      </c>
      <c r="F8" s="12" t="n">
        <v>0.7301589152569044</v>
      </c>
    </row>
    <row r="9">
      <c r="A9" s="8" t="inlineStr">
        <is>
          <t xml:space="preserve">    Return on assets (NI / assets)</t>
        </is>
      </c>
      <c r="B9" s="12" t="n">
        <v>0.04674078889836113</v>
      </c>
      <c r="C9" s="12" t="n">
        <v>0.1581719222237912</v>
      </c>
      <c r="D9" s="12" t="n">
        <v>0.05254456051533399</v>
      </c>
      <c r="E9" s="12" t="n">
        <v>0.0441721916516102</v>
      </c>
      <c r="F9" s="12" t="n">
        <v>0.05354944424400958</v>
      </c>
    </row>
    <row r="10">
      <c r="A10" s="8" t="inlineStr">
        <is>
          <t xml:space="preserve">    Revenue growth (YoY)</t>
        </is>
      </c>
      <c r="B10" s="12" t="n">
        <v>0.05459791706835736</v>
      </c>
      <c r="C10" s="12" t="n">
        <v>0.6993077688054685</v>
      </c>
      <c r="D10" s="12" t="n">
        <v>-0.3264610210776576</v>
      </c>
      <c r="E10" s="12" t="n">
        <v>-0.03312722384987458</v>
      </c>
      <c r="F10" s="12" t="n">
        <v>0.08080787527454372</v>
      </c>
    </row>
    <row r="12">
      <c r="A12" s="6" t="inlineStr">
        <is>
          <t>Leverage &amp; solvency</t>
        </is>
      </c>
      <c r="B12" s="7" t="n"/>
      <c r="C12" s="7" t="n"/>
      <c r="D12" s="7" t="n"/>
      <c r="E12" s="7" t="n"/>
      <c r="F12" s="7" t="n"/>
    </row>
    <row r="13">
      <c r="A13" s="8" t="inlineStr">
        <is>
          <t xml:space="preserve">    Debt-to-assets (liab. / assets)</t>
        </is>
      </c>
      <c r="B13" s="12" t="n">
        <v>0.02941913282943396</v>
      </c>
      <c r="C13" s="12" t="n">
        <v>0.0469388614461684</v>
      </c>
      <c r="D13" s="12" t="n">
        <v>0.07043270648520487</v>
      </c>
      <c r="E13" s="12" t="n">
        <v>0.05253765055108595</v>
      </c>
      <c r="F13" s="12" t="n">
        <v>0.04537462018833194</v>
      </c>
    </row>
    <row r="14">
      <c r="A14" s="8" t="inlineStr">
        <is>
          <t xml:space="preserve">    Equity ratio (net assets / assets)</t>
        </is>
      </c>
      <c r="B14" s="12" t="n">
        <v>0.970580867170566</v>
      </c>
      <c r="C14" s="12" t="n">
        <v>0.9530611385538316</v>
      </c>
      <c r="D14" s="12" t="n">
        <v>0.9295672935147952</v>
      </c>
      <c r="E14" s="12" t="n">
        <v>0.9474623494489141</v>
      </c>
      <c r="F14" s="12" t="n">
        <v>0.9546253798116681</v>
      </c>
    </row>
    <row r="16">
      <c r="A16" s="6" t="inlineStr">
        <is>
          <t>Liquidity &amp; asset profile (derived here)</t>
        </is>
      </c>
      <c r="B16" s="7" t="n"/>
      <c r="C16" s="7" t="n"/>
      <c r="D16" s="7" t="n"/>
      <c r="E16" s="7" t="n"/>
      <c r="F16" s="7" t="n"/>
    </row>
    <row r="17">
      <c r="A17" s="8" t="inlineStr">
        <is>
          <t xml:space="preserve">    Current ratio (current assets / AP)</t>
        </is>
      </c>
      <c r="B17" s="21" t="n">
        <v>15.17906597832455</v>
      </c>
      <c r="C17" s="21" t="n">
        <v>10.50034770960319</v>
      </c>
      <c r="D17" s="21" t="n">
        <v>14.86042013141244</v>
      </c>
      <c r="E17" s="21" t="n">
        <v>17.31037947092362</v>
      </c>
      <c r="F17" s="21" t="n">
        <v>9.047236863207056</v>
      </c>
    </row>
    <row r="18">
      <c r="A18" s="8" t="inlineStr">
        <is>
          <t xml:space="preserve">    Cash ratio ((cash+temp inv.) / total liab.)</t>
        </is>
      </c>
      <c r="B18" s="21" t="n">
        <v>9.739210210563774</v>
      </c>
      <c r="C18" s="21" t="n">
        <v>8.157552157985867</v>
      </c>
      <c r="D18" s="21" t="n">
        <v>3.759175112673347</v>
      </c>
      <c r="E18" s="21" t="n">
        <v>5.416045976829961</v>
      </c>
      <c r="F18" s="21" t="n">
        <v>6.995866481261525</v>
      </c>
    </row>
    <row r="19">
      <c r="A19" s="8" t="inlineStr">
        <is>
          <t xml:space="preserve">    Asset age proxy (accum. deprec. / gross PP&amp;E)</t>
        </is>
      </c>
      <c r="B19" s="12" t="n">
        <v>0.3989520728279229</v>
      </c>
      <c r="C19" s="12" t="n">
        <v>0.4197296738549511</v>
      </c>
      <c r="D19" s="12" t="n">
        <v>0.3583437969636213</v>
      </c>
      <c r="E19" s="12" t="n">
        <v>0.3718420285927896</v>
      </c>
      <c r="F19" s="12" t="n">
        <v>0.3860620635482985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Sunny Slope Water Company</t>
        </is>
      </c>
    </row>
    <row r="2">
      <c r="A2" s="2" t="inlineStr">
        <is>
          <t>Unit economics - per-customer revenue by category (USD)</t>
        </is>
      </c>
    </row>
    <row r="3">
      <c r="A3" s="2" t="inlineStr">
        <is>
          <t>Entity ID: cawc_0033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Sunny Slope Water Company</t>
        </is>
      </c>
    </row>
    <row r="2">
      <c r="A2" s="2" t="inlineStr">
        <is>
          <t>Rate structure and representative bill - eAR Section 8a</t>
        </is>
      </c>
    </row>
    <row r="3">
      <c r="A3" s="2" t="inlineStr">
        <is>
          <t>Entity ID: cawc_0033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Sunny Slope Water Company</t>
        </is>
      </c>
    </row>
    <row r="2">
      <c r="A2" s="2" t="inlineStr">
        <is>
          <t>Denominators and calendar alignment</t>
        </is>
      </c>
    </row>
    <row r="3">
      <c r="A3" s="2" t="inlineStr">
        <is>
          <t>Entity ID: cawc_0033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2" t="inlineStr">
        <is>
          <t>Customer (service connection)</t>
        </is>
      </c>
      <c r="B7" s="23" t="n"/>
      <c r="C7" s="24" t="inlineStr">
        <is>
          <t>State Water Board eAR Section 4</t>
        </is>
      </c>
    </row>
    <row r="8">
      <c r="A8" s="22" t="inlineStr">
        <is>
          <t>Member (shareholder)</t>
        </is>
      </c>
      <c r="B8" s="23" t="n"/>
      <c r="C8" s="24"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(2020-12-31)</t>
        </is>
      </c>
      <c r="B13" s="28" t="n">
        <v>6325</v>
      </c>
      <c r="C13" s="14" t="inlineStr">
        <is>
          <t>not reported</t>
        </is>
      </c>
      <c r="D13" s="28" t="n">
        <v>1857.7</v>
      </c>
      <c r="E13" s="14" t="inlineStr">
        <is>
          <t>not reported</t>
        </is>
      </c>
      <c r="F13" s="14" t="inlineStr">
        <is>
          <t>not reported</t>
        </is>
      </c>
      <c r="G13" s="23" t="inlineStr">
        <is>
          <t>eAR annual total, calendar filer, equals fiscal year (not a monthly recast)</t>
        </is>
      </c>
    </row>
    <row r="14" ht="40" customHeight="1">
      <c r="A14" s="8" t="inlineStr">
        <is>
          <t>FY2021 (2021-12-31)</t>
        </is>
      </c>
      <c r="B14" s="28" t="n">
        <v>6334</v>
      </c>
      <c r="C14" s="14" t="inlineStr">
        <is>
          <t>not reported</t>
        </is>
      </c>
      <c r="D14" s="28" t="n">
        <v>1857.7</v>
      </c>
      <c r="E14" s="14" t="inlineStr">
        <is>
          <t>not reported</t>
        </is>
      </c>
      <c r="F14" s="14" t="inlineStr">
        <is>
          <t>not reported</t>
        </is>
      </c>
      <c r="G14" s="23" t="inlineStr">
        <is>
          <t>eAR annual total, calendar filer, equals fiscal year (not a monthly recast)</t>
        </is>
      </c>
    </row>
    <row r="15" ht="40" customHeight="1">
      <c r="A15" s="8" t="inlineStr">
        <is>
          <t>FY2022 (2022-12-31)</t>
        </is>
      </c>
      <c r="B15" s="28" t="n">
        <v>6337</v>
      </c>
      <c r="C15" s="14" t="inlineStr">
        <is>
          <t>not reported</t>
        </is>
      </c>
      <c r="D15" s="28" t="n">
        <v>1857.7</v>
      </c>
      <c r="E15" s="14" t="inlineStr">
        <is>
          <t>not reported</t>
        </is>
      </c>
      <c r="F15" s="14" t="inlineStr">
        <is>
          <t>not reported</t>
        </is>
      </c>
      <c r="G15" s="23" t="inlineStr">
        <is>
          <t>eAR annual total, calendar filer, equals fiscal year (not a monthly recast)</t>
        </is>
      </c>
    </row>
    <row r="16" ht="40" customHeight="1">
      <c r="A16" s="8" t="inlineStr">
        <is>
          <t>FY2023 (2023-12-31)</t>
        </is>
      </c>
      <c r="B16" s="28" t="n">
        <v>6337</v>
      </c>
      <c r="C16" s="14" t="inlineStr">
        <is>
          <t>not reported</t>
        </is>
      </c>
      <c r="D16" s="28" t="n">
        <v>1857.7</v>
      </c>
      <c r="E16" s="14" t="inlineStr">
        <is>
          <t>not reported</t>
        </is>
      </c>
      <c r="F16" s="14" t="inlineStr">
        <is>
          <t>not reported</t>
        </is>
      </c>
      <c r="G16" s="23" t="inlineStr">
        <is>
          <t>eAR annual total, calendar filer, equals fiscal year (not a monthly recast)</t>
        </is>
      </c>
    </row>
    <row r="17" ht="40" customHeight="1">
      <c r="A17" s="8" t="inlineStr">
        <is>
          <t>FY2024 (2024-12-31)</t>
        </is>
      </c>
      <c r="B17" s="14" t="inlineStr">
        <is>
          <t>not reported</t>
        </is>
      </c>
      <c r="C17" s="14" t="inlineStr">
        <is>
          <t>not reported</t>
        </is>
      </c>
      <c r="D17" s="28" t="n">
        <v>1857.7</v>
      </c>
      <c r="E17" s="14" t="inlineStr">
        <is>
          <t>not reported</t>
        </is>
      </c>
      <c r="F17" s="14" t="inlineStr">
        <is>
          <t>not reported</t>
        </is>
      </c>
      <c r="G17" s="23" t="inlineStr">
        <is>
          <t>eAR annual total, calendar filer, equals fiscal year (not a monthly recast)</t>
        </is>
      </c>
    </row>
    <row r="19">
      <c r="A19" s="6" t="inlineStr">
        <is>
          <t>Connections by class - FY2023 (eAR Section 4)</t>
        </is>
      </c>
      <c r="B19" s="7" t="n"/>
      <c r="C19" s="7" t="n"/>
      <c r="D19" s="7" t="n"/>
      <c r="E19" s="7" t="n"/>
      <c r="F19" s="7" t="n"/>
      <c r="G19" s="7" t="n"/>
    </row>
    <row r="20">
      <c r="A20" s="22" t="inlineStr">
        <is>
          <t>Single-family residential</t>
        </is>
      </c>
      <c r="B20" s="28" t="n">
        <v>5700</v>
      </c>
      <c r="C20" s="24" t="inlineStr"/>
    </row>
    <row r="21">
      <c r="A21" s="22" t="inlineStr">
        <is>
          <t>Multi-family residential</t>
        </is>
      </c>
      <c r="B21" s="28" t="n">
        <v>140</v>
      </c>
      <c r="C21" s="24" t="inlineStr"/>
    </row>
    <row r="22">
      <c r="A22" s="22" t="inlineStr">
        <is>
          <t>Commercial and institutional</t>
        </is>
      </c>
      <c r="B22" s="28" t="n">
        <v>497</v>
      </c>
      <c r="C22" s="24" t="inlineStr"/>
    </row>
    <row r="23">
      <c r="A23" s="22" t="inlineStr">
        <is>
          <t>Industrial</t>
        </is>
      </c>
      <c r="B23" s="28" t="n">
        <v>0</v>
      </c>
      <c r="C23" s="24" t="inlineStr"/>
    </row>
    <row r="24">
      <c r="A24" s="22" t="inlineStr">
        <is>
          <t>Landscape irrigation</t>
        </is>
      </c>
      <c r="B24" s="28" t="n">
        <v>0</v>
      </c>
      <c r="C24" s="24" t="inlineStr"/>
    </row>
    <row r="25">
      <c r="A25" s="22" t="inlineStr">
        <is>
          <t>Agricultural</t>
        </is>
      </c>
      <c r="B25" s="28" t="n">
        <v>0</v>
      </c>
      <c r="C25" s="24" t="inlineStr"/>
    </row>
    <row r="26" ht="81" customHeight="1">
      <c r="A26"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6:G26"/>
    <mergeCell ref="A2:G2"/>
    <mergeCell ref="A5:G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Sunny Slope Water Company</t>
        </is>
      </c>
    </row>
    <row r="2">
      <c r="A2" s="2" t="inlineStr">
        <is>
          <t>Governance evidence status - Ostrom's eight design principles</t>
        </is>
      </c>
    </row>
    <row r="3">
      <c r="A3" s="2" t="inlineStr">
        <is>
          <t>Entity ID: cawc_0033   |   Fiscal year ends December 31.</t>
        </is>
      </c>
    </row>
    <row r="5">
      <c r="A5" s="29" t="inlineStr">
        <is>
          <t>Evidence summary: 3 documented, 2 partial, 3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5" t="inlineStr">
        <is>
          <t>DOCUMENTED</t>
        </is>
      </c>
      <c r="C10" s="23" t="inlineStr">
        <is>
          <t>The system is a defined public water system: 6,326 service connections over a State-published and field-verified service-area boundary of roughly 1,853.5 acres.</t>
        </is>
      </c>
      <c r="D10" s="23" t="inlineStr">
        <is>
          <t>SDWIS Community water system; SABL service-area boundary (Verified); connections defined.</t>
        </is>
      </c>
      <c r="E10" s="30" t="inlineStr">
        <is>
          <t>[C][G]</t>
        </is>
      </c>
    </row>
    <row r="11" ht="81" customHeight="1">
      <c r="A11" s="3" t="inlineStr">
        <is>
          <t>What the record shows: SDWIS defines the membership as a fixed set of service connections and the State Water Board publishes a SABL service-area polygon for it, so who is inside and outside the system is documented. The boundary is FIELD-VERIFIED by the Water Board rather than merely carried.</t>
        </is>
      </c>
    </row>
    <row r="12" ht="46" customHeight="1">
      <c r="A12" s="8" t="inlineStr">
        <is>
          <t>Rules fit local conditions</t>
        </is>
      </c>
      <c r="B12" s="25" t="inlineStr">
        <is>
          <t>NOT DOCUMENTED</t>
        </is>
      </c>
      <c r="C12" s="23" t="inlineStr">
        <is>
          <t>No filed rate schedule or metering statement was located for this company.</t>
        </is>
      </c>
      <c r="D12" s="23" t="inlineStr">
        <is>
          <t>No eAR Section 8a rate record held.</t>
        </is>
      </c>
      <c r="E12" s="30" t="inlineStr">
        <is>
          <t>not reported</t>
        </is>
      </c>
    </row>
    <row r="13" ht="96" customHeight="1">
      <c r="A13" s="3" t="inlineStr">
        <is>
          <t>What the record shows: This company files no eAR, so the filing that would document metering and rate structure does not exist for it. NOT DOCUMENTED means the supporting record was not found, not that the company governs badly. It marks a gap in the documentary record, an evidence gap to close, never a governance failing.</t>
        </is>
      </c>
    </row>
    <row r="14" ht="46" customHeight="1">
      <c r="A14" s="8" t="inlineStr">
        <is>
          <t>Collective-choice arrangements</t>
        </is>
      </c>
      <c r="B14" s="25" t="inlineStr">
        <is>
          <t>PARTIAL</t>
        </is>
      </c>
      <c r="C14" s="23" t="inlineStr">
        <is>
          <t>The company is owned by its customer-shareholders, but the specific board, the election procedure and any record of member votes are not in a source this project holds.</t>
        </is>
      </c>
      <c r="D14" s="23" t="inlineStr">
        <is>
          <t>Mutual ownership; Form 990 governance section.</t>
        </is>
      </c>
      <c r="E14" s="30" t="inlineStr">
        <is>
          <t>[990]</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5" t="inlineStr">
        <is>
          <t>DOCUMENTED</t>
        </is>
      </c>
      <c r="C16" s="23" t="inlineStr">
        <is>
          <t>The system is monitored and reports on itself: it files an annual eAR, and a Consumer Confidence Report for 2022 was located at the State's own CCR portal.</t>
        </is>
      </c>
      <c r="D16" s="23" t="inlineStr">
        <is>
          <t>Annual eAR reporting; located Consumer Confidence Report</t>
        </is>
      </c>
      <c r="E16" s="30"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5" t="inlineStr">
        <is>
          <t>NOT DOCUMENTED</t>
        </is>
      </c>
      <c r="C18" s="23" t="inlineStr">
        <is>
          <t>No published shut-off, penalty, or delinquency policy was found for this system.</t>
        </is>
      </c>
      <c r="D18" s="23" t="inlineStr">
        <is>
          <t>No sourced graduated sanctions record.</t>
        </is>
      </c>
      <c r="E18" s="30"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5" t="inlineStr">
        <is>
          <t>NOT DOCUMENTED</t>
        </is>
      </c>
      <c r="C20" s="23" t="inlineStr">
        <is>
          <t>No published bylaws, dispute procedure, or grievance mechanism was found for this system.</t>
        </is>
      </c>
      <c r="D20" s="23" t="inlineStr">
        <is>
          <t>No sourced conflict-resolution mechanisms record.</t>
        </is>
      </c>
      <c r="E20" s="30"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5" t="inlineStr">
        <is>
          <t>DOCUMENTED</t>
        </is>
      </c>
      <c r="C22" s="23" t="inlineStr">
        <is>
          <t>An incorporated California mutual water company recognized by the IRS as a 501(c)(12) exempt filer and by the State Water Board as a Community public water system.</t>
        </is>
      </c>
      <c r="D22" s="23" t="inlineStr">
        <is>
          <t>IRS 501(c)(12) exempt filer (Form 990); SDWIS Community public water system; eAR ownership type 'Privately owned Mutual Water Company or Association'.</t>
        </is>
      </c>
      <c r="E22" s="30"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5" t="inlineStr">
        <is>
          <t>PARTIAL</t>
        </is>
      </c>
      <c r="C24" s="23" t="inlineStr">
        <is>
          <t>The system sits inside larger water systems: it pumps from 2 groundwater basin(s) shared with neighbors. Its role in governing any of them is not documented.</t>
        </is>
      </c>
      <c r="D24" s="23" t="inlineStr">
        <is>
          <t>it pumps from 2 groundwater basin(s) shared with neighbors</t>
        </is>
      </c>
      <c r="E24" s="30" t="inlineStr">
        <is>
          <t>[SG]</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Sunny Slope Water Company</t>
        </is>
      </c>
    </row>
    <row r="2">
      <c r="A2" s="2" t="inlineStr">
        <is>
          <t>Operational metrics - plant per acre, density, terrain</t>
        </is>
      </c>
    </row>
    <row r="3">
      <c r="A3" s="2" t="inlineStr">
        <is>
          <t>Entity ID: cawc_0033   |   Fiscal year ends December 31.</t>
        </is>
      </c>
    </row>
    <row r="5">
      <c r="A5" s="6" t="inlineStr">
        <is>
          <t>Plant assets per acre</t>
        </is>
      </c>
      <c r="B5" s="7" t="n"/>
      <c r="C5" s="7" t="n"/>
    </row>
    <row r="6">
      <c r="A6" s="22" t="inlineStr">
        <is>
          <t>Service-area acres</t>
        </is>
      </c>
      <c r="B6" s="31" t="n">
        <v>1857.7</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12799.1786</v>
      </c>
      <c r="C8" s="9" t="n">
        <v>7692.9197</v>
      </c>
    </row>
    <row r="9">
      <c r="A9" s="20" t="inlineStr">
        <is>
          <t>FY2021</t>
        </is>
      </c>
      <c r="B9" s="9" t="n">
        <v>13206.451</v>
      </c>
      <c r="C9" s="9" t="n">
        <v>7663.3116</v>
      </c>
    </row>
    <row r="10">
      <c r="A10" s="20" t="inlineStr">
        <is>
          <t>FY2022</t>
        </is>
      </c>
      <c r="B10" s="9" t="n">
        <v>16723.8682</v>
      </c>
      <c r="C10" s="9" t="n">
        <v>10730.9738</v>
      </c>
    </row>
    <row r="11">
      <c r="A11" s="20" t="inlineStr">
        <is>
          <t>FY2023</t>
        </is>
      </c>
      <c r="B11" s="9" t="n">
        <v>17545.0245</v>
      </c>
      <c r="C11" s="9" t="n">
        <v>11021.047</v>
      </c>
    </row>
    <row r="12">
      <c r="A12" s="20" t="inlineStr">
        <is>
          <t>FY2024</t>
        </is>
      </c>
      <c r="B12" s="9" t="n">
        <v>18275.5515</v>
      </c>
      <c r="C12" s="9" t="n">
        <v>11220.0544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3.41</v>
      </c>
      <c r="C19" s="24" t="inlineStr">
        <is>
          <t>6,343 connections / 1,857.7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Sunny Slope Water Company</t>
        </is>
      </c>
    </row>
    <row r="2">
      <c r="A2" s="2" t="inlineStr">
        <is>
          <t>Supply and weather indicators (DWR water year)</t>
        </is>
      </c>
    </row>
    <row r="3">
      <c r="A3" s="2" t="inlineStr">
        <is>
          <t>Entity ID: cawc_0033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30" t="inlineStr">
        <is>
          <t>Dry</t>
        </is>
      </c>
      <c r="C8" s="30" t="inlineStr">
        <is>
          <t>Critical</t>
        </is>
      </c>
      <c r="D8" s="30" t="inlineStr">
        <is>
          <t>Critical</t>
        </is>
      </c>
      <c r="E8" s="30" t="inlineStr">
        <is>
          <t>Wet</t>
        </is>
      </c>
      <c r="F8" s="30" t="inlineStr">
        <is>
          <t>Above Normal</t>
        </is>
      </c>
    </row>
    <row r="9">
      <c r="A9" s="8" t="inlineStr">
        <is>
          <t>Peak drought, Los Angeles County</t>
        </is>
      </c>
      <c r="B9" s="30" t="inlineStr">
        <is>
          <t>D1</t>
        </is>
      </c>
      <c r="C9" s="30" t="inlineStr">
        <is>
          <t>D4</t>
        </is>
      </c>
      <c r="D9" s="30" t="inlineStr">
        <is>
          <t>D4</t>
        </is>
      </c>
      <c r="E9" s="30" t="inlineStr">
        <is>
          <t>D4</t>
        </is>
      </c>
      <c r="F9" s="30" t="inlineStr">
        <is>
          <t>None (no D0-D4 during the fiscal year)</t>
        </is>
      </c>
    </row>
    <row r="10">
      <c r="A10" s="8" t="inlineStr">
        <is>
          <t>Precip, percent of normal (8-Station Index)</t>
        </is>
      </c>
      <c r="B10" s="30" t="inlineStr">
        <is>
          <t>63</t>
        </is>
      </c>
      <c r="C10" s="30" t="inlineStr">
        <is>
          <t>48</t>
        </is>
      </c>
      <c r="D10" s="30" t="inlineStr">
        <is>
          <t>86</t>
        </is>
      </c>
      <c r="E10" s="30" t="inlineStr">
        <is>
          <t>133</t>
        </is>
      </c>
      <c r="F10" s="30" t="inlineStr">
        <is>
          <t>96</t>
        </is>
      </c>
    </row>
    <row r="11">
      <c r="A11" s="8" t="inlineStr">
        <is>
          <t>Snowpack, April 1 percent of average</t>
        </is>
      </c>
      <c r="B11" s="30" t="inlineStr">
        <is>
          <t>53%</t>
        </is>
      </c>
      <c r="C11" s="30" t="inlineStr">
        <is>
          <t>59%</t>
        </is>
      </c>
      <c r="D11" s="30" t="inlineStr">
        <is>
          <t>38%</t>
        </is>
      </c>
      <c r="E11" s="30" t="inlineStr">
        <is>
          <t>237%</t>
        </is>
      </c>
      <c r="F11" s="30" t="inlineStr">
        <is>
          <t>110%</t>
        </is>
      </c>
    </row>
    <row r="12">
      <c r="A12" s="8" t="inlineStr">
        <is>
          <t>State Water Project allocation</t>
        </is>
      </c>
      <c r="B12" s="30" t="inlineStr">
        <is>
          <t>20%</t>
        </is>
      </c>
      <c r="C12" s="30" t="inlineStr">
        <is>
          <t>5%</t>
        </is>
      </c>
      <c r="D12" s="30" t="inlineStr">
        <is>
          <t>5%</t>
        </is>
      </c>
      <c r="E12" s="30" t="inlineStr">
        <is>
          <t>100%</t>
        </is>
      </c>
      <c r="F12" s="30"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Sunny Slope Water Company</t>
        </is>
      </c>
    </row>
    <row r="2">
      <c r="A2" s="2" t="inlineStr">
        <is>
          <t>How this was built - forensic lineage</t>
        </is>
      </c>
    </row>
    <row r="3">
      <c r="A3" s="2" t="inlineStr">
        <is>
          <t>Entity ID: cawc_0033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5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Sunny Slope Water Company</t>
        </is>
      </c>
    </row>
    <row r="2">
      <c r="A2" s="2" t="inlineStr">
        <is>
          <t>Sources &amp; audit - full provenance and tie-outs (kept off the statements so they read clean)</t>
        </is>
      </c>
    </row>
    <row r="3">
      <c r="A3" s="2" t="inlineStr">
        <is>
          <t>Entity ID: cawc_0033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30" t="inlineStr">
        <is>
          <t>FY2020</t>
        </is>
      </c>
      <c r="B10" s="8" t="inlineStr">
        <is>
          <t>2020-12-31</t>
        </is>
      </c>
      <c r="C10" s="8" t="inlineStr">
        <is>
          <t>990</t>
        </is>
      </c>
      <c r="D10" s="8" t="inlineStr">
        <is>
          <t>high</t>
        </is>
      </c>
      <c r="E10" s="8" t="inlineStr">
        <is>
          <t>b54848aa-7e96-4a58-a1b9-1b2841ccec95</t>
        </is>
      </c>
      <c r="F10" s="8" t="inlineStr">
        <is>
          <t>202120629349300912</t>
        </is>
      </c>
      <c r="G10" s="8" t="inlineStr">
        <is>
          <t>claude-opus-5</t>
        </is>
      </c>
      <c r="H10" s="8" t="inlineStr">
        <is>
          <t>2026-09-16T21:34:13+00:00</t>
        </is>
      </c>
      <c r="I10" s="8" t="inlineStr">
        <is>
          <t>https://apps.irs.gov/pub/epostcard/990/xml/2021/2021_TEOS_XML_01A.zip#202120629349300912_public.xml</t>
        </is>
      </c>
    </row>
    <row r="11">
      <c r="A11" s="30" t="inlineStr">
        <is>
          <t>FY2021</t>
        </is>
      </c>
      <c r="B11" s="8" t="inlineStr">
        <is>
          <t>2021-12-31</t>
        </is>
      </c>
      <c r="C11" s="8" t="inlineStr">
        <is>
          <t>990</t>
        </is>
      </c>
      <c r="D11" s="8" t="inlineStr">
        <is>
          <t>high</t>
        </is>
      </c>
      <c r="E11" s="8" t="inlineStr">
        <is>
          <t>37461b61-9105-4c1c-9317-b81d6f27d821</t>
        </is>
      </c>
      <c r="F11" s="8" t="inlineStr">
        <is>
          <t>202200829349301670</t>
        </is>
      </c>
      <c r="G11" s="8" t="inlineStr">
        <is>
          <t>claude-opus-5</t>
        </is>
      </c>
      <c r="H11" s="8" t="inlineStr">
        <is>
          <t>2026-09-16T21:34:13+00:00</t>
        </is>
      </c>
      <c r="I11" s="8" t="inlineStr">
        <is>
          <t>https://apps.irs.gov/pub/epostcard/990/xml/2022/2022_TEOS_XML_01A.zip#202200829349301670_public.xml</t>
        </is>
      </c>
    </row>
    <row r="12">
      <c r="A12" s="30" t="inlineStr">
        <is>
          <t>FY2022</t>
        </is>
      </c>
      <c r="B12" s="8" t="inlineStr">
        <is>
          <t>2022-12-31</t>
        </is>
      </c>
      <c r="C12" s="8" t="inlineStr">
        <is>
          <t>990</t>
        </is>
      </c>
      <c r="D12" s="8" t="inlineStr">
        <is>
          <t>high</t>
        </is>
      </c>
      <c r="E12" s="8" t="inlineStr">
        <is>
          <t>4aed9bff-1d70-47c1-81bf-e65da3de9bb7</t>
        </is>
      </c>
      <c r="F12" s="8" t="inlineStr">
        <is>
          <t>202311119349301616</t>
        </is>
      </c>
      <c r="G12" s="8" t="inlineStr">
        <is>
          <t>claude-opus-5</t>
        </is>
      </c>
      <c r="H12" s="8" t="inlineStr">
        <is>
          <t>2026-09-16T21:34:13+00:00</t>
        </is>
      </c>
      <c r="I12" s="8" t="inlineStr">
        <is>
          <t>https://apps.irs.gov/pub/epostcard/990/xml/2023/2023_TEOS_XML_05A.zip#202311119349301616_public.xml</t>
        </is>
      </c>
    </row>
    <row r="13">
      <c r="A13" s="30" t="inlineStr">
        <is>
          <t>FY2023</t>
        </is>
      </c>
      <c r="B13" s="8" t="inlineStr">
        <is>
          <t>2023-12-31</t>
        </is>
      </c>
      <c r="C13" s="8" t="inlineStr">
        <is>
          <t>990</t>
        </is>
      </c>
      <c r="D13" s="8" t="inlineStr">
        <is>
          <t>high</t>
        </is>
      </c>
      <c r="E13" s="8" t="inlineStr">
        <is>
          <t>7623a9d2-61b4-43f5-bf29-240e07bc9792</t>
        </is>
      </c>
      <c r="F13" s="8" t="inlineStr">
        <is>
          <t>202401069349300525</t>
        </is>
      </c>
      <c r="G13" s="8" t="inlineStr">
        <is>
          <t>claude-opus-5</t>
        </is>
      </c>
      <c r="H13" s="8" t="inlineStr">
        <is>
          <t>2026-09-16T21:34:13+00:00</t>
        </is>
      </c>
      <c r="I13" s="8" t="inlineStr">
        <is>
          <t>https://apps.irs.gov/pub/epostcard/990/xml/2024/2024_TEOS_XML_04A.zip#202401069349300525_public.xml</t>
        </is>
      </c>
    </row>
    <row r="14">
      <c r="A14" s="30" t="inlineStr">
        <is>
          <t>FY2024</t>
        </is>
      </c>
      <c r="B14" s="8" t="inlineStr">
        <is>
          <t>2024-12-31</t>
        </is>
      </c>
      <c r="C14" s="8" t="inlineStr">
        <is>
          <t>990</t>
        </is>
      </c>
      <c r="D14" s="8" t="inlineStr">
        <is>
          <t>high</t>
        </is>
      </c>
      <c r="E14" s="8" t="inlineStr">
        <is>
          <t>817db4dc-65c4-4ff8-86bd-c28038a25647</t>
        </is>
      </c>
      <c r="F14" s="8" t="inlineStr">
        <is>
          <t>202540799349301909</t>
        </is>
      </c>
      <c r="G14" s="8" t="inlineStr">
        <is>
          <t>claude-opus-5</t>
        </is>
      </c>
      <c r="H14" s="8" t="inlineStr">
        <is>
          <t>2026-09-16T21:34:13+00:00</t>
        </is>
      </c>
      <c r="I14" s="8" t="inlineStr">
        <is>
          <t>https://apps.irs.gov/pub/epostcard/990/xml/2025/2025_TEOS_XML_03A.zip#202540799349301909_public.xml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B7</t>
        </is>
      </c>
      <c r="C18" s="8" t="inlineStr">
        <is>
          <t>1h. Total contributions, gifts, grants</t>
        </is>
      </c>
      <c r="D18" s="8" t="inlineStr">
        <is>
          <t>1h</t>
        </is>
      </c>
      <c r="E18" s="8" t="inlineStr">
        <is>
          <t>part_viii_revenue.total_contributions</t>
        </is>
      </c>
      <c r="F18" s="8" t="inlineStr">
        <is>
          <t>high</t>
        </is>
      </c>
      <c r="G18" s="9" t="n">
        <v>202282</v>
      </c>
    </row>
    <row r="19">
      <c r="A19" s="8" t="inlineStr">
        <is>
          <t>Revenue (detail)</t>
        </is>
      </c>
      <c r="B19" s="8" t="inlineStr">
        <is>
          <t>C7</t>
        </is>
      </c>
      <c r="C19" s="8" t="inlineStr">
        <is>
          <t>1h. Total contributions, gifts, grants</t>
        </is>
      </c>
      <c r="D19" s="8" t="inlineStr">
        <is>
          <t>1h</t>
        </is>
      </c>
      <c r="E19" s="8" t="inlineStr">
        <is>
          <t>part_viii_revenue.total_contributions</t>
        </is>
      </c>
      <c r="F19" s="8" t="inlineStr">
        <is>
          <t>high</t>
        </is>
      </c>
      <c r="G19" s="9" t="n">
        <v>144155</v>
      </c>
    </row>
    <row r="20">
      <c r="A20" s="8" t="inlineStr">
        <is>
          <t>Revenue (detail)</t>
        </is>
      </c>
      <c r="B20" s="8" t="inlineStr">
        <is>
          <t>D7</t>
        </is>
      </c>
      <c r="C20" s="8" t="inlineStr">
        <is>
          <t>1h. Total contributions, gifts, grants</t>
        </is>
      </c>
      <c r="D20" s="8" t="inlineStr">
        <is>
          <t>1h</t>
        </is>
      </c>
      <c r="E20" s="8" t="inlineStr">
        <is>
          <t>part_viii_revenue.total_contributions</t>
        </is>
      </c>
      <c r="F20" s="8" t="inlineStr">
        <is>
          <t>high</t>
        </is>
      </c>
      <c r="G20" s="9" t="n">
        <v>421156</v>
      </c>
    </row>
    <row r="21">
      <c r="A21" s="8" t="inlineStr">
        <is>
          <t>Revenue (detail)</t>
        </is>
      </c>
      <c r="B21" s="8" t="inlineStr">
        <is>
          <t>E7</t>
        </is>
      </c>
      <c r="C21" s="8" t="inlineStr">
        <is>
          <t>1h. Total contributions, gifts, grants</t>
        </is>
      </c>
      <c r="D21" s="8" t="inlineStr">
        <is>
          <t>1h</t>
        </is>
      </c>
      <c r="E21" s="8" t="inlineStr">
        <is>
          <t>part_viii_revenue.total_contributions</t>
        </is>
      </c>
      <c r="F21" s="8" t="inlineStr">
        <is>
          <t>high</t>
        </is>
      </c>
      <c r="G21" s="9" t="n">
        <v>181193</v>
      </c>
    </row>
    <row r="22">
      <c r="A22" s="8" t="inlineStr">
        <is>
          <t>Revenue (detail)</t>
        </is>
      </c>
      <c r="B22" s="8" t="inlineStr">
        <is>
          <t>F7</t>
        </is>
      </c>
      <c r="C22" s="8" t="inlineStr">
        <is>
          <t>1h. Total contributions, gifts, grants</t>
        </is>
      </c>
      <c r="D22" s="8" t="inlineStr">
        <is>
          <t>1h</t>
        </is>
      </c>
      <c r="E22" s="8" t="inlineStr">
        <is>
          <t>part_viii_revenue.total_contributions</t>
        </is>
      </c>
      <c r="F22" s="8" t="inlineStr">
        <is>
          <t>high</t>
        </is>
      </c>
      <c r="G22" s="9" t="n">
        <v>244864</v>
      </c>
    </row>
    <row r="23">
      <c r="A23" s="8" t="inlineStr">
        <is>
          <t>Revenue (detail)</t>
        </is>
      </c>
      <c r="B23" s="8" t="inlineStr">
        <is>
          <t>B8</t>
        </is>
      </c>
      <c r="C23" s="8" t="inlineStr">
        <is>
          <t>2g. Total program service revenue</t>
        </is>
      </c>
      <c r="D23" s="8" t="inlineStr">
        <is>
          <t>2g</t>
        </is>
      </c>
      <c r="E23" s="8" t="inlineStr">
        <is>
          <t>part_viii_revenue.total_program_service_revenue</t>
        </is>
      </c>
      <c r="F23" s="8" t="inlineStr">
        <is>
          <t>high</t>
        </is>
      </c>
      <c r="G23" s="9" t="n">
        <v>5572638</v>
      </c>
    </row>
    <row r="24">
      <c r="A24" s="8" t="inlineStr">
        <is>
          <t>Revenue (detail)</t>
        </is>
      </c>
      <c r="B24" s="8" t="inlineStr">
        <is>
          <t>C8</t>
        </is>
      </c>
      <c r="C24" s="8" t="inlineStr">
        <is>
          <t>2g. Total program service revenue</t>
        </is>
      </c>
      <c r="D24" s="8" t="inlineStr">
        <is>
          <t>2g</t>
        </is>
      </c>
      <c r="E24" s="8" t="inlineStr">
        <is>
          <t>part_viii_revenue.total_program_service_revenue</t>
        </is>
      </c>
      <c r="F24" s="8" t="inlineStr">
        <is>
          <t>high</t>
        </is>
      </c>
      <c r="G24" s="9" t="n">
        <v>6055746</v>
      </c>
    </row>
    <row r="25">
      <c r="A25" s="8" t="inlineStr">
        <is>
          <t>Revenue (detail)</t>
        </is>
      </c>
      <c r="B25" s="8" t="inlineStr">
        <is>
          <t>D8</t>
        </is>
      </c>
      <c r="C25" s="8" t="inlineStr">
        <is>
          <t>2g. Total program service revenue</t>
        </is>
      </c>
      <c r="D25" s="8" t="inlineStr">
        <is>
          <t>2g</t>
        </is>
      </c>
      <c r="E25" s="8" t="inlineStr">
        <is>
          <t>part_viii_revenue.total_program_service_revenue</t>
        </is>
      </c>
      <c r="F25" s="8" t="inlineStr">
        <is>
          <t>high</t>
        </is>
      </c>
      <c r="G25" s="9" t="n">
        <v>6044091</v>
      </c>
    </row>
    <row r="26">
      <c r="A26" s="8" t="inlineStr">
        <is>
          <t>Revenue (detail)</t>
        </is>
      </c>
      <c r="B26" s="8" t="inlineStr">
        <is>
          <t>E8</t>
        </is>
      </c>
      <c r="C26" s="8" t="inlineStr">
        <is>
          <t>2g. Total program service revenue</t>
        </is>
      </c>
      <c r="D26" s="8" t="inlineStr">
        <is>
          <t>2g</t>
        </is>
      </c>
      <c r="E26" s="8" t="inlineStr">
        <is>
          <t>part_viii_revenue.total_program_service_revenue</t>
        </is>
      </c>
      <c r="F26" s="8" t="inlineStr">
        <is>
          <t>high</t>
        </is>
      </c>
      <c r="G26" s="9" t="n">
        <v>6034077</v>
      </c>
    </row>
    <row r="27">
      <c r="A27" s="8" t="inlineStr">
        <is>
          <t>Revenue (detail)</t>
        </is>
      </c>
      <c r="B27" s="8" t="inlineStr">
        <is>
          <t>F8</t>
        </is>
      </c>
      <c r="C27" s="8" t="inlineStr">
        <is>
          <t>2g. Total program service revenue</t>
        </is>
      </c>
      <c r="D27" s="8" t="inlineStr">
        <is>
          <t>2g</t>
        </is>
      </c>
      <c r="E27" s="8" t="inlineStr">
        <is>
          <t>part_viii_revenue.total_program_service_revenue</t>
        </is>
      </c>
      <c r="F27" s="8" t="inlineStr">
        <is>
          <t>high</t>
        </is>
      </c>
      <c r="G27" s="9" t="n">
        <v>6503705</v>
      </c>
    </row>
    <row r="28">
      <c r="A28" s="8" t="inlineStr">
        <is>
          <t>Revenue (detail)</t>
        </is>
      </c>
      <c r="B28" s="8" t="inlineStr">
        <is>
          <t>B9</t>
        </is>
      </c>
      <c r="C28" s="8" t="inlineStr">
        <is>
          <t>3. Investment income</t>
        </is>
      </c>
      <c r="D28" s="8" t="inlineStr">
        <is>
          <t>3</t>
        </is>
      </c>
      <c r="E28" s="8" t="inlineStr">
        <is>
          <t>part_viii_revenue.investment_income</t>
        </is>
      </c>
      <c r="F28" s="8" t="inlineStr">
        <is>
          <t>high</t>
        </is>
      </c>
      <c r="G28" s="9" t="n">
        <v>150813</v>
      </c>
    </row>
    <row r="29">
      <c r="A29" s="8" t="inlineStr">
        <is>
          <t>Revenue (detail)</t>
        </is>
      </c>
      <c r="B29" s="8" t="inlineStr">
        <is>
          <t>C9</t>
        </is>
      </c>
      <c r="C29" s="8" t="inlineStr">
        <is>
          <t>3. Investment income</t>
        </is>
      </c>
      <c r="D29" s="8" t="inlineStr">
        <is>
          <t>3</t>
        </is>
      </c>
      <c r="E29" s="8" t="inlineStr">
        <is>
          <t>part_viii_revenue.investment_income</t>
        </is>
      </c>
      <c r="F29" s="8" t="inlineStr">
        <is>
          <t>high</t>
        </is>
      </c>
      <c r="G29" s="9" t="n">
        <v>277195</v>
      </c>
    </row>
    <row r="30">
      <c r="A30" s="8" t="inlineStr">
        <is>
          <t>Revenue (detail)</t>
        </is>
      </c>
      <c r="B30" s="8" t="inlineStr">
        <is>
          <t>D9</t>
        </is>
      </c>
      <c r="C30" s="8" t="inlineStr">
        <is>
          <t>3. Investment income</t>
        </is>
      </c>
      <c r="D30" s="8" t="inlineStr">
        <is>
          <t>3</t>
        </is>
      </c>
      <c r="E30" s="8" t="inlineStr">
        <is>
          <t>part_viii_revenue.investment_income</t>
        </is>
      </c>
      <c r="F30" s="8" t="inlineStr">
        <is>
          <t>high</t>
        </is>
      </c>
      <c r="G30" s="9" t="n">
        <v>322028</v>
      </c>
    </row>
    <row r="31">
      <c r="A31" s="8" t="inlineStr">
        <is>
          <t>Revenue (detail)</t>
        </is>
      </c>
      <c r="B31" s="8" t="inlineStr">
        <is>
          <t>E9</t>
        </is>
      </c>
      <c r="C31" s="8" t="inlineStr">
        <is>
          <t>3. Investment income</t>
        </is>
      </c>
      <c r="D31" s="8" t="inlineStr">
        <is>
          <t>3</t>
        </is>
      </c>
      <c r="E31" s="8" t="inlineStr">
        <is>
          <t>part_viii_revenue.investment_income</t>
        </is>
      </c>
      <c r="F31" s="8" t="inlineStr">
        <is>
          <t>high</t>
        </is>
      </c>
      <c r="G31" s="9" t="n">
        <v>349489</v>
      </c>
    </row>
    <row r="32">
      <c r="A32" s="8" t="inlineStr">
        <is>
          <t>Revenue (detail)</t>
        </is>
      </c>
      <c r="B32" s="8" t="inlineStr">
        <is>
          <t>F9</t>
        </is>
      </c>
      <c r="C32" s="8" t="inlineStr">
        <is>
          <t>3. Investment income</t>
        </is>
      </c>
      <c r="D32" s="8" t="inlineStr">
        <is>
          <t>3</t>
        </is>
      </c>
      <c r="E32" s="8" t="inlineStr">
        <is>
          <t>part_viii_revenue.investment_income</t>
        </is>
      </c>
      <c r="F32" s="8" t="inlineStr">
        <is>
          <t>high</t>
        </is>
      </c>
      <c r="G32" s="9" t="n">
        <v>356537</v>
      </c>
    </row>
    <row r="33">
      <c r="A33" s="8" t="inlineStr">
        <is>
          <t>Revenue (detail)</t>
        </is>
      </c>
      <c r="B33" s="8" t="inlineStr">
        <is>
          <t>B10</t>
        </is>
      </c>
      <c r="C33" s="8" t="inlineStr">
        <is>
          <t>6d. Net rental income</t>
        </is>
      </c>
      <c r="D33" s="8" t="inlineStr">
        <is>
          <t>6d</t>
        </is>
      </c>
      <c r="E33" s="8" t="inlineStr">
        <is>
          <t>part_viii_revenue.net_rental_income</t>
        </is>
      </c>
      <c r="F33" s="8" t="inlineStr">
        <is>
          <t>high</t>
        </is>
      </c>
      <c r="G33" s="9" t="n">
        <v>25169</v>
      </c>
    </row>
    <row r="34">
      <c r="A34" s="8" t="inlineStr">
        <is>
          <t>Revenue (detail)</t>
        </is>
      </c>
      <c r="B34" s="8" t="inlineStr">
        <is>
          <t>C10</t>
        </is>
      </c>
      <c r="C34" s="8" t="inlineStr">
        <is>
          <t>6d. Net rental income</t>
        </is>
      </c>
      <c r="D34" s="8" t="inlineStr">
        <is>
          <t>6d</t>
        </is>
      </c>
      <c r="E34" s="8" t="inlineStr">
        <is>
          <t>part_viii_revenue.net_rental_income</t>
        </is>
      </c>
      <c r="F34" s="8" t="inlineStr">
        <is>
          <t>high</t>
        </is>
      </c>
      <c r="G34" s="9" t="n">
        <v>21050</v>
      </c>
    </row>
    <row r="35">
      <c r="A35" s="8" t="inlineStr">
        <is>
          <t>Revenue (detail)</t>
        </is>
      </c>
      <c r="B35" s="8" t="inlineStr">
        <is>
          <t>D10</t>
        </is>
      </c>
      <c r="C35" s="8" t="inlineStr">
        <is>
          <t>6d. Net rental income</t>
        </is>
      </c>
      <c r="D35" s="8" t="inlineStr">
        <is>
          <t>6d</t>
        </is>
      </c>
      <c r="E35" s="8" t="inlineStr">
        <is>
          <t>part_viii_revenue.net_rental_income</t>
        </is>
      </c>
      <c r="F35" s="8" t="inlineStr">
        <is>
          <t>high</t>
        </is>
      </c>
      <c r="G35" s="9" t="n">
        <v>22390</v>
      </c>
    </row>
    <row r="36">
      <c r="A36" s="8" t="inlineStr">
        <is>
          <t>Revenue (detail)</t>
        </is>
      </c>
      <c r="B36" s="8" t="inlineStr">
        <is>
          <t>E10</t>
        </is>
      </c>
      <c r="C36" s="8" t="inlineStr">
        <is>
          <t>6d. Net rental income</t>
        </is>
      </c>
      <c r="D36" s="8" t="inlineStr">
        <is>
          <t>6d</t>
        </is>
      </c>
      <c r="E36" s="8" t="inlineStr">
        <is>
          <t>part_viii_revenue.net_rental_income</t>
        </is>
      </c>
      <c r="F36" s="8" t="inlineStr">
        <is>
          <t>high</t>
        </is>
      </c>
      <c r="G36" s="9" t="n">
        <v>20713</v>
      </c>
    </row>
    <row r="37">
      <c r="A37" s="8" t="inlineStr">
        <is>
          <t>Revenue (detail)</t>
        </is>
      </c>
      <c r="B37" s="8" t="inlineStr">
        <is>
          <t>F10</t>
        </is>
      </c>
      <c r="C37" s="8" t="inlineStr">
        <is>
          <t>6d. Net rental income</t>
        </is>
      </c>
      <c r="D37" s="8" t="inlineStr">
        <is>
          <t>6d</t>
        </is>
      </c>
      <c r="E37" s="8" t="inlineStr">
        <is>
          <t>part_viii_revenue.net_rental_income</t>
        </is>
      </c>
      <c r="F37" s="8" t="inlineStr">
        <is>
          <t>high</t>
        </is>
      </c>
      <c r="G37" s="9" t="n">
        <v>12524</v>
      </c>
    </row>
    <row r="38">
      <c r="A38" s="8" t="inlineStr">
        <is>
          <t>Revenue (detail)</t>
        </is>
      </c>
      <c r="B38" s="8" t="inlineStr">
        <is>
          <t>B11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C11</t>
        </is>
      </c>
      <c r="C39" s="8" t="inlineStr">
        <is>
          <t>7d. Net gain/(loss) from investment sales</t>
        </is>
      </c>
      <c r="D39" s="8" t="inlineStr">
        <is>
          <t>7d</t>
        </is>
      </c>
      <c r="E39" s="8" t="inlineStr">
        <is>
          <t>part_viii_revenue.net_gain_or_loss_investments</t>
        </is>
      </c>
      <c r="F39" s="8" t="inlineStr">
        <is>
          <t>high</t>
        </is>
      </c>
      <c r="G39" s="9" t="n">
        <v>0</v>
      </c>
    </row>
    <row r="40">
      <c r="A40" s="8" t="inlineStr">
        <is>
          <t>Revenue (detail)</t>
        </is>
      </c>
      <c r="B40" s="8" t="inlineStr">
        <is>
          <t>D11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E11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F11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B12</t>
        </is>
      </c>
      <c r="C43" s="8" t="inlineStr">
        <is>
          <t>11e. Other revenue</t>
        </is>
      </c>
      <c r="D43" s="8" t="inlineStr">
        <is>
          <t>11e</t>
        </is>
      </c>
      <c r="E43" s="8" t="inlineStr">
        <is>
          <t>part_viii_revenue.other_revenue_total</t>
        </is>
      </c>
      <c r="F43" s="8" t="inlineStr">
        <is>
          <t>high</t>
        </is>
      </c>
      <c r="G43" s="9" t="n">
        <v>0</v>
      </c>
    </row>
    <row r="44">
      <c r="A44" s="8" t="inlineStr">
        <is>
          <t>Revenue (detail)</t>
        </is>
      </c>
      <c r="B44" s="8" t="inlineStr">
        <is>
          <t>C12</t>
        </is>
      </c>
      <c r="C44" s="8" t="inlineStr">
        <is>
          <t>11e. Other revenue</t>
        </is>
      </c>
      <c r="D44" s="8" t="inlineStr">
        <is>
          <t>11e</t>
        </is>
      </c>
      <c r="E44" s="8" t="inlineStr">
        <is>
          <t>part_viii_revenue.other_revenue_total</t>
        </is>
      </c>
      <c r="F44" s="8" t="inlineStr">
        <is>
          <t>high</t>
        </is>
      </c>
      <c r="G44" s="9" t="n">
        <v>3614268</v>
      </c>
    </row>
    <row r="45">
      <c r="A45" s="8" t="inlineStr">
        <is>
          <t>Revenue (detail)</t>
        </is>
      </c>
      <c r="B45" s="8" t="inlineStr">
        <is>
          <t>D12</t>
        </is>
      </c>
      <c r="C45" s="8" t="inlineStr">
        <is>
          <t>11e. Other revenue</t>
        </is>
      </c>
      <c r="D45" s="8" t="inlineStr">
        <is>
          <t>11e</t>
        </is>
      </c>
      <c r="E45" s="8" t="inlineStr">
        <is>
          <t>part_viii_revenue.other_revenue_total</t>
        </is>
      </c>
      <c r="F45" s="8" t="inlineStr">
        <is>
          <t>high</t>
        </is>
      </c>
      <c r="G45" s="9" t="n">
        <v>1440</v>
      </c>
    </row>
    <row r="46">
      <c r="A46" s="8" t="inlineStr">
        <is>
          <t>Revenue (detail)</t>
        </is>
      </c>
      <c r="B46" s="8" t="inlineStr">
        <is>
          <t>E12</t>
        </is>
      </c>
      <c r="C46" s="8" t="inlineStr">
        <is>
          <t>11e. Other revenue</t>
        </is>
      </c>
      <c r="D46" s="8" t="inlineStr">
        <is>
          <t>11e</t>
        </is>
      </c>
      <c r="E46" s="8" t="inlineStr">
        <is>
          <t>part_viii_revenue.other_revenue_total</t>
        </is>
      </c>
      <c r="F46" s="8" t="inlineStr">
        <is>
          <t>high</t>
        </is>
      </c>
      <c r="G46" s="9" t="n">
        <v>0</v>
      </c>
    </row>
    <row r="47">
      <c r="A47" s="8" t="inlineStr">
        <is>
          <t>Revenue (detail)</t>
        </is>
      </c>
      <c r="B47" s="8" t="inlineStr">
        <is>
          <t>F12</t>
        </is>
      </c>
      <c r="C47" s="8" t="inlineStr">
        <is>
          <t>11e. Other revenue</t>
        </is>
      </c>
      <c r="D47" s="8" t="inlineStr">
        <is>
          <t>11e</t>
        </is>
      </c>
      <c r="E47" s="8" t="inlineStr">
        <is>
          <t>part_viii_revenue.other_revenue_total</t>
        </is>
      </c>
      <c r="F47" s="8" t="inlineStr">
        <is>
          <t>high</t>
        </is>
      </c>
      <c r="G47" s="9" t="n">
        <v>0</v>
      </c>
    </row>
    <row r="48">
      <c r="A48" s="8" t="inlineStr">
        <is>
          <t>Operating expenses (detail)</t>
        </is>
      </c>
      <c r="B48" s="8" t="inlineStr">
        <is>
          <t>B7</t>
        </is>
      </c>
      <c r="C48" s="8" t="inlineStr">
        <is>
          <t>1. Grants to domestic organizations and governments</t>
        </is>
      </c>
      <c r="D48" s="8" t="inlineStr">
        <is>
          <t>1</t>
        </is>
      </c>
      <c r="E48" s="8" t="inlineStr">
        <is>
          <t>part_ix_expenses.grants_domestic_orgs</t>
        </is>
      </c>
      <c r="F48" s="8" t="inlineStr">
        <is>
          <t>high</t>
        </is>
      </c>
      <c r="G48" s="9" t="n">
        <v>0</v>
      </c>
    </row>
    <row r="49">
      <c r="A49" s="8" t="inlineStr">
        <is>
          <t>Operating expenses (detail)</t>
        </is>
      </c>
      <c r="B49" s="8" t="inlineStr">
        <is>
          <t>C7</t>
        </is>
      </c>
      <c r="C49" s="8" t="inlineStr">
        <is>
          <t>1. Grants to domestic organizations and governments</t>
        </is>
      </c>
      <c r="D49" s="8" t="inlineStr">
        <is>
          <t>1</t>
        </is>
      </c>
      <c r="E49" s="8" t="inlineStr">
        <is>
          <t>part_ix_expenses.grants_domestic_orgs</t>
        </is>
      </c>
      <c r="F49" s="8" t="inlineStr">
        <is>
          <t>high</t>
        </is>
      </c>
      <c r="G49" s="9" t="n">
        <v>0</v>
      </c>
    </row>
    <row r="50">
      <c r="A50" s="8" t="inlineStr">
        <is>
          <t>Operating expenses (detail)</t>
        </is>
      </c>
      <c r="B50" s="8" t="inlineStr">
        <is>
          <t>D7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E7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F7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B8</t>
        </is>
      </c>
      <c r="C53" s="8" t="inlineStr">
        <is>
          <t>2. Grants to domestic individuals</t>
        </is>
      </c>
      <c r="D53" s="8" t="inlineStr">
        <is>
          <t>2</t>
        </is>
      </c>
      <c r="E53" s="8" t="inlineStr">
        <is>
          <t>part_ix_expenses.grants_domestic_individuals</t>
        </is>
      </c>
      <c r="F53" s="8" t="inlineStr">
        <is>
          <t>high</t>
        </is>
      </c>
      <c r="G53" s="9" t="n">
        <v>0</v>
      </c>
    </row>
    <row r="54">
      <c r="A54" s="8" t="inlineStr">
        <is>
          <t>Operating expenses (detail)</t>
        </is>
      </c>
      <c r="B54" s="8" t="inlineStr">
        <is>
          <t>C8</t>
        </is>
      </c>
      <c r="C54" s="8" t="inlineStr">
        <is>
          <t>2. Grants to domestic individuals</t>
        </is>
      </c>
      <c r="D54" s="8" t="inlineStr">
        <is>
          <t>2</t>
        </is>
      </c>
      <c r="E54" s="8" t="inlineStr">
        <is>
          <t>part_ix_expenses.grants_domestic_individuals</t>
        </is>
      </c>
      <c r="F54" s="8" t="inlineStr">
        <is>
          <t>high</t>
        </is>
      </c>
      <c r="G54" s="9" t="n">
        <v>0</v>
      </c>
    </row>
    <row r="55">
      <c r="A55" s="8" t="inlineStr">
        <is>
          <t>Operating expenses (detail)</t>
        </is>
      </c>
      <c r="B55" s="8" t="inlineStr">
        <is>
          <t>D8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E8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F8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B9</t>
        </is>
      </c>
      <c r="C58" s="8" t="inlineStr">
        <is>
          <t>3. Grants to foreign organizations and individuals</t>
        </is>
      </c>
      <c r="D58" s="8" t="inlineStr">
        <is>
          <t>3</t>
        </is>
      </c>
      <c r="E58" s="8" t="inlineStr">
        <is>
          <t>part_ix_expenses.foreign_grants</t>
        </is>
      </c>
      <c r="F58" s="8" t="inlineStr">
        <is>
          <t>high</t>
        </is>
      </c>
      <c r="G58" s="9" t="n">
        <v>0</v>
      </c>
    </row>
    <row r="59">
      <c r="A59" s="8" t="inlineStr">
        <is>
          <t>Operating expenses (detail)</t>
        </is>
      </c>
      <c r="B59" s="8" t="inlineStr">
        <is>
          <t>C9</t>
        </is>
      </c>
      <c r="C59" s="8" t="inlineStr">
        <is>
          <t>3. Grants to foreign organizations and individuals</t>
        </is>
      </c>
      <c r="D59" s="8" t="inlineStr">
        <is>
          <t>3</t>
        </is>
      </c>
      <c r="E59" s="8" t="inlineStr">
        <is>
          <t>part_ix_expenses.foreign_grants</t>
        </is>
      </c>
      <c r="F59" s="8" t="inlineStr">
        <is>
          <t>high</t>
        </is>
      </c>
      <c r="G59" s="9" t="n">
        <v>0</v>
      </c>
    </row>
    <row r="60">
      <c r="A60" s="8" t="inlineStr">
        <is>
          <t>Operating expenses (detail)</t>
        </is>
      </c>
      <c r="B60" s="8" t="inlineStr">
        <is>
          <t>D9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E9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F9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B10</t>
        </is>
      </c>
      <c r="C63" s="8" t="inlineStr">
        <is>
          <t>4. Benefits paid to or for members</t>
        </is>
      </c>
      <c r="D63" s="8" t="inlineStr">
        <is>
          <t>4</t>
        </is>
      </c>
      <c r="E63" s="8" t="inlineStr">
        <is>
          <t>part_ix_expenses.benefits_to_members</t>
        </is>
      </c>
      <c r="F63" s="8" t="inlineStr">
        <is>
          <t>high</t>
        </is>
      </c>
      <c r="G63" s="9" t="n">
        <v>0</v>
      </c>
    </row>
    <row r="64">
      <c r="A64" s="8" t="inlineStr">
        <is>
          <t>Operating expenses (detail)</t>
        </is>
      </c>
      <c r="B64" s="8" t="inlineStr">
        <is>
          <t>C10</t>
        </is>
      </c>
      <c r="C64" s="8" t="inlineStr">
        <is>
          <t>4. Benefits paid to or for members</t>
        </is>
      </c>
      <c r="D64" s="8" t="inlineStr">
        <is>
          <t>4</t>
        </is>
      </c>
      <c r="E64" s="8" t="inlineStr">
        <is>
          <t>part_ix_expenses.benefits_to_members</t>
        </is>
      </c>
      <c r="F64" s="8" t="inlineStr">
        <is>
          <t>high</t>
        </is>
      </c>
      <c r="G64" s="9" t="n">
        <v>0</v>
      </c>
    </row>
    <row r="65">
      <c r="A65" s="8" t="inlineStr">
        <is>
          <t>Operating expenses (detail)</t>
        </is>
      </c>
      <c r="B65" s="8" t="inlineStr">
        <is>
          <t>D10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E10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F10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B11</t>
        </is>
      </c>
      <c r="C68" s="8" t="inlineStr">
        <is>
          <t>5. Compensation of current officers, directors, trustees</t>
        </is>
      </c>
      <c r="D68" s="8" t="inlineStr">
        <is>
          <t>5</t>
        </is>
      </c>
      <c r="E68" s="8" t="inlineStr">
        <is>
          <t>part_ix_expenses.comp_current_officers</t>
        </is>
      </c>
      <c r="F68" s="8" t="inlineStr">
        <is>
          <t>high</t>
        </is>
      </c>
      <c r="G68" s="9" t="n">
        <v>380702</v>
      </c>
    </row>
    <row r="69">
      <c r="A69" s="8" t="inlineStr">
        <is>
          <t>Operating expenses (detail)</t>
        </is>
      </c>
      <c r="B69" s="8" t="inlineStr">
        <is>
          <t>C11</t>
        </is>
      </c>
      <c r="C69" s="8" t="inlineStr">
        <is>
          <t>5. Compensation of current officers, directors, trustees</t>
        </is>
      </c>
      <c r="D69" s="8" t="inlineStr">
        <is>
          <t>5</t>
        </is>
      </c>
      <c r="E69" s="8" t="inlineStr">
        <is>
          <t>part_ix_expenses.comp_current_officers</t>
        </is>
      </c>
      <c r="F69" s="8" t="inlineStr">
        <is>
          <t>high</t>
        </is>
      </c>
      <c r="G69" s="9" t="n">
        <v>371733</v>
      </c>
    </row>
    <row r="70">
      <c r="A70" s="8" t="inlineStr">
        <is>
          <t>Operating expenses (detail)</t>
        </is>
      </c>
      <c r="B70" s="8" t="inlineStr">
        <is>
          <t>D11</t>
        </is>
      </c>
      <c r="C70" s="8" t="inlineStr">
        <is>
          <t>5. Compensation of current officers, directors, trustees</t>
        </is>
      </c>
      <c r="D70" s="8" t="inlineStr">
        <is>
          <t>5</t>
        </is>
      </c>
      <c r="E70" s="8" t="inlineStr">
        <is>
          <t>part_ix_expenses.comp_current_officers</t>
        </is>
      </c>
      <c r="F70" s="8" t="inlineStr">
        <is>
          <t>high</t>
        </is>
      </c>
      <c r="G70" s="9" t="n">
        <v>393211</v>
      </c>
    </row>
    <row r="71">
      <c r="A71" s="8" t="inlineStr">
        <is>
          <t>Operating expenses (detail)</t>
        </is>
      </c>
      <c r="B71" s="8" t="inlineStr">
        <is>
          <t>E11</t>
        </is>
      </c>
      <c r="C71" s="8" t="inlineStr">
        <is>
          <t>5. Compensation of current officers, directors, trustees</t>
        </is>
      </c>
      <c r="D71" s="8" t="inlineStr">
        <is>
          <t>5</t>
        </is>
      </c>
      <c r="E71" s="8" t="inlineStr">
        <is>
          <t>part_ix_expenses.comp_current_officers</t>
        </is>
      </c>
      <c r="F71" s="8" t="inlineStr">
        <is>
          <t>high</t>
        </is>
      </c>
      <c r="G71" s="9" t="n">
        <v>408170</v>
      </c>
    </row>
    <row r="72">
      <c r="A72" s="8" t="inlineStr">
        <is>
          <t>Operating expenses (detail)</t>
        </is>
      </c>
      <c r="B72" s="8" t="inlineStr">
        <is>
          <t>F11</t>
        </is>
      </c>
      <c r="C72" s="8" t="inlineStr">
        <is>
          <t>5. Compensation of current officers, directors, trustees</t>
        </is>
      </c>
      <c r="D72" s="8" t="inlineStr">
        <is>
          <t>5</t>
        </is>
      </c>
      <c r="E72" s="8" t="inlineStr">
        <is>
          <t>part_ix_expenses.comp_current_officers</t>
        </is>
      </c>
      <c r="F72" s="8" t="inlineStr">
        <is>
          <t>high</t>
        </is>
      </c>
      <c r="G72" s="9" t="n">
        <v>306922</v>
      </c>
    </row>
    <row r="73">
      <c r="A73" s="8" t="inlineStr">
        <is>
          <t>Operating expenses (detail)</t>
        </is>
      </c>
      <c r="B73" s="8" t="inlineStr">
        <is>
          <t>B12</t>
        </is>
      </c>
      <c r="C73" s="8" t="inlineStr">
        <is>
          <t>6. Compensation to disqualified persons</t>
        </is>
      </c>
      <c r="D73" s="8" t="inlineStr">
        <is>
          <t>6</t>
        </is>
      </c>
      <c r="E73" s="8" t="inlineStr">
        <is>
          <t>part_ix_expenses.comp_disqualified_persons</t>
        </is>
      </c>
      <c r="F73" s="8" t="inlineStr">
        <is>
          <t>high</t>
        </is>
      </c>
      <c r="G73" s="9" t="n">
        <v>0</v>
      </c>
    </row>
    <row r="74">
      <c r="A74" s="8" t="inlineStr">
        <is>
          <t>Operating expenses (detail)</t>
        </is>
      </c>
      <c r="B74" s="8" t="inlineStr">
        <is>
          <t>C12</t>
        </is>
      </c>
      <c r="C74" s="8" t="inlineStr">
        <is>
          <t>6. Compensation to disqualified persons</t>
        </is>
      </c>
      <c r="D74" s="8" t="inlineStr">
        <is>
          <t>6</t>
        </is>
      </c>
      <c r="E74" s="8" t="inlineStr">
        <is>
          <t>part_ix_expenses.comp_disqualified_persons</t>
        </is>
      </c>
      <c r="F74" s="8" t="inlineStr">
        <is>
          <t>high</t>
        </is>
      </c>
      <c r="G74" s="9" t="n">
        <v>0</v>
      </c>
    </row>
    <row r="75">
      <c r="A75" s="8" t="inlineStr">
        <is>
          <t>Operating expenses (detail)</t>
        </is>
      </c>
      <c r="B75" s="8" t="inlineStr">
        <is>
          <t>D12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E12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F12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B13</t>
        </is>
      </c>
      <c r="C78" s="8" t="inlineStr">
        <is>
          <t>7. Other salaries and wages</t>
        </is>
      </c>
      <c r="D78" s="8" t="inlineStr">
        <is>
          <t>7</t>
        </is>
      </c>
      <c r="E78" s="8" t="inlineStr">
        <is>
          <t>part_ix_expenses.other_salaries_and_wages</t>
        </is>
      </c>
      <c r="F78" s="8" t="inlineStr">
        <is>
          <t>high</t>
        </is>
      </c>
      <c r="G78" s="9" t="n">
        <v>767871</v>
      </c>
    </row>
    <row r="79">
      <c r="A79" s="8" t="inlineStr">
        <is>
          <t>Operating expenses (detail)</t>
        </is>
      </c>
      <c r="B79" s="8" t="inlineStr">
        <is>
          <t>C13</t>
        </is>
      </c>
      <c r="C79" s="8" t="inlineStr">
        <is>
          <t>7. Other salaries and wages</t>
        </is>
      </c>
      <c r="D79" s="8" t="inlineStr">
        <is>
          <t>7</t>
        </is>
      </c>
      <c r="E79" s="8" t="inlineStr">
        <is>
          <t>part_ix_expenses.other_salaries_and_wages</t>
        </is>
      </c>
      <c r="F79" s="8" t="inlineStr">
        <is>
          <t>high</t>
        </is>
      </c>
      <c r="G79" s="9" t="n">
        <v>776422</v>
      </c>
    </row>
    <row r="80">
      <c r="A80" s="8" t="inlineStr">
        <is>
          <t>Operating expenses (detail)</t>
        </is>
      </c>
      <c r="B80" s="8" t="inlineStr">
        <is>
          <t>D13</t>
        </is>
      </c>
      <c r="C80" s="8" t="inlineStr">
        <is>
          <t>7. Other salaries and wages</t>
        </is>
      </c>
      <c r="D80" s="8" t="inlineStr">
        <is>
          <t>7</t>
        </is>
      </c>
      <c r="E80" s="8" t="inlineStr">
        <is>
          <t>part_ix_expenses.other_salaries_and_wages</t>
        </is>
      </c>
      <c r="F80" s="8" t="inlineStr">
        <is>
          <t>high</t>
        </is>
      </c>
      <c r="G80" s="9" t="n">
        <v>628128</v>
      </c>
    </row>
    <row r="81">
      <c r="A81" s="8" t="inlineStr">
        <is>
          <t>Operating expenses (detail)</t>
        </is>
      </c>
      <c r="B81" s="8" t="inlineStr">
        <is>
          <t>E13</t>
        </is>
      </c>
      <c r="C81" s="8" t="inlineStr">
        <is>
          <t>7. Other salaries and wages</t>
        </is>
      </c>
      <c r="D81" s="8" t="inlineStr">
        <is>
          <t>7</t>
        </is>
      </c>
      <c r="E81" s="8" t="inlineStr">
        <is>
          <t>part_ix_expenses.other_salaries_and_wages</t>
        </is>
      </c>
      <c r="F81" s="8" t="inlineStr">
        <is>
          <t>high</t>
        </is>
      </c>
      <c r="G81" s="9" t="n">
        <v>589908</v>
      </c>
    </row>
    <row r="82">
      <c r="A82" s="8" t="inlineStr">
        <is>
          <t>Operating expenses (detail)</t>
        </is>
      </c>
      <c r="B82" s="8" t="inlineStr">
        <is>
          <t>F13</t>
        </is>
      </c>
      <c r="C82" s="8" t="inlineStr">
        <is>
          <t>7. Other salaries and wages</t>
        </is>
      </c>
      <c r="D82" s="8" t="inlineStr">
        <is>
          <t>7</t>
        </is>
      </c>
      <c r="E82" s="8" t="inlineStr">
        <is>
          <t>part_ix_expenses.other_salaries_and_wages</t>
        </is>
      </c>
      <c r="F82" s="8" t="inlineStr">
        <is>
          <t>high</t>
        </is>
      </c>
      <c r="G82" s="9" t="n">
        <v>731922</v>
      </c>
    </row>
    <row r="83">
      <c r="A83" s="8" t="inlineStr">
        <is>
          <t>Operating expenses (detail)</t>
        </is>
      </c>
      <c r="B83" s="8" t="inlineStr">
        <is>
          <t>B14</t>
        </is>
      </c>
      <c r="C83" s="8" t="inlineStr">
        <is>
          <t>8. Pension plan accruals and contributions</t>
        </is>
      </c>
      <c r="D83" s="8" t="inlineStr">
        <is>
          <t>8</t>
        </is>
      </c>
      <c r="E83" s="8" t="inlineStr">
        <is>
          <t>part_ix_expenses.pension_plan_contributions</t>
        </is>
      </c>
      <c r="F83" s="8" t="inlineStr">
        <is>
          <t>high</t>
        </is>
      </c>
      <c r="G83" s="9" t="n">
        <v>0</v>
      </c>
    </row>
    <row r="84">
      <c r="A84" s="8" t="inlineStr">
        <is>
          <t>Operating expenses (detail)</t>
        </is>
      </c>
      <c r="B84" s="8" t="inlineStr">
        <is>
          <t>C14</t>
        </is>
      </c>
      <c r="C84" s="8" t="inlineStr">
        <is>
          <t>8. Pension plan accruals and contributions</t>
        </is>
      </c>
      <c r="D84" s="8" t="inlineStr">
        <is>
          <t>8</t>
        </is>
      </c>
      <c r="E84" s="8" t="inlineStr">
        <is>
          <t>part_ix_expenses.pension_plan_contributions</t>
        </is>
      </c>
      <c r="F84" s="8" t="inlineStr">
        <is>
          <t>high</t>
        </is>
      </c>
      <c r="G84" s="9" t="n">
        <v>0</v>
      </c>
    </row>
    <row r="85">
      <c r="A85" s="8" t="inlineStr">
        <is>
          <t>Operating expenses (detail)</t>
        </is>
      </c>
      <c r="B85" s="8" t="inlineStr">
        <is>
          <t>D14</t>
        </is>
      </c>
      <c r="C85" s="8" t="inlineStr">
        <is>
          <t>8. Pension plan accruals and contributions</t>
        </is>
      </c>
      <c r="D85" s="8" t="inlineStr">
        <is>
          <t>8</t>
        </is>
      </c>
      <c r="E85" s="8" t="inlineStr">
        <is>
          <t>part_ix_expenses.pension_plan_contributions</t>
        </is>
      </c>
      <c r="F85" s="8" t="inlineStr">
        <is>
          <t>high</t>
        </is>
      </c>
      <c r="G85" s="9" t="n">
        <v>0</v>
      </c>
    </row>
    <row r="86">
      <c r="A86" s="8" t="inlineStr">
        <is>
          <t>Operating expenses (detail)</t>
        </is>
      </c>
      <c r="B86" s="8" t="inlineStr">
        <is>
          <t>E14</t>
        </is>
      </c>
      <c r="C86" s="8" t="inlineStr">
        <is>
          <t>8. Pension plan accruals and contributions</t>
        </is>
      </c>
      <c r="D86" s="8" t="inlineStr">
        <is>
          <t>8</t>
        </is>
      </c>
      <c r="E86" s="8" t="inlineStr">
        <is>
          <t>part_ix_expenses.pension_plan_contributions</t>
        </is>
      </c>
      <c r="F86" s="8" t="inlineStr">
        <is>
          <t>high</t>
        </is>
      </c>
      <c r="G86" s="9" t="n">
        <v>0</v>
      </c>
    </row>
    <row r="87">
      <c r="A87" s="8" t="inlineStr">
        <is>
          <t>Operating expenses (detail)</t>
        </is>
      </c>
      <c r="B87" s="8" t="inlineStr">
        <is>
          <t>F14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B15</t>
        </is>
      </c>
      <c r="C88" s="8" t="inlineStr">
        <is>
          <t>9. Other employee benefits</t>
        </is>
      </c>
      <c r="D88" s="8" t="inlineStr">
        <is>
          <t>9</t>
        </is>
      </c>
      <c r="E88" s="8" t="inlineStr">
        <is>
          <t>part_ix_expenses.other_employee_benefits</t>
        </is>
      </c>
      <c r="F88" s="8" t="inlineStr">
        <is>
          <t>high</t>
        </is>
      </c>
      <c r="G88" s="9" t="n">
        <v>241833</v>
      </c>
    </row>
    <row r="89">
      <c r="A89" s="8" t="inlineStr">
        <is>
          <t>Operating expenses (detail)</t>
        </is>
      </c>
      <c r="B89" s="8" t="inlineStr">
        <is>
          <t>C15</t>
        </is>
      </c>
      <c r="C89" s="8" t="inlineStr">
        <is>
          <t>9. Other employee benefits</t>
        </is>
      </c>
      <c r="D89" s="8" t="inlineStr">
        <is>
          <t>9</t>
        </is>
      </c>
      <c r="E89" s="8" t="inlineStr">
        <is>
          <t>part_ix_expenses.other_employee_benefits</t>
        </is>
      </c>
      <c r="F89" s="8" t="inlineStr">
        <is>
          <t>high</t>
        </is>
      </c>
      <c r="G89" s="9" t="n">
        <v>241146</v>
      </c>
    </row>
    <row r="90">
      <c r="A90" s="8" t="inlineStr">
        <is>
          <t>Operating expenses (detail)</t>
        </is>
      </c>
      <c r="B90" s="8" t="inlineStr">
        <is>
          <t>D15</t>
        </is>
      </c>
      <c r="C90" s="8" t="inlineStr">
        <is>
          <t>9. Other employee benefits</t>
        </is>
      </c>
      <c r="D90" s="8" t="inlineStr">
        <is>
          <t>9</t>
        </is>
      </c>
      <c r="E90" s="8" t="inlineStr">
        <is>
          <t>part_ix_expenses.other_employee_benefits</t>
        </is>
      </c>
      <c r="F90" s="8" t="inlineStr">
        <is>
          <t>high</t>
        </is>
      </c>
      <c r="G90" s="9" t="n">
        <v>221564</v>
      </c>
    </row>
    <row r="91">
      <c r="A91" s="8" t="inlineStr">
        <is>
          <t>Operating expenses (detail)</t>
        </is>
      </c>
      <c r="B91" s="8" t="inlineStr">
        <is>
          <t>E15</t>
        </is>
      </c>
      <c r="C91" s="8" t="inlineStr">
        <is>
          <t>9. Other employee benefits</t>
        </is>
      </c>
      <c r="D91" s="8" t="inlineStr">
        <is>
          <t>9</t>
        </is>
      </c>
      <c r="E91" s="8" t="inlineStr">
        <is>
          <t>part_ix_expenses.other_employee_benefits</t>
        </is>
      </c>
      <c r="F91" s="8" t="inlineStr">
        <is>
          <t>high</t>
        </is>
      </c>
      <c r="G91" s="9" t="n">
        <v>208301</v>
      </c>
    </row>
    <row r="92">
      <c r="A92" s="8" t="inlineStr">
        <is>
          <t>Operating expenses (detail)</t>
        </is>
      </c>
      <c r="B92" s="8" t="inlineStr">
        <is>
          <t>F15</t>
        </is>
      </c>
      <c r="C92" s="8" t="inlineStr">
        <is>
          <t>9. Other employee benefits</t>
        </is>
      </c>
      <c r="D92" s="8" t="inlineStr">
        <is>
          <t>9</t>
        </is>
      </c>
      <c r="E92" s="8" t="inlineStr">
        <is>
          <t>part_ix_expenses.other_employee_benefits</t>
        </is>
      </c>
      <c r="F92" s="8" t="inlineStr">
        <is>
          <t>high</t>
        </is>
      </c>
      <c r="G92" s="9" t="n">
        <v>220866</v>
      </c>
    </row>
    <row r="93">
      <c r="A93" s="8" t="inlineStr">
        <is>
          <t>Operating expenses (detail)</t>
        </is>
      </c>
      <c r="B93" s="8" t="inlineStr">
        <is>
          <t>B16</t>
        </is>
      </c>
      <c r="C93" s="8" t="inlineStr">
        <is>
          <t>10. Payroll taxes</t>
        </is>
      </c>
      <c r="D93" s="8" t="inlineStr">
        <is>
          <t>10</t>
        </is>
      </c>
      <c r="E93" s="8" t="inlineStr">
        <is>
          <t>part_ix_expenses.payroll_taxes</t>
        </is>
      </c>
      <c r="F93" s="8" t="inlineStr">
        <is>
          <t>high</t>
        </is>
      </c>
      <c r="G93" s="9" t="n">
        <v>89183</v>
      </c>
    </row>
    <row r="94">
      <c r="A94" s="8" t="inlineStr">
        <is>
          <t>Operating expenses (detail)</t>
        </is>
      </c>
      <c r="B94" s="8" t="inlineStr">
        <is>
          <t>C16</t>
        </is>
      </c>
      <c r="C94" s="8" t="inlineStr">
        <is>
          <t>10. Payroll taxes</t>
        </is>
      </c>
      <c r="D94" s="8" t="inlineStr">
        <is>
          <t>10</t>
        </is>
      </c>
      <c r="E94" s="8" t="inlineStr">
        <is>
          <t>part_ix_expenses.payroll_taxes</t>
        </is>
      </c>
      <c r="F94" s="8" t="inlineStr">
        <is>
          <t>high</t>
        </is>
      </c>
      <c r="G94" s="9" t="n">
        <v>90046</v>
      </c>
    </row>
    <row r="95">
      <c r="A95" s="8" t="inlineStr">
        <is>
          <t>Operating expenses (detail)</t>
        </is>
      </c>
      <c r="B95" s="8" t="inlineStr">
        <is>
          <t>D16</t>
        </is>
      </c>
      <c r="C95" s="8" t="inlineStr">
        <is>
          <t>10. Payroll taxes</t>
        </is>
      </c>
      <c r="D95" s="8" t="inlineStr">
        <is>
          <t>10</t>
        </is>
      </c>
      <c r="E95" s="8" t="inlineStr">
        <is>
          <t>part_ix_expenses.payroll_taxes</t>
        </is>
      </c>
      <c r="F95" s="8" t="inlineStr">
        <is>
          <t>high</t>
        </is>
      </c>
      <c r="G95" s="9" t="n">
        <v>92332</v>
      </c>
    </row>
    <row r="96">
      <c r="A96" s="8" t="inlineStr">
        <is>
          <t>Operating expenses (detail)</t>
        </is>
      </c>
      <c r="B96" s="8" t="inlineStr">
        <is>
          <t>E16</t>
        </is>
      </c>
      <c r="C96" s="8" t="inlineStr">
        <is>
          <t>10. Payroll taxes</t>
        </is>
      </c>
      <c r="D96" s="8" t="inlineStr">
        <is>
          <t>10</t>
        </is>
      </c>
      <c r="E96" s="8" t="inlineStr">
        <is>
          <t>part_ix_expenses.payroll_taxes</t>
        </is>
      </c>
      <c r="F96" s="8" t="inlineStr">
        <is>
          <t>high</t>
        </is>
      </c>
      <c r="G96" s="9" t="n">
        <v>89135</v>
      </c>
    </row>
    <row r="97">
      <c r="A97" s="8" t="inlineStr">
        <is>
          <t>Operating expenses (detail)</t>
        </is>
      </c>
      <c r="B97" s="8" t="inlineStr">
        <is>
          <t>F16</t>
        </is>
      </c>
      <c r="C97" s="8" t="inlineStr">
        <is>
          <t>10. Payroll taxes</t>
        </is>
      </c>
      <c r="D97" s="8" t="inlineStr">
        <is>
          <t>10</t>
        </is>
      </c>
      <c r="E97" s="8" t="inlineStr">
        <is>
          <t>part_ix_expenses.payroll_taxes</t>
        </is>
      </c>
      <c r="F97" s="8" t="inlineStr">
        <is>
          <t>high</t>
        </is>
      </c>
      <c r="G97" s="9" t="n">
        <v>89471</v>
      </c>
    </row>
    <row r="98">
      <c r="A98" s="8" t="inlineStr">
        <is>
          <t>Operating expenses (detail)</t>
        </is>
      </c>
      <c r="B98" s="8" t="inlineStr">
        <is>
          <t>B17</t>
        </is>
      </c>
      <c r="C98" s="8" t="inlineStr">
        <is>
          <t>11a. Fees for services: management</t>
        </is>
      </c>
      <c r="D98" s="8" t="inlineStr">
        <is>
          <t>11a</t>
        </is>
      </c>
      <c r="E98" s="8" t="inlineStr">
        <is>
          <t>part_ix_expenses.fees_management</t>
        </is>
      </c>
      <c r="F98" s="8" t="inlineStr">
        <is>
          <t>high</t>
        </is>
      </c>
      <c r="G98" s="9" t="n">
        <v>0</v>
      </c>
    </row>
    <row r="99">
      <c r="A99" s="8" t="inlineStr">
        <is>
          <t>Operating expenses (detail)</t>
        </is>
      </c>
      <c r="B99" s="8" t="inlineStr">
        <is>
          <t>C17</t>
        </is>
      </c>
      <c r="C99" s="8" t="inlineStr">
        <is>
          <t>11a. Fees for services: management</t>
        </is>
      </c>
      <c r="D99" s="8" t="inlineStr">
        <is>
          <t>11a</t>
        </is>
      </c>
      <c r="E99" s="8" t="inlineStr">
        <is>
          <t>part_ix_expenses.fees_management</t>
        </is>
      </c>
      <c r="F99" s="8" t="inlineStr">
        <is>
          <t>high</t>
        </is>
      </c>
      <c r="G99" s="9" t="n">
        <v>0</v>
      </c>
    </row>
    <row r="100">
      <c r="A100" s="8" t="inlineStr">
        <is>
          <t>Operating expenses (detail)</t>
        </is>
      </c>
      <c r="B100" s="8" t="inlineStr">
        <is>
          <t>D17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E17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F17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B18</t>
        </is>
      </c>
      <c r="C103" s="8" t="inlineStr">
        <is>
          <t>11b. Fees for services: legal</t>
        </is>
      </c>
      <c r="D103" s="8" t="inlineStr">
        <is>
          <t>11b</t>
        </is>
      </c>
      <c r="E103" s="8" t="inlineStr">
        <is>
          <t>part_ix_expenses.fees_legal</t>
        </is>
      </c>
      <c r="F103" s="8" t="inlineStr">
        <is>
          <t>high</t>
        </is>
      </c>
      <c r="G103" s="9" t="n">
        <v>15020</v>
      </c>
    </row>
    <row r="104">
      <c r="A104" s="8" t="inlineStr">
        <is>
          <t>Operating expenses (detail)</t>
        </is>
      </c>
      <c r="B104" s="8" t="inlineStr">
        <is>
          <t>C18</t>
        </is>
      </c>
      <c r="C104" s="8" t="inlineStr">
        <is>
          <t>11b. Fees for services: legal</t>
        </is>
      </c>
      <c r="D104" s="8" t="inlineStr">
        <is>
          <t>11b</t>
        </is>
      </c>
      <c r="E104" s="8" t="inlineStr">
        <is>
          <t>part_ix_expenses.fees_legal</t>
        </is>
      </c>
      <c r="F104" s="8" t="inlineStr">
        <is>
          <t>high</t>
        </is>
      </c>
      <c r="G104" s="9" t="n">
        <v>25225</v>
      </c>
    </row>
    <row r="105">
      <c r="A105" s="8" t="inlineStr">
        <is>
          <t>Operating expenses (detail)</t>
        </is>
      </c>
      <c r="B105" s="8" t="inlineStr">
        <is>
          <t>D18</t>
        </is>
      </c>
      <c r="C105" s="8" t="inlineStr">
        <is>
          <t>11b. Fees for services: legal</t>
        </is>
      </c>
      <c r="D105" s="8" t="inlineStr">
        <is>
          <t>11b</t>
        </is>
      </c>
      <c r="E105" s="8" t="inlineStr">
        <is>
          <t>part_ix_expenses.fees_legal</t>
        </is>
      </c>
      <c r="F105" s="8" t="inlineStr">
        <is>
          <t>high</t>
        </is>
      </c>
      <c r="G105" s="9" t="n">
        <v>15075</v>
      </c>
    </row>
    <row r="106">
      <c r="A106" s="8" t="inlineStr">
        <is>
          <t>Operating expenses (detail)</t>
        </is>
      </c>
      <c r="B106" s="8" t="inlineStr">
        <is>
          <t>E18</t>
        </is>
      </c>
      <c r="C106" s="8" t="inlineStr">
        <is>
          <t>11b. Fees for services: legal</t>
        </is>
      </c>
      <c r="D106" s="8" t="inlineStr">
        <is>
          <t>11b</t>
        </is>
      </c>
      <c r="E106" s="8" t="inlineStr">
        <is>
          <t>part_ix_expenses.fees_legal</t>
        </is>
      </c>
      <c r="F106" s="8" t="inlineStr">
        <is>
          <t>high</t>
        </is>
      </c>
      <c r="G106" s="9" t="n">
        <v>15000</v>
      </c>
    </row>
    <row r="107">
      <c r="A107" s="8" t="inlineStr">
        <is>
          <t>Operating expenses (detail)</t>
        </is>
      </c>
      <c r="B107" s="8" t="inlineStr">
        <is>
          <t>F18</t>
        </is>
      </c>
      <c r="C107" s="8" t="inlineStr">
        <is>
          <t>11b. Fees for services: legal</t>
        </is>
      </c>
      <c r="D107" s="8" t="inlineStr">
        <is>
          <t>11b</t>
        </is>
      </c>
      <c r="E107" s="8" t="inlineStr">
        <is>
          <t>part_ix_expenses.fees_legal</t>
        </is>
      </c>
      <c r="F107" s="8" t="inlineStr">
        <is>
          <t>high</t>
        </is>
      </c>
      <c r="G107" s="9" t="n">
        <v>15000</v>
      </c>
    </row>
    <row r="108">
      <c r="A108" s="8" t="inlineStr">
        <is>
          <t>Operating expenses (detail)</t>
        </is>
      </c>
      <c r="B108" s="8" t="inlineStr">
        <is>
          <t>B19</t>
        </is>
      </c>
      <c r="C108" s="8" t="inlineStr">
        <is>
          <t>11c. Fees for services: accounting</t>
        </is>
      </c>
      <c r="D108" s="8" t="inlineStr">
        <is>
          <t>11c</t>
        </is>
      </c>
      <c r="E108" s="8" t="inlineStr">
        <is>
          <t>part_ix_expenses.fees_accounting</t>
        </is>
      </c>
      <c r="F108" s="8" t="inlineStr">
        <is>
          <t>high</t>
        </is>
      </c>
      <c r="G108" s="9" t="n">
        <v>25600</v>
      </c>
    </row>
    <row r="109">
      <c r="A109" s="8" t="inlineStr">
        <is>
          <t>Operating expenses (detail)</t>
        </is>
      </c>
      <c r="B109" s="8" t="inlineStr">
        <is>
          <t>C19</t>
        </is>
      </c>
      <c r="C109" s="8" t="inlineStr">
        <is>
          <t>11c. Fees for services: accounting</t>
        </is>
      </c>
      <c r="D109" s="8" t="inlineStr">
        <is>
          <t>11c</t>
        </is>
      </c>
      <c r="E109" s="8" t="inlineStr">
        <is>
          <t>part_ix_expenses.fees_accounting</t>
        </is>
      </c>
      <c r="F109" s="8" t="inlineStr">
        <is>
          <t>high</t>
        </is>
      </c>
      <c r="G109" s="9" t="n">
        <v>16500</v>
      </c>
    </row>
    <row r="110">
      <c r="A110" s="8" t="inlineStr">
        <is>
          <t>Operating expenses (detail)</t>
        </is>
      </c>
      <c r="B110" s="8" t="inlineStr">
        <is>
          <t>D19</t>
        </is>
      </c>
      <c r="C110" s="8" t="inlineStr">
        <is>
          <t>11c. Fees for services: accounting</t>
        </is>
      </c>
      <c r="D110" s="8" t="inlineStr">
        <is>
          <t>11c</t>
        </is>
      </c>
      <c r="E110" s="8" t="inlineStr">
        <is>
          <t>part_ix_expenses.fees_accounting</t>
        </is>
      </c>
      <c r="F110" s="8" t="inlineStr">
        <is>
          <t>high</t>
        </is>
      </c>
      <c r="G110" s="9" t="n">
        <v>16500</v>
      </c>
    </row>
    <row r="111">
      <c r="A111" s="8" t="inlineStr">
        <is>
          <t>Operating expenses (detail)</t>
        </is>
      </c>
      <c r="B111" s="8" t="inlineStr">
        <is>
          <t>E19</t>
        </is>
      </c>
      <c r="C111" s="8" t="inlineStr">
        <is>
          <t>11c. Fees for services: accounting</t>
        </is>
      </c>
      <c r="D111" s="8" t="inlineStr">
        <is>
          <t>11c</t>
        </is>
      </c>
      <c r="E111" s="8" t="inlineStr">
        <is>
          <t>part_ix_expenses.fees_accounting</t>
        </is>
      </c>
      <c r="F111" s="8" t="inlineStr">
        <is>
          <t>high</t>
        </is>
      </c>
      <c r="G111" s="9" t="n">
        <v>18579</v>
      </c>
    </row>
    <row r="112">
      <c r="A112" s="8" t="inlineStr">
        <is>
          <t>Operating expenses (detail)</t>
        </is>
      </c>
      <c r="B112" s="8" t="inlineStr">
        <is>
          <t>F19</t>
        </is>
      </c>
      <c r="C112" s="8" t="inlineStr">
        <is>
          <t>11c. Fees for services: accounting</t>
        </is>
      </c>
      <c r="D112" s="8" t="inlineStr">
        <is>
          <t>11c</t>
        </is>
      </c>
      <c r="E112" s="8" t="inlineStr">
        <is>
          <t>part_ix_expenses.fees_accounting</t>
        </is>
      </c>
      <c r="F112" s="8" t="inlineStr">
        <is>
          <t>high</t>
        </is>
      </c>
      <c r="G112" s="9" t="n">
        <v>18325</v>
      </c>
    </row>
    <row r="113">
      <c r="A113" s="8" t="inlineStr">
        <is>
          <t>Operating expenses (detail)</t>
        </is>
      </c>
      <c r="B113" s="8" t="inlineStr">
        <is>
          <t>B20</t>
        </is>
      </c>
      <c r="C113" s="8" t="inlineStr">
        <is>
          <t>11d. Fees for services: lobbying</t>
        </is>
      </c>
      <c r="D113" s="8" t="inlineStr">
        <is>
          <t>11d</t>
        </is>
      </c>
      <c r="E113" s="8" t="inlineStr">
        <is>
          <t>part_ix_expenses.fees_lobbying</t>
        </is>
      </c>
      <c r="F113" s="8" t="inlineStr">
        <is>
          <t>high</t>
        </is>
      </c>
      <c r="G113" s="9" t="n">
        <v>0</v>
      </c>
    </row>
    <row r="114">
      <c r="A114" s="8" t="inlineStr">
        <is>
          <t>Operating expenses (detail)</t>
        </is>
      </c>
      <c r="B114" s="8" t="inlineStr">
        <is>
          <t>C20</t>
        </is>
      </c>
      <c r="C114" s="8" t="inlineStr">
        <is>
          <t>11d. Fees for services: lobbying</t>
        </is>
      </c>
      <c r="D114" s="8" t="inlineStr">
        <is>
          <t>11d</t>
        </is>
      </c>
      <c r="E114" s="8" t="inlineStr">
        <is>
          <t>part_ix_expenses.fees_lobbying</t>
        </is>
      </c>
      <c r="F114" s="8" t="inlineStr">
        <is>
          <t>high</t>
        </is>
      </c>
      <c r="G114" s="9" t="n">
        <v>0</v>
      </c>
    </row>
    <row r="115">
      <c r="A115" s="8" t="inlineStr">
        <is>
          <t>Operating expenses (detail)</t>
        </is>
      </c>
      <c r="B115" s="8" t="inlineStr">
        <is>
          <t>D20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E20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F20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B21</t>
        </is>
      </c>
      <c r="C118" s="8" t="inlineStr">
        <is>
          <t>11e. Fees for services: professional fundraising</t>
        </is>
      </c>
      <c r="D118" s="8" t="inlineStr">
        <is>
          <t>11e</t>
        </is>
      </c>
      <c r="E118" s="8" t="inlineStr">
        <is>
          <t>part_ix_expenses.fees_prof_fundraising</t>
        </is>
      </c>
      <c r="F118" s="8" t="inlineStr">
        <is>
          <t>high</t>
        </is>
      </c>
      <c r="G118" s="9" t="n">
        <v>0</v>
      </c>
    </row>
    <row r="119">
      <c r="A119" s="8" t="inlineStr">
        <is>
          <t>Operating expenses (detail)</t>
        </is>
      </c>
      <c r="B119" s="8" t="inlineStr">
        <is>
          <t>C21</t>
        </is>
      </c>
      <c r="C119" s="8" t="inlineStr">
        <is>
          <t>11e. Fees for services: professional fundraising</t>
        </is>
      </c>
      <c r="D119" s="8" t="inlineStr">
        <is>
          <t>11e</t>
        </is>
      </c>
      <c r="E119" s="8" t="inlineStr">
        <is>
          <t>part_ix_expenses.fees_prof_fundraising</t>
        </is>
      </c>
      <c r="F119" s="8" t="inlineStr">
        <is>
          <t>high</t>
        </is>
      </c>
      <c r="G119" s="9" t="n">
        <v>0</v>
      </c>
    </row>
    <row r="120">
      <c r="A120" s="8" t="inlineStr">
        <is>
          <t>Operating expenses (detail)</t>
        </is>
      </c>
      <c r="B120" s="8" t="inlineStr">
        <is>
          <t>D21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E21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F21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B22</t>
        </is>
      </c>
      <c r="C123" s="8" t="inlineStr">
        <is>
          <t>11f. Fees for services: investment management</t>
        </is>
      </c>
      <c r="D123" s="8" t="inlineStr">
        <is>
          <t>11f</t>
        </is>
      </c>
      <c r="E123" s="8" t="inlineStr">
        <is>
          <t>part_ix_expenses.fees_investment_mgmt</t>
        </is>
      </c>
      <c r="F123" s="8" t="inlineStr">
        <is>
          <t>high</t>
        </is>
      </c>
      <c r="G123" s="9" t="n">
        <v>0</v>
      </c>
    </row>
    <row r="124">
      <c r="A124" s="8" t="inlineStr">
        <is>
          <t>Operating expenses (detail)</t>
        </is>
      </c>
      <c r="B124" s="8" t="inlineStr">
        <is>
          <t>C22</t>
        </is>
      </c>
      <c r="C124" s="8" t="inlineStr">
        <is>
          <t>11f. Fees for services: investment management</t>
        </is>
      </c>
      <c r="D124" s="8" t="inlineStr">
        <is>
          <t>11f</t>
        </is>
      </c>
      <c r="E124" s="8" t="inlineStr">
        <is>
          <t>part_ix_expenses.fees_investment_mgmt</t>
        </is>
      </c>
      <c r="F124" s="8" t="inlineStr">
        <is>
          <t>high</t>
        </is>
      </c>
      <c r="G124" s="9" t="n">
        <v>0</v>
      </c>
    </row>
    <row r="125">
      <c r="A125" s="8" t="inlineStr">
        <is>
          <t>Operating expenses (detail)</t>
        </is>
      </c>
      <c r="B125" s="8" t="inlineStr">
        <is>
          <t>D22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E22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F22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B23</t>
        </is>
      </c>
      <c r="C128" s="8" t="inlineStr">
        <is>
          <t>11g. Fees for services: other</t>
        </is>
      </c>
      <c r="D128" s="8" t="inlineStr">
        <is>
          <t>11g</t>
        </is>
      </c>
      <c r="E128" s="8" t="inlineStr">
        <is>
          <t>part_ix_expenses.fees_other</t>
        </is>
      </c>
      <c r="F128" s="8" t="inlineStr">
        <is>
          <t>high</t>
        </is>
      </c>
      <c r="G128" s="9" t="n">
        <v>0</v>
      </c>
    </row>
    <row r="129">
      <c r="A129" s="8" t="inlineStr">
        <is>
          <t>Operating expenses (detail)</t>
        </is>
      </c>
      <c r="B129" s="8" t="inlineStr">
        <is>
          <t>C23</t>
        </is>
      </c>
      <c r="C129" s="8" t="inlineStr">
        <is>
          <t>11g. Fees for services: other</t>
        </is>
      </c>
      <c r="D129" s="8" t="inlineStr">
        <is>
          <t>11g</t>
        </is>
      </c>
      <c r="E129" s="8" t="inlineStr">
        <is>
          <t>part_ix_expenses.fees_other</t>
        </is>
      </c>
      <c r="F129" s="8" t="inlineStr">
        <is>
          <t>high</t>
        </is>
      </c>
      <c r="G129" s="9" t="n">
        <v>42555</v>
      </c>
    </row>
    <row r="130">
      <c r="A130" s="8" t="inlineStr">
        <is>
          <t>Operating expenses (detail)</t>
        </is>
      </c>
      <c r="B130" s="8" t="inlineStr">
        <is>
          <t>D23</t>
        </is>
      </c>
      <c r="C130" s="8" t="inlineStr">
        <is>
          <t>11g. Fees for services: other</t>
        </is>
      </c>
      <c r="D130" s="8" t="inlineStr">
        <is>
          <t>11g</t>
        </is>
      </c>
      <c r="E130" s="8" t="inlineStr">
        <is>
          <t>part_ix_expenses.fees_other</t>
        </is>
      </c>
      <c r="F130" s="8" t="inlineStr">
        <is>
          <t>high</t>
        </is>
      </c>
      <c r="G130" s="9" t="n">
        <v>63068</v>
      </c>
    </row>
    <row r="131">
      <c r="A131" s="8" t="inlineStr">
        <is>
          <t>Operating expenses (detail)</t>
        </is>
      </c>
      <c r="B131" s="8" t="inlineStr">
        <is>
          <t>E23</t>
        </is>
      </c>
      <c r="C131" s="8" t="inlineStr">
        <is>
          <t>11g. Fees for services: other</t>
        </is>
      </c>
      <c r="D131" s="8" t="inlineStr">
        <is>
          <t>11g</t>
        </is>
      </c>
      <c r="E131" s="8" t="inlineStr">
        <is>
          <t>part_ix_expenses.fees_other</t>
        </is>
      </c>
      <c r="F131" s="8" t="inlineStr">
        <is>
          <t>high</t>
        </is>
      </c>
      <c r="G131" s="9" t="n">
        <v>109916</v>
      </c>
    </row>
    <row r="132">
      <c r="A132" s="8" t="inlineStr">
        <is>
          <t>Operating expenses (detail)</t>
        </is>
      </c>
      <c r="B132" s="8" t="inlineStr">
        <is>
          <t>F23</t>
        </is>
      </c>
      <c r="C132" s="8" t="inlineStr">
        <is>
          <t>11g. Fees for services: other</t>
        </is>
      </c>
      <c r="D132" s="8" t="inlineStr">
        <is>
          <t>11g</t>
        </is>
      </c>
      <c r="E132" s="8" t="inlineStr">
        <is>
          <t>part_ix_expenses.fees_other</t>
        </is>
      </c>
      <c r="F132" s="8" t="inlineStr">
        <is>
          <t>high</t>
        </is>
      </c>
      <c r="G132" s="9" t="n">
        <v>39063</v>
      </c>
    </row>
    <row r="133">
      <c r="A133" s="8" t="inlineStr">
        <is>
          <t>Operating expenses (detail)</t>
        </is>
      </c>
      <c r="B133" s="8" t="inlineStr">
        <is>
          <t>B24</t>
        </is>
      </c>
      <c r="C133" s="8" t="inlineStr">
        <is>
          <t>12. Advertising and promotion</t>
        </is>
      </c>
      <c r="D133" s="8" t="inlineStr">
        <is>
          <t>12</t>
        </is>
      </c>
      <c r="E133" s="8" t="inlineStr">
        <is>
          <t>part_ix_expenses.advertising</t>
        </is>
      </c>
      <c r="F133" s="8" t="inlineStr">
        <is>
          <t>high</t>
        </is>
      </c>
      <c r="G133" s="9" t="n">
        <v>0</v>
      </c>
    </row>
    <row r="134">
      <c r="A134" s="8" t="inlineStr">
        <is>
          <t>Operating expenses (detail)</t>
        </is>
      </c>
      <c r="B134" s="8" t="inlineStr">
        <is>
          <t>C24</t>
        </is>
      </c>
      <c r="C134" s="8" t="inlineStr">
        <is>
          <t>12. Advertising and promotion</t>
        </is>
      </c>
      <c r="D134" s="8" t="inlineStr">
        <is>
          <t>12</t>
        </is>
      </c>
      <c r="E134" s="8" t="inlineStr">
        <is>
          <t>part_ix_expenses.advertising</t>
        </is>
      </c>
      <c r="F134" s="8" t="inlineStr">
        <is>
          <t>high</t>
        </is>
      </c>
      <c r="G134" s="9" t="n">
        <v>0</v>
      </c>
    </row>
    <row r="135">
      <c r="A135" s="8" t="inlineStr">
        <is>
          <t>Operating expenses (detail)</t>
        </is>
      </c>
      <c r="B135" s="8" t="inlineStr">
        <is>
          <t>D24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E24</t>
        </is>
      </c>
      <c r="C136" s="8" t="inlineStr">
        <is>
          <t>12. Advertising and promotion</t>
        </is>
      </c>
      <c r="D136" s="8" t="inlineStr">
        <is>
          <t>12</t>
        </is>
      </c>
      <c r="E136" s="8" t="inlineStr">
        <is>
          <t>part_ix_expenses.advertising</t>
        </is>
      </c>
      <c r="F136" s="8" t="inlineStr">
        <is>
          <t>high</t>
        </is>
      </c>
      <c r="G136" s="9" t="n">
        <v>0</v>
      </c>
    </row>
    <row r="137">
      <c r="A137" s="8" t="inlineStr">
        <is>
          <t>Operating expenses (detail)</t>
        </is>
      </c>
      <c r="B137" s="8" t="inlineStr">
        <is>
          <t>F24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B25</t>
        </is>
      </c>
      <c r="C138" s="8" t="inlineStr">
        <is>
          <t>13. Office expenses</t>
        </is>
      </c>
      <c r="D138" s="8" t="inlineStr">
        <is>
          <t>13</t>
        </is>
      </c>
      <c r="E138" s="8" t="inlineStr">
        <is>
          <t>part_ix_expenses.office_expenses</t>
        </is>
      </c>
      <c r="F138" s="8" t="inlineStr">
        <is>
          <t>high</t>
        </is>
      </c>
      <c r="G138" s="9" t="n">
        <v>0</v>
      </c>
    </row>
    <row r="139">
      <c r="A139" s="8" t="inlineStr">
        <is>
          <t>Operating expenses (detail)</t>
        </is>
      </c>
      <c r="B139" s="8" t="inlineStr">
        <is>
          <t>C25</t>
        </is>
      </c>
      <c r="C139" s="8" t="inlineStr">
        <is>
          <t>13. Office expenses</t>
        </is>
      </c>
      <c r="D139" s="8" t="inlineStr">
        <is>
          <t>13</t>
        </is>
      </c>
      <c r="E139" s="8" t="inlineStr">
        <is>
          <t>part_ix_expenses.office_expenses</t>
        </is>
      </c>
      <c r="F139" s="8" t="inlineStr">
        <is>
          <t>high</t>
        </is>
      </c>
      <c r="G139" s="9" t="n">
        <v>0</v>
      </c>
    </row>
    <row r="140">
      <c r="A140" s="8" t="inlineStr">
        <is>
          <t>Operating expenses (detail)</t>
        </is>
      </c>
      <c r="B140" s="8" t="inlineStr">
        <is>
          <t>D25</t>
        </is>
      </c>
      <c r="C140" s="8" t="inlineStr">
        <is>
          <t>13. Office expenses</t>
        </is>
      </c>
      <c r="D140" s="8" t="inlineStr">
        <is>
          <t>13</t>
        </is>
      </c>
      <c r="E140" s="8" t="inlineStr">
        <is>
          <t>part_ix_expenses.office_expenses</t>
        </is>
      </c>
      <c r="F140" s="8" t="inlineStr">
        <is>
          <t>high</t>
        </is>
      </c>
      <c r="G140" s="9" t="n">
        <v>0</v>
      </c>
    </row>
    <row r="141">
      <c r="A141" s="8" t="inlineStr">
        <is>
          <t>Operating expenses (detail)</t>
        </is>
      </c>
      <c r="B141" s="8" t="inlineStr">
        <is>
          <t>E25</t>
        </is>
      </c>
      <c r="C141" s="8" t="inlineStr">
        <is>
          <t>13. Office expenses</t>
        </is>
      </c>
      <c r="D141" s="8" t="inlineStr">
        <is>
          <t>13</t>
        </is>
      </c>
      <c r="E141" s="8" t="inlineStr">
        <is>
          <t>part_ix_expenses.office_expenses</t>
        </is>
      </c>
      <c r="F141" s="8" t="inlineStr">
        <is>
          <t>high</t>
        </is>
      </c>
      <c r="G141" s="9" t="n">
        <v>0</v>
      </c>
    </row>
    <row r="142">
      <c r="A142" s="8" t="inlineStr">
        <is>
          <t>Operating expenses (detail)</t>
        </is>
      </c>
      <c r="B142" s="8" t="inlineStr">
        <is>
          <t>F25</t>
        </is>
      </c>
      <c r="C142" s="8" t="inlineStr">
        <is>
          <t>13. Office expenses</t>
        </is>
      </c>
      <c r="D142" s="8" t="inlineStr">
        <is>
          <t>13</t>
        </is>
      </c>
      <c r="E142" s="8" t="inlineStr">
        <is>
          <t>part_ix_expenses.office_expenses</t>
        </is>
      </c>
      <c r="F142" s="8" t="inlineStr">
        <is>
          <t>high</t>
        </is>
      </c>
      <c r="G142" s="9" t="n">
        <v>0</v>
      </c>
    </row>
    <row r="143">
      <c r="A143" s="8" t="inlineStr">
        <is>
          <t>Operating expenses (detail)</t>
        </is>
      </c>
      <c r="B143" s="8" t="inlineStr">
        <is>
          <t>B26</t>
        </is>
      </c>
      <c r="C143" s="8" t="inlineStr">
        <is>
          <t>14. Information technology</t>
        </is>
      </c>
      <c r="D143" s="8" t="inlineStr">
        <is>
          <t>14</t>
        </is>
      </c>
      <c r="E143" s="8" t="inlineStr">
        <is>
          <t>part_ix_expenses.information_technology</t>
        </is>
      </c>
      <c r="F143" s="8" t="inlineStr">
        <is>
          <t>high</t>
        </is>
      </c>
      <c r="G143" s="9" t="n">
        <v>81015</v>
      </c>
    </row>
    <row r="144">
      <c r="A144" s="8" t="inlineStr">
        <is>
          <t>Operating expenses (detail)</t>
        </is>
      </c>
      <c r="B144" s="8" t="inlineStr">
        <is>
          <t>C26</t>
        </is>
      </c>
      <c r="C144" s="8" t="inlineStr">
        <is>
          <t>14. Information technology</t>
        </is>
      </c>
      <c r="D144" s="8" t="inlineStr">
        <is>
          <t>14</t>
        </is>
      </c>
      <c r="E144" s="8" t="inlineStr">
        <is>
          <t>part_ix_expenses.information_technology</t>
        </is>
      </c>
      <c r="F144" s="8" t="inlineStr">
        <is>
          <t>high</t>
        </is>
      </c>
      <c r="G144" s="9" t="n">
        <v>86673</v>
      </c>
    </row>
    <row r="145">
      <c r="A145" s="8" t="inlineStr">
        <is>
          <t>Operating expenses (detail)</t>
        </is>
      </c>
      <c r="B145" s="8" t="inlineStr">
        <is>
          <t>D26</t>
        </is>
      </c>
      <c r="C145" s="8" t="inlineStr">
        <is>
          <t>14. Information technology</t>
        </is>
      </c>
      <c r="D145" s="8" t="inlineStr">
        <is>
          <t>14</t>
        </is>
      </c>
      <c r="E145" s="8" t="inlineStr">
        <is>
          <t>part_ix_expenses.information_technology</t>
        </is>
      </c>
      <c r="F145" s="8" t="inlineStr">
        <is>
          <t>high</t>
        </is>
      </c>
      <c r="G145" s="9" t="n">
        <v>68677</v>
      </c>
    </row>
    <row r="146">
      <c r="A146" s="8" t="inlineStr">
        <is>
          <t>Operating expenses (detail)</t>
        </is>
      </c>
      <c r="B146" s="8" t="inlineStr">
        <is>
          <t>E26</t>
        </is>
      </c>
      <c r="C146" s="8" t="inlineStr">
        <is>
          <t>14. Information technology</t>
        </is>
      </c>
      <c r="D146" s="8" t="inlineStr">
        <is>
          <t>14</t>
        </is>
      </c>
      <c r="E146" s="8" t="inlineStr">
        <is>
          <t>part_ix_expenses.information_technology</t>
        </is>
      </c>
      <c r="F146" s="8" t="inlineStr">
        <is>
          <t>high</t>
        </is>
      </c>
      <c r="G146" s="9" t="n">
        <v>67536</v>
      </c>
    </row>
    <row r="147">
      <c r="A147" s="8" t="inlineStr">
        <is>
          <t>Operating expenses (detail)</t>
        </is>
      </c>
      <c r="B147" s="8" t="inlineStr">
        <is>
          <t>F26</t>
        </is>
      </c>
      <c r="C147" s="8" t="inlineStr">
        <is>
          <t>14. Information technology</t>
        </is>
      </c>
      <c r="D147" s="8" t="inlineStr">
        <is>
          <t>14</t>
        </is>
      </c>
      <c r="E147" s="8" t="inlineStr">
        <is>
          <t>part_ix_expenses.information_technology</t>
        </is>
      </c>
      <c r="F147" s="8" t="inlineStr">
        <is>
          <t>high</t>
        </is>
      </c>
      <c r="G147" s="9" t="n">
        <v>77907</v>
      </c>
    </row>
    <row r="148">
      <c r="A148" s="8" t="inlineStr">
        <is>
          <t>Operating expenses (detail)</t>
        </is>
      </c>
      <c r="B148" s="8" t="inlineStr">
        <is>
          <t>B27</t>
        </is>
      </c>
      <c r="C148" s="8" t="inlineStr">
        <is>
          <t>15. Royalties</t>
        </is>
      </c>
      <c r="D148" s="8" t="inlineStr">
        <is>
          <t>15</t>
        </is>
      </c>
      <c r="E148" s="8" t="inlineStr">
        <is>
          <t>part_ix_expenses.royalties</t>
        </is>
      </c>
      <c r="F148" s="8" t="inlineStr">
        <is>
          <t>high</t>
        </is>
      </c>
      <c r="G148" s="9" t="n">
        <v>0</v>
      </c>
    </row>
    <row r="149">
      <c r="A149" s="8" t="inlineStr">
        <is>
          <t>Operating expenses (detail)</t>
        </is>
      </c>
      <c r="B149" s="8" t="inlineStr">
        <is>
          <t>C27</t>
        </is>
      </c>
      <c r="C149" s="8" t="inlineStr">
        <is>
          <t>15. Royalties</t>
        </is>
      </c>
      <c r="D149" s="8" t="inlineStr">
        <is>
          <t>15</t>
        </is>
      </c>
      <c r="E149" s="8" t="inlineStr">
        <is>
          <t>part_ix_expenses.royalties</t>
        </is>
      </c>
      <c r="F149" s="8" t="inlineStr">
        <is>
          <t>high</t>
        </is>
      </c>
      <c r="G149" s="9" t="n">
        <v>0</v>
      </c>
    </row>
    <row r="150">
      <c r="A150" s="8" t="inlineStr">
        <is>
          <t>Operating expenses (detail)</t>
        </is>
      </c>
      <c r="B150" s="8" t="inlineStr">
        <is>
          <t>D27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E27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F27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B28</t>
        </is>
      </c>
      <c r="C153" s="8" t="inlineStr">
        <is>
          <t>16. Occupancy</t>
        </is>
      </c>
      <c r="D153" s="8" t="inlineStr">
        <is>
          <t>16</t>
        </is>
      </c>
      <c r="E153" s="8" t="inlineStr">
        <is>
          <t>part_ix_expenses.occupancy</t>
        </is>
      </c>
      <c r="F153" s="8" t="inlineStr">
        <is>
          <t>high</t>
        </is>
      </c>
      <c r="G153" s="9" t="n">
        <v>0</v>
      </c>
    </row>
    <row r="154">
      <c r="A154" s="8" t="inlineStr">
        <is>
          <t>Operating expenses (detail)</t>
        </is>
      </c>
      <c r="B154" s="8" t="inlineStr">
        <is>
          <t>C28</t>
        </is>
      </c>
      <c r="C154" s="8" t="inlineStr">
        <is>
          <t>16. Occupancy</t>
        </is>
      </c>
      <c r="D154" s="8" t="inlineStr">
        <is>
          <t>16</t>
        </is>
      </c>
      <c r="E154" s="8" t="inlineStr">
        <is>
          <t>part_ix_expenses.occupancy</t>
        </is>
      </c>
      <c r="F154" s="8" t="inlineStr">
        <is>
          <t>high</t>
        </is>
      </c>
      <c r="G154" s="9" t="n">
        <v>0</v>
      </c>
    </row>
    <row r="155">
      <c r="A155" s="8" t="inlineStr">
        <is>
          <t>Operating expenses (detail)</t>
        </is>
      </c>
      <c r="B155" s="8" t="inlineStr">
        <is>
          <t>D28</t>
        </is>
      </c>
      <c r="C155" s="8" t="inlineStr">
        <is>
          <t>16. Occupancy</t>
        </is>
      </c>
      <c r="D155" s="8" t="inlineStr">
        <is>
          <t>16</t>
        </is>
      </c>
      <c r="E155" s="8" t="inlineStr">
        <is>
          <t>part_ix_expenses.occupancy</t>
        </is>
      </c>
      <c r="F155" s="8" t="inlineStr">
        <is>
          <t>high</t>
        </is>
      </c>
      <c r="G155" s="9" t="n">
        <v>0</v>
      </c>
    </row>
    <row r="156">
      <c r="A156" s="8" t="inlineStr">
        <is>
          <t>Operating expenses (detail)</t>
        </is>
      </c>
      <c r="B156" s="8" t="inlineStr">
        <is>
          <t>E28</t>
        </is>
      </c>
      <c r="C156" s="8" t="inlineStr">
        <is>
          <t>16. Occupancy</t>
        </is>
      </c>
      <c r="D156" s="8" t="inlineStr">
        <is>
          <t>16</t>
        </is>
      </c>
      <c r="E156" s="8" t="inlineStr">
        <is>
          <t>part_ix_expenses.occupancy</t>
        </is>
      </c>
      <c r="F156" s="8" t="inlineStr">
        <is>
          <t>high</t>
        </is>
      </c>
      <c r="G156" s="9" t="n">
        <v>0</v>
      </c>
    </row>
    <row r="157">
      <c r="A157" s="8" t="inlineStr">
        <is>
          <t>Operating expenses (detail)</t>
        </is>
      </c>
      <c r="B157" s="8" t="inlineStr">
        <is>
          <t>F28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B29</t>
        </is>
      </c>
      <c r="C158" s="8" t="inlineStr">
        <is>
          <t>17. Travel</t>
        </is>
      </c>
      <c r="D158" s="8" t="inlineStr">
        <is>
          <t>17</t>
        </is>
      </c>
      <c r="E158" s="8" t="inlineStr">
        <is>
          <t>part_ix_expenses.travel</t>
        </is>
      </c>
      <c r="F158" s="8" t="inlineStr">
        <is>
          <t>high</t>
        </is>
      </c>
      <c r="G158" s="9" t="n">
        <v>2455</v>
      </c>
    </row>
    <row r="159">
      <c r="A159" s="8" t="inlineStr">
        <is>
          <t>Operating expenses (detail)</t>
        </is>
      </c>
      <c r="B159" s="8" t="inlineStr">
        <is>
          <t>C29</t>
        </is>
      </c>
      <c r="C159" s="8" t="inlineStr">
        <is>
          <t>17. Travel</t>
        </is>
      </c>
      <c r="D159" s="8" t="inlineStr">
        <is>
          <t>17</t>
        </is>
      </c>
      <c r="E159" s="8" t="inlineStr">
        <is>
          <t>part_ix_expenses.travel</t>
        </is>
      </c>
      <c r="F159" s="8" t="inlineStr">
        <is>
          <t>high</t>
        </is>
      </c>
      <c r="G159" s="9" t="n">
        <v>6861</v>
      </c>
    </row>
    <row r="160">
      <c r="A160" s="8" t="inlineStr">
        <is>
          <t>Operating expenses (detail)</t>
        </is>
      </c>
      <c r="B160" s="8" t="inlineStr">
        <is>
          <t>D29</t>
        </is>
      </c>
      <c r="C160" s="8" t="inlineStr">
        <is>
          <t>17. Travel</t>
        </is>
      </c>
      <c r="D160" s="8" t="inlineStr">
        <is>
          <t>17</t>
        </is>
      </c>
      <c r="E160" s="8" t="inlineStr">
        <is>
          <t>part_ix_expenses.travel</t>
        </is>
      </c>
      <c r="F160" s="8" t="inlineStr">
        <is>
          <t>high</t>
        </is>
      </c>
      <c r="G160" s="9" t="n">
        <v>1605</v>
      </c>
    </row>
    <row r="161">
      <c r="A161" s="8" t="inlineStr">
        <is>
          <t>Operating expenses (detail)</t>
        </is>
      </c>
      <c r="B161" s="8" t="inlineStr">
        <is>
          <t>E29</t>
        </is>
      </c>
      <c r="C161" s="8" t="inlineStr">
        <is>
          <t>17. Travel</t>
        </is>
      </c>
      <c r="D161" s="8" t="inlineStr">
        <is>
          <t>17</t>
        </is>
      </c>
      <c r="E161" s="8" t="inlineStr">
        <is>
          <t>part_ix_expenses.travel</t>
        </is>
      </c>
      <c r="F161" s="8" t="inlineStr">
        <is>
          <t>high</t>
        </is>
      </c>
      <c r="G161" s="9" t="n">
        <v>5175</v>
      </c>
    </row>
    <row r="162">
      <c r="A162" s="8" t="inlineStr">
        <is>
          <t>Operating expenses (detail)</t>
        </is>
      </c>
      <c r="B162" s="8" t="inlineStr">
        <is>
          <t>F29</t>
        </is>
      </c>
      <c r="C162" s="8" t="inlineStr">
        <is>
          <t>17. Travel</t>
        </is>
      </c>
      <c r="D162" s="8" t="inlineStr">
        <is>
          <t>17</t>
        </is>
      </c>
      <c r="E162" s="8" t="inlineStr">
        <is>
          <t>part_ix_expenses.travel</t>
        </is>
      </c>
      <c r="F162" s="8" t="inlineStr">
        <is>
          <t>high</t>
        </is>
      </c>
      <c r="G162" s="9" t="n">
        <v>4347</v>
      </c>
    </row>
    <row r="163">
      <c r="A163" s="8" t="inlineStr">
        <is>
          <t>Operating expenses (detail)</t>
        </is>
      </c>
      <c r="B163" s="8" t="inlineStr">
        <is>
          <t>B30</t>
        </is>
      </c>
      <c r="C163" s="8" t="inlineStr">
        <is>
          <t>18. Payments of travel/entertainment for public officials</t>
        </is>
      </c>
      <c r="D163" s="8" t="inlineStr">
        <is>
          <t>18</t>
        </is>
      </c>
      <c r="E163" s="8" t="inlineStr">
        <is>
          <t>part_ix_expenses.travel_entertainment_public_officials</t>
        </is>
      </c>
      <c r="F163" s="8" t="inlineStr">
        <is>
          <t>high</t>
        </is>
      </c>
      <c r="G163" s="9" t="n">
        <v>0</v>
      </c>
    </row>
    <row r="164">
      <c r="A164" s="8" t="inlineStr">
        <is>
          <t>Operating expenses (detail)</t>
        </is>
      </c>
      <c r="B164" s="8" t="inlineStr">
        <is>
          <t>C30</t>
        </is>
      </c>
      <c r="C164" s="8" t="inlineStr">
        <is>
          <t>18. Payments of travel/entertainment for public officials</t>
        </is>
      </c>
      <c r="D164" s="8" t="inlineStr">
        <is>
          <t>18</t>
        </is>
      </c>
      <c r="E164" s="8" t="inlineStr">
        <is>
          <t>part_ix_expenses.travel_entertainment_public_officials</t>
        </is>
      </c>
      <c r="F164" s="8" t="inlineStr">
        <is>
          <t>high</t>
        </is>
      </c>
      <c r="G164" s="9" t="n">
        <v>0</v>
      </c>
    </row>
    <row r="165">
      <c r="A165" s="8" t="inlineStr">
        <is>
          <t>Operating expenses (detail)</t>
        </is>
      </c>
      <c r="B165" s="8" t="inlineStr">
        <is>
          <t>D30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E30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F30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B31</t>
        </is>
      </c>
      <c r="C168" s="8" t="inlineStr">
        <is>
          <t>19. Conferences, conventions, and meetings</t>
        </is>
      </c>
      <c r="D168" s="8" t="inlineStr">
        <is>
          <t>19</t>
        </is>
      </c>
      <c r="E168" s="8" t="inlineStr">
        <is>
          <t>part_ix_expenses.conferences_conventions_meetings</t>
        </is>
      </c>
      <c r="F168" s="8" t="inlineStr">
        <is>
          <t>high</t>
        </is>
      </c>
      <c r="G168" s="9" t="n">
        <v>0</v>
      </c>
    </row>
    <row r="169">
      <c r="A169" s="8" t="inlineStr">
        <is>
          <t>Operating expenses (detail)</t>
        </is>
      </c>
      <c r="B169" s="8" t="inlineStr">
        <is>
          <t>C31</t>
        </is>
      </c>
      <c r="C169" s="8" t="inlineStr">
        <is>
          <t>19. Conferences, conventions, and meetings</t>
        </is>
      </c>
      <c r="D169" s="8" t="inlineStr">
        <is>
          <t>19</t>
        </is>
      </c>
      <c r="E169" s="8" t="inlineStr">
        <is>
          <t>part_ix_expenses.conferences_conventions_meetings</t>
        </is>
      </c>
      <c r="F169" s="8" t="inlineStr">
        <is>
          <t>high</t>
        </is>
      </c>
      <c r="G169" s="9" t="n">
        <v>0</v>
      </c>
    </row>
    <row r="170">
      <c r="A170" s="8" t="inlineStr">
        <is>
          <t>Operating expenses (detail)</t>
        </is>
      </c>
      <c r="B170" s="8" t="inlineStr">
        <is>
          <t>D31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E31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F31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B32</t>
        </is>
      </c>
      <c r="C173" s="8" t="inlineStr">
        <is>
          <t>20. Interest</t>
        </is>
      </c>
      <c r="D173" s="8" t="inlineStr">
        <is>
          <t>20</t>
        </is>
      </c>
      <c r="E173" s="8" t="inlineStr">
        <is>
          <t>part_ix_expenses.interest</t>
        </is>
      </c>
      <c r="F173" s="8" t="inlineStr">
        <is>
          <t>high</t>
        </is>
      </c>
      <c r="G173" s="9" t="n">
        <v>0</v>
      </c>
    </row>
    <row r="174">
      <c r="A174" s="8" t="inlineStr">
        <is>
          <t>Operating expenses (detail)</t>
        </is>
      </c>
      <c r="B174" s="8" t="inlineStr">
        <is>
          <t>C32</t>
        </is>
      </c>
      <c r="C174" s="8" t="inlineStr">
        <is>
          <t>20. Interest</t>
        </is>
      </c>
      <c r="D174" s="8" t="inlineStr">
        <is>
          <t>20</t>
        </is>
      </c>
      <c r="E174" s="8" t="inlineStr">
        <is>
          <t>part_ix_expenses.interest</t>
        </is>
      </c>
      <c r="F174" s="8" t="inlineStr">
        <is>
          <t>high</t>
        </is>
      </c>
      <c r="G174" s="9" t="n">
        <v>0</v>
      </c>
    </row>
    <row r="175">
      <c r="A175" s="8" t="inlineStr">
        <is>
          <t>Operating expenses (detail)</t>
        </is>
      </c>
      <c r="B175" s="8" t="inlineStr">
        <is>
          <t>D32</t>
        </is>
      </c>
      <c r="C175" s="8" t="inlineStr">
        <is>
          <t>20. Interest</t>
        </is>
      </c>
      <c r="D175" s="8" t="inlineStr">
        <is>
          <t>20</t>
        </is>
      </c>
      <c r="E175" s="8" t="inlineStr">
        <is>
          <t>part_ix_expenses.interest</t>
        </is>
      </c>
      <c r="F175" s="8" t="inlineStr">
        <is>
          <t>high</t>
        </is>
      </c>
      <c r="G175" s="9" t="n">
        <v>19871</v>
      </c>
    </row>
    <row r="176">
      <c r="A176" s="8" t="inlineStr">
        <is>
          <t>Operating expenses (detail)</t>
        </is>
      </c>
      <c r="B176" s="8" t="inlineStr">
        <is>
          <t>E32</t>
        </is>
      </c>
      <c r="C176" s="8" t="inlineStr">
        <is>
          <t>20. Interest</t>
        </is>
      </c>
      <c r="D176" s="8" t="inlineStr">
        <is>
          <t>20</t>
        </is>
      </c>
      <c r="E176" s="8" t="inlineStr">
        <is>
          <t>part_ix_expenses.interest</t>
        </is>
      </c>
      <c r="F176" s="8" t="inlineStr">
        <is>
          <t>high</t>
        </is>
      </c>
      <c r="G176" s="9" t="n">
        <v>90575</v>
      </c>
    </row>
    <row r="177">
      <c r="A177" s="8" t="inlineStr">
        <is>
          <t>Operating expenses (detail)</t>
        </is>
      </c>
      <c r="B177" s="8" t="inlineStr">
        <is>
          <t>F32</t>
        </is>
      </c>
      <c r="C177" s="8" t="inlineStr">
        <is>
          <t>20. Interest</t>
        </is>
      </c>
      <c r="D177" s="8" t="inlineStr">
        <is>
          <t>20</t>
        </is>
      </c>
      <c r="E177" s="8" t="inlineStr">
        <is>
          <t>part_ix_expenses.interest</t>
        </is>
      </c>
      <c r="F177" s="8" t="inlineStr">
        <is>
          <t>high</t>
        </is>
      </c>
      <c r="G177" s="9" t="n">
        <v>52204</v>
      </c>
    </row>
    <row r="178">
      <c r="A178" s="8" t="inlineStr">
        <is>
          <t>Operating expenses (detail)</t>
        </is>
      </c>
      <c r="B178" s="8" t="inlineStr">
        <is>
          <t>B33</t>
        </is>
      </c>
      <c r="C178" s="8" t="inlineStr">
        <is>
          <t>21. Payments to affiliates</t>
        </is>
      </c>
      <c r="D178" s="8" t="inlineStr">
        <is>
          <t>21</t>
        </is>
      </c>
      <c r="E178" s="8" t="inlineStr">
        <is>
          <t>part_ix_expenses.payments_to_affiliates</t>
        </is>
      </c>
      <c r="F178" s="8" t="inlineStr">
        <is>
          <t>high</t>
        </is>
      </c>
      <c r="G178" s="9" t="n">
        <v>0</v>
      </c>
    </row>
    <row r="179">
      <c r="A179" s="8" t="inlineStr">
        <is>
          <t>Operating expenses (detail)</t>
        </is>
      </c>
      <c r="B179" s="8" t="inlineStr">
        <is>
          <t>C33</t>
        </is>
      </c>
      <c r="C179" s="8" t="inlineStr">
        <is>
          <t>21. Payments to affiliates</t>
        </is>
      </c>
      <c r="D179" s="8" t="inlineStr">
        <is>
          <t>21</t>
        </is>
      </c>
      <c r="E179" s="8" t="inlineStr">
        <is>
          <t>part_ix_expenses.payments_to_affiliates</t>
        </is>
      </c>
      <c r="F179" s="8" t="inlineStr">
        <is>
          <t>high</t>
        </is>
      </c>
      <c r="G179" s="9" t="n">
        <v>0</v>
      </c>
    </row>
    <row r="180">
      <c r="A180" s="8" t="inlineStr">
        <is>
          <t>Operating expenses (detail)</t>
        </is>
      </c>
      <c r="B180" s="8" t="inlineStr">
        <is>
          <t>D33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E33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F33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B34</t>
        </is>
      </c>
      <c r="C183" s="8" t="inlineStr">
        <is>
          <t>22. Depreciation, depletion, and amortization</t>
        </is>
      </c>
      <c r="D183" s="8" t="inlineStr">
        <is>
          <t>22</t>
        </is>
      </c>
      <c r="E183" s="8" t="inlineStr">
        <is>
          <t>part_ix_expenses.depreciation</t>
        </is>
      </c>
      <c r="F183" s="8" t="inlineStr">
        <is>
          <t>high</t>
        </is>
      </c>
      <c r="G183" s="9" t="n">
        <v>814040</v>
      </c>
    </row>
    <row r="184">
      <c r="A184" s="8" t="inlineStr">
        <is>
          <t>Operating expenses (detail)</t>
        </is>
      </c>
      <c r="B184" s="8" t="inlineStr">
        <is>
          <t>C34</t>
        </is>
      </c>
      <c r="C184" s="8" t="inlineStr">
        <is>
          <t>22. Depreciation, depletion, and amortization</t>
        </is>
      </c>
      <c r="D184" s="8" t="inlineStr">
        <is>
          <t>22</t>
        </is>
      </c>
      <c r="E184" s="8" t="inlineStr">
        <is>
          <t>part_ix_expenses.depreciation</t>
        </is>
      </c>
      <c r="F184" s="8" t="inlineStr">
        <is>
          <t>high</t>
        </is>
      </c>
      <c r="G184" s="9" t="n">
        <v>811593</v>
      </c>
    </row>
    <row r="185">
      <c r="A185" s="8" t="inlineStr">
        <is>
          <t>Operating expenses (detail)</t>
        </is>
      </c>
      <c r="B185" s="8" t="inlineStr">
        <is>
          <t>D34</t>
        </is>
      </c>
      <c r="C185" s="8" t="inlineStr">
        <is>
          <t>22. Depreciation, depletion, and amortization</t>
        </is>
      </c>
      <c r="D185" s="8" t="inlineStr">
        <is>
          <t>22</t>
        </is>
      </c>
      <c r="E185" s="8" t="inlineStr">
        <is>
          <t>part_ix_expenses.depreciation</t>
        </is>
      </c>
      <c r="F185" s="8" t="inlineStr">
        <is>
          <t>high</t>
        </is>
      </c>
      <c r="G185" s="9" t="n">
        <v>881236</v>
      </c>
    </row>
    <row r="186">
      <c r="A186" s="8" t="inlineStr">
        <is>
          <t>Operating expenses (detail)</t>
        </is>
      </c>
      <c r="B186" s="8" t="inlineStr">
        <is>
          <t>E34</t>
        </is>
      </c>
      <c r="C186" s="8" t="inlineStr">
        <is>
          <t>22. Depreciation, depletion, and amortization</t>
        </is>
      </c>
      <c r="D186" s="8" t="inlineStr">
        <is>
          <t>22</t>
        </is>
      </c>
      <c r="E186" s="8" t="inlineStr">
        <is>
          <t>part_ix_expenses.depreciation</t>
        </is>
      </c>
      <c r="F186" s="8" t="inlineStr">
        <is>
          <t>high</t>
        </is>
      </c>
      <c r="G186" s="9" t="n">
        <v>994003</v>
      </c>
    </row>
    <row r="187">
      <c r="A187" s="8" t="inlineStr">
        <is>
          <t>Operating expenses (detail)</t>
        </is>
      </c>
      <c r="B187" s="8" t="inlineStr">
        <is>
          <t>F34</t>
        </is>
      </c>
      <c r="C187" s="8" t="inlineStr">
        <is>
          <t>22. Depreciation, depletion, and amortization</t>
        </is>
      </c>
      <c r="D187" s="8" t="inlineStr">
        <is>
          <t>22</t>
        </is>
      </c>
      <c r="E187" s="8" t="inlineStr">
        <is>
          <t>part_ix_expenses.depreciation</t>
        </is>
      </c>
      <c r="F187" s="8" t="inlineStr">
        <is>
          <t>high</t>
        </is>
      </c>
      <c r="G187" s="9" t="n">
        <v>992344</v>
      </c>
    </row>
    <row r="188">
      <c r="A188" s="8" t="inlineStr">
        <is>
          <t>Operating expenses (detail)</t>
        </is>
      </c>
      <c r="B188" s="8" t="inlineStr">
        <is>
          <t>B35</t>
        </is>
      </c>
      <c r="C188" s="8" t="inlineStr">
        <is>
          <t>23. Insurance</t>
        </is>
      </c>
      <c r="D188" s="8" t="inlineStr">
        <is>
          <t>23</t>
        </is>
      </c>
      <c r="E188" s="8" t="inlineStr">
        <is>
          <t>part_ix_expenses.insurance</t>
        </is>
      </c>
      <c r="F188" s="8" t="inlineStr">
        <is>
          <t>high</t>
        </is>
      </c>
      <c r="G188" s="9" t="n">
        <v>78899</v>
      </c>
    </row>
    <row r="189">
      <c r="A189" s="8" t="inlineStr">
        <is>
          <t>Operating expenses (detail)</t>
        </is>
      </c>
      <c r="B189" s="8" t="inlineStr">
        <is>
          <t>C35</t>
        </is>
      </c>
      <c r="C189" s="8" t="inlineStr">
        <is>
          <t>23. Insurance</t>
        </is>
      </c>
      <c r="D189" s="8" t="inlineStr">
        <is>
          <t>23</t>
        </is>
      </c>
      <c r="E189" s="8" t="inlineStr">
        <is>
          <t>part_ix_expenses.insurance</t>
        </is>
      </c>
      <c r="F189" s="8" t="inlineStr">
        <is>
          <t>high</t>
        </is>
      </c>
      <c r="G189" s="9" t="n">
        <v>86728</v>
      </c>
    </row>
    <row r="190">
      <c r="A190" s="8" t="inlineStr">
        <is>
          <t>Operating expenses (detail)</t>
        </is>
      </c>
      <c r="B190" s="8" t="inlineStr">
        <is>
          <t>D35</t>
        </is>
      </c>
      <c r="C190" s="8" t="inlineStr">
        <is>
          <t>23. Insurance</t>
        </is>
      </c>
      <c r="D190" s="8" t="inlineStr">
        <is>
          <t>23</t>
        </is>
      </c>
      <c r="E190" s="8" t="inlineStr">
        <is>
          <t>part_ix_expenses.insurance</t>
        </is>
      </c>
      <c r="F190" s="8" t="inlineStr">
        <is>
          <t>high</t>
        </is>
      </c>
      <c r="G190" s="9" t="n">
        <v>92217</v>
      </c>
    </row>
    <row r="191">
      <c r="A191" s="8" t="inlineStr">
        <is>
          <t>Operating expenses (detail)</t>
        </is>
      </c>
      <c r="B191" s="8" t="inlineStr">
        <is>
          <t>E35</t>
        </is>
      </c>
      <c r="C191" s="8" t="inlineStr">
        <is>
          <t>23. Insurance</t>
        </is>
      </c>
      <c r="D191" s="8" t="inlineStr">
        <is>
          <t>23</t>
        </is>
      </c>
      <c r="E191" s="8" t="inlineStr">
        <is>
          <t>part_ix_expenses.insurance</t>
        </is>
      </c>
      <c r="F191" s="8" t="inlineStr">
        <is>
          <t>high</t>
        </is>
      </c>
      <c r="G191" s="9" t="n">
        <v>100023</v>
      </c>
    </row>
    <row r="192">
      <c r="A192" s="8" t="inlineStr">
        <is>
          <t>Operating expenses (detail)</t>
        </is>
      </c>
      <c r="B192" s="8" t="inlineStr">
        <is>
          <t>F35</t>
        </is>
      </c>
      <c r="C192" s="8" t="inlineStr">
        <is>
          <t>23. Insurance</t>
        </is>
      </c>
      <c r="D192" s="8" t="inlineStr">
        <is>
          <t>23</t>
        </is>
      </c>
      <c r="E192" s="8" t="inlineStr">
        <is>
          <t>part_ix_expenses.insurance</t>
        </is>
      </c>
      <c r="F192" s="8" t="inlineStr">
        <is>
          <t>high</t>
        </is>
      </c>
      <c r="G192" s="9" t="n">
        <v>111389</v>
      </c>
    </row>
    <row r="193">
      <c r="A193" s="8" t="inlineStr">
        <is>
          <t>Operating expenses (detail)</t>
        </is>
      </c>
      <c r="B193" s="8" t="inlineStr">
        <is>
          <t>B43</t>
        </is>
      </c>
      <c r="C193" s="8" t="inlineStr">
        <is>
          <t>24e. All other expenses</t>
        </is>
      </c>
      <c r="D193" s="8" t="inlineStr">
        <is>
          <t>24e</t>
        </is>
      </c>
      <c r="E193" s="8" t="inlineStr">
        <is>
          <t>part_ix_expenses.all_other_expenses</t>
        </is>
      </c>
      <c r="F193" s="8" t="inlineStr">
        <is>
          <t>high</t>
        </is>
      </c>
      <c r="G193" s="9" t="n">
        <v>239319</v>
      </c>
    </row>
    <row r="194">
      <c r="A194" s="8" t="inlineStr">
        <is>
          <t>Operating expenses (detail)</t>
        </is>
      </c>
      <c r="B194" s="8" t="inlineStr">
        <is>
          <t>C43</t>
        </is>
      </c>
      <c r="C194" s="8" t="inlineStr">
        <is>
          <t>24e. All other expenses</t>
        </is>
      </c>
      <c r="D194" s="8" t="inlineStr">
        <is>
          <t>24e</t>
        </is>
      </c>
      <c r="E194" s="8" t="inlineStr">
        <is>
          <t>part_ix_expenses.all_other_expenses</t>
        </is>
      </c>
      <c r="F194" s="8" t="inlineStr">
        <is>
          <t>high</t>
        </is>
      </c>
      <c r="G194" s="9" t="n">
        <v>290942</v>
      </c>
    </row>
    <row r="195">
      <c r="A195" s="8" t="inlineStr">
        <is>
          <t>Operating expenses (detail)</t>
        </is>
      </c>
      <c r="B195" s="8" t="inlineStr">
        <is>
          <t>D43</t>
        </is>
      </c>
      <c r="C195" s="8" t="inlineStr">
        <is>
          <t>24e. All other expenses</t>
        </is>
      </c>
      <c r="D195" s="8" t="inlineStr">
        <is>
          <t>24e</t>
        </is>
      </c>
      <c r="E195" s="8" t="inlineStr">
        <is>
          <t>part_ix_expenses.all_other_expenses</t>
        </is>
      </c>
      <c r="F195" s="8" t="inlineStr">
        <is>
          <t>high</t>
        </is>
      </c>
      <c r="G195" s="9" t="n">
        <v>398509</v>
      </c>
    </row>
    <row r="196">
      <c r="A196" s="8" t="inlineStr">
        <is>
          <t>Operating expenses (detail)</t>
        </is>
      </c>
      <c r="B196" s="8" t="inlineStr">
        <is>
          <t>E43</t>
        </is>
      </c>
      <c r="C196" s="8" t="inlineStr">
        <is>
          <t>24e. All other expenses</t>
        </is>
      </c>
      <c r="D196" s="8" t="inlineStr">
        <is>
          <t>24e</t>
        </is>
      </c>
      <c r="E196" s="8" t="inlineStr">
        <is>
          <t>part_ix_expenses.all_other_expenses</t>
        </is>
      </c>
      <c r="F196" s="8" t="inlineStr">
        <is>
          <t>high</t>
        </is>
      </c>
      <c r="G196" s="9" t="n">
        <v>399466</v>
      </c>
    </row>
    <row r="197">
      <c r="A197" s="8" t="inlineStr">
        <is>
          <t>Operating expenses (detail)</t>
        </is>
      </c>
      <c r="B197" s="8" t="inlineStr">
        <is>
          <t>F43</t>
        </is>
      </c>
      <c r="C197" s="8" t="inlineStr">
        <is>
          <t>24e. All other expenses</t>
        </is>
      </c>
      <c r="D197" s="8" t="inlineStr">
        <is>
          <t>24e</t>
        </is>
      </c>
      <c r="E197" s="8" t="inlineStr">
        <is>
          <t>part_ix_expenses.all_other_expenses</t>
        </is>
      </c>
      <c r="F197" s="8" t="inlineStr">
        <is>
          <t>high</t>
        </is>
      </c>
      <c r="G197" s="9" t="n">
        <v>427886</v>
      </c>
    </row>
    <row r="198">
      <c r="A198" s="8" t="inlineStr">
        <is>
          <t>Balance sheet (detail)</t>
        </is>
      </c>
      <c r="B198" s="8" t="inlineStr">
        <is>
          <t>B7</t>
        </is>
      </c>
      <c r="C198" s="8" t="inlineStr">
        <is>
          <t>1. Cash - non-interest-bearing</t>
        </is>
      </c>
      <c r="D198" s="8" t="inlineStr">
        <is>
          <t>1E</t>
        </is>
      </c>
      <c r="E198" s="8" t="inlineStr">
        <is>
          <t>part_x_balance_sheet.cash_noninterest_eoy</t>
        </is>
      </c>
      <c r="F198" s="8" t="inlineStr">
        <is>
          <t>high</t>
        </is>
      </c>
      <c r="G198" s="9" t="n">
        <v>0</v>
      </c>
    </row>
    <row r="199">
      <c r="A199" s="8" t="inlineStr">
        <is>
          <t>Balance sheet (detail)</t>
        </is>
      </c>
      <c r="B199" s="8" t="inlineStr">
        <is>
          <t>C7</t>
        </is>
      </c>
      <c r="C199" s="8" t="inlineStr">
        <is>
          <t>1. Cash - non-interest-bearing</t>
        </is>
      </c>
      <c r="D199" s="8" t="inlineStr">
        <is>
          <t>1E</t>
        </is>
      </c>
      <c r="E199" s="8" t="inlineStr">
        <is>
          <t>part_x_balance_sheet.cash_noninterest_eoy</t>
        </is>
      </c>
      <c r="F199" s="8" t="inlineStr">
        <is>
          <t>high</t>
        </is>
      </c>
      <c r="G199" s="9" t="n">
        <v>0</v>
      </c>
    </row>
    <row r="200">
      <c r="A200" s="8" t="inlineStr">
        <is>
          <t>Balance sheet (detail)</t>
        </is>
      </c>
      <c r="B200" s="8" t="inlineStr">
        <is>
          <t>D7</t>
        </is>
      </c>
      <c r="C200" s="8" t="inlineStr">
        <is>
          <t>1. Cash - non-interest-bearing</t>
        </is>
      </c>
      <c r="D200" s="8" t="inlineStr">
        <is>
          <t>1E</t>
        </is>
      </c>
      <c r="E200" s="8" t="inlineStr">
        <is>
          <t>part_x_balance_sheet.cash_noninterest_eoy</t>
        </is>
      </c>
      <c r="F200" s="8" t="inlineStr">
        <is>
          <t>high</t>
        </is>
      </c>
      <c r="G200" s="9" t="n">
        <v>0</v>
      </c>
    </row>
    <row r="201">
      <c r="A201" s="8" t="inlineStr">
        <is>
          <t>Balance sheet (detail)</t>
        </is>
      </c>
      <c r="B201" s="8" t="inlineStr">
        <is>
          <t>E7</t>
        </is>
      </c>
      <c r="C201" s="8" t="inlineStr">
        <is>
          <t>1. Cash - non-interest-bearing</t>
        </is>
      </c>
      <c r="D201" s="8" t="inlineStr">
        <is>
          <t>1E</t>
        </is>
      </c>
      <c r="E201" s="8" t="inlineStr">
        <is>
          <t>part_x_balance_sheet.cash_noninterest_eoy</t>
        </is>
      </c>
      <c r="F201" s="8" t="inlineStr">
        <is>
          <t>high</t>
        </is>
      </c>
      <c r="G201" s="9" t="n">
        <v>0</v>
      </c>
    </row>
    <row r="202">
      <c r="A202" s="8" t="inlineStr">
        <is>
          <t>Balance sheet (detail)</t>
        </is>
      </c>
      <c r="B202" s="8" t="inlineStr">
        <is>
          <t>F7</t>
        </is>
      </c>
      <c r="C202" s="8" t="inlineStr">
        <is>
          <t>1. Cash - non-interest-bearing</t>
        </is>
      </c>
      <c r="D202" s="8" t="inlineStr">
        <is>
          <t>1E</t>
        </is>
      </c>
      <c r="E202" s="8" t="inlineStr">
        <is>
          <t>part_x_balance_sheet.cash_noninterest_eoy</t>
        </is>
      </c>
      <c r="F202" s="8" t="inlineStr">
        <is>
          <t>high</t>
        </is>
      </c>
      <c r="G202" s="9" t="n">
        <v>0</v>
      </c>
    </row>
    <row r="203">
      <c r="A203" s="8" t="inlineStr">
        <is>
          <t>Balance sheet (detail)</t>
        </is>
      </c>
      <c r="B203" s="8" t="inlineStr">
        <is>
          <t>B8</t>
        </is>
      </c>
      <c r="C203" s="8" t="inlineStr">
        <is>
          <t>2. Savings and temporary cash investments</t>
        </is>
      </c>
      <c r="D203" s="8" t="inlineStr">
        <is>
          <t>2E</t>
        </is>
      </c>
      <c r="E203" s="8" t="inlineStr">
        <is>
          <t>part_x_balance_sheet.savings_temp_invest_eoy</t>
        </is>
      </c>
      <c r="F203" s="8" t="inlineStr">
        <is>
          <t>high</t>
        </is>
      </c>
      <c r="G203" s="9" t="n">
        <v>7362093</v>
      </c>
    </row>
    <row r="204">
      <c r="A204" s="8" t="inlineStr">
        <is>
          <t>Balance sheet (detail)</t>
        </is>
      </c>
      <c r="B204" s="8" t="inlineStr">
        <is>
          <t>C8</t>
        </is>
      </c>
      <c r="C204" s="8" t="inlineStr">
        <is>
          <t>2. Savings and temporary cash investments</t>
        </is>
      </c>
      <c r="D204" s="8" t="inlineStr">
        <is>
          <t>2E</t>
        </is>
      </c>
      <c r="E204" s="8" t="inlineStr">
        <is>
          <t>part_x_balance_sheet.savings_temp_invest_eoy</t>
        </is>
      </c>
      <c r="F204" s="8" t="inlineStr">
        <is>
          <t>high</t>
        </is>
      </c>
      <c r="G204" s="9" t="n">
        <v>12094085</v>
      </c>
    </row>
    <row r="205">
      <c r="A205" s="8" t="inlineStr">
        <is>
          <t>Balance sheet (detail)</t>
        </is>
      </c>
      <c r="B205" s="8" t="inlineStr">
        <is>
          <t>D8</t>
        </is>
      </c>
      <c r="C205" s="8" t="inlineStr">
        <is>
          <t>2. Savings and temporary cash investments</t>
        </is>
      </c>
      <c r="D205" s="8" t="inlineStr">
        <is>
          <t>2E</t>
        </is>
      </c>
      <c r="E205" s="8" t="inlineStr">
        <is>
          <t>part_x_balance_sheet.savings_temp_invest_eoy</t>
        </is>
      </c>
      <c r="F205" s="8" t="inlineStr">
        <is>
          <t>high</t>
        </is>
      </c>
      <c r="G205" s="9" t="n">
        <v>8538549</v>
      </c>
    </row>
    <row r="206">
      <c r="A206" s="8" t="inlineStr">
        <is>
          <t>Balance sheet (detail)</t>
        </is>
      </c>
      <c r="B206" s="8" t="inlineStr">
        <is>
          <t>E8</t>
        </is>
      </c>
      <c r="C206" s="8" t="inlineStr">
        <is>
          <t>2. Savings and temporary cash investments</t>
        </is>
      </c>
      <c r="D206" s="8" t="inlineStr">
        <is>
          <t>2E</t>
        </is>
      </c>
      <c r="E206" s="8" t="inlineStr">
        <is>
          <t>part_x_balance_sheet.savings_temp_invest_eoy</t>
        </is>
      </c>
      <c r="F206" s="8" t="inlineStr">
        <is>
          <t>high</t>
        </is>
      </c>
      <c r="G206" s="9" t="n">
        <v>9602070</v>
      </c>
    </row>
    <row r="207">
      <c r="A207" s="8" t="inlineStr">
        <is>
          <t>Balance sheet (detail)</t>
        </is>
      </c>
      <c r="B207" s="8" t="inlineStr">
        <is>
          <t>F8</t>
        </is>
      </c>
      <c r="C207" s="8" t="inlineStr">
        <is>
          <t>2. Savings and temporary cash investments</t>
        </is>
      </c>
      <c r="D207" s="8" t="inlineStr">
        <is>
          <t>2E</t>
        </is>
      </c>
      <c r="E207" s="8" t="inlineStr">
        <is>
          <t>part_x_balance_sheet.savings_temp_invest_eoy</t>
        </is>
      </c>
      <c r="F207" s="8" t="inlineStr">
        <is>
          <t>high</t>
        </is>
      </c>
      <c r="G207" s="9" t="n">
        <v>11385262</v>
      </c>
    </row>
    <row r="208">
      <c r="A208" s="8" t="inlineStr">
        <is>
          <t>Balance sheet (detail)</t>
        </is>
      </c>
      <c r="B208" s="8" t="inlineStr">
        <is>
          <t>B9</t>
        </is>
      </c>
      <c r="C208" s="8" t="inlineStr">
        <is>
          <t>3. Pledges and grants receivable, net</t>
        </is>
      </c>
      <c r="D208" s="8" t="inlineStr">
        <is>
          <t>3E</t>
        </is>
      </c>
      <c r="E208" s="8" t="inlineStr">
        <is>
          <t>part_x_balance_sheet.pledges_grants_receivable_eoy</t>
        </is>
      </c>
      <c r="F208" s="8" t="inlineStr">
        <is>
          <t>high</t>
        </is>
      </c>
      <c r="G208" s="9" t="n">
        <v>0</v>
      </c>
    </row>
    <row r="209">
      <c r="A209" s="8" t="inlineStr">
        <is>
          <t>Balance sheet (detail)</t>
        </is>
      </c>
      <c r="B209" s="8" t="inlineStr">
        <is>
          <t>C9</t>
        </is>
      </c>
      <c r="C209" s="8" t="inlineStr">
        <is>
          <t>3. Pledges and grants receivable, net</t>
        </is>
      </c>
      <c r="D209" s="8" t="inlineStr">
        <is>
          <t>3E</t>
        </is>
      </c>
      <c r="E209" s="8" t="inlineStr">
        <is>
          <t>part_x_balance_sheet.pledges_grants_receivable_eoy</t>
        </is>
      </c>
      <c r="F209" s="8" t="inlineStr">
        <is>
          <t>high</t>
        </is>
      </c>
      <c r="G209" s="9" t="n">
        <v>0</v>
      </c>
    </row>
    <row r="210">
      <c r="A210" s="8" t="inlineStr">
        <is>
          <t>Balance sheet (detail)</t>
        </is>
      </c>
      <c r="B210" s="8" t="inlineStr">
        <is>
          <t>D9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E9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F9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B10</t>
        </is>
      </c>
      <c r="C213" s="8" t="inlineStr">
        <is>
          <t>4. Accounts receivable, net</t>
        </is>
      </c>
      <c r="D213" s="8" t="inlineStr">
        <is>
          <t>4E</t>
        </is>
      </c>
      <c r="E213" s="8" t="inlineStr">
        <is>
          <t>part_x_balance_sheet.accounts_receivable_eoy</t>
        </is>
      </c>
      <c r="F213" s="8" t="inlineStr">
        <is>
          <t>high</t>
        </is>
      </c>
      <c r="G213" s="9" t="n">
        <v>695780</v>
      </c>
    </row>
    <row r="214">
      <c r="A214" s="8" t="inlineStr">
        <is>
          <t>Balance sheet (detail)</t>
        </is>
      </c>
      <c r="B214" s="8" t="inlineStr">
        <is>
          <t>C10</t>
        </is>
      </c>
      <c r="C214" s="8" t="inlineStr">
        <is>
          <t>4. Accounts receivable, net</t>
        </is>
      </c>
      <c r="D214" s="8" t="inlineStr">
        <is>
          <t>4E</t>
        </is>
      </c>
      <c r="E214" s="8" t="inlineStr">
        <is>
          <t>part_x_balance_sheet.accounts_receivable_eoy</t>
        </is>
      </c>
      <c r="F214" s="8" t="inlineStr">
        <is>
          <t>high</t>
        </is>
      </c>
      <c r="G214" s="9" t="n">
        <v>763711</v>
      </c>
    </row>
    <row r="215">
      <c r="A215" s="8" t="inlineStr">
        <is>
          <t>Balance sheet (detail)</t>
        </is>
      </c>
      <c r="B215" s="8" t="inlineStr">
        <is>
          <t>D10</t>
        </is>
      </c>
      <c r="C215" s="8" t="inlineStr">
        <is>
          <t>4. Accounts receivable, net</t>
        </is>
      </c>
      <c r="D215" s="8" t="inlineStr">
        <is>
          <t>4E</t>
        </is>
      </c>
      <c r="E215" s="8" t="inlineStr">
        <is>
          <t>part_x_balance_sheet.accounts_receivable_eoy</t>
        </is>
      </c>
      <c r="F215" s="8" t="inlineStr">
        <is>
          <t>high</t>
        </is>
      </c>
      <c r="G215" s="9" t="n">
        <v>843646</v>
      </c>
    </row>
    <row r="216">
      <c r="A216" s="8" t="inlineStr">
        <is>
          <t>Balance sheet (detail)</t>
        </is>
      </c>
      <c r="B216" s="8" t="inlineStr">
        <is>
          <t>E10</t>
        </is>
      </c>
      <c r="C216" s="8" t="inlineStr">
        <is>
          <t>4. Accounts receivable, net</t>
        </is>
      </c>
      <c r="D216" s="8" t="inlineStr">
        <is>
          <t>4E</t>
        </is>
      </c>
      <c r="E216" s="8" t="inlineStr">
        <is>
          <t>part_x_balance_sheet.accounts_receivable_eoy</t>
        </is>
      </c>
      <c r="F216" s="8" t="inlineStr">
        <is>
          <t>high</t>
        </is>
      </c>
      <c r="G216" s="9" t="n">
        <v>885008</v>
      </c>
    </row>
    <row r="217">
      <c r="A217" s="8" t="inlineStr">
        <is>
          <t>Balance sheet (detail)</t>
        </is>
      </c>
      <c r="B217" s="8" t="inlineStr">
        <is>
          <t>F10</t>
        </is>
      </c>
      <c r="C217" s="8" t="inlineStr">
        <is>
          <t>4. Accounts receivable, net</t>
        </is>
      </c>
      <c r="D217" s="8" t="inlineStr">
        <is>
          <t>4E</t>
        </is>
      </c>
      <c r="E217" s="8" t="inlineStr">
        <is>
          <t>part_x_balance_sheet.accounts_receivable_eoy</t>
        </is>
      </c>
      <c r="F217" s="8" t="inlineStr">
        <is>
          <t>high</t>
        </is>
      </c>
      <c r="G217" s="9" t="n">
        <v>897819</v>
      </c>
    </row>
    <row r="218">
      <c r="A218" s="8" t="inlineStr">
        <is>
          <t>Balance sheet (detail)</t>
        </is>
      </c>
      <c r="B218" s="8" t="inlineStr">
        <is>
          <t>B11</t>
        </is>
      </c>
      <c r="C218" s="8" t="inlineStr">
        <is>
          <t>5. Receivables from officers/directors/trustees</t>
        </is>
      </c>
      <c r="D218" s="8" t="inlineStr">
        <is>
          <t>5E</t>
        </is>
      </c>
      <c r="E218" s="8" t="inlineStr">
        <is>
          <t>part_x_balance_sheet.receivables_officers_eoy</t>
        </is>
      </c>
      <c r="F218" s="8" t="inlineStr">
        <is>
          <t>high</t>
        </is>
      </c>
      <c r="G218" s="9" t="n">
        <v>0</v>
      </c>
    </row>
    <row r="219">
      <c r="A219" s="8" t="inlineStr">
        <is>
          <t>Balance sheet (detail)</t>
        </is>
      </c>
      <c r="B219" s="8" t="inlineStr">
        <is>
          <t>C11</t>
        </is>
      </c>
      <c r="C219" s="8" t="inlineStr">
        <is>
          <t>5. Receivables from officers/directors/trustees</t>
        </is>
      </c>
      <c r="D219" s="8" t="inlineStr">
        <is>
          <t>5E</t>
        </is>
      </c>
      <c r="E219" s="8" t="inlineStr">
        <is>
          <t>part_x_balance_sheet.receivables_officers_eoy</t>
        </is>
      </c>
      <c r="F219" s="8" t="inlineStr">
        <is>
          <t>high</t>
        </is>
      </c>
      <c r="G219" s="9" t="n">
        <v>0</v>
      </c>
    </row>
    <row r="220">
      <c r="A220" s="8" t="inlineStr">
        <is>
          <t>Balance sheet (detail)</t>
        </is>
      </c>
      <c r="B220" s="8" t="inlineStr">
        <is>
          <t>D11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E11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F11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B12</t>
        </is>
      </c>
      <c r="C223" s="8" t="inlineStr">
        <is>
          <t>6. Receivables from disqualified persons</t>
        </is>
      </c>
      <c r="D223" s="8" t="inlineStr">
        <is>
          <t>6E</t>
        </is>
      </c>
      <c r="E223" s="8" t="inlineStr">
        <is>
          <t>part_x_balance_sheet.receivables_disqualified_eoy</t>
        </is>
      </c>
      <c r="F223" s="8" t="inlineStr">
        <is>
          <t>high</t>
        </is>
      </c>
      <c r="G223" s="9" t="n">
        <v>0</v>
      </c>
    </row>
    <row r="224">
      <c r="A224" s="8" t="inlineStr">
        <is>
          <t>Balance sheet (detail)</t>
        </is>
      </c>
      <c r="B224" s="8" t="inlineStr">
        <is>
          <t>C12</t>
        </is>
      </c>
      <c r="C224" s="8" t="inlineStr">
        <is>
          <t>6. Receivables from disqualified persons</t>
        </is>
      </c>
      <c r="D224" s="8" t="inlineStr">
        <is>
          <t>6E</t>
        </is>
      </c>
      <c r="E224" s="8" t="inlineStr">
        <is>
          <t>part_x_balance_sheet.receivables_disqualified_eoy</t>
        </is>
      </c>
      <c r="F224" s="8" t="inlineStr">
        <is>
          <t>high</t>
        </is>
      </c>
      <c r="G224" s="9" t="n">
        <v>0</v>
      </c>
    </row>
    <row r="225">
      <c r="A225" s="8" t="inlineStr">
        <is>
          <t>Balance sheet (detail)</t>
        </is>
      </c>
      <c r="B225" s="8" t="inlineStr">
        <is>
          <t>D12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E12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F12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B13</t>
        </is>
      </c>
      <c r="C228" s="8" t="inlineStr">
        <is>
          <t>7. Notes and loans receivable, net</t>
        </is>
      </c>
      <c r="D228" s="8" t="inlineStr">
        <is>
          <t>7E</t>
        </is>
      </c>
      <c r="E228" s="8" t="inlineStr">
        <is>
          <t>part_x_balance_sheet.notes_loans_receivable_eoy</t>
        </is>
      </c>
      <c r="F228" s="8" t="inlineStr">
        <is>
          <t>high</t>
        </is>
      </c>
      <c r="G228" s="9" t="n">
        <v>0</v>
      </c>
    </row>
    <row r="229">
      <c r="A229" s="8" t="inlineStr">
        <is>
          <t>Balance sheet (detail)</t>
        </is>
      </c>
      <c r="B229" s="8" t="inlineStr">
        <is>
          <t>C13</t>
        </is>
      </c>
      <c r="C229" s="8" t="inlineStr">
        <is>
          <t>7. Notes and loans receivable, net</t>
        </is>
      </c>
      <c r="D229" s="8" t="inlineStr">
        <is>
          <t>7E</t>
        </is>
      </c>
      <c r="E229" s="8" t="inlineStr">
        <is>
          <t>part_x_balance_sheet.notes_loans_receivable_eoy</t>
        </is>
      </c>
      <c r="F229" s="8" t="inlineStr">
        <is>
          <t>high</t>
        </is>
      </c>
      <c r="G229" s="9" t="n">
        <v>0</v>
      </c>
    </row>
    <row r="230">
      <c r="A230" s="8" t="inlineStr">
        <is>
          <t>Balance sheet (detail)</t>
        </is>
      </c>
      <c r="B230" s="8" t="inlineStr">
        <is>
          <t>D13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E13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F13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B14</t>
        </is>
      </c>
      <c r="C233" s="8" t="inlineStr">
        <is>
          <t>8. Inventories for sale or use</t>
        </is>
      </c>
      <c r="D233" s="8" t="inlineStr">
        <is>
          <t>8E</t>
        </is>
      </c>
      <c r="E233" s="8" t="inlineStr">
        <is>
          <t>part_x_balance_sheet.inventories_eoy</t>
        </is>
      </c>
      <c r="F233" s="8" t="inlineStr">
        <is>
          <t>high</t>
        </is>
      </c>
      <c r="G233" s="9" t="n">
        <v>127331</v>
      </c>
    </row>
    <row r="234">
      <c r="A234" s="8" t="inlineStr">
        <is>
          <t>Balance sheet (detail)</t>
        </is>
      </c>
      <c r="B234" s="8" t="inlineStr">
        <is>
          <t>C14</t>
        </is>
      </c>
      <c r="C234" s="8" t="inlineStr">
        <is>
          <t>8. Inventories for sale or use</t>
        </is>
      </c>
      <c r="D234" s="8" t="inlineStr">
        <is>
          <t>8E</t>
        </is>
      </c>
      <c r="E234" s="8" t="inlineStr">
        <is>
          <t>part_x_balance_sheet.inventories_eoy</t>
        </is>
      </c>
      <c r="F234" s="8" t="inlineStr">
        <is>
          <t>high</t>
        </is>
      </c>
      <c r="G234" s="9" t="n">
        <v>127884</v>
      </c>
    </row>
    <row r="235">
      <c r="A235" s="8" t="inlineStr">
        <is>
          <t>Balance sheet (detail)</t>
        </is>
      </c>
      <c r="B235" s="8" t="inlineStr">
        <is>
          <t>D14</t>
        </is>
      </c>
      <c r="C235" s="8" t="inlineStr">
        <is>
          <t>8. Inventories for sale or use</t>
        </is>
      </c>
      <c r="D235" s="8" t="inlineStr">
        <is>
          <t>8E</t>
        </is>
      </c>
      <c r="E235" s="8" t="inlineStr">
        <is>
          <t>part_x_balance_sheet.inventories_eoy</t>
        </is>
      </c>
      <c r="F235" s="8" t="inlineStr">
        <is>
          <t>high</t>
        </is>
      </c>
      <c r="G235" s="9" t="n">
        <v>134215</v>
      </c>
    </row>
    <row r="236">
      <c r="A236" s="8" t="inlineStr">
        <is>
          <t>Balance sheet (detail)</t>
        </is>
      </c>
      <c r="B236" s="8" t="inlineStr">
        <is>
          <t>E14</t>
        </is>
      </c>
      <c r="C236" s="8" t="inlineStr">
        <is>
          <t>8. Inventories for sale or use</t>
        </is>
      </c>
      <c r="D236" s="8" t="inlineStr">
        <is>
          <t>8E</t>
        </is>
      </c>
      <c r="E236" s="8" t="inlineStr">
        <is>
          <t>part_x_balance_sheet.inventories_eoy</t>
        </is>
      </c>
      <c r="F236" s="8" t="inlineStr">
        <is>
          <t>high</t>
        </is>
      </c>
      <c r="G236" s="9" t="n">
        <v>139531</v>
      </c>
    </row>
    <row r="237">
      <c r="A237" s="8" t="inlineStr">
        <is>
          <t>Balance sheet (detail)</t>
        </is>
      </c>
      <c r="B237" s="8" t="inlineStr">
        <is>
          <t>F14</t>
        </is>
      </c>
      <c r="C237" s="8" t="inlineStr">
        <is>
          <t>8. Inventories for sale or use</t>
        </is>
      </c>
      <c r="D237" s="8" t="inlineStr">
        <is>
          <t>8E</t>
        </is>
      </c>
      <c r="E237" s="8" t="inlineStr">
        <is>
          <t>part_x_balance_sheet.inventories_eoy</t>
        </is>
      </c>
      <c r="F237" s="8" t="inlineStr">
        <is>
          <t>high</t>
        </is>
      </c>
      <c r="G237" s="9" t="n">
        <v>141813</v>
      </c>
    </row>
    <row r="238">
      <c r="A238" s="8" t="inlineStr">
        <is>
          <t>Balance sheet (detail)</t>
        </is>
      </c>
      <c r="B238" s="8" t="inlineStr">
        <is>
          <t>B15</t>
        </is>
      </c>
      <c r="C238" s="8" t="inlineStr">
        <is>
          <t>9. Prepaid expenses and deferred charges</t>
        </is>
      </c>
      <c r="D238" s="8" t="inlineStr">
        <is>
          <t>9E</t>
        </is>
      </c>
      <c r="E238" s="8" t="inlineStr">
        <is>
          <t>part_x_balance_sheet.prepaid_expenses_eoy</t>
        </is>
      </c>
      <c r="F238" s="8" t="inlineStr">
        <is>
          <t>high</t>
        </is>
      </c>
      <c r="G238" s="9" t="n">
        <v>106209</v>
      </c>
    </row>
    <row r="239">
      <c r="A239" s="8" t="inlineStr">
        <is>
          <t>Balance sheet (detail)</t>
        </is>
      </c>
      <c r="B239" s="8" t="inlineStr">
        <is>
          <t>C15</t>
        </is>
      </c>
      <c r="C239" s="8" t="inlineStr">
        <is>
          <t>9. Prepaid expenses and deferred charges</t>
        </is>
      </c>
      <c r="D239" s="8" t="inlineStr">
        <is>
          <t>9E</t>
        </is>
      </c>
      <c r="E239" s="8" t="inlineStr">
        <is>
          <t>part_x_balance_sheet.prepaid_expenses_eoy</t>
        </is>
      </c>
      <c r="F239" s="8" t="inlineStr">
        <is>
          <t>high</t>
        </is>
      </c>
      <c r="G239" s="9" t="n">
        <v>120518</v>
      </c>
    </row>
    <row r="240">
      <c r="A240" s="8" t="inlineStr">
        <is>
          <t>Balance sheet (detail)</t>
        </is>
      </c>
      <c r="B240" s="8" t="inlineStr">
        <is>
          <t>D15</t>
        </is>
      </c>
      <c r="C240" s="8" t="inlineStr">
        <is>
          <t>9. Prepaid expenses and deferred charges</t>
        </is>
      </c>
      <c r="D240" s="8" t="inlineStr">
        <is>
          <t>9E</t>
        </is>
      </c>
      <c r="E240" s="8" t="inlineStr">
        <is>
          <t>part_x_balance_sheet.prepaid_expenses_eoy</t>
        </is>
      </c>
      <c r="F240" s="8" t="inlineStr">
        <is>
          <t>high</t>
        </is>
      </c>
      <c r="G240" s="9" t="n">
        <v>124986</v>
      </c>
    </row>
    <row r="241">
      <c r="A241" s="8" t="inlineStr">
        <is>
          <t>Balance sheet (detail)</t>
        </is>
      </c>
      <c r="B241" s="8" t="inlineStr">
        <is>
          <t>E15</t>
        </is>
      </c>
      <c r="C241" s="8" t="inlineStr">
        <is>
          <t>9. Prepaid expenses and deferred charges</t>
        </is>
      </c>
      <c r="D241" s="8" t="inlineStr">
        <is>
          <t>9E</t>
        </is>
      </c>
      <c r="E241" s="8" t="inlineStr">
        <is>
          <t>part_x_balance_sheet.prepaid_expenses_eoy</t>
        </is>
      </c>
      <c r="F241" s="8" t="inlineStr">
        <is>
          <t>high</t>
        </is>
      </c>
      <c r="G241" s="9" t="n">
        <v>142230</v>
      </c>
    </row>
    <row r="242">
      <c r="A242" s="8" t="inlineStr">
        <is>
          <t>Balance sheet (detail)</t>
        </is>
      </c>
      <c r="B242" s="8" t="inlineStr">
        <is>
          <t>F15</t>
        </is>
      </c>
      <c r="C242" s="8" t="inlineStr">
        <is>
          <t>9. Prepaid expenses and deferred charges</t>
        </is>
      </c>
      <c r="D242" s="8" t="inlineStr">
        <is>
          <t>9E</t>
        </is>
      </c>
      <c r="E242" s="8" t="inlineStr">
        <is>
          <t>part_x_balance_sheet.prepaid_expenses_eoy</t>
        </is>
      </c>
      <c r="F242" s="8" t="inlineStr">
        <is>
          <t>high</t>
        </is>
      </c>
      <c r="G242" s="9" t="n">
        <v>155316</v>
      </c>
    </row>
    <row r="243">
      <c r="A243" s="8" t="inlineStr">
        <is>
          <t>Balance sheet (detail)</t>
        </is>
      </c>
      <c r="B243" s="8" t="inlineStr">
        <is>
          <t>B16</t>
        </is>
      </c>
      <c r="C243" s="8" t="inlineStr">
        <is>
          <t>10c. Land, buildings, and equipment, net</t>
        </is>
      </c>
      <c r="D243" s="8" t="inlineStr">
        <is>
          <t>10cE</t>
        </is>
      </c>
      <c r="E243" s="8" t="inlineStr">
        <is>
          <t>part_x_balance_sheet.land_bldg_equip_net_eoy</t>
        </is>
      </c>
      <c r="F243" s="8" t="inlineStr">
        <is>
          <t>high</t>
        </is>
      </c>
      <c r="G243" s="9" t="n">
        <v>14291137</v>
      </c>
    </row>
    <row r="244">
      <c r="A244" s="8" t="inlineStr">
        <is>
          <t>Balance sheet (detail)</t>
        </is>
      </c>
      <c r="B244" s="8" t="inlineStr">
        <is>
          <t>C16</t>
        </is>
      </c>
      <c r="C244" s="8" t="inlineStr">
        <is>
          <t>10c. Land, buildings, and equipment, net</t>
        </is>
      </c>
      <c r="D244" s="8" t="inlineStr">
        <is>
          <t>10cE</t>
        </is>
      </c>
      <c r="E244" s="8" t="inlineStr">
        <is>
          <t>part_x_balance_sheet.land_bldg_equip_net_eoy</t>
        </is>
      </c>
      <c r="F244" s="8" t="inlineStr">
        <is>
          <t>high</t>
        </is>
      </c>
      <c r="G244" s="9" t="n">
        <v>14236134</v>
      </c>
    </row>
    <row r="245">
      <c r="A245" s="8" t="inlineStr">
        <is>
          <t>Balance sheet (detail)</t>
        </is>
      </c>
      <c r="B245" s="8" t="inlineStr">
        <is>
          <t>D16</t>
        </is>
      </c>
      <c r="C245" s="8" t="inlineStr">
        <is>
          <t>10c. Land, buildings, and equipment, net</t>
        </is>
      </c>
      <c r="D245" s="8" t="inlineStr">
        <is>
          <t>10cE</t>
        </is>
      </c>
      <c r="E245" s="8" t="inlineStr">
        <is>
          <t>part_x_balance_sheet.land_bldg_equip_net_eoy</t>
        </is>
      </c>
      <c r="F245" s="8" t="inlineStr">
        <is>
          <t>high</t>
        </is>
      </c>
      <c r="G245" s="9" t="n">
        <v>19934930</v>
      </c>
    </row>
    <row r="246">
      <c r="A246" s="8" t="inlineStr">
        <is>
          <t>Balance sheet (detail)</t>
        </is>
      </c>
      <c r="B246" s="8" t="inlineStr">
        <is>
          <t>E16</t>
        </is>
      </c>
      <c r="C246" s="8" t="inlineStr">
        <is>
          <t>10c. Land, buildings, and equipment, net</t>
        </is>
      </c>
      <c r="D246" s="8" t="inlineStr">
        <is>
          <t>10cE</t>
        </is>
      </c>
      <c r="E246" s="8" t="inlineStr">
        <is>
          <t>part_x_balance_sheet.land_bldg_equip_net_eoy</t>
        </is>
      </c>
      <c r="F246" s="8" t="inlineStr">
        <is>
          <t>high</t>
        </is>
      </c>
      <c r="G246" s="9" t="n">
        <v>20473799</v>
      </c>
    </row>
    <row r="247">
      <c r="A247" s="8" t="inlineStr">
        <is>
          <t>Balance sheet (detail)</t>
        </is>
      </c>
      <c r="B247" s="8" t="inlineStr">
        <is>
          <t>F16</t>
        </is>
      </c>
      <c r="C247" s="8" t="inlineStr">
        <is>
          <t>10c. Land, buildings, and equipment, net</t>
        </is>
      </c>
      <c r="D247" s="8" t="inlineStr">
        <is>
          <t>10cE</t>
        </is>
      </c>
      <c r="E247" s="8" t="inlineStr">
        <is>
          <t>part_x_balance_sheet.land_bldg_equip_net_eoy</t>
        </is>
      </c>
      <c r="F247" s="8" t="inlineStr">
        <is>
          <t>high</t>
        </is>
      </c>
      <c r="G247" s="9" t="n">
        <v>20843495</v>
      </c>
    </row>
    <row r="248">
      <c r="A248" s="8" t="inlineStr">
        <is>
          <t>Balance sheet (detail)</t>
        </is>
      </c>
      <c r="B248" s="8" t="inlineStr">
        <is>
          <t>B17</t>
        </is>
      </c>
      <c r="C248" s="8" t="inlineStr">
        <is>
          <t>11. Investments - publicly traded securities</t>
        </is>
      </c>
      <c r="D248" s="8" t="inlineStr">
        <is>
          <t>11E</t>
        </is>
      </c>
      <c r="E248" s="8" t="inlineStr">
        <is>
          <t>part_x_balance_sheet.investments_public_securities_eoy</t>
        </is>
      </c>
      <c r="F248" s="8" t="inlineStr">
        <is>
          <t>high</t>
        </is>
      </c>
      <c r="G248" s="9" t="n">
        <v>0</v>
      </c>
    </row>
    <row r="249">
      <c r="A249" s="8" t="inlineStr">
        <is>
          <t>Balance sheet (detail)</t>
        </is>
      </c>
      <c r="B249" s="8" t="inlineStr">
        <is>
          <t>C17</t>
        </is>
      </c>
      <c r="C249" s="8" t="inlineStr">
        <is>
          <t>11. Investments - publicly traded securities</t>
        </is>
      </c>
      <c r="D249" s="8" t="inlineStr">
        <is>
          <t>11E</t>
        </is>
      </c>
      <c r="E249" s="8" t="inlineStr">
        <is>
          <t>part_x_balance_sheet.investments_public_securities_eoy</t>
        </is>
      </c>
      <c r="F249" s="8" t="inlineStr">
        <is>
          <t>high</t>
        </is>
      </c>
      <c r="G249" s="9" t="n">
        <v>0</v>
      </c>
    </row>
    <row r="250">
      <c r="A250" s="8" t="inlineStr">
        <is>
          <t>Balance sheet (detail)</t>
        </is>
      </c>
      <c r="B250" s="8" t="inlineStr">
        <is>
          <t>D17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E17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F17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B18</t>
        </is>
      </c>
      <c r="C253" s="8" t="inlineStr">
        <is>
          <t>12. Investments - other securities</t>
        </is>
      </c>
      <c r="D253" s="8" t="inlineStr">
        <is>
          <t>12E</t>
        </is>
      </c>
      <c r="E253" s="8" t="inlineStr">
        <is>
          <t>part_x_balance_sheet.investments_other_securities_eoy</t>
        </is>
      </c>
      <c r="F253" s="8" t="inlineStr">
        <is>
          <t>high</t>
        </is>
      </c>
      <c r="G253" s="9" t="n">
        <v>0</v>
      </c>
    </row>
    <row r="254">
      <c r="A254" s="8" t="inlineStr">
        <is>
          <t>Balance sheet (detail)</t>
        </is>
      </c>
      <c r="B254" s="8" t="inlineStr">
        <is>
          <t>C18</t>
        </is>
      </c>
      <c r="C254" s="8" t="inlineStr">
        <is>
          <t>12. Investments - other securities</t>
        </is>
      </c>
      <c r="D254" s="8" t="inlineStr">
        <is>
          <t>12E</t>
        </is>
      </c>
      <c r="E254" s="8" t="inlineStr">
        <is>
          <t>part_x_balance_sheet.investments_other_securities_eoy</t>
        </is>
      </c>
      <c r="F254" s="8" t="inlineStr">
        <is>
          <t>high</t>
        </is>
      </c>
      <c r="G254" s="9" t="n">
        <v>0</v>
      </c>
    </row>
    <row r="255">
      <c r="A255" s="8" t="inlineStr">
        <is>
          <t>Balance sheet (detail)</t>
        </is>
      </c>
      <c r="B255" s="8" t="inlineStr">
        <is>
          <t>D18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E18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F18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B19</t>
        </is>
      </c>
      <c r="C258" s="8" t="inlineStr">
        <is>
          <t>13. Investments - program-related</t>
        </is>
      </c>
      <c r="D258" s="8" t="inlineStr">
        <is>
          <t>13E</t>
        </is>
      </c>
      <c r="E258" s="8" t="inlineStr">
        <is>
          <t>part_x_balance_sheet.investments_program_related_eoy</t>
        </is>
      </c>
      <c r="F258" s="8" t="inlineStr">
        <is>
          <t>high</t>
        </is>
      </c>
      <c r="G258" s="9" t="n">
        <v>0</v>
      </c>
    </row>
    <row r="259">
      <c r="A259" s="8" t="inlineStr">
        <is>
          <t>Balance sheet (detail)</t>
        </is>
      </c>
      <c r="B259" s="8" t="inlineStr">
        <is>
          <t>C19</t>
        </is>
      </c>
      <c r="C259" s="8" t="inlineStr">
        <is>
          <t>13. Investments - program-related</t>
        </is>
      </c>
      <c r="D259" s="8" t="inlineStr">
        <is>
          <t>13E</t>
        </is>
      </c>
      <c r="E259" s="8" t="inlineStr">
        <is>
          <t>part_x_balance_sheet.investments_program_related_eoy</t>
        </is>
      </c>
      <c r="F259" s="8" t="inlineStr">
        <is>
          <t>high</t>
        </is>
      </c>
      <c r="G259" s="9" t="n">
        <v>0</v>
      </c>
    </row>
    <row r="260">
      <c r="A260" s="8" t="inlineStr">
        <is>
          <t>Balance sheet (detail)</t>
        </is>
      </c>
      <c r="B260" s="8" t="inlineStr">
        <is>
          <t>D19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E19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F19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B20</t>
        </is>
      </c>
      <c r="C263" s="8" t="inlineStr">
        <is>
          <t>14. Intangible assets</t>
        </is>
      </c>
      <c r="D263" s="8" t="inlineStr">
        <is>
          <t>14E</t>
        </is>
      </c>
      <c r="E263" s="8" t="inlineStr">
        <is>
          <t>part_x_balance_sheet.intangible_assets_eoy</t>
        </is>
      </c>
      <c r="F263" s="8" t="inlineStr">
        <is>
          <t>high</t>
        </is>
      </c>
      <c r="G263" s="9" t="n">
        <v>33080</v>
      </c>
    </row>
    <row r="264">
      <c r="A264" s="8" t="inlineStr">
        <is>
          <t>Balance sheet (detail)</t>
        </is>
      </c>
      <c r="B264" s="8" t="inlineStr">
        <is>
          <t>C20</t>
        </is>
      </c>
      <c r="C264" s="8" t="inlineStr">
        <is>
          <t>14. Intangible assets</t>
        </is>
      </c>
      <c r="D264" s="8" t="inlineStr">
        <is>
          <t>14E</t>
        </is>
      </c>
      <c r="E264" s="8" t="inlineStr">
        <is>
          <t>part_x_balance_sheet.intangible_assets_eoy</t>
        </is>
      </c>
      <c r="F264" s="8" t="inlineStr">
        <is>
          <t>high</t>
        </is>
      </c>
      <c r="G264" s="9" t="n">
        <v>33080</v>
      </c>
    </row>
    <row r="265">
      <c r="A265" s="8" t="inlineStr">
        <is>
          <t>Balance sheet (detail)</t>
        </is>
      </c>
      <c r="B265" s="8" t="inlineStr">
        <is>
          <t>D20</t>
        </is>
      </c>
      <c r="C265" s="8" t="inlineStr">
        <is>
          <t>14. Intangible assets</t>
        </is>
      </c>
      <c r="D265" s="8" t="inlineStr">
        <is>
          <t>14E</t>
        </is>
      </c>
      <c r="E265" s="8" t="inlineStr">
        <is>
          <t>part_x_balance_sheet.intangible_assets_eoy</t>
        </is>
      </c>
      <c r="F265" s="8" t="inlineStr">
        <is>
          <t>high</t>
        </is>
      </c>
      <c r="G265" s="9" t="n">
        <v>33080</v>
      </c>
    </row>
    <row r="266">
      <c r="A266" s="8" t="inlineStr">
        <is>
          <t>Balance sheet (detail)</t>
        </is>
      </c>
      <c r="B266" s="8" t="inlineStr">
        <is>
          <t>E20</t>
        </is>
      </c>
      <c r="C266" s="8" t="inlineStr">
        <is>
          <t>14. Intangible assets</t>
        </is>
      </c>
      <c r="D266" s="8" t="inlineStr">
        <is>
          <t>14E</t>
        </is>
      </c>
      <c r="E266" s="8" t="inlineStr">
        <is>
          <t>part_x_balance_sheet.intangible_assets_eoy</t>
        </is>
      </c>
      <c r="F266" s="8" t="inlineStr">
        <is>
          <t>high</t>
        </is>
      </c>
      <c r="G266" s="9" t="n">
        <v>33080</v>
      </c>
    </row>
    <row r="267">
      <c r="A267" s="8" t="inlineStr">
        <is>
          <t>Balance sheet (detail)</t>
        </is>
      </c>
      <c r="B267" s="8" t="inlineStr">
        <is>
          <t>F20</t>
        </is>
      </c>
      <c r="C267" s="8" t="inlineStr">
        <is>
          <t>14. Intangible assets</t>
        </is>
      </c>
      <c r="D267" s="8" t="inlineStr">
        <is>
          <t>14E</t>
        </is>
      </c>
      <c r="E267" s="8" t="inlineStr">
        <is>
          <t>part_x_balance_sheet.intangible_assets_eoy</t>
        </is>
      </c>
      <c r="F267" s="8" t="inlineStr">
        <is>
          <t>high</t>
        </is>
      </c>
      <c r="G267" s="9" t="n">
        <v>33080</v>
      </c>
    </row>
    <row r="268">
      <c r="A268" s="8" t="inlineStr">
        <is>
          <t>Balance sheet (detail)</t>
        </is>
      </c>
      <c r="B268" s="8" t="inlineStr">
        <is>
          <t>B21</t>
        </is>
      </c>
      <c r="C268" s="8" t="inlineStr">
        <is>
          <t>15. Other assets</t>
        </is>
      </c>
      <c r="D268" s="8" t="inlineStr">
        <is>
          <t>15E</t>
        </is>
      </c>
      <c r="E268" s="8" t="inlineStr">
        <is>
          <t>part_x_balance_sheet.other_assets_eoy</t>
        </is>
      </c>
      <c r="F268" s="8" t="inlineStr">
        <is>
          <t>high</t>
        </is>
      </c>
      <c r="G268" s="9" t="n">
        <v>3079315</v>
      </c>
    </row>
    <row r="269">
      <c r="A269" s="8" t="inlineStr">
        <is>
          <t>Balance sheet (detail)</t>
        </is>
      </c>
      <c r="B269" s="8" t="inlineStr">
        <is>
          <t>C21</t>
        </is>
      </c>
      <c r="C269" s="8" t="inlineStr">
        <is>
          <t>15. Other assets</t>
        </is>
      </c>
      <c r="D269" s="8" t="inlineStr">
        <is>
          <t>15E</t>
        </is>
      </c>
      <c r="E269" s="8" t="inlineStr">
        <is>
          <t>part_x_balance_sheet.other_assets_eoy</t>
        </is>
      </c>
      <c r="F269" s="8" t="inlineStr">
        <is>
          <t>high</t>
        </is>
      </c>
      <c r="G269" s="9" t="n">
        <v>4209568</v>
      </c>
    </row>
    <row r="270">
      <c r="A270" s="8" t="inlineStr">
        <is>
          <t>Balance sheet (detail)</t>
        </is>
      </c>
      <c r="B270" s="8" t="inlineStr">
        <is>
          <t>D21</t>
        </is>
      </c>
      <c r="C270" s="8" t="inlineStr">
        <is>
          <t>15. Other assets</t>
        </is>
      </c>
      <c r="D270" s="8" t="inlineStr">
        <is>
          <t>15E</t>
        </is>
      </c>
      <c r="E270" s="8" t="inlineStr">
        <is>
          <t>part_x_balance_sheet.other_assets_eoy</t>
        </is>
      </c>
      <c r="F270" s="8" t="inlineStr">
        <is>
          <t>high</t>
        </is>
      </c>
      <c r="G270" s="9" t="n">
        <v>2639660</v>
      </c>
    </row>
    <row r="271">
      <c r="A271" s="8" t="inlineStr">
        <is>
          <t>Balance sheet (detail)</t>
        </is>
      </c>
      <c r="B271" s="8" t="inlineStr">
        <is>
          <t>E21</t>
        </is>
      </c>
      <c r="C271" s="8" t="inlineStr">
        <is>
          <t>15. Other assets</t>
        </is>
      </c>
      <c r="D271" s="8" t="inlineStr">
        <is>
          <t>15E</t>
        </is>
      </c>
      <c r="E271" s="8" t="inlineStr">
        <is>
          <t>part_x_balance_sheet.other_assets_eoy</t>
        </is>
      </c>
      <c r="F271" s="8" t="inlineStr">
        <is>
          <t>high</t>
        </is>
      </c>
      <c r="G271" s="9" t="n">
        <v>2469472</v>
      </c>
    </row>
    <row r="272">
      <c r="A272" s="8" t="inlineStr">
        <is>
          <t>Balance sheet (detail)</t>
        </is>
      </c>
      <c r="B272" s="8" t="inlineStr">
        <is>
          <t>F21</t>
        </is>
      </c>
      <c r="C272" s="8" t="inlineStr">
        <is>
          <t>15. Other assets</t>
        </is>
      </c>
      <c r="D272" s="8" t="inlineStr">
        <is>
          <t>15E</t>
        </is>
      </c>
      <c r="E272" s="8" t="inlineStr">
        <is>
          <t>part_x_balance_sheet.other_assets_eoy</t>
        </is>
      </c>
      <c r="F272" s="8" t="inlineStr">
        <is>
          <t>high</t>
        </is>
      </c>
      <c r="G272" s="9" t="n">
        <v>2409675</v>
      </c>
    </row>
    <row r="273">
      <c r="A273" s="8" t="inlineStr">
        <is>
          <t>Balance sheet (detail)</t>
        </is>
      </c>
      <c r="B273" s="8" t="inlineStr">
        <is>
          <t>B25</t>
        </is>
      </c>
      <c r="C273" s="8" t="inlineStr">
        <is>
          <t>17. Accounts payable and accrued expenses</t>
        </is>
      </c>
      <c r="D273" s="8" t="inlineStr">
        <is>
          <t>17E</t>
        </is>
      </c>
      <c r="E273" s="8" t="inlineStr">
        <is>
          <t>part_x_balance_sheet.accounts_payable_eoy</t>
        </is>
      </c>
      <c r="F273" s="8" t="inlineStr">
        <is>
          <t>high</t>
        </is>
      </c>
      <c r="G273" s="9" t="n">
        <v>546240</v>
      </c>
    </row>
    <row r="274">
      <c r="A274" s="8" t="inlineStr">
        <is>
          <t>Balance sheet (detail)</t>
        </is>
      </c>
      <c r="B274" s="8" t="inlineStr">
        <is>
          <t>C25</t>
        </is>
      </c>
      <c r="C274" s="8" t="inlineStr">
        <is>
          <t>17. Accounts payable and accrued expenses</t>
        </is>
      </c>
      <c r="D274" s="8" t="inlineStr">
        <is>
          <t>17E</t>
        </is>
      </c>
      <c r="E274" s="8" t="inlineStr">
        <is>
          <t>part_x_balance_sheet.accounts_payable_eoy</t>
        </is>
      </c>
      <c r="F274" s="8" t="inlineStr">
        <is>
          <t>high</t>
        </is>
      </c>
      <c r="G274" s="9" t="n">
        <v>1248168</v>
      </c>
    </row>
    <row r="275">
      <c r="A275" s="8" t="inlineStr">
        <is>
          <t>Balance sheet (detail)</t>
        </is>
      </c>
      <c r="B275" s="8" t="inlineStr">
        <is>
          <t>D25</t>
        </is>
      </c>
      <c r="C275" s="8" t="inlineStr">
        <is>
          <t>17. Accounts payable and accrued expenses</t>
        </is>
      </c>
      <c r="D275" s="8" t="inlineStr">
        <is>
          <t>17E</t>
        </is>
      </c>
      <c r="E275" s="8" t="inlineStr">
        <is>
          <t>part_x_balance_sheet.accounts_payable_eoy</t>
        </is>
      </c>
      <c r="F275" s="8" t="inlineStr">
        <is>
          <t>high</t>
        </is>
      </c>
      <c r="G275" s="9" t="n">
        <v>648797</v>
      </c>
    </row>
    <row r="276">
      <c r="A276" s="8" t="inlineStr">
        <is>
          <t>Balance sheet (detail)</t>
        </is>
      </c>
      <c r="B276" s="8" t="inlineStr">
        <is>
          <t>E25</t>
        </is>
      </c>
      <c r="C276" s="8" t="inlineStr">
        <is>
          <t>17. Accounts payable and accrued expenses</t>
        </is>
      </c>
      <c r="D276" s="8" t="inlineStr">
        <is>
          <t>17E</t>
        </is>
      </c>
      <c r="E276" s="8" t="inlineStr">
        <is>
          <t>part_x_balance_sheet.accounts_payable_eoy</t>
        </is>
      </c>
      <c r="F276" s="8" t="inlineStr">
        <is>
          <t>high</t>
        </is>
      </c>
      <c r="G276" s="9" t="n">
        <v>622103</v>
      </c>
    </row>
    <row r="277">
      <c r="A277" s="8" t="inlineStr">
        <is>
          <t>Balance sheet (detail)</t>
        </is>
      </c>
      <c r="B277" s="8" t="inlineStr">
        <is>
          <t>F25</t>
        </is>
      </c>
      <c r="C277" s="8" t="inlineStr">
        <is>
          <t>17. Accounts payable and accrued expenses</t>
        </is>
      </c>
      <c r="D277" s="8" t="inlineStr">
        <is>
          <t>17E</t>
        </is>
      </c>
      <c r="E277" s="8" t="inlineStr">
        <is>
          <t>part_x_balance_sheet.accounts_payable_eoy</t>
        </is>
      </c>
      <c r="F277" s="8" t="inlineStr">
        <is>
          <t>high</t>
        </is>
      </c>
      <c r="G277" s="9" t="n">
        <v>1390503</v>
      </c>
    </row>
    <row r="278">
      <c r="A278" s="8" t="inlineStr">
        <is>
          <t>Balance sheet (detail)</t>
        </is>
      </c>
      <c r="B278" s="8" t="inlineStr">
        <is>
          <t>B26</t>
        </is>
      </c>
      <c r="C278" s="8" t="inlineStr">
        <is>
          <t>19. Deferred revenue</t>
        </is>
      </c>
      <c r="D278" s="8" t="inlineStr">
        <is>
          <t>19E</t>
        </is>
      </c>
      <c r="E278" s="8" t="inlineStr">
        <is>
          <t>part_x_balance_sheet.deferred_revenue_eoy</t>
        </is>
      </c>
      <c r="F278" s="8" t="inlineStr">
        <is>
          <t>high</t>
        </is>
      </c>
      <c r="G278" s="9" t="n">
        <v>32472</v>
      </c>
    </row>
    <row r="279">
      <c r="A279" s="8" t="inlineStr">
        <is>
          <t>Balance sheet (detail)</t>
        </is>
      </c>
      <c r="B279" s="8" t="inlineStr">
        <is>
          <t>C26</t>
        </is>
      </c>
      <c r="C279" s="8" t="inlineStr">
        <is>
          <t>19. Deferred revenue</t>
        </is>
      </c>
      <c r="D279" s="8" t="inlineStr">
        <is>
          <t>19E</t>
        </is>
      </c>
      <c r="E279" s="8" t="inlineStr">
        <is>
          <t>part_x_balance_sheet.deferred_revenue_eoy</t>
        </is>
      </c>
      <c r="F279" s="8" t="inlineStr">
        <is>
          <t>high</t>
        </is>
      </c>
      <c r="G279" s="9" t="n">
        <v>53184</v>
      </c>
    </row>
    <row r="280">
      <c r="A280" s="8" t="inlineStr">
        <is>
          <t>Balance sheet (detail)</t>
        </is>
      </c>
      <c r="B280" s="8" t="inlineStr">
        <is>
          <t>D26</t>
        </is>
      </c>
      <c r="C280" s="8" t="inlineStr">
        <is>
          <t>19. Deferred revenue</t>
        </is>
      </c>
      <c r="D280" s="8" t="inlineStr">
        <is>
          <t>19E</t>
        </is>
      </c>
      <c r="E280" s="8" t="inlineStr">
        <is>
          <t>part_x_balance_sheet.deferred_revenue_eoy</t>
        </is>
      </c>
      <c r="F280" s="8" t="inlineStr">
        <is>
          <t>high</t>
        </is>
      </c>
      <c r="G280" s="9" t="n">
        <v>24762</v>
      </c>
    </row>
    <row r="281">
      <c r="A281" s="8" t="inlineStr">
        <is>
          <t>Balance sheet (detail)</t>
        </is>
      </c>
      <c r="B281" s="8" t="inlineStr">
        <is>
          <t>E26</t>
        </is>
      </c>
      <c r="C281" s="8" t="inlineStr">
        <is>
          <t>19. Deferred revenue</t>
        </is>
      </c>
      <c r="D281" s="8" t="inlineStr">
        <is>
          <t>19E</t>
        </is>
      </c>
      <c r="E281" s="8" t="inlineStr">
        <is>
          <t>part_x_balance_sheet.deferred_revenue_eoy</t>
        </is>
      </c>
      <c r="F281" s="8" t="inlineStr">
        <is>
          <t>high</t>
        </is>
      </c>
      <c r="G281" s="9" t="n">
        <v>41456</v>
      </c>
    </row>
    <row r="282">
      <c r="A282" s="8" t="inlineStr">
        <is>
          <t>Balance sheet (detail)</t>
        </is>
      </c>
      <c r="B282" s="8" t="inlineStr">
        <is>
          <t>F26</t>
        </is>
      </c>
      <c r="C282" s="8" t="inlineStr">
        <is>
          <t>19. Deferred revenue</t>
        </is>
      </c>
      <c r="D282" s="8" t="inlineStr">
        <is>
          <t>19E</t>
        </is>
      </c>
      <c r="E282" s="8" t="inlineStr">
        <is>
          <t>part_x_balance_sheet.deferred_revenue_eoy</t>
        </is>
      </c>
      <c r="F282" s="8" t="inlineStr">
        <is>
          <t>high</t>
        </is>
      </c>
      <c r="G282" s="9" t="n">
        <v>28924</v>
      </c>
    </row>
    <row r="283">
      <c r="A283" s="8" t="inlineStr">
        <is>
          <t>Balance sheet (detail)</t>
        </is>
      </c>
      <c r="B283" s="8" t="inlineStr">
        <is>
          <t>D27</t>
        </is>
      </c>
      <c r="C283" s="8" t="inlineStr">
        <is>
          <t>24. Unsecured notes and loans payable</t>
        </is>
      </c>
      <c r="D283" s="8" t="inlineStr">
        <is>
          <t>24E</t>
        </is>
      </c>
      <c r="E283" s="8" t="inlineStr">
        <is>
          <t>part_x_balance_sheet.unsecured_notes_loans_payable_eoy</t>
        </is>
      </c>
      <c r="F283" s="8" t="inlineStr">
        <is>
          <t>high</t>
        </is>
      </c>
      <c r="G283" s="9" t="n">
        <v>1400000</v>
      </c>
    </row>
    <row r="284">
      <c r="A284" s="8" t="inlineStr">
        <is>
          <t>Balance sheet (detail)</t>
        </is>
      </c>
      <c r="B284" s="8" t="inlineStr">
        <is>
          <t>E27</t>
        </is>
      </c>
      <c r="C284" s="8" t="inlineStr">
        <is>
          <t>24. Unsecured notes and loans payable</t>
        </is>
      </c>
      <c r="D284" s="8" t="inlineStr">
        <is>
          <t>24E</t>
        </is>
      </c>
      <c r="E284" s="8" t="inlineStr">
        <is>
          <t>part_x_balance_sheet.unsecured_notes_loans_payable_eoy</t>
        </is>
      </c>
      <c r="F284" s="8" t="inlineStr">
        <is>
          <t>high</t>
        </is>
      </c>
      <c r="G284" s="9" t="n">
        <v>900000</v>
      </c>
    </row>
    <row r="285">
      <c r="A285" s="8" t="inlineStr">
        <is>
          <t>Balance sheet (detail)</t>
        </is>
      </c>
      <c r="B285" s="8" t="inlineStr">
        <is>
          <t>B28</t>
        </is>
      </c>
      <c r="C285" s="8" t="inlineStr">
        <is>
          <t>25. Other liabilities</t>
        </is>
      </c>
      <c r="D285" s="8" t="inlineStr">
        <is>
          <t>25E</t>
        </is>
      </c>
      <c r="E285" s="8" t="inlineStr">
        <is>
          <t>part_x_balance_sheet.other_liabilities_eoy</t>
        </is>
      </c>
      <c r="F285" s="8" t="inlineStr">
        <is>
          <t>high</t>
        </is>
      </c>
      <c r="G285" s="9" t="n">
        <v>177211</v>
      </c>
    </row>
    <row r="286">
      <c r="A286" s="8" t="inlineStr">
        <is>
          <t>Balance sheet (detail)</t>
        </is>
      </c>
      <c r="B286" s="8" t="inlineStr">
        <is>
          <t>C28</t>
        </is>
      </c>
      <c r="C286" s="8" t="inlineStr">
        <is>
          <t>25. Other liabilities</t>
        </is>
      </c>
      <c r="D286" s="8" t="inlineStr">
        <is>
          <t>25E</t>
        </is>
      </c>
      <c r="E286" s="8" t="inlineStr">
        <is>
          <t>part_x_balance_sheet.other_liabilities_eoy</t>
        </is>
      </c>
      <c r="F286" s="8" t="inlineStr">
        <is>
          <t>high</t>
        </is>
      </c>
      <c r="G286" s="9" t="n">
        <v>181211</v>
      </c>
    </row>
    <row r="287">
      <c r="A287" s="8" t="inlineStr">
        <is>
          <t>Balance sheet (detail)</t>
        </is>
      </c>
      <c r="B287" s="8" t="inlineStr">
        <is>
          <t>D28</t>
        </is>
      </c>
      <c r="C287" s="8" t="inlineStr">
        <is>
          <t>25. Other liabilities</t>
        </is>
      </c>
      <c r="D287" s="8" t="inlineStr">
        <is>
          <t>25E</t>
        </is>
      </c>
      <c r="E287" s="8" t="inlineStr">
        <is>
          <t>part_x_balance_sheet.other_liabilities_eoy</t>
        </is>
      </c>
      <c r="F287" s="8" t="inlineStr">
        <is>
          <t>high</t>
        </is>
      </c>
      <c r="G287" s="9" t="n">
        <v>197830</v>
      </c>
    </row>
    <row r="288">
      <c r="A288" s="8" t="inlineStr">
        <is>
          <t>Balance sheet (detail)</t>
        </is>
      </c>
      <c r="B288" s="8" t="inlineStr">
        <is>
          <t>E28</t>
        </is>
      </c>
      <c r="C288" s="8" t="inlineStr">
        <is>
          <t>25. Other liabilities</t>
        </is>
      </c>
      <c r="D288" s="8" t="inlineStr">
        <is>
          <t>25E</t>
        </is>
      </c>
      <c r="E288" s="8" t="inlineStr">
        <is>
          <t>part_x_balance_sheet.other_liabilities_eoy</t>
        </is>
      </c>
      <c r="F288" s="8" t="inlineStr">
        <is>
          <t>high</t>
        </is>
      </c>
      <c r="G288" s="9" t="n">
        <v>209334</v>
      </c>
    </row>
    <row r="289">
      <c r="A289" s="8" t="inlineStr">
        <is>
          <t>Balance sheet (detail)</t>
        </is>
      </c>
      <c r="B289" s="8" t="inlineStr">
        <is>
          <t>F28</t>
        </is>
      </c>
      <c r="C289" s="8" t="inlineStr">
        <is>
          <t>25. Other liabilities</t>
        </is>
      </c>
      <c r="D289" s="8" t="inlineStr">
        <is>
          <t>25E</t>
        </is>
      </c>
      <c r="E289" s="8" t="inlineStr">
        <is>
          <t>part_x_balance_sheet.other_liabilities_eoy</t>
        </is>
      </c>
      <c r="F289" s="8" t="inlineStr">
        <is>
          <t>high</t>
        </is>
      </c>
      <c r="G289" s="9" t="n">
        <v>208000</v>
      </c>
    </row>
    <row r="290">
      <c r="A290" s="8" t="inlineStr">
        <is>
          <t>Balance sheet (detail)</t>
        </is>
      </c>
      <c r="B290" s="8" t="inlineStr">
        <is>
          <t>B32</t>
        </is>
      </c>
      <c r="C290" s="8" t="inlineStr">
        <is>
          <t>29. Capital stock or trust principal</t>
        </is>
      </c>
      <c r="D290" s="8" t="inlineStr">
        <is>
          <t>29E</t>
        </is>
      </c>
      <c r="E290" s="8" t="inlineStr">
        <is>
          <t>part_x_balance_sheet.cap_stock_eoy</t>
        </is>
      </c>
      <c r="F290" s="8" t="inlineStr">
        <is>
          <t>high</t>
        </is>
      </c>
      <c r="G290" s="9" t="n">
        <v>130000</v>
      </c>
    </row>
    <row r="291">
      <c r="A291" s="8" t="inlineStr">
        <is>
          <t>Balance sheet (detail)</t>
        </is>
      </c>
      <c r="B291" s="8" t="inlineStr">
        <is>
          <t>C32</t>
        </is>
      </c>
      <c r="C291" s="8" t="inlineStr">
        <is>
          <t>29. Capital stock or trust principal</t>
        </is>
      </c>
      <c r="D291" s="8" t="inlineStr">
        <is>
          <t>29E</t>
        </is>
      </c>
      <c r="E291" s="8" t="inlineStr">
        <is>
          <t>part_x_balance_sheet.cap_stock_eoy</t>
        </is>
      </c>
      <c r="F291" s="8" t="inlineStr">
        <is>
          <t>high</t>
        </is>
      </c>
      <c r="G291" s="9" t="n">
        <v>130000</v>
      </c>
    </row>
    <row r="292">
      <c r="A292" s="8" t="inlineStr">
        <is>
          <t>Balance sheet (detail)</t>
        </is>
      </c>
      <c r="B292" s="8" t="inlineStr">
        <is>
          <t>D32</t>
        </is>
      </c>
      <c r="C292" s="8" t="inlineStr">
        <is>
          <t>29. Capital stock or trust principal</t>
        </is>
      </c>
      <c r="D292" s="8" t="inlineStr">
        <is>
          <t>29E</t>
        </is>
      </c>
      <c r="E292" s="8" t="inlineStr">
        <is>
          <t>part_x_balance_sheet.cap_stock_eoy</t>
        </is>
      </c>
      <c r="F292" s="8" t="inlineStr">
        <is>
          <t>high</t>
        </is>
      </c>
      <c r="G292" s="9" t="n">
        <v>130000</v>
      </c>
    </row>
    <row r="293">
      <c r="A293" s="8" t="inlineStr">
        <is>
          <t>Balance sheet (detail)</t>
        </is>
      </c>
      <c r="B293" s="8" t="inlineStr">
        <is>
          <t>E32</t>
        </is>
      </c>
      <c r="C293" s="8" t="inlineStr">
        <is>
          <t>29. Capital stock or trust principal</t>
        </is>
      </c>
      <c r="D293" s="8" t="inlineStr">
        <is>
          <t>29E</t>
        </is>
      </c>
      <c r="E293" s="8" t="inlineStr">
        <is>
          <t>part_x_balance_sheet.cap_stock_eoy</t>
        </is>
      </c>
      <c r="F293" s="8" t="inlineStr">
        <is>
          <t>high</t>
        </is>
      </c>
      <c r="G293" s="9" t="n">
        <v>130000</v>
      </c>
    </row>
    <row r="294">
      <c r="A294" s="8" t="inlineStr">
        <is>
          <t>Balance sheet (detail)</t>
        </is>
      </c>
      <c r="B294" s="8" t="inlineStr">
        <is>
          <t>F32</t>
        </is>
      </c>
      <c r="C294" s="8" t="inlineStr">
        <is>
          <t>29. Capital stock or trust principal</t>
        </is>
      </c>
      <c r="D294" s="8" t="inlineStr">
        <is>
          <t>29E</t>
        </is>
      </c>
      <c r="E294" s="8" t="inlineStr">
        <is>
          <t>part_x_balance_sheet.cap_stock_eoy</t>
        </is>
      </c>
      <c r="F294" s="8" t="inlineStr">
        <is>
          <t>high</t>
        </is>
      </c>
      <c r="G294" s="9" t="n">
        <v>130000</v>
      </c>
    </row>
    <row r="295">
      <c r="A295" s="8" t="inlineStr">
        <is>
          <t>Balance sheet (detail)</t>
        </is>
      </c>
      <c r="B295" s="8" t="inlineStr">
        <is>
          <t>B33</t>
        </is>
      </c>
      <c r="C295" s="8" t="inlineStr">
        <is>
          <t>31. Retained earnings / accumulated funds</t>
        </is>
      </c>
      <c r="D295" s="8" t="inlineStr">
        <is>
          <t>31E</t>
        </is>
      </c>
      <c r="E295" s="8" t="inlineStr">
        <is>
          <t>part_x_balance_sheet.retained_earnings_eoy</t>
        </is>
      </c>
      <c r="F295" s="8" t="inlineStr">
        <is>
          <t>high</t>
        </is>
      </c>
      <c r="G295" s="9" t="n">
        <v>24809022</v>
      </c>
    </row>
    <row r="296">
      <c r="A296" s="8" t="inlineStr">
        <is>
          <t>Balance sheet (detail)</t>
        </is>
      </c>
      <c r="B296" s="8" t="inlineStr">
        <is>
          <t>C33</t>
        </is>
      </c>
      <c r="C296" s="8" t="inlineStr">
        <is>
          <t>31. Retained earnings / accumulated funds</t>
        </is>
      </c>
      <c r="D296" s="8" t="inlineStr">
        <is>
          <t>31E</t>
        </is>
      </c>
      <c r="E296" s="8" t="inlineStr">
        <is>
          <t>part_x_balance_sheet.retained_earnings_eoy</t>
        </is>
      </c>
      <c r="F296" s="8" t="inlineStr">
        <is>
          <t>high</t>
        </is>
      </c>
      <c r="G296" s="9" t="n">
        <v>29972417</v>
      </c>
    </row>
    <row r="297">
      <c r="A297" s="8" t="inlineStr">
        <is>
          <t>Balance sheet (detail)</t>
        </is>
      </c>
      <c r="B297" s="8" t="inlineStr">
        <is>
          <t>D33</t>
        </is>
      </c>
      <c r="C297" s="8" t="inlineStr">
        <is>
          <t>31. Retained earnings / accumulated funds</t>
        </is>
      </c>
      <c r="D297" s="8" t="inlineStr">
        <is>
          <t>31E</t>
        </is>
      </c>
      <c r="E297" s="8" t="inlineStr">
        <is>
          <t>part_x_balance_sheet.retained_earnings_eoy</t>
        </is>
      </c>
      <c r="F297" s="8" t="inlineStr">
        <is>
          <t>high</t>
        </is>
      </c>
      <c r="G297" s="9" t="n">
        <v>29847677</v>
      </c>
    </row>
    <row r="298">
      <c r="A298" s="8" t="inlineStr">
        <is>
          <t>Balance sheet (detail)</t>
        </is>
      </c>
      <c r="B298" s="8" t="inlineStr">
        <is>
          <t>E33</t>
        </is>
      </c>
      <c r="C298" s="8" t="inlineStr">
        <is>
          <t>31. Retained earnings / accumulated funds</t>
        </is>
      </c>
      <c r="D298" s="8" t="inlineStr">
        <is>
          <t>31E</t>
        </is>
      </c>
      <c r="E298" s="8" t="inlineStr">
        <is>
          <t>part_x_balance_sheet.retained_earnings_eoy</t>
        </is>
      </c>
      <c r="F298" s="8" t="inlineStr">
        <is>
          <t>high</t>
        </is>
      </c>
      <c r="G298" s="9" t="n">
        <v>31842297</v>
      </c>
    </row>
    <row r="299">
      <c r="A299" s="8" t="inlineStr">
        <is>
          <t>Balance sheet (detail)</t>
        </is>
      </c>
      <c r="B299" s="8" t="inlineStr">
        <is>
          <t>F33</t>
        </is>
      </c>
      <c r="C299" s="8" t="inlineStr">
        <is>
          <t>31. Retained earnings / accumulated funds</t>
        </is>
      </c>
      <c r="D299" s="8" t="inlineStr">
        <is>
          <t>31E</t>
        </is>
      </c>
      <c r="E299" s="8" t="inlineStr">
        <is>
          <t>part_x_balance_sheet.retained_earnings_eoy</t>
        </is>
      </c>
      <c r="F299" s="8" t="inlineStr">
        <is>
          <t>high</t>
        </is>
      </c>
      <c r="G299" s="9" t="n">
        <v>34109033</v>
      </c>
    </row>
    <row r="300">
      <c r="A300" s="8" t="inlineStr">
        <is>
          <t>Net-assets reconciliation</t>
        </is>
      </c>
      <c r="B300" s="8" t="inlineStr">
        <is>
          <t>B7</t>
        </is>
      </c>
      <c r="C300" s="8" t="inlineStr">
        <is>
          <t>4. Net assets, beginning of year</t>
        </is>
      </c>
      <c r="D300" s="8" t="inlineStr">
        <is>
          <t>Part XI line 4</t>
        </is>
      </c>
      <c r="E300" s="8" t="inlineStr">
        <is>
          <t>part_xi_reconciliation.net_assets_boy</t>
        </is>
      </c>
      <c r="F300" s="8" t="inlineStr">
        <is>
          <t>high</t>
        </is>
      </c>
      <c r="G300" s="9" t="n">
        <v>23426788</v>
      </c>
    </row>
    <row r="301">
      <c r="A301" s="8" t="inlineStr">
        <is>
          <t>Net-assets reconciliation</t>
        </is>
      </c>
      <c r="B301" s="8" t="inlineStr">
        <is>
          <t>C7</t>
        </is>
      </c>
      <c r="C301" s="8" t="inlineStr">
        <is>
          <t>4. Net assets, beginning of year</t>
        </is>
      </c>
      <c r="D301" s="8" t="inlineStr">
        <is>
          <t>Part XI line 4</t>
        </is>
      </c>
      <c r="E301" s="8" t="inlineStr">
        <is>
          <t>part_xi_reconciliation.net_assets_boy</t>
        </is>
      </c>
      <c r="F301" s="8" t="inlineStr">
        <is>
          <t>high</t>
        </is>
      </c>
      <c r="G301" s="9" t="n">
        <v>24939022</v>
      </c>
    </row>
    <row r="302">
      <c r="A302" s="8" t="inlineStr">
        <is>
          <t>Net-assets reconciliation</t>
        </is>
      </c>
      <c r="B302" s="8" t="inlineStr">
        <is>
          <t>D7</t>
        </is>
      </c>
      <c r="C302" s="8" t="inlineStr">
        <is>
          <t>4. Net assets, beginning of year</t>
        </is>
      </c>
      <c r="D302" s="8" t="inlineStr">
        <is>
          <t>Part XI line 4</t>
        </is>
      </c>
      <c r="E302" s="8" t="inlineStr">
        <is>
          <t>part_xi_reconciliation.net_assets_boy</t>
        </is>
      </c>
      <c r="F302" s="8" t="inlineStr">
        <is>
          <t>high</t>
        </is>
      </c>
      <c r="G302" s="9" t="n">
        <v>30102417</v>
      </c>
    </row>
    <row r="303">
      <c r="A303" s="8" t="inlineStr">
        <is>
          <t>Net-assets reconciliation</t>
        </is>
      </c>
      <c r="B303" s="8" t="inlineStr">
        <is>
          <t>E7</t>
        </is>
      </c>
      <c r="C303" s="8" t="inlineStr">
        <is>
          <t>4. Net assets, beginning of year</t>
        </is>
      </c>
      <c r="D303" s="8" t="inlineStr">
        <is>
          <t>Part XI line 4</t>
        </is>
      </c>
      <c r="E303" s="8" t="inlineStr">
        <is>
          <t>part_xi_reconciliation.net_assets_boy</t>
        </is>
      </c>
      <c r="F303" s="8" t="inlineStr">
        <is>
          <t>high</t>
        </is>
      </c>
      <c r="G303" s="9" t="n">
        <v>29977677</v>
      </c>
    </row>
    <row r="304">
      <c r="A304" s="8" t="inlineStr">
        <is>
          <t>Net-assets reconciliation</t>
        </is>
      </c>
      <c r="B304" s="8" t="inlineStr">
        <is>
          <t>F7</t>
        </is>
      </c>
      <c r="C304" s="8" t="inlineStr">
        <is>
          <t>4. Net assets, beginning of year</t>
        </is>
      </c>
      <c r="D304" s="8" t="inlineStr">
        <is>
          <t>Part XI line 4</t>
        </is>
      </c>
      <c r="E304" s="8" t="inlineStr">
        <is>
          <t>part_xi_reconciliation.net_assets_boy</t>
        </is>
      </c>
      <c r="F304" s="8" t="inlineStr">
        <is>
          <t>high</t>
        </is>
      </c>
      <c r="G304" s="9" t="n">
        <v>31972297</v>
      </c>
    </row>
    <row r="305">
      <c r="A305" s="8" t="inlineStr">
        <is>
          <t>Net-assets reconciliation</t>
        </is>
      </c>
      <c r="B305" s="8" t="inlineStr">
        <is>
          <t>B8</t>
        </is>
      </c>
      <c r="C305" s="8" t="inlineStr">
        <is>
          <t>3. Revenue less expenses</t>
        </is>
      </c>
      <c r="D305" s="8" t="inlineStr">
        <is>
          <t>Part XI line 3</t>
        </is>
      </c>
      <c r="E305" s="8" t="inlineStr">
        <is>
          <t>part_xi_reconciliation.reconciliation_revenue_expenses</t>
        </is>
      </c>
      <c r="F305" s="8" t="inlineStr">
        <is>
          <t>high</t>
        </is>
      </c>
      <c r="G305" s="9" t="n">
        <v>1201002</v>
      </c>
    </row>
    <row r="306">
      <c r="A306" s="8" t="inlineStr">
        <is>
          <t>Net-assets reconciliation</t>
        </is>
      </c>
      <c r="B306" s="8" t="inlineStr">
        <is>
          <t>C8</t>
        </is>
      </c>
      <c r="C306" s="8" t="inlineStr">
        <is>
          <t>3. Revenue less expenses</t>
        </is>
      </c>
      <c r="D306" s="8" t="inlineStr">
        <is>
          <t>Part XI line 3</t>
        </is>
      </c>
      <c r="E306" s="8" t="inlineStr">
        <is>
          <t>part_xi_reconciliation.reconciliation_revenue_expenses</t>
        </is>
      </c>
      <c r="F306" s="8" t="inlineStr">
        <is>
          <t>high</t>
        </is>
      </c>
      <c r="G306" s="9" t="n">
        <v>4995857</v>
      </c>
    </row>
    <row r="307">
      <c r="A307" s="8" t="inlineStr">
        <is>
          <t>Net-assets reconciliation</t>
        </is>
      </c>
      <c r="B307" s="8" t="inlineStr">
        <is>
          <t>D8</t>
        </is>
      </c>
      <c r="C307" s="8" t="inlineStr">
        <is>
          <t>3. Revenue less expenses</t>
        </is>
      </c>
      <c r="D307" s="8" t="inlineStr">
        <is>
          <t>Part XI line 3</t>
        </is>
      </c>
      <c r="E307" s="8" t="inlineStr">
        <is>
          <t>part_xi_reconciliation.reconciliation_revenue_expenses</t>
        </is>
      </c>
      <c r="F307" s="8" t="inlineStr">
        <is>
          <t>high</t>
        </is>
      </c>
      <c r="G307" s="9" t="n">
        <v>1694513</v>
      </c>
    </row>
    <row r="308">
      <c r="A308" s="8" t="inlineStr">
        <is>
          <t>Net-assets reconciliation</t>
        </is>
      </c>
      <c r="B308" s="8" t="inlineStr">
        <is>
          <t>E8</t>
        </is>
      </c>
      <c r="C308" s="8" t="inlineStr">
        <is>
          <t>3. Revenue less expenses</t>
        </is>
      </c>
      <c r="D308" s="8" t="inlineStr">
        <is>
          <t>Part XI line 3</t>
        </is>
      </c>
      <c r="E308" s="8" t="inlineStr">
        <is>
          <t>part_xi_reconciliation.reconciliation_revenue_expenses</t>
        </is>
      </c>
      <c r="F308" s="8" t="inlineStr">
        <is>
          <t>high</t>
        </is>
      </c>
      <c r="G308" s="9" t="n">
        <v>1490599</v>
      </c>
    </row>
    <row r="309">
      <c r="A309" s="8" t="inlineStr">
        <is>
          <t>Net-assets reconciliation</t>
        </is>
      </c>
      <c r="B309" s="8" t="inlineStr">
        <is>
          <t>F8</t>
        </is>
      </c>
      <c r="C309" s="8" t="inlineStr">
        <is>
          <t>3. Revenue less expenses</t>
        </is>
      </c>
      <c r="D309" s="8" t="inlineStr">
        <is>
          <t>Part XI line 3</t>
        </is>
      </c>
      <c r="E309" s="8" t="inlineStr">
        <is>
          <t>part_xi_reconciliation.reconciliation_revenue_expenses</t>
        </is>
      </c>
      <c r="F309" s="8" t="inlineStr">
        <is>
          <t>high</t>
        </is>
      </c>
      <c r="G309" s="9" t="n">
        <v>1920629</v>
      </c>
    </row>
    <row r="311">
      <c r="A311" s="29" t="inlineStr">
        <is>
          <t>C. Tie-out checks (filed vs computed; any nonzero variance is flagged red)</t>
        </is>
      </c>
      <c r="B311" s="7" t="n"/>
      <c r="C311" s="7" t="n"/>
      <c r="D311" s="7" t="n"/>
      <c r="E311" s="7" t="n"/>
      <c r="F311" s="7" t="n"/>
      <c r="G311" s="7" t="n"/>
      <c r="H311" s="7" t="n"/>
      <c r="I311" s="7" t="n"/>
      <c r="J311" s="7" t="n"/>
      <c r="K311" s="7" t="n"/>
    </row>
    <row r="312">
      <c r="A312" s="5" t="inlineStr">
        <is>
          <t>Tab</t>
        </is>
      </c>
      <c r="B312" s="5" t="inlineStr">
        <is>
          <t>Check</t>
        </is>
      </c>
      <c r="C312" s="5" t="inlineStr">
        <is>
          <t>Fiscal year</t>
        </is>
      </c>
      <c r="D312" s="5" t="inlineStr">
        <is>
          <t>Filed</t>
        </is>
      </c>
      <c r="E312" s="5" t="inlineStr">
        <is>
          <t>Computed</t>
        </is>
      </c>
      <c r="F312" s="5" t="inlineStr">
        <is>
          <t>Variance (computed - filed)</t>
        </is>
      </c>
    </row>
    <row r="313">
      <c r="A313" s="20" t="inlineStr">
        <is>
          <t>Revenue (detail)</t>
        </is>
      </c>
      <c r="B313" s="20" t="inlineStr">
        <is>
          <t>12. Total revenue</t>
        </is>
      </c>
      <c r="C313" s="20" t="inlineStr">
        <is>
          <t>FY2020</t>
        </is>
      </c>
      <c r="D313" s="9" t="n">
        <v>5950902</v>
      </c>
      <c r="E313" s="9">
        <f>'Revenue (detail)'!B13</f>
        <v/>
      </c>
      <c r="F313" s="9">
        <f>E313-D313</f>
        <v/>
      </c>
    </row>
    <row r="314">
      <c r="A314" s="20" t="inlineStr">
        <is>
          <t>Revenue (detail)</t>
        </is>
      </c>
      <c r="B314" s="20" t="inlineStr">
        <is>
          <t>12. Total revenue</t>
        </is>
      </c>
      <c r="C314" s="20" t="inlineStr">
        <is>
          <t>FY2021</t>
        </is>
      </c>
      <c r="D314" s="9" t="n">
        <v>10112414</v>
      </c>
      <c r="E314" s="9">
        <f>'Revenue (detail)'!C13</f>
        <v/>
      </c>
      <c r="F314" s="9">
        <f>E314-D314</f>
        <v/>
      </c>
    </row>
    <row r="315">
      <c r="A315" s="20" t="inlineStr">
        <is>
          <t>Revenue (detail)</t>
        </is>
      </c>
      <c r="B315" s="20" t="inlineStr">
        <is>
          <t>12. Total revenue</t>
        </is>
      </c>
      <c r="C315" s="20" t="inlineStr">
        <is>
          <t>FY2022</t>
        </is>
      </c>
      <c r="D315" s="9" t="n">
        <v>6811105</v>
      </c>
      <c r="E315" s="9">
        <f>'Revenue (detail)'!D13</f>
        <v/>
      </c>
      <c r="F315" s="9">
        <f>E315-D315</f>
        <v/>
      </c>
    </row>
    <row r="316">
      <c r="A316" s="20" t="inlineStr">
        <is>
          <t>Revenue (detail)</t>
        </is>
      </c>
      <c r="B316" s="20" t="inlineStr">
        <is>
          <t>12. Total revenue</t>
        </is>
      </c>
      <c r="C316" s="20" t="inlineStr">
        <is>
          <t>FY2023</t>
        </is>
      </c>
      <c r="D316" s="9" t="n">
        <v>6585472</v>
      </c>
      <c r="E316" s="9">
        <f>'Revenue (detail)'!E13</f>
        <v/>
      </c>
      <c r="F316" s="9">
        <f>E316-D316</f>
        <v/>
      </c>
    </row>
    <row r="317">
      <c r="A317" s="20" t="inlineStr">
        <is>
          <t>Revenue (detail)</t>
        </is>
      </c>
      <c r="B317" s="20" t="inlineStr">
        <is>
          <t>12. Total revenue</t>
        </is>
      </c>
      <c r="C317" s="20" t="inlineStr">
        <is>
          <t>FY2024</t>
        </is>
      </c>
      <c r="D317" s="9" t="n">
        <v>7117630</v>
      </c>
      <c r="E317" s="9">
        <f>'Revenue (detail)'!F13</f>
        <v/>
      </c>
      <c r="F317" s="9">
        <f>E317-D317</f>
        <v/>
      </c>
    </row>
    <row r="318">
      <c r="A318" s="20" t="inlineStr">
        <is>
          <t>Revenue (detail)</t>
        </is>
      </c>
      <c r="B318" s="20" t="inlineStr">
        <is>
          <t>2g program service revenue = sum of lines 2a-2f (FY2024)</t>
        </is>
      </c>
      <c r="C318" s="20" t="inlineStr">
        <is>
          <t>FY2024</t>
        </is>
      </c>
      <c r="D318" s="9" t="n">
        <v>6503705</v>
      </c>
      <c r="E318" s="9">
        <f>SUM('Revenue (detail)'!C17:C21)</f>
        <v/>
      </c>
      <c r="F318" s="9">
        <f>E318-D318</f>
        <v/>
      </c>
    </row>
    <row r="319">
      <c r="A319" s="20" t="inlineStr">
        <is>
          <t>Operating expenses (detail)</t>
        </is>
      </c>
      <c r="B319" s="20" t="inlineStr">
        <is>
          <t>25. Total functional expenses</t>
        </is>
      </c>
      <c r="C319" s="20" t="inlineStr">
        <is>
          <t>FY2020</t>
        </is>
      </c>
      <c r="D319" s="9" t="n">
        <v>4749900</v>
      </c>
      <c r="E319" s="9">
        <f>'Operating expenses (detail)'!B44</f>
        <v/>
      </c>
      <c r="F319" s="9">
        <f>E319-D319</f>
        <v/>
      </c>
    </row>
    <row r="320">
      <c r="A320" s="20" t="inlineStr">
        <is>
          <t>Operating expenses (detail)</t>
        </is>
      </c>
      <c r="B320" s="20" t="inlineStr">
        <is>
          <t>25. Total functional expenses</t>
        </is>
      </c>
      <c r="C320" s="20" t="inlineStr">
        <is>
          <t>FY2021</t>
        </is>
      </c>
      <c r="D320" s="9" t="n">
        <v>5116557</v>
      </c>
      <c r="E320" s="9">
        <f>'Operating expenses (detail)'!C44</f>
        <v/>
      </c>
      <c r="F320" s="9">
        <f>E320-D320</f>
        <v/>
      </c>
    </row>
    <row r="321">
      <c r="A321" s="20" t="inlineStr">
        <is>
          <t>Operating expenses (detail)</t>
        </is>
      </c>
      <c r="B321" s="20" t="inlineStr">
        <is>
          <t>25. Total functional expenses</t>
        </is>
      </c>
      <c r="C321" s="20" t="inlineStr">
        <is>
          <t>FY2022</t>
        </is>
      </c>
      <c r="D321" s="9" t="n">
        <v>5116592</v>
      </c>
      <c r="E321" s="9">
        <f>'Operating expenses (detail)'!D44</f>
        <v/>
      </c>
      <c r="F321" s="9">
        <f>E321-D321</f>
        <v/>
      </c>
    </row>
    <row r="322">
      <c r="A322" s="20" t="inlineStr">
        <is>
          <t>Operating expenses (detail)</t>
        </is>
      </c>
      <c r="B322" s="20" t="inlineStr">
        <is>
          <t>25. Total functional expenses</t>
        </is>
      </c>
      <c r="C322" s="20" t="inlineStr">
        <is>
          <t>FY2023</t>
        </is>
      </c>
      <c r="D322" s="9" t="n">
        <v>5094873</v>
      </c>
      <c r="E322" s="9">
        <f>'Operating expenses (detail)'!E44</f>
        <v/>
      </c>
      <c r="F322" s="9">
        <f>E322-D322</f>
        <v/>
      </c>
    </row>
    <row r="323">
      <c r="A323" s="20" t="inlineStr">
        <is>
          <t>Operating expenses (detail)</t>
        </is>
      </c>
      <c r="B323" s="20" t="inlineStr">
        <is>
          <t>25. Total functional expenses</t>
        </is>
      </c>
      <c r="C323" s="20" t="inlineStr">
        <is>
          <t>FY2024</t>
        </is>
      </c>
      <c r="D323" s="9" t="n">
        <v>5197001</v>
      </c>
      <c r="E323" s="9">
        <f>'Operating expenses (detail)'!F44</f>
        <v/>
      </c>
      <c r="F323" s="9">
        <f>E323-D323</f>
        <v/>
      </c>
    </row>
    <row r="324">
      <c r="A324" s="20" t="inlineStr">
        <is>
          <t>Operating expenses (detail)</t>
        </is>
      </c>
      <c r="B324" s="20" t="inlineStr">
        <is>
          <t>Part IX column split: col A = B + C + D (FY2024)</t>
        </is>
      </c>
      <c r="C324" s="20" t="inlineStr">
        <is>
          <t>FY2024</t>
        </is>
      </c>
      <c r="D324" s="9">
        <f>'Operating expenses (detail)'!B77</f>
        <v/>
      </c>
      <c r="E324" s="9">
        <f>'Operating expenses (detail)'!C77+'Operating expenses (detail)'!D77+'Operating expenses (detail)'!E77</f>
        <v/>
      </c>
      <c r="F324" s="9">
        <f>E324-D324</f>
        <v/>
      </c>
    </row>
    <row r="325">
      <c r="A325" s="20" t="inlineStr">
        <is>
          <t>Balance sheet (detail)</t>
        </is>
      </c>
      <c r="B325" s="20" t="inlineStr">
        <is>
          <t>16. Total assets</t>
        </is>
      </c>
      <c r="C325" s="20" t="inlineStr">
        <is>
          <t>FY2020</t>
        </is>
      </c>
      <c r="D325" s="9" t="n">
        <v>25694945</v>
      </c>
      <c r="E325" s="9">
        <f>'Balance sheet (detail)'!B22</f>
        <v/>
      </c>
      <c r="F325" s="9">
        <f>E325-D325</f>
        <v/>
      </c>
    </row>
    <row r="326">
      <c r="A326" s="20" t="inlineStr">
        <is>
          <t>Balance sheet (detail)</t>
        </is>
      </c>
      <c r="B326" s="20" t="inlineStr">
        <is>
          <t>16. Total assets</t>
        </is>
      </c>
      <c r="C326" s="20" t="inlineStr">
        <is>
          <t>FY2021</t>
        </is>
      </c>
      <c r="D326" s="9" t="n">
        <v>31584980</v>
      </c>
      <c r="E326" s="9">
        <f>'Balance sheet (detail)'!C22</f>
        <v/>
      </c>
      <c r="F326" s="9">
        <f>E326-D326</f>
        <v/>
      </c>
    </row>
    <row r="327">
      <c r="A327" s="20" t="inlineStr">
        <is>
          <t>Balance sheet (detail)</t>
        </is>
      </c>
      <c r="B327" s="20" t="inlineStr">
        <is>
          <t>16. Total assets</t>
        </is>
      </c>
      <c r="C327" s="20" t="inlineStr">
        <is>
          <t>FY2022</t>
        </is>
      </c>
      <c r="D327" s="9" t="n">
        <v>32249066</v>
      </c>
      <c r="E327" s="9">
        <f>'Balance sheet (detail)'!D22</f>
        <v/>
      </c>
      <c r="F327" s="9">
        <f>E327-D327</f>
        <v/>
      </c>
    </row>
    <row r="328">
      <c r="A328" s="20" t="inlineStr">
        <is>
          <t>Balance sheet (detail)</t>
        </is>
      </c>
      <c r="B328" s="20" t="inlineStr">
        <is>
          <t>16. Total assets</t>
        </is>
      </c>
      <c r="C328" s="20" t="inlineStr">
        <is>
          <t>FY2023</t>
        </is>
      </c>
      <c r="D328" s="9" t="n">
        <v>33745190</v>
      </c>
      <c r="E328" s="9">
        <f>'Balance sheet (detail)'!E22</f>
        <v/>
      </c>
      <c r="F328" s="9">
        <f>E328-D328</f>
        <v/>
      </c>
    </row>
    <row r="329">
      <c r="A329" s="20" t="inlineStr">
        <is>
          <t>Balance sheet (detail)</t>
        </is>
      </c>
      <c r="B329" s="20" t="inlineStr">
        <is>
          <t>16. Total assets</t>
        </is>
      </c>
      <c r="C329" s="20" t="inlineStr">
        <is>
          <t>FY2024</t>
        </is>
      </c>
      <c r="D329" s="9" t="n">
        <v>35866460</v>
      </c>
      <c r="E329" s="9">
        <f>'Balance sheet (detail)'!F22</f>
        <v/>
      </c>
      <c r="F329" s="9">
        <f>E329-D329</f>
        <v/>
      </c>
    </row>
    <row r="330">
      <c r="A330" s="20" t="inlineStr">
        <is>
          <t>Balance sheet (detail)</t>
        </is>
      </c>
      <c r="B330" s="20" t="inlineStr">
        <is>
          <t>26. Total liabilities</t>
        </is>
      </c>
      <c r="C330" s="20" t="inlineStr">
        <is>
          <t>FY2020</t>
        </is>
      </c>
      <c r="D330" s="9" t="n">
        <v>755923</v>
      </c>
      <c r="E330" s="9">
        <f>'Balance sheet (detail)'!B29</f>
        <v/>
      </c>
      <c r="F330" s="9">
        <f>E330-D330</f>
        <v/>
      </c>
    </row>
    <row r="331">
      <c r="A331" s="20" t="inlineStr">
        <is>
          <t>Balance sheet (detail)</t>
        </is>
      </c>
      <c r="B331" s="20" t="inlineStr">
        <is>
          <t>26. Total liabilities</t>
        </is>
      </c>
      <c r="C331" s="20" t="inlineStr">
        <is>
          <t>FY2021</t>
        </is>
      </c>
      <c r="D331" s="9" t="n">
        <v>1482563</v>
      </c>
      <c r="E331" s="9">
        <f>'Balance sheet (detail)'!C29</f>
        <v/>
      </c>
      <c r="F331" s="9">
        <f>E331-D331</f>
        <v/>
      </c>
    </row>
    <row r="332">
      <c r="A332" s="20" t="inlineStr">
        <is>
          <t>Balance sheet (detail)</t>
        </is>
      </c>
      <c r="B332" s="20" t="inlineStr">
        <is>
          <t>26. Total liabilities</t>
        </is>
      </c>
      <c r="C332" s="20" t="inlineStr">
        <is>
          <t>FY2022</t>
        </is>
      </c>
      <c r="D332" s="9" t="n">
        <v>2271389</v>
      </c>
      <c r="E332" s="9">
        <f>'Balance sheet (detail)'!D29</f>
        <v/>
      </c>
      <c r="F332" s="9">
        <f>E332-D332</f>
        <v/>
      </c>
    </row>
    <row r="333">
      <c r="A333" s="20" t="inlineStr">
        <is>
          <t>Balance sheet (detail)</t>
        </is>
      </c>
      <c r="B333" s="20" t="inlineStr">
        <is>
          <t>26. Total liabilities</t>
        </is>
      </c>
      <c r="C333" s="20" t="inlineStr">
        <is>
          <t>FY2023</t>
        </is>
      </c>
      <c r="D333" s="9" t="n">
        <v>1772893</v>
      </c>
      <c r="E333" s="9">
        <f>'Balance sheet (detail)'!E29</f>
        <v/>
      </c>
      <c r="F333" s="9">
        <f>E333-D333</f>
        <v/>
      </c>
    </row>
    <row r="334">
      <c r="A334" s="20" t="inlineStr">
        <is>
          <t>Balance sheet (detail)</t>
        </is>
      </c>
      <c r="B334" s="20" t="inlineStr">
        <is>
          <t>26. Total liabilities</t>
        </is>
      </c>
      <c r="C334" s="20" t="inlineStr">
        <is>
          <t>FY2024</t>
        </is>
      </c>
      <c r="D334" s="9" t="n">
        <v>1627427</v>
      </c>
      <c r="E334" s="9">
        <f>'Balance sheet (detail)'!F29</f>
        <v/>
      </c>
      <c r="F334" s="9">
        <f>E334-D334</f>
        <v/>
      </c>
    </row>
    <row r="335">
      <c r="A335" s="20" t="inlineStr">
        <is>
          <t>Balance sheet (detail)</t>
        </is>
      </c>
      <c r="B335" s="20" t="inlineStr">
        <is>
          <t>32. Total net assets / fund balances</t>
        </is>
      </c>
      <c r="C335" s="20" t="inlineStr">
        <is>
          <t>FY2020</t>
        </is>
      </c>
      <c r="D335" s="9" t="n">
        <v>24939022</v>
      </c>
      <c r="E335" s="9">
        <f>'Balance sheet (detail)'!B34</f>
        <v/>
      </c>
      <c r="F335" s="9">
        <f>E335-D335</f>
        <v/>
      </c>
    </row>
    <row r="336">
      <c r="A336" s="20" t="inlineStr">
        <is>
          <t>Balance sheet (detail)</t>
        </is>
      </c>
      <c r="B336" s="20" t="inlineStr">
        <is>
          <t>32. Total net assets / fund balances</t>
        </is>
      </c>
      <c r="C336" s="20" t="inlineStr">
        <is>
          <t>FY2021</t>
        </is>
      </c>
      <c r="D336" s="9" t="n">
        <v>30102417</v>
      </c>
      <c r="E336" s="9">
        <f>'Balance sheet (detail)'!C34</f>
        <v/>
      </c>
      <c r="F336" s="9">
        <f>E336-D336</f>
        <v/>
      </c>
    </row>
    <row r="337">
      <c r="A337" s="20" t="inlineStr">
        <is>
          <t>Balance sheet (detail)</t>
        </is>
      </c>
      <c r="B337" s="20" t="inlineStr">
        <is>
          <t>32. Total net assets / fund balances</t>
        </is>
      </c>
      <c r="C337" s="20" t="inlineStr">
        <is>
          <t>FY2022</t>
        </is>
      </c>
      <c r="D337" s="9" t="n">
        <v>29977677</v>
      </c>
      <c r="E337" s="9">
        <f>'Balance sheet (detail)'!D34</f>
        <v/>
      </c>
      <c r="F337" s="9">
        <f>E337-D337</f>
        <v/>
      </c>
    </row>
    <row r="338">
      <c r="A338" s="20" t="inlineStr">
        <is>
          <t>Balance sheet (detail)</t>
        </is>
      </c>
      <c r="B338" s="20" t="inlineStr">
        <is>
          <t>32. Total net assets / fund balances</t>
        </is>
      </c>
      <c r="C338" s="20" t="inlineStr">
        <is>
          <t>FY2023</t>
        </is>
      </c>
      <c r="D338" s="9" t="n">
        <v>31972297</v>
      </c>
      <c r="E338" s="9">
        <f>'Balance sheet (detail)'!E34</f>
        <v/>
      </c>
      <c r="F338" s="9">
        <f>E338-D338</f>
        <v/>
      </c>
    </row>
    <row r="339">
      <c r="A339" s="20" t="inlineStr">
        <is>
          <t>Balance sheet (detail)</t>
        </is>
      </c>
      <c r="B339" s="20" t="inlineStr">
        <is>
          <t>32. Total net assets / fund balances</t>
        </is>
      </c>
      <c r="C339" s="20" t="inlineStr">
        <is>
          <t>FY2024</t>
        </is>
      </c>
      <c r="D339" s="9" t="n">
        <v>34239033</v>
      </c>
      <c r="E339" s="9">
        <f>'Balance sheet (detail)'!F34</f>
        <v/>
      </c>
      <c r="F339" s="9">
        <f>E339-D339</f>
        <v/>
      </c>
    </row>
    <row r="340">
      <c r="A340" s="20" t="inlineStr">
        <is>
          <t>Balance sheet (detail)</t>
        </is>
      </c>
      <c r="B340" s="20" t="inlineStr">
        <is>
          <t>Balance sheet identity: line 16 = line 26 + line 32 (EOY)</t>
        </is>
      </c>
      <c r="C340" s="20" t="inlineStr">
        <is>
          <t>FY2020</t>
        </is>
      </c>
      <c r="D340" s="9">
        <f>'Balance sheet (detail)'!B22</f>
        <v/>
      </c>
      <c r="E340" s="9">
        <f>SUM('Balance sheet (detail)'!B29,'Balance sheet (detail)'!B34)</f>
        <v/>
      </c>
      <c r="F340" s="9">
        <f>E340-D340</f>
        <v/>
      </c>
    </row>
    <row r="341">
      <c r="A341" s="20" t="inlineStr">
        <is>
          <t>Balance sheet (detail)</t>
        </is>
      </c>
      <c r="B341" s="20" t="inlineStr">
        <is>
          <t>Balance sheet identity: line 16 = line 26 + line 32 (EOY)</t>
        </is>
      </c>
      <c r="C341" s="20" t="inlineStr">
        <is>
          <t>FY2021</t>
        </is>
      </c>
      <c r="D341" s="9">
        <f>'Balance sheet (detail)'!C22</f>
        <v/>
      </c>
      <c r="E341" s="9">
        <f>SUM('Balance sheet (detail)'!C29,'Balance sheet (detail)'!C34)</f>
        <v/>
      </c>
      <c r="F341" s="9">
        <f>E341-D341</f>
        <v/>
      </c>
    </row>
    <row r="342">
      <c r="A342" s="20" t="inlineStr">
        <is>
          <t>Balance sheet (detail)</t>
        </is>
      </c>
      <c r="B342" s="20" t="inlineStr">
        <is>
          <t>Balance sheet identity: line 16 = line 26 + line 32 (EOY)</t>
        </is>
      </c>
      <c r="C342" s="20" t="inlineStr">
        <is>
          <t>FY2022</t>
        </is>
      </c>
      <c r="D342" s="9">
        <f>'Balance sheet (detail)'!D22</f>
        <v/>
      </c>
      <c r="E342" s="9">
        <f>SUM('Balance sheet (detail)'!D29,'Balance sheet (detail)'!D34)</f>
        <v/>
      </c>
      <c r="F342" s="9">
        <f>E342-D342</f>
        <v/>
      </c>
    </row>
    <row r="343">
      <c r="A343" s="20" t="inlineStr">
        <is>
          <t>Balance sheet (detail)</t>
        </is>
      </c>
      <c r="B343" s="20" t="inlineStr">
        <is>
          <t>Balance sheet identity: line 16 = line 26 + line 32 (EOY)</t>
        </is>
      </c>
      <c r="C343" s="20" t="inlineStr">
        <is>
          <t>FY2023</t>
        </is>
      </c>
      <c r="D343" s="9">
        <f>'Balance sheet (detail)'!E22</f>
        <v/>
      </c>
      <c r="E343" s="9">
        <f>SUM('Balance sheet (detail)'!E29,'Balance sheet (detail)'!E34)</f>
        <v/>
      </c>
      <c r="F343" s="9">
        <f>E343-D343</f>
        <v/>
      </c>
    </row>
    <row r="344">
      <c r="A344" s="20" t="inlineStr">
        <is>
          <t>Balance sheet (detail)</t>
        </is>
      </c>
      <c r="B344" s="20" t="inlineStr">
        <is>
          <t>Balance sheet identity: line 16 = line 26 + line 32 (EOY)</t>
        </is>
      </c>
      <c r="C344" s="20" t="inlineStr">
        <is>
          <t>FY2024</t>
        </is>
      </c>
      <c r="D344" s="9">
        <f>'Balance sheet (detail)'!F22</f>
        <v/>
      </c>
      <c r="E344" s="9">
        <f>SUM('Balance sheet (detail)'!F29,'Balance sheet (detail)'!F34)</f>
        <v/>
      </c>
      <c r="F344" s="9">
        <f>E344-D344</f>
        <v/>
      </c>
    </row>
    <row r="345">
      <c r="A345" s="20" t="inlineStr">
        <is>
          <t>Net-assets reconciliation</t>
        </is>
      </c>
      <c r="B345" s="20" t="inlineStr">
        <is>
          <t>10. Net assets, end of year</t>
        </is>
      </c>
      <c r="C345" s="20" t="inlineStr">
        <is>
          <t>FY2020</t>
        </is>
      </c>
      <c r="D345" s="9" t="n">
        <v>24939022</v>
      </c>
      <c r="E345" s="9">
        <f>'Net-assets reconciliation'!B11</f>
        <v/>
      </c>
      <c r="F345" s="9">
        <f>E345-D345</f>
        <v/>
      </c>
    </row>
    <row r="346">
      <c r="A346" s="20" t="inlineStr">
        <is>
          <t>Net-assets reconciliation</t>
        </is>
      </c>
      <c r="B346" s="20" t="inlineStr">
        <is>
          <t>10. Net assets, end of year</t>
        </is>
      </c>
      <c r="C346" s="20" t="inlineStr">
        <is>
          <t>FY2021</t>
        </is>
      </c>
      <c r="D346" s="9" t="n">
        <v>30102417</v>
      </c>
      <c r="E346" s="9">
        <f>'Net-assets reconciliation'!C11</f>
        <v/>
      </c>
      <c r="F346" s="9">
        <f>E346-D346</f>
        <v/>
      </c>
    </row>
    <row r="347">
      <c r="A347" s="20" t="inlineStr">
        <is>
          <t>Net-assets reconciliation</t>
        </is>
      </c>
      <c r="B347" s="20" t="inlineStr">
        <is>
          <t>10. Net assets, end of year</t>
        </is>
      </c>
      <c r="C347" s="20" t="inlineStr">
        <is>
          <t>FY2022</t>
        </is>
      </c>
      <c r="D347" s="9" t="n">
        <v>29977677</v>
      </c>
      <c r="E347" s="9">
        <f>'Net-assets reconciliation'!D11</f>
        <v/>
      </c>
      <c r="F347" s="9">
        <f>E347-D347</f>
        <v/>
      </c>
    </row>
    <row r="348">
      <c r="A348" s="20" t="inlineStr">
        <is>
          <t>Net-assets reconciliation</t>
        </is>
      </c>
      <c r="B348" s="20" t="inlineStr">
        <is>
          <t>10. Net assets, end of year</t>
        </is>
      </c>
      <c r="C348" s="20" t="inlineStr">
        <is>
          <t>FY2023</t>
        </is>
      </c>
      <c r="D348" s="9" t="n">
        <v>31972297</v>
      </c>
      <c r="E348" s="9">
        <f>'Net-assets reconciliation'!E11</f>
        <v/>
      </c>
      <c r="F348" s="9">
        <f>E348-D348</f>
        <v/>
      </c>
    </row>
    <row r="349">
      <c r="A349" s="20" t="inlineStr">
        <is>
          <t>Net-assets reconciliation</t>
        </is>
      </c>
      <c r="B349" s="20" t="inlineStr">
        <is>
          <t>10. Net assets, end of year</t>
        </is>
      </c>
      <c r="C349" s="20" t="inlineStr">
        <is>
          <t>FY2024</t>
        </is>
      </c>
      <c r="D349" s="9" t="n">
        <v>34239033</v>
      </c>
      <c r="E349" s="9">
        <f>'Net-assets reconciliation'!F11</f>
        <v/>
      </c>
      <c r="F349" s="9">
        <f>E349-D349</f>
        <v/>
      </c>
    </row>
    <row r="351">
      <c r="A351" s="29" t="inlineStr">
        <is>
          <t>D. Preparer / auditor trail (one row per fiscal year, as filed)</t>
        </is>
      </c>
      <c r="B351" s="7" t="n"/>
      <c r="C351" s="7" t="n"/>
      <c r="D351" s="7" t="n"/>
      <c r="E351" s="7" t="n"/>
      <c r="F351" s="7" t="n"/>
      <c r="G351" s="7" t="n"/>
      <c r="H351" s="7" t="n"/>
      <c r="I351" s="7" t="n"/>
      <c r="J351" s="7" t="n"/>
      <c r="K351" s="7" t="n"/>
    </row>
    <row r="352">
      <c r="A352" s="5" t="inlineStr">
        <is>
          <t>Fiscal year</t>
        </is>
      </c>
      <c r="B352" s="5" t="inlineStr">
        <is>
          <t>Paid preparer</t>
        </is>
      </c>
      <c r="C352" s="5" t="inlineStr">
        <is>
          <t>Preparer firm</t>
        </is>
      </c>
      <c r="D352" s="5" t="inlineStr">
        <is>
          <t>Independent auditor</t>
        </is>
      </c>
      <c r="E352" s="5" t="inlineStr">
        <is>
          <t>Citation</t>
        </is>
      </c>
    </row>
    <row r="353" ht="42" customHeight="1">
      <c r="A353" s="30" t="inlineStr">
        <is>
          <t>FY2020</t>
        </is>
      </c>
      <c r="B353" s="8" t="inlineStr">
        <is>
          <t>Paul J Kaymark CPA</t>
        </is>
      </c>
      <c r="C353" s="8" t="inlineStr">
        <is>
          <t>NIGRO &amp; NIGRO PC</t>
        </is>
      </c>
      <c r="D353" s="32" t="inlineStr">
        <is>
          <t>not reported</t>
        </is>
      </c>
      <c r="E353" s="23" t="inlineStr">
        <is>
          <t>Form 990 Return Header, Paid Preparer block (return_header.preparer_person_name / preparer_firm_name); auditor: Part XII line 2 reports audited financial statements but does not name the firm.</t>
        </is>
      </c>
    </row>
    <row r="354" ht="42" customHeight="1">
      <c r="A354" s="30" t="inlineStr">
        <is>
          <t>FY2021</t>
        </is>
      </c>
      <c r="B354" s="8" t="inlineStr">
        <is>
          <t>Paul J Kaymark CPA</t>
        </is>
      </c>
      <c r="C354" s="8" t="inlineStr">
        <is>
          <t>NIGRO &amp; NIGRO PC</t>
        </is>
      </c>
      <c r="D354" s="32" t="inlineStr">
        <is>
          <t>not reported</t>
        </is>
      </c>
      <c r="E354" s="23" t="inlineStr">
        <is>
          <t>Form 990 Return Header, Paid Preparer block (return_header.preparer_person_name / preparer_firm_name); auditor: Part XII line 2 reports audited financial statements but does not name the firm.</t>
        </is>
      </c>
    </row>
    <row r="355" ht="42" customHeight="1">
      <c r="A355" s="30" t="inlineStr">
        <is>
          <t>FY2022</t>
        </is>
      </c>
      <c r="B355" s="8" t="inlineStr">
        <is>
          <t>Paul J Kaymark CPA</t>
        </is>
      </c>
      <c r="C355" s="8" t="inlineStr">
        <is>
          <t>NIGRO &amp; NIGRO PC</t>
        </is>
      </c>
      <c r="D355" s="32" t="inlineStr">
        <is>
          <t>not reported</t>
        </is>
      </c>
      <c r="E355" s="23" t="inlineStr">
        <is>
          <t>Form 990 Return Header, Paid Preparer block (return_header.preparer_person_name / preparer_firm_name); auditor: Part XII line 2 reports audited financial statements but does not name the firm.</t>
        </is>
      </c>
    </row>
    <row r="356" ht="42" customHeight="1">
      <c r="A356" s="30" t="inlineStr">
        <is>
          <t>FY2023</t>
        </is>
      </c>
      <c r="B356" s="8" t="inlineStr">
        <is>
          <t>Paul J Kaymark CPA</t>
        </is>
      </c>
      <c r="C356" s="8" t="inlineStr">
        <is>
          <t>NIGRO &amp; NIGRO PC</t>
        </is>
      </c>
      <c r="D356" s="32" t="inlineStr">
        <is>
          <t>not reported</t>
        </is>
      </c>
      <c r="E356" s="23" t="inlineStr">
        <is>
          <t>Form 990 Return Header, Paid Preparer block (return_header.preparer_person_name / preparer_firm_name); auditor: Part XII line 2 reports audited financial statements but does not name the firm.</t>
        </is>
      </c>
    </row>
    <row r="357" ht="42" customHeight="1">
      <c r="A357" s="30" t="inlineStr">
        <is>
          <t>FY2024</t>
        </is>
      </c>
      <c r="B357" s="8" t="inlineStr">
        <is>
          <t>Paul J Kaymark CPA</t>
        </is>
      </c>
      <c r="C357" s="8" t="inlineStr">
        <is>
          <t>NIGRO &amp; NIGRO PC</t>
        </is>
      </c>
      <c r="D357" s="32" t="inlineStr">
        <is>
          <t>not reported</t>
        </is>
      </c>
      <c r="E357" s="23" t="inlineStr">
        <is>
          <t>Form 990 Return Header, Paid Preparer block (return_header.preparer_person_name / preparer_firm_name); auditor: Part XII line 2 reports audited financial statements but does not name the firm.</t>
        </is>
      </c>
    </row>
    <row r="359" ht="42" customHeight="1">
      <c r="A35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59:K359"/>
    <mergeCell ref="A3:K3"/>
    <mergeCell ref="A2:K2"/>
    <mergeCell ref="A5:K5"/>
    <mergeCell ref="A1:K1"/>
  </mergeCells>
  <conditionalFormatting sqref="F313:F349">
    <cfRule type="cellIs" priority="1" operator="notEqual" dxfId="0">
      <formula>0</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