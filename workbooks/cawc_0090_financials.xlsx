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B10" authorId="0" shapeId="0">
      <text>
        <t>water-year cumulative 43.0 in / 50 in seasonal normal; statewide SWP-supply index, not local precipitation</t>
      </text>
    </comment>
    <comment ref="C10" authorId="0" shapeId="0">
      <text>
        <t>water-year cumulative 48.2 in / 50 in seasonal normal; statewide SWP-supply index, not local precipitation</t>
      </text>
    </comment>
    <comment ref="D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s>
  <sheetData>
    <row r="1">
      <c r="A1" s="1" t="inlineStr">
        <is>
          <t>East Valley Farms Mutual Water Company</t>
        </is>
      </c>
    </row>
    <row r="2">
      <c r="A2" s="2" t="inlineStr">
        <is>
          <t>Financial Summary - multi-year overview (USD)</t>
        </is>
      </c>
    </row>
    <row r="3">
      <c r="A3" s="2" t="inlineStr">
        <is>
          <t>Entity ID: cawc_0090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FY2022</t>
        </is>
      </c>
      <c r="C8" s="5" t="inlineStr">
        <is>
          <t>FY2024</t>
        </is>
      </c>
      <c r="D8" s="5" t="inlineStr">
        <is>
          <t>FY2025</t>
        </is>
      </c>
    </row>
    <row r="9">
      <c r="A9" s="6" t="inlineStr">
        <is>
          <t>Operating results (USD)</t>
        </is>
      </c>
      <c r="B9" s="7" t="n"/>
      <c r="C9" s="7" t="n"/>
      <c r="D9" s="7" t="n"/>
    </row>
    <row r="10">
      <c r="A10" s="8" t="inlineStr">
        <is>
          <t xml:space="preserve">    Total revenue</t>
        </is>
      </c>
      <c r="B10" s="9" t="n">
        <v>125375</v>
      </c>
      <c r="C10" s="9" t="n">
        <v>146200</v>
      </c>
      <c r="D10" s="9" t="n">
        <v>178822</v>
      </c>
    </row>
    <row r="11">
      <c r="A11" s="8" t="inlineStr">
        <is>
          <t xml:space="preserve">    Total expenses</t>
        </is>
      </c>
      <c r="B11" s="9" t="n">
        <v>91784</v>
      </c>
      <c r="C11" s="9" t="n">
        <v>105064</v>
      </c>
      <c r="D11" s="9" t="n">
        <v>122933</v>
      </c>
    </row>
    <row r="12">
      <c r="A12" s="10" t="inlineStr">
        <is>
          <t xml:space="preserve">    Net income</t>
        </is>
      </c>
      <c r="B12" s="11" t="n">
        <v>33591</v>
      </c>
      <c r="C12" s="11" t="n">
        <v>41136</v>
      </c>
      <c r="D12" s="11" t="n">
        <v>55889</v>
      </c>
    </row>
    <row r="14">
      <c r="A14" s="6" t="inlineStr">
        <is>
          <t>Financial position (USD, end of year)</t>
        </is>
      </c>
      <c r="B14" s="7" t="n"/>
      <c r="C14" s="7" t="n"/>
      <c r="D14" s="7" t="n"/>
    </row>
    <row r="15">
      <c r="A15" s="8" t="inlineStr">
        <is>
          <t xml:space="preserve">    Total assets</t>
        </is>
      </c>
      <c r="B15" s="9" t="n">
        <v>314116</v>
      </c>
      <c r="C15" s="9" t="n">
        <v>352150</v>
      </c>
      <c r="D15" s="9" t="n">
        <v>386073</v>
      </c>
    </row>
    <row r="16">
      <c r="A16" s="8" t="inlineStr">
        <is>
          <t xml:space="preserve">    Total liabilities</t>
        </is>
      </c>
      <c r="B16" s="9" t="n">
        <v>8088</v>
      </c>
      <c r="C16" s="9" t="n">
        <v>6975</v>
      </c>
      <c r="D16" s="9" t="n">
        <v>3255</v>
      </c>
    </row>
    <row r="17">
      <c r="A17" s="10" t="inlineStr">
        <is>
          <t xml:space="preserve">    Net assets</t>
        </is>
      </c>
      <c r="B17" s="11" t="n">
        <v>306028</v>
      </c>
      <c r="C17" s="11" t="n">
        <v>345175</v>
      </c>
      <c r="D17" s="11" t="n">
        <v>382818</v>
      </c>
    </row>
    <row r="19">
      <c r="A19" s="6" t="inlineStr">
        <is>
          <t>Headline ratios</t>
        </is>
      </c>
      <c r="B19" s="7" t="n"/>
      <c r="C19" s="7" t="n"/>
      <c r="D19" s="7" t="n"/>
    </row>
    <row r="20">
      <c r="A20" s="8" t="inlineStr">
        <is>
          <t xml:space="preserve">    Operating margin</t>
        </is>
      </c>
      <c r="B20" s="12" t="n">
        <v>0.2679242273180459</v>
      </c>
      <c r="C20" s="12" t="n">
        <v>0.2813679890560876</v>
      </c>
      <c r="D20" s="12" t="n">
        <v>0.3125398440907718</v>
      </c>
    </row>
    <row r="21">
      <c r="A21" s="8" t="inlineStr">
        <is>
          <t xml:space="preserve">    Revenue growth (YoY)</t>
        </is>
      </c>
      <c r="B21" s="12" t="n"/>
      <c r="C21" s="12" t="n"/>
      <c r="D21" s="12" t="n"/>
    </row>
    <row r="22">
      <c r="A22" s="8" t="inlineStr">
        <is>
          <t xml:space="preserve">    Return on assets</t>
        </is>
      </c>
      <c r="B22" s="12" t="n">
        <v>0.1069382011740886</v>
      </c>
      <c r="C22" s="12" t="n">
        <v>0.1168138577310805</v>
      </c>
      <c r="D22" s="12" t="n">
        <v>0.1447627780238452</v>
      </c>
    </row>
    <row r="24" ht="42" customHeight="1">
      <c r="A24" s="3" t="inlineStr">
        <is>
          <t>Figures as reported in source filings (full provenance on the Sources &amp; audit tab). Parentheses denote negatives; ratios are computed upstream in financials_annual.</t>
        </is>
      </c>
    </row>
  </sheetData>
  <mergeCells count="6">
    <mergeCell ref="A1:D1"/>
    <mergeCell ref="A5:D5"/>
    <mergeCell ref="A6:D6"/>
    <mergeCell ref="A3:D3"/>
    <mergeCell ref="A24: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East Valley Farms Mutual Water Company</t>
        </is>
      </c>
    </row>
    <row r="2">
      <c r="A2" s="2" t="inlineStr">
        <is>
          <t>Financial Statements - income statement, balance sheet, cash flow, member income test (USD)</t>
        </is>
      </c>
    </row>
    <row r="3">
      <c r="A3" s="2" t="inlineStr">
        <is>
          <t>Entity ID: cawc_0090   |   Fiscal year ends December 31.</t>
        </is>
      </c>
    </row>
    <row r="5">
      <c r="A5" s="6" t="inlineStr">
        <is>
          <t>INCOME STATEMENT - as reported (USD)</t>
        </is>
      </c>
      <c r="B5" s="7" t="n"/>
      <c r="C5" s="7" t="n"/>
      <c r="D5" s="7" t="n"/>
    </row>
    <row r="6">
      <c r="A6" s="4" t="inlineStr">
        <is>
          <t>Line item</t>
        </is>
      </c>
      <c r="B6" s="5" t="inlineStr">
        <is>
          <t>FY2022</t>
        </is>
      </c>
      <c r="C6" s="5" t="inlineStr">
        <is>
          <t>FY2024</t>
        </is>
      </c>
      <c r="D6" s="5" t="inlineStr">
        <is>
          <t>FY2025</t>
        </is>
      </c>
    </row>
    <row r="7">
      <c r="A7" s="6" t="inlineStr">
        <is>
          <t>Revenue</t>
        </is>
      </c>
      <c r="B7" s="7" t="n"/>
      <c r="C7" s="7" t="n"/>
      <c r="D7" s="7" t="n"/>
    </row>
    <row r="8">
      <c r="A8" s="8" t="inlineStr">
        <is>
          <t xml:space="preserve">    Program service revenue</t>
        </is>
      </c>
      <c r="B8" s="9" t="n"/>
      <c r="C8" s="9" t="n"/>
      <c r="D8" s="9" t="n"/>
    </row>
    <row r="9">
      <c r="A9" s="8" t="inlineStr">
        <is>
          <t xml:space="preserve">    Investment income</t>
        </is>
      </c>
      <c r="B9" s="9" t="n"/>
      <c r="C9" s="9" t="n"/>
      <c r="D9" s="9" t="n"/>
    </row>
    <row r="10">
      <c r="A10" s="8" t="inlineStr">
        <is>
          <t xml:space="preserve">    Net rental income</t>
        </is>
      </c>
      <c r="B10" s="9" t="n"/>
      <c r="C10" s="9" t="n"/>
      <c r="D10" s="9" t="n"/>
    </row>
    <row r="11">
      <c r="A11" s="8" t="inlineStr">
        <is>
          <t xml:space="preserve">    Net gain/(loss) on investment sales</t>
        </is>
      </c>
      <c r="B11" s="9" t="n"/>
      <c r="C11" s="9" t="n"/>
      <c r="D11" s="9" t="n"/>
    </row>
    <row r="12">
      <c r="A12" s="8" t="inlineStr">
        <is>
          <t xml:space="preserve">    Other revenue</t>
        </is>
      </c>
      <c r="B12" s="9" t="n"/>
      <c r="C12" s="9" t="n"/>
      <c r="D12" s="9" t="n"/>
    </row>
    <row r="13">
      <c r="A13" s="8" t="inlineStr">
        <is>
          <t xml:space="preserve">    Contributions &amp; grants</t>
        </is>
      </c>
      <c r="B13" s="9" t="n"/>
      <c r="C13" s="9" t="n"/>
      <c r="D13" s="9" t="n"/>
    </row>
    <row r="14">
      <c r="A14" s="10" t="inlineStr">
        <is>
          <t>Total revenue</t>
        </is>
      </c>
      <c r="B14" s="11" t="n"/>
      <c r="C14" s="11" t="n"/>
      <c r="D14" s="11" t="n"/>
    </row>
    <row r="16">
      <c r="A16" s="6" t="inlineStr">
        <is>
          <t>Expenses</t>
        </is>
      </c>
      <c r="B16" s="7" t="n"/>
      <c r="C16" s="7" t="n"/>
      <c r="D16" s="7" t="n"/>
    </row>
    <row r="17">
      <c r="A17" s="8" t="inlineStr">
        <is>
          <t xml:space="preserve">    Depreciation</t>
        </is>
      </c>
      <c r="B17" s="9" t="n"/>
      <c r="C17" s="9" t="n"/>
      <c r="D17" s="9" t="n"/>
    </row>
    <row r="18">
      <c r="A18" s="8" t="inlineStr">
        <is>
          <t xml:space="preserve">    Interest expense</t>
        </is>
      </c>
      <c r="B18" s="9" t="n"/>
      <c r="C18" s="9" t="n"/>
      <c r="D18" s="9" t="n"/>
    </row>
    <row r="19">
      <c r="A19" s="10" t="inlineStr">
        <is>
          <t>Total expenses</t>
        </is>
      </c>
      <c r="B19" s="11" t="n">
        <v>91784</v>
      </c>
      <c r="C19" s="11" t="n">
        <v>105064</v>
      </c>
      <c r="D19" s="11" t="n">
        <v>122933</v>
      </c>
    </row>
    <row r="21">
      <c r="A21" s="10" t="inlineStr">
        <is>
          <t>Net income</t>
        </is>
      </c>
      <c r="B21" s="11" t="n">
        <v>33591</v>
      </c>
      <c r="C21" s="11" t="n">
        <v>41136</v>
      </c>
      <c r="D21" s="11" t="n">
        <v>55889</v>
      </c>
    </row>
    <row r="24">
      <c r="A24" s="6" t="inlineStr">
        <is>
          <t>BALANCE SHEET - as reported (USD, end of year)</t>
        </is>
      </c>
      <c r="B24" s="7" t="n"/>
      <c r="C24" s="7" t="n"/>
      <c r="D24" s="7" t="n"/>
    </row>
    <row r="25">
      <c r="A25" s="4" t="inlineStr">
        <is>
          <t>Line item</t>
        </is>
      </c>
      <c r="B25" s="5" t="inlineStr">
        <is>
          <t>FY2022</t>
        </is>
      </c>
      <c r="C25" s="5" t="inlineStr">
        <is>
          <t>FY2024</t>
        </is>
      </c>
      <c r="D25" s="5" t="inlineStr">
        <is>
          <t>FY2025</t>
        </is>
      </c>
    </row>
    <row r="26">
      <c r="A26" s="6" t="inlineStr">
        <is>
          <t>Assets</t>
        </is>
      </c>
      <c r="B26" s="7" t="n"/>
      <c r="C26" s="7" t="n"/>
      <c r="D26" s="7" t="n"/>
    </row>
    <row r="27">
      <c r="A27" s="8" t="inlineStr">
        <is>
          <t xml:space="preserve">    Cash</t>
        </is>
      </c>
      <c r="B27" s="9" t="n">
        <v>291567</v>
      </c>
      <c r="C27" s="9" t="n">
        <v>324487</v>
      </c>
      <c r="D27" s="9" t="n">
        <v>371617</v>
      </c>
    </row>
    <row r="28">
      <c r="A28" s="8" t="inlineStr">
        <is>
          <t xml:space="preserve">    Savings &amp; temporary investments</t>
        </is>
      </c>
      <c r="B28" s="9" t="n"/>
      <c r="C28" s="9" t="n"/>
      <c r="D28" s="9" t="n"/>
    </row>
    <row r="29">
      <c r="A29" s="8" t="inlineStr">
        <is>
          <t xml:space="preserve">    Accounts receivable</t>
        </is>
      </c>
      <c r="B29" s="9" t="n"/>
      <c r="C29" s="9" t="n"/>
      <c r="D29" s="9" t="n"/>
    </row>
    <row r="30">
      <c r="A30" s="8" t="inlineStr">
        <is>
          <t xml:space="preserve">    Inventories</t>
        </is>
      </c>
      <c r="B30" s="9" t="n"/>
      <c r="C30" s="9" t="n"/>
      <c r="D30" s="9" t="n"/>
    </row>
    <row r="31">
      <c r="A31" s="8" t="inlineStr">
        <is>
          <t xml:space="preserve">    Prepaid expenses</t>
        </is>
      </c>
      <c r="B31" s="9" t="n"/>
      <c r="C31" s="9" t="n"/>
      <c r="D31" s="9" t="n"/>
    </row>
    <row r="32">
      <c r="A32" s="8" t="inlineStr">
        <is>
          <t xml:space="preserve">    Property, plant &amp; equipment (gross)</t>
        </is>
      </c>
      <c r="B32" s="9" t="n"/>
      <c r="C32" s="9" t="n"/>
      <c r="D32" s="9" t="n"/>
    </row>
    <row r="33">
      <c r="A33" s="8" t="inlineStr">
        <is>
          <t xml:space="preserve">    Less: accumulated depreciation</t>
        </is>
      </c>
      <c r="B33" s="9" t="n"/>
      <c r="C33" s="9" t="n"/>
      <c r="D33" s="9" t="n"/>
    </row>
    <row r="34">
      <c r="A34" s="10" t="inlineStr">
        <is>
          <t xml:space="preserve">    Net property, plant &amp; equipment</t>
        </is>
      </c>
      <c r="B34" s="11" t="n"/>
      <c r="C34" s="11" t="n"/>
      <c r="D34" s="11" t="n"/>
    </row>
    <row r="35">
      <c r="A35" s="10" t="inlineStr">
        <is>
          <t>Total assets</t>
        </is>
      </c>
      <c r="B35" s="11" t="n">
        <v>314116</v>
      </c>
      <c r="C35" s="11" t="n">
        <v>352150</v>
      </c>
      <c r="D35" s="11" t="n">
        <v>386073</v>
      </c>
    </row>
    <row r="37">
      <c r="A37" s="6" t="inlineStr">
        <is>
          <t>Liabilities</t>
        </is>
      </c>
      <c r="B37" s="7" t="n"/>
      <c r="C37" s="7" t="n"/>
      <c r="D37" s="7" t="n"/>
    </row>
    <row r="38">
      <c r="A38" s="8" t="inlineStr">
        <is>
          <t xml:space="preserve">    Accounts payable</t>
        </is>
      </c>
      <c r="B38" s="9" t="n"/>
      <c r="C38" s="9" t="n"/>
      <c r="D38" s="9" t="n"/>
    </row>
    <row r="39">
      <c r="A39" s="8" t="inlineStr">
        <is>
          <t xml:space="preserve">    Mortgages &amp; notes payable</t>
        </is>
      </c>
      <c r="B39" s="9" t="n"/>
      <c r="C39" s="9" t="n"/>
      <c r="D39" s="9" t="n"/>
    </row>
    <row r="40">
      <c r="A40" s="10" t="inlineStr">
        <is>
          <t>Total liabilities</t>
        </is>
      </c>
      <c r="B40" s="11" t="n">
        <v>8088</v>
      </c>
      <c r="C40" s="11" t="n">
        <v>6975</v>
      </c>
      <c r="D40" s="11" t="n">
        <v>3255</v>
      </c>
    </row>
    <row r="42">
      <c r="A42" s="6" t="inlineStr">
        <is>
          <t>Net Assets / Equity</t>
        </is>
      </c>
      <c r="B42" s="7" t="n"/>
      <c r="C42" s="7" t="n"/>
      <c r="D42" s="7" t="n"/>
    </row>
    <row r="43">
      <c r="A43" s="8" t="inlineStr">
        <is>
          <t xml:space="preserve">    Capital stock</t>
        </is>
      </c>
      <c r="B43" s="9" t="n"/>
      <c r="C43" s="9" t="n"/>
      <c r="D43" s="9" t="n"/>
    </row>
    <row r="44">
      <c r="A44" s="8" t="inlineStr">
        <is>
          <t xml:space="preserve">    Paid-in capital</t>
        </is>
      </c>
      <c r="B44" s="9" t="n"/>
      <c r="C44" s="9" t="n"/>
      <c r="D44" s="9" t="n"/>
    </row>
    <row r="45">
      <c r="A45" s="8" t="inlineStr">
        <is>
          <t xml:space="preserve">    Retained earnings</t>
        </is>
      </c>
      <c r="B45" s="9" t="n"/>
      <c r="C45" s="9" t="n"/>
      <c r="D45" s="9" t="n"/>
    </row>
    <row r="46">
      <c r="A46" s="10" t="inlineStr">
        <is>
          <t>Net assets</t>
        </is>
      </c>
      <c r="B46" s="11" t="n">
        <v>306028</v>
      </c>
      <c r="C46" s="11" t="n">
        <v>345175</v>
      </c>
      <c r="D46" s="11" t="n">
        <v>382818</v>
      </c>
    </row>
    <row r="49">
      <c r="A49" s="6" t="inlineStr">
        <is>
          <t>CASH FLOW - derived proxy (USD)</t>
        </is>
      </c>
      <c r="B49" s="7" t="n"/>
      <c r="C49" s="7" t="n"/>
      <c r="D49" s="7" t="n"/>
    </row>
    <row r="50">
      <c r="A50" s="4" t="inlineStr">
        <is>
          <t>Proxy line</t>
        </is>
      </c>
      <c r="B50" s="5" t="inlineStr">
        <is>
          <t>FY2022</t>
        </is>
      </c>
      <c r="C50" s="5" t="inlineStr">
        <is>
          <t>FY2024</t>
        </is>
      </c>
      <c r="D50" s="5" t="inlineStr">
        <is>
          <t>FY2025</t>
        </is>
      </c>
    </row>
    <row r="51">
      <c r="A51" s="6" t="inlineStr">
        <is>
          <t>Operating</t>
        </is>
      </c>
      <c r="B51" s="7" t="n"/>
      <c r="C51" s="7" t="n"/>
      <c r="D51" s="7" t="n"/>
    </row>
    <row r="52">
      <c r="A52" s="8" t="inlineStr">
        <is>
          <t xml:space="preserve">    Net income</t>
        </is>
      </c>
      <c r="B52" s="9" t="n">
        <v>33591</v>
      </c>
      <c r="C52" s="9" t="n">
        <v>41136</v>
      </c>
      <c r="D52" s="9" t="n">
        <v>55889</v>
      </c>
    </row>
    <row r="53">
      <c r="A53" s="8" t="inlineStr">
        <is>
          <t xml:space="preserve">    + Depreciation (reported)</t>
        </is>
      </c>
      <c r="B53" s="9" t="n"/>
      <c r="C53" s="9" t="n"/>
      <c r="D53" s="9" t="n"/>
    </row>
    <row r="54">
      <c r="A54" s="8" t="inlineStr">
        <is>
          <t xml:space="preserve">    − Δ Accounts receivable</t>
        </is>
      </c>
      <c r="B54" s="9" t="n"/>
      <c r="C54" s="9" t="n"/>
      <c r="D54" s="9" t="n"/>
    </row>
    <row r="55">
      <c r="A55" s="8" t="inlineStr">
        <is>
          <t xml:space="preserve">    − Δ Inventories</t>
        </is>
      </c>
      <c r="B55" s="9" t="n"/>
      <c r="C55" s="9" t="n"/>
      <c r="D55" s="9" t="n"/>
    </row>
    <row r="56">
      <c r="A56" s="8" t="inlineStr">
        <is>
          <t xml:space="preserve">    − Δ Prepaid expenses</t>
        </is>
      </c>
      <c r="B56" s="9" t="n"/>
      <c r="C56" s="9" t="n"/>
      <c r="D56" s="9" t="n"/>
    </row>
    <row r="57">
      <c r="A57" s="8" t="inlineStr">
        <is>
          <t xml:space="preserve">    + Δ Accounts payable</t>
        </is>
      </c>
      <c r="B57" s="9" t="n"/>
      <c r="C57" s="9" t="n"/>
      <c r="D57" s="9" t="n"/>
    </row>
    <row r="58">
      <c r="A58" s="10" t="inlineStr">
        <is>
          <t xml:space="preserve">    Operating cash flow proxy</t>
        </is>
      </c>
      <c r="B58" s="11" t="n"/>
      <c r="C58" s="11" t="n">
        <v>41136</v>
      </c>
      <c r="D58" s="11" t="n">
        <v>55889</v>
      </c>
    </row>
    <row r="60">
      <c r="A60" s="6" t="inlineStr">
        <is>
          <t>Investing</t>
        </is>
      </c>
      <c r="B60" s="7" t="n"/>
      <c r="C60" s="7" t="n"/>
      <c r="D60" s="7" t="n"/>
    </row>
    <row r="61">
      <c r="A61" s="8" t="inlineStr">
        <is>
          <t xml:space="preserve">    − Δ PP&amp;E gross (capex proxy)</t>
        </is>
      </c>
      <c r="B61" s="9" t="n"/>
      <c r="C61" s="9" t="n"/>
      <c r="D61" s="9" t="n"/>
    </row>
    <row r="63">
      <c r="A63" s="6" t="inlineStr">
        <is>
          <t>Financing</t>
        </is>
      </c>
      <c r="B63" s="7" t="n"/>
      <c r="C63" s="7" t="n"/>
      <c r="D63" s="7" t="n"/>
    </row>
    <row r="64">
      <c r="A64" s="8" t="inlineStr">
        <is>
          <t xml:space="preserve">    Δ Mortgages &amp; notes payable</t>
        </is>
      </c>
      <c r="B64" s="9" t="n"/>
      <c r="C64" s="9" t="n"/>
      <c r="D64" s="9" t="n"/>
    </row>
    <row r="66">
      <c r="A66" s="6" t="inlineStr">
        <is>
          <t>Reconciliation</t>
        </is>
      </c>
      <c r="B66" s="7" t="n"/>
      <c r="C66" s="7" t="n"/>
      <c r="D66" s="7" t="n"/>
    </row>
    <row r="67">
      <c r="A67" s="10" t="inlineStr">
        <is>
          <t xml:space="preserve">    Δ Cash + temp. investments (actual)</t>
        </is>
      </c>
      <c r="B67" s="11" t="n"/>
      <c r="C67" s="11" t="n">
        <v>32920</v>
      </c>
      <c r="D67" s="11" t="n">
        <v>47130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D69"/>
    <mergeCell ref="A1:D1"/>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s>
  <sheetData>
    <row r="1">
      <c r="A1" s="1" t="inlineStr">
        <is>
          <t>East Valley Farms Mutual Water Company</t>
        </is>
      </c>
    </row>
    <row r="2">
      <c r="A2" s="2" t="inlineStr">
        <is>
          <t>Balance Sheet - as reported (USD, end of year)</t>
        </is>
      </c>
    </row>
    <row r="3">
      <c r="A3" s="2" t="inlineStr">
        <is>
          <t>Entity ID: cawc_0090   |   Fiscal year ends December 31.</t>
        </is>
      </c>
    </row>
    <row r="5">
      <c r="A5" s="4" t="inlineStr">
        <is>
          <t>Line item</t>
        </is>
      </c>
      <c r="B5" s="5" t="inlineStr">
        <is>
          <t>FY2022</t>
        </is>
      </c>
      <c r="C5" s="5" t="inlineStr">
        <is>
          <t>FY2024</t>
        </is>
      </c>
      <c r="D5" s="5" t="inlineStr">
        <is>
          <t>FY2025</t>
        </is>
      </c>
    </row>
    <row r="6">
      <c r="A6" s="6" t="inlineStr">
        <is>
          <t>Assets</t>
        </is>
      </c>
      <c r="B6" s="7" t="n"/>
      <c r="C6" s="7" t="n"/>
      <c r="D6" s="7" t="n"/>
    </row>
    <row r="7">
      <c r="A7" s="8" t="inlineStr">
        <is>
          <t xml:space="preserve">    Cash</t>
        </is>
      </c>
      <c r="B7" s="9" t="n">
        <v>291567</v>
      </c>
      <c r="C7" s="9" t="n">
        <v>324487</v>
      </c>
      <c r="D7" s="9" t="n">
        <v>371617</v>
      </c>
    </row>
    <row r="8">
      <c r="A8" s="8" t="inlineStr">
        <is>
          <t xml:space="preserve">    Savings &amp; temporary investments</t>
        </is>
      </c>
      <c r="B8" s="9" t="n"/>
      <c r="C8" s="9" t="n"/>
      <c r="D8" s="9" t="n"/>
    </row>
    <row r="9">
      <c r="A9" s="8" t="inlineStr">
        <is>
          <t xml:space="preserve">    Accounts receivable</t>
        </is>
      </c>
      <c r="B9" s="9" t="n"/>
      <c r="C9" s="9" t="n"/>
      <c r="D9" s="9" t="n"/>
    </row>
    <row r="10">
      <c r="A10" s="8" t="inlineStr">
        <is>
          <t xml:space="preserve">    Inventories</t>
        </is>
      </c>
      <c r="B10" s="9" t="n"/>
      <c r="C10" s="9" t="n"/>
      <c r="D10" s="9" t="n"/>
    </row>
    <row r="11">
      <c r="A11" s="8" t="inlineStr">
        <is>
          <t xml:space="preserve">    Prepaid expenses</t>
        </is>
      </c>
      <c r="B11" s="9" t="n"/>
      <c r="C11" s="9" t="n"/>
      <c r="D11" s="9" t="n"/>
    </row>
    <row r="12">
      <c r="A12" s="8" t="inlineStr">
        <is>
          <t xml:space="preserve">    Property, plant &amp; equipment (gross)</t>
        </is>
      </c>
      <c r="B12" s="9" t="n"/>
      <c r="C12" s="9" t="n"/>
      <c r="D12" s="9" t="n"/>
    </row>
    <row r="13">
      <c r="A13" s="8" t="inlineStr">
        <is>
          <t xml:space="preserve">    Less: accumulated depreciation</t>
        </is>
      </c>
      <c r="B13" s="9" t="n"/>
      <c r="C13" s="9" t="n"/>
      <c r="D13" s="9" t="n"/>
    </row>
    <row r="14">
      <c r="A14" s="10" t="inlineStr">
        <is>
          <t xml:space="preserve">    Net property, plant &amp; equipment</t>
        </is>
      </c>
      <c r="B14" s="11" t="n"/>
      <c r="C14" s="11" t="n"/>
      <c r="D14" s="11" t="n"/>
    </row>
    <row r="15">
      <c r="A15" s="10" t="inlineStr">
        <is>
          <t>Total assets</t>
        </is>
      </c>
      <c r="B15" s="11" t="n">
        <v>314116</v>
      </c>
      <c r="C15" s="11" t="n">
        <v>352150</v>
      </c>
      <c r="D15" s="11" t="n">
        <v>386073</v>
      </c>
    </row>
    <row r="17">
      <c r="A17" s="6" t="inlineStr">
        <is>
          <t>Liabilities</t>
        </is>
      </c>
      <c r="B17" s="7" t="n"/>
      <c r="C17" s="7" t="n"/>
      <c r="D17" s="7" t="n"/>
    </row>
    <row r="18">
      <c r="A18" s="8" t="inlineStr">
        <is>
          <t xml:space="preserve">    Accounts payable</t>
        </is>
      </c>
      <c r="B18" s="9" t="n"/>
      <c r="C18" s="9" t="n"/>
      <c r="D18" s="9" t="n"/>
    </row>
    <row r="19">
      <c r="A19" s="8" t="inlineStr">
        <is>
          <t xml:space="preserve">    Mortgages &amp; notes payable</t>
        </is>
      </c>
      <c r="B19" s="9" t="n"/>
      <c r="C19" s="9" t="n"/>
      <c r="D19" s="9" t="n"/>
    </row>
    <row r="20">
      <c r="A20" s="10" t="inlineStr">
        <is>
          <t>Total liabilities</t>
        </is>
      </c>
      <c r="B20" s="11" t="n">
        <v>8088</v>
      </c>
      <c r="C20" s="11" t="n">
        <v>6975</v>
      </c>
      <c r="D20" s="11" t="n">
        <v>3255</v>
      </c>
    </row>
    <row r="22">
      <c r="A22" s="6" t="inlineStr">
        <is>
          <t>Net Assets / Equity</t>
        </is>
      </c>
      <c r="B22" s="7" t="n"/>
      <c r="C22" s="7" t="n"/>
      <c r="D22" s="7" t="n"/>
    </row>
    <row r="23">
      <c r="A23" s="8" t="inlineStr">
        <is>
          <t xml:space="preserve">    Capital stock</t>
        </is>
      </c>
      <c r="B23" s="9" t="n"/>
      <c r="C23" s="9" t="n"/>
      <c r="D23" s="9" t="n"/>
    </row>
    <row r="24">
      <c r="A24" s="8" t="inlineStr">
        <is>
          <t xml:space="preserve">    Paid-in capital</t>
        </is>
      </c>
      <c r="B24" s="9" t="n"/>
      <c r="C24" s="9" t="n"/>
      <c r="D24" s="9" t="n"/>
    </row>
    <row r="25">
      <c r="A25" s="8" t="inlineStr">
        <is>
          <t xml:space="preserve">    Retained earnings</t>
        </is>
      </c>
      <c r="B25" s="9" t="n"/>
      <c r="C25" s="9" t="n"/>
      <c r="D25" s="9" t="n"/>
    </row>
    <row r="26">
      <c r="A26" s="10" t="inlineStr">
        <is>
          <t>Net assets</t>
        </is>
      </c>
      <c r="B26" s="11" t="n">
        <v>306028</v>
      </c>
      <c r="C26" s="11" t="n">
        <v>345175</v>
      </c>
      <c r="D26" s="11" t="n">
        <v>382818</v>
      </c>
    </row>
    <row r="28">
      <c r="A28" s="8" t="inlineStr">
        <is>
          <t>Balance check (assets − liab. − net assets)</t>
        </is>
      </c>
      <c r="B28" s="9" t="n">
        <v>0</v>
      </c>
      <c r="C28" s="9" t="n">
        <v>0</v>
      </c>
      <c r="D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1:D1"/>
    <mergeCell ref="A30:D30"/>
    <mergeCell ref="A3:D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East Valley Farms Mutual Water Company</t>
        </is>
      </c>
    </row>
    <row r="2">
      <c r="A2" s="2" t="inlineStr">
        <is>
          <t>Form 990-EZ - Part I (revenue, expenses, net assets) and Part II (balance sheet), as filed (USD)</t>
        </is>
      </c>
    </row>
    <row r="3">
      <c r="A3" s="2" t="inlineStr">
        <is>
          <t>Entity ID: cawc_0090   |   Fiscal year ends December 31.</t>
        </is>
      </c>
    </row>
    <row r="5">
      <c r="A5" s="4" t="inlineStr">
        <is>
          <t>Form 990-EZ line</t>
        </is>
      </c>
      <c r="B5" s="5" t="inlineStr">
        <is>
          <t>FY2022</t>
        </is>
      </c>
      <c r="C5" s="5" t="inlineStr">
        <is>
          <t>FY2024</t>
        </is>
      </c>
      <c r="D5" s="5" t="inlineStr">
        <is>
          <t>FY2025</t>
        </is>
      </c>
    </row>
    <row r="6">
      <c r="A6" s="6" t="inlineStr">
        <is>
          <t>Revenue (Part I)</t>
        </is>
      </c>
      <c r="B6" s="7" t="n"/>
      <c r="C6" s="7" t="n"/>
      <c r="D6" s="7" t="n"/>
    </row>
    <row r="7">
      <c r="A7" s="8" t="inlineStr">
        <is>
          <t xml:space="preserve">    2. Program service revenue</t>
        </is>
      </c>
      <c r="B7" s="9" t="n">
        <v>92554</v>
      </c>
      <c r="C7" s="9" t="n">
        <v>108745</v>
      </c>
      <c r="D7" s="9" t="n">
        <v>138280</v>
      </c>
    </row>
    <row r="8">
      <c r="A8" s="8" t="inlineStr">
        <is>
          <t xml:space="preserve">    3. Membership dues and assessments</t>
        </is>
      </c>
      <c r="B8" s="9" t="n">
        <v>32400</v>
      </c>
      <c r="C8" s="9" t="n">
        <v>32400</v>
      </c>
      <c r="D8" s="9" t="n">
        <v>32400</v>
      </c>
    </row>
    <row r="9">
      <c r="A9" s="8" t="inlineStr">
        <is>
          <t xml:space="preserve">    4. Investment income</t>
        </is>
      </c>
      <c r="B9" s="9" t="n">
        <v>421</v>
      </c>
      <c r="C9" s="9" t="n">
        <v>5055</v>
      </c>
      <c r="D9" s="9" t="n">
        <v>8142</v>
      </c>
    </row>
    <row r="10">
      <c r="A10" s="10" t="inlineStr">
        <is>
          <t>9. Total revenue</t>
        </is>
      </c>
      <c r="B10" s="11" t="n">
        <v>125375</v>
      </c>
      <c r="C10" s="11" t="n">
        <v>146200</v>
      </c>
      <c r="D10" s="11" t="n">
        <v>178822</v>
      </c>
    </row>
    <row r="12">
      <c r="A12" s="6" t="inlineStr">
        <is>
          <t>Expenses (Part I)</t>
        </is>
      </c>
      <c r="B12" s="7" t="n"/>
      <c r="C12" s="7" t="n"/>
      <c r="D12" s="7" t="n"/>
    </row>
    <row r="13">
      <c r="A13" s="8" t="inlineStr">
        <is>
          <t xml:space="preserve">    13. Fees for services (independent contractors)</t>
        </is>
      </c>
      <c r="B13" s="9" t="n">
        <v>3857</v>
      </c>
      <c r="C13" s="9" t="n">
        <v>10088</v>
      </c>
      <c r="D13" s="9" t="n">
        <v>15838</v>
      </c>
    </row>
    <row r="14">
      <c r="A14" s="8" t="inlineStr">
        <is>
          <t xml:space="preserve">    14. Occupancy, rent, utilities, maintenance</t>
        </is>
      </c>
      <c r="B14" s="14" t="inlineStr">
        <is>
          <t>not reported</t>
        </is>
      </c>
      <c r="C14" s="14" t="inlineStr">
        <is>
          <t>not reported</t>
        </is>
      </c>
      <c r="D14" s="9" t="n">
        <v>54705</v>
      </c>
    </row>
    <row r="15">
      <c r="A15" s="8" t="inlineStr">
        <is>
          <t xml:space="preserve">    16. Other expenses</t>
        </is>
      </c>
      <c r="B15" s="9" t="n">
        <v>87927</v>
      </c>
      <c r="C15" s="9" t="n">
        <v>94976</v>
      </c>
      <c r="D15" s="9" t="n">
        <v>52390</v>
      </c>
    </row>
    <row r="16">
      <c r="A16" s="10" t="inlineStr">
        <is>
          <t>17. Total expenses</t>
        </is>
      </c>
      <c r="B16" s="11">
        <f>SUM(B13:B15)</f>
        <v/>
      </c>
      <c r="C16" s="11">
        <f>SUM(C13:C15)</f>
        <v/>
      </c>
      <c r="D16" s="11">
        <f>SUM(D13:D15)</f>
        <v/>
      </c>
    </row>
    <row r="18">
      <c r="A18" s="6" t="inlineStr">
        <is>
          <t>Net-assets reconciliation (Part I)</t>
        </is>
      </c>
      <c r="B18" s="7" t="n"/>
      <c r="C18" s="7" t="n"/>
      <c r="D18" s="7" t="n"/>
    </row>
    <row r="19">
      <c r="A19" s="8" t="inlineStr">
        <is>
          <t xml:space="preserve">    19. Net assets or fund balances, beginning of year</t>
        </is>
      </c>
      <c r="B19" s="9" t="n">
        <v>278524</v>
      </c>
      <c r="C19" s="9" t="n">
        <v>321562</v>
      </c>
      <c r="D19" s="9" t="n">
        <v>321562</v>
      </c>
    </row>
    <row r="20">
      <c r="A20" s="8" t="inlineStr">
        <is>
          <t xml:space="preserve">    18. Excess or (deficit) for the year</t>
        </is>
      </c>
      <c r="B20" s="9" t="n">
        <v>33591</v>
      </c>
      <c r="C20" s="9" t="n">
        <v>41136</v>
      </c>
      <c r="D20" s="9" t="n">
        <v>55889</v>
      </c>
    </row>
    <row r="21">
      <c r="A21" s="10" t="inlineStr">
        <is>
          <t>21. Net assets or fund balances, end of year</t>
        </is>
      </c>
      <c r="B21" s="11">
        <f>SUM(B19,B20)</f>
        <v/>
      </c>
      <c r="C21" s="11">
        <f>SUM(C19,C20)</f>
        <v/>
      </c>
      <c r="D21" s="11">
        <f>SUM(D19,D20)</f>
        <v/>
      </c>
    </row>
    <row r="23">
      <c r="A23" s="6" t="inlineStr">
        <is>
          <t>Balance sheet (Part II, end of year - column B)</t>
        </is>
      </c>
      <c r="B23" s="7" t="n"/>
      <c r="C23" s="7" t="n"/>
      <c r="D23" s="7" t="n"/>
    </row>
    <row r="24">
      <c r="A24" s="8" t="inlineStr">
        <is>
          <t xml:space="preserve">    22. Cash, savings, and investments</t>
        </is>
      </c>
      <c r="B24" s="9" t="n">
        <v>291567</v>
      </c>
      <c r="C24" s="9" t="n">
        <v>324487</v>
      </c>
      <c r="D24" s="9" t="n">
        <v>371617</v>
      </c>
    </row>
    <row r="25">
      <c r="A25" s="8" t="inlineStr">
        <is>
          <t xml:space="preserve">    24. Other assets</t>
        </is>
      </c>
      <c r="B25" s="9" t="n">
        <v>22549</v>
      </c>
      <c r="C25" s="9" t="n">
        <v>27663</v>
      </c>
      <c r="D25" s="9" t="n">
        <v>14456</v>
      </c>
    </row>
    <row r="26">
      <c r="A26" s="10" t="inlineStr">
        <is>
          <t>25. Total assets</t>
        </is>
      </c>
      <c r="B26" s="11">
        <f>SUM(B24:B25)</f>
        <v/>
      </c>
      <c r="C26" s="11">
        <f>SUM(C24:C25)</f>
        <v/>
      </c>
      <c r="D26" s="11">
        <f>SUM(D24:D25)</f>
        <v/>
      </c>
    </row>
    <row r="27">
      <c r="A27" s="10" t="inlineStr">
        <is>
          <t>26. Total liabilities</t>
        </is>
      </c>
      <c r="B27" s="11" t="n">
        <v>8088</v>
      </c>
      <c r="C27" s="11" t="n">
        <v>6975</v>
      </c>
      <c r="D27" s="11" t="n">
        <v>3255</v>
      </c>
    </row>
    <row r="28">
      <c r="A28" s="10" t="inlineStr">
        <is>
          <t>27. Net assets or fund balances</t>
        </is>
      </c>
      <c r="B28" s="11" t="n">
        <v>306028</v>
      </c>
      <c r="C28" s="11" t="n">
        <v>345175</v>
      </c>
      <c r="D28" s="11" t="n">
        <v>382818</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1:D1"/>
    <mergeCell ref="A30:D30"/>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East Valley Farms Mutual Water Company</t>
        </is>
      </c>
    </row>
    <row r="2">
      <c r="A2" s="2" t="inlineStr">
        <is>
          <t>Cash Flow Proxies - derived (USD)</t>
        </is>
      </c>
    </row>
    <row r="3">
      <c r="A3" s="2" t="inlineStr">
        <is>
          <t>Entity ID: cawc_0090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FY2022</t>
        </is>
      </c>
      <c r="C7" s="5" t="inlineStr">
        <is>
          <t>FY2024</t>
        </is>
      </c>
      <c r="D7" s="5" t="inlineStr">
        <is>
          <t>FY2025</t>
        </is>
      </c>
    </row>
    <row r="8">
      <c r="A8" s="6" t="inlineStr">
        <is>
          <t>Operating</t>
        </is>
      </c>
      <c r="B8" s="7" t="n"/>
      <c r="C8" s="7" t="n"/>
      <c r="D8" s="7" t="n"/>
    </row>
    <row r="9">
      <c r="A9" s="8" t="inlineStr">
        <is>
          <t xml:space="preserve">    Net income</t>
        </is>
      </c>
      <c r="B9" s="9" t="n">
        <v>33591</v>
      </c>
      <c r="C9" s="9" t="n">
        <v>41136</v>
      </c>
      <c r="D9" s="9" t="n">
        <v>55889</v>
      </c>
    </row>
    <row r="10">
      <c r="A10" s="8" t="inlineStr">
        <is>
          <t xml:space="preserve">    + Depreciation (reported)</t>
        </is>
      </c>
      <c r="B10" s="9" t="n"/>
      <c r="C10" s="9" t="n"/>
      <c r="D10" s="9" t="n"/>
    </row>
    <row r="11">
      <c r="A11" s="8" t="inlineStr">
        <is>
          <t xml:space="preserve">    − Δ Accounts receivable</t>
        </is>
      </c>
      <c r="B11" s="9" t="n"/>
      <c r="C11" s="9" t="n"/>
      <c r="D11" s="9" t="n"/>
    </row>
    <row r="12">
      <c r="A12" s="8" t="inlineStr">
        <is>
          <t xml:space="preserve">    − Δ Inventories</t>
        </is>
      </c>
      <c r="B12" s="9" t="n"/>
      <c r="C12" s="9" t="n"/>
      <c r="D12" s="9" t="n"/>
    </row>
    <row r="13">
      <c r="A13" s="8" t="inlineStr">
        <is>
          <t xml:space="preserve">    − Δ Prepaid expenses</t>
        </is>
      </c>
      <c r="B13" s="9" t="n"/>
      <c r="C13" s="9" t="n"/>
      <c r="D13" s="9" t="n"/>
    </row>
    <row r="14">
      <c r="A14" s="8" t="inlineStr">
        <is>
          <t xml:space="preserve">    + Δ Accounts payable</t>
        </is>
      </c>
      <c r="B14" s="9" t="n"/>
      <c r="C14" s="9" t="n"/>
      <c r="D14" s="9" t="n"/>
    </row>
    <row r="15">
      <c r="A15" s="10" t="inlineStr">
        <is>
          <t xml:space="preserve">    Operating cash flow proxy</t>
        </is>
      </c>
      <c r="B15" s="11" t="n"/>
      <c r="C15" s="11" t="n">
        <v>41136</v>
      </c>
      <c r="D15" s="11" t="n">
        <v>55889</v>
      </c>
    </row>
    <row r="17">
      <c r="A17" s="6" t="inlineStr">
        <is>
          <t>Investing</t>
        </is>
      </c>
      <c r="B17" s="7" t="n"/>
      <c r="C17" s="7" t="n"/>
      <c r="D17" s="7" t="n"/>
    </row>
    <row r="18">
      <c r="A18" s="8" t="inlineStr">
        <is>
          <t xml:space="preserve">    − Δ PP&amp;E gross (capex proxy)</t>
        </is>
      </c>
      <c r="B18" s="9" t="n"/>
      <c r="C18" s="9" t="n"/>
      <c r="D18" s="9" t="n"/>
    </row>
    <row r="20">
      <c r="A20" s="6" t="inlineStr">
        <is>
          <t>Financing</t>
        </is>
      </c>
      <c r="B20" s="7" t="n"/>
      <c r="C20" s="7" t="n"/>
      <c r="D20" s="7" t="n"/>
    </row>
    <row r="21">
      <c r="A21" s="8" t="inlineStr">
        <is>
          <t xml:space="preserve">    Δ Mortgages &amp; notes payable</t>
        </is>
      </c>
      <c r="B21" s="9" t="n"/>
      <c r="C21" s="9" t="n"/>
      <c r="D21" s="9" t="n"/>
    </row>
    <row r="23">
      <c r="A23" s="6" t="inlineStr">
        <is>
          <t>Reconciliation</t>
        </is>
      </c>
      <c r="B23" s="7" t="n"/>
      <c r="C23" s="7" t="n"/>
      <c r="D23" s="7" t="n"/>
    </row>
    <row r="24">
      <c r="A24" s="10" t="inlineStr">
        <is>
          <t xml:space="preserve">    Δ Cash + temp. investments (actual)</t>
        </is>
      </c>
      <c r="B24" s="11" t="n"/>
      <c r="C24" s="11" t="n">
        <v>32920</v>
      </c>
      <c r="D24" s="11" t="n">
        <v>47130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D1"/>
    <mergeCell ref="A5:D5"/>
    <mergeCell ref="A3:D3"/>
    <mergeCell ref="A26:D26"/>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s>
  <sheetData>
    <row r="1">
      <c r="A1" s="1" t="inlineStr">
        <is>
          <t>East Valley Farms Mutual Water Company</t>
        </is>
      </c>
    </row>
    <row r="2">
      <c r="A2" s="2" t="inlineStr">
        <is>
          <t>Financial Ratios</t>
        </is>
      </c>
    </row>
    <row r="3">
      <c r="A3" s="2" t="inlineStr">
        <is>
          <t>Entity ID: cawc_0090   |   Fiscal year ends December 31.</t>
        </is>
      </c>
    </row>
    <row r="5">
      <c r="A5" s="4" t="inlineStr">
        <is>
          <t>Ratio</t>
        </is>
      </c>
      <c r="B5" s="5" t="inlineStr">
        <is>
          <t>FY2022</t>
        </is>
      </c>
      <c r="C5" s="5" t="inlineStr">
        <is>
          <t>FY2024</t>
        </is>
      </c>
      <c r="D5" s="5" t="inlineStr">
        <is>
          <t>FY2025</t>
        </is>
      </c>
    </row>
    <row r="6">
      <c r="A6" s="6" t="inlineStr">
        <is>
          <t>Profitability (computed upstream)</t>
        </is>
      </c>
      <c r="B6" s="7" t="n"/>
      <c r="C6" s="7" t="n"/>
      <c r="D6" s="7" t="n"/>
    </row>
    <row r="7">
      <c r="A7" s="8" t="inlineStr">
        <is>
          <t xml:space="preserve">    Operating margin (NI / revenue)</t>
        </is>
      </c>
      <c r="B7" s="12" t="n">
        <v>0.2679242273180459</v>
      </c>
      <c r="C7" s="12" t="n">
        <v>0.2813679890560876</v>
      </c>
      <c r="D7" s="12" t="n">
        <v>0.3125398440907718</v>
      </c>
    </row>
    <row r="8">
      <c r="A8" s="8" t="inlineStr">
        <is>
          <t xml:space="preserve">    Expense ratio (expenses / revenue)</t>
        </is>
      </c>
      <c r="B8" s="12" t="n">
        <v>0.7320757726819541</v>
      </c>
      <c r="C8" s="12" t="n">
        <v>0.7186320109439125</v>
      </c>
      <c r="D8" s="12" t="n">
        <v>0.6874601559092282</v>
      </c>
    </row>
    <row r="9">
      <c r="A9" s="8" t="inlineStr">
        <is>
          <t xml:space="preserve">    Return on assets (NI / assets)</t>
        </is>
      </c>
      <c r="B9" s="12" t="n">
        <v>0.1069382011740886</v>
      </c>
      <c r="C9" s="12" t="n">
        <v>0.1168138577310805</v>
      </c>
      <c r="D9" s="12" t="n">
        <v>0.1447627780238452</v>
      </c>
    </row>
    <row r="10">
      <c r="A10" s="8" t="inlineStr">
        <is>
          <t xml:space="preserve">    Revenue growth (YoY)</t>
        </is>
      </c>
      <c r="B10" s="12" t="n"/>
      <c r="C10" s="12" t="n"/>
      <c r="D10" s="12" t="n"/>
    </row>
    <row r="12">
      <c r="A12" s="6" t="inlineStr">
        <is>
          <t>Leverage &amp; solvency</t>
        </is>
      </c>
      <c r="B12" s="7" t="n"/>
      <c r="C12" s="7" t="n"/>
      <c r="D12" s="7" t="n"/>
    </row>
    <row r="13">
      <c r="A13" s="8" t="inlineStr">
        <is>
          <t xml:space="preserve">    Debt-to-assets (liab. / assets)</t>
        </is>
      </c>
      <c r="B13" s="12" t="n">
        <v>0.02574844961733882</v>
      </c>
      <c r="C13" s="12" t="n">
        <v>0.01980690046855033</v>
      </c>
      <c r="D13" s="12" t="n">
        <v>0.008431048014235649</v>
      </c>
    </row>
    <row r="14">
      <c r="A14" s="8" t="inlineStr">
        <is>
          <t xml:space="preserve">    Equity ratio (net assets / assets)</t>
        </is>
      </c>
      <c r="B14" s="12" t="n">
        <v>0.9742515503826612</v>
      </c>
      <c r="C14" s="12" t="n">
        <v>0.9801930995314496</v>
      </c>
      <c r="D14" s="12" t="n">
        <v>0.9915689519857643</v>
      </c>
    </row>
    <row r="16">
      <c r="A16" s="6" t="inlineStr">
        <is>
          <t>Liquidity &amp; asset profile (derived here)</t>
        </is>
      </c>
      <c r="B16" s="7" t="n"/>
      <c r="C16" s="7" t="n"/>
      <c r="D16" s="7" t="n"/>
    </row>
    <row r="17">
      <c r="A17" s="8" t="inlineStr">
        <is>
          <t xml:space="preserve">    Current ratio (current assets / AP)</t>
        </is>
      </c>
      <c r="B17" s="15" t="n"/>
      <c r="C17" s="15" t="n"/>
      <c r="D17" s="15" t="n"/>
    </row>
    <row r="18">
      <c r="A18" s="8" t="inlineStr">
        <is>
          <t xml:space="preserve">    Cash ratio ((cash+temp inv.) / total liab.)</t>
        </is>
      </c>
      <c r="B18" s="15" t="n">
        <v>36.04933234421365</v>
      </c>
      <c r="C18" s="15" t="n">
        <v>46.52143369175627</v>
      </c>
      <c r="D18" s="15" t="n">
        <v>114.1680491551459</v>
      </c>
    </row>
    <row r="19">
      <c r="A19" s="8" t="inlineStr">
        <is>
          <t xml:space="preserve">    Asset age proxy (accum. deprec. / gross PP&amp;E)</t>
        </is>
      </c>
      <c r="B19" s="12" t="n"/>
      <c r="C19" s="12" t="n"/>
      <c r="D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1:D1"/>
    <mergeCell ref="A21:D2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East Valley Farms Mutual Water Company</t>
        </is>
      </c>
    </row>
    <row r="2">
      <c r="A2" s="2" t="inlineStr">
        <is>
          <t>Unit economics - per-customer revenue by category (USD)</t>
        </is>
      </c>
    </row>
    <row r="3">
      <c r="A3" s="2" t="inlineStr">
        <is>
          <t>Entity ID: cawc_0090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East Valley Farms Mutual Water Company</t>
        </is>
      </c>
    </row>
    <row r="2">
      <c r="A2" s="2" t="inlineStr">
        <is>
          <t>Rate structure and representative bill - eAR Section 8a</t>
        </is>
      </c>
    </row>
    <row r="3">
      <c r="A3" s="2" t="inlineStr">
        <is>
          <t>Entity ID: cawc_0090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East Valley Farms Mutual Water Company</t>
        </is>
      </c>
    </row>
    <row r="2">
      <c r="A2" s="2" t="inlineStr">
        <is>
          <t>Operational metrics - plant per acre, density, terrain</t>
        </is>
      </c>
    </row>
    <row r="3">
      <c r="A3" s="2" t="inlineStr">
        <is>
          <t>Entity ID: cawc_0090   |   Fiscal year ends December 31.</t>
        </is>
      </c>
    </row>
    <row r="5">
      <c r="A5" s="6" t="inlineStr">
        <is>
          <t>Connections per acre</t>
        </is>
      </c>
      <c r="B5" s="7" t="n"/>
      <c r="C5" s="7" t="n"/>
    </row>
    <row r="6">
      <c r="A6" s="16" t="inlineStr">
        <is>
          <t>Connections per acre</t>
        </is>
      </c>
      <c r="B6" s="15" t="n">
        <v>0.14</v>
      </c>
      <c r="C6" s="18" t="inlineStr">
        <is>
          <t>45 connections / 321.5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s>
  <sheetData>
    <row r="1">
      <c r="A1" s="1" t="inlineStr">
        <is>
          <t>East Valley Farms Mutual Water Company</t>
        </is>
      </c>
    </row>
    <row r="2">
      <c r="A2" s="2" t="inlineStr">
        <is>
          <t>Supply and weather indicators (DWR water year)</t>
        </is>
      </c>
    </row>
    <row r="3">
      <c r="A3" s="2" t="inlineStr">
        <is>
          <t>Entity ID: cawc_0090   |   Fiscal year ends December 31.</t>
        </is>
      </c>
    </row>
    <row r="5" ht="141"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WY2022</t>
        </is>
      </c>
      <c r="C7" s="5" t="inlineStr">
        <is>
          <t>WY2024</t>
        </is>
      </c>
      <c r="D7" s="5" t="inlineStr">
        <is>
          <t>WY2025</t>
        </is>
      </c>
    </row>
    <row r="8">
      <c r="A8" s="8" t="inlineStr">
        <is>
          <t>Water-year type (Sacramento Valley)</t>
        </is>
      </c>
      <c r="B8" s="22" t="inlineStr">
        <is>
          <t>Critical</t>
        </is>
      </c>
      <c r="C8" s="22" t="inlineStr">
        <is>
          <t>Above Normal</t>
        </is>
      </c>
      <c r="D8" s="23" t="inlineStr">
        <is>
          <t>not reported</t>
        </is>
      </c>
    </row>
    <row r="9">
      <c r="A9" s="8" t="inlineStr">
        <is>
          <t>Peak drought, county County</t>
        </is>
      </c>
      <c r="B9" s="23" t="inlineStr">
        <is>
          <t>not reported</t>
        </is>
      </c>
      <c r="C9" s="23" t="inlineStr">
        <is>
          <t>not reported</t>
        </is>
      </c>
      <c r="D9" s="23" t="inlineStr">
        <is>
          <t>not reported</t>
        </is>
      </c>
    </row>
    <row r="10">
      <c r="A10" s="8" t="inlineStr">
        <is>
          <t>Precip, percent of normal (8-Station Index)</t>
        </is>
      </c>
      <c r="B10" s="22" t="inlineStr">
        <is>
          <t>86</t>
        </is>
      </c>
      <c r="C10" s="22" t="inlineStr">
        <is>
          <t>96</t>
        </is>
      </c>
      <c r="D10" s="22" t="inlineStr">
        <is>
          <t>113</t>
        </is>
      </c>
    </row>
    <row r="11">
      <c r="A11" s="8" t="inlineStr">
        <is>
          <t>Snowpack, April 1 percent of average</t>
        </is>
      </c>
      <c r="B11" s="22" t="inlineStr">
        <is>
          <t>38%</t>
        </is>
      </c>
      <c r="C11" s="22" t="inlineStr">
        <is>
          <t>110%</t>
        </is>
      </c>
      <c r="D11" s="22" t="inlineStr">
        <is>
          <t>96%</t>
        </is>
      </c>
    </row>
    <row r="12">
      <c r="A12" s="8" t="inlineStr">
        <is>
          <t>State Water Project allocation</t>
        </is>
      </c>
      <c r="B12" s="22" t="inlineStr">
        <is>
          <t>5%</t>
        </is>
      </c>
      <c r="C12" s="22" t="inlineStr">
        <is>
          <t>40%</t>
        </is>
      </c>
      <c r="D12" s="22" t="inlineStr">
        <is>
          <t>50%</t>
        </is>
      </c>
    </row>
  </sheetData>
  <mergeCells count="4">
    <mergeCell ref="A1:D1"/>
    <mergeCell ref="A5:D5"/>
    <mergeCell ref="A3:D3"/>
    <mergeCell ref="A2:D2"/>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East Valley Farms Mutual Water Company</t>
        </is>
      </c>
    </row>
    <row r="2">
      <c r="A2" s="2" t="inlineStr">
        <is>
          <t>How this was built - forensic lineage</t>
        </is>
      </c>
    </row>
    <row r="3">
      <c r="A3" s="2" t="inlineStr">
        <is>
          <t>Entity ID: cawc_0090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East Valley Farms Mutual Water Company</t>
        </is>
      </c>
    </row>
    <row r="2">
      <c r="A2" s="2" t="inlineStr">
        <is>
          <t>Anomaly Flags (automated; kept separate from the clean statements)</t>
        </is>
      </c>
    </row>
    <row r="3">
      <c r="A3" s="2" t="inlineStr">
        <is>
          <t>Entity ID: cawc_0090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16" t="inlineStr">
        <is>
          <t>Affected figure</t>
        </is>
      </c>
      <c r="B8" s="18" t="inlineStr">
        <is>
          <t>Net assets FY2025</t>
        </is>
      </c>
    </row>
    <row r="9">
      <c r="A9" s="16" t="inlineStr">
        <is>
          <t>Confidence</t>
        </is>
      </c>
      <c r="B9" s="18" t="inlineStr">
        <is>
          <t>high</t>
        </is>
      </c>
    </row>
    <row r="10" ht="72" customHeight="1">
      <c r="A10" s="16" t="inlineStr">
        <is>
          <t>What happened (filed, sourced)</t>
        </is>
      </c>
      <c r="B10" s="18" t="inlineStr">
        <is>
          <t>The company filed $321,562 as its beginning net assets for FY2025 and $345,175 as its ending net assets for FY2024, a difference of $-23,613. Both figures are carried exactly as each year's own filing reports them. Neither is adjusted to match the other.</t>
        </is>
      </c>
    </row>
    <row r="11" ht="54" customHeight="1">
      <c r="A11" s="16" t="inlineStr">
        <is>
          <t>Source lines</t>
        </is>
      </c>
      <c r="B11" s="18" t="inlineStr">
        <is>
          <t>- FY2025 net assets, beginning of year (as filed): $321,562
- FY2024 net assets, end of year (as filed): $345,175
- Difference: $-23,613</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East Valley Farms Mutual Water Company</t>
        </is>
      </c>
    </row>
    <row r="2">
      <c r="A2" s="2" t="inlineStr">
        <is>
          <t>Sources &amp; audit - full provenance and tie-outs (kept off the statements so they read clean)</t>
        </is>
      </c>
    </row>
    <row r="3">
      <c r="A3" s="2" t="inlineStr">
        <is>
          <t>Entity ID: cawc_0090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FY2022</t>
        </is>
      </c>
      <c r="B10" s="8" t="inlineStr">
        <is>
          <t>2022-12-31</t>
        </is>
      </c>
      <c r="C10" s="8" t="inlineStr">
        <is>
          <t>990-EZ</t>
        </is>
      </c>
      <c r="D10" s="8" t="inlineStr">
        <is>
          <t>low</t>
        </is>
      </c>
      <c r="E10" s="8" t="inlineStr">
        <is>
          <t>268688ea-416f-4896-bf9c-af2528faca8e</t>
        </is>
      </c>
      <c r="F10" s="8" t="inlineStr">
        <is>
          <t>202542269349200839</t>
        </is>
      </c>
      <c r="G10" s="8" t="inlineStr">
        <is>
          <t>claude-opus-5</t>
        </is>
      </c>
      <c r="H10" s="8" t="inlineStr">
        <is>
          <t>2026-09-21T02:50:02+00:00</t>
        </is>
      </c>
      <c r="I10" s="8" t="inlineStr">
        <is>
          <t>https://apps.irs.gov/pub/epostcard/990/xml/2025/2025_TEOS_XML_08A.zip#202542269349200839_public.xml</t>
        </is>
      </c>
    </row>
    <row r="11">
      <c r="A11" s="22" t="inlineStr">
        <is>
          <t>FY2024</t>
        </is>
      </c>
      <c r="B11" s="8" t="inlineStr">
        <is>
          <t>2024-12-31</t>
        </is>
      </c>
      <c r="C11" s="8" t="inlineStr">
        <is>
          <t>990-EZ</t>
        </is>
      </c>
      <c r="D11" s="8" t="inlineStr">
        <is>
          <t>high</t>
        </is>
      </c>
      <c r="E11" s="8" t="inlineStr">
        <is>
          <t>11c7c479-d461-4889-92e8-38b24a8f2660</t>
        </is>
      </c>
      <c r="F11" s="8" t="inlineStr">
        <is>
          <t>202511509349200841</t>
        </is>
      </c>
      <c r="G11" s="8" t="inlineStr">
        <is>
          <t>claude-opus-5</t>
        </is>
      </c>
      <c r="H11" s="8" t="inlineStr">
        <is>
          <t>2026-09-21T02:50:02+00:00</t>
        </is>
      </c>
      <c r="I11" s="8" t="inlineStr">
        <is>
          <t>https://apps.irs.gov/pub/epostcard/990/xml/2025/2025_TEOS_XML_06A.zip#202511509349200841_public.xml</t>
        </is>
      </c>
    </row>
    <row r="12">
      <c r="A12" s="22" t="inlineStr">
        <is>
          <t>FY2025</t>
        </is>
      </c>
      <c r="B12" s="8" t="inlineStr">
        <is>
          <t>2025-12-31</t>
        </is>
      </c>
      <c r="C12" s="8" t="inlineStr">
        <is>
          <t>990-EZ</t>
        </is>
      </c>
      <c r="D12" s="8" t="inlineStr">
        <is>
          <t>high</t>
        </is>
      </c>
      <c r="E12" s="8" t="inlineStr">
        <is>
          <t>5b72a320-29a4-4962-8955-a7e4b037da26</t>
        </is>
      </c>
      <c r="F12" s="8" t="inlineStr">
        <is>
          <t>202641499349200744</t>
        </is>
      </c>
      <c r="G12" s="8" t="inlineStr">
        <is>
          <t>claude-opus-5</t>
        </is>
      </c>
      <c r="H12" s="8" t="inlineStr">
        <is>
          <t>2026-09-21T02:50:02+00:00</t>
        </is>
      </c>
      <c r="I12" s="8" t="inlineStr">
        <is>
          <t>https://apps.irs.gov/pub/epostcard/990/xml/2026/2026_TEOS_XML_06A.zip#202641499349200744_public.xml</t>
        </is>
      </c>
    </row>
    <row r="14">
      <c r="A14" s="25" t="inlineStr">
        <is>
          <t>B. Figure citations (every figure on the statement tabs, keyed by cell)</t>
        </is>
      </c>
      <c r="B14" s="7" t="n"/>
      <c r="C14" s="7" t="n"/>
      <c r="D14" s="7" t="n"/>
      <c r="E14" s="7" t="n"/>
      <c r="F14" s="7" t="n"/>
      <c r="G14" s="7" t="n"/>
      <c r="H14" s="7" t="n"/>
      <c r="I14" s="7" t="n"/>
      <c r="J14" s="7" t="n"/>
      <c r="K14" s="7" t="n"/>
    </row>
    <row r="15">
      <c r="A15" s="5" t="inlineStr">
        <is>
          <t>Tab</t>
        </is>
      </c>
      <c r="B15" s="5" t="inlineStr">
        <is>
          <t>Cell</t>
        </is>
      </c>
      <c r="C15" s="5" t="inlineStr">
        <is>
          <t>Line item</t>
        </is>
      </c>
      <c r="D15" s="5" t="inlineStr">
        <is>
          <t>Form 990 line</t>
        </is>
      </c>
      <c r="E15" s="5" t="inlineStr">
        <is>
          <t>Key path</t>
        </is>
      </c>
      <c r="F15" s="5" t="inlineStr">
        <is>
          <t>Confidence</t>
        </is>
      </c>
      <c r="G15" s="5" t="inlineStr">
        <is>
          <t>As filed</t>
        </is>
      </c>
    </row>
    <row r="16">
      <c r="A16" s="8" t="inlineStr">
        <is>
          <t>Form 990-EZ Parts I &amp; II</t>
        </is>
      </c>
      <c r="B16" s="8" t="inlineStr">
        <is>
          <t>B7</t>
        </is>
      </c>
      <c r="C16" s="8" t="inlineStr">
        <is>
          <t>2. Program service revenue</t>
        </is>
      </c>
      <c r="D16" s="8" t="inlineStr">
        <is>
          <t>Part I line 2</t>
        </is>
      </c>
      <c r="E16" s="8" t="inlineStr">
        <is>
          <t>part_i_revenue_expenses.program_service_revenue</t>
        </is>
      </c>
      <c r="F16" s="8" t="inlineStr">
        <is>
          <t>high</t>
        </is>
      </c>
      <c r="G16" s="9" t="n">
        <v>92554</v>
      </c>
    </row>
    <row r="17">
      <c r="A17" s="8" t="inlineStr">
        <is>
          <t>Form 990-EZ Parts I &amp; II</t>
        </is>
      </c>
      <c r="B17" s="8" t="inlineStr">
        <is>
          <t>C7</t>
        </is>
      </c>
      <c r="C17" s="8" t="inlineStr">
        <is>
          <t>2. Program service revenue</t>
        </is>
      </c>
      <c r="D17" s="8" t="inlineStr">
        <is>
          <t>Part I line 2</t>
        </is>
      </c>
      <c r="E17" s="8" t="inlineStr">
        <is>
          <t>part_i_revenue_expenses.program_service_revenue</t>
        </is>
      </c>
      <c r="F17" s="8" t="inlineStr">
        <is>
          <t>high</t>
        </is>
      </c>
      <c r="G17" s="9" t="n">
        <v>108745</v>
      </c>
    </row>
    <row r="18">
      <c r="A18" s="8" t="inlineStr">
        <is>
          <t>Form 990-EZ Parts I &amp; II</t>
        </is>
      </c>
      <c r="B18" s="8" t="inlineStr">
        <is>
          <t>D7</t>
        </is>
      </c>
      <c r="C18" s="8" t="inlineStr">
        <is>
          <t>2. Program service revenue</t>
        </is>
      </c>
      <c r="D18" s="8" t="inlineStr">
        <is>
          <t>Part I line 2</t>
        </is>
      </c>
      <c r="E18" s="8" t="inlineStr">
        <is>
          <t>part_i_revenue_expenses.program_service_revenue</t>
        </is>
      </c>
      <c r="F18" s="8" t="inlineStr">
        <is>
          <t>high</t>
        </is>
      </c>
      <c r="G18" s="9" t="n">
        <v>138280</v>
      </c>
    </row>
    <row r="19">
      <c r="A19" s="8" t="inlineStr">
        <is>
          <t>Form 990-EZ Parts I &amp; II</t>
        </is>
      </c>
      <c r="B19" s="8" t="inlineStr">
        <is>
          <t>B8</t>
        </is>
      </c>
      <c r="C19" s="8" t="inlineStr">
        <is>
          <t>3. Membership dues and assessments</t>
        </is>
      </c>
      <c r="D19" s="8" t="inlineStr">
        <is>
          <t>Part I line 3</t>
        </is>
      </c>
      <c r="E19" s="8" t="inlineStr">
        <is>
          <t>part_i_revenue_expenses.membership_dues</t>
        </is>
      </c>
      <c r="F19" s="8" t="inlineStr">
        <is>
          <t>high</t>
        </is>
      </c>
      <c r="G19" s="9" t="n">
        <v>32400</v>
      </c>
    </row>
    <row r="20">
      <c r="A20" s="8" t="inlineStr">
        <is>
          <t>Form 990-EZ Parts I &amp; II</t>
        </is>
      </c>
      <c r="B20" s="8" t="inlineStr">
        <is>
          <t>C8</t>
        </is>
      </c>
      <c r="C20" s="8" t="inlineStr">
        <is>
          <t>3. Membership dues and assessments</t>
        </is>
      </c>
      <c r="D20" s="8" t="inlineStr">
        <is>
          <t>Part I line 3</t>
        </is>
      </c>
      <c r="E20" s="8" t="inlineStr">
        <is>
          <t>part_i_revenue_expenses.membership_dues</t>
        </is>
      </c>
      <c r="F20" s="8" t="inlineStr">
        <is>
          <t>high</t>
        </is>
      </c>
      <c r="G20" s="9" t="n">
        <v>32400</v>
      </c>
    </row>
    <row r="21">
      <c r="A21" s="8" t="inlineStr">
        <is>
          <t>Form 990-EZ Parts I &amp; II</t>
        </is>
      </c>
      <c r="B21" s="8" t="inlineStr">
        <is>
          <t>D8</t>
        </is>
      </c>
      <c r="C21" s="8" t="inlineStr">
        <is>
          <t>3. Membership dues and assessments</t>
        </is>
      </c>
      <c r="D21" s="8" t="inlineStr">
        <is>
          <t>Part I line 3</t>
        </is>
      </c>
      <c r="E21" s="8" t="inlineStr">
        <is>
          <t>part_i_revenue_expenses.membership_dues</t>
        </is>
      </c>
      <c r="F21" s="8" t="inlineStr">
        <is>
          <t>high</t>
        </is>
      </c>
      <c r="G21" s="9" t="n">
        <v>32400</v>
      </c>
    </row>
    <row r="22">
      <c r="A22" s="8" t="inlineStr">
        <is>
          <t>Form 990-EZ Parts I &amp; II</t>
        </is>
      </c>
      <c r="B22" s="8" t="inlineStr">
        <is>
          <t>B9</t>
        </is>
      </c>
      <c r="C22" s="8" t="inlineStr">
        <is>
          <t>4. Investment income</t>
        </is>
      </c>
      <c r="D22" s="8" t="inlineStr">
        <is>
          <t>Part I line 4</t>
        </is>
      </c>
      <c r="E22" s="8" t="inlineStr">
        <is>
          <t>part_i_revenue_expenses.investment_income</t>
        </is>
      </c>
      <c r="F22" s="8" t="inlineStr">
        <is>
          <t>high</t>
        </is>
      </c>
      <c r="G22" s="9" t="n">
        <v>421</v>
      </c>
    </row>
    <row r="23">
      <c r="A23" s="8" t="inlineStr">
        <is>
          <t>Form 990-EZ Parts I &amp; II</t>
        </is>
      </c>
      <c r="B23" s="8" t="inlineStr">
        <is>
          <t>C9</t>
        </is>
      </c>
      <c r="C23" s="8" t="inlineStr">
        <is>
          <t>4. Investment income</t>
        </is>
      </c>
      <c r="D23" s="8" t="inlineStr">
        <is>
          <t>Part I line 4</t>
        </is>
      </c>
      <c r="E23" s="8" t="inlineStr">
        <is>
          <t>part_i_revenue_expenses.investment_income</t>
        </is>
      </c>
      <c r="F23" s="8" t="inlineStr">
        <is>
          <t>high</t>
        </is>
      </c>
      <c r="G23" s="9" t="n">
        <v>5055</v>
      </c>
    </row>
    <row r="24">
      <c r="A24" s="8" t="inlineStr">
        <is>
          <t>Form 990-EZ Parts I &amp; II</t>
        </is>
      </c>
      <c r="B24" s="8" t="inlineStr">
        <is>
          <t>D9</t>
        </is>
      </c>
      <c r="C24" s="8" t="inlineStr">
        <is>
          <t>4. Investment income</t>
        </is>
      </c>
      <c r="D24" s="8" t="inlineStr">
        <is>
          <t>Part I line 4</t>
        </is>
      </c>
      <c r="E24" s="8" t="inlineStr">
        <is>
          <t>part_i_revenue_expenses.investment_income</t>
        </is>
      </c>
      <c r="F24" s="8" t="inlineStr">
        <is>
          <t>high</t>
        </is>
      </c>
      <c r="G24" s="9" t="n">
        <v>8142</v>
      </c>
    </row>
    <row r="25">
      <c r="A25" s="8" t="inlineStr">
        <is>
          <t>Form 990-EZ Parts I &amp; II</t>
        </is>
      </c>
      <c r="B25" s="8" t="inlineStr">
        <is>
          <t>B10</t>
        </is>
      </c>
      <c r="C25" s="8" t="inlineStr">
        <is>
          <t>9. Total revenue</t>
        </is>
      </c>
      <c r="D25" s="8" t="inlineStr">
        <is>
          <t>Part I line 9</t>
        </is>
      </c>
      <c r="E25" s="8" t="inlineStr">
        <is>
          <t>part_i_revenue_expenses.total_revenue</t>
        </is>
      </c>
      <c r="F25" s="8" t="inlineStr">
        <is>
          <t>high</t>
        </is>
      </c>
      <c r="G25" s="9" t="n">
        <v>125375</v>
      </c>
    </row>
    <row r="26">
      <c r="A26" s="8" t="inlineStr">
        <is>
          <t>Form 990-EZ Parts I &amp; II</t>
        </is>
      </c>
      <c r="B26" s="8" t="inlineStr">
        <is>
          <t>C10</t>
        </is>
      </c>
      <c r="C26" s="8" t="inlineStr">
        <is>
          <t>9. Total revenue</t>
        </is>
      </c>
      <c r="D26" s="8" t="inlineStr">
        <is>
          <t>Part I line 9</t>
        </is>
      </c>
      <c r="E26" s="8" t="inlineStr">
        <is>
          <t>part_i_revenue_expenses.total_revenue</t>
        </is>
      </c>
      <c r="F26" s="8" t="inlineStr">
        <is>
          <t>high</t>
        </is>
      </c>
      <c r="G26" s="9" t="n">
        <v>146200</v>
      </c>
    </row>
    <row r="27">
      <c r="A27" s="8" t="inlineStr">
        <is>
          <t>Form 990-EZ Parts I &amp; II</t>
        </is>
      </c>
      <c r="B27" s="8" t="inlineStr">
        <is>
          <t>D10</t>
        </is>
      </c>
      <c r="C27" s="8" t="inlineStr">
        <is>
          <t>9. Total revenue</t>
        </is>
      </c>
      <c r="D27" s="8" t="inlineStr">
        <is>
          <t>Part I line 9</t>
        </is>
      </c>
      <c r="E27" s="8" t="inlineStr">
        <is>
          <t>part_i_revenue_expenses.total_revenue</t>
        </is>
      </c>
      <c r="F27" s="8" t="inlineStr">
        <is>
          <t>high</t>
        </is>
      </c>
      <c r="G27" s="9" t="n">
        <v>178822</v>
      </c>
    </row>
    <row r="28">
      <c r="A28" s="8" t="inlineStr">
        <is>
          <t>Form 990-EZ Parts I &amp; II</t>
        </is>
      </c>
      <c r="B28" s="8" t="inlineStr">
        <is>
          <t>B13</t>
        </is>
      </c>
      <c r="C28" s="8" t="inlineStr">
        <is>
          <t>13. Fees for services (independent contractors)</t>
        </is>
      </c>
      <c r="D28" s="8" t="inlineStr">
        <is>
          <t>Part I line 13</t>
        </is>
      </c>
      <c r="E28" s="8" t="inlineStr">
        <is>
          <t>part_i_revenue_expenses.fees_ind_contractors</t>
        </is>
      </c>
      <c r="F28" s="8" t="inlineStr">
        <is>
          <t>high</t>
        </is>
      </c>
      <c r="G28" s="9" t="n">
        <v>3857</v>
      </c>
    </row>
    <row r="29">
      <c r="A29" s="8" t="inlineStr">
        <is>
          <t>Form 990-EZ Parts I &amp; II</t>
        </is>
      </c>
      <c r="B29" s="8" t="inlineStr">
        <is>
          <t>C13</t>
        </is>
      </c>
      <c r="C29" s="8" t="inlineStr">
        <is>
          <t>13. Fees for services (independent contractors)</t>
        </is>
      </c>
      <c r="D29" s="8" t="inlineStr">
        <is>
          <t>Part I line 13</t>
        </is>
      </c>
      <c r="E29" s="8" t="inlineStr">
        <is>
          <t>part_i_revenue_expenses.fees_ind_contractors</t>
        </is>
      </c>
      <c r="F29" s="8" t="inlineStr">
        <is>
          <t>high</t>
        </is>
      </c>
      <c r="G29" s="9" t="n">
        <v>10088</v>
      </c>
    </row>
    <row r="30">
      <c r="A30" s="8" t="inlineStr">
        <is>
          <t>Form 990-EZ Parts I &amp; II</t>
        </is>
      </c>
      <c r="B30" s="8" t="inlineStr">
        <is>
          <t>D13</t>
        </is>
      </c>
      <c r="C30" s="8" t="inlineStr">
        <is>
          <t>13. Fees for services (independent contractors)</t>
        </is>
      </c>
      <c r="D30" s="8" t="inlineStr">
        <is>
          <t>Part I line 13</t>
        </is>
      </c>
      <c r="E30" s="8" t="inlineStr">
        <is>
          <t>part_i_revenue_expenses.fees_ind_contractors</t>
        </is>
      </c>
      <c r="F30" s="8" t="inlineStr">
        <is>
          <t>high</t>
        </is>
      </c>
      <c r="G30" s="9" t="n">
        <v>15838</v>
      </c>
    </row>
    <row r="31">
      <c r="A31" s="8" t="inlineStr">
        <is>
          <t>Form 990-EZ Parts I &amp; II</t>
        </is>
      </c>
      <c r="B31" s="8" t="inlineStr">
        <is>
          <t>D14</t>
        </is>
      </c>
      <c r="C31" s="8" t="inlineStr">
        <is>
          <t>14. Occupancy, rent, utilities, maintenance</t>
        </is>
      </c>
      <c r="D31" s="8" t="inlineStr">
        <is>
          <t>Part I line 14</t>
        </is>
      </c>
      <c r="E31" s="8" t="inlineStr">
        <is>
          <t>part_i_revenue_expenses.occupancy_utilities_maint</t>
        </is>
      </c>
      <c r="F31" s="8" t="inlineStr">
        <is>
          <t>high</t>
        </is>
      </c>
      <c r="G31" s="9" t="n">
        <v>54705</v>
      </c>
    </row>
    <row r="32">
      <c r="A32" s="8" t="inlineStr">
        <is>
          <t>Form 990-EZ Parts I &amp; II</t>
        </is>
      </c>
      <c r="B32" s="8" t="inlineStr">
        <is>
          <t>B15</t>
        </is>
      </c>
      <c r="C32" s="8" t="inlineStr">
        <is>
          <t>16. Other expenses</t>
        </is>
      </c>
      <c r="D32" s="8" t="inlineStr">
        <is>
          <t>Part I line 16</t>
        </is>
      </c>
      <c r="E32" s="8" t="inlineStr">
        <is>
          <t>part_i_revenue_expenses.other_expenses_total</t>
        </is>
      </c>
      <c r="F32" s="8" t="inlineStr">
        <is>
          <t>high</t>
        </is>
      </c>
      <c r="G32" s="9" t="n">
        <v>87927</v>
      </c>
    </row>
    <row r="33">
      <c r="A33" s="8" t="inlineStr">
        <is>
          <t>Form 990-EZ Parts I &amp; II</t>
        </is>
      </c>
      <c r="B33" s="8" t="inlineStr">
        <is>
          <t>C15</t>
        </is>
      </c>
      <c r="C33" s="8" t="inlineStr">
        <is>
          <t>16. Other expenses</t>
        </is>
      </c>
      <c r="D33" s="8" t="inlineStr">
        <is>
          <t>Part I line 16</t>
        </is>
      </c>
      <c r="E33" s="8" t="inlineStr">
        <is>
          <t>part_i_revenue_expenses.other_expenses_total</t>
        </is>
      </c>
      <c r="F33" s="8" t="inlineStr">
        <is>
          <t>high</t>
        </is>
      </c>
      <c r="G33" s="9" t="n">
        <v>94976</v>
      </c>
    </row>
    <row r="34">
      <c r="A34" s="8" t="inlineStr">
        <is>
          <t>Form 990-EZ Parts I &amp; II</t>
        </is>
      </c>
      <c r="B34" s="8" t="inlineStr">
        <is>
          <t>D15</t>
        </is>
      </c>
      <c r="C34" s="8" t="inlineStr">
        <is>
          <t>16. Other expenses</t>
        </is>
      </c>
      <c r="D34" s="8" t="inlineStr">
        <is>
          <t>Part I line 16</t>
        </is>
      </c>
      <c r="E34" s="8" t="inlineStr">
        <is>
          <t>part_i_revenue_expenses.other_expenses_total</t>
        </is>
      </c>
      <c r="F34" s="8" t="inlineStr">
        <is>
          <t>high</t>
        </is>
      </c>
      <c r="G34" s="9" t="n">
        <v>52390</v>
      </c>
    </row>
    <row r="35">
      <c r="A35" s="8" t="inlineStr">
        <is>
          <t>Form 990-EZ Parts I &amp; II</t>
        </is>
      </c>
      <c r="B35" s="8" t="inlineStr">
        <is>
          <t>B19</t>
        </is>
      </c>
      <c r="C35" s="8" t="inlineStr">
        <is>
          <t>19. Net assets or fund balances, beginning of year</t>
        </is>
      </c>
      <c r="D35" s="8" t="inlineStr">
        <is>
          <t>Part I line 19</t>
        </is>
      </c>
      <c r="E35" s="8" t="inlineStr">
        <is>
          <t>part_i_revenue_expenses.net_assets_boy</t>
        </is>
      </c>
      <c r="F35" s="8" t="inlineStr">
        <is>
          <t>high</t>
        </is>
      </c>
      <c r="G35" s="9" t="n">
        <v>278524</v>
      </c>
    </row>
    <row r="36">
      <c r="A36" s="8" t="inlineStr">
        <is>
          <t>Form 990-EZ Parts I &amp; II</t>
        </is>
      </c>
      <c r="B36" s="8" t="inlineStr">
        <is>
          <t>C19</t>
        </is>
      </c>
      <c r="C36" s="8" t="inlineStr">
        <is>
          <t>19. Net assets or fund balances, beginning of year</t>
        </is>
      </c>
      <c r="D36" s="8" t="inlineStr">
        <is>
          <t>Part I line 19</t>
        </is>
      </c>
      <c r="E36" s="8" t="inlineStr">
        <is>
          <t>part_i_revenue_expenses.net_assets_boy</t>
        </is>
      </c>
      <c r="F36" s="8" t="inlineStr">
        <is>
          <t>high</t>
        </is>
      </c>
      <c r="G36" s="9" t="n">
        <v>321562</v>
      </c>
    </row>
    <row r="37">
      <c r="A37" s="8" t="inlineStr">
        <is>
          <t>Form 990-EZ Parts I &amp; II</t>
        </is>
      </c>
      <c r="B37" s="8" t="inlineStr">
        <is>
          <t>D19</t>
        </is>
      </c>
      <c r="C37" s="8" t="inlineStr">
        <is>
          <t>19. Net assets or fund balances, beginning of year</t>
        </is>
      </c>
      <c r="D37" s="8" t="inlineStr">
        <is>
          <t>Part I line 19</t>
        </is>
      </c>
      <c r="E37" s="8" t="inlineStr">
        <is>
          <t>part_i_revenue_expenses.net_assets_boy</t>
        </is>
      </c>
      <c r="F37" s="8" t="inlineStr">
        <is>
          <t>high</t>
        </is>
      </c>
      <c r="G37" s="9" t="n">
        <v>321562</v>
      </c>
    </row>
    <row r="38">
      <c r="A38" s="8" t="inlineStr">
        <is>
          <t>Form 990-EZ Parts I &amp; II</t>
        </is>
      </c>
      <c r="B38" s="8" t="inlineStr">
        <is>
          <t>B20</t>
        </is>
      </c>
      <c r="C38" s="8" t="inlineStr">
        <is>
          <t>18. Excess or (deficit) for the year</t>
        </is>
      </c>
      <c r="D38" s="8" t="inlineStr">
        <is>
          <t>Part I line 18</t>
        </is>
      </c>
      <c r="E38" s="8" t="inlineStr">
        <is>
          <t>part_i_revenue_expenses.excess_or_deficit</t>
        </is>
      </c>
      <c r="F38" s="8" t="inlineStr">
        <is>
          <t>high</t>
        </is>
      </c>
      <c r="G38" s="9" t="n">
        <v>33591</v>
      </c>
    </row>
    <row r="39">
      <c r="A39" s="8" t="inlineStr">
        <is>
          <t>Form 990-EZ Parts I &amp; II</t>
        </is>
      </c>
      <c r="B39" s="8" t="inlineStr">
        <is>
          <t>C20</t>
        </is>
      </c>
      <c r="C39" s="8" t="inlineStr">
        <is>
          <t>18. Excess or (deficit) for the year</t>
        </is>
      </c>
      <c r="D39" s="8" t="inlineStr">
        <is>
          <t>Part I line 18</t>
        </is>
      </c>
      <c r="E39" s="8" t="inlineStr">
        <is>
          <t>part_i_revenue_expenses.excess_or_deficit</t>
        </is>
      </c>
      <c r="F39" s="8" t="inlineStr">
        <is>
          <t>high</t>
        </is>
      </c>
      <c r="G39" s="9" t="n">
        <v>41136</v>
      </c>
    </row>
    <row r="40">
      <c r="A40" s="8" t="inlineStr">
        <is>
          <t>Form 990-EZ Parts I &amp; II</t>
        </is>
      </c>
      <c r="B40" s="8" t="inlineStr">
        <is>
          <t>D20</t>
        </is>
      </c>
      <c r="C40" s="8" t="inlineStr">
        <is>
          <t>18. Excess or (deficit) for the year</t>
        </is>
      </c>
      <c r="D40" s="8" t="inlineStr">
        <is>
          <t>Part I line 18</t>
        </is>
      </c>
      <c r="E40" s="8" t="inlineStr">
        <is>
          <t>part_i_revenue_expenses.excess_or_deficit</t>
        </is>
      </c>
      <c r="F40" s="8" t="inlineStr">
        <is>
          <t>high</t>
        </is>
      </c>
      <c r="G40" s="9" t="n">
        <v>55889</v>
      </c>
    </row>
    <row r="41">
      <c r="A41" s="8" t="inlineStr">
        <is>
          <t>Form 990-EZ Parts I &amp; II</t>
        </is>
      </c>
      <c r="B41" s="8" t="inlineStr">
        <is>
          <t>B24</t>
        </is>
      </c>
      <c r="C41" s="8" t="inlineStr">
        <is>
          <t>22. Cash, savings, and investments</t>
        </is>
      </c>
      <c r="D41" s="8" t="inlineStr">
        <is>
          <t>Part II line 22 col B</t>
        </is>
      </c>
      <c r="E41" s="8" t="inlineStr">
        <is>
          <t>part_ii_balance_sheet.cash_savings_investments_eoy</t>
        </is>
      </c>
      <c r="F41" s="8" t="inlineStr">
        <is>
          <t>high</t>
        </is>
      </c>
      <c r="G41" s="9" t="n">
        <v>291567</v>
      </c>
    </row>
    <row r="42">
      <c r="A42" s="8" t="inlineStr">
        <is>
          <t>Form 990-EZ Parts I &amp; II</t>
        </is>
      </c>
      <c r="B42" s="8" t="inlineStr">
        <is>
          <t>C24</t>
        </is>
      </c>
      <c r="C42" s="8" t="inlineStr">
        <is>
          <t>22. Cash, savings, and investments</t>
        </is>
      </c>
      <c r="D42" s="8" t="inlineStr">
        <is>
          <t>Part II line 22 col B</t>
        </is>
      </c>
      <c r="E42" s="8" t="inlineStr">
        <is>
          <t>part_ii_balance_sheet.cash_savings_investments_eoy</t>
        </is>
      </c>
      <c r="F42" s="8" t="inlineStr">
        <is>
          <t>high</t>
        </is>
      </c>
      <c r="G42" s="9" t="n">
        <v>324487</v>
      </c>
    </row>
    <row r="43">
      <c r="A43" s="8" t="inlineStr">
        <is>
          <t>Form 990-EZ Parts I &amp; II</t>
        </is>
      </c>
      <c r="B43" s="8" t="inlineStr">
        <is>
          <t>D24</t>
        </is>
      </c>
      <c r="C43" s="8" t="inlineStr">
        <is>
          <t>22. Cash, savings, and investments</t>
        </is>
      </c>
      <c r="D43" s="8" t="inlineStr">
        <is>
          <t>Part II line 22 col B</t>
        </is>
      </c>
      <c r="E43" s="8" t="inlineStr">
        <is>
          <t>part_ii_balance_sheet.cash_savings_investments_eoy</t>
        </is>
      </c>
      <c r="F43" s="8" t="inlineStr">
        <is>
          <t>high</t>
        </is>
      </c>
      <c r="G43" s="9" t="n">
        <v>371617</v>
      </c>
    </row>
    <row r="44">
      <c r="A44" s="8" t="inlineStr">
        <is>
          <t>Form 990-EZ Parts I &amp; II</t>
        </is>
      </c>
      <c r="B44" s="8" t="inlineStr">
        <is>
          <t>B25</t>
        </is>
      </c>
      <c r="C44" s="8" t="inlineStr">
        <is>
          <t>24. Other assets</t>
        </is>
      </c>
      <c r="D44" s="8" t="inlineStr">
        <is>
          <t>Part II line 24 col B</t>
        </is>
      </c>
      <c r="E44" s="8" t="inlineStr">
        <is>
          <t>part_ii_balance_sheet.other_assets_eoy</t>
        </is>
      </c>
      <c r="F44" s="8" t="inlineStr">
        <is>
          <t>high</t>
        </is>
      </c>
      <c r="G44" s="9" t="n">
        <v>22549</v>
      </c>
    </row>
    <row r="45">
      <c r="A45" s="8" t="inlineStr">
        <is>
          <t>Form 990-EZ Parts I &amp; II</t>
        </is>
      </c>
      <c r="B45" s="8" t="inlineStr">
        <is>
          <t>C25</t>
        </is>
      </c>
      <c r="C45" s="8" t="inlineStr">
        <is>
          <t>24. Other assets</t>
        </is>
      </c>
      <c r="D45" s="8" t="inlineStr">
        <is>
          <t>Part II line 24 col B</t>
        </is>
      </c>
      <c r="E45" s="8" t="inlineStr">
        <is>
          <t>part_ii_balance_sheet.other_assets_eoy</t>
        </is>
      </c>
      <c r="F45" s="8" t="inlineStr">
        <is>
          <t>high</t>
        </is>
      </c>
      <c r="G45" s="9" t="n">
        <v>27663</v>
      </c>
    </row>
    <row r="46">
      <c r="A46" s="8" t="inlineStr">
        <is>
          <t>Form 990-EZ Parts I &amp; II</t>
        </is>
      </c>
      <c r="B46" s="8" t="inlineStr">
        <is>
          <t>D25</t>
        </is>
      </c>
      <c r="C46" s="8" t="inlineStr">
        <is>
          <t>24. Other assets</t>
        </is>
      </c>
      <c r="D46" s="8" t="inlineStr">
        <is>
          <t>Part II line 24 col B</t>
        </is>
      </c>
      <c r="E46" s="8" t="inlineStr">
        <is>
          <t>part_ii_balance_sheet.other_assets_eoy</t>
        </is>
      </c>
      <c r="F46" s="8" t="inlineStr">
        <is>
          <t>high</t>
        </is>
      </c>
      <c r="G46" s="9" t="n">
        <v>14456</v>
      </c>
    </row>
    <row r="47">
      <c r="A47" s="8" t="inlineStr">
        <is>
          <t>Form 990-EZ Parts I &amp; II</t>
        </is>
      </c>
      <c r="B47" s="8" t="inlineStr">
        <is>
          <t>B27</t>
        </is>
      </c>
      <c r="C47" s="8" t="inlineStr">
        <is>
          <t>26. Total liabilities</t>
        </is>
      </c>
      <c r="D47" s="8" t="inlineStr">
        <is>
          <t>Part II line 26 col B</t>
        </is>
      </c>
      <c r="E47" s="8" t="inlineStr">
        <is>
          <t>part_ii_balance_sheet.total_liabilities_eoy</t>
        </is>
      </c>
      <c r="F47" s="8" t="inlineStr">
        <is>
          <t>high</t>
        </is>
      </c>
      <c r="G47" s="9" t="n">
        <v>8088</v>
      </c>
    </row>
    <row r="48">
      <c r="A48" s="8" t="inlineStr">
        <is>
          <t>Form 990-EZ Parts I &amp; II</t>
        </is>
      </c>
      <c r="B48" s="8" t="inlineStr">
        <is>
          <t>C27</t>
        </is>
      </c>
      <c r="C48" s="8" t="inlineStr">
        <is>
          <t>26. Total liabilities</t>
        </is>
      </c>
      <c r="D48" s="8" t="inlineStr">
        <is>
          <t>Part II line 26 col B</t>
        </is>
      </c>
      <c r="E48" s="8" t="inlineStr">
        <is>
          <t>part_ii_balance_sheet.total_liabilities_eoy</t>
        </is>
      </c>
      <c r="F48" s="8" t="inlineStr">
        <is>
          <t>high</t>
        </is>
      </c>
      <c r="G48" s="9" t="n">
        <v>6975</v>
      </c>
    </row>
    <row r="49">
      <c r="A49" s="8" t="inlineStr">
        <is>
          <t>Form 990-EZ Parts I &amp; II</t>
        </is>
      </c>
      <c r="B49" s="8" t="inlineStr">
        <is>
          <t>D27</t>
        </is>
      </c>
      <c r="C49" s="8" t="inlineStr">
        <is>
          <t>26. Total liabilities</t>
        </is>
      </c>
      <c r="D49" s="8" t="inlineStr">
        <is>
          <t>Part II line 26 col B</t>
        </is>
      </c>
      <c r="E49" s="8" t="inlineStr">
        <is>
          <t>part_ii_balance_sheet.total_liabilities_eoy</t>
        </is>
      </c>
      <c r="F49" s="8" t="inlineStr">
        <is>
          <t>high</t>
        </is>
      </c>
      <c r="G49" s="9" t="n">
        <v>3255</v>
      </c>
    </row>
    <row r="50">
      <c r="A50" s="8" t="inlineStr">
        <is>
          <t>Form 990-EZ Parts I &amp; II</t>
        </is>
      </c>
      <c r="B50" s="8" t="inlineStr">
        <is>
          <t>B28</t>
        </is>
      </c>
      <c r="C50" s="8" t="inlineStr">
        <is>
          <t>27. Net assets or fund balances</t>
        </is>
      </c>
      <c r="D50" s="8" t="inlineStr">
        <is>
          <t>Part II line 27 col B</t>
        </is>
      </c>
      <c r="E50" s="8" t="inlineStr">
        <is>
          <t>part_ii_balance_sheet.net_assets_eoy</t>
        </is>
      </c>
      <c r="F50" s="8" t="inlineStr">
        <is>
          <t>high</t>
        </is>
      </c>
      <c r="G50" s="9" t="n">
        <v>306028</v>
      </c>
    </row>
    <row r="51">
      <c r="A51" s="8" t="inlineStr">
        <is>
          <t>Form 990-EZ Parts I &amp; II</t>
        </is>
      </c>
      <c r="B51" s="8" t="inlineStr">
        <is>
          <t>C28</t>
        </is>
      </c>
      <c r="C51" s="8" t="inlineStr">
        <is>
          <t>27. Net assets or fund balances</t>
        </is>
      </c>
      <c r="D51" s="8" t="inlineStr">
        <is>
          <t>Part II line 27 col B</t>
        </is>
      </c>
      <c r="E51" s="8" t="inlineStr">
        <is>
          <t>part_ii_balance_sheet.net_assets_eoy</t>
        </is>
      </c>
      <c r="F51" s="8" t="inlineStr">
        <is>
          <t>high</t>
        </is>
      </c>
      <c r="G51" s="9" t="n">
        <v>345175</v>
      </c>
    </row>
    <row r="52">
      <c r="A52" s="8" t="inlineStr">
        <is>
          <t>Form 990-EZ Parts I &amp; II</t>
        </is>
      </c>
      <c r="B52" s="8" t="inlineStr">
        <is>
          <t>D28</t>
        </is>
      </c>
      <c r="C52" s="8" t="inlineStr">
        <is>
          <t>27. Net assets or fund balances</t>
        </is>
      </c>
      <c r="D52" s="8" t="inlineStr">
        <is>
          <t>Part II line 27 col B</t>
        </is>
      </c>
      <c r="E52" s="8" t="inlineStr">
        <is>
          <t>part_ii_balance_sheet.net_assets_eoy</t>
        </is>
      </c>
      <c r="F52" s="8" t="inlineStr">
        <is>
          <t>high</t>
        </is>
      </c>
      <c r="G52" s="9" t="n">
        <v>382818</v>
      </c>
    </row>
    <row r="54">
      <c r="A54" s="25" t="inlineStr">
        <is>
          <t>C. Tie-out checks (filed vs computed; any nonzero variance is flagged red)</t>
        </is>
      </c>
      <c r="B54" s="7" t="n"/>
      <c r="C54" s="7" t="n"/>
      <c r="D54" s="7" t="n"/>
      <c r="E54" s="7" t="n"/>
      <c r="F54" s="7" t="n"/>
      <c r="G54" s="7" t="n"/>
      <c r="H54" s="7" t="n"/>
      <c r="I54" s="7" t="n"/>
      <c r="J54" s="7" t="n"/>
      <c r="K54" s="7" t="n"/>
    </row>
    <row r="55">
      <c r="A55" s="5" t="inlineStr">
        <is>
          <t>Tab</t>
        </is>
      </c>
      <c r="B55" s="5" t="inlineStr">
        <is>
          <t>Check</t>
        </is>
      </c>
      <c r="C55" s="5" t="inlineStr">
        <is>
          <t>Fiscal year</t>
        </is>
      </c>
      <c r="D55" s="5" t="inlineStr">
        <is>
          <t>Filed</t>
        </is>
      </c>
      <c r="E55" s="5" t="inlineStr">
        <is>
          <t>Computed</t>
        </is>
      </c>
      <c r="F55" s="5" t="inlineStr">
        <is>
          <t>Variance (computed - filed)</t>
        </is>
      </c>
    </row>
    <row r="56">
      <c r="A56" s="26" t="inlineStr">
        <is>
          <t>Form 990-EZ Parts I &amp; II</t>
        </is>
      </c>
      <c r="B56" s="26" t="inlineStr">
        <is>
          <t>17. Total expenses</t>
        </is>
      </c>
      <c r="C56" s="26" t="inlineStr">
        <is>
          <t>FY2022</t>
        </is>
      </c>
      <c r="D56" s="9" t="n">
        <v>91784</v>
      </c>
      <c r="E56" s="9">
        <f>'Form 990-EZ Parts I &amp; II'!B16</f>
        <v/>
      </c>
      <c r="F56" s="9">
        <f>E56-D56</f>
        <v/>
      </c>
    </row>
    <row r="57">
      <c r="A57" s="26" t="inlineStr">
        <is>
          <t>Form 990-EZ Parts I &amp; II</t>
        </is>
      </c>
      <c r="B57" s="26" t="inlineStr">
        <is>
          <t>17. Total expenses</t>
        </is>
      </c>
      <c r="C57" s="26" t="inlineStr">
        <is>
          <t>FY2024</t>
        </is>
      </c>
      <c r="D57" s="9" t="n">
        <v>105064</v>
      </c>
      <c r="E57" s="9">
        <f>'Form 990-EZ Parts I &amp; II'!C16</f>
        <v/>
      </c>
      <c r="F57" s="9">
        <f>E57-D57</f>
        <v/>
      </c>
    </row>
    <row r="58">
      <c r="A58" s="26" t="inlineStr">
        <is>
          <t>Form 990-EZ Parts I &amp; II</t>
        </is>
      </c>
      <c r="B58" s="26" t="inlineStr">
        <is>
          <t>17. Total expenses</t>
        </is>
      </c>
      <c r="C58" s="26" t="inlineStr">
        <is>
          <t>FY2025</t>
        </is>
      </c>
      <c r="D58" s="9" t="n">
        <v>122933</v>
      </c>
      <c r="E58" s="9">
        <f>'Form 990-EZ Parts I &amp; II'!D16</f>
        <v/>
      </c>
      <c r="F58" s="9">
        <f>E58-D58</f>
        <v/>
      </c>
    </row>
    <row r="59">
      <c r="A59" s="26" t="inlineStr">
        <is>
          <t>Form 990-EZ Parts I &amp; II</t>
        </is>
      </c>
      <c r="B59" s="26" t="inlineStr">
        <is>
          <t>21. Net assets or fund balances, end of year</t>
        </is>
      </c>
      <c r="C59" s="26" t="inlineStr">
        <is>
          <t>FY2022</t>
        </is>
      </c>
      <c r="D59" s="9" t="n">
        <v>314116</v>
      </c>
      <c r="E59" s="9">
        <f>'Form 990-EZ Parts I &amp; II'!B21</f>
        <v/>
      </c>
      <c r="F59" s="9">
        <f>E59-D59</f>
        <v/>
      </c>
    </row>
    <row r="60">
      <c r="A60" s="26" t="inlineStr">
        <is>
          <t>Form 990-EZ Parts I &amp; II</t>
        </is>
      </c>
      <c r="B60" s="26" t="inlineStr">
        <is>
          <t>21. Net assets or fund balances, end of year</t>
        </is>
      </c>
      <c r="C60" s="26" t="inlineStr">
        <is>
          <t>FY2024</t>
        </is>
      </c>
      <c r="D60" s="9" t="n">
        <v>345175</v>
      </c>
      <c r="E60" s="9">
        <f>'Form 990-EZ Parts I &amp; II'!C21</f>
        <v/>
      </c>
      <c r="F60" s="9">
        <f>E60-D60</f>
        <v/>
      </c>
    </row>
    <row r="61">
      <c r="A61" s="26" t="inlineStr">
        <is>
          <t>Form 990-EZ Parts I &amp; II</t>
        </is>
      </c>
      <c r="B61" s="26" t="inlineStr">
        <is>
          <t>21. Net assets or fund balances, end of year</t>
        </is>
      </c>
      <c r="C61" s="26" t="inlineStr">
        <is>
          <t>FY2025</t>
        </is>
      </c>
      <c r="D61" s="9" t="n">
        <v>382818</v>
      </c>
      <c r="E61" s="9">
        <f>'Form 990-EZ Parts I &amp; II'!D21</f>
        <v/>
      </c>
      <c r="F61" s="9">
        <f>E61-D61</f>
        <v/>
      </c>
    </row>
    <row r="62">
      <c r="A62" s="26" t="inlineStr">
        <is>
          <t>Form 990-EZ Parts I &amp; II</t>
        </is>
      </c>
      <c r="B62" s="26" t="inlineStr">
        <is>
          <t>25. Total assets</t>
        </is>
      </c>
      <c r="C62" s="26" t="inlineStr">
        <is>
          <t>FY2022</t>
        </is>
      </c>
      <c r="D62" s="9" t="n">
        <v>314116</v>
      </c>
      <c r="E62" s="9">
        <f>'Form 990-EZ Parts I &amp; II'!B26</f>
        <v/>
      </c>
      <c r="F62" s="9">
        <f>E62-D62</f>
        <v/>
      </c>
    </row>
    <row r="63">
      <c r="A63" s="26" t="inlineStr">
        <is>
          <t>Form 990-EZ Parts I &amp; II</t>
        </is>
      </c>
      <c r="B63" s="26" t="inlineStr">
        <is>
          <t>25. Total assets</t>
        </is>
      </c>
      <c r="C63" s="26" t="inlineStr">
        <is>
          <t>FY2024</t>
        </is>
      </c>
      <c r="D63" s="9" t="n">
        <v>352150</v>
      </c>
      <c r="E63" s="9">
        <f>'Form 990-EZ Parts I &amp; II'!C26</f>
        <v/>
      </c>
      <c r="F63" s="9">
        <f>E63-D63</f>
        <v/>
      </c>
    </row>
    <row r="64">
      <c r="A64" s="26" t="inlineStr">
        <is>
          <t>Form 990-EZ Parts I &amp; II</t>
        </is>
      </c>
      <c r="B64" s="26" t="inlineStr">
        <is>
          <t>25. Total assets</t>
        </is>
      </c>
      <c r="C64" s="26" t="inlineStr">
        <is>
          <t>FY2025</t>
        </is>
      </c>
      <c r="D64" s="9" t="n">
        <v>386073</v>
      </c>
      <c r="E64" s="9">
        <f>'Form 990-EZ Parts I &amp; II'!D26</f>
        <v/>
      </c>
      <c r="F64" s="9">
        <f>E64-D64</f>
        <v/>
      </c>
    </row>
    <row r="65">
      <c r="A65" s="26" t="inlineStr">
        <is>
          <t>Form 990-EZ Parts I &amp; II</t>
        </is>
      </c>
      <c r="B65" s="26" t="inlineStr">
        <is>
          <t>Balance sheet identity: line 25 = line 26 + line 27 (EOY)</t>
        </is>
      </c>
      <c r="C65" s="26" t="inlineStr">
        <is>
          <t>FY2022</t>
        </is>
      </c>
      <c r="D65" s="9">
        <f>'Form 990-EZ Parts I &amp; II'!B26</f>
        <v/>
      </c>
      <c r="E65" s="9">
        <f>SUM('Form 990-EZ Parts I &amp; II'!B27,'Form 990-EZ Parts I &amp; II'!B28)</f>
        <v/>
      </c>
      <c r="F65" s="9">
        <f>E65-D65</f>
        <v/>
      </c>
    </row>
    <row r="66">
      <c r="A66" s="26" t="inlineStr">
        <is>
          <t>Form 990-EZ Parts I &amp; II</t>
        </is>
      </c>
      <c r="B66" s="26" t="inlineStr">
        <is>
          <t>Balance sheet identity: line 25 = line 26 + line 27 (EOY)</t>
        </is>
      </c>
      <c r="C66" s="26" t="inlineStr">
        <is>
          <t>FY2024</t>
        </is>
      </c>
      <c r="D66" s="9">
        <f>'Form 990-EZ Parts I &amp; II'!C26</f>
        <v/>
      </c>
      <c r="E66" s="9">
        <f>SUM('Form 990-EZ Parts I &amp; II'!C27,'Form 990-EZ Parts I &amp; II'!C28)</f>
        <v/>
      </c>
      <c r="F66" s="9">
        <f>E66-D66</f>
        <v/>
      </c>
    </row>
    <row r="67">
      <c r="A67" s="26" t="inlineStr">
        <is>
          <t>Form 990-EZ Parts I &amp; II</t>
        </is>
      </c>
      <c r="B67" s="26" t="inlineStr">
        <is>
          <t>Balance sheet identity: line 25 = line 26 + line 27 (EOY)</t>
        </is>
      </c>
      <c r="C67" s="26" t="inlineStr">
        <is>
          <t>FY2025</t>
        </is>
      </c>
      <c r="D67" s="9">
        <f>'Form 990-EZ Parts I &amp; II'!D26</f>
        <v/>
      </c>
      <c r="E67" s="9">
        <f>SUM('Form 990-EZ Parts I &amp; II'!D27,'Form 990-EZ Parts I &amp; II'!D28)</f>
        <v/>
      </c>
      <c r="F67" s="9">
        <f>E67-D67</f>
        <v/>
      </c>
    </row>
    <row r="69">
      <c r="A69" s="25" t="inlineStr">
        <is>
          <t>D. Preparer / auditor trail (one row per fiscal year, as filed)</t>
        </is>
      </c>
      <c r="B69" s="7" t="n"/>
      <c r="C69" s="7" t="n"/>
      <c r="D69" s="7" t="n"/>
      <c r="E69" s="7" t="n"/>
      <c r="F69" s="7" t="n"/>
      <c r="G69" s="7" t="n"/>
      <c r="H69" s="7" t="n"/>
      <c r="I69" s="7" t="n"/>
      <c r="J69" s="7" t="n"/>
      <c r="K69" s="7" t="n"/>
    </row>
    <row r="70">
      <c r="A70" s="5" t="inlineStr">
        <is>
          <t>Fiscal year</t>
        </is>
      </c>
      <c r="B70" s="5" t="inlineStr">
        <is>
          <t>Paid preparer</t>
        </is>
      </c>
      <c r="C70" s="5" t="inlineStr">
        <is>
          <t>Preparer firm</t>
        </is>
      </c>
      <c r="D70" s="5" t="inlineStr">
        <is>
          <t>Independent auditor</t>
        </is>
      </c>
      <c r="E70" s="5" t="inlineStr">
        <is>
          <t>Citation</t>
        </is>
      </c>
    </row>
    <row r="71" ht="42" customHeight="1">
      <c r="A71" s="22" t="inlineStr">
        <is>
          <t>FY2022</t>
        </is>
      </c>
      <c r="B71" s="8" t="inlineStr">
        <is>
          <t>SUSAN JONES</t>
        </is>
      </c>
      <c r="C71" s="8" t="inlineStr">
        <is>
          <t>SUSAN JONES CPA</t>
        </is>
      </c>
      <c r="D71" s="27" t="inlineStr">
        <is>
          <t>not reported</t>
        </is>
      </c>
      <c r="E71" s="17" t="inlineStr">
        <is>
          <t>Form 990 Return Header, Paid Preparer block (return_header.preparer_person_name / preparer_firm_name); auditor: Part XII line 2 reports audited financial statements but does not name the firm.</t>
        </is>
      </c>
    </row>
    <row r="72" ht="42" customHeight="1">
      <c r="A72" s="22" t="inlineStr">
        <is>
          <t>FY2024</t>
        </is>
      </c>
      <c r="B72" s="8" t="inlineStr">
        <is>
          <t>SUSAN JONES</t>
        </is>
      </c>
      <c r="C72" s="8" t="inlineStr">
        <is>
          <t>SUSAN JONES CPA</t>
        </is>
      </c>
      <c r="D72" s="27" t="inlineStr">
        <is>
          <t>not reported</t>
        </is>
      </c>
      <c r="E72" s="17" t="inlineStr">
        <is>
          <t>Form 990 Return Header, Paid Preparer block (return_header.preparer_person_name / preparer_firm_name); auditor: Part XII line 2 reports audited financial statements but does not name the firm.</t>
        </is>
      </c>
    </row>
    <row r="73" ht="42" customHeight="1">
      <c r="A73" s="22" t="inlineStr">
        <is>
          <t>FY2025</t>
        </is>
      </c>
      <c r="B73" s="8" t="inlineStr">
        <is>
          <t>SUSAN JONES CPA</t>
        </is>
      </c>
      <c r="C73" s="8" t="inlineStr">
        <is>
          <t>SUSAN JONES CPA</t>
        </is>
      </c>
      <c r="D73" s="27" t="inlineStr">
        <is>
          <t>not reported</t>
        </is>
      </c>
      <c r="E73" s="17" t="inlineStr">
        <is>
          <t>Form 990 Return Header, Paid Preparer block (return_header.preparer_person_name / preparer_firm_name); auditor: Part XII line 2 reports audited financial statements but does not name the firm.</t>
        </is>
      </c>
    </row>
    <row r="75" ht="42" customHeight="1">
      <c r="A7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75:K75"/>
  </mergeCells>
  <conditionalFormatting sqref="F56:F67">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