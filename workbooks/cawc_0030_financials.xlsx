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comments/comment1.xml" ContentType="application/vnd.openxmlformats-officedocument.spreadsheetml.comments+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Notes" sheetId="2" state="visible" r:id="rId2"/>
    <sheet name="Financial Statements" sheetId="3" state="visible" r:id="rId3"/>
    <sheet name="Balance Sheet" sheetId="4" state="visible" r:id="rId4"/>
    <sheet name="Officers &amp; contractors" sheetId="5" state="visible" r:id="rId5"/>
    <sheet name="Revenue (detail)" sheetId="6" state="visible" r:id="rId6"/>
    <sheet name="Operating expenses (detail)" sheetId="7" state="visible" r:id="rId7"/>
    <sheet name="Balance sheet (detail)" sheetId="8" state="visible" r:id="rId8"/>
    <sheet name="Net-assets reconciliation" sheetId="9" state="visible" r:id="rId9"/>
    <sheet name="Cash flow proxies" sheetId="10" state="visible" r:id="rId10"/>
    <sheet name="Ratios" sheetId="11" state="visible" r:id="rId11"/>
    <sheet name="Unit economics" sheetId="12" state="visible" r:id="rId12"/>
    <sheet name="Rate structure" sheetId="13" state="visible" r:id="rId13"/>
    <sheet name="eAR revenue &amp; expenses" sheetId="14" state="visible" r:id="rId14"/>
    <sheet name="Denominators &amp; alignment" sheetId="15" state="visible" r:id="rId15"/>
    <sheet name="Governance evidence" sheetId="16" state="visible" r:id="rId16"/>
    <sheet name="Operational metrics" sheetId="17" state="visible" r:id="rId17"/>
    <sheet name="Supply &amp; weather" sheetId="18" state="visible" r:id="rId18"/>
    <sheet name="How this was built" sheetId="19" state="visible" r:id="rId19"/>
    <sheet name="Sources &amp; audit" sheetId="20" state="visible" r:id="rId20"/>
    <sheet name="Provenance" sheetId="21" state="visible" r:id="rId21"/>
  </sheets>
  <definedNames/>
  <calcPr calcId="124519" fullCalcOnLoad="1"/>
</workbook>
</file>

<file path=xl/styles.xml><?xml version="1.0" encoding="utf-8"?>
<styleSheet xmlns="http://schemas.openxmlformats.org/spreadsheetml/2006/main">
  <numFmts count="6">
    <numFmt numFmtId="164" formatCode="#,##0;(#,##0)"/>
    <numFmt numFmtId="165" formatCode="0.0%"/>
    <numFmt numFmtId="166" formatCode="$#,##0.00"/>
    <numFmt numFmtId="167" formatCode="$#,##0.00###"/>
    <numFmt numFmtId="168" formatCode="#,##0.####"/>
    <numFmt numFmtId="169" formatCode="#,##0.0"/>
  </numFmts>
  <fonts count="12">
    <font>
      <name val="Calibri"/>
      <family val="2"/>
      <color theme="1"/>
      <sz val="11"/>
      <scheme val="minor"/>
    </font>
    <font>
      <name val="Calibri"/>
      <b val="1"/>
      <color rgb="001F3864"/>
      <sz val="16"/>
    </font>
    <font>
      <name val="Calibri"/>
      <i val="1"/>
      <color rgb="00595959"/>
      <sz val="10"/>
    </font>
    <font>
      <name val="Calibri"/>
      <i val="1"/>
      <color rgb="00808080"/>
      <sz val="9"/>
    </font>
    <font>
      <name val="Calibri"/>
      <b val="1"/>
      <color rgb="00FFFFFF"/>
      <sz val="10"/>
    </font>
    <font>
      <name val="Calibri"/>
      <b val="1"/>
      <color rgb="00FFFFFF"/>
      <sz val="11"/>
    </font>
    <font>
      <name val="Calibri"/>
      <sz val="10"/>
    </font>
    <font>
      <name val="Calibri"/>
      <b val="1"/>
      <sz val="10"/>
    </font>
    <font>
      <name val="Calibri"/>
      <i val="1"/>
      <color rgb="00A6A6A6"/>
      <sz val="10"/>
    </font>
    <font>
      <name val="Calibri"/>
      <b val="1"/>
      <color rgb="001F3864"/>
      <sz val="10"/>
    </font>
    <font>
      <name val="Calibri"/>
      <b val="1"/>
      <color rgb="00833C00"/>
      <sz val="10"/>
    </font>
    <font>
      <name val="Calibri"/>
      <b val="1"/>
      <color rgb="007F6000"/>
      <sz val="10"/>
    </font>
  </fonts>
  <fills count="8">
    <fill>
      <patternFill/>
    </fill>
    <fill>
      <patternFill patternType="gray125"/>
    </fill>
    <fill>
      <patternFill patternType="solid">
        <fgColor rgb="002E5496"/>
      </patternFill>
    </fill>
    <fill>
      <patternFill patternType="solid">
        <fgColor rgb="001F3864"/>
      </patternFill>
    </fill>
    <fill>
      <patternFill patternType="solid">
        <fgColor rgb="00D9E1F2"/>
      </patternFill>
    </fill>
    <fill>
      <patternFill patternType="solid">
        <fgColor rgb="00E2EFDA"/>
      </patternFill>
    </fill>
    <fill>
      <patternFill patternType="solid">
        <fgColor rgb="00FCE4D6"/>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50">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horizontal="left" vertical="top" wrapText="1"/>
    </xf>
    <xf numFmtId="0" fontId="4" fillId="2" borderId="1" applyAlignment="1" pivotButton="0" quotePrefix="0" xfId="0">
      <alignment horizontal="left" vertical="center"/>
    </xf>
    <xf numFmtId="0" fontId="4" fillId="2" borderId="1" applyAlignment="1" pivotButton="0" quotePrefix="0" xfId="0">
      <alignment horizontal="center" vertical="center"/>
    </xf>
    <xf numFmtId="0" fontId="5" fillId="3" borderId="0" pivotButton="0" quotePrefix="0" xfId="0"/>
    <xf numFmtId="0" fontId="0" fillId="3" borderId="0" pivotButton="0" quotePrefix="0" xfId="0"/>
    <xf numFmtId="0" fontId="6" fillId="0" borderId="1" applyAlignment="1" pivotButton="0" quotePrefix="0" xfId="0">
      <alignment horizontal="left" vertical="center"/>
    </xf>
    <xf numFmtId="164" fontId="6" fillId="0" borderId="1" applyAlignment="1" pivotButton="0" quotePrefix="0" xfId="0">
      <alignment horizontal="right"/>
    </xf>
    <xf numFmtId="0" fontId="7" fillId="4" borderId="1" applyAlignment="1" pivotButton="0" quotePrefix="0" xfId="0">
      <alignment horizontal="left" vertical="center"/>
    </xf>
    <xf numFmtId="164" fontId="7" fillId="4" borderId="1" applyAlignment="1" pivotButton="0" quotePrefix="0" xfId="0">
      <alignment horizontal="right"/>
    </xf>
    <xf numFmtId="165" fontId="6" fillId="0" borderId="1" applyAlignment="1" pivotButton="0" quotePrefix="0" xfId="0">
      <alignment horizontal="right"/>
    </xf>
    <xf numFmtId="0" fontId="3" fillId="0" borderId="0" pivotButton="0" quotePrefix="0" xfId="0"/>
    <xf numFmtId="0" fontId="8" fillId="0" borderId="1" applyAlignment="1" pivotButton="0" quotePrefix="0" xfId="0">
      <alignment horizontal="right"/>
    </xf>
    <xf numFmtId="0" fontId="9" fillId="5" borderId="1" applyAlignment="1" pivotButton="0" quotePrefix="0" xfId="0">
      <alignment horizontal="left" vertical="center"/>
    </xf>
    <xf numFmtId="164" fontId="9" fillId="5" borderId="1" applyAlignment="1" pivotButton="0" quotePrefix="0" xfId="0">
      <alignment horizontal="right"/>
    </xf>
    <xf numFmtId="165" fontId="9" fillId="5" borderId="1" applyAlignment="1" pivotButton="0" quotePrefix="0" xfId="0">
      <alignment horizontal="right"/>
    </xf>
    <xf numFmtId="0" fontId="10" fillId="6" borderId="1" applyAlignment="1" pivotButton="0" quotePrefix="0" xfId="0">
      <alignment horizontal="left" vertical="center"/>
    </xf>
    <xf numFmtId="164" fontId="10" fillId="6" borderId="1" applyAlignment="1" pivotButton="0" quotePrefix="0" xfId="0">
      <alignment horizontal="right"/>
    </xf>
    <xf numFmtId="2" fontId="6" fillId="0" borderId="1" applyAlignment="1" pivotButton="0" quotePrefix="0" xfId="0">
      <alignment horizontal="right"/>
    </xf>
    <xf numFmtId="0" fontId="6" fillId="0" borderId="1" applyAlignment="1" pivotButton="0" quotePrefix="0" xfId="0">
      <alignment horizontal="left" vertical="top"/>
    </xf>
    <xf numFmtId="3" fontId="6" fillId="0" borderId="1" applyAlignment="1" pivotButton="0" quotePrefix="0" xfId="0">
      <alignment horizontal="right"/>
    </xf>
    <xf numFmtId="0" fontId="3" fillId="0" borderId="1" applyAlignment="1" pivotButton="0" quotePrefix="0" xfId="0">
      <alignment horizontal="left" vertical="top" wrapText="1"/>
    </xf>
    <xf numFmtId="0" fontId="6" fillId="0" borderId="1" applyAlignment="1" pivotButton="0" quotePrefix="0" xfId="0">
      <alignment horizontal="left" vertical="top" wrapText="1"/>
    </xf>
    <xf numFmtId="0" fontId="9" fillId="0" borderId="1" applyAlignment="1" pivotButton="0" quotePrefix="0" xfId="0">
      <alignment horizontal="center" vertical="center"/>
    </xf>
    <xf numFmtId="166" fontId="6" fillId="0" borderId="1" applyAlignment="1" pivotButton="0" quotePrefix="0" xfId="0">
      <alignment horizontal="right"/>
    </xf>
    <xf numFmtId="10" fontId="6" fillId="0" borderId="1" applyAlignment="1" pivotButton="0" quotePrefix="0" xfId="0">
      <alignment horizontal="right"/>
    </xf>
    <xf numFmtId="0" fontId="6" fillId="0" borderId="1" applyAlignment="1" pivotButton="0" quotePrefix="0" xfId="0">
      <alignment horizontal="right"/>
    </xf>
    <xf numFmtId="0" fontId="2" fillId="0" borderId="0" applyAlignment="1" pivotButton="0" quotePrefix="0" xfId="0">
      <alignment horizontal="left" vertical="top" wrapText="1"/>
    </xf>
    <xf numFmtId="0" fontId="6" fillId="0" borderId="0" applyAlignment="1" pivotButton="0" quotePrefix="0" xfId="0">
      <alignment horizontal="left" vertical="top" wrapText="1"/>
    </xf>
    <xf numFmtId="0" fontId="0" fillId="2" borderId="1" pivotButton="0" quotePrefix="0" xfId="0"/>
    <xf numFmtId="4" fontId="11" fillId="7" borderId="1" applyAlignment="1" pivotButton="0" quotePrefix="0" xfId="0">
      <alignment horizontal="right"/>
    </xf>
    <xf numFmtId="1" fontId="11" fillId="7" borderId="1" applyAlignment="1" pivotButton="0" quotePrefix="0" xfId="0">
      <alignment horizontal="right"/>
    </xf>
    <xf numFmtId="0" fontId="4" fillId="2" borderId="1" applyAlignment="1" pivotButton="0" quotePrefix="0" xfId="0">
      <alignment horizontal="right"/>
    </xf>
    <xf numFmtId="167" fontId="6" fillId="0" borderId="1" applyAlignment="1" pivotButton="0" quotePrefix="0" xfId="0">
      <alignment horizontal="right"/>
    </xf>
    <xf numFmtId="168" fontId="6" fillId="0" borderId="1" applyAlignment="1" pivotButton="0" quotePrefix="0" xfId="0">
      <alignment horizontal="right"/>
    </xf>
    <xf numFmtId="4" fontId="9" fillId="5" borderId="1" applyAlignment="1" pivotButton="0" quotePrefix="0" xfId="0">
      <alignment horizontal="right"/>
    </xf>
    <xf numFmtId="166" fontId="9" fillId="5" borderId="1" applyAlignment="1" pivotButton="0" quotePrefix="0" xfId="0">
      <alignment horizontal="right"/>
    </xf>
    <xf numFmtId="166" fontId="9" fillId="4" borderId="1" applyAlignment="1" pivotButton="0" quotePrefix="0" xfId="0">
      <alignment horizontal="right"/>
    </xf>
    <xf numFmtId="10" fontId="9" fillId="5" borderId="1" applyAlignment="1" pivotButton="0" quotePrefix="0" xfId="0">
      <alignment horizontal="right"/>
    </xf>
    <xf numFmtId="2" fontId="9" fillId="5" borderId="1" applyAlignment="1" pivotButton="0" quotePrefix="0" xfId="0">
      <alignment horizontal="right"/>
    </xf>
    <xf numFmtId="0" fontId="9" fillId="0" borderId="1" applyAlignment="1" pivotButton="0" quotePrefix="0" xfId="0">
      <alignment horizontal="left" vertical="center"/>
    </xf>
    <xf numFmtId="164" fontId="7" fillId="0" borderId="1" applyAlignment="1" pivotButton="0" quotePrefix="0" xfId="0">
      <alignment horizontal="right"/>
    </xf>
    <xf numFmtId="0" fontId="0" fillId="0" borderId="1" pivotButton="0" quotePrefix="0" xfId="0"/>
    <xf numFmtId="0" fontId="5" fillId="3" borderId="0" applyAlignment="1" pivotButton="0" quotePrefix="0" xfId="0">
      <alignment horizontal="left" vertical="center"/>
    </xf>
    <xf numFmtId="0" fontId="6" fillId="0" borderId="1" applyAlignment="1" pivotButton="0" quotePrefix="0" xfId="0">
      <alignment horizontal="center" vertical="center"/>
    </xf>
    <xf numFmtId="169" fontId="6" fillId="0" borderId="1" applyAlignment="1" pivotButton="0" quotePrefix="0" xfId="0">
      <alignment horizontal="right"/>
    </xf>
    <xf numFmtId="0" fontId="6" fillId="0" borderId="1" pivotButton="0" quotePrefix="0" xfId="0"/>
    <xf numFmtId="0" fontId="8" fillId="0" borderId="1" applyAlignment="1" pivotButton="0" quotePrefix="0" xfId="0">
      <alignment horizontal="left" vertical="center"/>
    </xf>
  </cellXfs>
  <cellStyles count="1">
    <cellStyle name="Normal" xfId="0" builtinId="0" hidden="0"/>
  </cellStyles>
  <dxfs count="1">
    <dxf>
      <font>
        <name val="Calibri"/>
        <b val="1"/>
        <color rgb="009C0006"/>
        <sz val="10"/>
      </font>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styles" Target="styles.xml" Id="rId22" /><Relationship Type="http://schemas.openxmlformats.org/officeDocument/2006/relationships/theme" Target="theme/theme1.xml" Id="rId23" /></Relationships>
</file>

<file path=xl/comments/comment1.xml><?xml version="1.0" encoding="utf-8"?>
<comments xmlns="http://schemas.openxmlformats.org/spreadsheetml/2006/main">
  <authors>
    <author>hydronomics</author>
  </authors>
  <commentList>
    <comment ref="B8" authorId="0" shapeId="0">
      <text>
        <t>Sacramento and San Joaquin Valley index classification</t>
      </text>
    </comment>
    <comment ref="C8" authorId="0" shapeId="0">
      <text>
        <t>Sacramento and San Joaquin Valley index classification</t>
      </text>
    </comment>
    <comment ref="D8" authorId="0" shapeId="0">
      <text>
        <t>Sacramento and San Joaquin Valley index classification</t>
      </text>
    </comment>
    <comment ref="E8" authorId="0" shapeId="0">
      <text>
        <t>Sacramento and San Joaquin Valley index classification</t>
      </text>
    </comment>
    <comment ref="F8" authorId="0" shapeId="0">
      <text>
        <t>Sacramento and San Joaquin Valley index classification</t>
      </text>
    </comment>
    <comment ref="B9" authorId="0" shapeId="0">
      <text>
        <t>peak weekly category over Jul 2019-Jun 2020 (moderate)</t>
      </text>
    </comment>
    <comment ref="C9" authorId="0" shapeId="0">
      <text>
        <t>peak weekly category over Jul 2020-Jun 2021 (exceptional)</t>
      </text>
    </comment>
    <comment ref="D9" authorId="0" shapeId="0">
      <text>
        <t>peak weekly category over Jul 2021-Jun 2022 (exceptional)</t>
      </text>
    </comment>
    <comment ref="E9" authorId="0" shapeId="0">
      <text>
        <t>peak weekly category over Jul 2022-Jun 2023 (exceptional)</t>
      </text>
    </comment>
    <comment ref="F9" authorId="0" shapeId="0">
      <text>
        <t>peak weekly category over Jul 2023-Jun 2024 (none)</t>
      </text>
    </comment>
    <comment ref="B10" authorId="0" shapeId="0">
      <text>
        <t>water-year cumulative 31.7 in / 50 in seasonal normal; statewide SWP-supply index, not local precipitation</t>
      </text>
    </comment>
    <comment ref="C10" authorId="0" shapeId="0">
      <text>
        <t>water-year cumulative 24.0 in / 50 in seasonal normal; statewide SWP-supply index, not local precipitation</t>
      </text>
    </comment>
    <comment ref="D10" authorId="0" shapeId="0">
      <text>
        <t>water-year cumulative 43.0 in / 50 in seasonal normal; statewide SWP-supply index, not local precipitation</t>
      </text>
    </comment>
    <comment ref="E10" authorId="0" shapeId="0">
      <text>
        <t>water-year cumulative 66.6 in / 50 in seasonal normal; statewide SWP-supply index, not local precipitation</t>
      </text>
    </comment>
    <comment ref="F10" authorId="0" shapeId="0">
      <text>
        <t>water-year cumulative 48.2 in / 50 in seasonal normal; statewide SWP-supply index, not local precipitation</t>
      </text>
    </comment>
    <comment ref="B11" authorId="0" shapeId="0">
      <text>
        <t>April 1 statewide Sierra snowpack, percent of average; SWP-import indicator (no per-year API)</t>
      </text>
    </comment>
    <comment ref="C11" authorId="0" shapeId="0">
      <text>
        <t>April 1 statewide Sierra snowpack, percent of average; SWP-import indicator (no per-year API)</t>
      </text>
    </comment>
    <comment ref="D11" authorId="0" shapeId="0">
      <text>
        <t>April 1 statewide Sierra snowpack, percent of average; SWP-import indicator (no per-year API)</t>
      </text>
    </comment>
    <comment ref="E11" authorId="0" shapeId="0">
      <text>
        <t>April 1 statewide Sierra snowpack, percent of average; SWP-import indicator (no per-year API)</t>
      </text>
    </comment>
    <comment ref="F11" authorId="0" shapeId="0">
      <text>
        <t>April 1 statewide Sierra snowpack, percent of average; SWP-import indicator (no per-year API)</t>
      </text>
    </comment>
    <comment ref="B12" authorId="0" shapeId="0">
      <text>
        <t>final State Water Project Table A allocation; published DWR notice (no structured API)</t>
      </text>
    </comment>
    <comment ref="C12" authorId="0" shapeId="0">
      <text>
        <t>final State Water Project Table A allocation; published DWR notice (no structured API)</t>
      </text>
    </comment>
    <comment ref="D12" authorId="0" shapeId="0">
      <text>
        <t>final State Water Project Table A allocation; published DWR notice (no structured API)</t>
      </text>
    </comment>
    <comment ref="E12" authorId="0" shapeId="0">
      <text>
        <t>final State Water Project Table A allocation; published DWR notice (no structured API)</t>
      </text>
    </comment>
    <comment ref="F12" authorId="0" shapeId="0">
      <text>
        <t>final State Water Project Table A allocation; published DWR notice (no structured API)</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8.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24"/>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32" customWidth="1" min="1" max="1"/>
    <col width="15" customWidth="1" min="2" max="2"/>
    <col width="15" customWidth="1" min="3" max="3"/>
    <col width="15" customWidth="1" min="4" max="4"/>
    <col width="15" customWidth="1" min="5" max="5"/>
    <col width="15" customWidth="1" min="6" max="6"/>
  </cols>
  <sheetData>
    <row r="1">
      <c r="A1" s="1" t="inlineStr">
        <is>
          <t>Vaughn Water Company Inc</t>
        </is>
      </c>
    </row>
    <row r="2">
      <c r="A2" s="2" t="inlineStr">
        <is>
          <t>Financial Summary - multi-year overview (USD)</t>
        </is>
      </c>
    </row>
    <row r="3">
      <c r="A3" s="2" t="inlineStr">
        <is>
          <t>Entity ID: cawc_0030   |   Fiscal year ends December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4" t="inlineStr">
        <is>
          <t>Metric</t>
        </is>
      </c>
      <c r="B8" s="5" t="inlineStr">
        <is>
          <t>FY2020</t>
        </is>
      </c>
      <c r="C8" s="5" t="inlineStr">
        <is>
          <t>FY2021</t>
        </is>
      </c>
      <c r="D8" s="5" t="inlineStr">
        <is>
          <t>FY2022</t>
        </is>
      </c>
      <c r="E8" s="5" t="inlineStr">
        <is>
          <t>FY2023</t>
        </is>
      </c>
      <c r="F8" s="5" t="inlineStr">
        <is>
          <t>FY2024</t>
        </is>
      </c>
    </row>
    <row r="9">
      <c r="A9" s="6" t="inlineStr">
        <is>
          <t>Operating results (USD)</t>
        </is>
      </c>
      <c r="B9" s="7" t="n"/>
      <c r="C9" s="7" t="n"/>
      <c r="D9" s="7" t="n"/>
      <c r="E9" s="7" t="n"/>
      <c r="F9" s="7" t="n"/>
    </row>
    <row r="10">
      <c r="A10" s="8" t="inlineStr">
        <is>
          <t xml:space="preserve">    Total revenue</t>
        </is>
      </c>
      <c r="B10" s="9" t="n">
        <v>21208146</v>
      </c>
      <c r="C10" s="9" t="n">
        <v>9299624</v>
      </c>
      <c r="D10" s="9" t="n">
        <v>9179714</v>
      </c>
      <c r="E10" s="9" t="n">
        <v>11703567</v>
      </c>
      <c r="F10" s="9" t="n">
        <v>12086327</v>
      </c>
    </row>
    <row r="11">
      <c r="A11" s="8" t="inlineStr">
        <is>
          <t xml:space="preserve">    Total expenses</t>
        </is>
      </c>
      <c r="B11" s="9" t="n">
        <v>8276666</v>
      </c>
      <c r="C11" s="9" t="n">
        <v>8469920</v>
      </c>
      <c r="D11" s="9" t="n">
        <v>9993756</v>
      </c>
      <c r="E11" s="9" t="n">
        <v>10048407</v>
      </c>
      <c r="F11" s="9" t="n">
        <v>11046499</v>
      </c>
    </row>
    <row r="12">
      <c r="A12" s="10" t="inlineStr">
        <is>
          <t xml:space="preserve">    Net income</t>
        </is>
      </c>
      <c r="B12" s="11" t="n">
        <v>12931480</v>
      </c>
      <c r="C12" s="11" t="n">
        <v>829704</v>
      </c>
      <c r="D12" s="11" t="n">
        <v>-814042</v>
      </c>
      <c r="E12" s="11" t="n">
        <v>1655160</v>
      </c>
      <c r="F12" s="11" t="n">
        <v>1039828</v>
      </c>
    </row>
    <row r="14">
      <c r="A14" s="6" t="inlineStr">
        <is>
          <t>Financial position (USD, end of year)</t>
        </is>
      </c>
      <c r="B14" s="7" t="n"/>
      <c r="C14" s="7" t="n"/>
      <c r="D14" s="7" t="n"/>
      <c r="E14" s="7" t="n"/>
      <c r="F14" s="7" t="n"/>
    </row>
    <row r="15">
      <c r="A15" s="8" t="inlineStr">
        <is>
          <t xml:space="preserve">    Total assets</t>
        </is>
      </c>
      <c r="B15" s="9" t="n">
        <v>44686700</v>
      </c>
      <c r="C15" s="9" t="n">
        <v>46118386</v>
      </c>
      <c r="D15" s="9" t="n">
        <v>45225883</v>
      </c>
      <c r="E15" s="9" t="n">
        <v>46284722</v>
      </c>
      <c r="F15" s="9" t="n">
        <v>47630829</v>
      </c>
    </row>
    <row r="16">
      <c r="A16" s="8" t="inlineStr">
        <is>
          <t xml:space="preserve">    Total liabilities</t>
        </is>
      </c>
      <c r="B16" s="9" t="n">
        <v>3015331</v>
      </c>
      <c r="C16" s="9" t="n">
        <v>2800936</v>
      </c>
      <c r="D16" s="9" t="n">
        <v>2362370</v>
      </c>
      <c r="E16" s="9" t="n">
        <v>1814666</v>
      </c>
      <c r="F16" s="9" t="n">
        <v>2648730</v>
      </c>
    </row>
    <row r="17">
      <c r="A17" s="10" t="inlineStr">
        <is>
          <t xml:space="preserve">    Net assets</t>
        </is>
      </c>
      <c r="B17" s="11" t="n">
        <v>41671369</v>
      </c>
      <c r="C17" s="11" t="n">
        <v>43317450</v>
      </c>
      <c r="D17" s="11" t="n">
        <v>42863513</v>
      </c>
      <c r="E17" s="11" t="n">
        <v>44470056</v>
      </c>
      <c r="F17" s="11" t="n">
        <v>44982099</v>
      </c>
    </row>
    <row r="19">
      <c r="A19" s="6" t="inlineStr">
        <is>
          <t>Headline ratios</t>
        </is>
      </c>
      <c r="B19" s="7" t="n"/>
      <c r="C19" s="7" t="n"/>
      <c r="D19" s="7" t="n"/>
      <c r="E19" s="7" t="n"/>
      <c r="F19" s="7" t="n"/>
    </row>
    <row r="20">
      <c r="A20" s="8" t="inlineStr">
        <is>
          <t xml:space="preserve">    Operating margin</t>
        </is>
      </c>
      <c r="B20" s="12" t="n">
        <v>0.6097411815252498</v>
      </c>
      <c r="C20" s="12" t="n">
        <v>0.08921909100841066</v>
      </c>
      <c r="D20" s="12" t="n">
        <v>-0.08867836187489066</v>
      </c>
      <c r="E20" s="12" t="n">
        <v>0.1414235506149535</v>
      </c>
      <c r="F20" s="12" t="n">
        <v>0.08603341610730869</v>
      </c>
    </row>
    <row r="21">
      <c r="A21" s="8" t="inlineStr">
        <is>
          <t xml:space="preserve">    Revenue growth (YoY)</t>
        </is>
      </c>
      <c r="B21" s="12" t="n">
        <v>1.349060343564324</v>
      </c>
      <c r="C21" s="12" t="n">
        <v>-0.5615069794408243</v>
      </c>
      <c r="D21" s="12" t="n">
        <v>-0.01289406969572103</v>
      </c>
      <c r="E21" s="12" t="n">
        <v>0.2749380863063925</v>
      </c>
      <c r="F21" s="12" t="n">
        <v>0.03270455921686098</v>
      </c>
    </row>
    <row r="22">
      <c r="A22" s="8" t="inlineStr">
        <is>
          <t xml:space="preserve">    Return on assets</t>
        </is>
      </c>
      <c r="B22" s="12" t="n">
        <v>0.289380956749995</v>
      </c>
      <c r="C22" s="12" t="n">
        <v>0.01799074234731458</v>
      </c>
      <c r="D22" s="12" t="n">
        <v>-0.01799947167421806</v>
      </c>
      <c r="E22" s="12" t="n">
        <v>0.03576039627071758</v>
      </c>
      <c r="F22" s="12" t="n">
        <v>0.0218309868173825</v>
      </c>
    </row>
    <row r="24" ht="42" customHeight="1">
      <c r="A24" s="3" t="inlineStr">
        <is>
          <t>Figures as reported in source filings (full provenance on the Sources &amp; audit tab). Parentheses denote negatives; ratios are computed upstream in financials_annual.</t>
        </is>
      </c>
    </row>
  </sheetData>
  <mergeCells count="6">
    <mergeCell ref="A24:F24"/>
    <mergeCell ref="A2:F2"/>
    <mergeCell ref="A1:F1"/>
    <mergeCell ref="A5:F5"/>
    <mergeCell ref="A6:F6"/>
    <mergeCell ref="A3:F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pane ySplit="4" topLeftCell="A5" activePane="bottomLeft" state="frozen"/>
      <selection pane="bottomLeft" activeCell="A1" sqref="A1"/>
    </sheetView>
  </sheetViews>
  <sheetFormatPr baseColWidth="8" defaultRowHeight="15"/>
  <cols>
    <col width="12" customWidth="1" min="1" max="1"/>
    <col width="14" customWidth="1" min="2" max="2"/>
    <col width="16" customWidth="1" min="3" max="3"/>
    <col width="90" customWidth="1" min="4" max="4"/>
  </cols>
  <sheetData>
    <row r="1">
      <c r="A1" s="1" t="inlineStr">
        <is>
          <t>Notes</t>
        </is>
      </c>
    </row>
    <row r="2">
      <c r="A2" s="2" t="inlineStr">
        <is>
          <t>Human annotations from the versioned store (data/notes/). Annotations only: they never change a reported figure or a confidence tier.</t>
        </is>
      </c>
    </row>
    <row r="4">
      <c r="A4" s="4" t="inlineStr">
        <is>
          <t>Date</t>
        </is>
      </c>
      <c r="B4" s="4" t="inlineStr">
        <is>
          <t>Tag</t>
        </is>
      </c>
      <c r="C4" s="4" t="inlineStr">
        <is>
          <t>Author</t>
        </is>
      </c>
      <c r="D4" s="4" t="inlineStr">
        <is>
          <t>Note</t>
        </is>
      </c>
    </row>
    <row r="5">
      <c r="A5" s="13" t="inlineStr">
        <is>
          <t>No notes recorded yet.</t>
        </is>
      </c>
    </row>
  </sheetData>
  <mergeCells count="3">
    <mergeCell ref="A1:D1"/>
    <mergeCell ref="A5:D5"/>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8"/>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s>
  <sheetData>
    <row r="1">
      <c r="A1" s="1" t="inlineStr">
        <is>
          <t>Vaughn Water Company Inc</t>
        </is>
      </c>
    </row>
    <row r="2">
      <c r="A2" s="2" t="inlineStr">
        <is>
          <t>Financial Statements - income statement, balance sheet, cash flow, member income test (USD)</t>
        </is>
      </c>
    </row>
    <row r="3">
      <c r="A3" s="2" t="inlineStr">
        <is>
          <t>Entity ID: cawc_0030   |   Fiscal year ends December 31.</t>
        </is>
      </c>
    </row>
    <row r="5">
      <c r="A5" s="6" t="inlineStr">
        <is>
          <t>INCOME STATEMENT - as reported (USD)</t>
        </is>
      </c>
      <c r="B5" s="7" t="n"/>
      <c r="C5" s="7" t="n"/>
      <c r="D5" s="7" t="n"/>
      <c r="E5" s="7" t="n"/>
      <c r="F5" s="7" t="n"/>
    </row>
    <row r="6">
      <c r="A6" s="4" t="inlineStr">
        <is>
          <t>Line item</t>
        </is>
      </c>
      <c r="B6" s="5" t="inlineStr">
        <is>
          <t>FY2020</t>
        </is>
      </c>
      <c r="C6" s="5" t="inlineStr">
        <is>
          <t>FY2021</t>
        </is>
      </c>
      <c r="D6" s="5" t="inlineStr">
        <is>
          <t>FY2022</t>
        </is>
      </c>
      <c r="E6" s="5" t="inlineStr">
        <is>
          <t>FY2023</t>
        </is>
      </c>
      <c r="F6" s="5" t="inlineStr">
        <is>
          <t>FY2024</t>
        </is>
      </c>
    </row>
    <row r="7">
      <c r="A7" s="6" t="inlineStr">
        <is>
          <t>Revenue</t>
        </is>
      </c>
      <c r="B7" s="7" t="n"/>
      <c r="C7" s="7" t="n"/>
      <c r="D7" s="7" t="n"/>
      <c r="E7" s="7" t="n"/>
      <c r="F7" s="7" t="n"/>
    </row>
    <row r="8">
      <c r="A8" s="8" t="inlineStr">
        <is>
          <t xml:space="preserve">    Program service revenue</t>
        </is>
      </c>
      <c r="B8" s="9" t="n">
        <v>9106619</v>
      </c>
      <c r="C8" s="9" t="n">
        <v>9221448</v>
      </c>
      <c r="D8" s="9" t="n">
        <v>9129183</v>
      </c>
      <c r="E8" s="9" t="n">
        <v>11066242</v>
      </c>
      <c r="F8" s="9" t="n">
        <v>11206435</v>
      </c>
    </row>
    <row r="9">
      <c r="A9" s="8" t="inlineStr">
        <is>
          <t xml:space="preserve">    Investment income</t>
        </is>
      </c>
      <c r="B9" s="9" t="n">
        <v>68235</v>
      </c>
      <c r="C9" s="9" t="n">
        <v>49610</v>
      </c>
      <c r="D9" s="9" t="n">
        <v>48262</v>
      </c>
      <c r="E9" s="9" t="n">
        <v>637325</v>
      </c>
      <c r="F9" s="9" t="n">
        <v>879892</v>
      </c>
    </row>
    <row r="10">
      <c r="A10" s="8" t="inlineStr">
        <is>
          <t xml:space="preserve">    Net rental income</t>
        </is>
      </c>
      <c r="B10" s="9" t="n"/>
      <c r="C10" s="9" t="n"/>
      <c r="D10" s="9" t="n"/>
      <c r="E10" s="9" t="n"/>
      <c r="F10" s="9" t="n"/>
    </row>
    <row r="11">
      <c r="A11" s="8" t="inlineStr">
        <is>
          <t xml:space="preserve">    Net gain/(loss) on investment sales</t>
        </is>
      </c>
      <c r="B11" s="9" t="n"/>
      <c r="C11" s="9" t="n"/>
      <c r="D11" s="9" t="n"/>
      <c r="E11" s="9" t="n"/>
      <c r="F11" s="9" t="n"/>
    </row>
    <row r="12">
      <c r="A12" s="8" t="inlineStr">
        <is>
          <t xml:space="preserve">    Other revenue</t>
        </is>
      </c>
      <c r="B12" s="9" t="n">
        <v>12033292</v>
      </c>
      <c r="C12" s="9" t="n">
        <v>28566</v>
      </c>
      <c r="D12" s="9" t="n">
        <v>2269</v>
      </c>
      <c r="E12" s="9" t="n"/>
      <c r="F12" s="9" t="n"/>
    </row>
    <row r="13">
      <c r="A13" s="8" t="inlineStr">
        <is>
          <t xml:space="preserve">    Contributions &amp; grants</t>
        </is>
      </c>
      <c r="B13" s="9" t="n"/>
      <c r="C13" s="9" t="n"/>
      <c r="D13" s="9" t="n"/>
      <c r="E13" s="9" t="n"/>
      <c r="F13" s="9" t="n"/>
    </row>
    <row r="14">
      <c r="A14" s="10" t="inlineStr">
        <is>
          <t>Total revenue</t>
        </is>
      </c>
      <c r="B14" s="11" t="n">
        <v>21208146</v>
      </c>
      <c r="C14" s="11" t="n">
        <v>9299624</v>
      </c>
      <c r="D14" s="11" t="n">
        <v>9179714</v>
      </c>
      <c r="E14" s="11" t="n">
        <v>11703567</v>
      </c>
      <c r="F14" s="11" t="n">
        <v>12086327</v>
      </c>
    </row>
    <row r="16">
      <c r="A16" s="6" t="inlineStr">
        <is>
          <t>Expenses</t>
        </is>
      </c>
      <c r="B16" s="7" t="n"/>
      <c r="C16" s="7" t="n"/>
      <c r="D16" s="7" t="n"/>
      <c r="E16" s="7" t="n"/>
      <c r="F16" s="7" t="n"/>
    </row>
    <row r="17">
      <c r="A17" s="8" t="inlineStr">
        <is>
          <t xml:space="preserve">    Depreciation</t>
        </is>
      </c>
      <c r="B17" s="9" t="n">
        <v>1055604</v>
      </c>
      <c r="C17" s="9" t="n">
        <v>1023563</v>
      </c>
      <c r="D17" s="9" t="n">
        <v>1133207</v>
      </c>
      <c r="E17" s="9" t="n">
        <v>1137177</v>
      </c>
      <c r="F17" s="9" t="n">
        <v>707913</v>
      </c>
    </row>
    <row r="18">
      <c r="A18" s="8" t="inlineStr">
        <is>
          <t xml:space="preserve">    Interest expense</t>
        </is>
      </c>
      <c r="B18" s="9" t="n">
        <v>72812</v>
      </c>
      <c r="C18" s="9" t="n">
        <v>42282</v>
      </c>
      <c r="D18" s="9" t="n">
        <v>30981</v>
      </c>
      <c r="E18" s="9" t="n">
        <v>27309</v>
      </c>
      <c r="F18" s="9" t="n"/>
    </row>
    <row r="19">
      <c r="A19" s="10" t="inlineStr">
        <is>
          <t>Total expenses</t>
        </is>
      </c>
      <c r="B19" s="11" t="n">
        <v>8276666</v>
      </c>
      <c r="C19" s="11" t="n">
        <v>8469920</v>
      </c>
      <c r="D19" s="11" t="n">
        <v>9993756</v>
      </c>
      <c r="E19" s="11" t="n">
        <v>10048407</v>
      </c>
      <c r="F19" s="11" t="n">
        <v>11046499</v>
      </c>
    </row>
    <row r="21">
      <c r="A21" s="10" t="inlineStr">
        <is>
          <t>Net income</t>
        </is>
      </c>
      <c r="B21" s="11" t="n">
        <v>12931480</v>
      </c>
      <c r="C21" s="11" t="n">
        <v>829704</v>
      </c>
      <c r="D21" s="11" t="n">
        <v>-814042</v>
      </c>
      <c r="E21" s="11" t="n">
        <v>1655160</v>
      </c>
      <c r="F21" s="11" t="n">
        <v>1039828</v>
      </c>
    </row>
    <row r="24">
      <c r="A24" s="6" t="inlineStr">
        <is>
          <t>BALANCE SHEET - as reported (USD, end of year)</t>
        </is>
      </c>
      <c r="B24" s="7" t="n"/>
      <c r="C24" s="7" t="n"/>
      <c r="D24" s="7" t="n"/>
      <c r="E24" s="7" t="n"/>
      <c r="F24" s="7" t="n"/>
    </row>
    <row r="25">
      <c r="A25" s="4" t="inlineStr">
        <is>
          <t>Line item</t>
        </is>
      </c>
      <c r="B25" s="5" t="inlineStr">
        <is>
          <t>FY2020</t>
        </is>
      </c>
      <c r="C25" s="5" t="inlineStr">
        <is>
          <t>FY2021</t>
        </is>
      </c>
      <c r="D25" s="5" t="inlineStr">
        <is>
          <t>FY2022</t>
        </is>
      </c>
      <c r="E25" s="5" t="inlineStr">
        <is>
          <t>FY2023</t>
        </is>
      </c>
      <c r="F25" s="5" t="inlineStr">
        <is>
          <t>FY2024</t>
        </is>
      </c>
    </row>
    <row r="26">
      <c r="A26" s="6" t="inlineStr">
        <is>
          <t>Assets</t>
        </is>
      </c>
      <c r="B26" s="7" t="n"/>
      <c r="C26" s="7" t="n"/>
      <c r="D26" s="7" t="n"/>
      <c r="E26" s="7" t="n"/>
      <c r="F26" s="7" t="n"/>
    </row>
    <row r="27">
      <c r="A27" s="8" t="inlineStr">
        <is>
          <t xml:space="preserve">    Cash</t>
        </is>
      </c>
      <c r="B27" s="9" t="n">
        <v>380719</v>
      </c>
      <c r="C27" s="9" t="n">
        <v>1130043</v>
      </c>
      <c r="D27" s="9" t="n">
        <v>1132372</v>
      </c>
      <c r="E27" s="9" t="n">
        <v>961256</v>
      </c>
      <c r="F27" s="9" t="n">
        <v>2159708</v>
      </c>
    </row>
    <row r="28">
      <c r="A28" s="8" t="inlineStr">
        <is>
          <t xml:space="preserve">    Savings &amp; temporary investments</t>
        </is>
      </c>
      <c r="B28" s="9" t="n">
        <v>21147024</v>
      </c>
      <c r="C28" s="9" t="n">
        <v>20661963</v>
      </c>
      <c r="D28" s="9" t="n">
        <v>20779294</v>
      </c>
      <c r="E28" s="9" t="n">
        <v>21471514</v>
      </c>
      <c r="F28" s="9" t="n">
        <v>22054340</v>
      </c>
    </row>
    <row r="29">
      <c r="A29" s="8" t="inlineStr">
        <is>
          <t xml:space="preserve">    Accounts receivable</t>
        </is>
      </c>
      <c r="B29" s="9" t="n">
        <v>387938</v>
      </c>
      <c r="C29" s="9" t="n">
        <v>616502</v>
      </c>
      <c r="D29" s="9" t="n">
        <v>357391</v>
      </c>
      <c r="E29" s="9" t="n">
        <v>507733</v>
      </c>
      <c r="F29" s="9" t="n">
        <v>411362</v>
      </c>
    </row>
    <row r="30">
      <c r="A30" s="8" t="inlineStr">
        <is>
          <t xml:space="preserve">    Inventories</t>
        </is>
      </c>
      <c r="B30" s="9" t="n">
        <v>118825</v>
      </c>
      <c r="C30" s="9" t="n">
        <v>1808</v>
      </c>
      <c r="D30" s="9" t="n">
        <v>1808</v>
      </c>
      <c r="E30" s="9" t="n">
        <v>1808</v>
      </c>
      <c r="F30" s="9" t="n">
        <v>1808</v>
      </c>
    </row>
    <row r="31">
      <c r="A31" s="8" t="inlineStr">
        <is>
          <t xml:space="preserve">    Prepaid expenses</t>
        </is>
      </c>
      <c r="B31" s="9" t="n">
        <v>1808</v>
      </c>
      <c r="C31" s="9" t="n">
        <v>1691</v>
      </c>
      <c r="D31" s="9" t="n"/>
      <c r="E31" s="9" t="n"/>
      <c r="F31" s="9" t="n">
        <v>25331</v>
      </c>
    </row>
    <row r="32">
      <c r="A32" s="8" t="inlineStr">
        <is>
          <t xml:space="preserve">    Property, plant &amp; equipment (gross)</t>
        </is>
      </c>
      <c r="B32" s="9" t="n">
        <v>42307578</v>
      </c>
      <c r="C32" s="9" t="n">
        <v>44387134</v>
      </c>
      <c r="D32" s="9" t="n">
        <v>44768980</v>
      </c>
      <c r="E32" s="9" t="n">
        <v>45915296</v>
      </c>
      <c r="F32" s="9" t="n">
        <v>46705214</v>
      </c>
    </row>
    <row r="33">
      <c r="A33" s="8" t="inlineStr">
        <is>
          <t xml:space="preserve">    Less: accumulated depreciation</t>
        </is>
      </c>
      <c r="B33" s="9" t="n">
        <v>-19657192</v>
      </c>
      <c r="C33" s="9" t="n">
        <v>-20680755</v>
      </c>
      <c r="D33" s="9" t="n">
        <v>-21813962</v>
      </c>
      <c r="E33" s="9" t="n">
        <v>-22999756</v>
      </c>
      <c r="F33" s="9" t="n">
        <v>-24235455</v>
      </c>
    </row>
    <row r="34">
      <c r="A34" s="10" t="inlineStr">
        <is>
          <t xml:space="preserve">    Net property, plant &amp; equipment</t>
        </is>
      </c>
      <c r="B34" s="11" t="n">
        <v>22650386</v>
      </c>
      <c r="C34" s="11" t="n">
        <v>23706379</v>
      </c>
      <c r="D34" s="11" t="n">
        <v>22955018</v>
      </c>
      <c r="E34" s="11" t="n">
        <v>22915540</v>
      </c>
      <c r="F34" s="11" t="n">
        <v>22469759</v>
      </c>
    </row>
    <row r="35">
      <c r="A35" s="10" t="inlineStr">
        <is>
          <t>Total assets</t>
        </is>
      </c>
      <c r="B35" s="11" t="n">
        <v>44686700</v>
      </c>
      <c r="C35" s="11" t="n">
        <v>46118386</v>
      </c>
      <c r="D35" s="11" t="n">
        <v>45225883</v>
      </c>
      <c r="E35" s="11" t="n">
        <v>46284722</v>
      </c>
      <c r="F35" s="11" t="n">
        <v>47630829</v>
      </c>
    </row>
    <row r="37">
      <c r="A37" s="6" t="inlineStr">
        <is>
          <t>Liabilities</t>
        </is>
      </c>
      <c r="B37" s="7" t="n"/>
      <c r="C37" s="7" t="n"/>
      <c r="D37" s="7" t="n"/>
      <c r="E37" s="7" t="n"/>
      <c r="F37" s="7" t="n"/>
    </row>
    <row r="38">
      <c r="A38" s="8" t="inlineStr">
        <is>
          <t xml:space="preserve">    Accounts payable</t>
        </is>
      </c>
      <c r="B38" s="9" t="n">
        <v>798098</v>
      </c>
      <c r="C38" s="9" t="n">
        <v>651222</v>
      </c>
      <c r="D38" s="9" t="n">
        <v>735153</v>
      </c>
      <c r="E38" s="9" t="n">
        <v>798381</v>
      </c>
      <c r="F38" s="9" t="n">
        <v>1073723</v>
      </c>
    </row>
    <row r="39">
      <c r="A39" s="8" t="inlineStr">
        <is>
          <t xml:space="preserve">    Mortgages &amp; notes payable</t>
        </is>
      </c>
      <c r="B39" s="9" t="n"/>
      <c r="C39" s="9" t="n"/>
      <c r="D39" s="9" t="n"/>
      <c r="E39" s="9" t="n"/>
      <c r="F39" s="9" t="n"/>
    </row>
    <row r="40">
      <c r="A40" s="10" t="inlineStr">
        <is>
          <t>Total liabilities</t>
        </is>
      </c>
      <c r="B40" s="11" t="n">
        <v>3015331</v>
      </c>
      <c r="C40" s="11" t="n">
        <v>2800936</v>
      </c>
      <c r="D40" s="11" t="n">
        <v>2362370</v>
      </c>
      <c r="E40" s="11" t="n">
        <v>1814666</v>
      </c>
      <c r="F40" s="11" t="n">
        <v>2648730</v>
      </c>
    </row>
    <row r="42">
      <c r="A42" s="6" t="inlineStr">
        <is>
          <t>Net Assets / Equity</t>
        </is>
      </c>
      <c r="B42" s="7" t="n"/>
      <c r="C42" s="7" t="n"/>
      <c r="D42" s="7" t="n"/>
      <c r="E42" s="7" t="n"/>
      <c r="F42" s="7" t="n"/>
    </row>
    <row r="43">
      <c r="A43" s="8" t="inlineStr">
        <is>
          <t xml:space="preserve">    Capital stock</t>
        </is>
      </c>
      <c r="B43" s="9" t="n">
        <v>12860939</v>
      </c>
      <c r="C43" s="9" t="n">
        <v>12912185</v>
      </c>
      <c r="D43" s="9" t="n">
        <v>13031473</v>
      </c>
      <c r="E43" s="9" t="n">
        <v>13043732</v>
      </c>
      <c r="F43" s="9" t="n">
        <v>13043732</v>
      </c>
    </row>
    <row r="44">
      <c r="A44" s="8" t="inlineStr">
        <is>
          <t xml:space="preserve">    Paid-in capital</t>
        </is>
      </c>
      <c r="B44" s="9" t="n">
        <v>15306952</v>
      </c>
      <c r="C44" s="9" t="n">
        <v>16072083</v>
      </c>
      <c r="D44" s="9" t="n">
        <v>16351684</v>
      </c>
      <c r="E44" s="9" t="n">
        <v>16339425</v>
      </c>
      <c r="F44" s="9" t="n">
        <v>16339425</v>
      </c>
    </row>
    <row r="45">
      <c r="A45" s="8" t="inlineStr">
        <is>
          <t xml:space="preserve">    Retained earnings</t>
        </is>
      </c>
      <c r="B45" s="9" t="n">
        <v>13503478</v>
      </c>
      <c r="C45" s="9" t="n">
        <v>14333182</v>
      </c>
      <c r="D45" s="9" t="n">
        <v>13480356</v>
      </c>
      <c r="E45" s="9" t="n">
        <v>15086899</v>
      </c>
      <c r="F45" s="9" t="n">
        <v>15598942</v>
      </c>
    </row>
    <row r="46">
      <c r="A46" s="10" t="inlineStr">
        <is>
          <t>Net assets</t>
        </is>
      </c>
      <c r="B46" s="11" t="n">
        <v>41671369</v>
      </c>
      <c r="C46" s="11" t="n">
        <v>43317450</v>
      </c>
      <c r="D46" s="11" t="n">
        <v>42863513</v>
      </c>
      <c r="E46" s="11" t="n">
        <v>44470056</v>
      </c>
      <c r="F46" s="11" t="n">
        <v>44982099</v>
      </c>
    </row>
    <row r="49">
      <c r="A49" s="6" t="inlineStr">
        <is>
          <t>CASH FLOW - derived proxy (USD)</t>
        </is>
      </c>
      <c r="B49" s="7" t="n"/>
      <c r="C49" s="7" t="n"/>
      <c r="D49" s="7" t="n"/>
      <c r="E49" s="7" t="n"/>
      <c r="F49" s="7" t="n"/>
    </row>
    <row r="50">
      <c r="A50" s="4" t="inlineStr">
        <is>
          <t>Proxy line</t>
        </is>
      </c>
      <c r="B50" s="5" t="inlineStr">
        <is>
          <t>FY2020</t>
        </is>
      </c>
      <c r="C50" s="5" t="inlineStr">
        <is>
          <t>FY2021</t>
        </is>
      </c>
      <c r="D50" s="5" t="inlineStr">
        <is>
          <t>FY2022</t>
        </is>
      </c>
      <c r="E50" s="5" t="inlineStr">
        <is>
          <t>FY2023</t>
        </is>
      </c>
      <c r="F50" s="5" t="inlineStr">
        <is>
          <t>FY2024</t>
        </is>
      </c>
    </row>
    <row r="51">
      <c r="A51" s="6" t="inlineStr">
        <is>
          <t>Operating</t>
        </is>
      </c>
      <c r="B51" s="7" t="n"/>
      <c r="C51" s="7" t="n"/>
      <c r="D51" s="7" t="n"/>
      <c r="E51" s="7" t="n"/>
      <c r="F51" s="7" t="n"/>
    </row>
    <row r="52">
      <c r="A52" s="8" t="inlineStr">
        <is>
          <t xml:space="preserve">    Net income</t>
        </is>
      </c>
      <c r="B52" s="9" t="n">
        <v>12931480</v>
      </c>
      <c r="C52" s="9" t="n">
        <v>829704</v>
      </c>
      <c r="D52" s="9" t="n">
        <v>-814042</v>
      </c>
      <c r="E52" s="9" t="n">
        <v>1655160</v>
      </c>
      <c r="F52" s="9" t="n">
        <v>1039828</v>
      </c>
    </row>
    <row r="53">
      <c r="A53" s="8" t="inlineStr">
        <is>
          <t xml:space="preserve">    + Depreciation (reported)</t>
        </is>
      </c>
      <c r="B53" s="9" t="n">
        <v>1055604</v>
      </c>
      <c r="C53" s="9" t="n">
        <v>1023563</v>
      </c>
      <c r="D53" s="9" t="n">
        <v>1133207</v>
      </c>
      <c r="E53" s="9" t="n">
        <v>1137177</v>
      </c>
      <c r="F53" s="9" t="n">
        <v>707913</v>
      </c>
    </row>
    <row r="54">
      <c r="A54" s="8" t="inlineStr">
        <is>
          <t xml:space="preserve">    − Δ Accounts receivable</t>
        </is>
      </c>
      <c r="B54" s="9" t="n"/>
      <c r="C54" s="9" t="n">
        <v>-228564</v>
      </c>
      <c r="D54" s="9" t="n">
        <v>259111</v>
      </c>
      <c r="E54" s="9" t="n">
        <v>-150342</v>
      </c>
      <c r="F54" s="9" t="n">
        <v>96371</v>
      </c>
    </row>
    <row r="55">
      <c r="A55" s="8" t="inlineStr">
        <is>
          <t xml:space="preserve">    − Δ Inventories</t>
        </is>
      </c>
      <c r="B55" s="9" t="n"/>
      <c r="C55" s="9" t="n">
        <v>117017</v>
      </c>
      <c r="D55" s="9" t="n">
        <v>0</v>
      </c>
      <c r="E55" s="9" t="n">
        <v>0</v>
      </c>
      <c r="F55" s="9" t="n">
        <v>0</v>
      </c>
    </row>
    <row r="56">
      <c r="A56" s="8" t="inlineStr">
        <is>
          <t xml:space="preserve">    − Δ Prepaid expenses</t>
        </is>
      </c>
      <c r="B56" s="9" t="n"/>
      <c r="C56" s="9" t="n">
        <v>117</v>
      </c>
      <c r="D56" s="9" t="n"/>
      <c r="E56" s="9" t="n"/>
      <c r="F56" s="9" t="n"/>
    </row>
    <row r="57">
      <c r="A57" s="8" t="inlineStr">
        <is>
          <t xml:space="preserve">    + Δ Accounts payable</t>
        </is>
      </c>
      <c r="B57" s="9" t="n"/>
      <c r="C57" s="9" t="n">
        <v>-146876</v>
      </c>
      <c r="D57" s="9" t="n">
        <v>83931</v>
      </c>
      <c r="E57" s="9" t="n">
        <v>63228</v>
      </c>
      <c r="F57" s="9" t="n">
        <v>275342</v>
      </c>
    </row>
    <row r="58">
      <c r="A58" s="10" t="inlineStr">
        <is>
          <t xml:space="preserve">    Operating cash flow proxy</t>
        </is>
      </c>
      <c r="B58" s="11" t="n"/>
      <c r="C58" s="11" t="n">
        <v>1594961</v>
      </c>
      <c r="D58" s="11" t="n">
        <v>662207</v>
      </c>
      <c r="E58" s="11" t="n">
        <v>2705223</v>
      </c>
      <c r="F58" s="11" t="n">
        <v>2119454</v>
      </c>
    </row>
    <row r="60">
      <c r="A60" s="6" t="inlineStr">
        <is>
          <t>Investing</t>
        </is>
      </c>
      <c r="B60" s="7" t="n"/>
      <c r="C60" s="7" t="n"/>
      <c r="D60" s="7" t="n"/>
      <c r="E60" s="7" t="n"/>
      <c r="F60" s="7" t="n"/>
    </row>
    <row r="61">
      <c r="A61" s="8" t="inlineStr">
        <is>
          <t xml:space="preserve">    − Δ PP&amp;E gross (capex proxy)</t>
        </is>
      </c>
      <c r="B61" s="9" t="n"/>
      <c r="C61" s="9" t="n">
        <v>-2079556</v>
      </c>
      <c r="D61" s="9" t="n">
        <v>-381846</v>
      </c>
      <c r="E61" s="9" t="n">
        <v>-1146316</v>
      </c>
      <c r="F61" s="9" t="n">
        <v>-789918</v>
      </c>
    </row>
    <row r="63">
      <c r="A63" s="6" t="inlineStr">
        <is>
          <t>Financing</t>
        </is>
      </c>
      <c r="B63" s="7" t="n"/>
      <c r="C63" s="7" t="n"/>
      <c r="D63" s="7" t="n"/>
      <c r="E63" s="7" t="n"/>
      <c r="F63" s="7" t="n"/>
    </row>
    <row r="64">
      <c r="A64" s="8" t="inlineStr">
        <is>
          <t xml:space="preserve">    Δ Mortgages &amp; notes payable</t>
        </is>
      </c>
      <c r="B64" s="9" t="n"/>
      <c r="C64" s="9" t="n"/>
      <c r="D64" s="9" t="n"/>
      <c r="E64" s="9" t="n"/>
      <c r="F64" s="9" t="n"/>
    </row>
    <row r="66">
      <c r="A66" s="6" t="inlineStr">
        <is>
          <t>Reconciliation</t>
        </is>
      </c>
      <c r="B66" s="7" t="n"/>
      <c r="C66" s="7" t="n"/>
      <c r="D66" s="7" t="n"/>
      <c r="E66" s="7" t="n"/>
      <c r="F66" s="7" t="n"/>
    </row>
    <row r="67">
      <c r="A67" s="10" t="inlineStr">
        <is>
          <t xml:space="preserve">    Δ Cash + temp. investments (actual)</t>
        </is>
      </c>
      <c r="B67" s="11" t="n"/>
      <c r="C67" s="11" t="n">
        <v>264263</v>
      </c>
      <c r="D67" s="11" t="n">
        <v>119660</v>
      </c>
      <c r="E67" s="11" t="n">
        <v>521104</v>
      </c>
      <c r="F67" s="11" t="n">
        <v>1781278</v>
      </c>
    </row>
    <row r="69" ht="42" customHeight="1">
      <c r="A69" s="3" t="inlineStr">
        <is>
          <t>Income statement and balance sheet are as reported in source filings (full provenance on the Sources &amp; audit tab). The cash flow block is a PROXY: the filings contain no statement of cash flows, so it is derived from net income, reported depreciation, and year-over-year balance-sheet changes - treat as directional. The earliest year has no prior period, so its delta cells are blank. Parentheses denote negatives.</t>
        </is>
      </c>
    </row>
    <row r="71">
      <c r="A71" s="6" t="inlineStr">
        <is>
          <t>MEMBER INCOME TEST - Form 990 Part V (501(c)(12))</t>
        </is>
      </c>
      <c r="B71" s="7" t="n"/>
      <c r="C71" s="7" t="n"/>
      <c r="D71" s="7" t="n"/>
      <c r="E71" s="7" t="n"/>
      <c r="F71" s="7" t="n"/>
    </row>
    <row r="72">
      <c r="A72" s="4" t="inlineStr">
        <is>
          <t>Part V line 11</t>
        </is>
      </c>
      <c r="B72" s="5" t="inlineStr">
        <is>
          <t>FY2020</t>
        </is>
      </c>
      <c r="C72" s="5" t="inlineStr">
        <is>
          <t>FY2021</t>
        </is>
      </c>
      <c r="D72" s="5" t="inlineStr">
        <is>
          <t>FY2022</t>
        </is>
      </c>
      <c r="E72" s="5" t="inlineStr">
        <is>
          <t>FY2023</t>
        </is>
      </c>
      <c r="F72" s="5" t="inlineStr">
        <is>
          <t>FY2024</t>
        </is>
      </c>
    </row>
    <row r="73">
      <c r="A73" s="8" t="inlineStr">
        <is>
          <t xml:space="preserve">    11a. Gross income from members or shareholders</t>
        </is>
      </c>
      <c r="B73" s="14" t="inlineStr">
        <is>
          <t>not reported</t>
        </is>
      </c>
      <c r="C73" s="14" t="inlineStr">
        <is>
          <t>not reported</t>
        </is>
      </c>
      <c r="D73" s="14" t="inlineStr">
        <is>
          <t>not reported</t>
        </is>
      </c>
      <c r="E73" s="9" t="n">
        <v>11010811</v>
      </c>
      <c r="F73" s="9" t="n">
        <v>11199206</v>
      </c>
    </row>
    <row r="74">
      <c r="A74" s="8" t="inlineStr">
        <is>
          <t xml:space="preserve">    11b. Gross income from other sources</t>
        </is>
      </c>
      <c r="B74" s="14" t="inlineStr">
        <is>
          <t>not reported</t>
        </is>
      </c>
      <c r="C74" s="14" t="inlineStr">
        <is>
          <t>not reported</t>
        </is>
      </c>
      <c r="D74" s="14" t="inlineStr">
        <is>
          <t>not reported</t>
        </is>
      </c>
      <c r="E74" s="9" t="n">
        <v>0</v>
      </c>
      <c r="F74" s="9" t="n">
        <v>0</v>
      </c>
    </row>
    <row r="75">
      <c r="A75" s="15" t="inlineStr">
        <is>
          <t>Total gross income (11a + 11b)</t>
        </is>
      </c>
      <c r="B75" s="16">
        <f>SUM(B73,B74)</f>
        <v/>
      </c>
      <c r="C75" s="16">
        <f>SUM(C73,C74)</f>
        <v/>
      </c>
      <c r="D75" s="16">
        <f>SUM(D73,D74)</f>
        <v/>
      </c>
      <c r="E75" s="16">
        <f>SUM(E73,E74)</f>
        <v/>
      </c>
      <c r="F75" s="16">
        <f>SUM(F73,F74)</f>
        <v/>
      </c>
    </row>
    <row r="76">
      <c r="A76" s="15" t="inlineStr">
        <is>
          <t>Member income share (11a / total)</t>
        </is>
      </c>
      <c r="B76" s="17">
        <f>IF(B75=0,"",B73/B75)</f>
        <v/>
      </c>
      <c r="C76" s="17">
        <f>IF(C75=0,"",C73/C75)</f>
        <v/>
      </c>
      <c r="D76" s="17">
        <f>IF(D75=0,"",D73/D75)</f>
        <v/>
      </c>
      <c r="E76" s="17">
        <f>IF(E75=0,"",E73/E75)</f>
        <v/>
      </c>
      <c r="F76" s="17">
        <f>IF(F75=0,"",F73/F75)</f>
        <v/>
      </c>
    </row>
    <row r="78" ht="42" customHeight="1">
      <c r="A78" s="3" t="inlineStr">
        <is>
          <t>A 501(c)(12) mutual water company must collect at least 85 percent of its gross income from members (the member income share above). Figures are as filed on Part V line 11; the total and share are live formulas. Every figure's citation and confidence are on the Sources &amp; audit tab.</t>
        </is>
      </c>
    </row>
  </sheetData>
  <mergeCells count="5">
    <mergeCell ref="A2:F2"/>
    <mergeCell ref="A78:F78"/>
    <mergeCell ref="A1:F1"/>
    <mergeCell ref="A3:F3"/>
    <mergeCell ref="A69:F69"/>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0"/>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38" customWidth="1" min="1" max="1"/>
    <col width="15" customWidth="1" min="2" max="2"/>
    <col width="15" customWidth="1" min="3" max="3"/>
    <col width="15" customWidth="1" min="4" max="4"/>
    <col width="15" customWidth="1" min="5" max="5"/>
    <col width="15" customWidth="1" min="6" max="6"/>
  </cols>
  <sheetData>
    <row r="1">
      <c r="A1" s="1" t="inlineStr">
        <is>
          <t>Vaughn Water Company Inc</t>
        </is>
      </c>
    </row>
    <row r="2">
      <c r="A2" s="2" t="inlineStr">
        <is>
          <t>Balance Sheet - as reported (USD, end of year)</t>
        </is>
      </c>
    </row>
    <row r="3">
      <c r="A3" s="2" t="inlineStr">
        <is>
          <t>Entity ID: cawc_0030   |   Fiscal year ends December 31.</t>
        </is>
      </c>
    </row>
    <row r="5">
      <c r="A5" s="4" t="inlineStr">
        <is>
          <t>Line item</t>
        </is>
      </c>
      <c r="B5" s="5" t="inlineStr">
        <is>
          <t>FY2020</t>
        </is>
      </c>
      <c r="C5" s="5" t="inlineStr">
        <is>
          <t>FY2021</t>
        </is>
      </c>
      <c r="D5" s="5" t="inlineStr">
        <is>
          <t>FY2022</t>
        </is>
      </c>
      <c r="E5" s="5" t="inlineStr">
        <is>
          <t>FY2023</t>
        </is>
      </c>
      <c r="F5" s="5" t="inlineStr">
        <is>
          <t>FY2024</t>
        </is>
      </c>
    </row>
    <row r="6">
      <c r="A6" s="6" t="inlineStr">
        <is>
          <t>Assets</t>
        </is>
      </c>
      <c r="B6" s="7" t="n"/>
      <c r="C6" s="7" t="n"/>
      <c r="D6" s="7" t="n"/>
      <c r="E6" s="7" t="n"/>
      <c r="F6" s="7" t="n"/>
    </row>
    <row r="7">
      <c r="A7" s="8" t="inlineStr">
        <is>
          <t xml:space="preserve">    Cash</t>
        </is>
      </c>
      <c r="B7" s="9" t="n">
        <v>380719</v>
      </c>
      <c r="C7" s="9" t="n">
        <v>1130043</v>
      </c>
      <c r="D7" s="9" t="n">
        <v>1132372</v>
      </c>
      <c r="E7" s="9" t="n">
        <v>961256</v>
      </c>
      <c r="F7" s="9" t="n">
        <v>2159708</v>
      </c>
    </row>
    <row r="8">
      <c r="A8" s="8" t="inlineStr">
        <is>
          <t xml:space="preserve">    Savings &amp; temporary investments</t>
        </is>
      </c>
      <c r="B8" s="9" t="n">
        <v>21147024</v>
      </c>
      <c r="C8" s="9" t="n">
        <v>20661963</v>
      </c>
      <c r="D8" s="9" t="n">
        <v>20779294</v>
      </c>
      <c r="E8" s="9" t="n">
        <v>21471514</v>
      </c>
      <c r="F8" s="9" t="n">
        <v>22054340</v>
      </c>
    </row>
    <row r="9">
      <c r="A9" s="8" t="inlineStr">
        <is>
          <t xml:space="preserve">    Accounts receivable</t>
        </is>
      </c>
      <c r="B9" s="9" t="n">
        <v>387938</v>
      </c>
      <c r="C9" s="9" t="n">
        <v>616502</v>
      </c>
      <c r="D9" s="9" t="n">
        <v>357391</v>
      </c>
      <c r="E9" s="9" t="n">
        <v>507733</v>
      </c>
      <c r="F9" s="9" t="n">
        <v>411362</v>
      </c>
    </row>
    <row r="10">
      <c r="A10" s="8" t="inlineStr">
        <is>
          <t xml:space="preserve">    Inventories</t>
        </is>
      </c>
      <c r="B10" s="9" t="n">
        <v>118825</v>
      </c>
      <c r="C10" s="9" t="n">
        <v>1808</v>
      </c>
      <c r="D10" s="9" t="n">
        <v>1808</v>
      </c>
      <c r="E10" s="9" t="n">
        <v>1808</v>
      </c>
      <c r="F10" s="9" t="n">
        <v>1808</v>
      </c>
    </row>
    <row r="11">
      <c r="A11" s="8" t="inlineStr">
        <is>
          <t xml:space="preserve">    Prepaid expenses</t>
        </is>
      </c>
      <c r="B11" s="9" t="n">
        <v>1808</v>
      </c>
      <c r="C11" s="9" t="n">
        <v>1691</v>
      </c>
      <c r="D11" s="9" t="n"/>
      <c r="E11" s="9" t="n"/>
      <c r="F11" s="9" t="n">
        <v>25331</v>
      </c>
    </row>
    <row r="12">
      <c r="A12" s="8" t="inlineStr">
        <is>
          <t xml:space="preserve">    Property, plant &amp; equipment (gross)</t>
        </is>
      </c>
      <c r="B12" s="9" t="n">
        <v>42307578</v>
      </c>
      <c r="C12" s="9" t="n">
        <v>44387134</v>
      </c>
      <c r="D12" s="9" t="n">
        <v>44768980</v>
      </c>
      <c r="E12" s="9" t="n">
        <v>45915296</v>
      </c>
      <c r="F12" s="9" t="n">
        <v>46705214</v>
      </c>
    </row>
    <row r="13">
      <c r="A13" s="8" t="inlineStr">
        <is>
          <t xml:space="preserve">    Less: accumulated depreciation</t>
        </is>
      </c>
      <c r="B13" s="9" t="n">
        <v>-19657192</v>
      </c>
      <c r="C13" s="9" t="n">
        <v>-20680755</v>
      </c>
      <c r="D13" s="9" t="n">
        <v>-21813962</v>
      </c>
      <c r="E13" s="9" t="n">
        <v>-22999756</v>
      </c>
      <c r="F13" s="9" t="n">
        <v>-24235455</v>
      </c>
    </row>
    <row r="14">
      <c r="A14" s="10" t="inlineStr">
        <is>
          <t xml:space="preserve">    Net property, plant &amp; equipment</t>
        </is>
      </c>
      <c r="B14" s="11" t="n">
        <v>22650386</v>
      </c>
      <c r="C14" s="11" t="n">
        <v>23706379</v>
      </c>
      <c r="D14" s="11" t="n">
        <v>22955018</v>
      </c>
      <c r="E14" s="11" t="n">
        <v>22915540</v>
      </c>
      <c r="F14" s="11" t="n">
        <v>22469759</v>
      </c>
    </row>
    <row r="15">
      <c r="A15" s="10" t="inlineStr">
        <is>
          <t>Total assets</t>
        </is>
      </c>
      <c r="B15" s="11" t="n">
        <v>44686700</v>
      </c>
      <c r="C15" s="11" t="n">
        <v>46118386</v>
      </c>
      <c r="D15" s="11" t="n">
        <v>45225883</v>
      </c>
      <c r="E15" s="11" t="n">
        <v>46284722</v>
      </c>
      <c r="F15" s="11" t="n">
        <v>47630829</v>
      </c>
    </row>
    <row r="17">
      <c r="A17" s="6" t="inlineStr">
        <is>
          <t>Liabilities</t>
        </is>
      </c>
      <c r="B17" s="7" t="n"/>
      <c r="C17" s="7" t="n"/>
      <c r="D17" s="7" t="n"/>
      <c r="E17" s="7" t="n"/>
      <c r="F17" s="7" t="n"/>
    </row>
    <row r="18">
      <c r="A18" s="8" t="inlineStr">
        <is>
          <t xml:space="preserve">    Accounts payable</t>
        </is>
      </c>
      <c r="B18" s="9" t="n">
        <v>798098</v>
      </c>
      <c r="C18" s="9" t="n">
        <v>651222</v>
      </c>
      <c r="D18" s="9" t="n">
        <v>735153</v>
      </c>
      <c r="E18" s="9" t="n">
        <v>798381</v>
      </c>
      <c r="F18" s="9" t="n">
        <v>1073723</v>
      </c>
    </row>
    <row r="19">
      <c r="A19" s="8" t="inlineStr">
        <is>
          <t xml:space="preserve">    Mortgages &amp; notes payable</t>
        </is>
      </c>
      <c r="B19" s="9" t="n"/>
      <c r="C19" s="9" t="n"/>
      <c r="D19" s="9" t="n"/>
      <c r="E19" s="9" t="n"/>
      <c r="F19" s="9" t="n"/>
    </row>
    <row r="20">
      <c r="A20" s="10" t="inlineStr">
        <is>
          <t>Total liabilities</t>
        </is>
      </c>
      <c r="B20" s="11" t="n">
        <v>3015331</v>
      </c>
      <c r="C20" s="11" t="n">
        <v>2800936</v>
      </c>
      <c r="D20" s="11" t="n">
        <v>2362370</v>
      </c>
      <c r="E20" s="11" t="n">
        <v>1814666</v>
      </c>
      <c r="F20" s="11" t="n">
        <v>2648730</v>
      </c>
    </row>
    <row r="22">
      <c r="A22" s="6" t="inlineStr">
        <is>
          <t>Net Assets / Equity</t>
        </is>
      </c>
      <c r="B22" s="7" t="n"/>
      <c r="C22" s="7" t="n"/>
      <c r="D22" s="7" t="n"/>
      <c r="E22" s="7" t="n"/>
      <c r="F22" s="7" t="n"/>
    </row>
    <row r="23">
      <c r="A23" s="8" t="inlineStr">
        <is>
          <t xml:space="preserve">    Capital stock</t>
        </is>
      </c>
      <c r="B23" s="9" t="n">
        <v>12860939</v>
      </c>
      <c r="C23" s="9" t="n">
        <v>12912185</v>
      </c>
      <c r="D23" s="9" t="n">
        <v>13031473</v>
      </c>
      <c r="E23" s="9" t="n">
        <v>13043732</v>
      </c>
      <c r="F23" s="9" t="n">
        <v>13043732</v>
      </c>
    </row>
    <row r="24">
      <c r="A24" s="8" t="inlineStr">
        <is>
          <t xml:space="preserve">    Paid-in capital</t>
        </is>
      </c>
      <c r="B24" s="9" t="n">
        <v>15306952</v>
      </c>
      <c r="C24" s="9" t="n">
        <v>16072083</v>
      </c>
      <c r="D24" s="9" t="n">
        <v>16351684</v>
      </c>
      <c r="E24" s="9" t="n">
        <v>16339425</v>
      </c>
      <c r="F24" s="9" t="n">
        <v>16339425</v>
      </c>
    </row>
    <row r="25">
      <c r="A25" s="8" t="inlineStr">
        <is>
          <t xml:space="preserve">    Retained earnings</t>
        </is>
      </c>
      <c r="B25" s="9" t="n">
        <v>13503478</v>
      </c>
      <c r="C25" s="9" t="n">
        <v>14333182</v>
      </c>
      <c r="D25" s="9" t="n">
        <v>13480356</v>
      </c>
      <c r="E25" s="9" t="n">
        <v>15086899</v>
      </c>
      <c r="F25" s="9" t="n">
        <v>15598942</v>
      </c>
    </row>
    <row r="26">
      <c r="A26" s="10" t="inlineStr">
        <is>
          <t>Net assets</t>
        </is>
      </c>
      <c r="B26" s="11" t="n">
        <v>41671369</v>
      </c>
      <c r="C26" s="11" t="n">
        <v>43317450</v>
      </c>
      <c r="D26" s="11" t="n">
        <v>42863513</v>
      </c>
      <c r="E26" s="11" t="n">
        <v>44470056</v>
      </c>
      <c r="F26" s="11" t="n">
        <v>44982099</v>
      </c>
    </row>
    <row r="28">
      <c r="A28" s="8" t="inlineStr">
        <is>
          <t>Balance check (assets − liab. − net assets)</t>
        </is>
      </c>
      <c r="B28" s="9" t="n">
        <v>0</v>
      </c>
      <c r="C28" s="9" t="n">
        <v>0</v>
      </c>
      <c r="D28" s="9" t="n">
        <v>0</v>
      </c>
      <c r="E28" s="9" t="n">
        <v>0</v>
      </c>
      <c r="F28" s="9" t="n">
        <v>0</v>
      </c>
    </row>
    <row r="30" ht="42" customHeight="1">
      <c r="A30" s="3" t="inlineStr">
        <is>
          <t>Net PP&amp;E is the reported ppe_net column (gross less accumulated depreciation). The balance check should be ~0 where all three totals are reported; a non-zero value flags a reporting or extraction discrepancy worth reviewing.</t>
        </is>
      </c>
    </row>
  </sheetData>
  <mergeCells count="4">
    <mergeCell ref="A3:F3"/>
    <mergeCell ref="A2:F2"/>
    <mergeCell ref="A1:F1"/>
    <mergeCell ref="A30:F30"/>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1"/>
  <sheetViews>
    <sheetView workbookViewId="0">
      <pane ySplit="5" topLeftCell="A6" activePane="bottomLeft" state="frozen"/>
      <selection pane="bottomLeft" activeCell="A1" sqref="A1"/>
    </sheetView>
  </sheetViews>
  <sheetFormatPr baseColWidth="8" defaultRowHeight="15"/>
  <cols>
    <col width="34" customWidth="1" min="1" max="1"/>
    <col width="18" customWidth="1" min="2" max="2"/>
    <col width="18" customWidth="1" min="3" max="3"/>
    <col width="18" customWidth="1" min="4" max="4"/>
    <col width="18" customWidth="1" min="5" max="5"/>
    <col width="18" customWidth="1" min="6" max="6"/>
  </cols>
  <sheetData>
    <row r="1">
      <c r="A1" s="1" t="inlineStr">
        <is>
          <t>Vaughn Water Company Inc</t>
        </is>
      </c>
    </row>
    <row r="2">
      <c r="A2" s="2" t="inlineStr">
        <is>
          <t>Officers, Directors &amp; Contractors - Form 990 Part VII (FY2024; USD)</t>
        </is>
      </c>
    </row>
    <row r="3">
      <c r="A3" s="2" t="inlineStr">
        <is>
          <t>Entity ID: cawc_0030   |   Fiscal year ends December 31.</t>
        </is>
      </c>
    </row>
    <row r="5">
      <c r="A5" s="6" t="inlineStr">
        <is>
          <t>Section A - Officers, directors, trustees, key employees</t>
        </is>
      </c>
      <c r="B5" s="7" t="n"/>
      <c r="C5" s="7" t="n"/>
      <c r="D5" s="7" t="n"/>
      <c r="E5" s="7" t="n"/>
      <c r="F5" s="7" t="n"/>
    </row>
    <row r="6">
      <c r="A6" s="5" t="inlineStr">
        <is>
          <t>Name</t>
        </is>
      </c>
      <c r="B6" s="5" t="inlineStr">
        <is>
          <t>Title</t>
        </is>
      </c>
      <c r="C6" s="5" t="inlineStr">
        <is>
          <t>Reportable comp (org)</t>
        </is>
      </c>
      <c r="D6" s="5" t="inlineStr">
        <is>
          <t>Reportable comp (related)</t>
        </is>
      </c>
      <c r="E6" s="5" t="inlineStr">
        <is>
          <t>Other comp</t>
        </is>
      </c>
      <c r="F6" s="5" t="inlineStr">
        <is>
          <t>Total compensation</t>
        </is>
      </c>
    </row>
    <row r="7">
      <c r="A7" s="8" t="inlineStr">
        <is>
          <t>BOB BURDETTE</t>
        </is>
      </c>
      <c r="B7" s="8" t="inlineStr">
        <is>
          <t>SECRETARY</t>
        </is>
      </c>
      <c r="C7" s="9" t="n">
        <v>0</v>
      </c>
      <c r="D7" s="9" t="n">
        <v>0</v>
      </c>
      <c r="E7" s="9" t="n">
        <v>0</v>
      </c>
      <c r="F7" s="9" t="n">
        <v>0</v>
      </c>
    </row>
    <row r="8">
      <c r="A8" s="8" t="inlineStr">
        <is>
          <t>JOSHUA DIVILBISS</t>
        </is>
      </c>
      <c r="B8" s="8" t="inlineStr">
        <is>
          <t>DIRECTOR</t>
        </is>
      </c>
      <c r="C8" s="9" t="n">
        <v>0</v>
      </c>
      <c r="D8" s="9" t="n">
        <v>0</v>
      </c>
      <c r="E8" s="9" t="n">
        <v>0</v>
      </c>
      <c r="F8" s="9" t="n">
        <v>0</v>
      </c>
    </row>
    <row r="9">
      <c r="A9" s="8" t="inlineStr">
        <is>
          <t>SHAWN KELLY</t>
        </is>
      </c>
      <c r="B9" s="8" t="inlineStr">
        <is>
          <t>PRESIDENT</t>
        </is>
      </c>
      <c r="C9" s="9" t="n">
        <v>0</v>
      </c>
      <c r="D9" s="9" t="n">
        <v>0</v>
      </c>
      <c r="E9" s="9" t="n">
        <v>0</v>
      </c>
      <c r="F9" s="9" t="n">
        <v>0</v>
      </c>
    </row>
    <row r="10">
      <c r="A10" s="8" t="inlineStr">
        <is>
          <t>DANA MARTIN</t>
        </is>
      </c>
      <c r="B10" s="8" t="inlineStr">
        <is>
          <t>VICE PRESIDENT</t>
        </is>
      </c>
      <c r="C10" s="9" t="n">
        <v>0</v>
      </c>
      <c r="D10" s="9" t="n">
        <v>0</v>
      </c>
      <c r="E10" s="9" t="n">
        <v>0</v>
      </c>
      <c r="F10" s="9" t="n">
        <v>0</v>
      </c>
    </row>
    <row r="11">
      <c r="A11" s="8" t="inlineStr">
        <is>
          <t>PHILLIP WRIGHT</t>
        </is>
      </c>
      <c r="B11" s="8" t="inlineStr">
        <is>
          <t>DIRECTOR</t>
        </is>
      </c>
      <c r="C11" s="9" t="n">
        <v>0</v>
      </c>
      <c r="D11" s="9" t="n">
        <v>0</v>
      </c>
      <c r="E11" s="9" t="n">
        <v>0</v>
      </c>
      <c r="F11" s="9" t="n">
        <v>0</v>
      </c>
    </row>
    <row r="12">
      <c r="A12" s="8" t="inlineStr">
        <is>
          <t>LARRY F PENNELL</t>
        </is>
      </c>
      <c r="B12" s="8" t="inlineStr">
        <is>
          <t>DIRECTOR</t>
        </is>
      </c>
      <c r="C12" s="9" t="n">
        <v>900</v>
      </c>
      <c r="D12" s="9" t="n">
        <v>0</v>
      </c>
      <c r="E12" s="9" t="n">
        <v>0</v>
      </c>
      <c r="F12" s="9" t="n">
        <v>900</v>
      </c>
    </row>
    <row r="13">
      <c r="A13" s="18" t="inlineStr">
        <is>
          <t>VAN GRAYER</t>
        </is>
      </c>
      <c r="B13" s="18" t="inlineStr">
        <is>
          <t>GENERAL MANAGER</t>
        </is>
      </c>
      <c r="C13" s="19" t="n">
        <v>211527</v>
      </c>
      <c r="D13" s="19" t="n">
        <v>0</v>
      </c>
      <c r="E13" s="19" t="n">
        <v>0</v>
      </c>
      <c r="F13" s="19" t="n">
        <v>211527</v>
      </c>
    </row>
    <row r="14">
      <c r="A14" s="18" t="inlineStr">
        <is>
          <t>DENNY ARMSTRONG</t>
        </is>
      </c>
      <c r="B14" s="18" t="inlineStr">
        <is>
          <t>OPERATIONS SUPERVISOR</t>
        </is>
      </c>
      <c r="C14" s="19" t="n">
        <v>140911</v>
      </c>
      <c r="D14" s="19" t="n">
        <v>0</v>
      </c>
      <c r="E14" s="19" t="n">
        <v>0</v>
      </c>
      <c r="F14" s="19" t="n">
        <v>140911</v>
      </c>
    </row>
    <row r="15">
      <c r="A15" s="8" t="inlineStr">
        <is>
          <t>THOMAS WEBB</t>
        </is>
      </c>
      <c r="B15" s="8" t="inlineStr">
        <is>
          <t>DISTRIBUTION SYSTEM SUPERV</t>
        </is>
      </c>
      <c r="C15" s="9" t="n">
        <v>126330</v>
      </c>
      <c r="D15" s="9" t="n">
        <v>0</v>
      </c>
      <c r="E15" s="9" t="n">
        <v>0</v>
      </c>
      <c r="F15" s="9" t="n">
        <v>126330</v>
      </c>
    </row>
    <row r="16">
      <c r="A16" s="8" t="inlineStr">
        <is>
          <t>JAIME ACEVEDO</t>
        </is>
      </c>
      <c r="B16" s="8" t="inlineStr">
        <is>
          <t>SPECIAL PROJECTS COORDINAT</t>
        </is>
      </c>
      <c r="C16" s="9" t="n">
        <v>130071</v>
      </c>
      <c r="D16" s="9" t="n">
        <v>0</v>
      </c>
      <c r="E16" s="9" t="n">
        <v>0</v>
      </c>
      <c r="F16" s="9" t="n">
        <v>130071</v>
      </c>
    </row>
    <row r="18">
      <c r="A18" s="6" t="inlineStr">
        <is>
          <t>Section B - Independent contractors (over $100,000)</t>
        </is>
      </c>
      <c r="B18" s="7" t="n"/>
      <c r="C18" s="7" t="n"/>
      <c r="D18" s="7" t="n"/>
      <c r="E18" s="7" t="n"/>
      <c r="F18" s="7" t="n"/>
    </row>
    <row r="19">
      <c r="A19" s="5" t="inlineStr">
        <is>
          <t>Contractor</t>
        </is>
      </c>
      <c r="B19" s="5" t="inlineStr">
        <is>
          <t>Services</t>
        </is>
      </c>
      <c r="C19" s="5" t="inlineStr">
        <is>
          <t>Compensation</t>
        </is>
      </c>
    </row>
    <row r="21" ht="42" customHeight="1">
      <c r="A21" s="3" t="inlineStr">
        <is>
          <t>Section A lists every officer, director, trustee and key employee filed for the latest year; the two with the highest total compensation are highlighted. Total compensation is computed (reportable org + related + other). Section B lists each independent contractor paid over $100,000; the return reports 0 such contractor(s). Source and confidence for every figure are on the Sources &amp; audit tab.</t>
        </is>
      </c>
    </row>
  </sheetData>
  <mergeCells count="4">
    <mergeCell ref="A3:F3"/>
    <mergeCell ref="A2:F2"/>
    <mergeCell ref="A21:F21"/>
    <mergeCell ref="A1:F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0"/>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s>
  <sheetData>
    <row r="1">
      <c r="A1" s="1" t="inlineStr">
        <is>
          <t>Vaughn Water Company Inc</t>
        </is>
      </c>
    </row>
    <row r="2">
      <c r="A2" s="2" t="inlineStr">
        <is>
          <t>Revenue - Form 990 Part VIII (USD)</t>
        </is>
      </c>
    </row>
    <row r="3">
      <c r="A3" s="2" t="inlineStr">
        <is>
          <t>Entity ID: cawc_0030   |   Fiscal year ends December 31.</t>
        </is>
      </c>
    </row>
    <row r="5">
      <c r="A5" s="4" t="inlineStr">
        <is>
          <t>Part VIII line</t>
        </is>
      </c>
      <c r="B5" s="5" t="inlineStr">
        <is>
          <t>FY2020</t>
        </is>
      </c>
      <c r="C5" s="5" t="inlineStr">
        <is>
          <t>FY2021</t>
        </is>
      </c>
      <c r="D5" s="5" t="inlineStr">
        <is>
          <t>FY2022</t>
        </is>
      </c>
      <c r="E5" s="5" t="inlineStr">
        <is>
          <t>FY2023</t>
        </is>
      </c>
      <c r="F5" s="5" t="inlineStr">
        <is>
          <t>FY2024</t>
        </is>
      </c>
    </row>
    <row r="6">
      <c r="A6" s="6" t="inlineStr">
        <is>
          <t>Revenue by category</t>
        </is>
      </c>
      <c r="B6" s="7" t="n"/>
      <c r="C6" s="7" t="n"/>
      <c r="D6" s="7" t="n"/>
      <c r="E6" s="7" t="n"/>
      <c r="F6" s="7" t="n"/>
    </row>
    <row r="7">
      <c r="A7" s="8" t="inlineStr">
        <is>
          <t xml:space="preserve">    1h. Total contributions, gifts, grants</t>
        </is>
      </c>
      <c r="B7" s="14" t="inlineStr">
        <is>
          <t>not reported</t>
        </is>
      </c>
      <c r="C7" s="14" t="inlineStr">
        <is>
          <t>not reported</t>
        </is>
      </c>
      <c r="D7" s="14" t="inlineStr">
        <is>
          <t>not reported</t>
        </is>
      </c>
      <c r="E7" s="14" t="inlineStr">
        <is>
          <t>not reported</t>
        </is>
      </c>
      <c r="F7" s="14" t="inlineStr">
        <is>
          <t>not reported</t>
        </is>
      </c>
    </row>
    <row r="8">
      <c r="A8" s="8" t="inlineStr">
        <is>
          <t xml:space="preserve">    2g. Total program service revenue</t>
        </is>
      </c>
      <c r="B8" s="9" t="n">
        <v>9106619</v>
      </c>
      <c r="C8" s="9" t="n">
        <v>9221448</v>
      </c>
      <c r="D8" s="9" t="n">
        <v>9129183</v>
      </c>
      <c r="E8" s="9" t="n">
        <v>11066242</v>
      </c>
      <c r="F8" s="9" t="n">
        <v>11206435</v>
      </c>
    </row>
    <row r="9">
      <c r="A9" s="8" t="inlineStr">
        <is>
          <t xml:space="preserve">    3. Investment income</t>
        </is>
      </c>
      <c r="B9" s="9" t="n">
        <v>68235</v>
      </c>
      <c r="C9" s="9" t="n">
        <v>49610</v>
      </c>
      <c r="D9" s="9" t="n">
        <v>48262</v>
      </c>
      <c r="E9" s="9" t="n">
        <v>637325</v>
      </c>
      <c r="F9" s="9" t="n">
        <v>879892</v>
      </c>
    </row>
    <row r="10">
      <c r="A10" s="8" t="inlineStr">
        <is>
          <t xml:space="preserve">    6d. Net rental income</t>
        </is>
      </c>
      <c r="B10" s="14" t="inlineStr">
        <is>
          <t>not reported</t>
        </is>
      </c>
      <c r="C10" s="14" t="inlineStr">
        <is>
          <t>not reported</t>
        </is>
      </c>
      <c r="D10" s="14" t="inlineStr">
        <is>
          <t>not reported</t>
        </is>
      </c>
      <c r="E10" s="14" t="inlineStr">
        <is>
          <t>not reported</t>
        </is>
      </c>
      <c r="F10" s="14" t="inlineStr">
        <is>
          <t>not reported</t>
        </is>
      </c>
    </row>
    <row r="11">
      <c r="A11" s="8" t="inlineStr">
        <is>
          <t xml:space="preserve">    7d. Net gain/(loss) from investment sales</t>
        </is>
      </c>
      <c r="B11" s="14" t="inlineStr">
        <is>
          <t>not reported</t>
        </is>
      </c>
      <c r="C11" s="14" t="inlineStr">
        <is>
          <t>not reported</t>
        </is>
      </c>
      <c r="D11" s="14" t="inlineStr">
        <is>
          <t>not reported</t>
        </is>
      </c>
      <c r="E11" s="14" t="inlineStr">
        <is>
          <t>not reported</t>
        </is>
      </c>
      <c r="F11" s="14" t="inlineStr">
        <is>
          <t>not reported</t>
        </is>
      </c>
    </row>
    <row r="12">
      <c r="A12" s="8" t="inlineStr">
        <is>
          <t xml:space="preserve">    11e. Other revenue</t>
        </is>
      </c>
      <c r="B12" s="9" t="n">
        <v>12033292</v>
      </c>
      <c r="C12" s="9" t="n">
        <v>28566</v>
      </c>
      <c r="D12" s="9" t="n">
        <v>2269</v>
      </c>
      <c r="E12" s="14" t="inlineStr">
        <is>
          <t>not reported</t>
        </is>
      </c>
      <c r="F12" s="14" t="inlineStr">
        <is>
          <t>not reported</t>
        </is>
      </c>
    </row>
    <row r="13">
      <c r="A13" s="10" t="inlineStr">
        <is>
          <t>12. Total revenue</t>
        </is>
      </c>
      <c r="B13" s="11">
        <f>SUM(B7:B12)</f>
        <v/>
      </c>
      <c r="C13" s="11">
        <f>SUM(C7:C12)</f>
        <v/>
      </c>
      <c r="D13" s="11">
        <f>SUM(D7:D12)</f>
        <v/>
      </c>
      <c r="E13" s="11">
        <f>SUM(E7:E12)</f>
        <v/>
      </c>
      <c r="F13" s="11">
        <f>SUM(F7:F12)</f>
        <v/>
      </c>
    </row>
    <row r="15">
      <c r="A15" s="6" t="inlineStr">
        <is>
          <t>Program service revenue detail - FY2024 (lines 2a-2f)</t>
        </is>
      </c>
      <c r="B15" s="7" t="n"/>
      <c r="C15" s="7" t="n"/>
      <c r="D15" s="7" t="n"/>
      <c r="E15" s="7" t="n"/>
      <c r="F15" s="7" t="n"/>
    </row>
    <row r="16">
      <c r="A16" s="5" t="inlineStr">
        <is>
          <t>Description</t>
        </is>
      </c>
      <c r="B16" s="5" t="inlineStr">
        <is>
          <t>Business code</t>
        </is>
      </c>
      <c r="C16" s="5" t="inlineStr">
        <is>
          <t>Total revenue</t>
        </is>
      </c>
    </row>
    <row r="17">
      <c r="A17" s="8" t="inlineStr">
        <is>
          <t>WATER SALES</t>
        </is>
      </c>
      <c r="B17" s="8" t="n"/>
      <c r="C17" s="9" t="n">
        <v>11037215</v>
      </c>
    </row>
    <row r="18">
      <c r="A18" s="8" t="inlineStr">
        <is>
          <t>WATER AVAILABILITY CHARGES</t>
        </is>
      </c>
      <c r="B18" s="8" t="n"/>
      <c r="C18" s="9" t="n">
        <v>161992</v>
      </c>
    </row>
    <row r="19">
      <c r="A19" s="8" t="inlineStr">
        <is>
          <t>OTHER INCOME</t>
        </is>
      </c>
      <c r="B19" s="8" t="n"/>
      <c r="C19" s="9" t="n">
        <v>7228</v>
      </c>
    </row>
    <row r="20" ht="42" customHeight="1">
      <c r="A20" s="3" t="inlineStr">
        <is>
          <t>Revenue category subtotals are as filed. Total revenue (line 12) is a live SUM of the category cells above; its tie-out to the filed total is on the Sources &amp; audit tab. Program service revenue detail is shown for the latest year, with its sum-to-line-2g check on that same audit tab.</t>
        </is>
      </c>
    </row>
  </sheetData>
  <mergeCells count="4">
    <mergeCell ref="A3:F3"/>
    <mergeCell ref="A2:F2"/>
    <mergeCell ref="A20:F20"/>
    <mergeCell ref="A1:F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37"/>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6" customWidth="1" min="2" max="2"/>
    <col width="16" customWidth="1" min="3" max="3"/>
    <col width="16" customWidth="1" min="4" max="4"/>
    <col width="16" customWidth="1" min="5" max="5"/>
    <col width="16" customWidth="1" min="6" max="6"/>
  </cols>
  <sheetData>
    <row r="1">
      <c r="A1" s="1" t="inlineStr">
        <is>
          <t>Vaughn Water Company Inc</t>
        </is>
      </c>
    </row>
    <row r="2">
      <c r="A2" s="2" t="inlineStr">
        <is>
          <t>Statement of Functional Expenses - Form 990 Part IX (USD)</t>
        </is>
      </c>
    </row>
    <row r="3">
      <c r="A3" s="2" t="inlineStr">
        <is>
          <t>Entity ID: cawc_0030   |   Fiscal year ends December 31.</t>
        </is>
      </c>
    </row>
    <row r="5">
      <c r="A5" s="4" t="inlineStr">
        <is>
          <t>Part IX line (column A Total)</t>
        </is>
      </c>
      <c r="B5" s="5" t="inlineStr">
        <is>
          <t>FY2020</t>
        </is>
      </c>
      <c r="C5" s="5" t="inlineStr">
        <is>
          <t>FY2021</t>
        </is>
      </c>
      <c r="D5" s="5" t="inlineStr">
        <is>
          <t>FY2022</t>
        </is>
      </c>
      <c r="E5" s="5" t="inlineStr">
        <is>
          <t>FY2023</t>
        </is>
      </c>
      <c r="F5" s="5" t="inlineStr">
        <is>
          <t>FY2024</t>
        </is>
      </c>
    </row>
    <row r="6">
      <c r="A6" s="6" t="inlineStr">
        <is>
          <t>Functional expenses, column A Total - by year</t>
        </is>
      </c>
      <c r="B6" s="7" t="n"/>
      <c r="C6" s="7" t="n"/>
      <c r="D6" s="7" t="n"/>
      <c r="E6" s="7" t="n"/>
      <c r="F6" s="7" t="n"/>
    </row>
    <row r="7">
      <c r="A7" s="8" t="inlineStr">
        <is>
          <t xml:space="preserve">    5. Compensation of current officers, directors, trustees</t>
        </is>
      </c>
      <c r="B7" s="14" t="inlineStr">
        <is>
          <t>not reported</t>
        </is>
      </c>
      <c r="C7" s="9" t="n">
        <v>368449</v>
      </c>
      <c r="D7" s="9" t="n">
        <v>400151</v>
      </c>
      <c r="E7" s="9" t="n">
        <v>203391</v>
      </c>
      <c r="F7" s="9" t="n">
        <v>609739</v>
      </c>
    </row>
    <row r="8">
      <c r="A8" s="8" t="inlineStr">
        <is>
          <t xml:space="preserve">    7. Other salaries and wages</t>
        </is>
      </c>
      <c r="B8" s="9" t="n">
        <v>1661049</v>
      </c>
      <c r="C8" s="9" t="n">
        <v>1334154</v>
      </c>
      <c r="D8" s="9" t="n">
        <v>1164722</v>
      </c>
      <c r="E8" s="9" t="n">
        <v>1542002</v>
      </c>
      <c r="F8" s="9" t="n">
        <v>1288011</v>
      </c>
    </row>
    <row r="9">
      <c r="A9" s="8" t="inlineStr">
        <is>
          <t xml:space="preserve">    8. Pension plan accruals and contributions</t>
        </is>
      </c>
      <c r="B9" s="9" t="n">
        <v>141242</v>
      </c>
      <c r="C9" s="9" t="n">
        <v>153634</v>
      </c>
      <c r="D9" s="9" t="n">
        <v>160815</v>
      </c>
      <c r="E9" s="14" t="inlineStr">
        <is>
          <t>not reported</t>
        </is>
      </c>
      <c r="F9" s="14" t="inlineStr">
        <is>
          <t>not reported</t>
        </is>
      </c>
    </row>
    <row r="10">
      <c r="A10" s="8" t="inlineStr">
        <is>
          <t xml:space="preserve">    9. Other employee benefits</t>
        </is>
      </c>
      <c r="B10" s="14" t="inlineStr">
        <is>
          <t>not reported</t>
        </is>
      </c>
      <c r="C10" s="14" t="inlineStr">
        <is>
          <t>not reported</t>
        </is>
      </c>
      <c r="D10" s="9" t="n">
        <v>190398</v>
      </c>
      <c r="E10" s="9" t="n">
        <v>164419</v>
      </c>
      <c r="F10" s="14" t="inlineStr">
        <is>
          <t>not reported</t>
        </is>
      </c>
    </row>
    <row r="11">
      <c r="A11" s="8" t="inlineStr">
        <is>
          <t xml:space="preserve">    10. Payroll taxes</t>
        </is>
      </c>
      <c r="B11" s="9" t="n">
        <v>112594</v>
      </c>
      <c r="C11" s="9" t="n">
        <v>124820</v>
      </c>
      <c r="D11" s="9" t="n">
        <v>117050</v>
      </c>
      <c r="E11" s="9" t="n">
        <v>130298</v>
      </c>
      <c r="F11" s="9" t="n">
        <v>140798</v>
      </c>
    </row>
    <row r="12">
      <c r="A12" s="8" t="inlineStr">
        <is>
          <t xml:space="preserve">    11b. Fees for services: legal</t>
        </is>
      </c>
      <c r="B12" s="14" t="inlineStr">
        <is>
          <t>not reported</t>
        </is>
      </c>
      <c r="C12" s="14" t="inlineStr">
        <is>
          <t>not reported</t>
        </is>
      </c>
      <c r="D12" s="9" t="n">
        <v>441</v>
      </c>
      <c r="E12" s="14" t="inlineStr">
        <is>
          <t>not reported</t>
        </is>
      </c>
      <c r="F12" s="14" t="inlineStr">
        <is>
          <t>not reported</t>
        </is>
      </c>
    </row>
    <row r="13">
      <c r="A13" s="8" t="inlineStr">
        <is>
          <t xml:space="preserve">    11c. Fees for services: accounting</t>
        </is>
      </c>
      <c r="B13" s="14" t="inlineStr">
        <is>
          <t>not reported</t>
        </is>
      </c>
      <c r="C13" s="14" t="inlineStr">
        <is>
          <t>not reported</t>
        </is>
      </c>
      <c r="D13" s="9" t="n">
        <v>37400</v>
      </c>
      <c r="E13" s="14" t="inlineStr">
        <is>
          <t>not reported</t>
        </is>
      </c>
      <c r="F13" s="14" t="inlineStr">
        <is>
          <t>not reported</t>
        </is>
      </c>
    </row>
    <row r="14">
      <c r="A14" s="8" t="inlineStr">
        <is>
          <t xml:space="preserve">    11g. Fees for services: other</t>
        </is>
      </c>
      <c r="B14" s="9" t="n">
        <v>157240</v>
      </c>
      <c r="C14" s="9" t="n">
        <v>80003</v>
      </c>
      <c r="D14" s="9" t="n">
        <v>217608</v>
      </c>
      <c r="E14" s="9" t="n">
        <v>488016</v>
      </c>
      <c r="F14" s="9" t="n">
        <v>595804</v>
      </c>
    </row>
    <row r="15">
      <c r="A15" s="8" t="inlineStr">
        <is>
          <t xml:space="preserve">    13. Office expenses</t>
        </is>
      </c>
      <c r="B15" s="9" t="n">
        <v>62615</v>
      </c>
      <c r="C15" s="9" t="n">
        <v>60368</v>
      </c>
      <c r="D15" s="9" t="n">
        <v>147001</v>
      </c>
      <c r="E15" s="9" t="n">
        <v>52543</v>
      </c>
      <c r="F15" s="14" t="inlineStr">
        <is>
          <t>not reported</t>
        </is>
      </c>
    </row>
    <row r="16">
      <c r="A16" s="8" t="inlineStr">
        <is>
          <t xml:space="preserve">    14. Information technology</t>
        </is>
      </c>
      <c r="B16" s="9" t="n">
        <v>84324</v>
      </c>
      <c r="C16" s="9" t="n">
        <v>84910</v>
      </c>
      <c r="D16" s="9" t="n">
        <v>129430</v>
      </c>
      <c r="E16" s="9" t="n">
        <v>60632</v>
      </c>
      <c r="F16" s="9" t="n">
        <v>62985</v>
      </c>
    </row>
    <row r="17">
      <c r="A17" s="8" t="inlineStr">
        <is>
          <t xml:space="preserve">    16. Occupancy</t>
        </is>
      </c>
      <c r="B17" s="9" t="n">
        <v>163771</v>
      </c>
      <c r="C17" s="9" t="n">
        <v>188746</v>
      </c>
      <c r="D17" s="9" t="n">
        <v>6145</v>
      </c>
      <c r="E17" s="14" t="inlineStr">
        <is>
          <t>not reported</t>
        </is>
      </c>
      <c r="F17" s="14" t="inlineStr">
        <is>
          <t>not reported</t>
        </is>
      </c>
    </row>
    <row r="18">
      <c r="A18" s="8" t="inlineStr">
        <is>
          <t xml:space="preserve">    17. Travel</t>
        </is>
      </c>
      <c r="B18" s="14" t="inlineStr">
        <is>
          <t>not reported</t>
        </is>
      </c>
      <c r="C18" s="14" t="inlineStr">
        <is>
          <t>not reported</t>
        </is>
      </c>
      <c r="D18" s="9" t="n">
        <v>6972</v>
      </c>
      <c r="E18" s="14" t="inlineStr">
        <is>
          <t>not reported</t>
        </is>
      </c>
      <c r="F18" s="14" t="inlineStr">
        <is>
          <t>not reported</t>
        </is>
      </c>
    </row>
    <row r="19">
      <c r="A19" s="8" t="inlineStr">
        <is>
          <t xml:space="preserve">    20. Interest</t>
        </is>
      </c>
      <c r="B19" s="9" t="n">
        <v>72812</v>
      </c>
      <c r="C19" s="9" t="n">
        <v>42282</v>
      </c>
      <c r="D19" s="9" t="n">
        <v>30981</v>
      </c>
      <c r="E19" s="9" t="n">
        <v>27309</v>
      </c>
      <c r="F19" s="14" t="inlineStr">
        <is>
          <t>not reported</t>
        </is>
      </c>
    </row>
    <row r="20">
      <c r="A20" s="8" t="inlineStr">
        <is>
          <t xml:space="preserve">    22. Depreciation, depletion, and amortization</t>
        </is>
      </c>
      <c r="B20" s="9" t="n">
        <v>1055604</v>
      </c>
      <c r="C20" s="9" t="n">
        <v>1023563</v>
      </c>
      <c r="D20" s="9" t="n">
        <v>1133207</v>
      </c>
      <c r="E20" s="9" t="n">
        <v>1137177</v>
      </c>
      <c r="F20" s="9" t="n">
        <v>707913</v>
      </c>
    </row>
    <row r="21">
      <c r="A21" s="8" t="inlineStr">
        <is>
          <t xml:space="preserve">    23. Insurance</t>
        </is>
      </c>
      <c r="B21" s="9" t="n">
        <v>94477</v>
      </c>
      <c r="C21" s="9" t="n">
        <v>109873</v>
      </c>
      <c r="D21" s="9" t="n">
        <v>127869</v>
      </c>
      <c r="E21" s="9" t="n">
        <v>308801</v>
      </c>
      <c r="F21" s="9" t="n">
        <v>429408</v>
      </c>
    </row>
    <row r="22">
      <c r="A22" s="8" t="inlineStr">
        <is>
          <t xml:space="preserve">    24. POWER</t>
        </is>
      </c>
      <c r="B22" s="9" t="n">
        <v>2802677</v>
      </c>
      <c r="C22" s="9" t="n">
        <v>2833639</v>
      </c>
      <c r="D22" s="9" t="n">
        <v>3479640</v>
      </c>
      <c r="E22" s="9" t="n">
        <v>3749838</v>
      </c>
      <c r="F22" s="9" t="n">
        <v>4364148</v>
      </c>
    </row>
    <row r="23">
      <c r="A23" s="8" t="inlineStr">
        <is>
          <t xml:space="preserve">    24. SITE REPAIRS &amp; MAINTENANC</t>
        </is>
      </c>
      <c r="B23" s="9" t="n">
        <v>1166163</v>
      </c>
      <c r="C23" s="9" t="n">
        <v>1319019</v>
      </c>
      <c r="D23" s="9" t="n">
        <v>1075869</v>
      </c>
      <c r="E23" s="14" t="inlineStr">
        <is>
          <t>not reported</t>
        </is>
      </c>
      <c r="F23" s="14" t="inlineStr">
        <is>
          <t>not reported</t>
        </is>
      </c>
    </row>
    <row r="24">
      <c r="A24" s="8" t="inlineStr">
        <is>
          <t xml:space="preserve">    24. WATER</t>
        </is>
      </c>
      <c r="B24" s="9" t="n">
        <v>223288</v>
      </c>
      <c r="C24" s="9" t="n">
        <v>234375</v>
      </c>
      <c r="D24" s="9" t="n">
        <v>237912</v>
      </c>
      <c r="E24" s="14" t="inlineStr">
        <is>
          <t>not reported</t>
        </is>
      </c>
      <c r="F24" s="14" t="inlineStr">
        <is>
          <t>not reported</t>
        </is>
      </c>
    </row>
    <row r="25">
      <c r="A25" s="8" t="inlineStr">
        <is>
          <t xml:space="preserve">    24. WATER ANALYSIS</t>
        </is>
      </c>
      <c r="B25" s="9" t="n">
        <v>126320</v>
      </c>
      <c r="C25" s="14" t="inlineStr">
        <is>
          <t>not reported</t>
        </is>
      </c>
      <c r="D25" s="14" t="inlineStr">
        <is>
          <t>not reported</t>
        </is>
      </c>
      <c r="E25" s="14" t="inlineStr">
        <is>
          <t>not reported</t>
        </is>
      </c>
      <c r="F25" s="14" t="inlineStr">
        <is>
          <t>not reported</t>
        </is>
      </c>
    </row>
    <row r="26">
      <c r="A26" s="8" t="inlineStr">
        <is>
          <t xml:space="preserve">    24. OPERATING LEASE EXP</t>
        </is>
      </c>
      <c r="B26" s="14" t="inlineStr">
        <is>
          <t>not reported</t>
        </is>
      </c>
      <c r="C26" s="9" t="n">
        <v>137714</v>
      </c>
      <c r="D26" s="14" t="inlineStr">
        <is>
          <t>not reported</t>
        </is>
      </c>
      <c r="E26" s="14" t="inlineStr">
        <is>
          <t>not reported</t>
        </is>
      </c>
      <c r="F26" s="14" t="inlineStr">
        <is>
          <t>not reported</t>
        </is>
      </c>
    </row>
    <row r="27">
      <c r="A27" s="8" t="inlineStr">
        <is>
          <t xml:space="preserve">    24. CARBON MEDIA</t>
        </is>
      </c>
      <c r="B27" s="14" t="inlineStr">
        <is>
          <t>not reported</t>
        </is>
      </c>
      <c r="C27" s="14" t="inlineStr">
        <is>
          <t>not reported</t>
        </is>
      </c>
      <c r="D27" s="9" t="n">
        <v>791761</v>
      </c>
      <c r="E27" s="14" t="inlineStr">
        <is>
          <t>not reported</t>
        </is>
      </c>
      <c r="F27" s="14" t="inlineStr">
        <is>
          <t>not reported</t>
        </is>
      </c>
    </row>
    <row r="28">
      <c r="A28" s="8" t="inlineStr">
        <is>
          <t xml:space="preserve">    24. REPAIRS &amp; MAINTENANCE</t>
        </is>
      </c>
      <c r="B28" s="14" t="inlineStr">
        <is>
          <t>not reported</t>
        </is>
      </c>
      <c r="C28" s="14" t="inlineStr">
        <is>
          <t>not reported</t>
        </is>
      </c>
      <c r="D28" s="14" t="inlineStr">
        <is>
          <t>not reported</t>
        </is>
      </c>
      <c r="E28" s="9" t="n">
        <v>1188948</v>
      </c>
      <c r="F28" s="9" t="n">
        <v>1063600</v>
      </c>
    </row>
    <row r="29">
      <c r="A29" s="8" t="inlineStr">
        <is>
          <t xml:space="preserve">    24. CARBON MEDIA REPLACEMEN</t>
        </is>
      </c>
      <c r="B29" s="14" t="inlineStr">
        <is>
          <t>not reported</t>
        </is>
      </c>
      <c r="C29" s="14" t="inlineStr">
        <is>
          <t>not reported</t>
        </is>
      </c>
      <c r="D29" s="14" t="inlineStr">
        <is>
          <t>not reported</t>
        </is>
      </c>
      <c r="E29" s="9" t="n">
        <v>367023</v>
      </c>
      <c r="F29" s="9" t="n">
        <v>704247</v>
      </c>
    </row>
    <row r="30">
      <c r="A30" s="8" t="inlineStr">
        <is>
          <t xml:space="preserve">    24. POSTAGE</t>
        </is>
      </c>
      <c r="B30" s="14" t="inlineStr">
        <is>
          <t>not reported</t>
        </is>
      </c>
      <c r="C30" s="14" t="inlineStr">
        <is>
          <t>not reported</t>
        </is>
      </c>
      <c r="D30" s="14" t="inlineStr">
        <is>
          <t>not reported</t>
        </is>
      </c>
      <c r="E30" s="9" t="n">
        <v>136624</v>
      </c>
      <c r="F30" s="14" t="inlineStr">
        <is>
          <t>not reported</t>
        </is>
      </c>
    </row>
    <row r="31">
      <c r="A31" s="8" t="inlineStr">
        <is>
          <t xml:space="preserve">    24. BAD DEBT EXPENSE</t>
        </is>
      </c>
      <c r="B31" s="14" t="inlineStr">
        <is>
          <t>not reported</t>
        </is>
      </c>
      <c r="C31" s="14" t="inlineStr">
        <is>
          <t>not reported</t>
        </is>
      </c>
      <c r="D31" s="14" t="inlineStr">
        <is>
          <t>not reported</t>
        </is>
      </c>
      <c r="E31" s="14" t="inlineStr">
        <is>
          <t>not reported</t>
        </is>
      </c>
      <c r="F31" s="9" t="n">
        <v>200000</v>
      </c>
    </row>
    <row r="32">
      <c r="A32" s="8" t="inlineStr">
        <is>
          <t xml:space="preserve">    24e. All other expenses</t>
        </is>
      </c>
      <c r="B32" s="9" t="n">
        <v>352490</v>
      </c>
      <c r="C32" s="9" t="n">
        <v>374371</v>
      </c>
      <c r="D32" s="9" t="n">
        <v>538384</v>
      </c>
      <c r="E32" s="9" t="n">
        <v>491386</v>
      </c>
      <c r="F32" s="9" t="n">
        <v>879846</v>
      </c>
    </row>
    <row r="33">
      <c r="A33" s="10" t="inlineStr">
        <is>
          <t>25. Total functional expenses</t>
        </is>
      </c>
      <c r="B33" s="11">
        <f>SUM(B7:B32)</f>
        <v/>
      </c>
      <c r="C33" s="11">
        <f>SUM(C7:C32)</f>
        <v/>
      </c>
      <c r="D33" s="11">
        <f>SUM(D7:D32)</f>
        <v/>
      </c>
      <c r="E33" s="11">
        <f>SUM(E7:E32)</f>
        <v/>
      </c>
      <c r="F33" s="11">
        <f>SUM(F7:F32)</f>
        <v/>
      </c>
    </row>
    <row r="35">
      <c r="A35" s="6" t="inlineStr">
        <is>
          <t>Functional column split - FY2024</t>
        </is>
      </c>
      <c r="B35" s="7" t="n"/>
      <c r="C35" s="7" t="n"/>
      <c r="D35" s="7" t="n"/>
      <c r="E35" s="7" t="n"/>
      <c r="F35" s="7" t="n"/>
    </row>
    <row r="36" ht="42" customHeight="1">
      <c r="A36" s="3" t="inlineStr">
        <is>
          <t>Not reported. This filer reports only column A (Total) of Part IX; the program / management / fundraising split (columns B-D) is not filed, so it is left as not reported rather than shown empty or inferred.</t>
        </is>
      </c>
    </row>
    <row r="37" ht="42" customHeight="1">
      <c r="A37" s="3" t="inlineStr">
        <is>
          <t>Top block: each Part IX line, column A (Total), by year, as filed. Total functional expenses (line 25) is a live SUM of the line cells; its tie-out to the filed total is on the Sources &amp; audit tab. Filer-itemized 24a-24d rows show the most recent year's as-filed wording; rows are aligned across years case-insensitively with collapsed spacing, so a line filed only in a different capitalization or spacing shares one row, while genuinely different wording stays a separate row (every as-filed variant is recorded on the Sources &amp; audit tab). This filer reports only column A (Total); the program / management / fundraising split (columns B-D) is not reported. Lines this filer does not report are omitted rather than shown empty.</t>
        </is>
      </c>
    </row>
  </sheetData>
  <mergeCells count="5">
    <mergeCell ref="A2:F2"/>
    <mergeCell ref="A36:F36"/>
    <mergeCell ref="A1:F1"/>
    <mergeCell ref="A37:F37"/>
    <mergeCell ref="A3:F3"/>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27"/>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s>
  <sheetData>
    <row r="1">
      <c r="A1" s="1" t="inlineStr">
        <is>
          <t>Vaughn Water Company Inc</t>
        </is>
      </c>
    </row>
    <row r="2">
      <c r="A2" s="2" t="inlineStr">
        <is>
          <t>Balance Sheet - Form 990 Part X (end of year, USD)</t>
        </is>
      </c>
    </row>
    <row r="3">
      <c r="A3" s="2" t="inlineStr">
        <is>
          <t>Entity ID: cawc_0030   |   Fiscal year ends December 31.</t>
        </is>
      </c>
    </row>
    <row r="5">
      <c r="A5" s="4" t="inlineStr">
        <is>
          <t>Part X line (column B, EOY)</t>
        </is>
      </c>
      <c r="B5" s="5" t="inlineStr">
        <is>
          <t>FY2020</t>
        </is>
      </c>
      <c r="C5" s="5" t="inlineStr">
        <is>
          <t>FY2021</t>
        </is>
      </c>
      <c r="D5" s="5" t="inlineStr">
        <is>
          <t>FY2022</t>
        </is>
      </c>
      <c r="E5" s="5" t="inlineStr">
        <is>
          <t>FY2023</t>
        </is>
      </c>
      <c r="F5" s="5" t="inlineStr">
        <is>
          <t>FY2024</t>
        </is>
      </c>
    </row>
    <row r="6">
      <c r="A6" s="6" t="inlineStr">
        <is>
          <t>Assets</t>
        </is>
      </c>
      <c r="B6" s="7" t="n"/>
      <c r="C6" s="7" t="n"/>
      <c r="D6" s="7" t="n"/>
      <c r="E6" s="7" t="n"/>
      <c r="F6" s="7" t="n"/>
    </row>
    <row r="7">
      <c r="A7" s="8" t="inlineStr">
        <is>
          <t xml:space="preserve">    1. Cash - non-interest-bearing</t>
        </is>
      </c>
      <c r="B7" s="9" t="n">
        <v>380719</v>
      </c>
      <c r="C7" s="9" t="n">
        <v>1130043</v>
      </c>
      <c r="D7" s="9" t="n">
        <v>1132372</v>
      </c>
      <c r="E7" s="9" t="n">
        <v>961256</v>
      </c>
      <c r="F7" s="9" t="n">
        <v>2159708</v>
      </c>
    </row>
    <row r="8">
      <c r="A8" s="8" t="inlineStr">
        <is>
          <t xml:space="preserve">    2. Savings and temporary cash investments</t>
        </is>
      </c>
      <c r="B8" s="9" t="n">
        <v>21147024</v>
      </c>
      <c r="C8" s="9" t="n">
        <v>20661963</v>
      </c>
      <c r="D8" s="9" t="n">
        <v>20779294</v>
      </c>
      <c r="E8" s="9" t="n">
        <v>21471514</v>
      </c>
      <c r="F8" s="9" t="n">
        <v>22054340</v>
      </c>
    </row>
    <row r="9">
      <c r="A9" s="8" t="inlineStr">
        <is>
          <t xml:space="preserve">    4. Accounts receivable, net</t>
        </is>
      </c>
      <c r="B9" s="9" t="n">
        <v>387938</v>
      </c>
      <c r="C9" s="9" t="n">
        <v>616502</v>
      </c>
      <c r="D9" s="9" t="n">
        <v>357391</v>
      </c>
      <c r="E9" s="9" t="n">
        <v>507733</v>
      </c>
      <c r="F9" s="9" t="n">
        <v>411362</v>
      </c>
    </row>
    <row r="10">
      <c r="A10" s="8" t="inlineStr">
        <is>
          <t xml:space="preserve">    8. Inventories for sale or use</t>
        </is>
      </c>
      <c r="B10" s="9" t="n">
        <v>118825</v>
      </c>
      <c r="C10" s="9" t="n">
        <v>1808</v>
      </c>
      <c r="D10" s="9" t="n">
        <v>1808</v>
      </c>
      <c r="E10" s="9" t="n">
        <v>1808</v>
      </c>
      <c r="F10" s="9" t="n">
        <v>1808</v>
      </c>
    </row>
    <row r="11">
      <c r="A11" s="8" t="inlineStr">
        <is>
          <t xml:space="preserve">    9. Prepaid expenses and deferred charges</t>
        </is>
      </c>
      <c r="B11" s="9" t="n">
        <v>1808</v>
      </c>
      <c r="C11" s="9" t="n">
        <v>1691</v>
      </c>
      <c r="D11" s="14" t="inlineStr">
        <is>
          <t>not reported</t>
        </is>
      </c>
      <c r="E11" s="14" t="inlineStr">
        <is>
          <t>not reported</t>
        </is>
      </c>
      <c r="F11" s="9" t="n">
        <v>25331</v>
      </c>
    </row>
    <row r="12">
      <c r="A12" s="8" t="inlineStr">
        <is>
          <t xml:space="preserve">    10c. Land, buildings, and equipment, net</t>
        </is>
      </c>
      <c r="B12" s="9" t="n">
        <v>22650386</v>
      </c>
      <c r="C12" s="9" t="n">
        <v>23706379</v>
      </c>
      <c r="D12" s="9" t="n">
        <v>22955018</v>
      </c>
      <c r="E12" s="9" t="n">
        <v>22915540</v>
      </c>
      <c r="F12" s="9" t="n">
        <v>22469759</v>
      </c>
    </row>
    <row r="13">
      <c r="A13" s="8" t="inlineStr">
        <is>
          <t xml:space="preserve">    15. Other assets</t>
        </is>
      </c>
      <c r="B13" s="14" t="inlineStr">
        <is>
          <t>not reported</t>
        </is>
      </c>
      <c r="C13" s="14" t="inlineStr">
        <is>
          <t>not reported</t>
        </is>
      </c>
      <c r="D13" s="14" t="inlineStr">
        <is>
          <t>not reported</t>
        </is>
      </c>
      <c r="E13" s="9" t="n">
        <v>426871</v>
      </c>
      <c r="F13" s="9" t="n">
        <v>508521</v>
      </c>
    </row>
    <row r="14">
      <c r="A14" s="10" t="inlineStr">
        <is>
          <t>16. Total assets</t>
        </is>
      </c>
      <c r="B14" s="11">
        <f>SUM(B7:B13)</f>
        <v/>
      </c>
      <c r="C14" s="11">
        <f>SUM(C7:C13)</f>
        <v/>
      </c>
      <c r="D14" s="11">
        <f>SUM(D7:D13)</f>
        <v/>
      </c>
      <c r="E14" s="11">
        <f>SUM(E7:E13)</f>
        <v/>
      </c>
      <c r="F14" s="11">
        <f>SUM(F7:F13)</f>
        <v/>
      </c>
    </row>
    <row r="16">
      <c r="A16" s="6" t="inlineStr">
        <is>
          <t>Liabilities</t>
        </is>
      </c>
      <c r="B16" s="7" t="n"/>
      <c r="C16" s="7" t="n"/>
      <c r="D16" s="7" t="n"/>
      <c r="E16" s="7" t="n"/>
      <c r="F16" s="7" t="n"/>
    </row>
    <row r="17">
      <c r="A17" s="8" t="inlineStr">
        <is>
          <t xml:space="preserve">    17. Accounts payable and accrued expenses</t>
        </is>
      </c>
      <c r="B17" s="9" t="n">
        <v>798098</v>
      </c>
      <c r="C17" s="9" t="n">
        <v>651222</v>
      </c>
      <c r="D17" s="9" t="n">
        <v>735153</v>
      </c>
      <c r="E17" s="9" t="n">
        <v>798381</v>
      </c>
      <c r="F17" s="9" t="n">
        <v>1073723</v>
      </c>
    </row>
    <row r="18">
      <c r="A18" s="8" t="inlineStr">
        <is>
          <t xml:space="preserve">    25. Other liabilities</t>
        </is>
      </c>
      <c r="B18" s="9" t="n">
        <v>2217233</v>
      </c>
      <c r="C18" s="9" t="n">
        <v>2149714</v>
      </c>
      <c r="D18" s="9" t="n">
        <v>1627217</v>
      </c>
      <c r="E18" s="9" t="n">
        <v>1016285</v>
      </c>
      <c r="F18" s="9" t="n">
        <v>1575007</v>
      </c>
    </row>
    <row r="19">
      <c r="A19" s="10" t="inlineStr">
        <is>
          <t>26. Total liabilities</t>
        </is>
      </c>
      <c r="B19" s="11">
        <f>SUM(B17:B18)</f>
        <v/>
      </c>
      <c r="C19" s="11">
        <f>SUM(C17:C18)</f>
        <v/>
      </c>
      <c r="D19" s="11">
        <f>SUM(D17:D18)</f>
        <v/>
      </c>
      <c r="E19" s="11">
        <f>SUM(E17:E18)</f>
        <v/>
      </c>
      <c r="F19" s="11">
        <f>SUM(F17:F18)</f>
        <v/>
      </c>
    </row>
    <row r="21">
      <c r="A21" s="6" t="inlineStr">
        <is>
          <t>Net assets / fund balances</t>
        </is>
      </c>
      <c r="B21" s="7" t="n"/>
      <c r="C21" s="7" t="n"/>
      <c r="D21" s="7" t="n"/>
      <c r="E21" s="7" t="n"/>
      <c r="F21" s="7" t="n"/>
    </row>
    <row r="22">
      <c r="A22" s="8" t="inlineStr">
        <is>
          <t xml:space="preserve">    29. Capital stock or trust principal</t>
        </is>
      </c>
      <c r="B22" s="9" t="n">
        <v>12860939</v>
      </c>
      <c r="C22" s="9" t="n">
        <v>12912185</v>
      </c>
      <c r="D22" s="9" t="n">
        <v>13031473</v>
      </c>
      <c r="E22" s="9" t="n">
        <v>13043732</v>
      </c>
      <c r="F22" s="9" t="n">
        <v>13043732</v>
      </c>
    </row>
    <row r="23">
      <c r="A23" s="8" t="inlineStr">
        <is>
          <t xml:space="preserve">    30. Paid-in or capital surplus</t>
        </is>
      </c>
      <c r="B23" s="9" t="n">
        <v>15306952</v>
      </c>
      <c r="C23" s="9" t="n">
        <v>16072083</v>
      </c>
      <c r="D23" s="9" t="n">
        <v>16351684</v>
      </c>
      <c r="E23" s="9" t="n">
        <v>16339425</v>
      </c>
      <c r="F23" s="9" t="n">
        <v>16339425</v>
      </c>
    </row>
    <row r="24">
      <c r="A24" s="8" t="inlineStr">
        <is>
          <t xml:space="preserve">    31. Retained earnings / accumulated funds</t>
        </is>
      </c>
      <c r="B24" s="9" t="n">
        <v>13503478</v>
      </c>
      <c r="C24" s="9" t="n">
        <v>14333182</v>
      </c>
      <c r="D24" s="9" t="n">
        <v>13480356</v>
      </c>
      <c r="E24" s="9" t="n">
        <v>15086899</v>
      </c>
      <c r="F24" s="9" t="n">
        <v>15598942</v>
      </c>
    </row>
    <row r="25">
      <c r="A25" s="10" t="inlineStr">
        <is>
          <t>32. Total net assets / fund balances</t>
        </is>
      </c>
      <c r="B25" s="11">
        <f>SUM(B22:B24)</f>
        <v/>
      </c>
      <c r="C25" s="11">
        <f>SUM(C22:C24)</f>
        <v/>
      </c>
      <c r="D25" s="11">
        <f>SUM(D22:D24)</f>
        <v/>
      </c>
      <c r="E25" s="11">
        <f>SUM(E22:E24)</f>
        <v/>
      </c>
      <c r="F25" s="11">
        <f>SUM(F22:F24)</f>
        <v/>
      </c>
    </row>
    <row r="27" ht="42" customHeight="1">
      <c r="A27" s="3" t="inlineStr">
        <is>
          <t>Every Part X line is end-of-year (column B), as filed. Section totals (lines 16 / 26 / 32) are live SUMs of the lines above; their tie-outs and the balance-sheet identity (16 = 26 + 32) are on the Sources &amp; audit tab. This filer files as a non-FASB mutual, so net assets sit on lines 29-31 (capital stock / paid-in capital / retained earnings); lines this filer does not report are omitted. Lines 10a/10b net into line 10c (shown).</t>
        </is>
      </c>
    </row>
  </sheetData>
  <mergeCells count="4">
    <mergeCell ref="A3:F3"/>
    <mergeCell ref="A2:F2"/>
    <mergeCell ref="A1:F1"/>
    <mergeCell ref="A27:F27"/>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3"/>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s>
  <sheetData>
    <row r="1">
      <c r="A1" s="1" t="inlineStr">
        <is>
          <t>Vaughn Water Company Inc</t>
        </is>
      </c>
    </row>
    <row r="2">
      <c r="A2" s="2" t="inlineStr">
        <is>
          <t>Reconciliation of Net Assets - Form 990 Part XI (USD)</t>
        </is>
      </c>
    </row>
    <row r="3">
      <c r="A3" s="2" t="inlineStr">
        <is>
          <t>Entity ID: cawc_0030   |   Fiscal year ends December 31.</t>
        </is>
      </c>
    </row>
    <row r="5">
      <c r="A5" s="4" t="inlineStr">
        <is>
          <t>Part XI line</t>
        </is>
      </c>
      <c r="B5" s="5" t="inlineStr">
        <is>
          <t>FY2020</t>
        </is>
      </c>
      <c r="C5" s="5" t="inlineStr">
        <is>
          <t>FY2021</t>
        </is>
      </c>
      <c r="D5" s="5" t="inlineStr">
        <is>
          <t>FY2022</t>
        </is>
      </c>
      <c r="E5" s="5" t="inlineStr">
        <is>
          <t>FY2023</t>
        </is>
      </c>
      <c r="F5" s="5" t="inlineStr">
        <is>
          <t>FY2024</t>
        </is>
      </c>
    </row>
    <row r="6">
      <c r="A6" s="6" t="inlineStr">
        <is>
          <t>Reconciliation</t>
        </is>
      </c>
      <c r="B6" s="7" t="n"/>
      <c r="C6" s="7" t="n"/>
      <c r="D6" s="7" t="n"/>
      <c r="E6" s="7" t="n"/>
      <c r="F6" s="7" t="n"/>
    </row>
    <row r="7">
      <c r="A7" s="8" t="inlineStr">
        <is>
          <t xml:space="preserve">    4. Net assets, beginning of year</t>
        </is>
      </c>
      <c r="B7" s="9" t="n">
        <v>28732921</v>
      </c>
      <c r="C7" s="9" t="n">
        <v>41671369</v>
      </c>
      <c r="D7" s="9" t="n">
        <v>43317450</v>
      </c>
      <c r="E7" s="9" t="n">
        <v>42863513</v>
      </c>
      <c r="F7" s="9" t="n">
        <v>44470056</v>
      </c>
    </row>
    <row r="8">
      <c r="A8" s="8" t="inlineStr">
        <is>
          <t xml:space="preserve">    3. Revenue less expenses</t>
        </is>
      </c>
      <c r="B8" s="9" t="n">
        <v>12931480</v>
      </c>
      <c r="C8" s="9" t="n">
        <v>829704</v>
      </c>
      <c r="D8" s="9" t="n">
        <v>-814042</v>
      </c>
      <c r="E8" s="9" t="n">
        <v>1655160</v>
      </c>
      <c r="F8" s="9" t="n">
        <v>1039828</v>
      </c>
    </row>
    <row r="9">
      <c r="A9" s="8" t="inlineStr">
        <is>
          <t xml:space="preserve">    8. Prior period adjustments</t>
        </is>
      </c>
      <c r="B9" s="14" t="inlineStr">
        <is>
          <t>not reported</t>
        </is>
      </c>
      <c r="C9" s="14" t="inlineStr">
        <is>
          <t>not reported</t>
        </is>
      </c>
      <c r="D9" s="14" t="inlineStr">
        <is>
          <t>not reported</t>
        </is>
      </c>
      <c r="E9" s="14" t="inlineStr">
        <is>
          <t>not reported</t>
        </is>
      </c>
      <c r="F9" s="14" t="inlineStr">
        <is>
          <t>not reported</t>
        </is>
      </c>
    </row>
    <row r="10">
      <c r="A10" s="8" t="inlineStr">
        <is>
          <t xml:space="preserve">    9. Other changes in net assets</t>
        </is>
      </c>
      <c r="B10" s="9" t="n">
        <v>6968</v>
      </c>
      <c r="C10" s="9" t="n">
        <v>816377</v>
      </c>
      <c r="D10" s="9" t="n">
        <v>360105</v>
      </c>
      <c r="E10" s="9" t="n">
        <v>-48617</v>
      </c>
      <c r="F10" s="9" t="n">
        <v>-527785</v>
      </c>
    </row>
    <row r="11">
      <c r="A11" s="10" t="inlineStr">
        <is>
          <t>10. Net assets, end of year</t>
        </is>
      </c>
      <c r="B11" s="11">
        <f>SUM(B7,B8,B9,B10)</f>
        <v/>
      </c>
      <c r="C11" s="11">
        <f>SUM(C7,C8,C9,C10)</f>
        <v/>
      </c>
      <c r="D11" s="11">
        <f>SUM(D7,D8,D9,D10)</f>
        <v/>
      </c>
      <c r="E11" s="11">
        <f>SUM(E7,E8,E9,E10)</f>
        <v/>
      </c>
      <c r="F11" s="11">
        <f>SUM(F7,F8,F9,F10)</f>
        <v/>
      </c>
    </row>
    <row r="13" ht="42" customHeight="1">
      <c r="A13" s="3" t="inlineStr">
        <is>
          <t>Part XI reconciles beginning to ending net assets. Ending net assets (line 10) is a live formula: beginning balance (line 4) + revenue less expenses (line 3) + prior-period adjustments (8) + other changes (9). Its tie-out to the filed line 10 (and to Part X line 32) is on the Sources &amp; audit tab. Lines 5-7 (unrealized gains, donated services, investment expenses) are not filed by this entity.</t>
        </is>
      </c>
    </row>
  </sheetData>
  <mergeCells count="4">
    <mergeCell ref="A3:F3"/>
    <mergeCell ref="A2:F2"/>
    <mergeCell ref="A13:F13"/>
    <mergeCell ref="A1:F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26"/>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s>
  <sheetData>
    <row r="1">
      <c r="A1" s="1" t="inlineStr">
        <is>
          <t>Vaughn Water Company Inc</t>
        </is>
      </c>
    </row>
    <row r="2">
      <c r="A2" s="2" t="inlineStr">
        <is>
          <t>Cash Flow Proxies - derived (USD)</t>
        </is>
      </c>
    </row>
    <row r="3">
      <c r="A3" s="2" t="inlineStr">
        <is>
          <t>Entity ID: cawc_0030   |   Fiscal year ends December 31.</t>
        </is>
      </c>
    </row>
    <row r="5" ht="42" customHeight="1">
      <c r="A5" s="3" t="inlineStr">
        <is>
          <t>PROXY ONLY. The source filings contain no statement of cash flows. Lines below are derived from the reported income statement and year-over-year balance-sheet changes; treat as directional estimates, not GAAP cash flows. The earliest year has no prior period, so its delta cells are blank.</t>
        </is>
      </c>
    </row>
    <row r="7">
      <c r="A7" s="4" t="inlineStr">
        <is>
          <t>Proxy line (USD)</t>
        </is>
      </c>
      <c r="B7" s="5" t="inlineStr">
        <is>
          <t>FY2020</t>
        </is>
      </c>
      <c r="C7" s="5" t="inlineStr">
        <is>
          <t>FY2021</t>
        </is>
      </c>
      <c r="D7" s="5" t="inlineStr">
        <is>
          <t>FY2022</t>
        </is>
      </c>
      <c r="E7" s="5" t="inlineStr">
        <is>
          <t>FY2023</t>
        </is>
      </c>
      <c r="F7" s="5" t="inlineStr">
        <is>
          <t>FY2024</t>
        </is>
      </c>
    </row>
    <row r="8">
      <c r="A8" s="6" t="inlineStr">
        <is>
          <t>Operating</t>
        </is>
      </c>
      <c r="B8" s="7" t="n"/>
      <c r="C8" s="7" t="n"/>
      <c r="D8" s="7" t="n"/>
      <c r="E8" s="7" t="n"/>
      <c r="F8" s="7" t="n"/>
    </row>
    <row r="9">
      <c r="A9" s="8" t="inlineStr">
        <is>
          <t xml:space="preserve">    Net income</t>
        </is>
      </c>
      <c r="B9" s="9" t="n">
        <v>12931480</v>
      </c>
      <c r="C9" s="9" t="n">
        <v>829704</v>
      </c>
      <c r="D9" s="9" t="n">
        <v>-814042</v>
      </c>
      <c r="E9" s="9" t="n">
        <v>1655160</v>
      </c>
      <c r="F9" s="9" t="n">
        <v>1039828</v>
      </c>
    </row>
    <row r="10">
      <c r="A10" s="8" t="inlineStr">
        <is>
          <t xml:space="preserve">    + Depreciation (reported)</t>
        </is>
      </c>
      <c r="B10" s="9" t="n">
        <v>1055604</v>
      </c>
      <c r="C10" s="9" t="n">
        <v>1023563</v>
      </c>
      <c r="D10" s="9" t="n">
        <v>1133207</v>
      </c>
      <c r="E10" s="9" t="n">
        <v>1137177</v>
      </c>
      <c r="F10" s="9" t="n">
        <v>707913</v>
      </c>
    </row>
    <row r="11">
      <c r="A11" s="8" t="inlineStr">
        <is>
          <t xml:space="preserve">    − Δ Accounts receivable</t>
        </is>
      </c>
      <c r="B11" s="9" t="n"/>
      <c r="C11" s="9" t="n">
        <v>-228564</v>
      </c>
      <c r="D11" s="9" t="n">
        <v>259111</v>
      </c>
      <c r="E11" s="9" t="n">
        <v>-150342</v>
      </c>
      <c r="F11" s="9" t="n">
        <v>96371</v>
      </c>
    </row>
    <row r="12">
      <c r="A12" s="8" t="inlineStr">
        <is>
          <t xml:space="preserve">    − Δ Inventories</t>
        </is>
      </c>
      <c r="B12" s="9" t="n"/>
      <c r="C12" s="9" t="n">
        <v>117017</v>
      </c>
      <c r="D12" s="9" t="n">
        <v>0</v>
      </c>
      <c r="E12" s="9" t="n">
        <v>0</v>
      </c>
      <c r="F12" s="9" t="n">
        <v>0</v>
      </c>
    </row>
    <row r="13">
      <c r="A13" s="8" t="inlineStr">
        <is>
          <t xml:space="preserve">    − Δ Prepaid expenses</t>
        </is>
      </c>
      <c r="B13" s="9" t="n"/>
      <c r="C13" s="9" t="n">
        <v>117</v>
      </c>
      <c r="D13" s="9" t="n"/>
      <c r="E13" s="9" t="n"/>
      <c r="F13" s="9" t="n"/>
    </row>
    <row r="14">
      <c r="A14" s="8" t="inlineStr">
        <is>
          <t xml:space="preserve">    + Δ Accounts payable</t>
        </is>
      </c>
      <c r="B14" s="9" t="n"/>
      <c r="C14" s="9" t="n">
        <v>-146876</v>
      </c>
      <c r="D14" s="9" t="n">
        <v>83931</v>
      </c>
      <c r="E14" s="9" t="n">
        <v>63228</v>
      </c>
      <c r="F14" s="9" t="n">
        <v>275342</v>
      </c>
    </row>
    <row r="15">
      <c r="A15" s="10" t="inlineStr">
        <is>
          <t xml:space="preserve">    Operating cash flow proxy</t>
        </is>
      </c>
      <c r="B15" s="11" t="n"/>
      <c r="C15" s="11" t="n">
        <v>1594961</v>
      </c>
      <c r="D15" s="11" t="n">
        <v>662207</v>
      </c>
      <c r="E15" s="11" t="n">
        <v>2705223</v>
      </c>
      <c r="F15" s="11" t="n">
        <v>2119454</v>
      </c>
    </row>
    <row r="17">
      <c r="A17" s="6" t="inlineStr">
        <is>
          <t>Investing</t>
        </is>
      </c>
      <c r="B17" s="7" t="n"/>
      <c r="C17" s="7" t="n"/>
      <c r="D17" s="7" t="n"/>
      <c r="E17" s="7" t="n"/>
      <c r="F17" s="7" t="n"/>
    </row>
    <row r="18">
      <c r="A18" s="8" t="inlineStr">
        <is>
          <t xml:space="preserve">    − Δ PP&amp;E gross (capex proxy)</t>
        </is>
      </c>
      <c r="B18" s="9" t="n"/>
      <c r="C18" s="9" t="n">
        <v>-2079556</v>
      </c>
      <c r="D18" s="9" t="n">
        <v>-381846</v>
      </c>
      <c r="E18" s="9" t="n">
        <v>-1146316</v>
      </c>
      <c r="F18" s="9" t="n">
        <v>-789918</v>
      </c>
    </row>
    <row r="20">
      <c r="A20" s="6" t="inlineStr">
        <is>
          <t>Financing</t>
        </is>
      </c>
      <c r="B20" s="7" t="n"/>
      <c r="C20" s="7" t="n"/>
      <c r="D20" s="7" t="n"/>
      <c r="E20" s="7" t="n"/>
      <c r="F20" s="7" t="n"/>
    </row>
    <row r="21">
      <c r="A21" s="8" t="inlineStr">
        <is>
          <t xml:space="preserve">    Δ Mortgages &amp; notes payable</t>
        </is>
      </c>
      <c r="B21" s="9" t="n"/>
      <c r="C21" s="9" t="n"/>
      <c r="D21" s="9" t="n"/>
      <c r="E21" s="9" t="n"/>
      <c r="F21" s="9" t="n"/>
    </row>
    <row r="23">
      <c r="A23" s="6" t="inlineStr">
        <is>
          <t>Reconciliation</t>
        </is>
      </c>
      <c r="B23" s="7" t="n"/>
      <c r="C23" s="7" t="n"/>
      <c r="D23" s="7" t="n"/>
      <c r="E23" s="7" t="n"/>
      <c r="F23" s="7" t="n"/>
    </row>
    <row r="24">
      <c r="A24" s="10" t="inlineStr">
        <is>
          <t xml:space="preserve">    Δ Cash + temp. investments (actual)</t>
        </is>
      </c>
      <c r="B24" s="11" t="n"/>
      <c r="C24" s="11" t="n">
        <v>264263</v>
      </c>
      <c r="D24" s="11" t="n">
        <v>119660</v>
      </c>
      <c r="E24" s="11" t="n">
        <v>521104</v>
      </c>
      <c r="F24" s="11" t="n">
        <v>1781278</v>
      </c>
    </row>
    <row r="26" ht="42" customHeight="1">
      <c r="A26" s="3" t="inlineStr">
        <is>
          <t>The capex proxy assumes gross PP&amp;E rises only via capital spending (it ignores disposals). 'Δ Cash + temp. investments (actual)' is the real reported change in liquid funds and is the most reliable line here; the operating/investing/financing proxies will not perfectly reconcile to it.</t>
        </is>
      </c>
    </row>
  </sheetData>
  <mergeCells count="5">
    <mergeCell ref="A2:F2"/>
    <mergeCell ref="A1:F1"/>
    <mergeCell ref="A5:F5"/>
    <mergeCell ref="A26:F26"/>
    <mergeCell ref="A3:F3"/>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21"/>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s>
  <sheetData>
    <row r="1">
      <c r="A1" s="1" t="inlineStr">
        <is>
          <t>Vaughn Water Company Inc</t>
        </is>
      </c>
    </row>
    <row r="2">
      <c r="A2" s="2" t="inlineStr">
        <is>
          <t>Financial Ratios</t>
        </is>
      </c>
    </row>
    <row r="3">
      <c r="A3" s="2" t="inlineStr">
        <is>
          <t>Entity ID: cawc_0030   |   Fiscal year ends December 31.</t>
        </is>
      </c>
    </row>
    <row r="5">
      <c r="A5" s="4" t="inlineStr">
        <is>
          <t>Ratio</t>
        </is>
      </c>
      <c r="B5" s="5" t="inlineStr">
        <is>
          <t>FY2020</t>
        </is>
      </c>
      <c r="C5" s="5" t="inlineStr">
        <is>
          <t>FY2021</t>
        </is>
      </c>
      <c r="D5" s="5" t="inlineStr">
        <is>
          <t>FY2022</t>
        </is>
      </c>
      <c r="E5" s="5" t="inlineStr">
        <is>
          <t>FY2023</t>
        </is>
      </c>
      <c r="F5" s="5" t="inlineStr">
        <is>
          <t>FY2024</t>
        </is>
      </c>
    </row>
    <row r="6">
      <c r="A6" s="6" t="inlineStr">
        <is>
          <t>Profitability (computed upstream)</t>
        </is>
      </c>
      <c r="B6" s="7" t="n"/>
      <c r="C6" s="7" t="n"/>
      <c r="D6" s="7" t="n"/>
      <c r="E6" s="7" t="n"/>
      <c r="F6" s="7" t="n"/>
    </row>
    <row r="7">
      <c r="A7" s="8" t="inlineStr">
        <is>
          <t xml:space="preserve">    Operating margin (NI / revenue)</t>
        </is>
      </c>
      <c r="B7" s="12" t="n">
        <v>0.6097411815252498</v>
      </c>
      <c r="C7" s="12" t="n">
        <v>0.08921909100841066</v>
      </c>
      <c r="D7" s="12" t="n">
        <v>-0.08867836187489066</v>
      </c>
      <c r="E7" s="12" t="n">
        <v>0.1414235506149535</v>
      </c>
      <c r="F7" s="12" t="n">
        <v>0.08603341610730869</v>
      </c>
    </row>
    <row r="8">
      <c r="A8" s="8" t="inlineStr">
        <is>
          <t xml:space="preserve">    Expense ratio (expenses / revenue)</t>
        </is>
      </c>
      <c r="B8" s="12" t="n">
        <v>0.3902588184747502</v>
      </c>
      <c r="C8" s="12" t="n">
        <v>0.9107809089915894</v>
      </c>
      <c r="D8" s="12" t="n">
        <v>1.088678361874891</v>
      </c>
      <c r="E8" s="12" t="n">
        <v>0.8585764493850464</v>
      </c>
      <c r="F8" s="12" t="n">
        <v>0.9139665838926913</v>
      </c>
    </row>
    <row r="9">
      <c r="A9" s="8" t="inlineStr">
        <is>
          <t xml:space="preserve">    Return on assets (NI / assets)</t>
        </is>
      </c>
      <c r="B9" s="12" t="n">
        <v>0.289380956749995</v>
      </c>
      <c r="C9" s="12" t="n">
        <v>0.01799074234731458</v>
      </c>
      <c r="D9" s="12" t="n">
        <v>-0.01799947167421806</v>
      </c>
      <c r="E9" s="12" t="n">
        <v>0.03576039627071758</v>
      </c>
      <c r="F9" s="12" t="n">
        <v>0.0218309868173825</v>
      </c>
    </row>
    <row r="10">
      <c r="A10" s="8" t="inlineStr">
        <is>
          <t xml:space="preserve">    Revenue growth (YoY)</t>
        </is>
      </c>
      <c r="B10" s="12" t="n">
        <v>1.349060343564324</v>
      </c>
      <c r="C10" s="12" t="n">
        <v>-0.5615069794408243</v>
      </c>
      <c r="D10" s="12" t="n">
        <v>-0.01289406969572103</v>
      </c>
      <c r="E10" s="12" t="n">
        <v>0.2749380863063925</v>
      </c>
      <c r="F10" s="12" t="n">
        <v>0.03270455921686098</v>
      </c>
    </row>
    <row r="12">
      <c r="A12" s="6" t="inlineStr">
        <is>
          <t>Leverage &amp; solvency</t>
        </is>
      </c>
      <c r="B12" s="7" t="n"/>
      <c r="C12" s="7" t="n"/>
      <c r="D12" s="7" t="n"/>
      <c r="E12" s="7" t="n"/>
      <c r="F12" s="7" t="n"/>
    </row>
    <row r="13">
      <c r="A13" s="8" t="inlineStr">
        <is>
          <t xml:space="preserve">    Debt-to-assets (liab. / assets)</t>
        </is>
      </c>
      <c r="B13" s="12" t="n">
        <v>0.06747714644402025</v>
      </c>
      <c r="C13" s="12" t="n">
        <v>0.06073360850052298</v>
      </c>
      <c r="D13" s="12" t="n">
        <v>0.05223491158812753</v>
      </c>
      <c r="E13" s="12" t="n">
        <v>0.03920658743505039</v>
      </c>
      <c r="F13" s="12" t="n">
        <v>0.05560957169147739</v>
      </c>
    </row>
    <row r="14">
      <c r="A14" s="8" t="inlineStr">
        <is>
          <t xml:space="preserve">    Equity ratio (net assets / assets)</t>
        </is>
      </c>
      <c r="B14" s="12" t="n">
        <v>0.9325228535559797</v>
      </c>
      <c r="C14" s="12" t="n">
        <v>0.939266391499477</v>
      </c>
      <c r="D14" s="12" t="n">
        <v>0.9477650884118725</v>
      </c>
      <c r="E14" s="12" t="n">
        <v>0.9607934125649497</v>
      </c>
      <c r="F14" s="12" t="n">
        <v>0.9443904283085226</v>
      </c>
    </row>
    <row r="16">
      <c r="A16" s="6" t="inlineStr">
        <is>
          <t>Liquidity &amp; asset profile (derived here)</t>
        </is>
      </c>
      <c r="B16" s="7" t="n"/>
      <c r="C16" s="7" t="n"/>
      <c r="D16" s="7" t="n"/>
      <c r="E16" s="7" t="n"/>
      <c r="F16" s="7" t="n"/>
    </row>
    <row r="17">
      <c r="A17" s="8" t="inlineStr">
        <is>
          <t xml:space="preserve">    Current ratio (current assets / AP)</t>
        </is>
      </c>
      <c r="B17" s="20" t="n">
        <v>27.61103774223216</v>
      </c>
      <c r="C17" s="20" t="n">
        <v>34.41530998645623</v>
      </c>
      <c r="D17" s="20" t="n">
        <v>30.29419046103328</v>
      </c>
      <c r="E17" s="20" t="n">
        <v>28.73604331766412</v>
      </c>
      <c r="F17" s="20" t="n">
        <v>22.95987792009671</v>
      </c>
    </row>
    <row r="18">
      <c r="A18" s="8" t="inlineStr">
        <is>
          <t xml:space="preserve">    Cash ratio ((cash+temp inv.) / total liab.)</t>
        </is>
      </c>
      <c r="B18" s="20" t="n">
        <v>7.139429468937241</v>
      </c>
      <c r="C18" s="20" t="n">
        <v>7.780258456458841</v>
      </c>
      <c r="D18" s="20" t="n">
        <v>9.275289645567799</v>
      </c>
      <c r="E18" s="20" t="n">
        <v>12.36192775970895</v>
      </c>
      <c r="F18" s="20" t="n">
        <v>9.141757748052841</v>
      </c>
    </row>
    <row r="19">
      <c r="A19" s="8" t="inlineStr">
        <is>
          <t xml:space="preserve">    Asset age proxy (accum. deprec. / gross PP&amp;E)</t>
        </is>
      </c>
      <c r="B19" s="12" t="n">
        <v>0.4646257935162348</v>
      </c>
      <c r="C19" s="12" t="n">
        <v>0.4659177814904653</v>
      </c>
      <c r="D19" s="12" t="n">
        <v>0.487256176039749</v>
      </c>
      <c r="E19" s="12" t="n">
        <v>0.500917080007499</v>
      </c>
      <c r="F19" s="12" t="n">
        <v>0.5189025576459194</v>
      </c>
    </row>
    <row r="21" ht="42" customHeight="1">
      <c r="A21" s="3" t="inlineStr">
        <is>
          <t>Upstream ratios are read from financials_annual; derived ratios are computed only where inputs are reported. Current ratio uses accounts payable as the current-liability proxy (the filings do not split current vs. long-term liabilities). Asset age proxy: a higher % implies older / more depreciated infrastructure.</t>
        </is>
      </c>
    </row>
  </sheetData>
  <mergeCells count="4">
    <mergeCell ref="A3:F3"/>
    <mergeCell ref="A2:F2"/>
    <mergeCell ref="A21:F21"/>
    <mergeCell ref="A1:F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44"/>
  <sheetViews>
    <sheetView workbookViewId="0">
      <pane ySplit="4" topLeftCell="A5" activePane="bottomLeft" state="frozen"/>
      <selection pane="bottomLeft" activeCell="A1" sqref="A1"/>
    </sheetView>
  </sheetViews>
  <sheetFormatPr baseColWidth="8" defaultRowHeight="15"/>
  <cols>
    <col width="42" customWidth="1" min="1" max="1"/>
    <col width="18" customWidth="1" min="2" max="2"/>
    <col width="20" customWidth="1" min="3" max="3"/>
    <col width="16" customWidth="1" min="4" max="4"/>
    <col width="60" customWidth="1" min="5" max="5"/>
  </cols>
  <sheetData>
    <row r="1">
      <c r="A1" s="1" t="inlineStr">
        <is>
          <t>Vaughn Water Company Inc</t>
        </is>
      </c>
    </row>
    <row r="2">
      <c r="A2" s="2" t="inlineStr">
        <is>
          <t>Unit economics - per-customer revenue by category (USD)</t>
        </is>
      </c>
    </row>
    <row r="3">
      <c r="A3" s="2" t="inlineStr">
        <is>
          <t>Entity ID: cawc_0030   |   Fiscal year ends December 31.</t>
        </is>
      </c>
    </row>
    <row r="5" ht="96" customHeight="1">
      <c r="A5" s="3" t="inlineStr">
        <is>
          <t>Every metric here is PER CUSTOMER (a metered service connection). It is not a per-member figure; the member (shareholder) count is a different denominator, shown in the denominator block. The visible cell shows the value and its classification; the numerator, denominator, formula, and rationale are in each metric's LOGIC popup.</t>
        </is>
      </c>
    </row>
    <row r="6">
      <c r="A6" s="21" t="inlineStr">
        <is>
          <t>Per-customer denominator (service connections)</t>
        </is>
      </c>
      <c r="B6" s="22" t="n">
        <v>11448</v>
      </c>
      <c r="C6" s="23" t="inlineStr">
        <is>
          <t>State Water Board eAR Section 4 (CurTotalConnections), reporting year 2024</t>
        </is>
      </c>
    </row>
    <row r="7">
      <c r="A7" s="21" t="inlineStr">
        <is>
          <t>Total annual revenue (eAR Section 8b B1.8)</t>
        </is>
      </c>
      <c r="B7" s="9" t="n">
        <v>11028563</v>
      </c>
      <c r="C7" s="23" t="inlineStr">
        <is>
          <t>State Water Board eAR Section 8b, question B1.8 (total annual revenue), reporting year 2024</t>
        </is>
      </c>
    </row>
    <row r="8">
      <c r="A8" s="21" t="inlineStr">
        <is>
          <t>Primary source</t>
        </is>
      </c>
      <c r="B8" s="24" t="inlineStr"/>
      <c r="C8" s="23" t="inlineStr">
        <is>
          <t>State Water Board eAR Section 8b (revenue by rate/fee), reporting year 2024</t>
        </is>
      </c>
    </row>
    <row r="10">
      <c r="A10" s="6" t="inlineStr">
        <is>
          <t>Revenue categories (value, classification, per customer, share)</t>
        </is>
      </c>
      <c r="B10" s="7" t="n"/>
      <c r="C10" s="7" t="n"/>
      <c r="D10" s="7" t="n"/>
      <c r="E10" s="7" t="n"/>
    </row>
    <row r="11">
      <c r="A11" s="5" t="inlineStr">
        <is>
          <t>Revenue category</t>
        </is>
      </c>
      <c r="B11" s="5" t="inlineStr">
        <is>
          <t>Classification</t>
        </is>
      </c>
      <c r="C11" s="5" t="inlineStr">
        <is>
          <t>Value (USD)</t>
        </is>
      </c>
      <c r="D11" s="5" t="inlineStr">
        <is>
          <t>Per customer</t>
        </is>
      </c>
      <c r="E11" s="5" t="inlineStr">
        <is>
          <t>Share of revenue</t>
        </is>
      </c>
    </row>
    <row r="12">
      <c r="A12" s="8" t="inlineStr">
        <is>
          <t>Water sales revenue</t>
        </is>
      </c>
      <c r="B12" s="25" t="inlineStr">
        <is>
          <t>DIRECT</t>
        </is>
      </c>
      <c r="C12" s="9" t="n">
        <v>10997261</v>
      </c>
      <c r="D12" s="26" t="n">
        <v>960.63</v>
      </c>
      <c r="E12" s="27" t="n">
        <v>0.9972</v>
      </c>
    </row>
    <row r="13">
      <c r="A13" s="8" t="inlineStr">
        <is>
          <t>Assessment revenue (990 program-service revenue not matched to eAR water-rate revenue)</t>
        </is>
      </c>
      <c r="B13" s="25" t="inlineStr">
        <is>
          <t>DERIVED</t>
        </is>
      </c>
      <c r="C13" s="9" t="n">
        <v>209174</v>
      </c>
      <c r="D13" s="26" t="n">
        <v>18.27</v>
      </c>
      <c r="E13" s="27" t="n">
        <v>0.0187</v>
      </c>
    </row>
    <row r="14">
      <c r="A14" s="8" t="inlineStr">
        <is>
          <t>Meter revenue</t>
        </is>
      </c>
      <c r="B14" s="25" t="inlineStr">
        <is>
          <t>not reported</t>
        </is>
      </c>
      <c r="C14" s="28" t="inlineStr">
        <is>
          <t>not reported</t>
        </is>
      </c>
      <c r="D14" s="28" t="inlineStr">
        <is>
          <t>not reported</t>
        </is>
      </c>
      <c r="E14" s="28" t="inlineStr">
        <is>
          <t>not reported</t>
        </is>
      </c>
    </row>
    <row r="15">
      <c r="A15" s="8" t="inlineStr">
        <is>
          <t>Overage or tiered penalty revenue</t>
        </is>
      </c>
      <c r="B15" s="25" t="inlineStr">
        <is>
          <t>not reported</t>
        </is>
      </c>
      <c r="C15" s="28" t="inlineStr">
        <is>
          <t>not reported</t>
        </is>
      </c>
      <c r="D15" s="28" t="inlineStr">
        <is>
          <t>not reported</t>
        </is>
      </c>
      <c r="E15" s="28" t="inlineStr">
        <is>
          <t>not reported</t>
        </is>
      </c>
    </row>
    <row r="17">
      <c r="A17" s="6" t="inlineStr">
        <is>
          <t>Water sales revenue - DIRECT</t>
        </is>
      </c>
      <c r="B17" s="7" t="n"/>
      <c r="C17" s="7" t="n"/>
      <c r="D17" s="7" t="n"/>
      <c r="E17" s="7" t="n"/>
    </row>
    <row r="18" ht="51" customHeight="1">
      <c r="A18" s="3" t="inlineStr">
        <is>
          <t>Revenue customers paid for water service, read straight off the filed eAR Section 8b water-rate line. A DIRECT filed figure, not computed by us.</t>
        </is>
      </c>
    </row>
    <row r="19">
      <c r="A19" s="21" t="inlineStr">
        <is>
          <t>Numerator: Water rate revenue</t>
        </is>
      </c>
      <c r="B19" s="9" t="n">
        <v>10997261</v>
      </c>
      <c r="C19" s="23" t="inlineStr">
        <is>
          <t>eAR Section 8b field B1.1 (residential water rates) + B1.2 (non-residential water rates). State Water Board eAR Section 8b, question B1.1 + B1.2 (revenue from water rates), reporting year 2024</t>
        </is>
      </c>
    </row>
    <row r="20">
      <c r="A20" s="21" t="inlineStr">
        <is>
          <t>Denominator: Total service connections</t>
        </is>
      </c>
      <c r="B20" s="22" t="n">
        <v>11448</v>
      </c>
      <c r="C20" s="23" t="inlineStr">
        <is>
          <t>eAR Section 4 CurTotalConnections, reporting year 2024. State Water Board eAR Section 4 (CurTotalConnections), reporting year 2024</t>
        </is>
      </c>
    </row>
    <row r="21" ht="36" customHeight="1">
      <c r="A21" s="3" t="inlineStr">
        <is>
          <t>Per customer: water rate revenue $10,997,261 / 11,448 connections = $960.63 per connection</t>
        </is>
      </c>
    </row>
    <row r="22" ht="36" customHeight="1">
      <c r="A22" s="3" t="inlineStr">
        <is>
          <t>Share of revenue: water rate revenue $10,997,261 / total annual revenue (eAR Section 8b B1.8) $11,028,563 = 99.72%</t>
        </is>
      </c>
    </row>
    <row r="23" ht="66" customHeight="1">
      <c r="A23" s="3" t="inlineStr">
        <is>
          <t>Period treatment: Numerator (eAR Section 8b, the calendar year 2024) and denominator (eAR Section 4 connections reported in the same eAR filing) are both the eAR reporting year 2024, so the two sides are bound to the same reporting year.</t>
        </is>
      </c>
    </row>
    <row r="24" ht="66" customHeight="1">
      <c r="A24" s="3" t="inlineStr">
        <is>
          <t>Rationale: Dividing water-rate revenue by the number of metered service connections gives the average revenue per customer; dividing by total annual revenue shows how much of the system's income comes from water rates.</t>
        </is>
      </c>
    </row>
    <row r="26">
      <c r="A26" s="6" t="inlineStr">
        <is>
          <t>Assessment revenue (990 program-service revenue not matched to eAR water-rate revenue) - DERIVED</t>
        </is>
      </c>
      <c r="B26" s="7" t="n"/>
      <c r="C26" s="7" t="n"/>
      <c r="D26" s="7" t="n"/>
      <c r="E26" s="7" t="n"/>
    </row>
    <row r="27" ht="66" customHeight="1">
      <c r="A27" s="3" t="inlineStr">
        <is>
          <t>A DERIVED residual (medium confidence): the part of the Form 990 program-service revenue that is not matched by the eAR water-rate revenue for the same period. Computed by us, not a filed line.</t>
        </is>
      </c>
    </row>
    <row r="28">
      <c r="A28" s="21" t="inlineStr">
        <is>
          <t>Input A: Form 990 program-service revenue</t>
        </is>
      </c>
      <c r="B28" s="9" t="n">
        <v>11206435</v>
      </c>
      <c r="C28" s="23" t="inlineStr">
        <is>
          <t>Form 990 Part VIII line 2 (total program-service revenue), fiscal year 2024 ending December 31, 2024</t>
        </is>
      </c>
    </row>
    <row r="29">
      <c r="A29" s="21" t="inlineStr">
        <is>
          <t>Input B: eAR water-rate revenue</t>
        </is>
      </c>
      <c r="B29" s="9" t="n">
        <v>10997261</v>
      </c>
      <c r="C29" s="23" t="inlineStr">
        <is>
          <t>State Water Board eAR Section 8b, question B1.1 + B1.2 (revenue from water rates), reporting year 2024</t>
        </is>
      </c>
    </row>
    <row r="30">
      <c r="A30" s="15" t="inlineStr">
        <is>
          <t>Residual (A minus B) = assessment revenue</t>
        </is>
      </c>
      <c r="B30" s="16">
        <f>B28-B29</f>
        <v/>
      </c>
      <c r="C30" s="23" t="inlineStr">
        <is>
          <t>$11,206,435 (990 program-service revenue) minus $10,997,261 (eAR water-rate revenue) = $209,174</t>
        </is>
      </c>
    </row>
    <row r="31" ht="66" customHeight="1">
      <c r="A31" s="3" t="inlineStr">
        <is>
          <t>Period alignment: Both inputs cover the same period: the eAR Section 8b is the calendar year 2024 and the Form 990 fiscal year 2024 ends December 31, 2024, so the residual is period-aligned.</t>
        </is>
      </c>
    </row>
    <row r="32" ht="51" customHeight="1">
      <c r="A32" s="3" t="inlineStr">
        <is>
          <t>What it IS: revenue the system booked as program service on its 990 that is not accounted for by the eAR water-rate line, plausibly member assessments and other service revenue.</t>
        </is>
      </c>
    </row>
    <row r="33" ht="51" customHeight="1">
      <c r="A33" s="3" t="inlineStr">
        <is>
          <t>This residual is a difference between two sources for the same period; it is not a separately filed assessment line and may include other unmatched revenue.</t>
        </is>
      </c>
    </row>
    <row r="34">
      <c r="A34" s="21" t="inlineStr">
        <is>
          <t>Denominator: Total service connections</t>
        </is>
      </c>
      <c r="B34" s="22" t="n">
        <v>11448</v>
      </c>
      <c r="C34" s="23" t="inlineStr">
        <is>
          <t>eAR Section 4 CurTotalConnections, reporting year 2024. State Water Board eAR Section 4 (CurTotalConnections), reporting year 2024</t>
        </is>
      </c>
    </row>
    <row r="35" ht="36" customHeight="1">
      <c r="A35" s="3" t="inlineStr">
        <is>
          <t>Per customer: residual $209,174 / 11,448 connections = $18.27 per connection</t>
        </is>
      </c>
    </row>
    <row r="36" ht="36" customHeight="1">
      <c r="A36" s="3" t="inlineStr">
        <is>
          <t>Share of revenue: residual $209,174 / 990 program-service revenue $11,206,435 = 1.87%</t>
        </is>
      </c>
    </row>
    <row r="38">
      <c r="A38" s="6" t="inlineStr">
        <is>
          <t>Meter revenue - not reported</t>
        </is>
      </c>
      <c r="B38" s="7" t="n"/>
      <c r="C38" s="7" t="n"/>
      <c r="D38" s="7" t="n"/>
      <c r="E38" s="7" t="n"/>
    </row>
    <row r="39" ht="36" customHeight="1">
      <c r="A39" s="3" t="inlineStr">
        <is>
          <t>Not reported. This category is not built because doing so would double-count.</t>
        </is>
      </c>
    </row>
    <row r="40" ht="81" customHeight="1">
      <c r="A40" s="3" t="inlineStr">
        <is>
          <t>Reason: 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42">
      <c r="A42" s="6" t="inlineStr">
        <is>
          <t>Overage or tiered penalty revenue - not reported</t>
        </is>
      </c>
      <c r="B42" s="7" t="n"/>
      <c r="C42" s="7" t="n"/>
      <c r="D42" s="7" t="n"/>
      <c r="E42" s="7" t="n"/>
    </row>
    <row r="43" ht="36" customHeight="1">
      <c r="A43" s="3" t="inlineStr">
        <is>
          <t>Not reported. This category is not built because doing so would double-count.</t>
        </is>
      </c>
    </row>
    <row r="44" ht="81" customHeight="1">
      <c r="A44" s="3" t="inlineStr">
        <is>
          <t>Reason: The eAR Section 8a reports tiered/overage rate PRICES, but the filing carries no overage revenue and no tier consumption volume, and any overage billed is already inside the water-sales revenue. Building it would double-count. Not backed into from a total.</t>
        </is>
      </c>
    </row>
  </sheetData>
  <mergeCells count="19">
    <mergeCell ref="A39:E39"/>
    <mergeCell ref="A24:E24"/>
    <mergeCell ref="A1:E1"/>
    <mergeCell ref="A36:E36"/>
    <mergeCell ref="A18:E18"/>
    <mergeCell ref="A27:E27"/>
    <mergeCell ref="A3:E3"/>
    <mergeCell ref="A21:E21"/>
    <mergeCell ref="A2:E2"/>
    <mergeCell ref="A33:E33"/>
    <mergeCell ref="A5:E5"/>
    <mergeCell ref="A23:E23"/>
    <mergeCell ref="A32:E32"/>
    <mergeCell ref="A22:E22"/>
    <mergeCell ref="A35:E35"/>
    <mergeCell ref="A43:E43"/>
    <mergeCell ref="A31:E31"/>
    <mergeCell ref="A44:E44"/>
    <mergeCell ref="A40:E40"/>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44"/>
  <sheetViews>
    <sheetView workbookViewId="0">
      <pane ySplit="4" topLeftCell="A5" activePane="bottomLeft" state="frozen"/>
      <selection pane="bottomLeft" activeCell="A1" sqref="A1"/>
    </sheetView>
  </sheetViews>
  <sheetFormatPr baseColWidth="8" defaultRowHeight="15"/>
  <cols>
    <col width="46" customWidth="1" min="1" max="1"/>
    <col width="16" customWidth="1" min="2" max="2"/>
    <col width="16" customWidth="1" min="3" max="3"/>
    <col width="16" customWidth="1" min="4" max="4"/>
  </cols>
  <sheetData>
    <row r="1">
      <c r="A1" s="1" t="inlineStr">
        <is>
          <t>Vaughn Water Company Inc</t>
        </is>
      </c>
    </row>
    <row r="2">
      <c r="A2" s="2" t="inlineStr">
        <is>
          <t>Rate structure and representative bill - eAR Section 8a (RY2024)</t>
        </is>
      </c>
    </row>
    <row r="3">
      <c r="A3" s="2" t="inlineStr">
        <is>
          <t>Entity ID: cawc_0030   |   Fiscal year ends December 31.</t>
        </is>
      </c>
    </row>
    <row r="5" ht="81" customHeight="1">
      <c r="A5" s="29" t="inlineStr">
        <is>
          <t>This block is a rate-schedule illustration at defined usage levels. It is NOT billed revenue and not a claim about any real customer's usage. The revenue side of unit economics is the separate Unit Economics block.</t>
        </is>
      </c>
    </row>
    <row r="6" ht="51" customHeight="1">
      <c r="A6" s="30" t="inlineStr">
        <is>
          <t>Structure: Tiered increasing-block with a fixed base, billed monthly, priced per HCF. Rate schedule last updated 04/01/2023.</t>
        </is>
      </c>
    </row>
    <row r="7" ht="216" customHeight="1">
      <c r="A7" s="3" t="inlineStr">
        <is>
          <t>Defined single-family usage levels, identical for every company so the bill is comparable: Low = 5 HCF/month (~125 gallons/day); Median = 10 HCF/month (~249 gallons/day); High = 25 HCF/month (~623 gallons/day). 1 HCF = 748 gallons, and 1 thousand gallons = 1,000 gallons. The usage is converted into the company's own filed unit before the filed tiers are applied, and the bill is stated as a monthly equivalent: a bimonthly structure is computed at twice the monthly usage and divided by two, and any other billing period the same way with its factor stated. These are an illustration, not a measured usage for any real customer.</t>
        </is>
      </c>
    </row>
    <row r="9">
      <c r="A9" s="6" t="inlineStr">
        <is>
          <t>Defined usage levels (EDITABLE - change a yellow cell to move the bill)</t>
        </is>
      </c>
      <c r="B9" s="7" t="n"/>
      <c r="C9" s="7" t="n"/>
      <c r="D9" s="7" t="n"/>
    </row>
    <row r="10">
      <c r="A10" s="31" t="inlineStr"/>
      <c r="B10" s="5" t="inlineStr">
        <is>
          <t>Low</t>
        </is>
      </c>
      <c r="C10" s="5" t="inlineStr">
        <is>
          <t>Median</t>
        </is>
      </c>
      <c r="D10" s="5" t="inlineStr">
        <is>
          <t>High</t>
        </is>
      </c>
    </row>
    <row r="11">
      <c r="A11" s="8" t="inlineStr">
        <is>
          <t>Monthly usage (HCF)</t>
        </is>
      </c>
      <c r="B11" s="32" t="n">
        <v>5</v>
      </c>
      <c r="C11" s="32" t="n">
        <v>10</v>
      </c>
      <c r="D11" s="32" t="n">
        <v>25</v>
      </c>
    </row>
    <row r="12">
      <c r="A12" s="8" t="inlineStr">
        <is>
          <t>Months per bill (from filed billing frequency)</t>
        </is>
      </c>
      <c r="B12" s="33" t="n">
        <v>1</v>
      </c>
      <c r="C12" s="13" t="inlineStr">
        <is>
          <t>monthly biller</t>
        </is>
      </c>
    </row>
    <row r="14">
      <c r="A14" s="6" t="inlineStr">
        <is>
          <t>Filed rate table - single-family residential (as filed, eAR Section 8a)</t>
        </is>
      </c>
      <c r="B14" s="7" t="n"/>
      <c r="C14" s="7" t="n"/>
      <c r="D14" s="7" t="n"/>
    </row>
    <row r="15">
      <c r="A15" s="8" t="inlineStr">
        <is>
          <t>Base / fixed charge per monthly bill ($)</t>
        </is>
      </c>
      <c r="B15" s="26" t="n">
        <v>60.42</v>
      </c>
    </row>
    <row r="16">
      <c r="A16" s="4" t="inlineStr">
        <is>
          <t>Tier</t>
        </is>
      </c>
      <c r="B16" s="4" t="inlineStr">
        <is>
          <t>Range (HCF)</t>
        </is>
      </c>
      <c r="C16" s="34" t="inlineStr">
        <is>
          <t>Price ($/HCF)</t>
        </is>
      </c>
      <c r="D16" s="34" t="inlineStr">
        <is>
          <t>Upper limit (HCF)</t>
        </is>
      </c>
    </row>
    <row r="17">
      <c r="A17" s="8" t="inlineStr">
        <is>
          <t>Tier 1</t>
        </is>
      </c>
      <c r="B17" s="8" t="inlineStr">
        <is>
          <t>0 to 4860 HCF</t>
        </is>
      </c>
      <c r="C17" s="35" t="n">
        <v>0.42</v>
      </c>
      <c r="D17" s="36" t="n">
        <v>4860</v>
      </c>
    </row>
    <row r="18">
      <c r="A18" s="8" t="inlineStr">
        <is>
          <t>Tier 2</t>
        </is>
      </c>
      <c r="B18" s="8" t="inlineStr">
        <is>
          <t>4860 to 9720 HCF</t>
        </is>
      </c>
      <c r="C18" s="35" t="n">
        <v>0.48</v>
      </c>
      <c r="D18" s="36" t="n">
        <v>9720</v>
      </c>
    </row>
    <row r="19">
      <c r="A19" s="8" t="inlineStr">
        <is>
          <t>Tier 3</t>
        </is>
      </c>
      <c r="B19" s="8" t="inlineStr">
        <is>
          <t>over 9720 HCF</t>
        </is>
      </c>
      <c r="C19" s="35" t="n">
        <v>1.15</v>
      </c>
      <c r="D19" s="36" t="inlineStr">
        <is>
          <t>no limit</t>
        </is>
      </c>
    </row>
    <row r="21">
      <c r="A21" s="6" t="inlineStr">
        <is>
          <t>Flags on the filed rate table (nothing below is corrected)</t>
        </is>
      </c>
      <c r="B21" s="7" t="n"/>
      <c r="C21" s="7" t="n"/>
      <c r="D21" s="7" t="n"/>
    </row>
    <row r="22" ht="111" customHeight="1">
      <c r="A22" s="3" t="inlineStr">
        <is>
          <t>Tier 1 price: implausible as filed; checked against source. The filed tier 1 price of $0.42 per unit implies $0.42 per HCF, outside the $0.50 to $50.00 per HCF range a residential water rate plausibly takes. Carried exactly as filed and not corrected. Source: State Water Board eAR Section 8 / WRSFUsageCost1</t>
        </is>
      </c>
    </row>
    <row r="23" ht="111" customHeight="1">
      <c r="A23" s="3" t="inlineStr">
        <is>
          <t>Tier 2 price: implausible as filed; checked against source. The filed tier 2 price of $0.48 per unit implies $0.48 per HCF, outside the $0.50 to $50.00 per HCF range a residential water rate plausibly takes. Carried exactly as filed and not corrected. Source: State Water Board eAR Section 8 / WRSFUsageCost2</t>
        </is>
      </c>
    </row>
    <row r="25">
      <c r="A25" s="6" t="inlineStr">
        <is>
          <t>Representative monthly bill - LIVE (edit a yellow usage cell to recompute)</t>
        </is>
      </c>
      <c r="B25" s="7" t="n"/>
      <c r="C25" s="7" t="n"/>
      <c r="D25" s="7" t="n"/>
    </row>
    <row r="26">
      <c r="A26" s="31" t="inlineStr"/>
      <c r="B26" s="5" t="inlineStr">
        <is>
          <t>Low</t>
        </is>
      </c>
      <c r="C26" s="5" t="inlineStr">
        <is>
          <t>Median</t>
        </is>
      </c>
      <c r="D26" s="5" t="inlineStr">
        <is>
          <t>High</t>
        </is>
      </c>
    </row>
    <row r="27">
      <c r="A27" s="8" t="inlineStr">
        <is>
          <t>Usage per bill (HCF)</t>
        </is>
      </c>
      <c r="B27" s="37">
        <f>B11*$B$12</f>
        <v/>
      </c>
      <c r="C27" s="37">
        <f>C11*$B$12</f>
        <v/>
      </c>
      <c r="D27" s="37">
        <f>D11*$B$12</f>
        <v/>
      </c>
    </row>
    <row r="28">
      <c r="A28" s="8" t="inlineStr">
        <is>
          <t xml:space="preserve">    Tier 1 charge per bill ($)</t>
        </is>
      </c>
      <c r="B28" s="38">
        <f>$C$17*MAX(0,MIN(B27,$D$17)-0)</f>
        <v/>
      </c>
      <c r="C28" s="38">
        <f>$C$17*MAX(0,MIN(C27,$D$17)-0)</f>
        <v/>
      </c>
      <c r="D28" s="38">
        <f>$C$17*MAX(0,MIN(D27,$D$17)-0)</f>
        <v/>
      </c>
    </row>
    <row r="29">
      <c r="A29" s="8" t="inlineStr">
        <is>
          <t xml:space="preserve">    Tier 2 charge per bill ($)</t>
        </is>
      </c>
      <c r="B29" s="38">
        <f>$C$18*MAX(0,MIN(B27,$D$18)-$D$17)</f>
        <v/>
      </c>
      <c r="C29" s="38">
        <f>$C$18*MAX(0,MIN(C27,$D$18)-$D$17)</f>
        <v/>
      </c>
      <c r="D29" s="38">
        <f>$C$18*MAX(0,MIN(D27,$D$18)-$D$17)</f>
        <v/>
      </c>
    </row>
    <row r="30">
      <c r="A30" s="8" t="inlineStr">
        <is>
          <t xml:space="preserve">    Tier 3 charge per bill ($)</t>
        </is>
      </c>
      <c r="B30" s="38">
        <f>$C$19*MAX(0,B27-$D$18)</f>
        <v/>
      </c>
      <c r="C30" s="38">
        <f>$C$19*MAX(0,C27-$D$18)</f>
        <v/>
      </c>
      <c r="D30" s="38">
        <f>$C$19*MAX(0,D27-$D$18)</f>
        <v/>
      </c>
    </row>
    <row r="31">
      <c r="A31" s="8" t="inlineStr">
        <is>
          <t>Volumetric charge per bill ($)</t>
        </is>
      </c>
      <c r="B31" s="38">
        <f>SUM(B28,B29,B30)</f>
        <v/>
      </c>
      <c r="C31" s="38">
        <f>SUM(C28,C29,C30)</f>
        <v/>
      </c>
      <c r="D31" s="38">
        <f>SUM(D28,D29,D30)</f>
        <v/>
      </c>
    </row>
    <row r="32">
      <c r="A32" s="8" t="inlineStr">
        <is>
          <t>Base charge per bill ($)</t>
        </is>
      </c>
      <c r="B32" s="38">
        <f>$B$15</f>
        <v/>
      </c>
      <c r="C32" s="38">
        <f>$B$15</f>
        <v/>
      </c>
      <c r="D32" s="38">
        <f>$B$15</f>
        <v/>
      </c>
    </row>
    <row r="33">
      <c r="A33" s="8" t="inlineStr">
        <is>
          <t>Total per bill ($)</t>
        </is>
      </c>
      <c r="B33" s="38">
        <f>B32+B31</f>
        <v/>
      </c>
      <c r="C33" s="38">
        <f>C32+C31</f>
        <v/>
      </c>
      <c r="D33" s="38">
        <f>D32+D31</f>
        <v/>
      </c>
    </row>
    <row r="34">
      <c r="A34" s="10" t="inlineStr">
        <is>
          <t>Total per MONTH ($)</t>
        </is>
      </c>
      <c r="B34" s="39">
        <f>B33/$B$12</f>
        <v/>
      </c>
      <c r="C34" s="39">
        <f>C33/$B$12</f>
        <v/>
      </c>
      <c r="D34" s="39">
        <f>D33/$B$12</f>
        <v/>
      </c>
    </row>
    <row r="35">
      <c r="A35" s="8" t="inlineStr">
        <is>
          <t xml:space="preserve">    Fixed per month ($)</t>
        </is>
      </c>
      <c r="B35" s="38">
        <f>$B$15/$B$12</f>
        <v/>
      </c>
      <c r="C35" s="38">
        <f>$B$15/$B$12</f>
        <v/>
      </c>
      <c r="D35" s="38">
        <f>$B$15/$B$12</f>
        <v/>
      </c>
    </row>
    <row r="36">
      <c r="A36" s="8" t="inlineStr">
        <is>
          <t xml:space="preserve">    Volumetric per month ($)</t>
        </is>
      </c>
      <c r="B36" s="38">
        <f>B31/$B$12</f>
        <v/>
      </c>
      <c r="C36" s="38">
        <f>C31/$B$12</f>
        <v/>
      </c>
      <c r="D36" s="38">
        <f>D31/$B$12</f>
        <v/>
      </c>
    </row>
    <row r="37">
      <c r="A37" s="8" t="inlineStr">
        <is>
          <t>Effective price ($/HCF)</t>
        </is>
      </c>
      <c r="B37" s="38">
        <f>IF(B11=0,"",B34/B11)</f>
        <v/>
      </c>
      <c r="C37" s="38">
        <f>IF(C11=0,"",C34/C11)</f>
        <v/>
      </c>
      <c r="D37" s="38">
        <f>IF(D11=0,"",D34/D11)</f>
        <v/>
      </c>
    </row>
    <row r="39">
      <c r="A39" s="6" t="inlineStr">
        <is>
          <t>Rate-structure comparison metrics</t>
        </is>
      </c>
      <c r="B39" s="7" t="n"/>
      <c r="C39" s="7" t="n"/>
      <c r="D39" s="7" t="n"/>
    </row>
    <row r="40">
      <c r="A40" s="8" t="inlineStr">
        <is>
          <t>Fixed share of the bill at median usage</t>
        </is>
      </c>
      <c r="B40" s="40">
        <f>C35/C34</f>
        <v/>
      </c>
      <c r="C40" s="13" t="inlineStr">
        <is>
          <t>fixed / total at 10 HCF/month</t>
        </is>
      </c>
    </row>
    <row r="41">
      <c r="A41" s="8" t="inlineStr">
        <is>
          <t>Tier price ratio (highest to lowest positive tier)</t>
        </is>
      </c>
      <c r="B41" s="41">
        <f>$C$19/$C$17</f>
        <v/>
      </c>
      <c r="C41" s="13" t="inlineStr">
        <is>
          <t>highest filed tier price divided by lowest filed tier price.</t>
        </is>
      </c>
    </row>
    <row r="42">
      <c r="A42" s="8" t="inlineStr">
        <is>
          <t>Rate structure (as filed)</t>
        </is>
      </c>
      <c r="B42" s="42" t="inlineStr">
        <is>
          <t>tiered (Variable Base)</t>
        </is>
      </c>
    </row>
    <row r="44" ht="66" customHeight="1">
      <c r="A44" s="3" t="inlineStr">
        <is>
          <t>State Water Board eAR Section 8a (Customer Charges), single- and multi-family residential charges grid, reporting year 2024. Rate structure only; no revenue.</t>
        </is>
      </c>
    </row>
  </sheetData>
  <mergeCells count="9">
    <mergeCell ref="A1:D1"/>
    <mergeCell ref="A5:D5"/>
    <mergeCell ref="A23:D23"/>
    <mergeCell ref="A6:D6"/>
    <mergeCell ref="A22:D22"/>
    <mergeCell ref="A3:D3"/>
    <mergeCell ref="A7:D7"/>
    <mergeCell ref="A2:D2"/>
    <mergeCell ref="A44:D44"/>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30"/>
  <sheetViews>
    <sheetView workbookViewId="0">
      <pane ySplit="4" topLeftCell="A5" activePane="bottomLeft" state="frozen"/>
      <selection pane="bottomLeft" activeCell="A1" sqref="A1"/>
    </sheetView>
  </sheetViews>
  <sheetFormatPr baseColWidth="8" defaultRowHeight="15"/>
  <cols>
    <col width="44" customWidth="1" min="1" max="1"/>
    <col width="20" customWidth="1" min="2" max="2"/>
    <col width="20" customWidth="1" min="3" max="3"/>
  </cols>
  <sheetData>
    <row r="1">
      <c r="A1" s="1" t="inlineStr">
        <is>
          <t>Vaughn Water Company Inc</t>
        </is>
      </c>
    </row>
    <row r="2">
      <c r="A2" s="2" t="inlineStr">
        <is>
          <t>eAR annual revenue and expenses - State Water Board eAR Section 8b (USD)</t>
        </is>
      </c>
    </row>
    <row r="3">
      <c r="A3" s="2" t="inlineStr">
        <is>
          <t>Entity ID: cawc_0030   |   Fiscal year ends December 31.</t>
        </is>
      </c>
    </row>
    <row r="5" ht="141" customHeight="1">
      <c r="A5" s="3" t="inlineStr">
        <is>
          <t>The water system's own annual figures from the public eAR Section 8b, on the calendar year 2024 the filer self-reported (B0.1/B0.2). Shown beside the period-aligned Form 990 with the variance flagged: a different source (a State Water Board self-report vs an IRS filing). Preserved as filed, never reconciled.</t>
        </is>
      </c>
    </row>
    <row r="6">
      <c r="A6" s="21" t="inlineStr">
        <is>
          <t>Reporting period basis (self-reported)</t>
        </is>
      </c>
      <c r="B6" s="24" t="inlineStr">
        <is>
          <t>calendar year 2024</t>
        </is>
      </c>
      <c r="C6" s="23" t="inlineStr">
        <is>
          <t>eAR Section 8b B0.1 (WRFinancialReportingPeriod)</t>
        </is>
      </c>
    </row>
    <row r="8">
      <c r="A8" s="6" t="inlineStr">
        <is>
          <t>Revenue (eAR Section 8b, questions B1.x)</t>
        </is>
      </c>
      <c r="B8" s="7" t="n"/>
      <c r="C8" s="7" t="n"/>
    </row>
    <row r="9">
      <c r="A9" s="5" t="inlineStr">
        <is>
          <t>Line</t>
        </is>
      </c>
      <c r="B9" s="5" t="inlineStr">
        <is>
          <t>Amount (USD)</t>
        </is>
      </c>
      <c r="C9" s="5" t="inlineStr">
        <is>
          <t>Citation</t>
        </is>
      </c>
    </row>
    <row r="10">
      <c r="A10" s="21" t="inlineStr">
        <is>
          <t>Water rate revenue</t>
        </is>
      </c>
      <c r="B10" s="9" t="n">
        <v>10997261</v>
      </c>
      <c r="C10" s="23" t="inlineStr">
        <is>
          <t>State Water Board eAR Section 8b, question B1.1 + B1.2 (revenue from water rates), reporting year 2024</t>
        </is>
      </c>
    </row>
    <row r="11">
      <c r="A11" s="21" t="inlineStr">
        <is>
          <t>Other fees and charges</t>
        </is>
      </c>
      <c r="B11" s="9" t="n">
        <v>31302</v>
      </c>
      <c r="C11" s="23" t="inlineStr">
        <is>
          <t>State Water Board eAR Section 8b, question B1.3 + B1.4 (revenue from other fees), reporting year 2024</t>
        </is>
      </c>
    </row>
    <row r="12">
      <c r="A12" s="21" t="inlineStr">
        <is>
          <t>Non-customer revenue</t>
        </is>
      </c>
      <c r="B12" s="9" t="n">
        <v>0</v>
      </c>
      <c r="C12" s="23" t="inlineStr">
        <is>
          <t>State Water Board eAR Section 8b, question B1.7 (grants, interest, and other non-customer), reporting year 2024</t>
        </is>
      </c>
    </row>
    <row r="13">
      <c r="A13" s="21" t="inlineStr">
        <is>
          <t>Total annual revenue</t>
        </is>
      </c>
      <c r="B13" s="43" t="n">
        <v>11028563</v>
      </c>
      <c r="C13" s="23" t="inlineStr">
        <is>
          <t>State Water Board eAR Section 8b, question B1.8 (total annual revenue for the reporting year), reporting year 2024</t>
        </is>
      </c>
    </row>
    <row r="15">
      <c r="A15" s="6" t="inlineStr">
        <is>
          <t>Expenses (eAR Section 8b, questions B2.x)</t>
        </is>
      </c>
      <c r="B15" s="7" t="n"/>
      <c r="C15" s="7" t="n"/>
    </row>
    <row r="16">
      <c r="A16" s="5" t="inlineStr">
        <is>
          <t>Line</t>
        </is>
      </c>
      <c r="B16" s="5" t="inlineStr">
        <is>
          <t>Amount (USD)</t>
        </is>
      </c>
      <c r="C16" s="5" t="inlineStr">
        <is>
          <t>Citation</t>
        </is>
      </c>
    </row>
    <row r="17">
      <c r="A17" s="21" t="inlineStr">
        <is>
          <t>Operations and maintenance</t>
        </is>
      </c>
      <c r="B17" s="9" t="n">
        <v>11520496</v>
      </c>
      <c r="C17" s="23" t="inlineStr">
        <is>
          <t>State Water Board eAR Section 8b, question B2.1 (annual O and M expense), reporting year 2024</t>
        </is>
      </c>
    </row>
    <row r="18">
      <c r="A18" s="21" t="inlineStr">
        <is>
          <t>Capital</t>
        </is>
      </c>
      <c r="B18" s="9" t="n">
        <v>1285167</v>
      </c>
      <c r="C18" s="23" t="inlineStr">
        <is>
          <t>State Water Board eAR Section 8b, question B2.2 (annual expenses from investing or capital), reporting year 2024</t>
        </is>
      </c>
    </row>
    <row r="19">
      <c r="A19" s="21" t="inlineStr">
        <is>
          <t>Financing</t>
        </is>
      </c>
      <c r="B19" s="9" t="n">
        <v>285511</v>
      </c>
      <c r="C19" s="23" t="inlineStr">
        <is>
          <t>State Water Board eAR Section 8b, question B2.3 (annual expenses from financing), reporting year 2024</t>
        </is>
      </c>
    </row>
    <row r="20">
      <c r="A20" s="21" t="inlineStr">
        <is>
          <t>Other</t>
        </is>
      </c>
      <c r="B20" s="9" t="n">
        <v>0</v>
      </c>
      <c r="C20" s="23" t="inlineStr">
        <is>
          <t>State Water Board eAR Section 8b, question B2.4 (total other annual expenses), reporting year 2024</t>
        </is>
      </c>
    </row>
    <row r="21">
      <c r="A21" s="21" t="inlineStr">
        <is>
          <t>Total annual expenses</t>
        </is>
      </c>
      <c r="B21" s="43" t="n">
        <v>13091174</v>
      </c>
      <c r="C21" s="23" t="inlineStr">
        <is>
          <t>State Water Board eAR Section 8b, question B2.5 (total annual expenses), reporting year 2024</t>
        </is>
      </c>
    </row>
    <row r="23">
      <c r="A23" s="6" t="inlineStr">
        <is>
          <t>Period-aligned Form 990 comparison (variance surfaced, never reconciled)</t>
        </is>
      </c>
      <c r="B23" s="7" t="n"/>
      <c r="C23" s="7" t="n"/>
    </row>
    <row r="24">
      <c r="A24" s="5" t="inlineStr">
        <is>
          <t>Measure</t>
        </is>
      </c>
      <c r="B24" s="5" t="inlineStr">
        <is>
          <t>eAR Section 8b</t>
        </is>
      </c>
      <c r="C24" s="5" t="inlineStr">
        <is>
          <t>Form 990</t>
        </is>
      </c>
    </row>
    <row r="25">
      <c r="A25" s="8" t="inlineStr">
        <is>
          <t>total revenue</t>
        </is>
      </c>
      <c r="B25" s="9" t="n">
        <v>11028563</v>
      </c>
      <c r="C25" s="9" t="n">
        <v>12086327</v>
      </c>
    </row>
    <row r="26">
      <c r="A26" s="15" t="inlineStr">
        <is>
          <t>Variance (eAR minus Form 990)</t>
        </is>
      </c>
      <c r="B26" s="16">
        <f>B25-C25</f>
        <v/>
      </c>
      <c r="C26" s="44" t="n"/>
    </row>
    <row r="27" ht="126" customHeight="1">
      <c r="A27" s="3" t="inlineStr">
        <is>
          <t>The eAR Section 8b total revenue (State Water Board self-report, calendar year 2024) and the Form 990 total revenue (IRS filing) are a different source and cover the same calendar year 2024. Both are carried as filed; the variance is surfaced, never reconciled.</t>
        </is>
      </c>
    </row>
    <row r="28">
      <c r="A28" s="8" t="inlineStr">
        <is>
          <t>total expenses</t>
        </is>
      </c>
      <c r="B28" s="9" t="n">
        <v>13091174</v>
      </c>
      <c r="C28" s="9" t="n">
        <v>11046499</v>
      </c>
    </row>
    <row r="29">
      <c r="A29" s="15" t="inlineStr">
        <is>
          <t>Variance (eAR minus Form 990)</t>
        </is>
      </c>
      <c r="B29" s="16">
        <f>B28-C28</f>
        <v/>
      </c>
      <c r="C29" s="44" t="n"/>
    </row>
    <row r="30" ht="126" customHeight="1">
      <c r="A30" s="3" t="inlineStr">
        <is>
          <t>The eAR Section 8b total expenses (State Water Board self-report, calendar year 2024) and the Form 990 total expenses (IRS filing) are a different source and cover the same calendar year 2024. Both are carried as filed; the variance is surfaced, never reconciled.</t>
        </is>
      </c>
    </row>
  </sheetData>
  <mergeCells count="6">
    <mergeCell ref="A1:C1"/>
    <mergeCell ref="A5:C5"/>
    <mergeCell ref="A27:C27"/>
    <mergeCell ref="A3:C3"/>
    <mergeCell ref="A30:C30"/>
    <mergeCell ref="A2:C2"/>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25"/>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22" customWidth="1" min="1" max="1"/>
    <col width="14" customWidth="1" min="2" max="2"/>
    <col width="14" customWidth="1" min="3" max="3"/>
    <col width="16" customWidth="1" min="4" max="4"/>
    <col width="16" customWidth="1" min="5" max="5"/>
    <col width="16" customWidth="1" min="6" max="6"/>
    <col width="48" customWidth="1" min="7" max="7"/>
  </cols>
  <sheetData>
    <row r="1">
      <c r="A1" s="1" t="inlineStr">
        <is>
          <t>Vaughn Water Company Inc</t>
        </is>
      </c>
    </row>
    <row r="2">
      <c r="A2" s="2" t="inlineStr">
        <is>
          <t>Denominators and calendar alignment</t>
        </is>
      </c>
    </row>
    <row r="3">
      <c r="A3" s="2" t="inlineStr">
        <is>
          <t>Entity ID: cawc_0030   |   Fiscal year ends December 31.</t>
        </is>
      </c>
    </row>
    <row r="5" ht="126" customHeight="1">
      <c r="A5" s="3" t="inlineStr">
        <is>
          <t>System size and water use per fiscal year (the operating denominators that per-customer and per-acre metrics divide by), each cited to file and field. The eAR is reported on the calendar year; the 990 fiscal year differs by company. A calendar-year filer's volume is the eAR annual total (fiscal year = calendar year); an offset filer's is recast by a true monthly sum of the covered calendar months, or read not reported naming the missing months. Point-in-time counts (connections, population) are matched to the closest eAR year and never summed. Every derived figure states its formula and accounting rationale.</t>
        </is>
      </c>
    </row>
    <row r="6">
      <c r="A6" s="6" t="inlineStr">
        <is>
          <t>Member vs customer (two different denominators, both preserved)</t>
        </is>
      </c>
      <c r="B6" s="7" t="n"/>
      <c r="C6" s="7" t="n"/>
      <c r="D6" s="7" t="n"/>
      <c r="E6" s="7" t="n"/>
      <c r="F6" s="7" t="n"/>
      <c r="G6" s="7" t="n"/>
    </row>
    <row r="7">
      <c r="A7" s="21" t="inlineStr">
        <is>
          <t>Customer (service connection)</t>
        </is>
      </c>
      <c r="B7" s="22" t="n">
        <v>11448</v>
      </c>
      <c r="C7" s="23" t="inlineStr">
        <is>
          <t>State Water Board eAR Section 4 (CurTotalConnections), reporting year 2024</t>
        </is>
      </c>
    </row>
    <row r="8">
      <c r="A8" s="21" t="inlineStr">
        <is>
          <t>Member (shareholder)</t>
        </is>
      </c>
      <c r="B8" s="24" t="n"/>
      <c r="C8" s="23" t="inlineStr">
        <is>
          <t>No published shareholder count</t>
        </is>
      </c>
    </row>
    <row r="9" ht="96" customHeight="1">
      <c r="A9" s="3" t="inlineStr">
        <is>
          <t>In a mutual water company a MEMBER is a shareholder who owns part of the system; a CUSTOMER is a metered service connection that receives water. The two diverge because one owner can hold several connections, a connection can serve people who are not owners, and some mutuals attach shares to land by acreage rather than counting heads. Per-customer metrics divide by service connections; per-member metrics divide by shareholders; the two counts are never used interchangeably.</t>
        </is>
      </c>
    </row>
    <row r="11">
      <c r="A11" s="6" t="inlineStr">
        <is>
          <t>Denominator layer by fiscal year</t>
        </is>
      </c>
      <c r="B11" s="7" t="n"/>
      <c r="C11" s="7" t="n"/>
      <c r="D11" s="7" t="n"/>
      <c r="E11" s="7" t="n"/>
      <c r="F11" s="7" t="n"/>
      <c r="G11" s="7" t="n"/>
    </row>
    <row r="12">
      <c r="A12" s="5" t="inlineStr">
        <is>
          <t>Fiscal year (end)</t>
        </is>
      </c>
      <c r="B12" s="5" t="inlineStr">
        <is>
          <t>Connections</t>
        </is>
      </c>
      <c r="C12" s="5" t="inlineStr">
        <is>
          <t>Population</t>
        </is>
      </c>
      <c r="D12" s="5" t="inlineStr">
        <is>
          <t>Service-area acres</t>
        </is>
      </c>
      <c r="E12" s="5" t="inlineStr">
        <is>
          <t>Water produced (AF)</t>
        </is>
      </c>
      <c r="F12" s="5" t="inlineStr">
        <is>
          <t>Water delivered (AF)</t>
        </is>
      </c>
      <c r="G12" s="5" t="inlineStr">
        <is>
          <t>Alignment method</t>
        </is>
      </c>
    </row>
    <row r="13" ht="40" customHeight="1">
      <c r="A13" s="8" t="inlineStr">
        <is>
          <t>FY2020 (2020-12-31)</t>
        </is>
      </c>
      <c r="B13" s="22" t="n">
        <v>11099</v>
      </c>
      <c r="C13" s="14" t="inlineStr">
        <is>
          <t>not reported</t>
        </is>
      </c>
      <c r="D13" s="22" t="n">
        <v>19204.8</v>
      </c>
      <c r="E13" s="14" t="inlineStr">
        <is>
          <t>not reported</t>
        </is>
      </c>
      <c r="F13" s="14" t="inlineStr">
        <is>
          <t>not reported</t>
        </is>
      </c>
      <c r="G13" s="24" t="inlineStr">
        <is>
          <t>eAR annual total, calendar filer, equals fiscal year (not a monthly recast)</t>
        </is>
      </c>
    </row>
    <row r="14" ht="40" customHeight="1">
      <c r="A14" s="8" t="inlineStr">
        <is>
          <t>FY2021 (2021-12-31)</t>
        </is>
      </c>
      <c r="B14" s="22" t="n">
        <v>11213</v>
      </c>
      <c r="C14" s="14" t="inlineStr">
        <is>
          <t>not reported</t>
        </is>
      </c>
      <c r="D14" s="22" t="n">
        <v>19204.8</v>
      </c>
      <c r="E14" s="14" t="inlineStr">
        <is>
          <t>not reported</t>
        </is>
      </c>
      <c r="F14" s="14" t="inlineStr">
        <is>
          <t>not reported</t>
        </is>
      </c>
      <c r="G14" s="24" t="inlineStr">
        <is>
          <t>eAR annual total, calendar filer, equals fiscal year (not a monthly recast)</t>
        </is>
      </c>
    </row>
    <row r="15" ht="40" customHeight="1">
      <c r="A15" s="8" t="inlineStr">
        <is>
          <t>FY2022 (2022-12-31)</t>
        </is>
      </c>
      <c r="B15" s="22" t="n">
        <v>11306</v>
      </c>
      <c r="C15" s="14" t="inlineStr">
        <is>
          <t>not reported</t>
        </is>
      </c>
      <c r="D15" s="22" t="n">
        <v>19204.8</v>
      </c>
      <c r="E15" s="14" t="inlineStr">
        <is>
          <t>not reported</t>
        </is>
      </c>
      <c r="F15" s="14" t="inlineStr">
        <is>
          <t>not reported</t>
        </is>
      </c>
      <c r="G15" s="24" t="inlineStr">
        <is>
          <t>eAR annual total, calendar filer, equals fiscal year (not a monthly recast)</t>
        </is>
      </c>
    </row>
    <row r="16" ht="40" customHeight="1">
      <c r="A16" s="8" t="inlineStr">
        <is>
          <t>FY2023 (2023-12-31)</t>
        </is>
      </c>
      <c r="B16" s="22" t="n">
        <v>11306</v>
      </c>
      <c r="C16" s="14" t="inlineStr">
        <is>
          <t>not reported</t>
        </is>
      </c>
      <c r="D16" s="22" t="n">
        <v>19204.8</v>
      </c>
      <c r="E16" s="14" t="inlineStr">
        <is>
          <t>not reported</t>
        </is>
      </c>
      <c r="F16" s="14" t="inlineStr">
        <is>
          <t>not reported</t>
        </is>
      </c>
      <c r="G16" s="24" t="inlineStr">
        <is>
          <t>eAR annual total, calendar filer, equals fiscal year (not a monthly recast)</t>
        </is>
      </c>
    </row>
    <row r="17" ht="40" customHeight="1">
      <c r="A17" s="8" t="inlineStr">
        <is>
          <t>FY2024 (2024-12-31)</t>
        </is>
      </c>
      <c r="B17" s="22" t="n">
        <v>11448</v>
      </c>
      <c r="C17" s="22" t="n">
        <v>37075</v>
      </c>
      <c r="D17" s="22" t="n">
        <v>19204.8</v>
      </c>
      <c r="E17" s="14" t="inlineStr">
        <is>
          <t>not reported</t>
        </is>
      </c>
      <c r="F17" s="14" t="inlineStr">
        <is>
          <t>not reported</t>
        </is>
      </c>
      <c r="G17" s="24" t="inlineStr">
        <is>
          <t>eAR annual total, calendar filer, equals fiscal year (not a monthly recast)</t>
        </is>
      </c>
    </row>
    <row r="19">
      <c r="A19" s="6" t="inlineStr">
        <is>
          <t>Connections by class - FY2024 (eAR Section 4)</t>
        </is>
      </c>
      <c r="B19" s="7" t="n"/>
      <c r="C19" s="7" t="n"/>
      <c r="D19" s="7" t="n"/>
      <c r="E19" s="7" t="n"/>
      <c r="F19" s="7" t="n"/>
      <c r="G19" s="7" t="n"/>
    </row>
    <row r="20">
      <c r="A20" s="21" t="inlineStr">
        <is>
          <t>Single-family residential</t>
        </is>
      </c>
      <c r="B20" s="22" t="n">
        <v>11017</v>
      </c>
      <c r="C20" s="23" t="inlineStr"/>
    </row>
    <row r="21">
      <c r="A21" s="21" t="inlineStr">
        <is>
          <t>Multi-family residential</t>
        </is>
      </c>
      <c r="B21" s="22" t="n">
        <v>44</v>
      </c>
      <c r="C21" s="23" t="inlineStr"/>
    </row>
    <row r="22">
      <c r="A22" s="21" t="inlineStr">
        <is>
          <t>Commercial and institutional</t>
        </is>
      </c>
      <c r="B22" s="22" t="n">
        <v>260</v>
      </c>
      <c r="C22" s="23" t="inlineStr"/>
    </row>
    <row r="23">
      <c r="A23" s="21" t="inlineStr">
        <is>
          <t>Industrial</t>
        </is>
      </c>
      <c r="B23" s="22" t="n">
        <v>25</v>
      </c>
      <c r="C23" s="23" t="inlineStr"/>
    </row>
    <row r="24">
      <c r="A24" s="21" t="inlineStr">
        <is>
          <t>Landscape irrigation</t>
        </is>
      </c>
      <c r="B24" s="22" t="n">
        <v>137</v>
      </c>
      <c r="C24" s="23" t="inlineStr"/>
    </row>
    <row r="25" ht="81" customHeight="1">
      <c r="A25" s="3" t="inlineStr">
        <is>
          <t>Monthly-volume source: California open-data portal (data.ca.gov): the separate Produced Water (by month and source) and Delivered Water (by month and connection type) resources, which cover every public water system (not only urban suppliers), one resource per reporting year, matched by exact PWSID. This is the aggregate publication of eAR Section 6.</t>
        </is>
      </c>
    </row>
  </sheetData>
  <mergeCells count="6">
    <mergeCell ref="A1:G1"/>
    <mergeCell ref="A9:G9"/>
    <mergeCell ref="A3:G3"/>
    <mergeCell ref="A2:G2"/>
    <mergeCell ref="A25:G25"/>
    <mergeCell ref="A5:G5"/>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E25"/>
  <sheetViews>
    <sheetView workbookViewId="0">
      <pane ySplit="4" topLeftCell="A5" activePane="bottomLeft" state="frozen"/>
      <selection pane="bottomLeft" activeCell="A1" sqref="A1"/>
    </sheetView>
  </sheetViews>
  <sheetFormatPr baseColWidth="8" defaultRowHeight="15"/>
  <cols>
    <col width="26" customWidth="1" min="1" max="1"/>
    <col width="16" customWidth="1" min="2" max="2"/>
    <col width="40" customWidth="1" min="3" max="3"/>
    <col width="40" customWidth="1" min="4" max="4"/>
    <col width="12" customWidth="1" min="5" max="5"/>
  </cols>
  <sheetData>
    <row r="1">
      <c r="A1" s="1" t="inlineStr">
        <is>
          <t>Vaughn Water Company Inc</t>
        </is>
      </c>
    </row>
    <row r="2">
      <c r="A2" s="2" t="inlineStr">
        <is>
          <t>Governance evidence status - Ostrom's eight design principles</t>
        </is>
      </c>
    </row>
    <row r="3">
      <c r="A3" s="2" t="inlineStr">
        <is>
          <t>Entity ID: cawc_0030   |   Fiscal year ends December 31.</t>
        </is>
      </c>
    </row>
    <row r="5">
      <c r="A5" s="45" t="inlineStr">
        <is>
          <t>Evidence summary: 3 documented, 3 partial, 2 not documented of eight principles.</t>
        </is>
      </c>
      <c r="B5" s="7" t="n"/>
      <c r="C5" s="7" t="n"/>
      <c r="D5" s="7" t="n"/>
      <c r="E5" s="7" t="n"/>
    </row>
    <row r="6" ht="81" customHeight="1">
      <c r="A6" s="3" t="inlineStr">
        <is>
          <t>A count of how many of Elinor Ostrom's eight design principles have a supporting record on file, not a grade. NOT DOCUMENTED means the supporting record was not found, not that the company governs badly. It marks a gap in the documentary record, an evidence gap to close, never a governance failing.</t>
        </is>
      </c>
    </row>
    <row r="7" ht="201" customHeight="1">
      <c r="A7" s="3" t="inlineStr">
        <is>
          <t>Each mutual is read against Elinor Ostrom's eight design principles for institutions that govern a shared resource durably. Per principle: a one-line finding, the observable signal, a citation, and an evidence status stating whether the supporting record exists: DOCUMENTED (a cited record supports alignment), PARTIAL (some evidence exists but it is incomplete), or NOT DOCUMENTED (no supporting record was found). This is an evidence-status read, not a grade: the principles are never ranked, weighted, or given a letter, consistent with reporting as filed and not grading companies. NOT DOCUMENTED means the supporting record was not found, not that the company governs badly. It marks a gap in the documentary record, an evidence gap to close, never a governance failing.</t>
        </is>
      </c>
    </row>
    <row r="9">
      <c r="A9" s="5" t="inlineStr">
        <is>
          <t>Principle</t>
        </is>
      </c>
      <c r="B9" s="5" t="inlineStr">
        <is>
          <t>Evidence status</t>
        </is>
      </c>
      <c r="C9" s="5" t="inlineStr">
        <is>
          <t>Finding</t>
        </is>
      </c>
      <c r="D9" s="5" t="inlineStr">
        <is>
          <t>Signal</t>
        </is>
      </c>
      <c r="E9" s="5" t="inlineStr">
        <is>
          <t>Citation</t>
        </is>
      </c>
    </row>
    <row r="10" ht="46" customHeight="1">
      <c r="A10" s="8" t="inlineStr">
        <is>
          <t>Clearly defined boundaries</t>
        </is>
      </c>
      <c r="B10" s="25" t="inlineStr">
        <is>
          <t>PARTIAL</t>
        </is>
      </c>
      <c r="C10" s="24" t="inlineStr">
        <is>
          <t>The system is a defined public water system with 11,448 service connections and a State-published service area of roughly 19,161.9 acres, but the State Water Board has NOT verified that boundary.</t>
        </is>
      </c>
      <c r="D10" s="24" t="inlineStr">
        <is>
          <t>SDWIS Community water system; SABL service-area boundary (Not Verified); connections defined.</t>
        </is>
      </c>
      <c r="E10" s="46" t="inlineStr">
        <is>
          <t>[C][G]</t>
        </is>
      </c>
    </row>
    <row r="11" ht="81" customHeight="1">
      <c r="A11" s="3" t="inlineStr">
        <is>
          <t>What the record shows: Membership is documented as a fixed set of service connections, so the social boundary is clear. The physical boundary is published but carries the State's Not Verified flag, so it is drawn dashed and every figure derived from its acreage is held at lower confidence.</t>
        </is>
      </c>
    </row>
    <row r="12" ht="46" customHeight="1">
      <c r="A12" s="8" t="inlineStr">
        <is>
          <t>Rules fit local conditions</t>
        </is>
      </c>
      <c r="B12" s="25" t="inlineStr">
        <is>
          <t>DOCUMENTED</t>
        </is>
      </c>
      <c r="C12" s="24" t="inlineStr">
        <is>
          <t>Charges are tied to metered use under a filed rate schedule: a variable base residential structure billed m and priced per hundred cubic feet.</t>
        </is>
      </c>
      <c r="D12" s="24" t="inlineStr">
        <is>
          <t>eAR Section 8a customer charges; metered service; Variable Base residential rate structure.</t>
        </is>
      </c>
      <c r="E12" s="46" t="inlineStr">
        <is>
          <t>[E]</t>
        </is>
      </c>
    </row>
    <row r="13" ht="81" customHeight="1">
      <c r="A13" s="3" t="inlineStr">
        <is>
          <t>What the record shows: The record documents how charges are set: the filer reports metered service, a billing frequency, a residential rate structure and a filed rate schedule, so cost tracks service. Whether every tier scales precisely with use is not visible in the filing and is not claimed here.</t>
        </is>
      </c>
    </row>
    <row r="14" ht="46" customHeight="1">
      <c r="A14" s="8" t="inlineStr">
        <is>
          <t>Collective-choice arrangements</t>
        </is>
      </c>
      <c r="B14" s="25" t="inlineStr">
        <is>
          <t>PARTIAL</t>
        </is>
      </c>
      <c r="C14" s="24" t="inlineStr">
        <is>
          <t>The company is owned by its shareholders and publishes the time and place of its regular monthly board meeting.</t>
        </is>
      </c>
      <c r="D14" s="24" t="inlineStr">
        <is>
          <t>Mutual ownership; published monthly board meeting; Form 990 governance section.</t>
        </is>
      </c>
      <c r="E14" s="46" t="inlineStr">
        <is>
          <t>[990][1]</t>
        </is>
      </c>
    </row>
    <row r="15" ht="111" customHeight="1">
      <c r="A15" s="3" t="inlineStr">
        <is>
          <t>What the record shows: A collective-choice mechanism is documented in outline: the customers are the shareholders. It stays PARTIAL rather than met because the filed corporate record that would carry the director roster and the election procedure is NOT YET CHECKED for this company, the California Secretary of State being reachable only through a browser session that now answers a CAPTCHA. A stated board is not a filed roster.</t>
        </is>
      </c>
    </row>
    <row r="16" ht="46" customHeight="1">
      <c r="A16" s="8" t="inlineStr">
        <is>
          <t>Monitoring</t>
        </is>
      </c>
      <c r="B16" s="25" t="inlineStr">
        <is>
          <t>DOCUMENTED</t>
        </is>
      </c>
      <c r="C16" s="24" t="inlineStr">
        <is>
          <t>The system is monitored and reports on itself: it files an annual eAR, and it reports metered service, and a Consumer Confidence Report for 2024 was located at the State's own CCR portal, and it holds an emergency response plan dated 7/1/2024.</t>
        </is>
      </c>
      <c r="D16" s="24" t="inlineStr">
        <is>
          <t>Annual eAR reporting; metered connections; located Consumer Confidence Report</t>
        </is>
      </c>
      <c r="E16" s="46" t="inlineStr">
        <is>
          <t>[E][CCR]</t>
        </is>
      </c>
    </row>
    <row r="17" ht="66" customHeight="1">
      <c r="A17" s="3" t="inlineStr">
        <is>
          <t>What the record shows: Operational monitoring is documented from more than one filing. What the federal violation check found is reported separately in the On the record block and is not folded into this tier.</t>
        </is>
      </c>
    </row>
    <row r="18" ht="46" customHeight="1">
      <c r="A18" s="8" t="inlineStr">
        <is>
          <t>Graduated sanctions</t>
        </is>
      </c>
      <c r="B18" s="25" t="inlineStr">
        <is>
          <t>NOT DOCUMENTED</t>
        </is>
      </c>
      <c r="C18" s="24" t="inlineStr">
        <is>
          <t>No published shut-off, penalty, or delinquency policy was found for this system.</t>
        </is>
      </c>
      <c r="D18" s="24" t="inlineStr">
        <is>
          <t>No sourced graduated sanctions record.</t>
        </is>
      </c>
      <c r="E18" s="46" t="inlineStr">
        <is>
          <t>not reported</t>
        </is>
      </c>
    </row>
    <row r="19" ht="81" customHeight="1">
      <c r="A19" s="3" t="inlineStr">
        <is>
          <t>What the record shows: No public record of a shut-off, penalty, or delinquency policy was located. NOT DOCUMENTED means the supporting record was not found, not that the company governs badly. It marks a gap in the documentary record, an evidence gap to close, never a governance failing.</t>
        </is>
      </c>
    </row>
    <row r="20" ht="46" customHeight="1">
      <c r="A20" s="8" t="inlineStr">
        <is>
          <t>Conflict-resolution mechanisms</t>
        </is>
      </c>
      <c r="B20" s="25" t="inlineStr">
        <is>
          <t>NOT DOCUMENTED</t>
        </is>
      </c>
      <c r="C20" s="24" t="inlineStr">
        <is>
          <t>No published bylaws, dispute procedure, or grievance mechanism was found for this system.</t>
        </is>
      </c>
      <c r="D20" s="24" t="inlineStr">
        <is>
          <t>No sourced conflict-resolution mechanisms record.</t>
        </is>
      </c>
      <c r="E20" s="46" t="inlineStr">
        <is>
          <t>not reported</t>
        </is>
      </c>
    </row>
    <row r="21" ht="81" customHeight="1">
      <c r="A21" s="3" t="inlineStr">
        <is>
          <t>What the record shows: No public record of a bylaws, dispute procedure, or grievance mechanism was located. NOT DOCUMENTED means the supporting record was not found, not that the company governs badly. It marks a gap in the documentary record, an evidence gap to close, never a governance failing.</t>
        </is>
      </c>
    </row>
    <row r="22" ht="46" customHeight="1">
      <c r="A22" s="8" t="inlineStr">
        <is>
          <t>Recognized right to organize</t>
        </is>
      </c>
      <c r="B22" s="25" t="inlineStr">
        <is>
          <t>DOCUMENTED</t>
        </is>
      </c>
      <c r="C22" s="24" t="inlineStr">
        <is>
          <t>An incorporated California mutual water company recognized by the IRS as a 501(c)(12) exempt filer and by the State Water Board as a Community public water system.</t>
        </is>
      </c>
      <c r="D22" s="24" t="inlineStr">
        <is>
          <t>IRS 501(c)(12) exempt filer (Form 990); SDWIS Community public water system; eAR ownership type 'Privately owned Mutual Water Company or Association'.</t>
        </is>
      </c>
      <c r="E22" s="46" t="inlineStr">
        <is>
          <t>[990][C][E]</t>
        </is>
      </c>
    </row>
    <row r="23" ht="96" customHeight="1">
      <c r="A23" s="3" t="inlineStr">
        <is>
          <t>What the record shows: Baseline legal standing is documented by two independent regulators: the IRS accepts it as a tax-exempt 501(c)(12) filer and the State Water Board holds it as a Community public water system with a mutual ownership type. This status does NOT rest on a filed corporate record, because the Secretary of State check has not been run for this company.</t>
        </is>
      </c>
    </row>
    <row r="24" ht="46" customHeight="1">
      <c r="A24" s="8" t="inlineStr">
        <is>
          <t>Nested enterprises</t>
        </is>
      </c>
      <c r="B24" s="25" t="inlineStr">
        <is>
          <t>PARTIAL</t>
        </is>
      </c>
      <c r="C24" s="24" t="inlineStr">
        <is>
          <t>The system sits inside larger water systems: it pumps from 1 groundwater basin(s) shared with neighbors. Its role in governing any of them is not documented.</t>
        </is>
      </c>
      <c r="D24" s="24" t="inlineStr">
        <is>
          <t>it pumps from 1 groundwater basin(s) shared with neighbors</t>
        </is>
      </c>
      <c r="E24" s="46" t="inlineStr">
        <is>
          <t>[SG]</t>
        </is>
      </c>
    </row>
    <row r="25" ht="51" customHeight="1">
      <c r="A25" s="3" t="inlineStr">
        <is>
          <t>What the record shows: Physical nesting is documented. What is not documented is any governance role in a wholesaler or in a groundwater sustainability agency, so the tier is PARTIAL rather than met.</t>
        </is>
      </c>
    </row>
  </sheetData>
  <mergeCells count="13">
    <mergeCell ref="A21:E21"/>
    <mergeCell ref="A2:E2"/>
    <mergeCell ref="A15:E15"/>
    <mergeCell ref="A7:E7"/>
    <mergeCell ref="A25:E25"/>
    <mergeCell ref="A19:E19"/>
    <mergeCell ref="A11:E11"/>
    <mergeCell ref="A1:E1"/>
    <mergeCell ref="A23:E23"/>
    <mergeCell ref="A13:E13"/>
    <mergeCell ref="A6:E6"/>
    <mergeCell ref="A17:E17"/>
    <mergeCell ref="A3:E3"/>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19"/>
  <sheetViews>
    <sheetView workbookViewId="0">
      <pane ySplit="4" topLeftCell="A5" activePane="bottomLeft" state="frozen"/>
      <selection pane="bottomLeft" activeCell="A1" sqref="A1"/>
    </sheetView>
  </sheetViews>
  <sheetFormatPr baseColWidth="8" defaultRowHeight="15"/>
  <cols>
    <col width="30" customWidth="1" min="1" max="1"/>
    <col width="26" customWidth="1" min="2" max="2"/>
    <col width="60" customWidth="1" min="3" max="3"/>
  </cols>
  <sheetData>
    <row r="1">
      <c r="A1" s="1" t="inlineStr">
        <is>
          <t>Vaughn Water Company Inc</t>
        </is>
      </c>
    </row>
    <row r="2">
      <c r="A2" s="2" t="inlineStr">
        <is>
          <t>Operational metrics - plant per acre, density, terrain</t>
        </is>
      </c>
    </row>
    <row r="3">
      <c r="A3" s="2" t="inlineStr">
        <is>
          <t>Entity ID: cawc_0030   |   Fiscal year ends December 31.</t>
        </is>
      </c>
    </row>
    <row r="5">
      <c r="A5" s="6" t="inlineStr">
        <is>
          <t>Plant assets per acre</t>
        </is>
      </c>
      <c r="B5" s="7" t="n"/>
      <c r="C5" s="7" t="n"/>
    </row>
    <row r="6">
      <c r="A6" s="21" t="inlineStr">
        <is>
          <t>Service-area acres</t>
        </is>
      </c>
      <c r="B6" s="47" t="n">
        <v>19204.8</v>
      </c>
      <c r="C6" s="23" t="inlineStr">
        <is>
          <t>Geodesic area (WGS84 spherical excess) of the SABL service-area polygon.</t>
        </is>
      </c>
    </row>
    <row r="7">
      <c r="A7" s="5" t="inlineStr">
        <is>
          <t>Fiscal year</t>
        </is>
      </c>
      <c r="B7" s="5" t="inlineStr">
        <is>
          <t>Gross plant per acre (primary)</t>
        </is>
      </c>
      <c r="C7" s="5" t="inlineStr">
        <is>
          <t>Net plant per acre</t>
        </is>
      </c>
    </row>
    <row r="8">
      <c r="A8" s="48" t="inlineStr">
        <is>
          <t>FY2020</t>
        </is>
      </c>
      <c r="B8" s="9" t="n">
        <v>2202.9689</v>
      </c>
      <c r="C8" s="9" t="n">
        <v>1179.4128</v>
      </c>
    </row>
    <row r="9">
      <c r="A9" s="48" t="inlineStr">
        <is>
          <t>FY2021</t>
        </is>
      </c>
      <c r="B9" s="9" t="n">
        <v>2311.2521</v>
      </c>
      <c r="C9" s="9" t="n">
        <v>1234.3986</v>
      </c>
    </row>
    <row r="10">
      <c r="A10" s="48" t="inlineStr">
        <is>
          <t>FY2022</t>
        </is>
      </c>
      <c r="B10" s="9" t="n">
        <v>2331.1349</v>
      </c>
      <c r="C10" s="9" t="n">
        <v>1195.275</v>
      </c>
    </row>
    <row r="11">
      <c r="A11" s="48" t="inlineStr">
        <is>
          <t>FY2023</t>
        </is>
      </c>
      <c r="B11" s="9" t="n">
        <v>2390.824</v>
      </c>
      <c r="C11" s="9" t="n">
        <v>1193.2194</v>
      </c>
    </row>
    <row r="12">
      <c r="A12" s="48" t="inlineStr">
        <is>
          <t>FY2024</t>
        </is>
      </c>
      <c r="B12" s="9" t="n">
        <v>2431.9552</v>
      </c>
      <c r="C12" s="9" t="n">
        <v>1170.0074</v>
      </c>
    </row>
    <row r="13" ht="156" customHeight="1">
      <c r="A13" s="3" t="inlineStr">
        <is>
          <t>Infrastructure built per acre of service area. Gross plant per acre is the primary read because it measures how much plant the system has put in the ground per acre, and unlike net plant it does not fall over time purely because the assets depreciate on the books. Net plant per acre is shown alongside as the depreciated book value per acre.</t>
        </is>
      </c>
    </row>
    <row r="14" ht="81" customHeight="1">
      <c r="A14" s="3" t="inlineStr">
        <is>
          <t>Formula: gross plant per acre = Form 990 Part X line 10a (land, buildings, and equipment, gross) / SABL service-area acres; net plant per acre uses Part X line 10c (net)</t>
        </is>
      </c>
    </row>
    <row r="15" ht="66" customHeight="1">
      <c r="A15" s="3" t="inlineStr">
        <is>
          <t>Source lines: Form 990 Part X line 10a (gross) and line 10c (net); Geodesic area (WGS84 spherical excess) of the SABL service-area polygon.</t>
        </is>
      </c>
    </row>
    <row r="16" ht="96" customHeight="1">
      <c r="A16" s="3" t="inlineStr">
        <is>
          <t>Confidence: medium. This is worked out from filed figures (a ratio, or a year-to-year change), so it is one step removed from the raw numbers.. Filed gross/net plant over the measured SABL service-area acreage.</t>
        </is>
      </c>
    </row>
    <row r="18">
      <c r="A18" s="6" t="inlineStr">
        <is>
          <t>Connections per acre</t>
        </is>
      </c>
      <c r="B18" s="7" t="n"/>
      <c r="C18" s="7" t="n"/>
    </row>
    <row r="19">
      <c r="A19" s="21" t="inlineStr">
        <is>
          <t>Connections per acre</t>
        </is>
      </c>
      <c r="B19" s="20" t="n">
        <v>0.6</v>
      </c>
      <c r="C19" s="23" t="inlineStr">
        <is>
          <t>11,483 connections / 19,204.8 acres. CA State Water Board SABL SERVICE_CONNECTIONS; Geodesic area (WGS84 spherical excess) of the SABL service-area polygon.</t>
        </is>
      </c>
    </row>
  </sheetData>
  <mergeCells count="7">
    <mergeCell ref="A13:C13"/>
    <mergeCell ref="A1:C1"/>
    <mergeCell ref="A16:C16"/>
    <mergeCell ref="A14:C14"/>
    <mergeCell ref="A3:C3"/>
    <mergeCell ref="A15:C15"/>
    <mergeCell ref="A2:C2"/>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12"/>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40" customWidth="1" min="1" max="1"/>
    <col width="14" customWidth="1" min="2" max="2"/>
    <col width="14" customWidth="1" min="3" max="3"/>
    <col width="14" customWidth="1" min="4" max="4"/>
    <col width="14" customWidth="1" min="5" max="5"/>
    <col width="14" customWidth="1" min="6" max="6"/>
  </cols>
  <sheetData>
    <row r="1">
      <c r="A1" s="1" t="inlineStr">
        <is>
          <t>Vaughn Water Company Inc</t>
        </is>
      </c>
    </row>
    <row r="2">
      <c r="A2" s="2" t="inlineStr">
        <is>
          <t>Supply and weather indicators (DWR water year)</t>
        </is>
      </c>
    </row>
    <row r="3">
      <c r="A3" s="2" t="inlineStr">
        <is>
          <t>Entity ID: cawc_0030   |   Fiscal year ends December 31.</t>
        </is>
      </c>
    </row>
    <row r="5" ht="96" customHeight="1">
      <c r="A5" s="3" t="inlineStr">
        <is>
          <t>Reporting calendar: Different reporting periods. The DWR water year runs October 1 to September 30; this system's fiscal year ends December 31, so the two period ends are three months apart. Read the two side by side with that in mind. Neither series is recast: both are reported as filed. A water year is named for the calendar year it ends in, so WY2024 and FY2024 share a number without covering the same twelve months.</t>
        </is>
      </c>
    </row>
    <row r="7">
      <c r="A7" s="4" t="inlineStr">
        <is>
          <t>Indicator</t>
        </is>
      </c>
      <c r="B7" s="5" t="inlineStr">
        <is>
          <t>WY2020</t>
        </is>
      </c>
      <c r="C7" s="5" t="inlineStr">
        <is>
          <t>WY2021</t>
        </is>
      </c>
      <c r="D7" s="5" t="inlineStr">
        <is>
          <t>WY2022</t>
        </is>
      </c>
      <c r="E7" s="5" t="inlineStr">
        <is>
          <t>WY2023</t>
        </is>
      </c>
      <c r="F7" s="5" t="inlineStr">
        <is>
          <t>WY2024</t>
        </is>
      </c>
    </row>
    <row r="8">
      <c r="A8" s="8" t="inlineStr">
        <is>
          <t>Water-year type (Sacramento Valley)</t>
        </is>
      </c>
      <c r="B8" s="46" t="inlineStr">
        <is>
          <t>Dry</t>
        </is>
      </c>
      <c r="C8" s="46" t="inlineStr">
        <is>
          <t>Critical</t>
        </is>
      </c>
      <c r="D8" s="46" t="inlineStr">
        <is>
          <t>Critical</t>
        </is>
      </c>
      <c r="E8" s="46" t="inlineStr">
        <is>
          <t>Wet</t>
        </is>
      </c>
      <c r="F8" s="46" t="inlineStr">
        <is>
          <t>Above Normal</t>
        </is>
      </c>
    </row>
    <row r="9">
      <c r="A9" s="8" t="inlineStr">
        <is>
          <t>Peak drought, Kern County</t>
        </is>
      </c>
      <c r="B9" s="46" t="inlineStr">
        <is>
          <t>D1</t>
        </is>
      </c>
      <c r="C9" s="46" t="inlineStr">
        <is>
          <t>D4</t>
        </is>
      </c>
      <c r="D9" s="46" t="inlineStr">
        <is>
          <t>D4</t>
        </is>
      </c>
      <c r="E9" s="46" t="inlineStr">
        <is>
          <t>D4</t>
        </is>
      </c>
      <c r="F9" s="46" t="inlineStr">
        <is>
          <t>None (no D0-D4 during the fiscal year)</t>
        </is>
      </c>
    </row>
    <row r="10">
      <c r="A10" s="8" t="inlineStr">
        <is>
          <t>Precip, percent of normal (8-Station Index)</t>
        </is>
      </c>
      <c r="B10" s="46" t="inlineStr">
        <is>
          <t>63</t>
        </is>
      </c>
      <c r="C10" s="46" t="inlineStr">
        <is>
          <t>48</t>
        </is>
      </c>
      <c r="D10" s="46" t="inlineStr">
        <is>
          <t>86</t>
        </is>
      </c>
      <c r="E10" s="46" t="inlineStr">
        <is>
          <t>133</t>
        </is>
      </c>
      <c r="F10" s="46" t="inlineStr">
        <is>
          <t>96</t>
        </is>
      </c>
    </row>
    <row r="11">
      <c r="A11" s="8" t="inlineStr">
        <is>
          <t>Snowpack, April 1 percent of average</t>
        </is>
      </c>
      <c r="B11" s="46" t="inlineStr">
        <is>
          <t>53%</t>
        </is>
      </c>
      <c r="C11" s="46" t="inlineStr">
        <is>
          <t>59%</t>
        </is>
      </c>
      <c r="D11" s="46" t="inlineStr">
        <is>
          <t>38%</t>
        </is>
      </c>
      <c r="E11" s="46" t="inlineStr">
        <is>
          <t>237%</t>
        </is>
      </c>
      <c r="F11" s="46" t="inlineStr">
        <is>
          <t>110%</t>
        </is>
      </c>
    </row>
    <row r="12">
      <c r="A12" s="8" t="inlineStr">
        <is>
          <t>State Water Project allocation</t>
        </is>
      </c>
      <c r="B12" s="46" t="inlineStr">
        <is>
          <t>20%</t>
        </is>
      </c>
      <c r="C12" s="46" t="inlineStr">
        <is>
          <t>5%</t>
        </is>
      </c>
      <c r="D12" s="46" t="inlineStr">
        <is>
          <t>5%</t>
        </is>
      </c>
      <c r="E12" s="46" t="inlineStr">
        <is>
          <t>100%</t>
        </is>
      </c>
      <c r="F12" s="46" t="inlineStr">
        <is>
          <t>40%</t>
        </is>
      </c>
    </row>
  </sheetData>
  <mergeCells count="4">
    <mergeCell ref="A3:F3"/>
    <mergeCell ref="A2:F2"/>
    <mergeCell ref="A1:F1"/>
    <mergeCell ref="A5:F5"/>
  </mergeCells>
  <pageMargins left="0.75" right="0.75" top="1" bottom="1" header="0.5" footer="0.5"/>
  <legacyDrawing xmlns:r="http://schemas.openxmlformats.org/officeDocument/2006/relationships" r:id="anysvml"/>
</worksheet>
</file>

<file path=xl/worksheets/sheet19.xml><?xml version="1.0" encoding="utf-8"?>
<worksheet xmlns="http://schemas.openxmlformats.org/spreadsheetml/2006/main">
  <sheetPr>
    <outlinePr summaryBelow="1" summaryRight="1"/>
    <pageSetUpPr/>
  </sheetPr>
  <dimension ref="A1:B36"/>
  <sheetViews>
    <sheetView workbookViewId="0">
      <pane ySplit="4" topLeftCell="A5" activePane="bottomLeft" state="frozen"/>
      <selection pane="bottomLeft" activeCell="A1" sqref="A1"/>
    </sheetView>
  </sheetViews>
  <sheetFormatPr baseColWidth="8" defaultRowHeight="15"/>
  <cols>
    <col width="26" customWidth="1" min="1" max="1"/>
    <col width="104" customWidth="1" min="2" max="2"/>
  </cols>
  <sheetData>
    <row r="1">
      <c r="A1" s="1" t="inlineStr">
        <is>
          <t>Vaughn Water Company Inc</t>
        </is>
      </c>
    </row>
    <row r="2">
      <c r="A2" s="2" t="inlineStr">
        <is>
          <t>How this was built - forensic lineage</t>
        </is>
      </c>
    </row>
    <row r="3">
      <c r="A3" s="2" t="inlineStr">
        <is>
          <t>Entity ID: cawc_0030   |   Fiscal year ends December 31.</t>
        </is>
      </c>
    </row>
    <row r="5" ht="171" customHeight="1">
      <c r="A5" s="3" t="inlineStr">
        <is>
          <t>A plain account of the forensic lineage behind the hard-to-source metrics: what sources were checked, what was found, what was derived, and what could not be built and why. Every figure marked DERIVED or IMPOSSIBLE above is traceable to a line here.</t>
        </is>
      </c>
    </row>
    <row r="7">
      <c r="A7" s="6" t="inlineStr">
        <is>
          <t>Water-sales revenue per customer - DIRECT</t>
        </is>
      </c>
      <c r="B7" s="7" t="n"/>
    </row>
    <row r="8" ht="72" customHeight="1">
      <c r="A8" s="21" t="inlineStr">
        <is>
          <t>Sources checked</t>
        </is>
      </c>
      <c r="B8" s="23" t="inlineStr">
        <is>
          <t>State Water Board eAR Section 8b (water-rate revenue B1.1/B1.2); State Water Board eAR Section 4 (connection count, same reporting year); audited financial statement (secondary cross-check, where published)</t>
        </is>
      </c>
    </row>
    <row r="9" ht="72" customHeight="1">
      <c r="A9" s="21" t="inlineStr">
        <is>
          <t>What was found</t>
        </is>
      </c>
      <c r="B9" s="23" t="inlineStr">
        <is>
          <t>The eAR Section 8b reports water-rate revenue for reporting year 2024, so this is a DIRECT filed figure; per customer it is divided by the eAR Section 4 connection count for the same reporting year, so numerator and denominator share the year.</t>
        </is>
      </c>
    </row>
    <row r="11">
      <c r="A11" s="6" t="inlineStr">
        <is>
          <t>Assessment revenue (residual) - DERIVED</t>
        </is>
      </c>
      <c r="B11" s="7" t="n"/>
    </row>
    <row r="12" ht="72" customHeight="1">
      <c r="A12" s="21" t="inlineStr">
        <is>
          <t>Sources checked</t>
        </is>
      </c>
      <c r="B12" s="23" t="inlineStr">
        <is>
          <t>Form 990 Part VIII line 2 (program-service revenue); State Water Board eAR Section 8b (water-rate revenue B1.1/B1.2)</t>
        </is>
      </c>
    </row>
    <row r="13" ht="72" customHeight="1">
      <c r="A13" s="21" t="inlineStr">
        <is>
          <t>What was found</t>
        </is>
      </c>
      <c r="B13" s="23" t="inlineStr">
        <is>
          <t>No source separately reports a member assessment, so it is DERIVED as a residual: $11,206,435 (990 program-service revenue) minus $10,997,261 (eAR water-rate revenue) = $209,174. Period-aligned; medium confidence.</t>
        </is>
      </c>
    </row>
    <row r="14" ht="72" customHeight="1">
      <c r="A14" s="21" t="inlineStr">
        <is>
          <t>Caveat</t>
        </is>
      </c>
      <c r="B14" s="23" t="inlineStr">
        <is>
          <t>This residual is a difference between two sources for the same period; it is not a separately filed assessment line and may include other unmatched revenue.</t>
        </is>
      </c>
    </row>
    <row r="16">
      <c r="A16" s="6" t="inlineStr">
        <is>
          <t>Meter revenue - not reported</t>
        </is>
      </c>
      <c r="B16" s="7" t="n"/>
    </row>
    <row r="17" ht="72" customHeight="1">
      <c r="A17" s="21" t="inlineStr">
        <is>
          <t>Sources checked</t>
        </is>
      </c>
      <c r="B17" s="23" t="inlineStr">
        <is>
          <t>State Water Board eAR Section 8a (rate prices); State Water Board eAR Section 8b (revenue lines); audited financial statement</t>
        </is>
      </c>
    </row>
    <row r="18" ht="72" customHeight="1">
      <c r="A18" s="21" t="inlineStr">
        <is>
          <t>What was found</t>
        </is>
      </c>
      <c r="B18" s="23" t="inlineStr">
        <is>
          <t>The rate price exists in Section 8a but no revenue or tier volume is reported, and the base charge is already inside water sales.</t>
        </is>
      </c>
    </row>
    <row r="19" ht="72" customHeight="1">
      <c r="A19" s="21" t="inlineStr">
        <is>
          <t>Caveat</t>
        </is>
      </c>
      <c r="B19" s="23" t="inlineStr">
        <is>
          <t>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1">
      <c r="A21" s="6" t="inlineStr">
        <is>
          <t>Overage / tiered-penalty revenue - not reported</t>
        </is>
      </c>
      <c r="B21" s="7" t="n"/>
    </row>
    <row r="22" ht="72" customHeight="1">
      <c r="A22" s="21" t="inlineStr">
        <is>
          <t>Sources checked</t>
        </is>
      </c>
      <c r="B22" s="23" t="inlineStr">
        <is>
          <t>State Water Board eAR Section 8a (rate prices); State Water Board eAR Section 8b (revenue lines); audited financial statement</t>
        </is>
      </c>
    </row>
    <row r="23" ht="72" customHeight="1">
      <c r="A23" s="21" t="inlineStr">
        <is>
          <t>What was found</t>
        </is>
      </c>
      <c r="B23" s="23" t="inlineStr">
        <is>
          <t>The rate price exists in Section 8a but no revenue or tier volume is reported, and the base charge is already inside water sales.</t>
        </is>
      </c>
    </row>
    <row r="24" ht="72" customHeight="1">
      <c r="A24" s="21" t="inlineStr">
        <is>
          <t>Caveat</t>
        </is>
      </c>
      <c r="B24" s="23" t="inlineStr">
        <is>
          <t>The eAR Section 8a reports tiered/overage rate PRICES, but the filing carries no overage revenue and no tier consumption volume, and any overage billed is already inside the water-sales revenue. Building it would double-count. Not backed into from a total.</t>
        </is>
      </c>
    </row>
    <row r="26">
      <c r="A26" s="6" t="inlineStr">
        <is>
          <t>eAR Section 8b reporting-period basis - sourced</t>
        </is>
      </c>
      <c r="B26" s="7" t="n"/>
    </row>
    <row r="27" ht="72" customHeight="1">
      <c r="A27" s="21" t="inlineStr">
        <is>
          <t>Sources checked</t>
        </is>
      </c>
      <c r="B27" s="23" t="inlineStr">
        <is>
          <t>eAR Section 8b B0.1 (WRFinancialReportingPeriod); eAR Section 8b B0.2 (WRFiscalYearStartDate)</t>
        </is>
      </c>
    </row>
    <row r="28" ht="72" customHeight="1">
      <c r="A28" s="21" t="inlineStr">
        <is>
          <t>What was found</t>
        </is>
      </c>
      <c r="B28" s="23" t="inlineStr">
        <is>
          <t>The reporting basis (fiscal vs calendar year) is read from the filer's own B0.1/B0.2 answer and staged verbatim, never hardcoded, so the 990 comparison and the residual are period-aligned.</t>
        </is>
      </c>
    </row>
    <row r="30">
      <c r="A30" s="6" t="inlineStr">
        <is>
          <t>Member (shareholder) count denominator - not reported</t>
        </is>
      </c>
      <c r="B30" s="7" t="n"/>
    </row>
    <row r="31" ht="72" customHeight="1">
      <c r="A31" s="21" t="inlineStr">
        <is>
          <t>Sources checked</t>
        </is>
      </c>
      <c r="B31" s="23" t="inlineStr">
        <is>
          <t>Form 990 (no member count stated); company website</t>
        </is>
      </c>
    </row>
    <row r="32" ht="72" customHeight="1">
      <c r="A32" s="21" t="inlineStr">
        <is>
          <t>What was found</t>
        </is>
      </c>
      <c r="B32" s="23" t="inlineStr">
        <is>
          <t>No filing states a member/shareholder count, so the per-member unit economics read not reported rather than borrowing the connection count.</t>
        </is>
      </c>
    </row>
    <row r="34">
      <c r="A34" s="6" t="inlineStr">
        <is>
          <t>Water volume delivered (acre-feet) - not reported</t>
        </is>
      </c>
      <c r="B34" s="7" t="n"/>
    </row>
    <row r="35" ht="72" customHeight="1">
      <c r="A35" s="21" t="inlineStr">
        <is>
          <t>Sources checked</t>
        </is>
      </c>
      <c r="B35" s="23" t="inlineStr">
        <is>
          <t>Form 990 (not in the filing); Consumer Confidence Report; eAR Section 6 (PRA-gated)</t>
        </is>
      </c>
    </row>
    <row r="36" ht="72" customHeight="1">
      <c r="A36" s="21" t="inlineStr">
        <is>
          <t>What was found</t>
        </is>
      </c>
      <c r="B36" s="23" t="inlineStr">
        <is>
          <t>Volume delivered in acre-feet is not in the Form 990 and the CCR states only a source mix, so the per-acre-foot metrics read not reported; the eAR Section 6 is named as the source still needed.</t>
        </is>
      </c>
    </row>
  </sheetData>
  <mergeCells count="4">
    <mergeCell ref="A3:B3"/>
    <mergeCell ref="A2:B2"/>
    <mergeCell ref="A1:B1"/>
    <mergeCell ref="A5:B5"/>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K211"/>
  <sheetViews>
    <sheetView workbookViewId="0">
      <pane ySplit="5" topLeftCell="A6" activePane="bottomLeft" state="frozen"/>
      <selection pane="bottomLeft" activeCell="A1" sqref="A1"/>
    </sheetView>
  </sheetViews>
  <sheetFormatPr baseColWidth="8" defaultRowHeight="15"/>
  <cols>
    <col width="22" customWidth="1" min="1" max="1"/>
    <col width="10" customWidth="1" min="2" max="2"/>
    <col width="40" customWidth="1" min="3" max="3"/>
    <col width="16" customWidth="1" min="4" max="4"/>
    <col width="46" customWidth="1" min="5" max="5"/>
    <col width="12" customWidth="1" min="6" max="6"/>
    <col width="18" customWidth="1" min="7" max="7"/>
  </cols>
  <sheetData>
    <row r="1">
      <c r="A1" s="1" t="inlineStr">
        <is>
          <t>Vaughn Water Company Inc</t>
        </is>
      </c>
    </row>
    <row r="2">
      <c r="A2" s="2" t="inlineStr">
        <is>
          <t>Sources &amp; audit - full provenance and tie-outs (kept off the statements so they read clean)</t>
        </is>
      </c>
    </row>
    <row r="3">
      <c r="A3" s="2" t="inlineStr">
        <is>
          <t>Entity ID: cawc_0030   |   Fiscal year ends December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45" t="inlineStr">
        <is>
          <t>A. Filing provenance (one row per staged extraction)</t>
        </is>
      </c>
      <c r="B8" s="7" t="n"/>
      <c r="C8" s="7" t="n"/>
      <c r="D8" s="7" t="n"/>
      <c r="E8" s="7" t="n"/>
      <c r="F8" s="7" t="n"/>
      <c r="G8" s="7" t="n"/>
      <c r="H8" s="7" t="n"/>
      <c r="I8" s="7" t="n"/>
      <c r="J8" s="7" t="n"/>
      <c r="K8" s="7" t="n"/>
    </row>
    <row r="9">
      <c r="A9" s="5" t="inlineStr">
        <is>
          <t>Fiscal year</t>
        </is>
      </c>
      <c r="B9" s="5" t="inlineStr">
        <is>
          <t>Period end</t>
        </is>
      </c>
      <c r="C9" s="5" t="inlineStr">
        <is>
          <t>Filing type</t>
        </is>
      </c>
      <c r="D9" s="5" t="inlineStr">
        <is>
          <t>Confidence</t>
        </is>
      </c>
      <c r="E9" s="5" t="inlineStr">
        <is>
          <t>Extraction ID</t>
        </is>
      </c>
      <c r="F9" s="5" t="inlineStr">
        <is>
          <t>Object ID</t>
        </is>
      </c>
      <c r="G9" s="5" t="inlineStr">
        <is>
          <t>Extracted by</t>
        </is>
      </c>
      <c r="H9" s="5" t="inlineStr">
        <is>
          <t>Extracted at</t>
        </is>
      </c>
      <c r="I9" s="5" t="inlineStr">
        <is>
          <t>Source URL</t>
        </is>
      </c>
    </row>
    <row r="10">
      <c r="A10" s="46" t="inlineStr">
        <is>
          <t>FY2020</t>
        </is>
      </c>
      <c r="B10" s="8" t="inlineStr">
        <is>
          <t>2020-12-31</t>
        </is>
      </c>
      <c r="C10" s="8" t="inlineStr">
        <is>
          <t>990</t>
        </is>
      </c>
      <c r="D10" s="8" t="inlineStr">
        <is>
          <t>high</t>
        </is>
      </c>
      <c r="E10" s="8" t="inlineStr">
        <is>
          <t>80101c1b-f6fc-4fd6-a60c-fa2094db718c</t>
        </is>
      </c>
      <c r="F10" s="8" t="inlineStr">
        <is>
          <t>202133189349300548</t>
        </is>
      </c>
      <c r="G10" s="8" t="inlineStr">
        <is>
          <t>claude-opus-5</t>
        </is>
      </c>
      <c r="H10" s="8" t="inlineStr">
        <is>
          <t>2026-09-14T20:40:24+00:00</t>
        </is>
      </c>
      <c r="I10" s="8" t="inlineStr">
        <is>
          <t>https://apps.irs.gov/pub/epostcard/990/xml/2021/2021_TEOS_XML_01A.zip#202133189349300548_public.xml</t>
        </is>
      </c>
    </row>
    <row r="11">
      <c r="A11" s="46" t="inlineStr">
        <is>
          <t>FY2021</t>
        </is>
      </c>
      <c r="B11" s="8" t="inlineStr">
        <is>
          <t>2021-12-31</t>
        </is>
      </c>
      <c r="C11" s="8" t="inlineStr">
        <is>
          <t>990</t>
        </is>
      </c>
      <c r="D11" s="8" t="inlineStr">
        <is>
          <t>high</t>
        </is>
      </c>
      <c r="E11" s="8" t="inlineStr">
        <is>
          <t>e1aae327-7ef8-4987-9aa3-b5c18cece5c2</t>
        </is>
      </c>
      <c r="F11" s="8" t="inlineStr">
        <is>
          <t>202223199349327042</t>
        </is>
      </c>
      <c r="G11" s="8" t="inlineStr">
        <is>
          <t>claude-opus-5</t>
        </is>
      </c>
      <c r="H11" s="8" t="inlineStr">
        <is>
          <t>2026-09-14T20:40:24+00:00</t>
        </is>
      </c>
      <c r="I11" s="8" t="inlineStr">
        <is>
          <t>https://apps.irs.gov/pub/epostcard/990/xml/2022/2022_TEOS_XML_02A.zip#202223199349327042_public.xml</t>
        </is>
      </c>
    </row>
    <row r="12">
      <c r="A12" s="46" t="inlineStr">
        <is>
          <t>FY2022</t>
        </is>
      </c>
      <c r="B12" s="8" t="inlineStr">
        <is>
          <t>2022-12-31</t>
        </is>
      </c>
      <c r="C12" s="8" t="inlineStr">
        <is>
          <t>990</t>
        </is>
      </c>
      <c r="D12" s="8" t="inlineStr">
        <is>
          <t>high</t>
        </is>
      </c>
      <c r="E12" s="8" t="inlineStr">
        <is>
          <t>491cf22b-8d19-480b-8f65-350f6f7b8cf0</t>
        </is>
      </c>
      <c r="F12" s="8" t="inlineStr">
        <is>
          <t>202303199349316770</t>
        </is>
      </c>
      <c r="G12" s="8" t="inlineStr">
        <is>
          <t>claude-opus-5</t>
        </is>
      </c>
      <c r="H12" s="8" t="inlineStr">
        <is>
          <t>2026-09-14T20:40:24+00:00</t>
        </is>
      </c>
      <c r="I12" s="8" t="inlineStr">
        <is>
          <t>https://apps.irs.gov/pub/epostcard/990/xml/2023/2023_TEOS_XML_11A.zip#202303199349316770_public.xml</t>
        </is>
      </c>
    </row>
    <row r="13">
      <c r="A13" s="46" t="inlineStr">
        <is>
          <t>FY2023</t>
        </is>
      </c>
      <c r="B13" s="8" t="inlineStr">
        <is>
          <t>2023-12-31</t>
        </is>
      </c>
      <c r="C13" s="8" t="inlineStr">
        <is>
          <t>990</t>
        </is>
      </c>
      <c r="D13" s="8" t="inlineStr">
        <is>
          <t>high</t>
        </is>
      </c>
      <c r="E13" s="8" t="inlineStr">
        <is>
          <t>37f5a46f-0030-4c33-b66c-fb5ab6b3a6f2</t>
        </is>
      </c>
      <c r="F13" s="8" t="inlineStr">
        <is>
          <t>202403199349315915</t>
        </is>
      </c>
      <c r="G13" s="8" t="inlineStr">
        <is>
          <t>claude-opus-5</t>
        </is>
      </c>
      <c r="H13" s="8" t="inlineStr">
        <is>
          <t>2026-09-14T20:40:24+00:00</t>
        </is>
      </c>
      <c r="I13" s="8" t="inlineStr">
        <is>
          <t>https://apps.irs.gov/pub/epostcard/990/xml/2024/2024_TEOS_XML_11A.zip#202403199349315915_public.xml</t>
        </is>
      </c>
    </row>
    <row r="14">
      <c r="A14" s="46" t="inlineStr">
        <is>
          <t>FY2024</t>
        </is>
      </c>
      <c r="B14" s="8" t="inlineStr">
        <is>
          <t>2024-12-31</t>
        </is>
      </c>
      <c r="C14" s="8" t="inlineStr">
        <is>
          <t>990</t>
        </is>
      </c>
      <c r="D14" s="8" t="inlineStr">
        <is>
          <t>high</t>
        </is>
      </c>
      <c r="E14" s="8" t="inlineStr">
        <is>
          <t>3ff75d23-5a5a-48a4-bca5-3ecbe6f9da33</t>
        </is>
      </c>
      <c r="F14" s="8" t="inlineStr">
        <is>
          <t>202513189349306131</t>
        </is>
      </c>
      <c r="G14" s="8" t="inlineStr">
        <is>
          <t>claude-opus-5</t>
        </is>
      </c>
      <c r="H14" s="8" t="inlineStr">
        <is>
          <t>2026-09-14T20:40:24+00:00</t>
        </is>
      </c>
      <c r="I14" s="8" t="inlineStr">
        <is>
          <t>https://apps.irs.gov/pub/epostcard/990/xml/2025/2025_TEOS_XML_11D.zip#202513189349306131_public.xml</t>
        </is>
      </c>
    </row>
    <row r="16">
      <c r="A16" s="45" t="inlineStr">
        <is>
          <t>B. Figure citations (every figure on the statement tabs, keyed by cell)</t>
        </is>
      </c>
      <c r="B16" s="7" t="n"/>
      <c r="C16" s="7" t="n"/>
      <c r="D16" s="7" t="n"/>
      <c r="E16" s="7" t="n"/>
      <c r="F16" s="7" t="n"/>
      <c r="G16" s="7" t="n"/>
      <c r="H16" s="7" t="n"/>
      <c r="I16" s="7" t="n"/>
      <c r="J16" s="7" t="n"/>
      <c r="K16" s="7" t="n"/>
    </row>
    <row r="17">
      <c r="A17" s="5" t="inlineStr">
        <is>
          <t>Tab</t>
        </is>
      </c>
      <c r="B17" s="5" t="inlineStr">
        <is>
          <t>Cell</t>
        </is>
      </c>
      <c r="C17" s="5" t="inlineStr">
        <is>
          <t>Line item</t>
        </is>
      </c>
      <c r="D17" s="5" t="inlineStr">
        <is>
          <t>Form 990 line</t>
        </is>
      </c>
      <c r="E17" s="5" t="inlineStr">
        <is>
          <t>Key path</t>
        </is>
      </c>
      <c r="F17" s="5" t="inlineStr">
        <is>
          <t>Confidence</t>
        </is>
      </c>
      <c r="G17" s="5" t="inlineStr">
        <is>
          <t>As filed</t>
        </is>
      </c>
    </row>
    <row r="18">
      <c r="A18" s="8" t="inlineStr">
        <is>
          <t>Financial Statements</t>
        </is>
      </c>
      <c r="B18" s="8" t="inlineStr">
        <is>
          <t>E73</t>
        </is>
      </c>
      <c r="C18" s="8" t="inlineStr">
        <is>
          <t>11a. Gross income from members or shareholders</t>
        </is>
      </c>
      <c r="D18" s="8" t="inlineStr">
        <is>
          <t>11a</t>
        </is>
      </c>
      <c r="E18" s="8" t="inlineStr">
        <is>
          <t>part_v_other_irs_filings.members_and_shareholders_gross_income</t>
        </is>
      </c>
      <c r="F18" s="8" t="inlineStr">
        <is>
          <t>high</t>
        </is>
      </c>
      <c r="G18" s="9" t="n">
        <v>11010811</v>
      </c>
    </row>
    <row r="19">
      <c r="A19" s="8" t="inlineStr">
        <is>
          <t>Financial Statements</t>
        </is>
      </c>
      <c r="B19" s="8" t="inlineStr">
        <is>
          <t>F73</t>
        </is>
      </c>
      <c r="C19" s="8" t="inlineStr">
        <is>
          <t>11a. Gross income from members or shareholders</t>
        </is>
      </c>
      <c r="D19" s="8" t="inlineStr">
        <is>
          <t>11a</t>
        </is>
      </c>
      <c r="E19" s="8" t="inlineStr">
        <is>
          <t>part_v_other_irs_filings.members_and_shareholders_gross_income</t>
        </is>
      </c>
      <c r="F19" s="8" t="inlineStr">
        <is>
          <t>high</t>
        </is>
      </c>
      <c r="G19" s="9" t="n">
        <v>11199206</v>
      </c>
    </row>
    <row r="20">
      <c r="A20" s="8" t="inlineStr">
        <is>
          <t>Financial Statements</t>
        </is>
      </c>
      <c r="B20" s="8" t="inlineStr">
        <is>
          <t>E74</t>
        </is>
      </c>
      <c r="C20" s="8" t="inlineStr">
        <is>
          <t>11b. Gross income from other sources</t>
        </is>
      </c>
      <c r="D20" s="8" t="inlineStr">
        <is>
          <t>11b</t>
        </is>
      </c>
      <c r="E20" s="8" t="inlineStr">
        <is>
          <t>part_v_other_irs_filings.other_sources_gross_income</t>
        </is>
      </c>
      <c r="F20" s="8" t="inlineStr">
        <is>
          <t>high</t>
        </is>
      </c>
      <c r="G20" s="9" t="n">
        <v>0</v>
      </c>
    </row>
    <row r="21">
      <c r="A21" s="8" t="inlineStr">
        <is>
          <t>Financial Statements</t>
        </is>
      </c>
      <c r="B21" s="8" t="inlineStr">
        <is>
          <t>F74</t>
        </is>
      </c>
      <c r="C21" s="8" t="inlineStr">
        <is>
          <t>11b. Gross income from other sources</t>
        </is>
      </c>
      <c r="D21" s="8" t="inlineStr">
        <is>
          <t>11b</t>
        </is>
      </c>
      <c r="E21" s="8" t="inlineStr">
        <is>
          <t>part_v_other_irs_filings.other_sources_gross_income</t>
        </is>
      </c>
      <c r="F21" s="8" t="inlineStr">
        <is>
          <t>high</t>
        </is>
      </c>
      <c r="G21" s="9" t="n">
        <v>0</v>
      </c>
    </row>
    <row r="22">
      <c r="A22" s="8" t="inlineStr">
        <is>
          <t>Revenue (detail)</t>
        </is>
      </c>
      <c r="B22" s="8" t="inlineStr">
        <is>
          <t>B8</t>
        </is>
      </c>
      <c r="C22" s="8" t="inlineStr">
        <is>
          <t>2g. Total program service revenue</t>
        </is>
      </c>
      <c r="D22" s="8" t="inlineStr">
        <is>
          <t>2g</t>
        </is>
      </c>
      <c r="E22" s="8" t="inlineStr">
        <is>
          <t>part_viii_revenue.total_program_service_revenue</t>
        </is>
      </c>
      <c r="F22" s="8" t="inlineStr">
        <is>
          <t>high</t>
        </is>
      </c>
      <c r="G22" s="9" t="n">
        <v>9106619</v>
      </c>
    </row>
    <row r="23">
      <c r="A23" s="8" t="inlineStr">
        <is>
          <t>Revenue (detail)</t>
        </is>
      </c>
      <c r="B23" s="8" t="inlineStr">
        <is>
          <t>C8</t>
        </is>
      </c>
      <c r="C23" s="8" t="inlineStr">
        <is>
          <t>2g. Total program service revenue</t>
        </is>
      </c>
      <c r="D23" s="8" t="inlineStr">
        <is>
          <t>2g</t>
        </is>
      </c>
      <c r="E23" s="8" t="inlineStr">
        <is>
          <t>part_viii_revenue.total_program_service_revenue</t>
        </is>
      </c>
      <c r="F23" s="8" t="inlineStr">
        <is>
          <t>high</t>
        </is>
      </c>
      <c r="G23" s="9" t="n">
        <v>9221448</v>
      </c>
    </row>
    <row r="24">
      <c r="A24" s="8" t="inlineStr">
        <is>
          <t>Revenue (detail)</t>
        </is>
      </c>
      <c r="B24" s="8" t="inlineStr">
        <is>
          <t>D8</t>
        </is>
      </c>
      <c r="C24" s="8" t="inlineStr">
        <is>
          <t>2g. Total program service revenue</t>
        </is>
      </c>
      <c r="D24" s="8" t="inlineStr">
        <is>
          <t>2g</t>
        </is>
      </c>
      <c r="E24" s="8" t="inlineStr">
        <is>
          <t>part_viii_revenue.total_program_service_revenue</t>
        </is>
      </c>
      <c r="F24" s="8" t="inlineStr">
        <is>
          <t>high</t>
        </is>
      </c>
      <c r="G24" s="9" t="n">
        <v>9129183</v>
      </c>
    </row>
    <row r="25">
      <c r="A25" s="8" t="inlineStr">
        <is>
          <t>Revenue (detail)</t>
        </is>
      </c>
      <c r="B25" s="8" t="inlineStr">
        <is>
          <t>E8</t>
        </is>
      </c>
      <c r="C25" s="8" t="inlineStr">
        <is>
          <t>2g. Total program service revenue</t>
        </is>
      </c>
      <c r="D25" s="8" t="inlineStr">
        <is>
          <t>2g</t>
        </is>
      </c>
      <c r="E25" s="8" t="inlineStr">
        <is>
          <t>part_viii_revenue.total_program_service_revenue</t>
        </is>
      </c>
      <c r="F25" s="8" t="inlineStr">
        <is>
          <t>high</t>
        </is>
      </c>
      <c r="G25" s="9" t="n">
        <v>11066242</v>
      </c>
    </row>
    <row r="26">
      <c r="A26" s="8" t="inlineStr">
        <is>
          <t>Revenue (detail)</t>
        </is>
      </c>
      <c r="B26" s="8" t="inlineStr">
        <is>
          <t>F8</t>
        </is>
      </c>
      <c r="C26" s="8" t="inlineStr">
        <is>
          <t>2g. Total program service revenue</t>
        </is>
      </c>
      <c r="D26" s="8" t="inlineStr">
        <is>
          <t>2g</t>
        </is>
      </c>
      <c r="E26" s="8" t="inlineStr">
        <is>
          <t>part_viii_revenue.total_program_service_revenue</t>
        </is>
      </c>
      <c r="F26" s="8" t="inlineStr">
        <is>
          <t>high</t>
        </is>
      </c>
      <c r="G26" s="9" t="n">
        <v>11206435</v>
      </c>
    </row>
    <row r="27">
      <c r="A27" s="8" t="inlineStr">
        <is>
          <t>Revenue (detail)</t>
        </is>
      </c>
      <c r="B27" s="8" t="inlineStr">
        <is>
          <t>B9</t>
        </is>
      </c>
      <c r="C27" s="8" t="inlineStr">
        <is>
          <t>3. Investment income</t>
        </is>
      </c>
      <c r="D27" s="8" t="inlineStr">
        <is>
          <t>3</t>
        </is>
      </c>
      <c r="E27" s="8" t="inlineStr">
        <is>
          <t>part_viii_revenue.investment_income</t>
        </is>
      </c>
      <c r="F27" s="8" t="inlineStr">
        <is>
          <t>high</t>
        </is>
      </c>
      <c r="G27" s="9" t="n">
        <v>68235</v>
      </c>
    </row>
    <row r="28">
      <c r="A28" s="8" t="inlineStr">
        <is>
          <t>Revenue (detail)</t>
        </is>
      </c>
      <c r="B28" s="8" t="inlineStr">
        <is>
          <t>C9</t>
        </is>
      </c>
      <c r="C28" s="8" t="inlineStr">
        <is>
          <t>3. Investment income</t>
        </is>
      </c>
      <c r="D28" s="8" t="inlineStr">
        <is>
          <t>3</t>
        </is>
      </c>
      <c r="E28" s="8" t="inlineStr">
        <is>
          <t>part_viii_revenue.investment_income</t>
        </is>
      </c>
      <c r="F28" s="8" t="inlineStr">
        <is>
          <t>high</t>
        </is>
      </c>
      <c r="G28" s="9" t="n">
        <v>49610</v>
      </c>
    </row>
    <row r="29">
      <c r="A29" s="8" t="inlineStr">
        <is>
          <t>Revenue (detail)</t>
        </is>
      </c>
      <c r="B29" s="8" t="inlineStr">
        <is>
          <t>D9</t>
        </is>
      </c>
      <c r="C29" s="8" t="inlineStr">
        <is>
          <t>3. Investment income</t>
        </is>
      </c>
      <c r="D29" s="8" t="inlineStr">
        <is>
          <t>3</t>
        </is>
      </c>
      <c r="E29" s="8" t="inlineStr">
        <is>
          <t>part_viii_revenue.investment_income</t>
        </is>
      </c>
      <c r="F29" s="8" t="inlineStr">
        <is>
          <t>high</t>
        </is>
      </c>
      <c r="G29" s="9" t="n">
        <v>48262</v>
      </c>
    </row>
    <row r="30">
      <c r="A30" s="8" t="inlineStr">
        <is>
          <t>Revenue (detail)</t>
        </is>
      </c>
      <c r="B30" s="8" t="inlineStr">
        <is>
          <t>E9</t>
        </is>
      </c>
      <c r="C30" s="8" t="inlineStr">
        <is>
          <t>3. Investment income</t>
        </is>
      </c>
      <c r="D30" s="8" t="inlineStr">
        <is>
          <t>3</t>
        </is>
      </c>
      <c r="E30" s="8" t="inlineStr">
        <is>
          <t>part_viii_revenue.investment_income</t>
        </is>
      </c>
      <c r="F30" s="8" t="inlineStr">
        <is>
          <t>high</t>
        </is>
      </c>
      <c r="G30" s="9" t="n">
        <v>637325</v>
      </c>
    </row>
    <row r="31">
      <c r="A31" s="8" t="inlineStr">
        <is>
          <t>Revenue (detail)</t>
        </is>
      </c>
      <c r="B31" s="8" t="inlineStr">
        <is>
          <t>F9</t>
        </is>
      </c>
      <c r="C31" s="8" t="inlineStr">
        <is>
          <t>3. Investment income</t>
        </is>
      </c>
      <c r="D31" s="8" t="inlineStr">
        <is>
          <t>3</t>
        </is>
      </c>
      <c r="E31" s="8" t="inlineStr">
        <is>
          <t>part_viii_revenue.investment_income</t>
        </is>
      </c>
      <c r="F31" s="8" t="inlineStr">
        <is>
          <t>high</t>
        </is>
      </c>
      <c r="G31" s="9" t="n">
        <v>879892</v>
      </c>
    </row>
    <row r="32">
      <c r="A32" s="8" t="inlineStr">
        <is>
          <t>Revenue (detail)</t>
        </is>
      </c>
      <c r="B32" s="8" t="inlineStr">
        <is>
          <t>B12</t>
        </is>
      </c>
      <c r="C32" s="8" t="inlineStr">
        <is>
          <t>11e. Other revenue</t>
        </is>
      </c>
      <c r="D32" s="8" t="inlineStr">
        <is>
          <t>11e</t>
        </is>
      </c>
      <c r="E32" s="8" t="inlineStr">
        <is>
          <t>part_viii_revenue.other_revenue_total</t>
        </is>
      </c>
      <c r="F32" s="8" t="inlineStr">
        <is>
          <t>high</t>
        </is>
      </c>
      <c r="G32" s="9" t="n">
        <v>12033292</v>
      </c>
    </row>
    <row r="33">
      <c r="A33" s="8" t="inlineStr">
        <is>
          <t>Revenue (detail)</t>
        </is>
      </c>
      <c r="B33" s="8" t="inlineStr">
        <is>
          <t>C12</t>
        </is>
      </c>
      <c r="C33" s="8" t="inlineStr">
        <is>
          <t>11e. Other revenue</t>
        </is>
      </c>
      <c r="D33" s="8" t="inlineStr">
        <is>
          <t>11e</t>
        </is>
      </c>
      <c r="E33" s="8" t="inlineStr">
        <is>
          <t>part_viii_revenue.other_revenue_total</t>
        </is>
      </c>
      <c r="F33" s="8" t="inlineStr">
        <is>
          <t>high</t>
        </is>
      </c>
      <c r="G33" s="9" t="n">
        <v>28566</v>
      </c>
    </row>
    <row r="34">
      <c r="A34" s="8" t="inlineStr">
        <is>
          <t>Revenue (detail)</t>
        </is>
      </c>
      <c r="B34" s="8" t="inlineStr">
        <is>
          <t>D12</t>
        </is>
      </c>
      <c r="C34" s="8" t="inlineStr">
        <is>
          <t>11e. Other revenue</t>
        </is>
      </c>
      <c r="D34" s="8" t="inlineStr">
        <is>
          <t>11e</t>
        </is>
      </c>
      <c r="E34" s="8" t="inlineStr">
        <is>
          <t>part_viii_revenue.other_revenue_total</t>
        </is>
      </c>
      <c r="F34" s="8" t="inlineStr">
        <is>
          <t>high</t>
        </is>
      </c>
      <c r="G34" s="9" t="n">
        <v>2269</v>
      </c>
    </row>
    <row r="35">
      <c r="A35" s="8" t="inlineStr">
        <is>
          <t>Operating expenses (detail)</t>
        </is>
      </c>
      <c r="B35" s="8" t="inlineStr">
        <is>
          <t>C7</t>
        </is>
      </c>
      <c r="C35" s="8" t="inlineStr">
        <is>
          <t>5. Compensation of current officers, directors, trustees</t>
        </is>
      </c>
      <c r="D35" s="8" t="inlineStr">
        <is>
          <t>5</t>
        </is>
      </c>
      <c r="E35" s="8" t="inlineStr">
        <is>
          <t>part_ix_expenses.comp_current_officers</t>
        </is>
      </c>
      <c r="F35" s="8" t="inlineStr">
        <is>
          <t>high</t>
        </is>
      </c>
      <c r="G35" s="9" t="n">
        <v>368449</v>
      </c>
    </row>
    <row r="36">
      <c r="A36" s="8" t="inlineStr">
        <is>
          <t>Operating expenses (detail)</t>
        </is>
      </c>
      <c r="B36" s="8" t="inlineStr">
        <is>
          <t>D7</t>
        </is>
      </c>
      <c r="C36" s="8" t="inlineStr">
        <is>
          <t>5. Compensation of current officers, directors, trustees</t>
        </is>
      </c>
      <c r="D36" s="8" t="inlineStr">
        <is>
          <t>5</t>
        </is>
      </c>
      <c r="E36" s="8" t="inlineStr">
        <is>
          <t>part_ix_expenses.comp_current_officers</t>
        </is>
      </c>
      <c r="F36" s="8" t="inlineStr">
        <is>
          <t>high</t>
        </is>
      </c>
      <c r="G36" s="9" t="n">
        <v>400151</v>
      </c>
    </row>
    <row r="37">
      <c r="A37" s="8" t="inlineStr">
        <is>
          <t>Operating expenses (detail)</t>
        </is>
      </c>
      <c r="B37" s="8" t="inlineStr">
        <is>
          <t>E7</t>
        </is>
      </c>
      <c r="C37" s="8" t="inlineStr">
        <is>
          <t>5. Compensation of current officers, directors, trustees</t>
        </is>
      </c>
      <c r="D37" s="8" t="inlineStr">
        <is>
          <t>5</t>
        </is>
      </c>
      <c r="E37" s="8" t="inlineStr">
        <is>
          <t>part_ix_expenses.comp_current_officers</t>
        </is>
      </c>
      <c r="F37" s="8" t="inlineStr">
        <is>
          <t>high</t>
        </is>
      </c>
      <c r="G37" s="9" t="n">
        <v>203391</v>
      </c>
    </row>
    <row r="38">
      <c r="A38" s="8" t="inlineStr">
        <is>
          <t>Operating expenses (detail)</t>
        </is>
      </c>
      <c r="B38" s="8" t="inlineStr">
        <is>
          <t>F7</t>
        </is>
      </c>
      <c r="C38" s="8" t="inlineStr">
        <is>
          <t>5. Compensation of current officers, directors, trustees</t>
        </is>
      </c>
      <c r="D38" s="8" t="inlineStr">
        <is>
          <t>5</t>
        </is>
      </c>
      <c r="E38" s="8" t="inlineStr">
        <is>
          <t>part_ix_expenses.comp_current_officers</t>
        </is>
      </c>
      <c r="F38" s="8" t="inlineStr">
        <is>
          <t>high</t>
        </is>
      </c>
      <c r="G38" s="9" t="n">
        <v>609739</v>
      </c>
    </row>
    <row r="39">
      <c r="A39" s="8" t="inlineStr">
        <is>
          <t>Operating expenses (detail)</t>
        </is>
      </c>
      <c r="B39" s="8" t="inlineStr">
        <is>
          <t>B8</t>
        </is>
      </c>
      <c r="C39" s="8" t="inlineStr">
        <is>
          <t>7. Other salaries and wages</t>
        </is>
      </c>
      <c r="D39" s="8" t="inlineStr">
        <is>
          <t>7</t>
        </is>
      </c>
      <c r="E39" s="8" t="inlineStr">
        <is>
          <t>part_ix_expenses.other_salaries_and_wages</t>
        </is>
      </c>
      <c r="F39" s="8" t="inlineStr">
        <is>
          <t>high</t>
        </is>
      </c>
      <c r="G39" s="9" t="n">
        <v>1661049</v>
      </c>
    </row>
    <row r="40">
      <c r="A40" s="8" t="inlineStr">
        <is>
          <t>Operating expenses (detail)</t>
        </is>
      </c>
      <c r="B40" s="8" t="inlineStr">
        <is>
          <t>C8</t>
        </is>
      </c>
      <c r="C40" s="8" t="inlineStr">
        <is>
          <t>7. Other salaries and wages</t>
        </is>
      </c>
      <c r="D40" s="8" t="inlineStr">
        <is>
          <t>7</t>
        </is>
      </c>
      <c r="E40" s="8" t="inlineStr">
        <is>
          <t>part_ix_expenses.other_salaries_and_wages</t>
        </is>
      </c>
      <c r="F40" s="8" t="inlineStr">
        <is>
          <t>high</t>
        </is>
      </c>
      <c r="G40" s="9" t="n">
        <v>1334154</v>
      </c>
    </row>
    <row r="41">
      <c r="A41" s="8" t="inlineStr">
        <is>
          <t>Operating expenses (detail)</t>
        </is>
      </c>
      <c r="B41" s="8" t="inlineStr">
        <is>
          <t>D8</t>
        </is>
      </c>
      <c r="C41" s="8" t="inlineStr">
        <is>
          <t>7. Other salaries and wages</t>
        </is>
      </c>
      <c r="D41" s="8" t="inlineStr">
        <is>
          <t>7</t>
        </is>
      </c>
      <c r="E41" s="8" t="inlineStr">
        <is>
          <t>part_ix_expenses.other_salaries_and_wages</t>
        </is>
      </c>
      <c r="F41" s="8" t="inlineStr">
        <is>
          <t>high</t>
        </is>
      </c>
      <c r="G41" s="9" t="n">
        <v>1164722</v>
      </c>
    </row>
    <row r="42">
      <c r="A42" s="8" t="inlineStr">
        <is>
          <t>Operating expenses (detail)</t>
        </is>
      </c>
      <c r="B42" s="8" t="inlineStr">
        <is>
          <t>E8</t>
        </is>
      </c>
      <c r="C42" s="8" t="inlineStr">
        <is>
          <t>7. Other salaries and wages</t>
        </is>
      </c>
      <c r="D42" s="8" t="inlineStr">
        <is>
          <t>7</t>
        </is>
      </c>
      <c r="E42" s="8" t="inlineStr">
        <is>
          <t>part_ix_expenses.other_salaries_and_wages</t>
        </is>
      </c>
      <c r="F42" s="8" t="inlineStr">
        <is>
          <t>high</t>
        </is>
      </c>
      <c r="G42" s="9" t="n">
        <v>1542002</v>
      </c>
    </row>
    <row r="43">
      <c r="A43" s="8" t="inlineStr">
        <is>
          <t>Operating expenses (detail)</t>
        </is>
      </c>
      <c r="B43" s="8" t="inlineStr">
        <is>
          <t>F8</t>
        </is>
      </c>
      <c r="C43" s="8" t="inlineStr">
        <is>
          <t>7. Other salaries and wages</t>
        </is>
      </c>
      <c r="D43" s="8" t="inlineStr">
        <is>
          <t>7</t>
        </is>
      </c>
      <c r="E43" s="8" t="inlineStr">
        <is>
          <t>part_ix_expenses.other_salaries_and_wages</t>
        </is>
      </c>
      <c r="F43" s="8" t="inlineStr">
        <is>
          <t>high</t>
        </is>
      </c>
      <c r="G43" s="9" t="n">
        <v>1288011</v>
      </c>
    </row>
    <row r="44">
      <c r="A44" s="8" t="inlineStr">
        <is>
          <t>Operating expenses (detail)</t>
        </is>
      </c>
      <c r="B44" s="8" t="inlineStr">
        <is>
          <t>B9</t>
        </is>
      </c>
      <c r="C44" s="8" t="inlineStr">
        <is>
          <t>8. Pension plan accruals and contributions</t>
        </is>
      </c>
      <c r="D44" s="8" t="inlineStr">
        <is>
          <t>8</t>
        </is>
      </c>
      <c r="E44" s="8" t="inlineStr">
        <is>
          <t>part_ix_expenses.pension_plan_contributions</t>
        </is>
      </c>
      <c r="F44" s="8" t="inlineStr">
        <is>
          <t>high</t>
        </is>
      </c>
      <c r="G44" s="9" t="n">
        <v>141242</v>
      </c>
    </row>
    <row r="45">
      <c r="A45" s="8" t="inlineStr">
        <is>
          <t>Operating expenses (detail)</t>
        </is>
      </c>
      <c r="B45" s="8" t="inlineStr">
        <is>
          <t>C9</t>
        </is>
      </c>
      <c r="C45" s="8" t="inlineStr">
        <is>
          <t>8. Pension plan accruals and contributions</t>
        </is>
      </c>
      <c r="D45" s="8" t="inlineStr">
        <is>
          <t>8</t>
        </is>
      </c>
      <c r="E45" s="8" t="inlineStr">
        <is>
          <t>part_ix_expenses.pension_plan_contributions</t>
        </is>
      </c>
      <c r="F45" s="8" t="inlineStr">
        <is>
          <t>high</t>
        </is>
      </c>
      <c r="G45" s="9" t="n">
        <v>153634</v>
      </c>
    </row>
    <row r="46">
      <c r="A46" s="8" t="inlineStr">
        <is>
          <t>Operating expenses (detail)</t>
        </is>
      </c>
      <c r="B46" s="8" t="inlineStr">
        <is>
          <t>D9</t>
        </is>
      </c>
      <c r="C46" s="8" t="inlineStr">
        <is>
          <t>8. Pension plan accruals and contributions</t>
        </is>
      </c>
      <c r="D46" s="8" t="inlineStr">
        <is>
          <t>8</t>
        </is>
      </c>
      <c r="E46" s="8" t="inlineStr">
        <is>
          <t>part_ix_expenses.pension_plan_contributions</t>
        </is>
      </c>
      <c r="F46" s="8" t="inlineStr">
        <is>
          <t>high</t>
        </is>
      </c>
      <c r="G46" s="9" t="n">
        <v>160815</v>
      </c>
    </row>
    <row r="47">
      <c r="A47" s="8" t="inlineStr">
        <is>
          <t>Operating expenses (detail)</t>
        </is>
      </c>
      <c r="B47" s="8" t="inlineStr">
        <is>
          <t>D10</t>
        </is>
      </c>
      <c r="C47" s="8" t="inlineStr">
        <is>
          <t>9. Other employee benefits</t>
        </is>
      </c>
      <c r="D47" s="8" t="inlineStr">
        <is>
          <t>9</t>
        </is>
      </c>
      <c r="E47" s="8" t="inlineStr">
        <is>
          <t>part_ix_expenses.other_employee_benefits</t>
        </is>
      </c>
      <c r="F47" s="8" t="inlineStr">
        <is>
          <t>high</t>
        </is>
      </c>
      <c r="G47" s="9" t="n">
        <v>190398</v>
      </c>
    </row>
    <row r="48">
      <c r="A48" s="8" t="inlineStr">
        <is>
          <t>Operating expenses (detail)</t>
        </is>
      </c>
      <c r="B48" s="8" t="inlineStr">
        <is>
          <t>E10</t>
        </is>
      </c>
      <c r="C48" s="8" t="inlineStr">
        <is>
          <t>9. Other employee benefits</t>
        </is>
      </c>
      <c r="D48" s="8" t="inlineStr">
        <is>
          <t>9</t>
        </is>
      </c>
      <c r="E48" s="8" t="inlineStr">
        <is>
          <t>part_ix_expenses.other_employee_benefits</t>
        </is>
      </c>
      <c r="F48" s="8" t="inlineStr">
        <is>
          <t>high</t>
        </is>
      </c>
      <c r="G48" s="9" t="n">
        <v>164419</v>
      </c>
    </row>
    <row r="49">
      <c r="A49" s="8" t="inlineStr">
        <is>
          <t>Operating expenses (detail)</t>
        </is>
      </c>
      <c r="B49" s="8" t="inlineStr">
        <is>
          <t>B11</t>
        </is>
      </c>
      <c r="C49" s="8" t="inlineStr">
        <is>
          <t>10. Payroll taxes</t>
        </is>
      </c>
      <c r="D49" s="8" t="inlineStr">
        <is>
          <t>10</t>
        </is>
      </c>
      <c r="E49" s="8" t="inlineStr">
        <is>
          <t>part_ix_expenses.payroll_taxes</t>
        </is>
      </c>
      <c r="F49" s="8" t="inlineStr">
        <is>
          <t>high</t>
        </is>
      </c>
      <c r="G49" s="9" t="n">
        <v>112594</v>
      </c>
    </row>
    <row r="50">
      <c r="A50" s="8" t="inlineStr">
        <is>
          <t>Operating expenses (detail)</t>
        </is>
      </c>
      <c r="B50" s="8" t="inlineStr">
        <is>
          <t>C11</t>
        </is>
      </c>
      <c r="C50" s="8" t="inlineStr">
        <is>
          <t>10. Payroll taxes</t>
        </is>
      </c>
      <c r="D50" s="8" t="inlineStr">
        <is>
          <t>10</t>
        </is>
      </c>
      <c r="E50" s="8" t="inlineStr">
        <is>
          <t>part_ix_expenses.payroll_taxes</t>
        </is>
      </c>
      <c r="F50" s="8" t="inlineStr">
        <is>
          <t>high</t>
        </is>
      </c>
      <c r="G50" s="9" t="n">
        <v>124820</v>
      </c>
    </row>
    <row r="51">
      <c r="A51" s="8" t="inlineStr">
        <is>
          <t>Operating expenses (detail)</t>
        </is>
      </c>
      <c r="B51" s="8" t="inlineStr">
        <is>
          <t>D11</t>
        </is>
      </c>
      <c r="C51" s="8" t="inlineStr">
        <is>
          <t>10. Payroll taxes</t>
        </is>
      </c>
      <c r="D51" s="8" t="inlineStr">
        <is>
          <t>10</t>
        </is>
      </c>
      <c r="E51" s="8" t="inlineStr">
        <is>
          <t>part_ix_expenses.payroll_taxes</t>
        </is>
      </c>
      <c r="F51" s="8" t="inlineStr">
        <is>
          <t>high</t>
        </is>
      </c>
      <c r="G51" s="9" t="n">
        <v>117050</v>
      </c>
    </row>
    <row r="52">
      <c r="A52" s="8" t="inlineStr">
        <is>
          <t>Operating expenses (detail)</t>
        </is>
      </c>
      <c r="B52" s="8" t="inlineStr">
        <is>
          <t>E11</t>
        </is>
      </c>
      <c r="C52" s="8" t="inlineStr">
        <is>
          <t>10. Payroll taxes</t>
        </is>
      </c>
      <c r="D52" s="8" t="inlineStr">
        <is>
          <t>10</t>
        </is>
      </c>
      <c r="E52" s="8" t="inlineStr">
        <is>
          <t>part_ix_expenses.payroll_taxes</t>
        </is>
      </c>
      <c r="F52" s="8" t="inlineStr">
        <is>
          <t>high</t>
        </is>
      </c>
      <c r="G52" s="9" t="n">
        <v>130298</v>
      </c>
    </row>
    <row r="53">
      <c r="A53" s="8" t="inlineStr">
        <is>
          <t>Operating expenses (detail)</t>
        </is>
      </c>
      <c r="B53" s="8" t="inlineStr">
        <is>
          <t>F11</t>
        </is>
      </c>
      <c r="C53" s="8" t="inlineStr">
        <is>
          <t>10. Payroll taxes</t>
        </is>
      </c>
      <c r="D53" s="8" t="inlineStr">
        <is>
          <t>10</t>
        </is>
      </c>
      <c r="E53" s="8" t="inlineStr">
        <is>
          <t>part_ix_expenses.payroll_taxes</t>
        </is>
      </c>
      <c r="F53" s="8" t="inlineStr">
        <is>
          <t>high</t>
        </is>
      </c>
      <c r="G53" s="9" t="n">
        <v>140798</v>
      </c>
    </row>
    <row r="54">
      <c r="A54" s="8" t="inlineStr">
        <is>
          <t>Operating expenses (detail)</t>
        </is>
      </c>
      <c r="B54" s="8" t="inlineStr">
        <is>
          <t>D12</t>
        </is>
      </c>
      <c r="C54" s="8" t="inlineStr">
        <is>
          <t>11b. Fees for services: legal</t>
        </is>
      </c>
      <c r="D54" s="8" t="inlineStr">
        <is>
          <t>11b</t>
        </is>
      </c>
      <c r="E54" s="8" t="inlineStr">
        <is>
          <t>part_ix_expenses.fees_legal</t>
        </is>
      </c>
      <c r="F54" s="8" t="inlineStr">
        <is>
          <t>high</t>
        </is>
      </c>
      <c r="G54" s="9" t="n">
        <v>441</v>
      </c>
    </row>
    <row r="55">
      <c r="A55" s="8" t="inlineStr">
        <is>
          <t>Operating expenses (detail)</t>
        </is>
      </c>
      <c r="B55" s="8" t="inlineStr">
        <is>
          <t>D13</t>
        </is>
      </c>
      <c r="C55" s="8" t="inlineStr">
        <is>
          <t>11c. Fees for services: accounting</t>
        </is>
      </c>
      <c r="D55" s="8" t="inlineStr">
        <is>
          <t>11c</t>
        </is>
      </c>
      <c r="E55" s="8" t="inlineStr">
        <is>
          <t>part_ix_expenses.fees_accounting</t>
        </is>
      </c>
      <c r="F55" s="8" t="inlineStr">
        <is>
          <t>high</t>
        </is>
      </c>
      <c r="G55" s="9" t="n">
        <v>37400</v>
      </c>
    </row>
    <row r="56">
      <c r="A56" s="8" t="inlineStr">
        <is>
          <t>Operating expenses (detail)</t>
        </is>
      </c>
      <c r="B56" s="8" t="inlineStr">
        <is>
          <t>B14</t>
        </is>
      </c>
      <c r="C56" s="8" t="inlineStr">
        <is>
          <t>11g. Fees for services: other</t>
        </is>
      </c>
      <c r="D56" s="8" t="inlineStr">
        <is>
          <t>11g</t>
        </is>
      </c>
      <c r="E56" s="8" t="inlineStr">
        <is>
          <t>part_ix_expenses.fees_other</t>
        </is>
      </c>
      <c r="F56" s="8" t="inlineStr">
        <is>
          <t>high</t>
        </is>
      </c>
      <c r="G56" s="9" t="n">
        <v>157240</v>
      </c>
    </row>
    <row r="57">
      <c r="A57" s="8" t="inlineStr">
        <is>
          <t>Operating expenses (detail)</t>
        </is>
      </c>
      <c r="B57" s="8" t="inlineStr">
        <is>
          <t>C14</t>
        </is>
      </c>
      <c r="C57" s="8" t="inlineStr">
        <is>
          <t>11g. Fees for services: other</t>
        </is>
      </c>
      <c r="D57" s="8" t="inlineStr">
        <is>
          <t>11g</t>
        </is>
      </c>
      <c r="E57" s="8" t="inlineStr">
        <is>
          <t>part_ix_expenses.fees_other</t>
        </is>
      </c>
      <c r="F57" s="8" t="inlineStr">
        <is>
          <t>high</t>
        </is>
      </c>
      <c r="G57" s="9" t="n">
        <v>80003</v>
      </c>
    </row>
    <row r="58">
      <c r="A58" s="8" t="inlineStr">
        <is>
          <t>Operating expenses (detail)</t>
        </is>
      </c>
      <c r="B58" s="8" t="inlineStr">
        <is>
          <t>D14</t>
        </is>
      </c>
      <c r="C58" s="8" t="inlineStr">
        <is>
          <t>11g. Fees for services: other</t>
        </is>
      </c>
      <c r="D58" s="8" t="inlineStr">
        <is>
          <t>11g</t>
        </is>
      </c>
      <c r="E58" s="8" t="inlineStr">
        <is>
          <t>part_ix_expenses.fees_other</t>
        </is>
      </c>
      <c r="F58" s="8" t="inlineStr">
        <is>
          <t>high</t>
        </is>
      </c>
      <c r="G58" s="9" t="n">
        <v>217608</v>
      </c>
    </row>
    <row r="59">
      <c r="A59" s="8" t="inlineStr">
        <is>
          <t>Operating expenses (detail)</t>
        </is>
      </c>
      <c r="B59" s="8" t="inlineStr">
        <is>
          <t>E14</t>
        </is>
      </c>
      <c r="C59" s="8" t="inlineStr">
        <is>
          <t>11g. Fees for services: other</t>
        </is>
      </c>
      <c r="D59" s="8" t="inlineStr">
        <is>
          <t>11g</t>
        </is>
      </c>
      <c r="E59" s="8" t="inlineStr">
        <is>
          <t>part_ix_expenses.fees_other</t>
        </is>
      </c>
      <c r="F59" s="8" t="inlineStr">
        <is>
          <t>high</t>
        </is>
      </c>
      <c r="G59" s="9" t="n">
        <v>488016</v>
      </c>
    </row>
    <row r="60">
      <c r="A60" s="8" t="inlineStr">
        <is>
          <t>Operating expenses (detail)</t>
        </is>
      </c>
      <c r="B60" s="8" t="inlineStr">
        <is>
          <t>F14</t>
        </is>
      </c>
      <c r="C60" s="8" t="inlineStr">
        <is>
          <t>11g. Fees for services: other</t>
        </is>
      </c>
      <c r="D60" s="8" t="inlineStr">
        <is>
          <t>11g</t>
        </is>
      </c>
      <c r="E60" s="8" t="inlineStr">
        <is>
          <t>part_ix_expenses.fees_other</t>
        </is>
      </c>
      <c r="F60" s="8" t="inlineStr">
        <is>
          <t>high</t>
        </is>
      </c>
      <c r="G60" s="9" t="n">
        <v>595804</v>
      </c>
    </row>
    <row r="61">
      <c r="A61" s="8" t="inlineStr">
        <is>
          <t>Operating expenses (detail)</t>
        </is>
      </c>
      <c r="B61" s="8" t="inlineStr">
        <is>
          <t>B15</t>
        </is>
      </c>
      <c r="C61" s="8" t="inlineStr">
        <is>
          <t>13. Office expenses</t>
        </is>
      </c>
      <c r="D61" s="8" t="inlineStr">
        <is>
          <t>13</t>
        </is>
      </c>
      <c r="E61" s="8" t="inlineStr">
        <is>
          <t>part_ix_expenses.office_expenses</t>
        </is>
      </c>
      <c r="F61" s="8" t="inlineStr">
        <is>
          <t>high</t>
        </is>
      </c>
      <c r="G61" s="9" t="n">
        <v>62615</v>
      </c>
    </row>
    <row r="62">
      <c r="A62" s="8" t="inlineStr">
        <is>
          <t>Operating expenses (detail)</t>
        </is>
      </c>
      <c r="B62" s="8" t="inlineStr">
        <is>
          <t>C15</t>
        </is>
      </c>
      <c r="C62" s="8" t="inlineStr">
        <is>
          <t>13. Office expenses</t>
        </is>
      </c>
      <c r="D62" s="8" t="inlineStr">
        <is>
          <t>13</t>
        </is>
      </c>
      <c r="E62" s="8" t="inlineStr">
        <is>
          <t>part_ix_expenses.office_expenses</t>
        </is>
      </c>
      <c r="F62" s="8" t="inlineStr">
        <is>
          <t>high</t>
        </is>
      </c>
      <c r="G62" s="9" t="n">
        <v>60368</v>
      </c>
    </row>
    <row r="63">
      <c r="A63" s="8" t="inlineStr">
        <is>
          <t>Operating expenses (detail)</t>
        </is>
      </c>
      <c r="B63" s="8" t="inlineStr">
        <is>
          <t>D15</t>
        </is>
      </c>
      <c r="C63" s="8" t="inlineStr">
        <is>
          <t>13. Office expenses</t>
        </is>
      </c>
      <c r="D63" s="8" t="inlineStr">
        <is>
          <t>13</t>
        </is>
      </c>
      <c r="E63" s="8" t="inlineStr">
        <is>
          <t>part_ix_expenses.office_expenses</t>
        </is>
      </c>
      <c r="F63" s="8" t="inlineStr">
        <is>
          <t>high</t>
        </is>
      </c>
      <c r="G63" s="9" t="n">
        <v>147001</v>
      </c>
    </row>
    <row r="64">
      <c r="A64" s="8" t="inlineStr">
        <is>
          <t>Operating expenses (detail)</t>
        </is>
      </c>
      <c r="B64" s="8" t="inlineStr">
        <is>
          <t>E15</t>
        </is>
      </c>
      <c r="C64" s="8" t="inlineStr">
        <is>
          <t>13. Office expenses</t>
        </is>
      </c>
      <c r="D64" s="8" t="inlineStr">
        <is>
          <t>13</t>
        </is>
      </c>
      <c r="E64" s="8" t="inlineStr">
        <is>
          <t>part_ix_expenses.office_expenses</t>
        </is>
      </c>
      <c r="F64" s="8" t="inlineStr">
        <is>
          <t>high</t>
        </is>
      </c>
      <c r="G64" s="9" t="n">
        <v>52543</v>
      </c>
    </row>
    <row r="65">
      <c r="A65" s="8" t="inlineStr">
        <is>
          <t>Operating expenses (detail)</t>
        </is>
      </c>
      <c r="B65" s="8" t="inlineStr">
        <is>
          <t>B16</t>
        </is>
      </c>
      <c r="C65" s="8" t="inlineStr">
        <is>
          <t>14. Information technology</t>
        </is>
      </c>
      <c r="D65" s="8" t="inlineStr">
        <is>
          <t>14</t>
        </is>
      </c>
      <c r="E65" s="8" t="inlineStr">
        <is>
          <t>part_ix_expenses.information_technology</t>
        </is>
      </c>
      <c r="F65" s="8" t="inlineStr">
        <is>
          <t>high</t>
        </is>
      </c>
      <c r="G65" s="9" t="n">
        <v>84324</v>
      </c>
    </row>
    <row r="66">
      <c r="A66" s="8" t="inlineStr">
        <is>
          <t>Operating expenses (detail)</t>
        </is>
      </c>
      <c r="B66" s="8" t="inlineStr">
        <is>
          <t>C16</t>
        </is>
      </c>
      <c r="C66" s="8" t="inlineStr">
        <is>
          <t>14. Information technology</t>
        </is>
      </c>
      <c r="D66" s="8" t="inlineStr">
        <is>
          <t>14</t>
        </is>
      </c>
      <c r="E66" s="8" t="inlineStr">
        <is>
          <t>part_ix_expenses.information_technology</t>
        </is>
      </c>
      <c r="F66" s="8" t="inlineStr">
        <is>
          <t>high</t>
        </is>
      </c>
      <c r="G66" s="9" t="n">
        <v>84910</v>
      </c>
    </row>
    <row r="67">
      <c r="A67" s="8" t="inlineStr">
        <is>
          <t>Operating expenses (detail)</t>
        </is>
      </c>
      <c r="B67" s="8" t="inlineStr">
        <is>
          <t>D16</t>
        </is>
      </c>
      <c r="C67" s="8" t="inlineStr">
        <is>
          <t>14. Information technology</t>
        </is>
      </c>
      <c r="D67" s="8" t="inlineStr">
        <is>
          <t>14</t>
        </is>
      </c>
      <c r="E67" s="8" t="inlineStr">
        <is>
          <t>part_ix_expenses.information_technology</t>
        </is>
      </c>
      <c r="F67" s="8" t="inlineStr">
        <is>
          <t>high</t>
        </is>
      </c>
      <c r="G67" s="9" t="n">
        <v>129430</v>
      </c>
    </row>
    <row r="68">
      <c r="A68" s="8" t="inlineStr">
        <is>
          <t>Operating expenses (detail)</t>
        </is>
      </c>
      <c r="B68" s="8" t="inlineStr">
        <is>
          <t>E16</t>
        </is>
      </c>
      <c r="C68" s="8" t="inlineStr">
        <is>
          <t>14. Information technology</t>
        </is>
      </c>
      <c r="D68" s="8" t="inlineStr">
        <is>
          <t>14</t>
        </is>
      </c>
      <c r="E68" s="8" t="inlineStr">
        <is>
          <t>part_ix_expenses.information_technology</t>
        </is>
      </c>
      <c r="F68" s="8" t="inlineStr">
        <is>
          <t>high</t>
        </is>
      </c>
      <c r="G68" s="9" t="n">
        <v>60632</v>
      </c>
    </row>
    <row r="69">
      <c r="A69" s="8" t="inlineStr">
        <is>
          <t>Operating expenses (detail)</t>
        </is>
      </c>
      <c r="B69" s="8" t="inlineStr">
        <is>
          <t>F16</t>
        </is>
      </c>
      <c r="C69" s="8" t="inlineStr">
        <is>
          <t>14. Information technology</t>
        </is>
      </c>
      <c r="D69" s="8" t="inlineStr">
        <is>
          <t>14</t>
        </is>
      </c>
      <c r="E69" s="8" t="inlineStr">
        <is>
          <t>part_ix_expenses.information_technology</t>
        </is>
      </c>
      <c r="F69" s="8" t="inlineStr">
        <is>
          <t>high</t>
        </is>
      </c>
      <c r="G69" s="9" t="n">
        <v>62985</v>
      </c>
    </row>
    <row r="70">
      <c r="A70" s="8" t="inlineStr">
        <is>
          <t>Operating expenses (detail)</t>
        </is>
      </c>
      <c r="B70" s="8" t="inlineStr">
        <is>
          <t>B17</t>
        </is>
      </c>
      <c r="C70" s="8" t="inlineStr">
        <is>
          <t>16. Occupancy</t>
        </is>
      </c>
      <c r="D70" s="8" t="inlineStr">
        <is>
          <t>16</t>
        </is>
      </c>
      <c r="E70" s="8" t="inlineStr">
        <is>
          <t>part_ix_expenses.occupancy</t>
        </is>
      </c>
      <c r="F70" s="8" t="inlineStr">
        <is>
          <t>high</t>
        </is>
      </c>
      <c r="G70" s="9" t="n">
        <v>163771</v>
      </c>
    </row>
    <row r="71">
      <c r="A71" s="8" t="inlineStr">
        <is>
          <t>Operating expenses (detail)</t>
        </is>
      </c>
      <c r="B71" s="8" t="inlineStr">
        <is>
          <t>C17</t>
        </is>
      </c>
      <c r="C71" s="8" t="inlineStr">
        <is>
          <t>16. Occupancy</t>
        </is>
      </c>
      <c r="D71" s="8" t="inlineStr">
        <is>
          <t>16</t>
        </is>
      </c>
      <c r="E71" s="8" t="inlineStr">
        <is>
          <t>part_ix_expenses.occupancy</t>
        </is>
      </c>
      <c r="F71" s="8" t="inlineStr">
        <is>
          <t>high</t>
        </is>
      </c>
      <c r="G71" s="9" t="n">
        <v>188746</v>
      </c>
    </row>
    <row r="72">
      <c r="A72" s="8" t="inlineStr">
        <is>
          <t>Operating expenses (detail)</t>
        </is>
      </c>
      <c r="B72" s="8" t="inlineStr">
        <is>
          <t>D17</t>
        </is>
      </c>
      <c r="C72" s="8" t="inlineStr">
        <is>
          <t>16. Occupancy</t>
        </is>
      </c>
      <c r="D72" s="8" t="inlineStr">
        <is>
          <t>16</t>
        </is>
      </c>
      <c r="E72" s="8" t="inlineStr">
        <is>
          <t>part_ix_expenses.occupancy</t>
        </is>
      </c>
      <c r="F72" s="8" t="inlineStr">
        <is>
          <t>high</t>
        </is>
      </c>
      <c r="G72" s="9" t="n">
        <v>6145</v>
      </c>
    </row>
    <row r="73">
      <c r="A73" s="8" t="inlineStr">
        <is>
          <t>Operating expenses (detail)</t>
        </is>
      </c>
      <c r="B73" s="8" t="inlineStr">
        <is>
          <t>D18</t>
        </is>
      </c>
      <c r="C73" s="8" t="inlineStr">
        <is>
          <t>17. Travel</t>
        </is>
      </c>
      <c r="D73" s="8" t="inlineStr">
        <is>
          <t>17</t>
        </is>
      </c>
      <c r="E73" s="8" t="inlineStr">
        <is>
          <t>part_ix_expenses.travel</t>
        </is>
      </c>
      <c r="F73" s="8" t="inlineStr">
        <is>
          <t>high</t>
        </is>
      </c>
      <c r="G73" s="9" t="n">
        <v>6972</v>
      </c>
    </row>
    <row r="74">
      <c r="A74" s="8" t="inlineStr">
        <is>
          <t>Operating expenses (detail)</t>
        </is>
      </c>
      <c r="B74" s="8" t="inlineStr">
        <is>
          <t>B19</t>
        </is>
      </c>
      <c r="C74" s="8" t="inlineStr">
        <is>
          <t>20. Interest</t>
        </is>
      </c>
      <c r="D74" s="8" t="inlineStr">
        <is>
          <t>20</t>
        </is>
      </c>
      <c r="E74" s="8" t="inlineStr">
        <is>
          <t>part_ix_expenses.interest</t>
        </is>
      </c>
      <c r="F74" s="8" t="inlineStr">
        <is>
          <t>high</t>
        </is>
      </c>
      <c r="G74" s="9" t="n">
        <v>72812</v>
      </c>
    </row>
    <row r="75">
      <c r="A75" s="8" t="inlineStr">
        <is>
          <t>Operating expenses (detail)</t>
        </is>
      </c>
      <c r="B75" s="8" t="inlineStr">
        <is>
          <t>C19</t>
        </is>
      </c>
      <c r="C75" s="8" t="inlineStr">
        <is>
          <t>20. Interest</t>
        </is>
      </c>
      <c r="D75" s="8" t="inlineStr">
        <is>
          <t>20</t>
        </is>
      </c>
      <c r="E75" s="8" t="inlineStr">
        <is>
          <t>part_ix_expenses.interest</t>
        </is>
      </c>
      <c r="F75" s="8" t="inlineStr">
        <is>
          <t>high</t>
        </is>
      </c>
      <c r="G75" s="9" t="n">
        <v>42282</v>
      </c>
    </row>
    <row r="76">
      <c r="A76" s="8" t="inlineStr">
        <is>
          <t>Operating expenses (detail)</t>
        </is>
      </c>
      <c r="B76" s="8" t="inlineStr">
        <is>
          <t>D19</t>
        </is>
      </c>
      <c r="C76" s="8" t="inlineStr">
        <is>
          <t>20. Interest</t>
        </is>
      </c>
      <c r="D76" s="8" t="inlineStr">
        <is>
          <t>20</t>
        </is>
      </c>
      <c r="E76" s="8" t="inlineStr">
        <is>
          <t>part_ix_expenses.interest</t>
        </is>
      </c>
      <c r="F76" s="8" t="inlineStr">
        <is>
          <t>high</t>
        </is>
      </c>
      <c r="G76" s="9" t="n">
        <v>30981</v>
      </c>
    </row>
    <row r="77">
      <c r="A77" s="8" t="inlineStr">
        <is>
          <t>Operating expenses (detail)</t>
        </is>
      </c>
      <c r="B77" s="8" t="inlineStr">
        <is>
          <t>E19</t>
        </is>
      </c>
      <c r="C77" s="8" t="inlineStr">
        <is>
          <t>20. Interest</t>
        </is>
      </c>
      <c r="D77" s="8" t="inlineStr">
        <is>
          <t>20</t>
        </is>
      </c>
      <c r="E77" s="8" t="inlineStr">
        <is>
          <t>part_ix_expenses.interest</t>
        </is>
      </c>
      <c r="F77" s="8" t="inlineStr">
        <is>
          <t>high</t>
        </is>
      </c>
      <c r="G77" s="9" t="n">
        <v>27309</v>
      </c>
    </row>
    <row r="78">
      <c r="A78" s="8" t="inlineStr">
        <is>
          <t>Operating expenses (detail)</t>
        </is>
      </c>
      <c r="B78" s="8" t="inlineStr">
        <is>
          <t>B20</t>
        </is>
      </c>
      <c r="C78" s="8" t="inlineStr">
        <is>
          <t>22. Depreciation, depletion, and amortization</t>
        </is>
      </c>
      <c r="D78" s="8" t="inlineStr">
        <is>
          <t>22</t>
        </is>
      </c>
      <c r="E78" s="8" t="inlineStr">
        <is>
          <t>part_ix_expenses.depreciation</t>
        </is>
      </c>
      <c r="F78" s="8" t="inlineStr">
        <is>
          <t>high</t>
        </is>
      </c>
      <c r="G78" s="9" t="n">
        <v>1055604</v>
      </c>
    </row>
    <row r="79">
      <c r="A79" s="8" t="inlineStr">
        <is>
          <t>Operating expenses (detail)</t>
        </is>
      </c>
      <c r="B79" s="8" t="inlineStr">
        <is>
          <t>C20</t>
        </is>
      </c>
      <c r="C79" s="8" t="inlineStr">
        <is>
          <t>22. Depreciation, depletion, and amortization</t>
        </is>
      </c>
      <c r="D79" s="8" t="inlineStr">
        <is>
          <t>22</t>
        </is>
      </c>
      <c r="E79" s="8" t="inlineStr">
        <is>
          <t>part_ix_expenses.depreciation</t>
        </is>
      </c>
      <c r="F79" s="8" t="inlineStr">
        <is>
          <t>high</t>
        </is>
      </c>
      <c r="G79" s="9" t="n">
        <v>1023563</v>
      </c>
    </row>
    <row r="80">
      <c r="A80" s="8" t="inlineStr">
        <is>
          <t>Operating expenses (detail)</t>
        </is>
      </c>
      <c r="B80" s="8" t="inlineStr">
        <is>
          <t>D20</t>
        </is>
      </c>
      <c r="C80" s="8" t="inlineStr">
        <is>
          <t>22. Depreciation, depletion, and amortization</t>
        </is>
      </c>
      <c r="D80" s="8" t="inlineStr">
        <is>
          <t>22</t>
        </is>
      </c>
      <c r="E80" s="8" t="inlineStr">
        <is>
          <t>part_ix_expenses.depreciation</t>
        </is>
      </c>
      <c r="F80" s="8" t="inlineStr">
        <is>
          <t>high</t>
        </is>
      </c>
      <c r="G80" s="9" t="n">
        <v>1133207</v>
      </c>
    </row>
    <row r="81">
      <c r="A81" s="8" t="inlineStr">
        <is>
          <t>Operating expenses (detail)</t>
        </is>
      </c>
      <c r="B81" s="8" t="inlineStr">
        <is>
          <t>E20</t>
        </is>
      </c>
      <c r="C81" s="8" t="inlineStr">
        <is>
          <t>22. Depreciation, depletion, and amortization</t>
        </is>
      </c>
      <c r="D81" s="8" t="inlineStr">
        <is>
          <t>22</t>
        </is>
      </c>
      <c r="E81" s="8" t="inlineStr">
        <is>
          <t>part_ix_expenses.depreciation</t>
        </is>
      </c>
      <c r="F81" s="8" t="inlineStr">
        <is>
          <t>high</t>
        </is>
      </c>
      <c r="G81" s="9" t="n">
        <v>1137177</v>
      </c>
    </row>
    <row r="82">
      <c r="A82" s="8" t="inlineStr">
        <is>
          <t>Operating expenses (detail)</t>
        </is>
      </c>
      <c r="B82" s="8" t="inlineStr">
        <is>
          <t>F20</t>
        </is>
      </c>
      <c r="C82" s="8" t="inlineStr">
        <is>
          <t>22. Depreciation, depletion, and amortization</t>
        </is>
      </c>
      <c r="D82" s="8" t="inlineStr">
        <is>
          <t>22</t>
        </is>
      </c>
      <c r="E82" s="8" t="inlineStr">
        <is>
          <t>part_ix_expenses.depreciation</t>
        </is>
      </c>
      <c r="F82" s="8" t="inlineStr">
        <is>
          <t>high</t>
        </is>
      </c>
      <c r="G82" s="9" t="n">
        <v>707913</v>
      </c>
    </row>
    <row r="83">
      <c r="A83" s="8" t="inlineStr">
        <is>
          <t>Operating expenses (detail)</t>
        </is>
      </c>
      <c r="B83" s="8" t="inlineStr">
        <is>
          <t>B21</t>
        </is>
      </c>
      <c r="C83" s="8" t="inlineStr">
        <is>
          <t>23. Insurance</t>
        </is>
      </c>
      <c r="D83" s="8" t="inlineStr">
        <is>
          <t>23</t>
        </is>
      </c>
      <c r="E83" s="8" t="inlineStr">
        <is>
          <t>part_ix_expenses.insurance</t>
        </is>
      </c>
      <c r="F83" s="8" t="inlineStr">
        <is>
          <t>high</t>
        </is>
      </c>
      <c r="G83" s="9" t="n">
        <v>94477</v>
      </c>
    </row>
    <row r="84">
      <c r="A84" s="8" t="inlineStr">
        <is>
          <t>Operating expenses (detail)</t>
        </is>
      </c>
      <c r="B84" s="8" t="inlineStr">
        <is>
          <t>C21</t>
        </is>
      </c>
      <c r="C84" s="8" t="inlineStr">
        <is>
          <t>23. Insurance</t>
        </is>
      </c>
      <c r="D84" s="8" t="inlineStr">
        <is>
          <t>23</t>
        </is>
      </c>
      <c r="E84" s="8" t="inlineStr">
        <is>
          <t>part_ix_expenses.insurance</t>
        </is>
      </c>
      <c r="F84" s="8" t="inlineStr">
        <is>
          <t>high</t>
        </is>
      </c>
      <c r="G84" s="9" t="n">
        <v>109873</v>
      </c>
    </row>
    <row r="85">
      <c r="A85" s="8" t="inlineStr">
        <is>
          <t>Operating expenses (detail)</t>
        </is>
      </c>
      <c r="B85" s="8" t="inlineStr">
        <is>
          <t>D21</t>
        </is>
      </c>
      <c r="C85" s="8" t="inlineStr">
        <is>
          <t>23. Insurance</t>
        </is>
      </c>
      <c r="D85" s="8" t="inlineStr">
        <is>
          <t>23</t>
        </is>
      </c>
      <c r="E85" s="8" t="inlineStr">
        <is>
          <t>part_ix_expenses.insurance</t>
        </is>
      </c>
      <c r="F85" s="8" t="inlineStr">
        <is>
          <t>high</t>
        </is>
      </c>
      <c r="G85" s="9" t="n">
        <v>127869</v>
      </c>
    </row>
    <row r="86">
      <c r="A86" s="8" t="inlineStr">
        <is>
          <t>Operating expenses (detail)</t>
        </is>
      </c>
      <c r="B86" s="8" t="inlineStr">
        <is>
          <t>E21</t>
        </is>
      </c>
      <c r="C86" s="8" t="inlineStr">
        <is>
          <t>23. Insurance</t>
        </is>
      </c>
      <c r="D86" s="8" t="inlineStr">
        <is>
          <t>23</t>
        </is>
      </c>
      <c r="E86" s="8" t="inlineStr">
        <is>
          <t>part_ix_expenses.insurance</t>
        </is>
      </c>
      <c r="F86" s="8" t="inlineStr">
        <is>
          <t>high</t>
        </is>
      </c>
      <c r="G86" s="9" t="n">
        <v>308801</v>
      </c>
    </row>
    <row r="87">
      <c r="A87" s="8" t="inlineStr">
        <is>
          <t>Operating expenses (detail)</t>
        </is>
      </c>
      <c r="B87" s="8" t="inlineStr">
        <is>
          <t>F21</t>
        </is>
      </c>
      <c r="C87" s="8" t="inlineStr">
        <is>
          <t>23. Insurance</t>
        </is>
      </c>
      <c r="D87" s="8" t="inlineStr">
        <is>
          <t>23</t>
        </is>
      </c>
      <c r="E87" s="8" t="inlineStr">
        <is>
          <t>part_ix_expenses.insurance</t>
        </is>
      </c>
      <c r="F87" s="8" t="inlineStr">
        <is>
          <t>high</t>
        </is>
      </c>
      <c r="G87" s="9" t="n">
        <v>429408</v>
      </c>
    </row>
    <row r="88">
      <c r="A88" s="8" t="inlineStr">
        <is>
          <t>Operating expenses (detail)</t>
        </is>
      </c>
      <c r="B88" s="8" t="inlineStr">
        <is>
          <t>B32</t>
        </is>
      </c>
      <c r="C88" s="8" t="inlineStr">
        <is>
          <t>24e. All other expenses</t>
        </is>
      </c>
      <c r="D88" s="8" t="inlineStr">
        <is>
          <t>24e</t>
        </is>
      </c>
      <c r="E88" s="8" t="inlineStr">
        <is>
          <t>part_ix_expenses.all_other_expenses</t>
        </is>
      </c>
      <c r="F88" s="8" t="inlineStr">
        <is>
          <t>high</t>
        </is>
      </c>
      <c r="G88" s="9" t="n">
        <v>352490</v>
      </c>
    </row>
    <row r="89">
      <c r="A89" s="8" t="inlineStr">
        <is>
          <t>Operating expenses (detail)</t>
        </is>
      </c>
      <c r="B89" s="8" t="inlineStr">
        <is>
          <t>C32</t>
        </is>
      </c>
      <c r="C89" s="8" t="inlineStr">
        <is>
          <t>24e. All other expenses</t>
        </is>
      </c>
      <c r="D89" s="8" t="inlineStr">
        <is>
          <t>24e</t>
        </is>
      </c>
      <c r="E89" s="8" t="inlineStr">
        <is>
          <t>part_ix_expenses.all_other_expenses</t>
        </is>
      </c>
      <c r="F89" s="8" t="inlineStr">
        <is>
          <t>high</t>
        </is>
      </c>
      <c r="G89" s="9" t="n">
        <v>374371</v>
      </c>
    </row>
    <row r="90">
      <c r="A90" s="8" t="inlineStr">
        <is>
          <t>Operating expenses (detail)</t>
        </is>
      </c>
      <c r="B90" s="8" t="inlineStr">
        <is>
          <t>D32</t>
        </is>
      </c>
      <c r="C90" s="8" t="inlineStr">
        <is>
          <t>24e. All other expenses</t>
        </is>
      </c>
      <c r="D90" s="8" t="inlineStr">
        <is>
          <t>24e</t>
        </is>
      </c>
      <c r="E90" s="8" t="inlineStr">
        <is>
          <t>part_ix_expenses.all_other_expenses</t>
        </is>
      </c>
      <c r="F90" s="8" t="inlineStr">
        <is>
          <t>high</t>
        </is>
      </c>
      <c r="G90" s="9" t="n">
        <v>538384</v>
      </c>
    </row>
    <row r="91">
      <c r="A91" s="8" t="inlineStr">
        <is>
          <t>Operating expenses (detail)</t>
        </is>
      </c>
      <c r="B91" s="8" t="inlineStr">
        <is>
          <t>E32</t>
        </is>
      </c>
      <c r="C91" s="8" t="inlineStr">
        <is>
          <t>24e. All other expenses</t>
        </is>
      </c>
      <c r="D91" s="8" t="inlineStr">
        <is>
          <t>24e</t>
        </is>
      </c>
      <c r="E91" s="8" t="inlineStr">
        <is>
          <t>part_ix_expenses.all_other_expenses</t>
        </is>
      </c>
      <c r="F91" s="8" t="inlineStr">
        <is>
          <t>high</t>
        </is>
      </c>
      <c r="G91" s="9" t="n">
        <v>491386</v>
      </c>
    </row>
    <row r="92">
      <c r="A92" s="8" t="inlineStr">
        <is>
          <t>Operating expenses (detail)</t>
        </is>
      </c>
      <c r="B92" s="8" t="inlineStr">
        <is>
          <t>F32</t>
        </is>
      </c>
      <c r="C92" s="8" t="inlineStr">
        <is>
          <t>24e. All other expenses</t>
        </is>
      </c>
      <c r="D92" s="8" t="inlineStr">
        <is>
          <t>24e</t>
        </is>
      </c>
      <c r="E92" s="8" t="inlineStr">
        <is>
          <t>part_ix_expenses.all_other_expenses</t>
        </is>
      </c>
      <c r="F92" s="8" t="inlineStr">
        <is>
          <t>high</t>
        </is>
      </c>
      <c r="G92" s="9" t="n">
        <v>879846</v>
      </c>
    </row>
    <row r="93">
      <c r="A93" s="8" t="inlineStr">
        <is>
          <t>Balance sheet (detail)</t>
        </is>
      </c>
      <c r="B93" s="8" t="inlineStr">
        <is>
          <t>B7</t>
        </is>
      </c>
      <c r="C93" s="8" t="inlineStr">
        <is>
          <t>1. Cash - non-interest-bearing</t>
        </is>
      </c>
      <c r="D93" s="8" t="inlineStr">
        <is>
          <t>1E</t>
        </is>
      </c>
      <c r="E93" s="8" t="inlineStr">
        <is>
          <t>part_x_balance_sheet.cash_noninterest_eoy</t>
        </is>
      </c>
      <c r="F93" s="8" t="inlineStr">
        <is>
          <t>high</t>
        </is>
      </c>
      <c r="G93" s="9" t="n">
        <v>380719</v>
      </c>
    </row>
    <row r="94">
      <c r="A94" s="8" t="inlineStr">
        <is>
          <t>Balance sheet (detail)</t>
        </is>
      </c>
      <c r="B94" s="8" t="inlineStr">
        <is>
          <t>C7</t>
        </is>
      </c>
      <c r="C94" s="8" t="inlineStr">
        <is>
          <t>1. Cash - non-interest-bearing</t>
        </is>
      </c>
      <c r="D94" s="8" t="inlineStr">
        <is>
          <t>1E</t>
        </is>
      </c>
      <c r="E94" s="8" t="inlineStr">
        <is>
          <t>part_x_balance_sheet.cash_noninterest_eoy</t>
        </is>
      </c>
      <c r="F94" s="8" t="inlineStr">
        <is>
          <t>high</t>
        </is>
      </c>
      <c r="G94" s="9" t="n">
        <v>1130043</v>
      </c>
    </row>
    <row r="95">
      <c r="A95" s="8" t="inlineStr">
        <is>
          <t>Balance sheet (detail)</t>
        </is>
      </c>
      <c r="B95" s="8" t="inlineStr">
        <is>
          <t>D7</t>
        </is>
      </c>
      <c r="C95" s="8" t="inlineStr">
        <is>
          <t>1. Cash - non-interest-bearing</t>
        </is>
      </c>
      <c r="D95" s="8" t="inlineStr">
        <is>
          <t>1E</t>
        </is>
      </c>
      <c r="E95" s="8" t="inlineStr">
        <is>
          <t>part_x_balance_sheet.cash_noninterest_eoy</t>
        </is>
      </c>
      <c r="F95" s="8" t="inlineStr">
        <is>
          <t>high</t>
        </is>
      </c>
      <c r="G95" s="9" t="n">
        <v>1132372</v>
      </c>
    </row>
    <row r="96">
      <c r="A96" s="8" t="inlineStr">
        <is>
          <t>Balance sheet (detail)</t>
        </is>
      </c>
      <c r="B96" s="8" t="inlineStr">
        <is>
          <t>E7</t>
        </is>
      </c>
      <c r="C96" s="8" t="inlineStr">
        <is>
          <t>1. Cash - non-interest-bearing</t>
        </is>
      </c>
      <c r="D96" s="8" t="inlineStr">
        <is>
          <t>1E</t>
        </is>
      </c>
      <c r="E96" s="8" t="inlineStr">
        <is>
          <t>part_x_balance_sheet.cash_noninterest_eoy</t>
        </is>
      </c>
      <c r="F96" s="8" t="inlineStr">
        <is>
          <t>high</t>
        </is>
      </c>
      <c r="G96" s="9" t="n">
        <v>961256</v>
      </c>
    </row>
    <row r="97">
      <c r="A97" s="8" t="inlineStr">
        <is>
          <t>Balance sheet (detail)</t>
        </is>
      </c>
      <c r="B97" s="8" t="inlineStr">
        <is>
          <t>F7</t>
        </is>
      </c>
      <c r="C97" s="8" t="inlineStr">
        <is>
          <t>1. Cash - non-interest-bearing</t>
        </is>
      </c>
      <c r="D97" s="8" t="inlineStr">
        <is>
          <t>1E</t>
        </is>
      </c>
      <c r="E97" s="8" t="inlineStr">
        <is>
          <t>part_x_balance_sheet.cash_noninterest_eoy</t>
        </is>
      </c>
      <c r="F97" s="8" t="inlineStr">
        <is>
          <t>high</t>
        </is>
      </c>
      <c r="G97" s="9" t="n">
        <v>2159708</v>
      </c>
    </row>
    <row r="98">
      <c r="A98" s="8" t="inlineStr">
        <is>
          <t>Balance sheet (detail)</t>
        </is>
      </c>
      <c r="B98" s="8" t="inlineStr">
        <is>
          <t>B8</t>
        </is>
      </c>
      <c r="C98" s="8" t="inlineStr">
        <is>
          <t>2. Savings and temporary cash investments</t>
        </is>
      </c>
      <c r="D98" s="8" t="inlineStr">
        <is>
          <t>2E</t>
        </is>
      </c>
      <c r="E98" s="8" t="inlineStr">
        <is>
          <t>part_x_balance_sheet.savings_temp_invest_eoy</t>
        </is>
      </c>
      <c r="F98" s="8" t="inlineStr">
        <is>
          <t>high</t>
        </is>
      </c>
      <c r="G98" s="9" t="n">
        <v>21147024</v>
      </c>
    </row>
    <row r="99">
      <c r="A99" s="8" t="inlineStr">
        <is>
          <t>Balance sheet (detail)</t>
        </is>
      </c>
      <c r="B99" s="8" t="inlineStr">
        <is>
          <t>C8</t>
        </is>
      </c>
      <c r="C99" s="8" t="inlineStr">
        <is>
          <t>2. Savings and temporary cash investments</t>
        </is>
      </c>
      <c r="D99" s="8" t="inlineStr">
        <is>
          <t>2E</t>
        </is>
      </c>
      <c r="E99" s="8" t="inlineStr">
        <is>
          <t>part_x_balance_sheet.savings_temp_invest_eoy</t>
        </is>
      </c>
      <c r="F99" s="8" t="inlineStr">
        <is>
          <t>high</t>
        </is>
      </c>
      <c r="G99" s="9" t="n">
        <v>20661963</v>
      </c>
    </row>
    <row r="100">
      <c r="A100" s="8" t="inlineStr">
        <is>
          <t>Balance sheet (detail)</t>
        </is>
      </c>
      <c r="B100" s="8" t="inlineStr">
        <is>
          <t>D8</t>
        </is>
      </c>
      <c r="C100" s="8" t="inlineStr">
        <is>
          <t>2. Savings and temporary cash investments</t>
        </is>
      </c>
      <c r="D100" s="8" t="inlineStr">
        <is>
          <t>2E</t>
        </is>
      </c>
      <c r="E100" s="8" t="inlineStr">
        <is>
          <t>part_x_balance_sheet.savings_temp_invest_eoy</t>
        </is>
      </c>
      <c r="F100" s="8" t="inlineStr">
        <is>
          <t>high</t>
        </is>
      </c>
      <c r="G100" s="9" t="n">
        <v>20779294</v>
      </c>
    </row>
    <row r="101">
      <c r="A101" s="8" t="inlineStr">
        <is>
          <t>Balance sheet (detail)</t>
        </is>
      </c>
      <c r="B101" s="8" t="inlineStr">
        <is>
          <t>E8</t>
        </is>
      </c>
      <c r="C101" s="8" t="inlineStr">
        <is>
          <t>2. Savings and temporary cash investments</t>
        </is>
      </c>
      <c r="D101" s="8" t="inlineStr">
        <is>
          <t>2E</t>
        </is>
      </c>
      <c r="E101" s="8" t="inlineStr">
        <is>
          <t>part_x_balance_sheet.savings_temp_invest_eoy</t>
        </is>
      </c>
      <c r="F101" s="8" t="inlineStr">
        <is>
          <t>high</t>
        </is>
      </c>
      <c r="G101" s="9" t="n">
        <v>21471514</v>
      </c>
    </row>
    <row r="102">
      <c r="A102" s="8" t="inlineStr">
        <is>
          <t>Balance sheet (detail)</t>
        </is>
      </c>
      <c r="B102" s="8" t="inlineStr">
        <is>
          <t>F8</t>
        </is>
      </c>
      <c r="C102" s="8" t="inlineStr">
        <is>
          <t>2. Savings and temporary cash investments</t>
        </is>
      </c>
      <c r="D102" s="8" t="inlineStr">
        <is>
          <t>2E</t>
        </is>
      </c>
      <c r="E102" s="8" t="inlineStr">
        <is>
          <t>part_x_balance_sheet.savings_temp_invest_eoy</t>
        </is>
      </c>
      <c r="F102" s="8" t="inlineStr">
        <is>
          <t>high</t>
        </is>
      </c>
      <c r="G102" s="9" t="n">
        <v>22054340</v>
      </c>
    </row>
    <row r="103">
      <c r="A103" s="8" t="inlineStr">
        <is>
          <t>Balance sheet (detail)</t>
        </is>
      </c>
      <c r="B103" s="8" t="inlineStr">
        <is>
          <t>B9</t>
        </is>
      </c>
      <c r="C103" s="8" t="inlineStr">
        <is>
          <t>4. Accounts receivable, net</t>
        </is>
      </c>
      <c r="D103" s="8" t="inlineStr">
        <is>
          <t>4E</t>
        </is>
      </c>
      <c r="E103" s="8" t="inlineStr">
        <is>
          <t>part_x_balance_sheet.accounts_receivable_eoy</t>
        </is>
      </c>
      <c r="F103" s="8" t="inlineStr">
        <is>
          <t>high</t>
        </is>
      </c>
      <c r="G103" s="9" t="n">
        <v>387938</v>
      </c>
    </row>
    <row r="104">
      <c r="A104" s="8" t="inlineStr">
        <is>
          <t>Balance sheet (detail)</t>
        </is>
      </c>
      <c r="B104" s="8" t="inlineStr">
        <is>
          <t>C9</t>
        </is>
      </c>
      <c r="C104" s="8" t="inlineStr">
        <is>
          <t>4. Accounts receivable, net</t>
        </is>
      </c>
      <c r="D104" s="8" t="inlineStr">
        <is>
          <t>4E</t>
        </is>
      </c>
      <c r="E104" s="8" t="inlineStr">
        <is>
          <t>part_x_balance_sheet.accounts_receivable_eoy</t>
        </is>
      </c>
      <c r="F104" s="8" t="inlineStr">
        <is>
          <t>high</t>
        </is>
      </c>
      <c r="G104" s="9" t="n">
        <v>616502</v>
      </c>
    </row>
    <row r="105">
      <c r="A105" s="8" t="inlineStr">
        <is>
          <t>Balance sheet (detail)</t>
        </is>
      </c>
      <c r="B105" s="8" t="inlineStr">
        <is>
          <t>D9</t>
        </is>
      </c>
      <c r="C105" s="8" t="inlineStr">
        <is>
          <t>4. Accounts receivable, net</t>
        </is>
      </c>
      <c r="D105" s="8" t="inlineStr">
        <is>
          <t>4E</t>
        </is>
      </c>
      <c r="E105" s="8" t="inlineStr">
        <is>
          <t>part_x_balance_sheet.accounts_receivable_eoy</t>
        </is>
      </c>
      <c r="F105" s="8" t="inlineStr">
        <is>
          <t>high</t>
        </is>
      </c>
      <c r="G105" s="9" t="n">
        <v>357391</v>
      </c>
    </row>
    <row r="106">
      <c r="A106" s="8" t="inlineStr">
        <is>
          <t>Balance sheet (detail)</t>
        </is>
      </c>
      <c r="B106" s="8" t="inlineStr">
        <is>
          <t>E9</t>
        </is>
      </c>
      <c r="C106" s="8" t="inlineStr">
        <is>
          <t>4. Accounts receivable, net</t>
        </is>
      </c>
      <c r="D106" s="8" t="inlineStr">
        <is>
          <t>4E</t>
        </is>
      </c>
      <c r="E106" s="8" t="inlineStr">
        <is>
          <t>part_x_balance_sheet.accounts_receivable_eoy</t>
        </is>
      </c>
      <c r="F106" s="8" t="inlineStr">
        <is>
          <t>high</t>
        </is>
      </c>
      <c r="G106" s="9" t="n">
        <v>507733</v>
      </c>
    </row>
    <row r="107">
      <c r="A107" s="8" t="inlineStr">
        <is>
          <t>Balance sheet (detail)</t>
        </is>
      </c>
      <c r="B107" s="8" t="inlineStr">
        <is>
          <t>F9</t>
        </is>
      </c>
      <c r="C107" s="8" t="inlineStr">
        <is>
          <t>4. Accounts receivable, net</t>
        </is>
      </c>
      <c r="D107" s="8" t="inlineStr">
        <is>
          <t>4E</t>
        </is>
      </c>
      <c r="E107" s="8" t="inlineStr">
        <is>
          <t>part_x_balance_sheet.accounts_receivable_eoy</t>
        </is>
      </c>
      <c r="F107" s="8" t="inlineStr">
        <is>
          <t>high</t>
        </is>
      </c>
      <c r="G107" s="9" t="n">
        <v>411362</v>
      </c>
    </row>
    <row r="108">
      <c r="A108" s="8" t="inlineStr">
        <is>
          <t>Balance sheet (detail)</t>
        </is>
      </c>
      <c r="B108" s="8" t="inlineStr">
        <is>
          <t>B10</t>
        </is>
      </c>
      <c r="C108" s="8" t="inlineStr">
        <is>
          <t>8. Inventories for sale or use</t>
        </is>
      </c>
      <c r="D108" s="8" t="inlineStr">
        <is>
          <t>8E</t>
        </is>
      </c>
      <c r="E108" s="8" t="inlineStr">
        <is>
          <t>part_x_balance_sheet.inventories_eoy</t>
        </is>
      </c>
      <c r="F108" s="8" t="inlineStr">
        <is>
          <t>high</t>
        </is>
      </c>
      <c r="G108" s="9" t="n">
        <v>118825</v>
      </c>
    </row>
    <row r="109">
      <c r="A109" s="8" t="inlineStr">
        <is>
          <t>Balance sheet (detail)</t>
        </is>
      </c>
      <c r="B109" s="8" t="inlineStr">
        <is>
          <t>C10</t>
        </is>
      </c>
      <c r="C109" s="8" t="inlineStr">
        <is>
          <t>8. Inventories for sale or use</t>
        </is>
      </c>
      <c r="D109" s="8" t="inlineStr">
        <is>
          <t>8E</t>
        </is>
      </c>
      <c r="E109" s="8" t="inlineStr">
        <is>
          <t>part_x_balance_sheet.inventories_eoy</t>
        </is>
      </c>
      <c r="F109" s="8" t="inlineStr">
        <is>
          <t>high</t>
        </is>
      </c>
      <c r="G109" s="9" t="n">
        <v>1808</v>
      </c>
    </row>
    <row r="110">
      <c r="A110" s="8" t="inlineStr">
        <is>
          <t>Balance sheet (detail)</t>
        </is>
      </c>
      <c r="B110" s="8" t="inlineStr">
        <is>
          <t>D10</t>
        </is>
      </c>
      <c r="C110" s="8" t="inlineStr">
        <is>
          <t>8. Inventories for sale or use</t>
        </is>
      </c>
      <c r="D110" s="8" t="inlineStr">
        <is>
          <t>8E</t>
        </is>
      </c>
      <c r="E110" s="8" t="inlineStr">
        <is>
          <t>part_x_balance_sheet.inventories_eoy</t>
        </is>
      </c>
      <c r="F110" s="8" t="inlineStr">
        <is>
          <t>high</t>
        </is>
      </c>
      <c r="G110" s="9" t="n">
        <v>1808</v>
      </c>
    </row>
    <row r="111">
      <c r="A111" s="8" t="inlineStr">
        <is>
          <t>Balance sheet (detail)</t>
        </is>
      </c>
      <c r="B111" s="8" t="inlineStr">
        <is>
          <t>E10</t>
        </is>
      </c>
      <c r="C111" s="8" t="inlineStr">
        <is>
          <t>8. Inventories for sale or use</t>
        </is>
      </c>
      <c r="D111" s="8" t="inlineStr">
        <is>
          <t>8E</t>
        </is>
      </c>
      <c r="E111" s="8" t="inlineStr">
        <is>
          <t>part_x_balance_sheet.inventories_eoy</t>
        </is>
      </c>
      <c r="F111" s="8" t="inlineStr">
        <is>
          <t>high</t>
        </is>
      </c>
      <c r="G111" s="9" t="n">
        <v>1808</v>
      </c>
    </row>
    <row r="112">
      <c r="A112" s="8" t="inlineStr">
        <is>
          <t>Balance sheet (detail)</t>
        </is>
      </c>
      <c r="B112" s="8" t="inlineStr">
        <is>
          <t>F10</t>
        </is>
      </c>
      <c r="C112" s="8" t="inlineStr">
        <is>
          <t>8. Inventories for sale or use</t>
        </is>
      </c>
      <c r="D112" s="8" t="inlineStr">
        <is>
          <t>8E</t>
        </is>
      </c>
      <c r="E112" s="8" t="inlineStr">
        <is>
          <t>part_x_balance_sheet.inventories_eoy</t>
        </is>
      </c>
      <c r="F112" s="8" t="inlineStr">
        <is>
          <t>high</t>
        </is>
      </c>
      <c r="G112" s="9" t="n">
        <v>1808</v>
      </c>
    </row>
    <row r="113">
      <c r="A113" s="8" t="inlineStr">
        <is>
          <t>Balance sheet (detail)</t>
        </is>
      </c>
      <c r="B113" s="8" t="inlineStr">
        <is>
          <t>B11</t>
        </is>
      </c>
      <c r="C113" s="8" t="inlineStr">
        <is>
          <t>9. Prepaid expenses and deferred charges</t>
        </is>
      </c>
      <c r="D113" s="8" t="inlineStr">
        <is>
          <t>9E</t>
        </is>
      </c>
      <c r="E113" s="8" t="inlineStr">
        <is>
          <t>part_x_balance_sheet.prepaid_expenses_eoy</t>
        </is>
      </c>
      <c r="F113" s="8" t="inlineStr">
        <is>
          <t>high</t>
        </is>
      </c>
      <c r="G113" s="9" t="n">
        <v>1808</v>
      </c>
    </row>
    <row r="114">
      <c r="A114" s="8" t="inlineStr">
        <is>
          <t>Balance sheet (detail)</t>
        </is>
      </c>
      <c r="B114" s="8" t="inlineStr">
        <is>
          <t>C11</t>
        </is>
      </c>
      <c r="C114" s="8" t="inlineStr">
        <is>
          <t>9. Prepaid expenses and deferred charges</t>
        </is>
      </c>
      <c r="D114" s="8" t="inlineStr">
        <is>
          <t>9E</t>
        </is>
      </c>
      <c r="E114" s="8" t="inlineStr">
        <is>
          <t>part_x_balance_sheet.prepaid_expenses_eoy</t>
        </is>
      </c>
      <c r="F114" s="8" t="inlineStr">
        <is>
          <t>high</t>
        </is>
      </c>
      <c r="G114" s="9" t="n">
        <v>1691</v>
      </c>
    </row>
    <row r="115">
      <c r="A115" s="8" t="inlineStr">
        <is>
          <t>Balance sheet (detail)</t>
        </is>
      </c>
      <c r="B115" s="8" t="inlineStr">
        <is>
          <t>F11</t>
        </is>
      </c>
      <c r="C115" s="8" t="inlineStr">
        <is>
          <t>9. Prepaid expenses and deferred charges</t>
        </is>
      </c>
      <c r="D115" s="8" t="inlineStr">
        <is>
          <t>9E</t>
        </is>
      </c>
      <c r="E115" s="8" t="inlineStr">
        <is>
          <t>part_x_balance_sheet.prepaid_expenses_eoy</t>
        </is>
      </c>
      <c r="F115" s="8" t="inlineStr">
        <is>
          <t>high</t>
        </is>
      </c>
      <c r="G115" s="9" t="n">
        <v>25331</v>
      </c>
    </row>
    <row r="116">
      <c r="A116" s="8" t="inlineStr">
        <is>
          <t>Balance sheet (detail)</t>
        </is>
      </c>
      <c r="B116" s="8" t="inlineStr">
        <is>
          <t>B12</t>
        </is>
      </c>
      <c r="C116" s="8" t="inlineStr">
        <is>
          <t>10c. Land, buildings, and equipment, net</t>
        </is>
      </c>
      <c r="D116" s="8" t="inlineStr">
        <is>
          <t>10cE</t>
        </is>
      </c>
      <c r="E116" s="8" t="inlineStr">
        <is>
          <t>part_x_balance_sheet.land_bldg_equip_net_eoy</t>
        </is>
      </c>
      <c r="F116" s="8" t="inlineStr">
        <is>
          <t>high</t>
        </is>
      </c>
      <c r="G116" s="9" t="n">
        <v>22650386</v>
      </c>
    </row>
    <row r="117">
      <c r="A117" s="8" t="inlineStr">
        <is>
          <t>Balance sheet (detail)</t>
        </is>
      </c>
      <c r="B117" s="8" t="inlineStr">
        <is>
          <t>C12</t>
        </is>
      </c>
      <c r="C117" s="8" t="inlineStr">
        <is>
          <t>10c. Land, buildings, and equipment, net</t>
        </is>
      </c>
      <c r="D117" s="8" t="inlineStr">
        <is>
          <t>10cE</t>
        </is>
      </c>
      <c r="E117" s="8" t="inlineStr">
        <is>
          <t>part_x_balance_sheet.land_bldg_equip_net_eoy</t>
        </is>
      </c>
      <c r="F117" s="8" t="inlineStr">
        <is>
          <t>high</t>
        </is>
      </c>
      <c r="G117" s="9" t="n">
        <v>23706379</v>
      </c>
    </row>
    <row r="118">
      <c r="A118" s="8" t="inlineStr">
        <is>
          <t>Balance sheet (detail)</t>
        </is>
      </c>
      <c r="B118" s="8" t="inlineStr">
        <is>
          <t>D12</t>
        </is>
      </c>
      <c r="C118" s="8" t="inlineStr">
        <is>
          <t>10c. Land, buildings, and equipment, net</t>
        </is>
      </c>
      <c r="D118" s="8" t="inlineStr">
        <is>
          <t>10cE</t>
        </is>
      </c>
      <c r="E118" s="8" t="inlineStr">
        <is>
          <t>part_x_balance_sheet.land_bldg_equip_net_eoy</t>
        </is>
      </c>
      <c r="F118" s="8" t="inlineStr">
        <is>
          <t>high</t>
        </is>
      </c>
      <c r="G118" s="9" t="n">
        <v>22955018</v>
      </c>
    </row>
    <row r="119">
      <c r="A119" s="8" t="inlineStr">
        <is>
          <t>Balance sheet (detail)</t>
        </is>
      </c>
      <c r="B119" s="8" t="inlineStr">
        <is>
          <t>E12</t>
        </is>
      </c>
      <c r="C119" s="8" t="inlineStr">
        <is>
          <t>10c. Land, buildings, and equipment, net</t>
        </is>
      </c>
      <c r="D119" s="8" t="inlineStr">
        <is>
          <t>10cE</t>
        </is>
      </c>
      <c r="E119" s="8" t="inlineStr">
        <is>
          <t>part_x_balance_sheet.land_bldg_equip_net_eoy</t>
        </is>
      </c>
      <c r="F119" s="8" t="inlineStr">
        <is>
          <t>high</t>
        </is>
      </c>
      <c r="G119" s="9" t="n">
        <v>22915540</v>
      </c>
    </row>
    <row r="120">
      <c r="A120" s="8" t="inlineStr">
        <is>
          <t>Balance sheet (detail)</t>
        </is>
      </c>
      <c r="B120" s="8" t="inlineStr">
        <is>
          <t>F12</t>
        </is>
      </c>
      <c r="C120" s="8" t="inlineStr">
        <is>
          <t>10c. Land, buildings, and equipment, net</t>
        </is>
      </c>
      <c r="D120" s="8" t="inlineStr">
        <is>
          <t>10cE</t>
        </is>
      </c>
      <c r="E120" s="8" t="inlineStr">
        <is>
          <t>part_x_balance_sheet.land_bldg_equip_net_eoy</t>
        </is>
      </c>
      <c r="F120" s="8" t="inlineStr">
        <is>
          <t>high</t>
        </is>
      </c>
      <c r="G120" s="9" t="n">
        <v>22469759</v>
      </c>
    </row>
    <row r="121">
      <c r="A121" s="8" t="inlineStr">
        <is>
          <t>Balance sheet (detail)</t>
        </is>
      </c>
      <c r="B121" s="8" t="inlineStr">
        <is>
          <t>E13</t>
        </is>
      </c>
      <c r="C121" s="8" t="inlineStr">
        <is>
          <t>15. Other assets</t>
        </is>
      </c>
      <c r="D121" s="8" t="inlineStr">
        <is>
          <t>15E</t>
        </is>
      </c>
      <c r="E121" s="8" t="inlineStr">
        <is>
          <t>part_x_balance_sheet.other_assets_eoy</t>
        </is>
      </c>
      <c r="F121" s="8" t="inlineStr">
        <is>
          <t>high</t>
        </is>
      </c>
      <c r="G121" s="9" t="n">
        <v>426871</v>
      </c>
    </row>
    <row r="122">
      <c r="A122" s="8" t="inlineStr">
        <is>
          <t>Balance sheet (detail)</t>
        </is>
      </c>
      <c r="B122" s="8" t="inlineStr">
        <is>
          <t>F13</t>
        </is>
      </c>
      <c r="C122" s="8" t="inlineStr">
        <is>
          <t>15. Other assets</t>
        </is>
      </c>
      <c r="D122" s="8" t="inlineStr">
        <is>
          <t>15E</t>
        </is>
      </c>
      <c r="E122" s="8" t="inlineStr">
        <is>
          <t>part_x_balance_sheet.other_assets_eoy</t>
        </is>
      </c>
      <c r="F122" s="8" t="inlineStr">
        <is>
          <t>high</t>
        </is>
      </c>
      <c r="G122" s="9" t="n">
        <v>508521</v>
      </c>
    </row>
    <row r="123">
      <c r="A123" s="8" t="inlineStr">
        <is>
          <t>Balance sheet (detail)</t>
        </is>
      </c>
      <c r="B123" s="8" t="inlineStr">
        <is>
          <t>B17</t>
        </is>
      </c>
      <c r="C123" s="8" t="inlineStr">
        <is>
          <t>17. Accounts payable and accrued expenses</t>
        </is>
      </c>
      <c r="D123" s="8" t="inlineStr">
        <is>
          <t>17E</t>
        </is>
      </c>
      <c r="E123" s="8" t="inlineStr">
        <is>
          <t>part_x_balance_sheet.accounts_payable_eoy</t>
        </is>
      </c>
      <c r="F123" s="8" t="inlineStr">
        <is>
          <t>high</t>
        </is>
      </c>
      <c r="G123" s="9" t="n">
        <v>798098</v>
      </c>
    </row>
    <row r="124">
      <c r="A124" s="8" t="inlineStr">
        <is>
          <t>Balance sheet (detail)</t>
        </is>
      </c>
      <c r="B124" s="8" t="inlineStr">
        <is>
          <t>C17</t>
        </is>
      </c>
      <c r="C124" s="8" t="inlineStr">
        <is>
          <t>17. Accounts payable and accrued expenses</t>
        </is>
      </c>
      <c r="D124" s="8" t="inlineStr">
        <is>
          <t>17E</t>
        </is>
      </c>
      <c r="E124" s="8" t="inlineStr">
        <is>
          <t>part_x_balance_sheet.accounts_payable_eoy</t>
        </is>
      </c>
      <c r="F124" s="8" t="inlineStr">
        <is>
          <t>high</t>
        </is>
      </c>
      <c r="G124" s="9" t="n">
        <v>651222</v>
      </c>
    </row>
    <row r="125">
      <c r="A125" s="8" t="inlineStr">
        <is>
          <t>Balance sheet (detail)</t>
        </is>
      </c>
      <c r="B125" s="8" t="inlineStr">
        <is>
          <t>D17</t>
        </is>
      </c>
      <c r="C125" s="8" t="inlineStr">
        <is>
          <t>17. Accounts payable and accrued expenses</t>
        </is>
      </c>
      <c r="D125" s="8" t="inlineStr">
        <is>
          <t>17E</t>
        </is>
      </c>
      <c r="E125" s="8" t="inlineStr">
        <is>
          <t>part_x_balance_sheet.accounts_payable_eoy</t>
        </is>
      </c>
      <c r="F125" s="8" t="inlineStr">
        <is>
          <t>high</t>
        </is>
      </c>
      <c r="G125" s="9" t="n">
        <v>735153</v>
      </c>
    </row>
    <row r="126">
      <c r="A126" s="8" t="inlineStr">
        <is>
          <t>Balance sheet (detail)</t>
        </is>
      </c>
      <c r="B126" s="8" t="inlineStr">
        <is>
          <t>E17</t>
        </is>
      </c>
      <c r="C126" s="8" t="inlineStr">
        <is>
          <t>17. Accounts payable and accrued expenses</t>
        </is>
      </c>
      <c r="D126" s="8" t="inlineStr">
        <is>
          <t>17E</t>
        </is>
      </c>
      <c r="E126" s="8" t="inlineStr">
        <is>
          <t>part_x_balance_sheet.accounts_payable_eoy</t>
        </is>
      </c>
      <c r="F126" s="8" t="inlineStr">
        <is>
          <t>high</t>
        </is>
      </c>
      <c r="G126" s="9" t="n">
        <v>798381</v>
      </c>
    </row>
    <row r="127">
      <c r="A127" s="8" t="inlineStr">
        <is>
          <t>Balance sheet (detail)</t>
        </is>
      </c>
      <c r="B127" s="8" t="inlineStr">
        <is>
          <t>F17</t>
        </is>
      </c>
      <c r="C127" s="8" t="inlineStr">
        <is>
          <t>17. Accounts payable and accrued expenses</t>
        </is>
      </c>
      <c r="D127" s="8" t="inlineStr">
        <is>
          <t>17E</t>
        </is>
      </c>
      <c r="E127" s="8" t="inlineStr">
        <is>
          <t>part_x_balance_sheet.accounts_payable_eoy</t>
        </is>
      </c>
      <c r="F127" s="8" t="inlineStr">
        <is>
          <t>high</t>
        </is>
      </c>
      <c r="G127" s="9" t="n">
        <v>1073723</v>
      </c>
    </row>
    <row r="128">
      <c r="A128" s="8" t="inlineStr">
        <is>
          <t>Balance sheet (detail)</t>
        </is>
      </c>
      <c r="B128" s="8" t="inlineStr">
        <is>
          <t>B18</t>
        </is>
      </c>
      <c r="C128" s="8" t="inlineStr">
        <is>
          <t>25. Other liabilities</t>
        </is>
      </c>
      <c r="D128" s="8" t="inlineStr">
        <is>
          <t>25E</t>
        </is>
      </c>
      <c r="E128" s="8" t="inlineStr">
        <is>
          <t>part_x_balance_sheet.other_liabilities_eoy</t>
        </is>
      </c>
      <c r="F128" s="8" t="inlineStr">
        <is>
          <t>high</t>
        </is>
      </c>
      <c r="G128" s="9" t="n">
        <v>2217233</v>
      </c>
    </row>
    <row r="129">
      <c r="A129" s="8" t="inlineStr">
        <is>
          <t>Balance sheet (detail)</t>
        </is>
      </c>
      <c r="B129" s="8" t="inlineStr">
        <is>
          <t>C18</t>
        </is>
      </c>
      <c r="C129" s="8" t="inlineStr">
        <is>
          <t>25. Other liabilities</t>
        </is>
      </c>
      <c r="D129" s="8" t="inlineStr">
        <is>
          <t>25E</t>
        </is>
      </c>
      <c r="E129" s="8" t="inlineStr">
        <is>
          <t>part_x_balance_sheet.other_liabilities_eoy</t>
        </is>
      </c>
      <c r="F129" s="8" t="inlineStr">
        <is>
          <t>high</t>
        </is>
      </c>
      <c r="G129" s="9" t="n">
        <v>2149714</v>
      </c>
    </row>
    <row r="130">
      <c r="A130" s="8" t="inlineStr">
        <is>
          <t>Balance sheet (detail)</t>
        </is>
      </c>
      <c r="B130" s="8" t="inlineStr">
        <is>
          <t>D18</t>
        </is>
      </c>
      <c r="C130" s="8" t="inlineStr">
        <is>
          <t>25. Other liabilities</t>
        </is>
      </c>
      <c r="D130" s="8" t="inlineStr">
        <is>
          <t>25E</t>
        </is>
      </c>
      <c r="E130" s="8" t="inlineStr">
        <is>
          <t>part_x_balance_sheet.other_liabilities_eoy</t>
        </is>
      </c>
      <c r="F130" s="8" t="inlineStr">
        <is>
          <t>high</t>
        </is>
      </c>
      <c r="G130" s="9" t="n">
        <v>1627217</v>
      </c>
    </row>
    <row r="131">
      <c r="A131" s="8" t="inlineStr">
        <is>
          <t>Balance sheet (detail)</t>
        </is>
      </c>
      <c r="B131" s="8" t="inlineStr">
        <is>
          <t>E18</t>
        </is>
      </c>
      <c r="C131" s="8" t="inlineStr">
        <is>
          <t>25. Other liabilities</t>
        </is>
      </c>
      <c r="D131" s="8" t="inlineStr">
        <is>
          <t>25E</t>
        </is>
      </c>
      <c r="E131" s="8" t="inlineStr">
        <is>
          <t>part_x_balance_sheet.other_liabilities_eoy</t>
        </is>
      </c>
      <c r="F131" s="8" t="inlineStr">
        <is>
          <t>high</t>
        </is>
      </c>
      <c r="G131" s="9" t="n">
        <v>1016285</v>
      </c>
    </row>
    <row r="132">
      <c r="A132" s="8" t="inlineStr">
        <is>
          <t>Balance sheet (detail)</t>
        </is>
      </c>
      <c r="B132" s="8" t="inlineStr">
        <is>
          <t>F18</t>
        </is>
      </c>
      <c r="C132" s="8" t="inlineStr">
        <is>
          <t>25. Other liabilities</t>
        </is>
      </c>
      <c r="D132" s="8" t="inlineStr">
        <is>
          <t>25E</t>
        </is>
      </c>
      <c r="E132" s="8" t="inlineStr">
        <is>
          <t>part_x_balance_sheet.other_liabilities_eoy</t>
        </is>
      </c>
      <c r="F132" s="8" t="inlineStr">
        <is>
          <t>high</t>
        </is>
      </c>
      <c r="G132" s="9" t="n">
        <v>1575007</v>
      </c>
    </row>
    <row r="133">
      <c r="A133" s="8" t="inlineStr">
        <is>
          <t>Balance sheet (detail)</t>
        </is>
      </c>
      <c r="B133" s="8" t="inlineStr">
        <is>
          <t>B22</t>
        </is>
      </c>
      <c r="C133" s="8" t="inlineStr">
        <is>
          <t>29. Capital stock or trust principal</t>
        </is>
      </c>
      <c r="D133" s="8" t="inlineStr">
        <is>
          <t>29E</t>
        </is>
      </c>
      <c r="E133" s="8" t="inlineStr">
        <is>
          <t>part_x_balance_sheet.cap_stock_eoy</t>
        </is>
      </c>
      <c r="F133" s="8" t="inlineStr">
        <is>
          <t>high</t>
        </is>
      </c>
      <c r="G133" s="9" t="n">
        <v>12860939</v>
      </c>
    </row>
    <row r="134">
      <c r="A134" s="8" t="inlineStr">
        <is>
          <t>Balance sheet (detail)</t>
        </is>
      </c>
      <c r="B134" s="8" t="inlineStr">
        <is>
          <t>C22</t>
        </is>
      </c>
      <c r="C134" s="8" t="inlineStr">
        <is>
          <t>29. Capital stock or trust principal</t>
        </is>
      </c>
      <c r="D134" s="8" t="inlineStr">
        <is>
          <t>29E</t>
        </is>
      </c>
      <c r="E134" s="8" t="inlineStr">
        <is>
          <t>part_x_balance_sheet.cap_stock_eoy</t>
        </is>
      </c>
      <c r="F134" s="8" t="inlineStr">
        <is>
          <t>high</t>
        </is>
      </c>
      <c r="G134" s="9" t="n">
        <v>12912185</v>
      </c>
    </row>
    <row r="135">
      <c r="A135" s="8" t="inlineStr">
        <is>
          <t>Balance sheet (detail)</t>
        </is>
      </c>
      <c r="B135" s="8" t="inlineStr">
        <is>
          <t>D22</t>
        </is>
      </c>
      <c r="C135" s="8" t="inlineStr">
        <is>
          <t>29. Capital stock or trust principal</t>
        </is>
      </c>
      <c r="D135" s="8" t="inlineStr">
        <is>
          <t>29E</t>
        </is>
      </c>
      <c r="E135" s="8" t="inlineStr">
        <is>
          <t>part_x_balance_sheet.cap_stock_eoy</t>
        </is>
      </c>
      <c r="F135" s="8" t="inlineStr">
        <is>
          <t>high</t>
        </is>
      </c>
      <c r="G135" s="9" t="n">
        <v>13031473</v>
      </c>
    </row>
    <row r="136">
      <c r="A136" s="8" t="inlineStr">
        <is>
          <t>Balance sheet (detail)</t>
        </is>
      </c>
      <c r="B136" s="8" t="inlineStr">
        <is>
          <t>E22</t>
        </is>
      </c>
      <c r="C136" s="8" t="inlineStr">
        <is>
          <t>29. Capital stock or trust principal</t>
        </is>
      </c>
      <c r="D136" s="8" t="inlineStr">
        <is>
          <t>29E</t>
        </is>
      </c>
      <c r="E136" s="8" t="inlineStr">
        <is>
          <t>part_x_balance_sheet.cap_stock_eoy</t>
        </is>
      </c>
      <c r="F136" s="8" t="inlineStr">
        <is>
          <t>high</t>
        </is>
      </c>
      <c r="G136" s="9" t="n">
        <v>13043732</v>
      </c>
    </row>
    <row r="137">
      <c r="A137" s="8" t="inlineStr">
        <is>
          <t>Balance sheet (detail)</t>
        </is>
      </c>
      <c r="B137" s="8" t="inlineStr">
        <is>
          <t>F22</t>
        </is>
      </c>
      <c r="C137" s="8" t="inlineStr">
        <is>
          <t>29. Capital stock or trust principal</t>
        </is>
      </c>
      <c r="D137" s="8" t="inlineStr">
        <is>
          <t>29E</t>
        </is>
      </c>
      <c r="E137" s="8" t="inlineStr">
        <is>
          <t>part_x_balance_sheet.cap_stock_eoy</t>
        </is>
      </c>
      <c r="F137" s="8" t="inlineStr">
        <is>
          <t>high</t>
        </is>
      </c>
      <c r="G137" s="9" t="n">
        <v>13043732</v>
      </c>
    </row>
    <row r="138">
      <c r="A138" s="8" t="inlineStr">
        <is>
          <t>Balance sheet (detail)</t>
        </is>
      </c>
      <c r="B138" s="8" t="inlineStr">
        <is>
          <t>B23</t>
        </is>
      </c>
      <c r="C138" s="8" t="inlineStr">
        <is>
          <t>30. Paid-in or capital surplus</t>
        </is>
      </c>
      <c r="D138" s="8" t="inlineStr">
        <is>
          <t>30E</t>
        </is>
      </c>
      <c r="E138" s="8" t="inlineStr">
        <is>
          <t>part_x_balance_sheet.paid_in_capital_eoy</t>
        </is>
      </c>
      <c r="F138" s="8" t="inlineStr">
        <is>
          <t>high</t>
        </is>
      </c>
      <c r="G138" s="9" t="n">
        <v>15306952</v>
      </c>
    </row>
    <row r="139">
      <c r="A139" s="8" t="inlineStr">
        <is>
          <t>Balance sheet (detail)</t>
        </is>
      </c>
      <c r="B139" s="8" t="inlineStr">
        <is>
          <t>C23</t>
        </is>
      </c>
      <c r="C139" s="8" t="inlineStr">
        <is>
          <t>30. Paid-in or capital surplus</t>
        </is>
      </c>
      <c r="D139" s="8" t="inlineStr">
        <is>
          <t>30E</t>
        </is>
      </c>
      <c r="E139" s="8" t="inlineStr">
        <is>
          <t>part_x_balance_sheet.paid_in_capital_eoy</t>
        </is>
      </c>
      <c r="F139" s="8" t="inlineStr">
        <is>
          <t>high</t>
        </is>
      </c>
      <c r="G139" s="9" t="n">
        <v>16072083</v>
      </c>
    </row>
    <row r="140">
      <c r="A140" s="8" t="inlineStr">
        <is>
          <t>Balance sheet (detail)</t>
        </is>
      </c>
      <c r="B140" s="8" t="inlineStr">
        <is>
          <t>D23</t>
        </is>
      </c>
      <c r="C140" s="8" t="inlineStr">
        <is>
          <t>30. Paid-in or capital surplus</t>
        </is>
      </c>
      <c r="D140" s="8" t="inlineStr">
        <is>
          <t>30E</t>
        </is>
      </c>
      <c r="E140" s="8" t="inlineStr">
        <is>
          <t>part_x_balance_sheet.paid_in_capital_eoy</t>
        </is>
      </c>
      <c r="F140" s="8" t="inlineStr">
        <is>
          <t>high</t>
        </is>
      </c>
      <c r="G140" s="9" t="n">
        <v>16351684</v>
      </c>
    </row>
    <row r="141">
      <c r="A141" s="8" t="inlineStr">
        <is>
          <t>Balance sheet (detail)</t>
        </is>
      </c>
      <c r="B141" s="8" t="inlineStr">
        <is>
          <t>E23</t>
        </is>
      </c>
      <c r="C141" s="8" t="inlineStr">
        <is>
          <t>30. Paid-in or capital surplus</t>
        </is>
      </c>
      <c r="D141" s="8" t="inlineStr">
        <is>
          <t>30E</t>
        </is>
      </c>
      <c r="E141" s="8" t="inlineStr">
        <is>
          <t>part_x_balance_sheet.paid_in_capital_eoy</t>
        </is>
      </c>
      <c r="F141" s="8" t="inlineStr">
        <is>
          <t>high</t>
        </is>
      </c>
      <c r="G141" s="9" t="n">
        <v>16339425</v>
      </c>
    </row>
    <row r="142">
      <c r="A142" s="8" t="inlineStr">
        <is>
          <t>Balance sheet (detail)</t>
        </is>
      </c>
      <c r="B142" s="8" t="inlineStr">
        <is>
          <t>F23</t>
        </is>
      </c>
      <c r="C142" s="8" t="inlineStr">
        <is>
          <t>30. Paid-in or capital surplus</t>
        </is>
      </c>
      <c r="D142" s="8" t="inlineStr">
        <is>
          <t>30E</t>
        </is>
      </c>
      <c r="E142" s="8" t="inlineStr">
        <is>
          <t>part_x_balance_sheet.paid_in_capital_eoy</t>
        </is>
      </c>
      <c r="F142" s="8" t="inlineStr">
        <is>
          <t>high</t>
        </is>
      </c>
      <c r="G142" s="9" t="n">
        <v>16339425</v>
      </c>
    </row>
    <row r="143">
      <c r="A143" s="8" t="inlineStr">
        <is>
          <t>Balance sheet (detail)</t>
        </is>
      </c>
      <c r="B143" s="8" t="inlineStr">
        <is>
          <t>B24</t>
        </is>
      </c>
      <c r="C143" s="8" t="inlineStr">
        <is>
          <t>31. Retained earnings / accumulated funds</t>
        </is>
      </c>
      <c r="D143" s="8" t="inlineStr">
        <is>
          <t>31E</t>
        </is>
      </c>
      <c r="E143" s="8" t="inlineStr">
        <is>
          <t>part_x_balance_sheet.retained_earnings_eoy</t>
        </is>
      </c>
      <c r="F143" s="8" t="inlineStr">
        <is>
          <t>high</t>
        </is>
      </c>
      <c r="G143" s="9" t="n">
        <v>13503478</v>
      </c>
    </row>
    <row r="144">
      <c r="A144" s="8" t="inlineStr">
        <is>
          <t>Balance sheet (detail)</t>
        </is>
      </c>
      <c r="B144" s="8" t="inlineStr">
        <is>
          <t>C24</t>
        </is>
      </c>
      <c r="C144" s="8" t="inlineStr">
        <is>
          <t>31. Retained earnings / accumulated funds</t>
        </is>
      </c>
      <c r="D144" s="8" t="inlineStr">
        <is>
          <t>31E</t>
        </is>
      </c>
      <c r="E144" s="8" t="inlineStr">
        <is>
          <t>part_x_balance_sheet.retained_earnings_eoy</t>
        </is>
      </c>
      <c r="F144" s="8" t="inlineStr">
        <is>
          <t>high</t>
        </is>
      </c>
      <c r="G144" s="9" t="n">
        <v>14333182</v>
      </c>
    </row>
    <row r="145">
      <c r="A145" s="8" t="inlineStr">
        <is>
          <t>Balance sheet (detail)</t>
        </is>
      </c>
      <c r="B145" s="8" t="inlineStr">
        <is>
          <t>D24</t>
        </is>
      </c>
      <c r="C145" s="8" t="inlineStr">
        <is>
          <t>31. Retained earnings / accumulated funds</t>
        </is>
      </c>
      <c r="D145" s="8" t="inlineStr">
        <is>
          <t>31E</t>
        </is>
      </c>
      <c r="E145" s="8" t="inlineStr">
        <is>
          <t>part_x_balance_sheet.retained_earnings_eoy</t>
        </is>
      </c>
      <c r="F145" s="8" t="inlineStr">
        <is>
          <t>high</t>
        </is>
      </c>
      <c r="G145" s="9" t="n">
        <v>13480356</v>
      </c>
    </row>
    <row r="146">
      <c r="A146" s="8" t="inlineStr">
        <is>
          <t>Balance sheet (detail)</t>
        </is>
      </c>
      <c r="B146" s="8" t="inlineStr">
        <is>
          <t>E24</t>
        </is>
      </c>
      <c r="C146" s="8" t="inlineStr">
        <is>
          <t>31. Retained earnings / accumulated funds</t>
        </is>
      </c>
      <c r="D146" s="8" t="inlineStr">
        <is>
          <t>31E</t>
        </is>
      </c>
      <c r="E146" s="8" t="inlineStr">
        <is>
          <t>part_x_balance_sheet.retained_earnings_eoy</t>
        </is>
      </c>
      <c r="F146" s="8" t="inlineStr">
        <is>
          <t>high</t>
        </is>
      </c>
      <c r="G146" s="9" t="n">
        <v>15086899</v>
      </c>
    </row>
    <row r="147">
      <c r="A147" s="8" t="inlineStr">
        <is>
          <t>Balance sheet (detail)</t>
        </is>
      </c>
      <c r="B147" s="8" t="inlineStr">
        <is>
          <t>F24</t>
        </is>
      </c>
      <c r="C147" s="8" t="inlineStr">
        <is>
          <t>31. Retained earnings / accumulated funds</t>
        </is>
      </c>
      <c r="D147" s="8" t="inlineStr">
        <is>
          <t>31E</t>
        </is>
      </c>
      <c r="E147" s="8" t="inlineStr">
        <is>
          <t>part_x_balance_sheet.retained_earnings_eoy</t>
        </is>
      </c>
      <c r="F147" s="8" t="inlineStr">
        <is>
          <t>high</t>
        </is>
      </c>
      <c r="G147" s="9" t="n">
        <v>15598942</v>
      </c>
    </row>
    <row r="148">
      <c r="A148" s="8" t="inlineStr">
        <is>
          <t>Net-assets reconciliation</t>
        </is>
      </c>
      <c r="B148" s="8" t="inlineStr">
        <is>
          <t>B7</t>
        </is>
      </c>
      <c r="C148" s="8" t="inlineStr">
        <is>
          <t>4. Net assets, beginning of year</t>
        </is>
      </c>
      <c r="D148" s="8" t="inlineStr">
        <is>
          <t>Part XI line 4</t>
        </is>
      </c>
      <c r="E148" s="8" t="inlineStr">
        <is>
          <t>part_xi_reconciliation.net_assets_boy</t>
        </is>
      </c>
      <c r="F148" s="8" t="inlineStr">
        <is>
          <t>high</t>
        </is>
      </c>
      <c r="G148" s="9" t="n">
        <v>28732921</v>
      </c>
    </row>
    <row r="149">
      <c r="A149" s="8" t="inlineStr">
        <is>
          <t>Net-assets reconciliation</t>
        </is>
      </c>
      <c r="B149" s="8" t="inlineStr">
        <is>
          <t>C7</t>
        </is>
      </c>
      <c r="C149" s="8" t="inlineStr">
        <is>
          <t>4. Net assets, beginning of year</t>
        </is>
      </c>
      <c r="D149" s="8" t="inlineStr">
        <is>
          <t>Part XI line 4</t>
        </is>
      </c>
      <c r="E149" s="8" t="inlineStr">
        <is>
          <t>part_xi_reconciliation.net_assets_boy</t>
        </is>
      </c>
      <c r="F149" s="8" t="inlineStr">
        <is>
          <t>high</t>
        </is>
      </c>
      <c r="G149" s="9" t="n">
        <v>41671369</v>
      </c>
    </row>
    <row r="150">
      <c r="A150" s="8" t="inlineStr">
        <is>
          <t>Net-assets reconciliation</t>
        </is>
      </c>
      <c r="B150" s="8" t="inlineStr">
        <is>
          <t>D7</t>
        </is>
      </c>
      <c r="C150" s="8" t="inlineStr">
        <is>
          <t>4. Net assets, beginning of year</t>
        </is>
      </c>
      <c r="D150" s="8" t="inlineStr">
        <is>
          <t>Part XI line 4</t>
        </is>
      </c>
      <c r="E150" s="8" t="inlineStr">
        <is>
          <t>part_xi_reconciliation.net_assets_boy</t>
        </is>
      </c>
      <c r="F150" s="8" t="inlineStr">
        <is>
          <t>high</t>
        </is>
      </c>
      <c r="G150" s="9" t="n">
        <v>43317450</v>
      </c>
    </row>
    <row r="151">
      <c r="A151" s="8" t="inlineStr">
        <is>
          <t>Net-assets reconciliation</t>
        </is>
      </c>
      <c r="B151" s="8" t="inlineStr">
        <is>
          <t>E7</t>
        </is>
      </c>
      <c r="C151" s="8" t="inlineStr">
        <is>
          <t>4. Net assets, beginning of year</t>
        </is>
      </c>
      <c r="D151" s="8" t="inlineStr">
        <is>
          <t>Part XI line 4</t>
        </is>
      </c>
      <c r="E151" s="8" t="inlineStr">
        <is>
          <t>part_xi_reconciliation.net_assets_boy</t>
        </is>
      </c>
      <c r="F151" s="8" t="inlineStr">
        <is>
          <t>high</t>
        </is>
      </c>
      <c r="G151" s="9" t="n">
        <v>42863513</v>
      </c>
    </row>
    <row r="152">
      <c r="A152" s="8" t="inlineStr">
        <is>
          <t>Net-assets reconciliation</t>
        </is>
      </c>
      <c r="B152" s="8" t="inlineStr">
        <is>
          <t>F7</t>
        </is>
      </c>
      <c r="C152" s="8" t="inlineStr">
        <is>
          <t>4. Net assets, beginning of year</t>
        </is>
      </c>
      <c r="D152" s="8" t="inlineStr">
        <is>
          <t>Part XI line 4</t>
        </is>
      </c>
      <c r="E152" s="8" t="inlineStr">
        <is>
          <t>part_xi_reconciliation.net_assets_boy</t>
        </is>
      </c>
      <c r="F152" s="8" t="inlineStr">
        <is>
          <t>high</t>
        </is>
      </c>
      <c r="G152" s="9" t="n">
        <v>44470056</v>
      </c>
    </row>
    <row r="153">
      <c r="A153" s="8" t="inlineStr">
        <is>
          <t>Net-assets reconciliation</t>
        </is>
      </c>
      <c r="B153" s="8" t="inlineStr">
        <is>
          <t>B8</t>
        </is>
      </c>
      <c r="C153" s="8" t="inlineStr">
        <is>
          <t>3. Revenue less expenses</t>
        </is>
      </c>
      <c r="D153" s="8" t="inlineStr">
        <is>
          <t>Part XI line 3</t>
        </is>
      </c>
      <c r="E153" s="8" t="inlineStr">
        <is>
          <t>part_xi_reconciliation.reconciliation_revenue_expenses</t>
        </is>
      </c>
      <c r="F153" s="8" t="inlineStr">
        <is>
          <t>high</t>
        </is>
      </c>
      <c r="G153" s="9" t="n">
        <v>12931480</v>
      </c>
    </row>
    <row r="154">
      <c r="A154" s="8" t="inlineStr">
        <is>
          <t>Net-assets reconciliation</t>
        </is>
      </c>
      <c r="B154" s="8" t="inlineStr">
        <is>
          <t>C8</t>
        </is>
      </c>
      <c r="C154" s="8" t="inlineStr">
        <is>
          <t>3. Revenue less expenses</t>
        </is>
      </c>
      <c r="D154" s="8" t="inlineStr">
        <is>
          <t>Part XI line 3</t>
        </is>
      </c>
      <c r="E154" s="8" t="inlineStr">
        <is>
          <t>part_xi_reconciliation.reconciliation_revenue_expenses</t>
        </is>
      </c>
      <c r="F154" s="8" t="inlineStr">
        <is>
          <t>high</t>
        </is>
      </c>
      <c r="G154" s="9" t="n">
        <v>829704</v>
      </c>
    </row>
    <row r="155">
      <c r="A155" s="8" t="inlineStr">
        <is>
          <t>Net-assets reconciliation</t>
        </is>
      </c>
      <c r="B155" s="8" t="inlineStr">
        <is>
          <t>D8</t>
        </is>
      </c>
      <c r="C155" s="8" t="inlineStr">
        <is>
          <t>3. Revenue less expenses</t>
        </is>
      </c>
      <c r="D155" s="8" t="inlineStr">
        <is>
          <t>Part XI line 3</t>
        </is>
      </c>
      <c r="E155" s="8" t="inlineStr">
        <is>
          <t>part_xi_reconciliation.reconciliation_revenue_expenses</t>
        </is>
      </c>
      <c r="F155" s="8" t="inlineStr">
        <is>
          <t>high</t>
        </is>
      </c>
      <c r="G155" s="9" t="n">
        <v>-814042</v>
      </c>
    </row>
    <row r="156">
      <c r="A156" s="8" t="inlineStr">
        <is>
          <t>Net-assets reconciliation</t>
        </is>
      </c>
      <c r="B156" s="8" t="inlineStr">
        <is>
          <t>E8</t>
        </is>
      </c>
      <c r="C156" s="8" t="inlineStr">
        <is>
          <t>3. Revenue less expenses</t>
        </is>
      </c>
      <c r="D156" s="8" t="inlineStr">
        <is>
          <t>Part XI line 3</t>
        </is>
      </c>
      <c r="E156" s="8" t="inlineStr">
        <is>
          <t>part_xi_reconciliation.reconciliation_revenue_expenses</t>
        </is>
      </c>
      <c r="F156" s="8" t="inlineStr">
        <is>
          <t>high</t>
        </is>
      </c>
      <c r="G156" s="9" t="n">
        <v>1655160</v>
      </c>
    </row>
    <row r="157">
      <c r="A157" s="8" t="inlineStr">
        <is>
          <t>Net-assets reconciliation</t>
        </is>
      </c>
      <c r="B157" s="8" t="inlineStr">
        <is>
          <t>F8</t>
        </is>
      </c>
      <c r="C157" s="8" t="inlineStr">
        <is>
          <t>3. Revenue less expenses</t>
        </is>
      </c>
      <c r="D157" s="8" t="inlineStr">
        <is>
          <t>Part XI line 3</t>
        </is>
      </c>
      <c r="E157" s="8" t="inlineStr">
        <is>
          <t>part_xi_reconciliation.reconciliation_revenue_expenses</t>
        </is>
      </c>
      <c r="F157" s="8" t="inlineStr">
        <is>
          <t>high</t>
        </is>
      </c>
      <c r="G157" s="9" t="n">
        <v>1039828</v>
      </c>
    </row>
    <row r="158">
      <c r="A158" s="8" t="inlineStr">
        <is>
          <t>Net-assets reconciliation</t>
        </is>
      </c>
      <c r="B158" s="8" t="inlineStr">
        <is>
          <t>B10</t>
        </is>
      </c>
      <c r="C158" s="8" t="inlineStr">
        <is>
          <t>9. Other changes in net assets</t>
        </is>
      </c>
      <c r="D158" s="8" t="inlineStr">
        <is>
          <t>Part XI line 9</t>
        </is>
      </c>
      <c r="E158" s="8" t="inlineStr">
        <is>
          <t>part_xi_reconciliation.other_changes_net_assets</t>
        </is>
      </c>
      <c r="F158" s="8" t="inlineStr">
        <is>
          <t>high</t>
        </is>
      </c>
      <c r="G158" s="9" t="n">
        <v>6968</v>
      </c>
    </row>
    <row r="159">
      <c r="A159" s="8" t="inlineStr">
        <is>
          <t>Net-assets reconciliation</t>
        </is>
      </c>
      <c r="B159" s="8" t="inlineStr">
        <is>
          <t>C10</t>
        </is>
      </c>
      <c r="C159" s="8" t="inlineStr">
        <is>
          <t>9. Other changes in net assets</t>
        </is>
      </c>
      <c r="D159" s="8" t="inlineStr">
        <is>
          <t>Part XI line 9</t>
        </is>
      </c>
      <c r="E159" s="8" t="inlineStr">
        <is>
          <t>part_xi_reconciliation.other_changes_net_assets</t>
        </is>
      </c>
      <c r="F159" s="8" t="inlineStr">
        <is>
          <t>high</t>
        </is>
      </c>
      <c r="G159" s="9" t="n">
        <v>816377</v>
      </c>
    </row>
    <row r="160">
      <c r="A160" s="8" t="inlineStr">
        <is>
          <t>Net-assets reconciliation</t>
        </is>
      </c>
      <c r="B160" s="8" t="inlineStr">
        <is>
          <t>D10</t>
        </is>
      </c>
      <c r="C160" s="8" t="inlineStr">
        <is>
          <t>9. Other changes in net assets</t>
        </is>
      </c>
      <c r="D160" s="8" t="inlineStr">
        <is>
          <t>Part XI line 9</t>
        </is>
      </c>
      <c r="E160" s="8" t="inlineStr">
        <is>
          <t>part_xi_reconciliation.other_changes_net_assets</t>
        </is>
      </c>
      <c r="F160" s="8" t="inlineStr">
        <is>
          <t>high</t>
        </is>
      </c>
      <c r="G160" s="9" t="n">
        <v>360105</v>
      </c>
    </row>
    <row r="161">
      <c r="A161" s="8" t="inlineStr">
        <is>
          <t>Net-assets reconciliation</t>
        </is>
      </c>
      <c r="B161" s="8" t="inlineStr">
        <is>
          <t>E10</t>
        </is>
      </c>
      <c r="C161" s="8" t="inlineStr">
        <is>
          <t>9. Other changes in net assets</t>
        </is>
      </c>
      <c r="D161" s="8" t="inlineStr">
        <is>
          <t>Part XI line 9</t>
        </is>
      </c>
      <c r="E161" s="8" t="inlineStr">
        <is>
          <t>part_xi_reconciliation.other_changes_net_assets</t>
        </is>
      </c>
      <c r="F161" s="8" t="inlineStr">
        <is>
          <t>high</t>
        </is>
      </c>
      <c r="G161" s="9" t="n">
        <v>-48617</v>
      </c>
    </row>
    <row r="162">
      <c r="A162" s="8" t="inlineStr">
        <is>
          <t>Net-assets reconciliation</t>
        </is>
      </c>
      <c r="B162" s="8" t="inlineStr">
        <is>
          <t>F10</t>
        </is>
      </c>
      <c r="C162" s="8" t="inlineStr">
        <is>
          <t>9. Other changes in net assets</t>
        </is>
      </c>
      <c r="D162" s="8" t="inlineStr">
        <is>
          <t>Part XI line 9</t>
        </is>
      </c>
      <c r="E162" s="8" t="inlineStr">
        <is>
          <t>part_xi_reconciliation.other_changes_net_assets</t>
        </is>
      </c>
      <c r="F162" s="8" t="inlineStr">
        <is>
          <t>high</t>
        </is>
      </c>
      <c r="G162" s="9" t="n">
        <v>-527785</v>
      </c>
    </row>
    <row r="164">
      <c r="A164" s="45" t="inlineStr">
        <is>
          <t>C. Tie-out checks (filed vs computed; any nonzero variance is flagged red)</t>
        </is>
      </c>
      <c r="B164" s="7" t="n"/>
      <c r="C164" s="7" t="n"/>
      <c r="D164" s="7" t="n"/>
      <c r="E164" s="7" t="n"/>
      <c r="F164" s="7" t="n"/>
      <c r="G164" s="7" t="n"/>
      <c r="H164" s="7" t="n"/>
      <c r="I164" s="7" t="n"/>
      <c r="J164" s="7" t="n"/>
      <c r="K164" s="7" t="n"/>
    </row>
    <row r="165">
      <c r="A165" s="5" t="inlineStr">
        <is>
          <t>Tab</t>
        </is>
      </c>
      <c r="B165" s="5" t="inlineStr">
        <is>
          <t>Check</t>
        </is>
      </c>
      <c r="C165" s="5" t="inlineStr">
        <is>
          <t>Fiscal year</t>
        </is>
      </c>
      <c r="D165" s="5" t="inlineStr">
        <is>
          <t>Filed</t>
        </is>
      </c>
      <c r="E165" s="5" t="inlineStr">
        <is>
          <t>Computed</t>
        </is>
      </c>
      <c r="F165" s="5" t="inlineStr">
        <is>
          <t>Variance (computed - filed)</t>
        </is>
      </c>
    </row>
    <row r="166">
      <c r="A166" s="48" t="inlineStr">
        <is>
          <t>Revenue (detail)</t>
        </is>
      </c>
      <c r="B166" s="48" t="inlineStr">
        <is>
          <t>12. Total revenue</t>
        </is>
      </c>
      <c r="C166" s="48" t="inlineStr">
        <is>
          <t>FY2020</t>
        </is>
      </c>
      <c r="D166" s="9" t="n">
        <v>21208146</v>
      </c>
      <c r="E166" s="9">
        <f>'Revenue (detail)'!B13</f>
        <v/>
      </c>
      <c r="F166" s="9">
        <f>E166-D166</f>
        <v/>
      </c>
    </row>
    <row r="167">
      <c r="A167" s="48" t="inlineStr">
        <is>
          <t>Revenue (detail)</t>
        </is>
      </c>
      <c r="B167" s="48" t="inlineStr">
        <is>
          <t>12. Total revenue</t>
        </is>
      </c>
      <c r="C167" s="48" t="inlineStr">
        <is>
          <t>FY2021</t>
        </is>
      </c>
      <c r="D167" s="9" t="n">
        <v>9299624</v>
      </c>
      <c r="E167" s="9">
        <f>'Revenue (detail)'!C13</f>
        <v/>
      </c>
      <c r="F167" s="9">
        <f>E167-D167</f>
        <v/>
      </c>
    </row>
    <row r="168">
      <c r="A168" s="48" t="inlineStr">
        <is>
          <t>Revenue (detail)</t>
        </is>
      </c>
      <c r="B168" s="48" t="inlineStr">
        <is>
          <t>12. Total revenue</t>
        </is>
      </c>
      <c r="C168" s="48" t="inlineStr">
        <is>
          <t>FY2022</t>
        </is>
      </c>
      <c r="D168" s="9" t="n">
        <v>9179714</v>
      </c>
      <c r="E168" s="9">
        <f>'Revenue (detail)'!D13</f>
        <v/>
      </c>
      <c r="F168" s="9">
        <f>E168-D168</f>
        <v/>
      </c>
    </row>
    <row r="169">
      <c r="A169" s="48" t="inlineStr">
        <is>
          <t>Revenue (detail)</t>
        </is>
      </c>
      <c r="B169" s="48" t="inlineStr">
        <is>
          <t>12. Total revenue</t>
        </is>
      </c>
      <c r="C169" s="48" t="inlineStr">
        <is>
          <t>FY2023</t>
        </is>
      </c>
      <c r="D169" s="9" t="n">
        <v>11703567</v>
      </c>
      <c r="E169" s="9">
        <f>'Revenue (detail)'!E13</f>
        <v/>
      </c>
      <c r="F169" s="9">
        <f>E169-D169</f>
        <v/>
      </c>
    </row>
    <row r="170">
      <c r="A170" s="48" t="inlineStr">
        <is>
          <t>Revenue (detail)</t>
        </is>
      </c>
      <c r="B170" s="48" t="inlineStr">
        <is>
          <t>12. Total revenue</t>
        </is>
      </c>
      <c r="C170" s="48" t="inlineStr">
        <is>
          <t>FY2024</t>
        </is>
      </c>
      <c r="D170" s="9" t="n">
        <v>12086327</v>
      </c>
      <c r="E170" s="9">
        <f>'Revenue (detail)'!F13</f>
        <v/>
      </c>
      <c r="F170" s="9">
        <f>E170-D170</f>
        <v/>
      </c>
    </row>
    <row r="171">
      <c r="A171" s="48" t="inlineStr">
        <is>
          <t>Revenue (detail)</t>
        </is>
      </c>
      <c r="B171" s="48" t="inlineStr">
        <is>
          <t>2g program service revenue = sum of lines 2a-2f (FY2024)</t>
        </is>
      </c>
      <c r="C171" s="48" t="inlineStr">
        <is>
          <t>FY2024</t>
        </is>
      </c>
      <c r="D171" s="9" t="n">
        <v>11206435</v>
      </c>
      <c r="E171" s="9">
        <f>SUM('Revenue (detail)'!C17:C19)</f>
        <v/>
      </c>
      <c r="F171" s="9">
        <f>E171-D171</f>
        <v/>
      </c>
    </row>
    <row r="172">
      <c r="A172" s="48" t="inlineStr">
        <is>
          <t>Operating expenses (detail)</t>
        </is>
      </c>
      <c r="B172" s="48" t="inlineStr">
        <is>
          <t>25. Total functional expenses</t>
        </is>
      </c>
      <c r="C172" s="48" t="inlineStr">
        <is>
          <t>FY2020</t>
        </is>
      </c>
      <c r="D172" s="9" t="n">
        <v>8276666</v>
      </c>
      <c r="E172" s="9">
        <f>'Operating expenses (detail)'!B33</f>
        <v/>
      </c>
      <c r="F172" s="9">
        <f>E172-D172</f>
        <v/>
      </c>
    </row>
    <row r="173">
      <c r="A173" s="48" t="inlineStr">
        <is>
          <t>Operating expenses (detail)</t>
        </is>
      </c>
      <c r="B173" s="48" t="inlineStr">
        <is>
          <t>25. Total functional expenses</t>
        </is>
      </c>
      <c r="C173" s="48" t="inlineStr">
        <is>
          <t>FY2021</t>
        </is>
      </c>
      <c r="D173" s="9" t="n">
        <v>8469920</v>
      </c>
      <c r="E173" s="9">
        <f>'Operating expenses (detail)'!C33</f>
        <v/>
      </c>
      <c r="F173" s="9">
        <f>E173-D173</f>
        <v/>
      </c>
    </row>
    <row r="174">
      <c r="A174" s="48" t="inlineStr">
        <is>
          <t>Operating expenses (detail)</t>
        </is>
      </c>
      <c r="B174" s="48" t="inlineStr">
        <is>
          <t>25. Total functional expenses</t>
        </is>
      </c>
      <c r="C174" s="48" t="inlineStr">
        <is>
          <t>FY2022</t>
        </is>
      </c>
      <c r="D174" s="9" t="n">
        <v>9993756</v>
      </c>
      <c r="E174" s="9">
        <f>'Operating expenses (detail)'!D33</f>
        <v/>
      </c>
      <c r="F174" s="9">
        <f>E174-D174</f>
        <v/>
      </c>
    </row>
    <row r="175">
      <c r="A175" s="48" t="inlineStr">
        <is>
          <t>Operating expenses (detail)</t>
        </is>
      </c>
      <c r="B175" s="48" t="inlineStr">
        <is>
          <t>25. Total functional expenses</t>
        </is>
      </c>
      <c r="C175" s="48" t="inlineStr">
        <is>
          <t>FY2023</t>
        </is>
      </c>
      <c r="D175" s="9" t="n">
        <v>10048407</v>
      </c>
      <c r="E175" s="9">
        <f>'Operating expenses (detail)'!E33</f>
        <v/>
      </c>
      <c r="F175" s="9">
        <f>E175-D175</f>
        <v/>
      </c>
    </row>
    <row r="176">
      <c r="A176" s="48" t="inlineStr">
        <is>
          <t>Operating expenses (detail)</t>
        </is>
      </c>
      <c r="B176" s="48" t="inlineStr">
        <is>
          <t>25. Total functional expenses</t>
        </is>
      </c>
      <c r="C176" s="48" t="inlineStr">
        <is>
          <t>FY2024</t>
        </is>
      </c>
      <c r="D176" s="9" t="n">
        <v>11046499</v>
      </c>
      <c r="E176" s="9">
        <f>'Operating expenses (detail)'!F33</f>
        <v/>
      </c>
      <c r="F176" s="9">
        <f>E176-D176</f>
        <v/>
      </c>
    </row>
    <row r="177">
      <c r="A177" s="48" t="inlineStr">
        <is>
          <t>Balance sheet (detail)</t>
        </is>
      </c>
      <c r="B177" s="48" t="inlineStr">
        <is>
          <t>16. Total assets</t>
        </is>
      </c>
      <c r="C177" s="48" t="inlineStr">
        <is>
          <t>FY2020</t>
        </is>
      </c>
      <c r="D177" s="9" t="n">
        <v>44686700</v>
      </c>
      <c r="E177" s="9">
        <f>'Balance sheet (detail)'!B14</f>
        <v/>
      </c>
      <c r="F177" s="9">
        <f>E177-D177</f>
        <v/>
      </c>
    </row>
    <row r="178">
      <c r="A178" s="48" t="inlineStr">
        <is>
          <t>Balance sheet (detail)</t>
        </is>
      </c>
      <c r="B178" s="48" t="inlineStr">
        <is>
          <t>16. Total assets</t>
        </is>
      </c>
      <c r="C178" s="48" t="inlineStr">
        <is>
          <t>FY2021</t>
        </is>
      </c>
      <c r="D178" s="9" t="n">
        <v>46118386</v>
      </c>
      <c r="E178" s="9">
        <f>'Balance sheet (detail)'!C14</f>
        <v/>
      </c>
      <c r="F178" s="9">
        <f>E178-D178</f>
        <v/>
      </c>
    </row>
    <row r="179">
      <c r="A179" s="48" t="inlineStr">
        <is>
          <t>Balance sheet (detail)</t>
        </is>
      </c>
      <c r="B179" s="48" t="inlineStr">
        <is>
          <t>16. Total assets</t>
        </is>
      </c>
      <c r="C179" s="48" t="inlineStr">
        <is>
          <t>FY2022</t>
        </is>
      </c>
      <c r="D179" s="9" t="n">
        <v>45225883</v>
      </c>
      <c r="E179" s="9">
        <f>'Balance sheet (detail)'!D14</f>
        <v/>
      </c>
      <c r="F179" s="9">
        <f>E179-D179</f>
        <v/>
      </c>
    </row>
    <row r="180">
      <c r="A180" s="48" t="inlineStr">
        <is>
          <t>Balance sheet (detail)</t>
        </is>
      </c>
      <c r="B180" s="48" t="inlineStr">
        <is>
          <t>16. Total assets</t>
        </is>
      </c>
      <c r="C180" s="48" t="inlineStr">
        <is>
          <t>FY2023</t>
        </is>
      </c>
      <c r="D180" s="9" t="n">
        <v>46284722</v>
      </c>
      <c r="E180" s="9">
        <f>'Balance sheet (detail)'!E14</f>
        <v/>
      </c>
      <c r="F180" s="9">
        <f>E180-D180</f>
        <v/>
      </c>
    </row>
    <row r="181">
      <c r="A181" s="48" t="inlineStr">
        <is>
          <t>Balance sheet (detail)</t>
        </is>
      </c>
      <c r="B181" s="48" t="inlineStr">
        <is>
          <t>16. Total assets</t>
        </is>
      </c>
      <c r="C181" s="48" t="inlineStr">
        <is>
          <t>FY2024</t>
        </is>
      </c>
      <c r="D181" s="9" t="n">
        <v>47630829</v>
      </c>
      <c r="E181" s="9">
        <f>'Balance sheet (detail)'!F14</f>
        <v/>
      </c>
      <c r="F181" s="9">
        <f>E181-D181</f>
        <v/>
      </c>
    </row>
    <row r="182">
      <c r="A182" s="48" t="inlineStr">
        <is>
          <t>Balance sheet (detail)</t>
        </is>
      </c>
      <c r="B182" s="48" t="inlineStr">
        <is>
          <t>26. Total liabilities</t>
        </is>
      </c>
      <c r="C182" s="48" t="inlineStr">
        <is>
          <t>FY2020</t>
        </is>
      </c>
      <c r="D182" s="9" t="n">
        <v>3015331</v>
      </c>
      <c r="E182" s="9">
        <f>'Balance sheet (detail)'!B19</f>
        <v/>
      </c>
      <c r="F182" s="9">
        <f>E182-D182</f>
        <v/>
      </c>
    </row>
    <row r="183">
      <c r="A183" s="48" t="inlineStr">
        <is>
          <t>Balance sheet (detail)</t>
        </is>
      </c>
      <c r="B183" s="48" t="inlineStr">
        <is>
          <t>26. Total liabilities</t>
        </is>
      </c>
      <c r="C183" s="48" t="inlineStr">
        <is>
          <t>FY2021</t>
        </is>
      </c>
      <c r="D183" s="9" t="n">
        <v>2800936</v>
      </c>
      <c r="E183" s="9">
        <f>'Balance sheet (detail)'!C19</f>
        <v/>
      </c>
      <c r="F183" s="9">
        <f>E183-D183</f>
        <v/>
      </c>
    </row>
    <row r="184">
      <c r="A184" s="48" t="inlineStr">
        <is>
          <t>Balance sheet (detail)</t>
        </is>
      </c>
      <c r="B184" s="48" t="inlineStr">
        <is>
          <t>26. Total liabilities</t>
        </is>
      </c>
      <c r="C184" s="48" t="inlineStr">
        <is>
          <t>FY2022</t>
        </is>
      </c>
      <c r="D184" s="9" t="n">
        <v>2362370</v>
      </c>
      <c r="E184" s="9">
        <f>'Balance sheet (detail)'!D19</f>
        <v/>
      </c>
      <c r="F184" s="9">
        <f>E184-D184</f>
        <v/>
      </c>
    </row>
    <row r="185">
      <c r="A185" s="48" t="inlineStr">
        <is>
          <t>Balance sheet (detail)</t>
        </is>
      </c>
      <c r="B185" s="48" t="inlineStr">
        <is>
          <t>26. Total liabilities</t>
        </is>
      </c>
      <c r="C185" s="48" t="inlineStr">
        <is>
          <t>FY2023</t>
        </is>
      </c>
      <c r="D185" s="9" t="n">
        <v>1814666</v>
      </c>
      <c r="E185" s="9">
        <f>'Balance sheet (detail)'!E19</f>
        <v/>
      </c>
      <c r="F185" s="9">
        <f>E185-D185</f>
        <v/>
      </c>
    </row>
    <row r="186">
      <c r="A186" s="48" t="inlineStr">
        <is>
          <t>Balance sheet (detail)</t>
        </is>
      </c>
      <c r="B186" s="48" t="inlineStr">
        <is>
          <t>26. Total liabilities</t>
        </is>
      </c>
      <c r="C186" s="48" t="inlineStr">
        <is>
          <t>FY2024</t>
        </is>
      </c>
      <c r="D186" s="9" t="n">
        <v>2648730</v>
      </c>
      <c r="E186" s="9">
        <f>'Balance sheet (detail)'!F19</f>
        <v/>
      </c>
      <c r="F186" s="9">
        <f>E186-D186</f>
        <v/>
      </c>
    </row>
    <row r="187">
      <c r="A187" s="48" t="inlineStr">
        <is>
          <t>Balance sheet (detail)</t>
        </is>
      </c>
      <c r="B187" s="48" t="inlineStr">
        <is>
          <t>32. Total net assets / fund balances</t>
        </is>
      </c>
      <c r="C187" s="48" t="inlineStr">
        <is>
          <t>FY2020</t>
        </is>
      </c>
      <c r="D187" s="9" t="n">
        <v>41671369</v>
      </c>
      <c r="E187" s="9">
        <f>'Balance sheet (detail)'!B25</f>
        <v/>
      </c>
      <c r="F187" s="9">
        <f>E187-D187</f>
        <v/>
      </c>
    </row>
    <row r="188">
      <c r="A188" s="48" t="inlineStr">
        <is>
          <t>Balance sheet (detail)</t>
        </is>
      </c>
      <c r="B188" s="48" t="inlineStr">
        <is>
          <t>32. Total net assets / fund balances</t>
        </is>
      </c>
      <c r="C188" s="48" t="inlineStr">
        <is>
          <t>FY2021</t>
        </is>
      </c>
      <c r="D188" s="9" t="n">
        <v>43317450</v>
      </c>
      <c r="E188" s="9">
        <f>'Balance sheet (detail)'!C25</f>
        <v/>
      </c>
      <c r="F188" s="9">
        <f>E188-D188</f>
        <v/>
      </c>
    </row>
    <row r="189">
      <c r="A189" s="48" t="inlineStr">
        <is>
          <t>Balance sheet (detail)</t>
        </is>
      </c>
      <c r="B189" s="48" t="inlineStr">
        <is>
          <t>32. Total net assets / fund balances</t>
        </is>
      </c>
      <c r="C189" s="48" t="inlineStr">
        <is>
          <t>FY2022</t>
        </is>
      </c>
      <c r="D189" s="9" t="n">
        <v>42863513</v>
      </c>
      <c r="E189" s="9">
        <f>'Balance sheet (detail)'!D25</f>
        <v/>
      </c>
      <c r="F189" s="9">
        <f>E189-D189</f>
        <v/>
      </c>
    </row>
    <row r="190">
      <c r="A190" s="48" t="inlineStr">
        <is>
          <t>Balance sheet (detail)</t>
        </is>
      </c>
      <c r="B190" s="48" t="inlineStr">
        <is>
          <t>32. Total net assets / fund balances</t>
        </is>
      </c>
      <c r="C190" s="48" t="inlineStr">
        <is>
          <t>FY2023</t>
        </is>
      </c>
      <c r="D190" s="9" t="n">
        <v>44470056</v>
      </c>
      <c r="E190" s="9">
        <f>'Balance sheet (detail)'!E25</f>
        <v/>
      </c>
      <c r="F190" s="9">
        <f>E190-D190</f>
        <v/>
      </c>
    </row>
    <row r="191">
      <c r="A191" s="48" t="inlineStr">
        <is>
          <t>Balance sheet (detail)</t>
        </is>
      </c>
      <c r="B191" s="48" t="inlineStr">
        <is>
          <t>32. Total net assets / fund balances</t>
        </is>
      </c>
      <c r="C191" s="48" t="inlineStr">
        <is>
          <t>FY2024</t>
        </is>
      </c>
      <c r="D191" s="9" t="n">
        <v>44982099</v>
      </c>
      <c r="E191" s="9">
        <f>'Balance sheet (detail)'!F25</f>
        <v/>
      </c>
      <c r="F191" s="9">
        <f>E191-D191</f>
        <v/>
      </c>
    </row>
    <row r="192">
      <c r="A192" s="48" t="inlineStr">
        <is>
          <t>Balance sheet (detail)</t>
        </is>
      </c>
      <c r="B192" s="48" t="inlineStr">
        <is>
          <t>Balance sheet identity: line 16 = line 26 + line 32 (EOY)</t>
        </is>
      </c>
      <c r="C192" s="48" t="inlineStr">
        <is>
          <t>FY2020</t>
        </is>
      </c>
      <c r="D192" s="9">
        <f>'Balance sheet (detail)'!B14</f>
        <v/>
      </c>
      <c r="E192" s="9">
        <f>SUM('Balance sheet (detail)'!B19,'Balance sheet (detail)'!B25)</f>
        <v/>
      </c>
      <c r="F192" s="9">
        <f>E192-D192</f>
        <v/>
      </c>
    </row>
    <row r="193">
      <c r="A193" s="48" t="inlineStr">
        <is>
          <t>Balance sheet (detail)</t>
        </is>
      </c>
      <c r="B193" s="48" t="inlineStr">
        <is>
          <t>Balance sheet identity: line 16 = line 26 + line 32 (EOY)</t>
        </is>
      </c>
      <c r="C193" s="48" t="inlineStr">
        <is>
          <t>FY2021</t>
        </is>
      </c>
      <c r="D193" s="9">
        <f>'Balance sheet (detail)'!C14</f>
        <v/>
      </c>
      <c r="E193" s="9">
        <f>SUM('Balance sheet (detail)'!C19,'Balance sheet (detail)'!C25)</f>
        <v/>
      </c>
      <c r="F193" s="9">
        <f>E193-D193</f>
        <v/>
      </c>
    </row>
    <row r="194">
      <c r="A194" s="48" t="inlineStr">
        <is>
          <t>Balance sheet (detail)</t>
        </is>
      </c>
      <c r="B194" s="48" t="inlineStr">
        <is>
          <t>Balance sheet identity: line 16 = line 26 + line 32 (EOY)</t>
        </is>
      </c>
      <c r="C194" s="48" t="inlineStr">
        <is>
          <t>FY2022</t>
        </is>
      </c>
      <c r="D194" s="9">
        <f>'Balance sheet (detail)'!D14</f>
        <v/>
      </c>
      <c r="E194" s="9">
        <f>SUM('Balance sheet (detail)'!D19,'Balance sheet (detail)'!D25)</f>
        <v/>
      </c>
      <c r="F194" s="9">
        <f>E194-D194</f>
        <v/>
      </c>
    </row>
    <row r="195">
      <c r="A195" s="48" t="inlineStr">
        <is>
          <t>Balance sheet (detail)</t>
        </is>
      </c>
      <c r="B195" s="48" t="inlineStr">
        <is>
          <t>Balance sheet identity: line 16 = line 26 + line 32 (EOY)</t>
        </is>
      </c>
      <c r="C195" s="48" t="inlineStr">
        <is>
          <t>FY2023</t>
        </is>
      </c>
      <c r="D195" s="9">
        <f>'Balance sheet (detail)'!E14</f>
        <v/>
      </c>
      <c r="E195" s="9">
        <f>SUM('Balance sheet (detail)'!E19,'Balance sheet (detail)'!E25)</f>
        <v/>
      </c>
      <c r="F195" s="9">
        <f>E195-D195</f>
        <v/>
      </c>
    </row>
    <row r="196">
      <c r="A196" s="48" t="inlineStr">
        <is>
          <t>Balance sheet (detail)</t>
        </is>
      </c>
      <c r="B196" s="48" t="inlineStr">
        <is>
          <t>Balance sheet identity: line 16 = line 26 + line 32 (EOY)</t>
        </is>
      </c>
      <c r="C196" s="48" t="inlineStr">
        <is>
          <t>FY2024</t>
        </is>
      </c>
      <c r="D196" s="9">
        <f>'Balance sheet (detail)'!F14</f>
        <v/>
      </c>
      <c r="E196" s="9">
        <f>SUM('Balance sheet (detail)'!F19,'Balance sheet (detail)'!F25)</f>
        <v/>
      </c>
      <c r="F196" s="9">
        <f>E196-D196</f>
        <v/>
      </c>
    </row>
    <row r="197">
      <c r="A197" s="48" t="inlineStr">
        <is>
          <t>Net-assets reconciliation</t>
        </is>
      </c>
      <c r="B197" s="48" t="inlineStr">
        <is>
          <t>10. Net assets, end of year</t>
        </is>
      </c>
      <c r="C197" s="48" t="inlineStr">
        <is>
          <t>FY2020</t>
        </is>
      </c>
      <c r="D197" s="9" t="n">
        <v>41671369</v>
      </c>
      <c r="E197" s="9">
        <f>'Net-assets reconciliation'!B11</f>
        <v/>
      </c>
      <c r="F197" s="9">
        <f>E197-D197</f>
        <v/>
      </c>
    </row>
    <row r="198">
      <c r="A198" s="48" t="inlineStr">
        <is>
          <t>Net-assets reconciliation</t>
        </is>
      </c>
      <c r="B198" s="48" t="inlineStr">
        <is>
          <t>10. Net assets, end of year</t>
        </is>
      </c>
      <c r="C198" s="48" t="inlineStr">
        <is>
          <t>FY2021</t>
        </is>
      </c>
      <c r="D198" s="9" t="n">
        <v>43317450</v>
      </c>
      <c r="E198" s="9">
        <f>'Net-assets reconciliation'!C11</f>
        <v/>
      </c>
      <c r="F198" s="9">
        <f>E198-D198</f>
        <v/>
      </c>
    </row>
    <row r="199">
      <c r="A199" s="48" t="inlineStr">
        <is>
          <t>Net-assets reconciliation</t>
        </is>
      </c>
      <c r="B199" s="48" t="inlineStr">
        <is>
          <t>10. Net assets, end of year</t>
        </is>
      </c>
      <c r="C199" s="48" t="inlineStr">
        <is>
          <t>FY2022</t>
        </is>
      </c>
      <c r="D199" s="9" t="n">
        <v>42863513</v>
      </c>
      <c r="E199" s="9">
        <f>'Net-assets reconciliation'!D11</f>
        <v/>
      </c>
      <c r="F199" s="9">
        <f>E199-D199</f>
        <v/>
      </c>
    </row>
    <row r="200">
      <c r="A200" s="48" t="inlineStr">
        <is>
          <t>Net-assets reconciliation</t>
        </is>
      </c>
      <c r="B200" s="48" t="inlineStr">
        <is>
          <t>10. Net assets, end of year</t>
        </is>
      </c>
      <c r="C200" s="48" t="inlineStr">
        <is>
          <t>FY2023</t>
        </is>
      </c>
      <c r="D200" s="9" t="n">
        <v>44470056</v>
      </c>
      <c r="E200" s="9">
        <f>'Net-assets reconciliation'!E11</f>
        <v/>
      </c>
      <c r="F200" s="9">
        <f>E200-D200</f>
        <v/>
      </c>
    </row>
    <row r="201">
      <c r="A201" s="48" t="inlineStr">
        <is>
          <t>Net-assets reconciliation</t>
        </is>
      </c>
      <c r="B201" s="48" t="inlineStr">
        <is>
          <t>10. Net assets, end of year</t>
        </is>
      </c>
      <c r="C201" s="48" t="inlineStr">
        <is>
          <t>FY2024</t>
        </is>
      </c>
      <c r="D201" s="9" t="n">
        <v>44982099</v>
      </c>
      <c r="E201" s="9">
        <f>'Net-assets reconciliation'!F11</f>
        <v/>
      </c>
      <c r="F201" s="9">
        <f>E201-D201</f>
        <v/>
      </c>
    </row>
    <row r="203">
      <c r="A203" s="45" t="inlineStr">
        <is>
          <t>D. Preparer / auditor trail (one row per fiscal year, as filed)</t>
        </is>
      </c>
      <c r="B203" s="7" t="n"/>
      <c r="C203" s="7" t="n"/>
      <c r="D203" s="7" t="n"/>
      <c r="E203" s="7" t="n"/>
      <c r="F203" s="7" t="n"/>
      <c r="G203" s="7" t="n"/>
      <c r="H203" s="7" t="n"/>
      <c r="I203" s="7" t="n"/>
      <c r="J203" s="7" t="n"/>
      <c r="K203" s="7" t="n"/>
    </row>
    <row r="204">
      <c r="A204" s="5" t="inlineStr">
        <is>
          <t>Fiscal year</t>
        </is>
      </c>
      <c r="B204" s="5" t="inlineStr">
        <is>
          <t>Paid preparer</t>
        </is>
      </c>
      <c r="C204" s="5" t="inlineStr">
        <is>
          <t>Preparer firm</t>
        </is>
      </c>
      <c r="D204" s="5" t="inlineStr">
        <is>
          <t>Independent auditor</t>
        </is>
      </c>
      <c r="E204" s="5" t="inlineStr">
        <is>
          <t>Citation</t>
        </is>
      </c>
    </row>
    <row r="205" ht="42" customHeight="1">
      <c r="A205" s="46" t="inlineStr">
        <is>
          <t>FY2020</t>
        </is>
      </c>
      <c r="B205" s="8" t="inlineStr">
        <is>
          <t>NICOLETTE R CROSS CPA</t>
        </is>
      </c>
      <c r="C205" s="8" t="inlineStr">
        <is>
          <t>O'DELL CROSS A PROFESSIONAL CORPORATION</t>
        </is>
      </c>
      <c r="D205" s="49" t="inlineStr">
        <is>
          <t>not reported</t>
        </is>
      </c>
      <c r="E205" s="24" t="inlineStr">
        <is>
          <t>Form 990 Return Header, Paid Preparer block (return_header.preparer_person_name / preparer_firm_name); auditor: Part XII line 2 reports audited financial statements but does not name the firm.</t>
        </is>
      </c>
    </row>
    <row r="206" ht="42" customHeight="1">
      <c r="A206" s="46" t="inlineStr">
        <is>
          <t>FY2021</t>
        </is>
      </c>
      <c r="B206" s="8" t="inlineStr">
        <is>
          <t>NICOLETTE R CROSS</t>
        </is>
      </c>
      <c r="C206" s="8" t="inlineStr">
        <is>
          <t>O'DELL CROSS A PROFESSIONAL CORPORATION</t>
        </is>
      </c>
      <c r="D206" s="49" t="inlineStr">
        <is>
          <t>not reported</t>
        </is>
      </c>
      <c r="E206" s="24" t="inlineStr">
        <is>
          <t>Form 990 Return Header, Paid Preparer block (return_header.preparer_person_name / preparer_firm_name); auditor: Part XII line 2 reports audited financial statements but does not name the firm.</t>
        </is>
      </c>
    </row>
    <row r="207" ht="42" customHeight="1">
      <c r="A207" s="46" t="inlineStr">
        <is>
          <t>FY2022</t>
        </is>
      </c>
      <c r="B207" s="8" t="inlineStr">
        <is>
          <t>NICOLETTE R CROSS</t>
        </is>
      </c>
      <c r="C207" s="8" t="inlineStr">
        <is>
          <t>O'DELL CROSS A PROFESSIONAL CORPORATION</t>
        </is>
      </c>
      <c r="D207" s="49" t="inlineStr">
        <is>
          <t>not reported</t>
        </is>
      </c>
      <c r="E207" s="24" t="inlineStr">
        <is>
          <t>Form 990 Return Header, Paid Preparer block (return_header.preparer_person_name / preparer_firm_name); auditor: Part XII line 2 reports audited financial statements but does not name the firm.</t>
        </is>
      </c>
    </row>
    <row r="208" ht="42" customHeight="1">
      <c r="A208" s="46" t="inlineStr">
        <is>
          <t>FY2023</t>
        </is>
      </c>
      <c r="B208" s="49" t="inlineStr">
        <is>
          <t>not reported</t>
        </is>
      </c>
      <c r="C208" s="49" t="inlineStr">
        <is>
          <t>not reported</t>
        </is>
      </c>
      <c r="D208" s="49" t="inlineStr">
        <is>
          <t>not reported</t>
        </is>
      </c>
      <c r="E208" s="24" t="inlineStr">
        <is>
          <t>Form 990 Return Header, Paid Preparer block (return_header.preparer_person_name / preparer_firm_name); auditor: Part XII line 2 reports audited financial statements but does not name the firm.</t>
        </is>
      </c>
    </row>
    <row r="209" ht="42" customHeight="1">
      <c r="A209" s="46" t="inlineStr">
        <is>
          <t>FY2024</t>
        </is>
      </c>
      <c r="B209" s="49" t="inlineStr">
        <is>
          <t>not reported</t>
        </is>
      </c>
      <c r="C209" s="49" t="inlineStr">
        <is>
          <t>not reported</t>
        </is>
      </c>
      <c r="D209" s="49" t="inlineStr">
        <is>
          <t>not reported</t>
        </is>
      </c>
      <c r="E209" s="24" t="inlineStr">
        <is>
          <t>Form 990 Return Header, Paid Preparer block (return_header.preparer_person_name / preparer_firm_name); auditor: Part XII line 2 reports audited financial statements but does not name the firm.</t>
        </is>
      </c>
    </row>
    <row r="211" ht="42" customHeight="1">
      <c r="A211" s="3" t="inlineStr">
        <is>
          <t>Section B lists every figure on the statement tabs by its cell, so any number can be traced to its Form 990 line, key path, and confidence without cluttering the statements. Section C recomputes each statutory total live from the statement cells and compares it with the as-filed value; a nonzero variance turns red. A red row is a filer-internal inconsistency (e.g. an ending net-assets figure that does not equal the beginning balance plus the year's surplus or deficit), carried exactly as filed and never reconciled; the statutory totals otherwise tie to zero. Section D records the paid preparer and (where named) the auditor for each year, as filed; the 990 names the preparer but not the auditing firm, so the auditor reads "not reported". Section E lists every as-filed wording variant for Part IX line-24 rows that were consolidated across years because they differed only by capitalization or spacing. IRS efile XML has no page numbers, so 990 figures cite by Part and line (the key path), not a page.</t>
        </is>
      </c>
    </row>
  </sheetData>
  <mergeCells count="6">
    <mergeCell ref="A6:K6"/>
    <mergeCell ref="A3:K3"/>
    <mergeCell ref="A2:K2"/>
    <mergeCell ref="A5:K5"/>
    <mergeCell ref="A1:K1"/>
    <mergeCell ref="A211:K211"/>
  </mergeCells>
  <conditionalFormatting sqref="F166:F201">
    <cfRule type="cellIs" priority="1" operator="notEqual" dxfId="0">
      <formula>0</formula>
    </cfRule>
  </conditionalFormatting>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90" customWidth="1" min="2" max="2"/>
  </cols>
  <sheetData>
    <row r="1">
      <c r="A1" t="inlineStr">
        <is>
          <t>Build provenance</t>
        </is>
      </c>
      <c r="B1" t="inlineStr">
        <is>
          <t>Built from source commit d418ffb17485 (2026-10-06); source fingerprint a75a8eee82c65cf7; 192 companies (179 retail mutual, 4 irrigation mutual, 3 mutual, no PWSID, purpose not stated, 2 frozen non-mutual (special district), 2 wholesale mutual, 1 frozen non-mutual (investor-owned), 1 frozen non-mutual (municipal)); 91 gates; build id 3d08d6d2a855.</t>
        </is>
      </c>
    </row>
    <row r="2">
      <c r="A2" t="inlineStr">
        <is>
          <t>source_commit</t>
        </is>
      </c>
      <c r="B2" t="inlineStr">
        <is>
          <t>d418ffb174855ab78000d391d42f898397b0d8aa</t>
        </is>
      </c>
    </row>
    <row r="3">
      <c r="A3" t="inlineStr">
        <is>
          <t>source_commit_date</t>
        </is>
      </c>
      <c r="B3" t="inlineStr">
        <is>
          <t>2026-10-06</t>
        </is>
      </c>
    </row>
    <row r="4">
      <c r="A4" t="inlineStr">
        <is>
          <t>source_fingerprint</t>
        </is>
      </c>
      <c r="B4" t="inlineStr">
        <is>
          <t>a75a8eee82c65cf7096931f06e18affdc28686a02895b46538e7298b57c04d94</t>
        </is>
      </c>
    </row>
    <row r="5">
      <c r="A5" t="inlineStr">
        <is>
          <t>gate_count</t>
        </is>
      </c>
      <c r="B5" t="n">
        <v>91</v>
      </c>
    </row>
    <row r="6">
      <c r="A6" t="inlineStr">
        <is>
          <t>build_id</t>
        </is>
      </c>
      <c r="B6" t="inlineStr">
        <is>
          <t>3d08d6d2a855</t>
        </is>
      </c>
    </row>
    <row r="7">
      <c r="A7" t="inlineStr">
        <is>
          <t>registry: frozen non-mutual (investor-owned)</t>
        </is>
      </c>
      <c r="B7" t="n">
        <v>1</v>
      </c>
    </row>
    <row r="8">
      <c r="A8" t="inlineStr">
        <is>
          <t>registry: frozen non-mutual (municipal)</t>
        </is>
      </c>
      <c r="B8" t="n">
        <v>1</v>
      </c>
    </row>
    <row r="9">
      <c r="A9" t="inlineStr">
        <is>
          <t>registry: frozen non-mutual (special district)</t>
        </is>
      </c>
      <c r="B9" t="n">
        <v>2</v>
      </c>
    </row>
    <row r="10">
      <c r="A10" t="inlineStr">
        <is>
          <t>registry: irrigation mutual</t>
        </is>
      </c>
      <c r="B10" t="n">
        <v>4</v>
      </c>
    </row>
    <row r="11">
      <c r="A11" t="inlineStr">
        <is>
          <t>registry: mutual, no PWSID, purpose not stated</t>
        </is>
      </c>
      <c r="B11" t="n">
        <v>3</v>
      </c>
    </row>
    <row r="12">
      <c r="A12" t="inlineStr">
        <is>
          <t>registry: retail mutual</t>
        </is>
      </c>
      <c r="B12" t="n">
        <v>179</v>
      </c>
    </row>
    <row r="13">
      <c r="A13" t="inlineStr">
        <is>
          <t>registry: wholesale mutual</t>
        </is>
      </c>
      <c r="B13"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2020-01-01T00:00:00Z</dcterms:created>
  <dcterms:modified xsi:type="dcterms:W3CDTF">2020-01-01T00:00:00Z</dcterms:modified>
</cp:coreProperties>
</file>