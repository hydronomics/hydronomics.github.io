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omments/comment1.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Form 990-EZ Parts I &amp; II" sheetId="5" state="visible" r:id="rId5"/>
    <sheet name="Cash flow proxies" sheetId="6" state="visible" r:id="rId6"/>
    <sheet name="Ratios" sheetId="7" state="visible" r:id="rId7"/>
    <sheet name="Short filed periods" sheetId="8" state="visible" r:id="rId8"/>
    <sheet name="Unit economics" sheetId="9" state="visible" r:id="rId9"/>
    <sheet name="Rate structure" sheetId="10" state="visible" r:id="rId10"/>
    <sheet name="Operational metrics" sheetId="11" state="visible" r:id="rId11"/>
    <sheet name="Supply &amp; weather" sheetId="12" state="visible" r:id="rId12"/>
    <sheet name="How this was built" sheetId="13" state="visible" r:id="rId13"/>
    <sheet name="Anomaly Flags" sheetId="14" state="visible" r:id="rId14"/>
    <sheet name="Sources &amp; audit" sheetId="15" state="visible" r:id="rId15"/>
    <sheet name="Provenance" sheetId="16" state="visible" r:id="rId16"/>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i val="1"/>
      <color rgb="007F4F00"/>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2" fontId="6" fillId="0" borderId="1" applyAlignment="1" pivotButton="0" quotePrefix="0" xfId="0">
      <alignment horizontal="right"/>
    </xf>
    <xf numFmtId="0" fontId="5" fillId="3" borderId="0" applyAlignment="1" pivotButton="0" quotePrefix="0" xfId="0">
      <alignment horizontal="left" vertical="center"/>
    </xf>
    <xf numFmtId="0" fontId="6" fillId="0" borderId="1" applyAlignment="1" pivotButton="0" quotePrefix="0" xfId="0">
      <alignment horizontal="left" vertical="top" wrapText="1"/>
    </xf>
    <xf numFmtId="0" fontId="6" fillId="0" borderId="1" applyAlignment="1" pivotButton="0" quotePrefix="0" xfId="0">
      <alignment horizontal="left" vertical="top"/>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10" fillId="5" borderId="1" applyAlignment="1" pivotButton="0" quotePrefix="0" xfId="0">
      <alignment horizontal="left" vertical="top" wrapText="1"/>
    </xf>
    <xf numFmtId="0" fontId="6" fillId="0" borderId="1" pivotButton="0" quotePrefix="0" xfId="0"/>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Sunrise Shore Mutual Water Company</t>
        </is>
      </c>
    </row>
    <row r="2">
      <c r="A2" s="2" t="inlineStr">
        <is>
          <t>Financial Summary - multi-year overview (USD)</t>
        </is>
      </c>
    </row>
    <row r="3">
      <c r="A3" s="2" t="inlineStr">
        <is>
          <t>Entity ID: cawc_0111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FY2021</t>
        </is>
      </c>
      <c r="C8" s="5" t="inlineStr">
        <is>
          <t>FY2022</t>
        </is>
      </c>
      <c r="D8" s="5" t="inlineStr">
        <is>
          <t>FY2023</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90215</v>
      </c>
      <c r="C10" s="9" t="n">
        <v>64916</v>
      </c>
      <c r="D10" s="9" t="n">
        <v>49315</v>
      </c>
      <c r="E10" s="9" t="n">
        <v>6288</v>
      </c>
      <c r="F10" s="9" t="n">
        <v>164078</v>
      </c>
      <c r="G10" s="9" t="n">
        <v>128861</v>
      </c>
    </row>
    <row r="11">
      <c r="A11" s="8" t="inlineStr">
        <is>
          <t xml:space="preserve">    Total expenses</t>
        </is>
      </c>
      <c r="B11" s="9" t="n">
        <v>49334</v>
      </c>
      <c r="C11" s="9" t="n">
        <v>62570</v>
      </c>
      <c r="D11" s="9" t="n">
        <v>41225</v>
      </c>
      <c r="E11" s="9" t="n">
        <v>41361</v>
      </c>
      <c r="F11" s="9" t="n">
        <v>154000</v>
      </c>
      <c r="G11" s="9" t="n">
        <v>135276</v>
      </c>
    </row>
    <row r="12">
      <c r="A12" s="10" t="inlineStr">
        <is>
          <t xml:space="preserve">    Net income</t>
        </is>
      </c>
      <c r="B12" s="11" t="n">
        <v>40881</v>
      </c>
      <c r="C12" s="11" t="n">
        <v>2346</v>
      </c>
      <c r="D12" s="11" t="n">
        <v>8090</v>
      </c>
      <c r="E12" s="11" t="n">
        <v>-35073</v>
      </c>
      <c r="F12" s="11" t="n">
        <v>10078</v>
      </c>
      <c r="G12" s="11" t="n">
        <v>-6415</v>
      </c>
    </row>
    <row r="14">
      <c r="A14" s="6" t="inlineStr">
        <is>
          <t>Financial position (USD, end of year)</t>
        </is>
      </c>
      <c r="B14" s="7" t="n"/>
      <c r="C14" s="7" t="n"/>
      <c r="D14" s="7" t="n"/>
      <c r="E14" s="7" t="n"/>
      <c r="F14" s="7" t="n"/>
      <c r="G14" s="7" t="n"/>
    </row>
    <row r="15">
      <c r="A15" s="8" t="inlineStr">
        <is>
          <t xml:space="preserve">    Total assets</t>
        </is>
      </c>
      <c r="B15" s="9" t="n">
        <v>417466</v>
      </c>
      <c r="C15" s="9" t="n">
        <v>414093</v>
      </c>
      <c r="D15" s="9" t="n">
        <v>364265</v>
      </c>
      <c r="E15" s="9" t="n">
        <v>316875</v>
      </c>
      <c r="F15" s="9" t="n">
        <v>308939</v>
      </c>
      <c r="G15" s="9" t="n">
        <v>276635</v>
      </c>
    </row>
    <row r="16">
      <c r="A16" s="8" t="inlineStr">
        <is>
          <t xml:space="preserve">    Total liabilities</t>
        </is>
      </c>
      <c r="B16" s="9" t="n">
        <v>123228</v>
      </c>
      <c r="C16" s="9" t="n">
        <v>109076</v>
      </c>
      <c r="D16" s="9" t="n">
        <v>89026</v>
      </c>
      <c r="E16" s="9" t="n">
        <v>76709</v>
      </c>
      <c r="F16" s="9" t="n">
        <v>55518</v>
      </c>
      <c r="G16" s="9" t="n">
        <v>33109</v>
      </c>
    </row>
    <row r="17">
      <c r="A17" s="10" t="inlineStr">
        <is>
          <t xml:space="preserve">    Net assets</t>
        </is>
      </c>
      <c r="B17" s="11" t="n">
        <v>294238</v>
      </c>
      <c r="C17" s="11" t="n">
        <v>305017</v>
      </c>
      <c r="D17" s="11" t="n">
        <v>275239</v>
      </c>
      <c r="E17" s="11" t="n">
        <v>240166</v>
      </c>
      <c r="F17" s="11" t="n">
        <v>253421</v>
      </c>
      <c r="G17" s="11" t="n">
        <v>243526</v>
      </c>
    </row>
    <row r="19">
      <c r="A19" s="6" t="inlineStr">
        <is>
          <t>Headline ratios</t>
        </is>
      </c>
      <c r="B19" s="7" t="n"/>
      <c r="C19" s="7" t="n"/>
      <c r="D19" s="7" t="n"/>
      <c r="E19" s="7" t="n"/>
      <c r="F19" s="7" t="n"/>
      <c r="G19" s="7" t="n"/>
    </row>
    <row r="20">
      <c r="A20" s="8" t="inlineStr">
        <is>
          <t xml:space="preserve">    Operating margin</t>
        </is>
      </c>
      <c r="B20" s="12" t="n">
        <v>0.4531508064069168</v>
      </c>
      <c r="C20" s="12" t="n">
        <v>0.03613901041345739</v>
      </c>
      <c r="D20" s="12" t="n">
        <v>0.1640474500659029</v>
      </c>
      <c r="E20" s="12" t="n">
        <v>-5.577767175572519</v>
      </c>
      <c r="F20" s="12" t="n">
        <v>0.06142200660661393</v>
      </c>
      <c r="G20" s="12" t="n">
        <v>-0.04978232358898348</v>
      </c>
    </row>
    <row r="21">
      <c r="A21" s="8" t="inlineStr">
        <is>
          <t xml:space="preserve">    Revenue growth (YoY)</t>
        </is>
      </c>
      <c r="B21" s="12" t="n"/>
      <c r="C21" s="12" t="n"/>
      <c r="D21" s="12" t="n"/>
      <c r="E21" s="12" t="n"/>
      <c r="F21" s="12" t="n"/>
      <c r="G21" s="12" t="n"/>
    </row>
    <row r="22">
      <c r="A22" s="8" t="inlineStr">
        <is>
          <t xml:space="preserve">    Return on assets</t>
        </is>
      </c>
      <c r="B22" s="12" t="n">
        <v>0.09792653773001873</v>
      </c>
      <c r="C22" s="12" t="n">
        <v>0.005665394005694373</v>
      </c>
      <c r="D22" s="12" t="n">
        <v>0.02220910600798869</v>
      </c>
      <c r="E22" s="12" t="n">
        <v>-0.1106840236686391</v>
      </c>
      <c r="F22" s="12" t="n">
        <v>0.03262132654019078</v>
      </c>
      <c r="G22" s="12" t="n">
        <v>-0.02318940119652249</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Sunrise Shore Mutual Water Company</t>
        </is>
      </c>
    </row>
    <row r="2">
      <c r="A2" s="2" t="inlineStr">
        <is>
          <t>Financial Statements - income statement, balance sheet, cash flow, member income test (USD)</t>
        </is>
      </c>
    </row>
    <row r="3">
      <c r="A3" s="2" t="inlineStr">
        <is>
          <t>Entity ID: cawc_0111   |   Fiscal year ends December 31.</t>
        </is>
      </c>
    </row>
    <row r="5">
      <c r="A5" s="6" t="inlineStr">
        <is>
          <t>INCOME STATEMENT - as reported (USD)</t>
        </is>
      </c>
      <c r="B5" s="7" t="n"/>
      <c r="C5" s="7" t="n"/>
      <c r="D5" s="7" t="n"/>
      <c r="E5" s="7" t="n"/>
      <c r="F5" s="7" t="n"/>
      <c r="G5" s="7" t="n"/>
    </row>
    <row r="6">
      <c r="A6" s="4" t="inlineStr">
        <is>
          <t>Line item</t>
        </is>
      </c>
      <c r="B6" s="5" t="inlineStr">
        <is>
          <t>FY2021</t>
        </is>
      </c>
      <c r="C6" s="5" t="inlineStr">
        <is>
          <t>FY2022</t>
        </is>
      </c>
      <c r="D6" s="5" t="inlineStr">
        <is>
          <t>FY2023</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c r="C8" s="9" t="n"/>
      <c r="D8" s="9" t="n"/>
      <c r="E8" s="9" t="n"/>
      <c r="F8" s="9" t="n"/>
      <c r="G8" s="9" t="n"/>
    </row>
    <row r="9">
      <c r="A9" s="8" t="inlineStr">
        <is>
          <t xml:space="preserve">    Investment income</t>
        </is>
      </c>
      <c r="B9" s="9" t="n"/>
      <c r="C9" s="9" t="n"/>
      <c r="D9" s="9" t="n"/>
      <c r="E9" s="9" t="n"/>
      <c r="F9" s="9" t="n"/>
      <c r="G9" s="9" t="n"/>
    </row>
    <row r="10">
      <c r="A10" s="8" t="inlineStr">
        <is>
          <t xml:space="preserve">    Net rental income</t>
        </is>
      </c>
      <c r="B10" s="9" t="n"/>
      <c r="C10" s="9" t="n"/>
      <c r="D10" s="9" t="n"/>
      <c r="E10" s="9" t="n"/>
      <c r="F10" s="9" t="n"/>
      <c r="G10" s="9" t="n"/>
    </row>
    <row r="11">
      <c r="A11" s="8" t="inlineStr">
        <is>
          <t xml:space="preserve">    Net gain/(loss) on investment sales</t>
        </is>
      </c>
      <c r="B11" s="9" t="n"/>
      <c r="C11" s="9" t="n"/>
      <c r="D11" s="9" t="n"/>
      <c r="E11" s="9" t="n"/>
      <c r="F11" s="9" t="n"/>
      <c r="G11" s="9" t="n"/>
    </row>
    <row r="12">
      <c r="A12" s="8" t="inlineStr">
        <is>
          <t xml:space="preserve">    Other revenue</t>
        </is>
      </c>
      <c r="B12" s="9" t="n"/>
      <c r="C12" s="9" t="n"/>
      <c r="D12" s="9" t="n"/>
      <c r="E12" s="9" t="n"/>
      <c r="F12" s="9" t="n"/>
      <c r="G12" s="9" t="n"/>
    </row>
    <row r="13">
      <c r="A13" s="8" t="inlineStr">
        <is>
          <t xml:space="preserve">    Contributions &amp; grants</t>
        </is>
      </c>
      <c r="B13" s="9" t="n"/>
      <c r="C13" s="9" t="n"/>
      <c r="D13" s="9" t="n"/>
      <c r="E13" s="9" t="n"/>
      <c r="F13" s="9" t="n"/>
      <c r="G13" s="9" t="n"/>
    </row>
    <row r="14">
      <c r="A14" s="10" t="inlineStr">
        <is>
          <t>Total revenue</t>
        </is>
      </c>
      <c r="B14" s="11" t="n"/>
      <c r="C14" s="11" t="n"/>
      <c r="D14" s="11" t="n"/>
      <c r="E14" s="11" t="n"/>
      <c r="F14" s="11" t="n"/>
      <c r="G14" s="11" t="n"/>
    </row>
    <row r="16">
      <c r="A16" s="6" t="inlineStr">
        <is>
          <t>Expenses</t>
        </is>
      </c>
      <c r="B16" s="7" t="n"/>
      <c r="C16" s="7" t="n"/>
      <c r="D16" s="7" t="n"/>
      <c r="E16" s="7" t="n"/>
      <c r="F16" s="7" t="n"/>
      <c r="G16" s="7" t="n"/>
    </row>
    <row r="17">
      <c r="A17" s="8" t="inlineStr">
        <is>
          <t xml:space="preserve">    Depreciation</t>
        </is>
      </c>
      <c r="B17" s="9" t="n"/>
      <c r="C17" s="9" t="n"/>
      <c r="D17" s="9" t="n"/>
      <c r="E17" s="9" t="n"/>
      <c r="F17" s="9" t="n"/>
      <c r="G17" s="9" t="n"/>
    </row>
    <row r="18">
      <c r="A18" s="8" t="inlineStr">
        <is>
          <t xml:space="preserve">    Interest expense</t>
        </is>
      </c>
      <c r="B18" s="9" t="n"/>
      <c r="C18" s="9" t="n"/>
      <c r="D18" s="9" t="n"/>
      <c r="E18" s="9" t="n"/>
      <c r="F18" s="9" t="n"/>
      <c r="G18" s="9" t="n"/>
    </row>
    <row r="19">
      <c r="A19" s="10" t="inlineStr">
        <is>
          <t>Total expenses</t>
        </is>
      </c>
      <c r="B19" s="11" t="n">
        <v>49334</v>
      </c>
      <c r="C19" s="11" t="n">
        <v>62570</v>
      </c>
      <c r="D19" s="11" t="n">
        <v>41225</v>
      </c>
      <c r="E19" s="11" t="n">
        <v>41361</v>
      </c>
      <c r="F19" s="11" t="n">
        <v>154000</v>
      </c>
      <c r="G19" s="11" t="n">
        <v>135276</v>
      </c>
    </row>
    <row r="21">
      <c r="A21" s="10" t="inlineStr">
        <is>
          <t>Net income</t>
        </is>
      </c>
      <c r="B21" s="11" t="n">
        <v>40881</v>
      </c>
      <c r="C21" s="11" t="n">
        <v>2346</v>
      </c>
      <c r="D21" s="11" t="n">
        <v>8090</v>
      </c>
      <c r="E21" s="11" t="n">
        <v>-35073</v>
      </c>
      <c r="F21" s="11" t="n">
        <v>10078</v>
      </c>
      <c r="G21" s="11" t="n">
        <v>-6415</v>
      </c>
    </row>
    <row r="24">
      <c r="A24" s="6" t="inlineStr">
        <is>
          <t>BALANCE SHEET - as reported (USD, end of year)</t>
        </is>
      </c>
      <c r="B24" s="7" t="n"/>
      <c r="C24" s="7" t="n"/>
      <c r="D24" s="7" t="n"/>
      <c r="E24" s="7" t="n"/>
      <c r="F24" s="7" t="n"/>
      <c r="G24" s="7" t="n"/>
    </row>
    <row r="25">
      <c r="A25" s="4" t="inlineStr">
        <is>
          <t>Line item</t>
        </is>
      </c>
      <c r="B25" s="5" t="inlineStr">
        <is>
          <t>FY2021</t>
        </is>
      </c>
      <c r="C25" s="5" t="inlineStr">
        <is>
          <t>FY2022</t>
        </is>
      </c>
      <c r="D25" s="5" t="inlineStr">
        <is>
          <t>FY2023</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84838</v>
      </c>
      <c r="C27" s="9" t="n">
        <v>64680</v>
      </c>
      <c r="D27" s="9" t="n">
        <v>64143</v>
      </c>
      <c r="E27" s="9" t="n">
        <v>34155</v>
      </c>
      <c r="F27" s="9" t="n">
        <v>18504</v>
      </c>
      <c r="G27" s="9" t="n">
        <v>10379</v>
      </c>
    </row>
    <row r="28">
      <c r="A28" s="8" t="inlineStr">
        <is>
          <t xml:space="preserve">    Savings &amp; temporary investments</t>
        </is>
      </c>
      <c r="B28" s="9" t="n"/>
      <c r="C28" s="9" t="n"/>
      <c r="D28" s="9" t="n"/>
      <c r="E28" s="9" t="n"/>
      <c r="F28" s="9" t="n"/>
      <c r="G28" s="9" t="n"/>
    </row>
    <row r="29">
      <c r="A29" s="8" t="inlineStr">
        <is>
          <t xml:space="preserve">    Accounts receivable</t>
        </is>
      </c>
      <c r="B29" s="9" t="n"/>
      <c r="C29" s="9" t="n"/>
      <c r="D29" s="9" t="n"/>
      <c r="E29" s="9" t="n"/>
      <c r="F29" s="9" t="n"/>
      <c r="G29" s="9" t="n"/>
    </row>
    <row r="30">
      <c r="A30" s="8" t="inlineStr">
        <is>
          <t xml:space="preserve">    Inventories</t>
        </is>
      </c>
      <c r="B30" s="9" t="n"/>
      <c r="C30" s="9" t="n"/>
      <c r="D30" s="9" t="n"/>
      <c r="E30" s="9" t="n"/>
      <c r="F30" s="9" t="n"/>
      <c r="G30" s="9" t="n"/>
    </row>
    <row r="31">
      <c r="A31" s="8" t="inlineStr">
        <is>
          <t xml:space="preserve">    Prepaid expenses</t>
        </is>
      </c>
      <c r="B31" s="9" t="n"/>
      <c r="C31" s="9" t="n"/>
      <c r="D31" s="9" t="n"/>
      <c r="E31" s="9" t="n"/>
      <c r="F31" s="9" t="n"/>
      <c r="G31" s="9" t="n"/>
    </row>
    <row r="32">
      <c r="A32" s="8" t="inlineStr">
        <is>
          <t xml:space="preserve">    Property, plant &amp; equipment (gross)</t>
        </is>
      </c>
      <c r="B32" s="9" t="n"/>
      <c r="C32" s="9" t="n"/>
      <c r="D32" s="9" t="n"/>
      <c r="E32" s="9" t="n"/>
      <c r="F32" s="9" t="n"/>
      <c r="G32" s="9" t="n"/>
    </row>
    <row r="33">
      <c r="A33" s="8" t="inlineStr">
        <is>
          <t xml:space="preserve">    Less: accumulated depreciation</t>
        </is>
      </c>
      <c r="B33" s="9" t="n"/>
      <c r="C33" s="9" t="n"/>
      <c r="D33" s="9" t="n"/>
      <c r="E33" s="9" t="n"/>
      <c r="F33" s="9" t="n"/>
      <c r="G33" s="9" t="n"/>
    </row>
    <row r="34">
      <c r="A34" s="10" t="inlineStr">
        <is>
          <t xml:space="preserve">    Net property, plant &amp; equipment</t>
        </is>
      </c>
      <c r="B34" s="11" t="n">
        <v>98140</v>
      </c>
      <c r="C34" s="11" t="n">
        <v>98140</v>
      </c>
      <c r="D34" s="11" t="n">
        <v>98140</v>
      </c>
      <c r="E34" s="11" t="n">
        <v>98140</v>
      </c>
      <c r="F34" s="11" t="n">
        <v>98140</v>
      </c>
      <c r="G34" s="11" t="n">
        <v>98140</v>
      </c>
    </row>
    <row r="35">
      <c r="A35" s="10" t="inlineStr">
        <is>
          <t>Total assets</t>
        </is>
      </c>
      <c r="B35" s="11" t="n">
        <v>417466</v>
      </c>
      <c r="C35" s="11" t="n">
        <v>414093</v>
      </c>
      <c r="D35" s="11" t="n">
        <v>364265</v>
      </c>
      <c r="E35" s="11" t="n">
        <v>316875</v>
      </c>
      <c r="F35" s="11" t="n">
        <v>308939</v>
      </c>
      <c r="G35" s="11" t="n">
        <v>276635</v>
      </c>
    </row>
    <row r="37">
      <c r="A37" s="6" t="inlineStr">
        <is>
          <t>Liabilities</t>
        </is>
      </c>
      <c r="B37" s="7" t="n"/>
      <c r="C37" s="7" t="n"/>
      <c r="D37" s="7" t="n"/>
      <c r="E37" s="7" t="n"/>
      <c r="F37" s="7" t="n"/>
      <c r="G37" s="7" t="n"/>
    </row>
    <row r="38">
      <c r="A38" s="8" t="inlineStr">
        <is>
          <t xml:space="preserve">    Accounts payable</t>
        </is>
      </c>
      <c r="B38" s="9" t="n"/>
      <c r="C38" s="9" t="n"/>
      <c r="D38" s="9" t="n"/>
      <c r="E38" s="9" t="n"/>
      <c r="F38" s="9" t="n"/>
      <c r="G38" s="9" t="n"/>
    </row>
    <row r="39">
      <c r="A39" s="8" t="inlineStr">
        <is>
          <t xml:space="preserve">    Mortgages &amp; notes payable</t>
        </is>
      </c>
      <c r="B39" s="9" t="n"/>
      <c r="C39" s="9" t="n"/>
      <c r="D39" s="9" t="n"/>
      <c r="E39" s="9" t="n"/>
      <c r="F39" s="9" t="n"/>
      <c r="G39" s="9" t="n"/>
    </row>
    <row r="40">
      <c r="A40" s="10" t="inlineStr">
        <is>
          <t>Total liabilities</t>
        </is>
      </c>
      <c r="B40" s="11" t="n">
        <v>123228</v>
      </c>
      <c r="C40" s="11" t="n">
        <v>109076</v>
      </c>
      <c r="D40" s="11" t="n">
        <v>89026</v>
      </c>
      <c r="E40" s="11" t="n">
        <v>76709</v>
      </c>
      <c r="F40" s="11" t="n">
        <v>55518</v>
      </c>
      <c r="G40" s="11" t="n">
        <v>33109</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c r="G45" s="9" t="n"/>
    </row>
    <row r="46">
      <c r="A46" s="10" t="inlineStr">
        <is>
          <t>Net assets</t>
        </is>
      </c>
      <c r="B46" s="11" t="n">
        <v>294238</v>
      </c>
      <c r="C46" s="11" t="n">
        <v>305017</v>
      </c>
      <c r="D46" s="11" t="n">
        <v>275239</v>
      </c>
      <c r="E46" s="11" t="n">
        <v>240166</v>
      </c>
      <c r="F46" s="11" t="n">
        <v>253421</v>
      </c>
      <c r="G46" s="11" t="n">
        <v>243526</v>
      </c>
    </row>
    <row r="49">
      <c r="A49" s="6" t="inlineStr">
        <is>
          <t>CASH FLOW - derived proxy (USD)</t>
        </is>
      </c>
      <c r="B49" s="7" t="n"/>
      <c r="C49" s="7" t="n"/>
      <c r="D49" s="7" t="n"/>
      <c r="E49" s="7" t="n"/>
      <c r="F49" s="7" t="n"/>
      <c r="G49" s="7" t="n"/>
    </row>
    <row r="50">
      <c r="A50" s="4" t="inlineStr">
        <is>
          <t>Proxy line</t>
        </is>
      </c>
      <c r="B50" s="5" t="inlineStr">
        <is>
          <t>FY2021</t>
        </is>
      </c>
      <c r="C50" s="5" t="inlineStr">
        <is>
          <t>FY2022</t>
        </is>
      </c>
      <c r="D50" s="5" t="inlineStr">
        <is>
          <t>FY2023</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40881</v>
      </c>
      <c r="C52" s="9" t="n">
        <v>2346</v>
      </c>
      <c r="D52" s="9" t="n">
        <v>8090</v>
      </c>
      <c r="E52" s="9" t="n">
        <v>-35073</v>
      </c>
      <c r="F52" s="9" t="n">
        <v>10078</v>
      </c>
      <c r="G52" s="9" t="n">
        <v>-6415</v>
      </c>
    </row>
    <row r="53">
      <c r="A53" s="8" t="inlineStr">
        <is>
          <t xml:space="preserve">    + Depreciation (reported)</t>
        </is>
      </c>
      <c r="B53" s="9" t="n"/>
      <c r="C53" s="9" t="n"/>
      <c r="D53" s="9" t="n"/>
      <c r="E53" s="9" t="n"/>
      <c r="F53" s="9" t="n"/>
      <c r="G53" s="9" t="n"/>
    </row>
    <row r="54">
      <c r="A54" s="8" t="inlineStr">
        <is>
          <t xml:space="preserve">    − Δ Accounts receivable</t>
        </is>
      </c>
      <c r="B54" s="9" t="n"/>
      <c r="C54" s="9" t="n"/>
      <c r="D54" s="9" t="n"/>
      <c r="E54" s="9" t="n"/>
      <c r="F54" s="9" t="n"/>
      <c r="G54" s="9" t="n"/>
    </row>
    <row r="55">
      <c r="A55" s="8" t="inlineStr">
        <is>
          <t xml:space="preserve">    − Δ Inventories</t>
        </is>
      </c>
      <c r="B55" s="9" t="n"/>
      <c r="C55" s="9" t="n"/>
      <c r="D55" s="9" t="n"/>
      <c r="E55" s="9" t="n"/>
      <c r="F55" s="9" t="n"/>
      <c r="G55" s="9" t="n"/>
    </row>
    <row r="56">
      <c r="A56" s="8" t="inlineStr">
        <is>
          <t xml:space="preserve">    − Δ Prepaid expenses</t>
        </is>
      </c>
      <c r="B56" s="9" t="n"/>
      <c r="C56" s="9" t="n"/>
      <c r="D56" s="9" t="n"/>
      <c r="E56" s="9" t="n"/>
      <c r="F56" s="9" t="n"/>
      <c r="G56" s="9" t="n"/>
    </row>
    <row r="57">
      <c r="A57" s="8" t="inlineStr">
        <is>
          <t xml:space="preserve">    + Δ Accounts payable</t>
        </is>
      </c>
      <c r="B57" s="9" t="n"/>
      <c r="C57" s="9" t="n"/>
      <c r="D57" s="9" t="n"/>
      <c r="E57" s="9" t="n"/>
      <c r="F57" s="9" t="n"/>
      <c r="G57" s="9" t="n"/>
    </row>
    <row r="58">
      <c r="A58" s="10" t="inlineStr">
        <is>
          <t xml:space="preserve">    Operating cash flow proxy</t>
        </is>
      </c>
      <c r="B58" s="11" t="n"/>
      <c r="C58" s="11" t="n">
        <v>2346</v>
      </c>
      <c r="D58" s="11" t="n">
        <v>8090</v>
      </c>
      <c r="E58" s="11" t="n">
        <v>-35073</v>
      </c>
      <c r="F58" s="11" t="n">
        <v>10078</v>
      </c>
      <c r="G58" s="11" t="n">
        <v>-6415</v>
      </c>
    </row>
    <row r="60">
      <c r="A60" s="6" t="inlineStr">
        <is>
          <t>Investing</t>
        </is>
      </c>
      <c r="B60" s="7" t="n"/>
      <c r="C60" s="7" t="n"/>
      <c r="D60" s="7" t="n"/>
      <c r="E60" s="7" t="n"/>
      <c r="F60" s="7" t="n"/>
      <c r="G60" s="7" t="n"/>
    </row>
    <row r="61">
      <c r="A61" s="8" t="inlineStr">
        <is>
          <t xml:space="preserve">    − Δ PP&amp;E gross (capex proxy)</t>
        </is>
      </c>
      <c r="B61" s="9" t="n"/>
      <c r="C61" s="9" t="n"/>
      <c r="D61" s="9" t="n"/>
      <c r="E61" s="9" t="n"/>
      <c r="F61" s="9" t="n"/>
      <c r="G61" s="9" t="n"/>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-20158</v>
      </c>
      <c r="D67" s="11" t="n">
        <v>-537</v>
      </c>
      <c r="E67" s="11" t="n">
        <v>-29988</v>
      </c>
      <c r="F67" s="11" t="n">
        <v>-15651</v>
      </c>
      <c r="G67" s="11" t="n">
        <v>-8125</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sheetData>
  <mergeCells count="4">
    <mergeCell ref="A69:G69"/>
    <mergeCell ref="A3:G3"/>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Sunrise Shore Mutual Water Company</t>
        </is>
      </c>
    </row>
    <row r="2">
      <c r="A2" s="2" t="inlineStr">
        <is>
          <t>Balance Sheet - as reported (USD, end of year)</t>
        </is>
      </c>
    </row>
    <row r="3">
      <c r="A3" s="2" t="inlineStr">
        <is>
          <t>Entity ID: cawc_0111   |   Fiscal year ends December 31.</t>
        </is>
      </c>
    </row>
    <row r="5">
      <c r="A5" s="4" t="inlineStr">
        <is>
          <t>Line item</t>
        </is>
      </c>
      <c r="B5" s="5" t="inlineStr">
        <is>
          <t>FY2021</t>
        </is>
      </c>
      <c r="C5" s="5" t="inlineStr">
        <is>
          <t>FY2022</t>
        </is>
      </c>
      <c r="D5" s="5" t="inlineStr">
        <is>
          <t>FY2023</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84838</v>
      </c>
      <c r="C7" s="9" t="n">
        <v>64680</v>
      </c>
      <c r="D7" s="9" t="n">
        <v>64143</v>
      </c>
      <c r="E7" s="9" t="n">
        <v>34155</v>
      </c>
      <c r="F7" s="9" t="n">
        <v>18504</v>
      </c>
      <c r="G7" s="9" t="n">
        <v>10379</v>
      </c>
    </row>
    <row r="8">
      <c r="A8" s="8" t="inlineStr">
        <is>
          <t xml:space="preserve">    Savings &amp; temporary investments</t>
        </is>
      </c>
      <c r="B8" s="9" t="n"/>
      <c r="C8" s="9" t="n"/>
      <c r="D8" s="9" t="n"/>
      <c r="E8" s="9" t="n"/>
      <c r="F8" s="9" t="n"/>
      <c r="G8" s="9" t="n"/>
    </row>
    <row r="9">
      <c r="A9" s="8" t="inlineStr">
        <is>
          <t xml:space="preserve">    Accounts receivable</t>
        </is>
      </c>
      <c r="B9" s="9" t="n"/>
      <c r="C9" s="9" t="n"/>
      <c r="D9" s="9" t="n"/>
      <c r="E9" s="9" t="n"/>
      <c r="F9" s="9" t="n"/>
      <c r="G9" s="9" t="n"/>
    </row>
    <row r="10">
      <c r="A10" s="8" t="inlineStr">
        <is>
          <t xml:space="preserve">    Inventories</t>
        </is>
      </c>
      <c r="B10" s="9" t="n"/>
      <c r="C10" s="9" t="n"/>
      <c r="D10" s="9" t="n"/>
      <c r="E10" s="9" t="n"/>
      <c r="F10" s="9" t="n"/>
      <c r="G10" s="9" t="n"/>
    </row>
    <row r="11">
      <c r="A11" s="8" t="inlineStr">
        <is>
          <t xml:space="preserve">    Prepaid expenses</t>
        </is>
      </c>
      <c r="B11" s="9" t="n"/>
      <c r="C11" s="9" t="n"/>
      <c r="D11" s="9" t="n"/>
      <c r="E11" s="9" t="n"/>
      <c r="F11" s="9" t="n"/>
      <c r="G11" s="9" t="n"/>
    </row>
    <row r="12">
      <c r="A12" s="8" t="inlineStr">
        <is>
          <t xml:space="preserve">    Property, plant &amp; equipment (gross)</t>
        </is>
      </c>
      <c r="B12" s="9" t="n"/>
      <c r="C12" s="9" t="n"/>
      <c r="D12" s="9" t="n"/>
      <c r="E12" s="9" t="n"/>
      <c r="F12" s="9" t="n"/>
      <c r="G12" s="9" t="n"/>
    </row>
    <row r="13">
      <c r="A13" s="8" t="inlineStr">
        <is>
          <t xml:space="preserve">    Less: accumulated depreciation</t>
        </is>
      </c>
      <c r="B13" s="9" t="n"/>
      <c r="C13" s="9" t="n"/>
      <c r="D13" s="9" t="n"/>
      <c r="E13" s="9" t="n"/>
      <c r="F13" s="9" t="n"/>
      <c r="G13" s="9" t="n"/>
    </row>
    <row r="14">
      <c r="A14" s="10" t="inlineStr">
        <is>
          <t xml:space="preserve">    Net property, plant &amp; equipment</t>
        </is>
      </c>
      <c r="B14" s="11" t="n">
        <v>98140</v>
      </c>
      <c r="C14" s="11" t="n">
        <v>98140</v>
      </c>
      <c r="D14" s="11" t="n">
        <v>98140</v>
      </c>
      <c r="E14" s="11" t="n">
        <v>98140</v>
      </c>
      <c r="F14" s="11" t="n">
        <v>98140</v>
      </c>
      <c r="G14" s="11" t="n">
        <v>98140</v>
      </c>
    </row>
    <row r="15">
      <c r="A15" s="10" t="inlineStr">
        <is>
          <t>Total assets</t>
        </is>
      </c>
      <c r="B15" s="11" t="n">
        <v>417466</v>
      </c>
      <c r="C15" s="11" t="n">
        <v>414093</v>
      </c>
      <c r="D15" s="11" t="n">
        <v>364265</v>
      </c>
      <c r="E15" s="11" t="n">
        <v>316875</v>
      </c>
      <c r="F15" s="11" t="n">
        <v>308939</v>
      </c>
      <c r="G15" s="11" t="n">
        <v>276635</v>
      </c>
    </row>
    <row r="17">
      <c r="A17" s="6" t="inlineStr">
        <is>
          <t>Liabilities</t>
        </is>
      </c>
      <c r="B17" s="7" t="n"/>
      <c r="C17" s="7" t="n"/>
      <c r="D17" s="7" t="n"/>
      <c r="E17" s="7" t="n"/>
      <c r="F17" s="7" t="n"/>
      <c r="G17" s="7" t="n"/>
    </row>
    <row r="18">
      <c r="A18" s="8" t="inlineStr">
        <is>
          <t xml:space="preserve">    Accounts payable</t>
        </is>
      </c>
      <c r="B18" s="9" t="n"/>
      <c r="C18" s="9" t="n"/>
      <c r="D18" s="9" t="n"/>
      <c r="E18" s="9" t="n"/>
      <c r="F18" s="9" t="n"/>
      <c r="G18" s="9" t="n"/>
    </row>
    <row r="19">
      <c r="A19" s="8" t="inlineStr">
        <is>
          <t xml:space="preserve">    Mortgages &amp; notes payable</t>
        </is>
      </c>
      <c r="B19" s="9" t="n"/>
      <c r="C19" s="9" t="n"/>
      <c r="D19" s="9" t="n"/>
      <c r="E19" s="9" t="n"/>
      <c r="F19" s="9" t="n"/>
      <c r="G19" s="9" t="n"/>
    </row>
    <row r="20">
      <c r="A20" s="10" t="inlineStr">
        <is>
          <t>Total liabilities</t>
        </is>
      </c>
      <c r="B20" s="11" t="n">
        <v>123228</v>
      </c>
      <c r="C20" s="11" t="n">
        <v>109076</v>
      </c>
      <c r="D20" s="11" t="n">
        <v>89026</v>
      </c>
      <c r="E20" s="11" t="n">
        <v>76709</v>
      </c>
      <c r="F20" s="11" t="n">
        <v>55518</v>
      </c>
      <c r="G20" s="11" t="n">
        <v>33109</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c r="G25" s="9" t="n"/>
    </row>
    <row r="26">
      <c r="A26" s="10" t="inlineStr">
        <is>
          <t>Net assets</t>
        </is>
      </c>
      <c r="B26" s="11" t="n">
        <v>294238</v>
      </c>
      <c r="C26" s="11" t="n">
        <v>305017</v>
      </c>
      <c r="D26" s="11" t="n">
        <v>275239</v>
      </c>
      <c r="E26" s="11" t="n">
        <v>240166</v>
      </c>
      <c r="F26" s="11" t="n">
        <v>253421</v>
      </c>
      <c r="G26" s="11" t="n">
        <v>243526</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Sunrise Shore Mutual Water Company</t>
        </is>
      </c>
    </row>
    <row r="2">
      <c r="A2" s="2" t="inlineStr">
        <is>
          <t>Form 990-EZ - Part I (revenue, expenses, net assets) and Part II (balance sheet), as filed (USD)</t>
        </is>
      </c>
    </row>
    <row r="3">
      <c r="A3" s="2" t="inlineStr">
        <is>
          <t>Entity ID: cawc_0111   |   Fiscal year ends December 31.</t>
        </is>
      </c>
    </row>
    <row r="5">
      <c r="A5" s="4" t="inlineStr">
        <is>
          <t>Form 990-EZ line</t>
        </is>
      </c>
      <c r="B5" s="5" t="inlineStr">
        <is>
          <t>FY2021</t>
        </is>
      </c>
      <c r="C5" s="5" t="inlineStr">
        <is>
          <t>FY2022</t>
        </is>
      </c>
      <c r="D5" s="5" t="inlineStr">
        <is>
          <t>FY2023</t>
        </is>
      </c>
      <c r="E5" s="5" t="inlineStr">
        <is>
          <t>FY2023</t>
        </is>
      </c>
      <c r="F5" s="5" t="inlineStr">
        <is>
          <t>FY2024</t>
        </is>
      </c>
      <c r="G5" s="5" t="inlineStr">
        <is>
          <t>FY2025</t>
        </is>
      </c>
    </row>
    <row r="6">
      <c r="A6" s="6" t="inlineStr">
        <is>
          <t>Revenue (Part I)</t>
        </is>
      </c>
      <c r="B6" s="7" t="n"/>
      <c r="C6" s="7" t="n"/>
      <c r="D6" s="7" t="n"/>
      <c r="E6" s="7" t="n"/>
      <c r="F6" s="7" t="n"/>
      <c r="G6" s="7" t="n"/>
    </row>
    <row r="7">
      <c r="A7" s="8" t="inlineStr">
        <is>
          <t xml:space="preserve">    1. Contributions, gifts, grants</t>
        </is>
      </c>
      <c r="B7" s="9" t="n">
        <v>11886</v>
      </c>
      <c r="C7" s="9" t="n">
        <v>16379</v>
      </c>
      <c r="D7" s="14" t="inlineStr">
        <is>
          <t>not reported</t>
        </is>
      </c>
      <c r="E7" s="14" t="inlineStr">
        <is>
          <t>not reported</t>
        </is>
      </c>
      <c r="F7" s="9" t="n">
        <v>100526</v>
      </c>
      <c r="G7" s="9" t="n">
        <v>91059</v>
      </c>
    </row>
    <row r="8">
      <c r="A8" s="8" t="inlineStr">
        <is>
          <t xml:space="preserve">    3. Membership dues and assessments</t>
        </is>
      </c>
      <c r="B8" s="9" t="n">
        <v>78329</v>
      </c>
      <c r="C8" s="9" t="n">
        <v>48387</v>
      </c>
      <c r="D8" s="9" t="n">
        <v>49165</v>
      </c>
      <c r="E8" s="9" t="n">
        <v>49165</v>
      </c>
      <c r="F8" s="9" t="n">
        <v>62902</v>
      </c>
      <c r="G8" s="9" t="n">
        <v>37652</v>
      </c>
    </row>
    <row r="9">
      <c r="A9" s="8" t="inlineStr">
        <is>
          <t xml:space="preserve">    8. Other revenue</t>
        </is>
      </c>
      <c r="B9" s="14" t="inlineStr">
        <is>
          <t>not reported</t>
        </is>
      </c>
      <c r="C9" s="9" t="n">
        <v>150</v>
      </c>
      <c r="D9" s="9" t="n">
        <v>150</v>
      </c>
      <c r="E9" s="9" t="n">
        <v>150</v>
      </c>
      <c r="F9" s="9" t="n">
        <v>650</v>
      </c>
      <c r="G9" s="9" t="n">
        <v>150</v>
      </c>
    </row>
    <row r="10">
      <c r="A10" s="10" t="inlineStr">
        <is>
          <t>9. Total revenue</t>
        </is>
      </c>
      <c r="B10" s="11" t="n">
        <v>90215</v>
      </c>
      <c r="C10" s="11" t="n">
        <v>64916</v>
      </c>
      <c r="D10" s="11" t="n">
        <v>49315</v>
      </c>
      <c r="E10" s="11" t="n">
        <v>49315</v>
      </c>
      <c r="F10" s="11" t="n">
        <v>164078</v>
      </c>
      <c r="G10" s="11" t="n">
        <v>128861</v>
      </c>
    </row>
    <row r="12">
      <c r="A12" s="6" t="inlineStr">
        <is>
          <t>Expenses (Part I)</t>
        </is>
      </c>
      <c r="B12" s="7" t="n"/>
      <c r="C12" s="7" t="n"/>
      <c r="D12" s="7" t="n"/>
      <c r="E12" s="7" t="n"/>
      <c r="F12" s="7" t="n"/>
      <c r="G12" s="7" t="n"/>
    </row>
    <row r="13">
      <c r="A13" s="8" t="inlineStr">
        <is>
          <t xml:space="preserve">    13. Fees for services (independent contractors)</t>
        </is>
      </c>
      <c r="B13" s="9" t="n">
        <v>5355</v>
      </c>
      <c r="C13" s="9" t="n">
        <v>6400</v>
      </c>
      <c r="D13" s="9" t="n">
        <v>6356</v>
      </c>
      <c r="E13" s="9" t="n">
        <v>6356</v>
      </c>
      <c r="F13" s="9" t="n">
        <v>107846</v>
      </c>
      <c r="G13" s="9" t="n">
        <v>100664</v>
      </c>
    </row>
    <row r="14">
      <c r="A14" s="8" t="inlineStr">
        <is>
          <t xml:space="preserve">    15. Printing, publications, postage</t>
        </is>
      </c>
      <c r="B14" s="14" t="inlineStr">
        <is>
          <t>not reported</t>
        </is>
      </c>
      <c r="C14" s="9" t="n">
        <v>62</v>
      </c>
      <c r="D14" s="9" t="n">
        <v>36</v>
      </c>
      <c r="E14" s="9" t="n">
        <v>36</v>
      </c>
      <c r="F14" s="9" t="n">
        <v>73</v>
      </c>
      <c r="G14" s="14" t="inlineStr">
        <is>
          <t>not reported</t>
        </is>
      </c>
    </row>
    <row r="15">
      <c r="A15" s="8" t="inlineStr">
        <is>
          <t xml:space="preserve">    16. Other expenses</t>
        </is>
      </c>
      <c r="B15" s="9" t="n">
        <v>43979</v>
      </c>
      <c r="C15" s="9" t="n">
        <v>56108</v>
      </c>
      <c r="D15" s="9" t="n">
        <v>34833</v>
      </c>
      <c r="E15" s="9" t="n">
        <v>34833</v>
      </c>
      <c r="F15" s="9" t="n">
        <v>46081</v>
      </c>
      <c r="G15" s="9" t="n">
        <v>34612</v>
      </c>
    </row>
    <row r="16">
      <c r="A16" s="10" t="inlineStr">
        <is>
          <t>17. Total expenses</t>
        </is>
      </c>
      <c r="B16" s="11">
        <f>SUM(B13:B15)</f>
        <v/>
      </c>
      <c r="C16" s="11">
        <f>SUM(C13:C15)</f>
        <v/>
      </c>
      <c r="D16" s="11">
        <f>SUM(D13:D15)</f>
        <v/>
      </c>
      <c r="E16" s="11">
        <f>SUM(E13:E15)</f>
        <v/>
      </c>
      <c r="F16" s="11">
        <f>SUM(F13:F15)</f>
        <v/>
      </c>
      <c r="G16" s="11">
        <f>SUM(G13:G15)</f>
        <v/>
      </c>
    </row>
    <row r="18">
      <c r="A18" s="6" t="inlineStr">
        <is>
          <t>Net-assets reconciliation (Part I)</t>
        </is>
      </c>
      <c r="B18" s="7" t="n"/>
      <c r="C18" s="7" t="n"/>
      <c r="D18" s="7" t="n"/>
      <c r="E18" s="7" t="n"/>
      <c r="F18" s="7" t="n"/>
      <c r="G18" s="7" t="n"/>
    </row>
    <row r="19">
      <c r="A19" s="8" t="inlineStr">
        <is>
          <t xml:space="preserve">    19. Net assets or fund balances, beginning of year</t>
        </is>
      </c>
      <c r="B19" s="9" t="n">
        <v>237934</v>
      </c>
      <c r="C19" s="9" t="n">
        <v>294238</v>
      </c>
      <c r="D19" s="9" t="n">
        <v>305017</v>
      </c>
      <c r="E19" s="9" t="n">
        <v>305017</v>
      </c>
      <c r="F19" s="9" t="n">
        <v>240166</v>
      </c>
      <c r="G19" s="9" t="n">
        <v>253421</v>
      </c>
    </row>
    <row r="20">
      <c r="A20" s="8" t="inlineStr">
        <is>
          <t xml:space="preserve">    18. Excess or (deficit) for the year</t>
        </is>
      </c>
      <c r="B20" s="9" t="n">
        <v>40881</v>
      </c>
      <c r="C20" s="9" t="n">
        <v>2346</v>
      </c>
      <c r="D20" s="9" t="n">
        <v>8090</v>
      </c>
      <c r="E20" s="9" t="n">
        <v>8090</v>
      </c>
      <c r="F20" s="9" t="n">
        <v>10078</v>
      </c>
      <c r="G20" s="9" t="n">
        <v>-6415</v>
      </c>
    </row>
    <row r="21">
      <c r="A21" s="10" t="inlineStr">
        <is>
          <t>21. Net assets or fund balances, end of year</t>
        </is>
      </c>
      <c r="B21" s="11">
        <f>SUM(B19,B20)</f>
        <v/>
      </c>
      <c r="C21" s="11">
        <f>SUM(C19,C20)</f>
        <v/>
      </c>
      <c r="D21" s="11">
        <f>SUM(D19,D20)</f>
        <v/>
      </c>
      <c r="E21" s="11">
        <f>SUM(E19,E20)</f>
        <v/>
      </c>
      <c r="F21" s="11">
        <f>SUM(F19,F20)</f>
        <v/>
      </c>
      <c r="G21" s="11">
        <f>SUM(G19,G20)</f>
        <v/>
      </c>
    </row>
    <row r="23">
      <c r="A23" s="6" t="inlineStr">
        <is>
          <t>Balance sheet (Part II, end of year - column B)</t>
        </is>
      </c>
      <c r="B23" s="7" t="n"/>
      <c r="C23" s="7" t="n"/>
      <c r="D23" s="7" t="n"/>
      <c r="E23" s="7" t="n"/>
      <c r="F23" s="7" t="n"/>
      <c r="G23" s="7" t="n"/>
    </row>
    <row r="24">
      <c r="A24" s="8" t="inlineStr">
        <is>
          <t xml:space="preserve">    22. Cash, savings, and investments</t>
        </is>
      </c>
      <c r="B24" s="9" t="n">
        <v>84838</v>
      </c>
      <c r="C24" s="9" t="n">
        <v>64680</v>
      </c>
      <c r="D24" s="9" t="n">
        <v>64143</v>
      </c>
      <c r="E24" s="9" t="n">
        <v>64143</v>
      </c>
      <c r="F24" s="9" t="n">
        <v>18504</v>
      </c>
      <c r="G24" s="9" t="n">
        <v>10379</v>
      </c>
    </row>
    <row r="25">
      <c r="A25" s="8" t="inlineStr">
        <is>
          <t xml:space="preserve">    23. Land and buildings</t>
        </is>
      </c>
      <c r="B25" s="9" t="n">
        <v>98140</v>
      </c>
      <c r="C25" s="9" t="n">
        <v>98140</v>
      </c>
      <c r="D25" s="9" t="n">
        <v>98140</v>
      </c>
      <c r="E25" s="9" t="n">
        <v>98140</v>
      </c>
      <c r="F25" s="9" t="n">
        <v>98140</v>
      </c>
      <c r="G25" s="9" t="n">
        <v>98140</v>
      </c>
    </row>
    <row r="26">
      <c r="A26" s="8" t="inlineStr">
        <is>
          <t xml:space="preserve">    24. Other assets</t>
        </is>
      </c>
      <c r="B26" s="9" t="n">
        <v>234488</v>
      </c>
      <c r="C26" s="9" t="n">
        <v>251273</v>
      </c>
      <c r="D26" s="9" t="n">
        <v>201982</v>
      </c>
      <c r="E26" s="9" t="n">
        <v>201982</v>
      </c>
      <c r="F26" s="9" t="n">
        <v>192295</v>
      </c>
      <c r="G26" s="9" t="n">
        <v>168116</v>
      </c>
    </row>
    <row r="27">
      <c r="A27" s="10" t="inlineStr">
        <is>
          <t>25. Total assets</t>
        </is>
      </c>
      <c r="B27" s="11">
        <f>SUM(B24:B26)</f>
        <v/>
      </c>
      <c r="C27" s="11">
        <f>SUM(C24:C26)</f>
        <v/>
      </c>
      <c r="D27" s="11">
        <f>SUM(D24:D26)</f>
        <v/>
      </c>
      <c r="E27" s="11">
        <f>SUM(E24:E26)</f>
        <v/>
      </c>
      <c r="F27" s="11">
        <f>SUM(F24:F26)</f>
        <v/>
      </c>
      <c r="G27" s="11">
        <f>SUM(G24:G26)</f>
        <v/>
      </c>
    </row>
    <row r="28">
      <c r="A28" s="10" t="inlineStr">
        <is>
          <t>26. Total liabilities</t>
        </is>
      </c>
      <c r="B28" s="11" t="n">
        <v>123228</v>
      </c>
      <c r="C28" s="11" t="n">
        <v>109076</v>
      </c>
      <c r="D28" s="11" t="n">
        <v>89026</v>
      </c>
      <c r="E28" s="11" t="n">
        <v>89026</v>
      </c>
      <c r="F28" s="11" t="n">
        <v>55518</v>
      </c>
      <c r="G28" s="11" t="n">
        <v>33109</v>
      </c>
    </row>
    <row r="29">
      <c r="A29" s="10" t="inlineStr">
        <is>
          <t>27. Net assets or fund balances</t>
        </is>
      </c>
      <c r="B29" s="11" t="n">
        <v>294238</v>
      </c>
      <c r="C29" s="11" t="n">
        <v>305017</v>
      </c>
      <c r="D29" s="11" t="n">
        <v>275239</v>
      </c>
      <c r="E29" s="11" t="n">
        <v>275239</v>
      </c>
      <c r="F29" s="11" t="n">
        <v>253421</v>
      </c>
      <c r="G29" s="11" t="n">
        <v>243526</v>
      </c>
    </row>
    <row r="31" ht="42" customHeight="1">
      <c r="A31" s="3" t="inlineStr">
        <is>
          <t>Form 990-EZ is the short form: revenue and expenses are on Part I and the balance sheet is the six-line Part II (no full-990 Parts VII-XI). Total expenses (line 17) and Total assets (line 25) are live SUMs of the lines above; Total revenue (line 9) is shown as filed because the EZ nets its lines 5-7 (sales of assets, gaming, inventory) into line 9 without itemizing them. Ending net assets (line 21) is recomputed live as beginning net assets (line 19) plus the excess or deficit (line 18); where the filer's own line 21 does not equal that sum, the variance is flagged red on the Sources &amp; audit tab and carried exactly as filed, not reconciled. Every figure's citation and confidence are on the Sources &amp; audit tab.</t>
        </is>
      </c>
    </row>
  </sheetData>
  <mergeCells count="4">
    <mergeCell ref="A31:G31"/>
    <mergeCell ref="A3:G3"/>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Sunrise Shore Mutual Water Company</t>
        </is>
      </c>
    </row>
    <row r="2">
      <c r="A2" s="2" t="inlineStr">
        <is>
          <t>Cash Flow Proxies - derived (USD)</t>
        </is>
      </c>
    </row>
    <row r="3">
      <c r="A3" s="2" t="inlineStr">
        <is>
          <t>Entity ID: cawc_0111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FY2021</t>
        </is>
      </c>
      <c r="C7" s="5" t="inlineStr">
        <is>
          <t>FY2022</t>
        </is>
      </c>
      <c r="D7" s="5" t="inlineStr">
        <is>
          <t>FY2023</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40881</v>
      </c>
      <c r="C9" s="9" t="n">
        <v>2346</v>
      </c>
      <c r="D9" s="9" t="n">
        <v>8090</v>
      </c>
      <c r="E9" s="9" t="n">
        <v>-35073</v>
      </c>
      <c r="F9" s="9" t="n">
        <v>10078</v>
      </c>
      <c r="G9" s="9" t="n">
        <v>-6415</v>
      </c>
    </row>
    <row r="10">
      <c r="A10" s="8" t="inlineStr">
        <is>
          <t xml:space="preserve">    + Depreciation (reported)</t>
        </is>
      </c>
      <c r="B10" s="9" t="n"/>
      <c r="C10" s="9" t="n"/>
      <c r="D10" s="9" t="n"/>
      <c r="E10" s="9" t="n"/>
      <c r="F10" s="9" t="n"/>
      <c r="G10" s="9" t="n"/>
    </row>
    <row r="11">
      <c r="A11" s="8" t="inlineStr">
        <is>
          <t xml:space="preserve">    − Δ Accounts receivable</t>
        </is>
      </c>
      <c r="B11" s="9" t="n"/>
      <c r="C11" s="9" t="n"/>
      <c r="D11" s="9" t="n"/>
      <c r="E11" s="9" t="n"/>
      <c r="F11" s="9" t="n"/>
      <c r="G11" s="9" t="n"/>
    </row>
    <row r="12">
      <c r="A12" s="8" t="inlineStr">
        <is>
          <t xml:space="preserve">    − Δ Inventories</t>
        </is>
      </c>
      <c r="B12" s="9" t="n"/>
      <c r="C12" s="9" t="n"/>
      <c r="D12" s="9" t="n"/>
      <c r="E12" s="9" t="n"/>
      <c r="F12" s="9" t="n"/>
      <c r="G12" s="9" t="n"/>
    </row>
    <row r="13">
      <c r="A13" s="8" t="inlineStr">
        <is>
          <t xml:space="preserve">    − Δ Prepaid expenses</t>
        </is>
      </c>
      <c r="B13" s="9" t="n"/>
      <c r="C13" s="9" t="n"/>
      <c r="D13" s="9" t="n"/>
      <c r="E13" s="9" t="n"/>
      <c r="F13" s="9" t="n"/>
      <c r="G13" s="9" t="n"/>
    </row>
    <row r="14">
      <c r="A14" s="8" t="inlineStr">
        <is>
          <t xml:space="preserve">    + Δ Accounts payable</t>
        </is>
      </c>
      <c r="B14" s="9" t="n"/>
      <c r="C14" s="9" t="n"/>
      <c r="D14" s="9" t="n"/>
      <c r="E14" s="9" t="n"/>
      <c r="F14" s="9" t="n"/>
      <c r="G14" s="9" t="n"/>
    </row>
    <row r="15">
      <c r="A15" s="10" t="inlineStr">
        <is>
          <t xml:space="preserve">    Operating cash flow proxy</t>
        </is>
      </c>
      <c r="B15" s="11" t="n"/>
      <c r="C15" s="11" t="n">
        <v>2346</v>
      </c>
      <c r="D15" s="11" t="n">
        <v>8090</v>
      </c>
      <c r="E15" s="11" t="n">
        <v>-35073</v>
      </c>
      <c r="F15" s="11" t="n">
        <v>10078</v>
      </c>
      <c r="G15" s="11" t="n">
        <v>-6415</v>
      </c>
    </row>
    <row r="17">
      <c r="A17" s="6" t="inlineStr">
        <is>
          <t>Investing</t>
        </is>
      </c>
      <c r="B17" s="7" t="n"/>
      <c r="C17" s="7" t="n"/>
      <c r="D17" s="7" t="n"/>
      <c r="E17" s="7" t="n"/>
      <c r="F17" s="7" t="n"/>
      <c r="G17" s="7" t="n"/>
    </row>
    <row r="18">
      <c r="A18" s="8" t="inlineStr">
        <is>
          <t xml:space="preserve">    − Δ PP&amp;E gross (capex proxy)</t>
        </is>
      </c>
      <c r="B18" s="9" t="n"/>
      <c r="C18" s="9" t="n"/>
      <c r="D18" s="9" t="n"/>
      <c r="E18" s="9" t="n"/>
      <c r="F18" s="9" t="n"/>
      <c r="G18" s="9" t="n"/>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-20158</v>
      </c>
      <c r="D24" s="11" t="n">
        <v>-537</v>
      </c>
      <c r="E24" s="11" t="n">
        <v>-29988</v>
      </c>
      <c r="F24" s="11" t="n">
        <v>-15651</v>
      </c>
      <c r="G24" s="11" t="n">
        <v>-8125</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Sunrise Shore Mutual Water Company</t>
        </is>
      </c>
    </row>
    <row r="2">
      <c r="A2" s="2" t="inlineStr">
        <is>
          <t>Financial Ratios</t>
        </is>
      </c>
    </row>
    <row r="3">
      <c r="A3" s="2" t="inlineStr">
        <is>
          <t>Entity ID: cawc_0111   |   Fiscal year ends December 31.</t>
        </is>
      </c>
    </row>
    <row r="5">
      <c r="A5" s="4" t="inlineStr">
        <is>
          <t>Ratio</t>
        </is>
      </c>
      <c r="B5" s="5" t="inlineStr">
        <is>
          <t>FY2021</t>
        </is>
      </c>
      <c r="C5" s="5" t="inlineStr">
        <is>
          <t>FY2022</t>
        </is>
      </c>
      <c r="D5" s="5" t="inlineStr">
        <is>
          <t>FY2023</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0.4531508064069168</v>
      </c>
      <c r="C7" s="12" t="n">
        <v>0.03613901041345739</v>
      </c>
      <c r="D7" s="12" t="n">
        <v>0.1640474500659029</v>
      </c>
      <c r="E7" s="12" t="n">
        <v>-5.577767175572519</v>
      </c>
      <c r="F7" s="12" t="n">
        <v>0.06142200660661393</v>
      </c>
      <c r="G7" s="12" t="n">
        <v>-0.04978232358898348</v>
      </c>
    </row>
    <row r="8">
      <c r="A8" s="8" t="inlineStr">
        <is>
          <t xml:space="preserve">    Expense ratio (expenses / revenue)</t>
        </is>
      </c>
      <c r="B8" s="12" t="n">
        <v>0.5468491935930831</v>
      </c>
      <c r="C8" s="12" t="n">
        <v>0.9638609895865426</v>
      </c>
      <c r="D8" s="12" t="n">
        <v>0.8359525499340972</v>
      </c>
      <c r="E8" s="12" t="n">
        <v>6.577767175572519</v>
      </c>
      <c r="F8" s="12" t="n">
        <v>0.9385779933933861</v>
      </c>
      <c r="G8" s="12" t="n">
        <v>1.049782323588983</v>
      </c>
    </row>
    <row r="9">
      <c r="A9" s="8" t="inlineStr">
        <is>
          <t xml:space="preserve">    Return on assets (NI / assets)</t>
        </is>
      </c>
      <c r="B9" s="12" t="n">
        <v>0.09792653773001873</v>
      </c>
      <c r="C9" s="12" t="n">
        <v>0.005665394005694373</v>
      </c>
      <c r="D9" s="12" t="n">
        <v>0.02220910600798869</v>
      </c>
      <c r="E9" s="12" t="n">
        <v>-0.1106840236686391</v>
      </c>
      <c r="F9" s="12" t="n">
        <v>0.03262132654019078</v>
      </c>
      <c r="G9" s="12" t="n">
        <v>-0.02318940119652249</v>
      </c>
    </row>
    <row r="10">
      <c r="A10" s="8" t="inlineStr">
        <is>
          <t xml:space="preserve">    Revenue growth (YoY)</t>
        </is>
      </c>
      <c r="B10" s="12" t="n"/>
      <c r="C10" s="12" t="n"/>
      <c r="D10" s="12" t="n"/>
      <c r="E10" s="12" t="n"/>
      <c r="F10" s="12" t="n"/>
      <c r="G10" s="12" t="n"/>
    </row>
    <row r="12">
      <c r="A12" s="6" t="inlineStr">
        <is>
          <t>Leverage &amp; solvency</t>
        </is>
      </c>
      <c r="B12" s="7" t="n"/>
      <c r="C12" s="7" t="n"/>
      <c r="D12" s="7" t="n"/>
      <c r="E12" s="7" t="n"/>
      <c r="F12" s="7" t="n"/>
      <c r="G12" s="7" t="n"/>
    </row>
    <row r="13">
      <c r="A13" s="8" t="inlineStr">
        <is>
          <t xml:space="preserve">    Debt-to-assets (liab. / assets)</t>
        </is>
      </c>
      <c r="B13" s="12" t="n">
        <v>0.2951809249136457</v>
      </c>
      <c r="C13" s="12" t="n">
        <v>0.2634094273508608</v>
      </c>
      <c r="D13" s="12" t="n">
        <v>0.2443989952369841</v>
      </c>
      <c r="E13" s="12" t="n">
        <v>0.242079684418146</v>
      </c>
      <c r="F13" s="12" t="n">
        <v>0.1797053787317237</v>
      </c>
      <c r="G13" s="12" t="n">
        <v>0.1196847831980769</v>
      </c>
    </row>
    <row r="14">
      <c r="A14" s="8" t="inlineStr">
        <is>
          <t xml:space="preserve">    Equity ratio (net assets / assets)</t>
        </is>
      </c>
      <c r="B14" s="12" t="n">
        <v>0.7048190750863543</v>
      </c>
      <c r="C14" s="12" t="n">
        <v>0.7365905726491392</v>
      </c>
      <c r="D14" s="12" t="n">
        <v>0.7556010047630159</v>
      </c>
      <c r="E14" s="12" t="n">
        <v>0.757920315581854</v>
      </c>
      <c r="F14" s="12" t="n">
        <v>0.8202946212682762</v>
      </c>
      <c r="G14" s="12" t="n">
        <v>0.8803152168019232</v>
      </c>
    </row>
    <row r="16">
      <c r="A16" s="6" t="inlineStr">
        <is>
          <t>Liquidity &amp; asset profile (derived here)</t>
        </is>
      </c>
      <c r="B16" s="7" t="n"/>
      <c r="C16" s="7" t="n"/>
      <c r="D16" s="7" t="n"/>
      <c r="E16" s="7" t="n"/>
      <c r="F16" s="7" t="n"/>
      <c r="G16" s="7" t="n"/>
    </row>
    <row r="17">
      <c r="A17" s="8" t="inlineStr">
        <is>
          <t xml:space="preserve">    Current ratio (current assets / AP)</t>
        </is>
      </c>
      <c r="B17" s="15" t="n"/>
      <c r="C17" s="15" t="n"/>
      <c r="D17" s="15" t="n"/>
      <c r="E17" s="15" t="n"/>
      <c r="F17" s="15" t="n"/>
      <c r="G17" s="15" t="n"/>
    </row>
    <row r="18">
      <c r="A18" s="8" t="inlineStr">
        <is>
          <t xml:space="preserve">    Cash ratio ((cash+temp inv.) / total liab.)</t>
        </is>
      </c>
      <c r="B18" s="15" t="n">
        <v>0.6884636608562988</v>
      </c>
      <c r="C18" s="15" t="n">
        <v>0.5929810407422348</v>
      </c>
      <c r="D18" s="15" t="n">
        <v>0.720497382787051</v>
      </c>
      <c r="E18" s="15" t="n">
        <v>0.4452541422779596</v>
      </c>
      <c r="F18" s="15" t="n">
        <v>0.3332973089808711</v>
      </c>
      <c r="G18" s="15" t="n">
        <v>0.3134797185055423</v>
      </c>
    </row>
    <row r="19">
      <c r="A19" s="8" t="inlineStr">
        <is>
          <t xml:space="preserve">    Asset age proxy (accum. deprec. / gross PP&amp;E)</t>
        </is>
      </c>
      <c r="B19" s="12" t="n"/>
      <c r="C19" s="12" t="n"/>
      <c r="D19" s="12" t="n"/>
      <c r="E19" s="12" t="n"/>
      <c r="F19" s="12" t="n"/>
      <c r="G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5"/>
  <sheetViews>
    <sheetView workbookViewId="0">
      <pane ySplit="4" topLeftCell="A5" activePane="bottomLeft" state="frozen"/>
      <selection pane="bottomLeft" activeCell="A1" sqref="A1"/>
    </sheetView>
  </sheetViews>
  <sheetFormatPr baseColWidth="8" defaultRowHeight="15"/>
  <cols>
    <col width="34" customWidth="1" min="1" max="1"/>
    <col width="46" customWidth="1" min="2" max="2"/>
    <col width="46" customWidth="1" min="3" max="3"/>
  </cols>
  <sheetData>
    <row r="1">
      <c r="A1" s="1" t="inlineStr">
        <is>
          <t>Sunrise Shore Mutual Water Company</t>
        </is>
      </c>
    </row>
    <row r="2">
      <c r="A2" s="2" t="inlineStr">
        <is>
          <t>Filed periods shorter than a full year, carried exactly as filed</t>
        </is>
      </c>
    </row>
    <row r="3">
      <c r="A3" s="2" t="inlineStr">
        <is>
          <t>Entity ID: cawc_0111   |   Fiscal year ends December 31.</t>
        </is>
      </c>
    </row>
    <row r="5" ht="216" customHeight="1">
      <c r="A5" s="3" t="inlineStr">
        <is>
          <t>This system filed a reporting period shorter than twelve months because it changed its fiscal year end. The period is kept exactly as filed, with its own row, and no figure on it is annualized or scaled to a twelve-month equivalent. Metrics that measure activity over a period are not computed on it, because a ratio taken over a different number of months is a different measurement. It is excluded from this company's multi-year figures and from every cohort comparison for the same reason.</t>
        </is>
      </c>
    </row>
    <row r="6" ht="81" customHeight="1">
      <c r="A6" s="3" t="inlineStr">
        <is>
          <t>This system's filed period end has moved. Earlier filings on the spine end May 31; the latest ends December 31. Both are carried as filed and neither is restated.</t>
        </is>
      </c>
    </row>
    <row r="8">
      <c r="A8" s="16" t="inlineStr">
        <is>
          <t>FY2023: June 1, 2023 to December 31, 2023, 7 months</t>
        </is>
      </c>
      <c r="B8" s="7" t="n"/>
      <c r="C8" s="7" t="n"/>
    </row>
    <row r="9">
      <c r="A9" s="5" t="inlineStr">
        <is>
          <t>Metric</t>
        </is>
      </c>
      <c r="B9" s="5" t="inlineStr">
        <is>
          <t>As stated</t>
        </is>
      </c>
      <c r="C9" s="5" t="inlineStr">
        <is>
          <t>Why it reads that way</t>
        </is>
      </c>
    </row>
    <row r="10" ht="42" customHeight="1">
      <c r="A10" s="8" t="inlineStr">
        <is>
          <t>Operating ratio</t>
        </is>
      </c>
      <c r="B10" s="8" t="inlineStr">
        <is>
          <t>not a full year: 7-month transition period</t>
        </is>
      </c>
      <c r="C10" s="17" t="inlineStr">
        <is>
          <t>A flow metric measures activity over a period, so it is not computed on a period of a different length. The figure is not withheld for doubt; it would be a different measurement.</t>
        </is>
      </c>
    </row>
    <row r="11" ht="42" customHeight="1">
      <c r="A11" s="8" t="inlineStr">
        <is>
          <t>Days cash on hand</t>
        </is>
      </c>
      <c r="B11" s="8" t="inlineStr">
        <is>
          <t>not a full year: 7-month transition period</t>
        </is>
      </c>
      <c r="C11" s="17" t="inlineStr">
        <is>
          <t>A flow metric measures activity over a period, so it is not computed on a period of a different length. The figure is not withheld for doubt; it would be a different measurement.</t>
        </is>
      </c>
    </row>
    <row r="12" ht="42" customHeight="1">
      <c r="A12" s="8" t="inlineStr">
        <is>
          <t>Reinvestment ratio</t>
        </is>
      </c>
      <c r="B12" s="8" t="inlineStr">
        <is>
          <t>not a full year: 7-month transition period</t>
        </is>
      </c>
      <c r="C12" s="17" t="inlineStr">
        <is>
          <t>A flow metric measures activity over a period, so it is not computed on a period of a different length. The figure is not withheld for doubt; it would be a different measurement.</t>
        </is>
      </c>
    </row>
    <row r="13" ht="42" customHeight="1">
      <c r="A13" s="8" t="inlineStr">
        <is>
          <t>Rate discipline</t>
        </is>
      </c>
      <c r="B13" s="8" t="inlineStr">
        <is>
          <t>not a full year: 7-month transition period</t>
        </is>
      </c>
      <c r="C13" s="17" t="inlineStr">
        <is>
          <t>A flow metric measures activity over a period, so it is not computed on a period of a different length. The figure is not withheld for doubt; it would be a different measurement.</t>
        </is>
      </c>
    </row>
    <row r="14" ht="42" customHeight="1">
      <c r="A14" s="8" t="inlineStr">
        <is>
          <t>Equity as a share of assets</t>
        </is>
      </c>
      <c r="B14" s="8" t="inlineStr">
        <is>
          <t>75.79%</t>
        </is>
      </c>
      <c r="C14" s="17" t="inlineStr">
        <is>
          <t>A balance sheet ratio, so the length of the period does not affect it. It is stated for this period and is read by no cohort figure, because this row is outside every window.</t>
        </is>
      </c>
    </row>
    <row r="15" ht="36" customHeight="1">
      <c r="A15" s="3" t="inlineStr">
        <is>
          <t>Source: 990-EZ return header, period June 1, 2023 to December 31, 2023</t>
        </is>
      </c>
    </row>
  </sheetData>
  <mergeCells count="6">
    <mergeCell ref="A1:C1"/>
    <mergeCell ref="A5:C5"/>
    <mergeCell ref="A6:C6"/>
    <mergeCell ref="A3:C3"/>
    <mergeCell ref="A15:C15"/>
    <mergeCell ref="A2:C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Sunrise Shore Mutual Water Company</t>
        </is>
      </c>
    </row>
    <row r="2">
      <c r="A2" s="2" t="inlineStr">
        <is>
          <t>Unit economics - per-customer revenue by category (USD)</t>
        </is>
      </c>
    </row>
    <row r="3">
      <c r="A3" s="2" t="inlineStr">
        <is>
          <t>Entity ID: cawc_0111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8" t="inlineStr">
        <is>
          <t>Per-customer denominator (service connections)</t>
        </is>
      </c>
      <c r="B6" s="17" t="n"/>
      <c r="C6" s="19" t="inlineStr">
        <is>
          <t>State Water Board eAR Section 4</t>
        </is>
      </c>
    </row>
    <row r="7">
      <c r="A7" s="18" t="inlineStr">
        <is>
          <t>Total annual revenue (eAR Section 8b B1.8)</t>
        </is>
      </c>
      <c r="B7" s="17" t="n"/>
      <c r="C7" s="19" t="inlineStr">
        <is>
          <t>eAR Section 8b total annual revenue not reported for this system.</t>
        </is>
      </c>
    </row>
    <row r="8">
      <c r="A8" s="18" t="inlineStr">
        <is>
          <t>Primary source</t>
        </is>
      </c>
      <c r="B8" s="17" t="inlineStr"/>
      <c r="C8" s="19"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0" t="inlineStr">
        <is>
          <t>not reported</t>
        </is>
      </c>
      <c r="C12" s="21" t="inlineStr">
        <is>
          <t>not reported</t>
        </is>
      </c>
      <c r="D12" s="21" t="inlineStr">
        <is>
          <t>not reported</t>
        </is>
      </c>
      <c r="E12" s="21" t="inlineStr">
        <is>
          <t>not reported</t>
        </is>
      </c>
    </row>
    <row r="13">
      <c r="A13" s="8" t="inlineStr">
        <is>
          <t>Assessment revenue (990 program-service revenue not matched to eAR water-rate revenue)</t>
        </is>
      </c>
      <c r="B13" s="20" t="inlineStr">
        <is>
          <t>IMPOSSIBLE</t>
        </is>
      </c>
      <c r="C13" s="21" t="inlineStr">
        <is>
          <t>IMPOSSIBLE</t>
        </is>
      </c>
      <c r="D13" s="21" t="inlineStr">
        <is>
          <t>IMPOSSIBLE</t>
        </is>
      </c>
      <c r="E13" s="21" t="inlineStr">
        <is>
          <t>IMPOSSIBLE</t>
        </is>
      </c>
    </row>
    <row r="14">
      <c r="A14" s="8" t="inlineStr">
        <is>
          <t>Meter revenue</t>
        </is>
      </c>
      <c r="B14" s="20" t="inlineStr">
        <is>
          <t>not reported</t>
        </is>
      </c>
      <c r="C14" s="21" t="inlineStr">
        <is>
          <t>not reported</t>
        </is>
      </c>
      <c r="D14" s="21" t="inlineStr">
        <is>
          <t>not reported</t>
        </is>
      </c>
      <c r="E14" s="21" t="inlineStr">
        <is>
          <t>not reported</t>
        </is>
      </c>
    </row>
    <row r="15">
      <c r="A15" s="8" t="inlineStr">
        <is>
          <t>Overage or tiered penalty revenue</t>
        </is>
      </c>
      <c r="B15" s="20" t="inlineStr">
        <is>
          <t>not reported</t>
        </is>
      </c>
      <c r="C15" s="21" t="inlineStr">
        <is>
          <t>not reported</t>
        </is>
      </c>
      <c r="D15" s="21" t="inlineStr">
        <is>
          <t>not reported</t>
        </is>
      </c>
      <c r="E15" s="21"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Sunrise Shore Mutual Water Company</t>
        </is>
      </c>
    </row>
    <row r="2">
      <c r="A2" s="2" t="inlineStr">
        <is>
          <t>Rate structure and representative bill - eAR Section 8a</t>
        </is>
      </c>
    </row>
    <row r="3">
      <c r="A3" s="2" t="inlineStr">
        <is>
          <t>Entity ID: cawc_0111   |   Fiscal year ends December 31.</t>
        </is>
      </c>
    </row>
    <row r="5" ht="81" customHeight="1">
      <c r="A5" s="22"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Sunrise Shore Mutual Water Company</t>
        </is>
      </c>
    </row>
    <row r="2">
      <c r="A2" s="2" t="inlineStr">
        <is>
          <t>Operational metrics - plant per acre, density, terrain</t>
        </is>
      </c>
    </row>
    <row r="3">
      <c r="A3" s="2" t="inlineStr">
        <is>
          <t>Entity ID: cawc_0111   |   Fiscal year ends December 31.</t>
        </is>
      </c>
    </row>
    <row r="5">
      <c r="A5" s="6" t="inlineStr">
        <is>
          <t>Connections per acre</t>
        </is>
      </c>
      <c r="B5" s="7" t="n"/>
      <c r="C5" s="7" t="n"/>
    </row>
    <row r="6">
      <c r="A6" s="18" t="inlineStr">
        <is>
          <t>Connections per acre</t>
        </is>
      </c>
      <c r="B6" s="15" t="n">
        <v>1.72</v>
      </c>
      <c r="C6" s="19" t="inlineStr">
        <is>
          <t>42 connections / 24.4 acres. CA State Water Board SABL SERVICE_CONNECTIONS; Geodesic area (WGS84 spherical excess) of the SABL service-area polygon.</t>
        </is>
      </c>
    </row>
  </sheetData>
  <mergeCells count="3">
    <mergeCell ref="A1:C1"/>
    <mergeCell ref="A3:C3"/>
    <mergeCell ref="A2:C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Sunrise Shore Mutual Water Company</t>
        </is>
      </c>
    </row>
    <row r="2">
      <c r="A2" s="2" t="inlineStr">
        <is>
          <t>Supply and weather indicators (DWR water year)</t>
        </is>
      </c>
    </row>
    <row r="3">
      <c r="A3" s="2" t="inlineStr">
        <is>
          <t>Entity ID: cawc_0111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3" t="inlineStr">
        <is>
          <t>Critical</t>
        </is>
      </c>
      <c r="C8" s="23" t="inlineStr">
        <is>
          <t>Critical</t>
        </is>
      </c>
      <c r="D8" s="23" t="inlineStr">
        <is>
          <t>Wet</t>
        </is>
      </c>
      <c r="E8" s="23" t="inlineStr">
        <is>
          <t>Above Normal</t>
        </is>
      </c>
      <c r="F8" s="24" t="inlineStr">
        <is>
          <t>not reported</t>
        </is>
      </c>
    </row>
    <row r="9">
      <c r="A9" s="8" t="inlineStr">
        <is>
          <t>Peak drought, county County</t>
        </is>
      </c>
      <c r="B9" s="24" t="inlineStr">
        <is>
          <t>not reported</t>
        </is>
      </c>
      <c r="C9" s="24" t="inlineStr">
        <is>
          <t>not reported</t>
        </is>
      </c>
      <c r="D9" s="24" t="inlineStr">
        <is>
          <t>not reported</t>
        </is>
      </c>
      <c r="E9" s="24" t="inlineStr">
        <is>
          <t>not reported</t>
        </is>
      </c>
      <c r="F9" s="24" t="inlineStr">
        <is>
          <t>not reported</t>
        </is>
      </c>
    </row>
    <row r="10">
      <c r="A10" s="8" t="inlineStr">
        <is>
          <t>Precip, percent of normal (8-Station Index)</t>
        </is>
      </c>
      <c r="B10" s="23" t="inlineStr">
        <is>
          <t>48</t>
        </is>
      </c>
      <c r="C10" s="23" t="inlineStr">
        <is>
          <t>86</t>
        </is>
      </c>
      <c r="D10" s="23" t="inlineStr">
        <is>
          <t>133</t>
        </is>
      </c>
      <c r="E10" s="23" t="inlineStr">
        <is>
          <t>96</t>
        </is>
      </c>
      <c r="F10" s="23" t="inlineStr">
        <is>
          <t>113</t>
        </is>
      </c>
    </row>
    <row r="11">
      <c r="A11" s="8" t="inlineStr">
        <is>
          <t>Snowpack, April 1 percent of average</t>
        </is>
      </c>
      <c r="B11" s="23" t="inlineStr">
        <is>
          <t>59%</t>
        </is>
      </c>
      <c r="C11" s="23" t="inlineStr">
        <is>
          <t>38%</t>
        </is>
      </c>
      <c r="D11" s="23" t="inlineStr">
        <is>
          <t>237%</t>
        </is>
      </c>
      <c r="E11" s="23" t="inlineStr">
        <is>
          <t>110%</t>
        </is>
      </c>
      <c r="F11" s="23" t="inlineStr">
        <is>
          <t>96%</t>
        </is>
      </c>
    </row>
    <row r="12">
      <c r="A12" s="8" t="inlineStr">
        <is>
          <t>State Water Project allocation</t>
        </is>
      </c>
      <c r="B12" s="23" t="inlineStr">
        <is>
          <t>5%</t>
        </is>
      </c>
      <c r="C12" s="23" t="inlineStr">
        <is>
          <t>5%</t>
        </is>
      </c>
      <c r="D12" s="23" t="inlineStr">
        <is>
          <t>100%</t>
        </is>
      </c>
      <c r="E12" s="23" t="inlineStr">
        <is>
          <t>40%</t>
        </is>
      </c>
      <c r="F12" s="23"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Sunrise Shore Mutual Water Company</t>
        </is>
      </c>
    </row>
    <row r="2">
      <c r="A2" s="2" t="inlineStr">
        <is>
          <t>How this was built - forensic lineage</t>
        </is>
      </c>
    </row>
    <row r="3">
      <c r="A3" s="2" t="inlineStr">
        <is>
          <t>Entity ID: cawc_0111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18" t="inlineStr">
        <is>
          <t>Sources checked</t>
        </is>
      </c>
      <c r="B8" s="19" t="inlineStr">
        <is>
          <t>State Water Board eAR Section 8b (water-rate revenue B1.1/B1.2); State Water Board eAR Section 4 (connection count, same reporting year); audited financial statement (secondary cross-check, where published)</t>
        </is>
      </c>
    </row>
    <row r="9" ht="72" customHeight="1">
      <c r="A9" s="18" t="inlineStr">
        <is>
          <t>What was found</t>
        </is>
      </c>
      <c r="B9" s="19"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18" t="inlineStr">
        <is>
          <t>Sources checked</t>
        </is>
      </c>
      <c r="B12" s="19" t="inlineStr">
        <is>
          <t>Form 990 Part VIII line 2 (program-service revenue); State Water Board eAR Section 8b (water-rate revenue B1.1/B1.2); eAR Section 8b filer comment (WRRevenueComments)</t>
        </is>
      </c>
    </row>
    <row r="13" ht="72" customHeight="1">
      <c r="A13" s="18" t="inlineStr">
        <is>
          <t>What was found</t>
        </is>
      </c>
      <c r="B13" s="19" t="inlineStr">
        <is>
          <t>A period-aligned residual cannot be computed for this filer, so the metric is rendered IMPOSSIBLE rather than guessed.</t>
        </is>
      </c>
    </row>
    <row r="14" ht="72" customHeight="1">
      <c r="A14" s="18" t="inlineStr">
        <is>
          <t>Caveat</t>
        </is>
      </c>
      <c r="B14" s="19"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18" t="inlineStr">
        <is>
          <t>Sources checked</t>
        </is>
      </c>
      <c r="B17" s="19" t="inlineStr">
        <is>
          <t>State Water Board eAR Section 8a (rate prices); State Water Board eAR Section 8b (revenue lines); audited financial statement</t>
        </is>
      </c>
    </row>
    <row r="18" ht="72" customHeight="1">
      <c r="A18" s="18" t="inlineStr">
        <is>
          <t>What was found</t>
        </is>
      </c>
      <c r="B18" s="19" t="inlineStr">
        <is>
          <t>The rate price exists in Section 8a but no revenue or tier volume is reported, and the base charge is already inside water sales.</t>
        </is>
      </c>
    </row>
    <row r="19" ht="72" customHeight="1">
      <c r="A19" s="18" t="inlineStr">
        <is>
          <t>Caveat</t>
        </is>
      </c>
      <c r="B19" s="19"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8" t="inlineStr">
        <is>
          <t>Sources checked</t>
        </is>
      </c>
      <c r="B22" s="19" t="inlineStr">
        <is>
          <t>State Water Board eAR Section 8a (rate prices); State Water Board eAR Section 8b (revenue lines); audited financial statement</t>
        </is>
      </c>
    </row>
    <row r="23" ht="72" customHeight="1">
      <c r="A23" s="18" t="inlineStr">
        <is>
          <t>What was found</t>
        </is>
      </c>
      <c r="B23" s="19" t="inlineStr">
        <is>
          <t>The rate price exists in Section 8a but no revenue or tier volume is reported, and the base charge is already inside water sales.</t>
        </is>
      </c>
    </row>
    <row r="24" ht="72" customHeight="1">
      <c r="A24" s="18" t="inlineStr">
        <is>
          <t>Caveat</t>
        </is>
      </c>
      <c r="B24" s="19"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8" t="inlineStr">
        <is>
          <t>Sources checked</t>
        </is>
      </c>
      <c r="B27" s="19" t="inlineStr">
        <is>
          <t>eAR Section 8b B0.1 (WRFinancialReportingPeriod); eAR Section 8b B0.2 (WRFiscalYearStartDate)</t>
        </is>
      </c>
    </row>
    <row r="28" ht="72" customHeight="1">
      <c r="A28" s="18" t="inlineStr">
        <is>
          <t>What was found</t>
        </is>
      </c>
      <c r="B28" s="19"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8" t="inlineStr">
        <is>
          <t>Sources checked</t>
        </is>
      </c>
      <c r="B31" s="19" t="inlineStr">
        <is>
          <t>Form 990 (no member count stated); company website</t>
        </is>
      </c>
    </row>
    <row r="32" ht="72" customHeight="1">
      <c r="A32" s="18" t="inlineStr">
        <is>
          <t>What was found</t>
        </is>
      </c>
      <c r="B32" s="19"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8" t="inlineStr">
        <is>
          <t>Sources checked</t>
        </is>
      </c>
      <c r="B35" s="19" t="inlineStr">
        <is>
          <t>Form 990 (not in the filing); Consumer Confidence Report; eAR Section 6 (PRA-gated)</t>
        </is>
      </c>
    </row>
    <row r="36" ht="72" customHeight="1">
      <c r="A36" s="18" t="inlineStr">
        <is>
          <t>What was found</t>
        </is>
      </c>
      <c r="B36" s="19"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Sunrise Shore Mutual Water Company</t>
        </is>
      </c>
    </row>
    <row r="2">
      <c r="A2" s="2" t="inlineStr">
        <is>
          <t>Anomaly Flags (automated; kept separate from the clean statements)</t>
        </is>
      </c>
    </row>
    <row r="3">
      <c r="A3" s="2" t="inlineStr">
        <is>
          <t>Entity ID: cawc_0111   |   Fiscal year ends December 31.</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FY2023 opening net assets differ from FY2022 closing</t>
        </is>
      </c>
      <c r="B7" s="7" t="n"/>
    </row>
    <row r="8">
      <c r="A8" s="18" t="inlineStr">
        <is>
          <t>Affected figure</t>
        </is>
      </c>
      <c r="B8" s="19" t="inlineStr">
        <is>
          <t>Net assets FY2023</t>
        </is>
      </c>
    </row>
    <row r="9">
      <c r="A9" s="18" t="inlineStr">
        <is>
          <t>Confidence</t>
        </is>
      </c>
      <c r="B9" s="19" t="inlineStr">
        <is>
          <t>high</t>
        </is>
      </c>
    </row>
    <row r="10" ht="72" customHeight="1">
      <c r="A10" s="18" t="inlineStr">
        <is>
          <t>What happened (filed, sourced)</t>
        </is>
      </c>
      <c r="B10" s="19" t="inlineStr">
        <is>
          <t>The company filed $275,239 as its beginning net assets for FY2023 and $305,017 as its ending net assets for FY2022, a difference of $-29,778. Both figures are carried exactly as each year's own filing reports them. Neither is adjusted to match the other.</t>
        </is>
      </c>
    </row>
    <row r="11" ht="54" customHeight="1">
      <c r="A11" s="18" t="inlineStr">
        <is>
          <t>Source lines</t>
        </is>
      </c>
      <c r="B11" s="19" t="inlineStr">
        <is>
          <t>- FY2023 net assets, beginning of year (as filed): $275,239
- FY2022 net assets, end of year (as filed): $305,017
- Difference: $-29,778</t>
        </is>
      </c>
    </row>
    <row r="12" ht="72" customHeight="1">
      <c r="A12" s="18" t="inlineStr">
        <is>
          <t>Confidence reasoning</t>
        </is>
      </c>
      <c r="B12" s="19" t="inlineStr">
        <is>
          <t>Both are direct filed line items read from two different returns, so the difference between them is high confidence as an observation. What caused it is not stated on either form.</t>
        </is>
      </c>
    </row>
    <row r="13">
      <c r="A13" s="18" t="inlineStr">
        <is>
          <t>Why (not stated in the filing)</t>
        </is>
      </c>
      <c r="B13" s="19" t="inlineStr">
        <is>
          <t>The filing does not state a reason.</t>
        </is>
      </c>
    </row>
    <row r="14" ht="60" customHeight="1">
      <c r="A14" s="18" t="inlineStr">
        <is>
          <t>Possible explanation (guess)</t>
        </is>
      </c>
      <c r="B14" s="25" t="inlineStr">
        <is>
          <t>Possible explanation, not stated in filing: a beginning balance that differs from the prior year's ending balance usually means the earlier year was restated, or a balance-sheet line was reclassified between the two filings. This is an educated guess, not something either filing says.</t>
        </is>
      </c>
    </row>
  </sheetData>
  <mergeCells count="4">
    <mergeCell ref="A3:B3"/>
    <mergeCell ref="A2:B2"/>
    <mergeCell ref="A1:B1"/>
    <mergeCell ref="A5:B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35"/>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Sunrise Shore Mutual Water Company</t>
        </is>
      </c>
    </row>
    <row r="2">
      <c r="A2" s="2" t="inlineStr">
        <is>
          <t>Sources &amp; audit - full provenance and tie-outs (kept off the statements so they read clean)</t>
        </is>
      </c>
    </row>
    <row r="3">
      <c r="A3" s="2" t="inlineStr">
        <is>
          <t>Entity ID: cawc_0111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16"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3" t="inlineStr">
        <is>
          <t>FY2021</t>
        </is>
      </c>
      <c r="B10" s="8" t="inlineStr">
        <is>
          <t>2021-05-31</t>
        </is>
      </c>
      <c r="C10" s="8" t="inlineStr">
        <is>
          <t>990-EZ</t>
        </is>
      </c>
      <c r="D10" s="8" t="inlineStr">
        <is>
          <t>high</t>
        </is>
      </c>
      <c r="E10" s="8" t="inlineStr">
        <is>
          <t>c7765b45-6b3c-43ed-b4da-cecf5237be04</t>
        </is>
      </c>
      <c r="F10" s="8" t="inlineStr">
        <is>
          <t>202102569349200835</t>
        </is>
      </c>
      <c r="G10" s="8" t="inlineStr">
        <is>
          <t>claude-opus-5</t>
        </is>
      </c>
      <c r="H10" s="8" t="inlineStr">
        <is>
          <t>2026-09-23T17:59:36+00:00</t>
        </is>
      </c>
      <c r="I10" s="8" t="inlineStr">
        <is>
          <t>https://apps.irs.gov/pub/epostcard/990/xml/2021/2021_TEOS_XML_01A.zip#202102569349200835_public.xml</t>
        </is>
      </c>
    </row>
    <row r="11">
      <c r="A11" s="23" t="inlineStr">
        <is>
          <t>FY2022</t>
        </is>
      </c>
      <c r="B11" s="8" t="inlineStr">
        <is>
          <t>2022-05-31</t>
        </is>
      </c>
      <c r="C11" s="8" t="inlineStr">
        <is>
          <t>990-EZ</t>
        </is>
      </c>
      <c r="D11" s="8" t="inlineStr">
        <is>
          <t>high</t>
        </is>
      </c>
      <c r="E11" s="8" t="inlineStr">
        <is>
          <t>1edf6793-a297-42d1-b0bf-a1753c0430f3</t>
        </is>
      </c>
      <c r="F11" s="8" t="inlineStr">
        <is>
          <t>202212449349200831</t>
        </is>
      </c>
      <c r="G11" s="8" t="inlineStr">
        <is>
          <t>claude-opus-5</t>
        </is>
      </c>
      <c r="H11" s="8" t="inlineStr">
        <is>
          <t>2026-09-23T17:59:36+00:00</t>
        </is>
      </c>
      <c r="I11" s="8" t="inlineStr">
        <is>
          <t>https://apps.irs.gov/pub/epostcard/990/xml/2022/2022_TEOS_XML_01A.zip#202212449349200831_public.xml</t>
        </is>
      </c>
    </row>
    <row r="12">
      <c r="A12" s="23" t="inlineStr">
        <is>
          <t>FY2023</t>
        </is>
      </c>
      <c r="B12" s="8" t="inlineStr">
        <is>
          <t>2023-05-31</t>
        </is>
      </c>
      <c r="C12" s="8" t="inlineStr">
        <is>
          <t>990-EZ</t>
        </is>
      </c>
      <c r="D12" s="8" t="inlineStr">
        <is>
          <t>high</t>
        </is>
      </c>
      <c r="E12" s="8" t="inlineStr">
        <is>
          <t>2e120290-6b99-47ec-9abe-eedca4d0d2e6</t>
        </is>
      </c>
      <c r="F12" s="8" t="inlineStr">
        <is>
          <t>202323009349201282</t>
        </is>
      </c>
      <c r="G12" s="8" t="inlineStr">
        <is>
          <t>claude-opus-5</t>
        </is>
      </c>
      <c r="H12" s="8" t="inlineStr">
        <is>
          <t>2026-09-23T17:59:36+00:00</t>
        </is>
      </c>
      <c r="I12" s="8" t="inlineStr">
        <is>
          <t>https://apps.irs.gov/pub/epostcard/990/xml/2023/2023_TEOS_XML_11A.zip#202323009349201282_public.xml</t>
        </is>
      </c>
    </row>
    <row r="13">
      <c r="A13" s="23" t="inlineStr">
        <is>
          <t>FY2023</t>
        </is>
      </c>
      <c r="B13" s="8" t="inlineStr">
        <is>
          <t>2023-12-31</t>
        </is>
      </c>
      <c r="C13" s="8" t="inlineStr">
        <is>
          <t>990-EZ</t>
        </is>
      </c>
      <c r="D13" s="8" t="inlineStr">
        <is>
          <t>high</t>
        </is>
      </c>
      <c r="E13" s="8" t="inlineStr">
        <is>
          <t>76a3da77-c4a9-47fe-9837-58c0a4e9b013</t>
        </is>
      </c>
      <c r="F13" s="8" t="inlineStr">
        <is>
          <t>202410759349201256</t>
        </is>
      </c>
      <c r="G13" s="8" t="inlineStr">
        <is>
          <t>claude-opus-5</t>
        </is>
      </c>
      <c r="H13" s="8" t="inlineStr">
        <is>
          <t>2026-09-23T17:59:36+00:00</t>
        </is>
      </c>
      <c r="I13" s="8" t="inlineStr">
        <is>
          <t>https://apps.irs.gov/pub/epostcard/990/xml/2024/2024_TEOS_XML_03A.zip#202410759349201256_public.xml</t>
        </is>
      </c>
    </row>
    <row r="14">
      <c r="A14" s="23" t="inlineStr">
        <is>
          <t>FY2024</t>
        </is>
      </c>
      <c r="B14" s="8" t="inlineStr">
        <is>
          <t>2024-12-31</t>
        </is>
      </c>
      <c r="C14" s="8" t="inlineStr">
        <is>
          <t>990-EZ</t>
        </is>
      </c>
      <c r="D14" s="8" t="inlineStr">
        <is>
          <t>high</t>
        </is>
      </c>
      <c r="E14" s="8" t="inlineStr">
        <is>
          <t>393d4559-01e0-497a-975f-b0b1304a7dea</t>
        </is>
      </c>
      <c r="F14" s="8" t="inlineStr">
        <is>
          <t>202511039349201446</t>
        </is>
      </c>
      <c r="G14" s="8" t="inlineStr">
        <is>
          <t>claude-opus-5</t>
        </is>
      </c>
      <c r="H14" s="8" t="inlineStr">
        <is>
          <t>2026-09-23T17:59:36+00:00</t>
        </is>
      </c>
      <c r="I14" s="8" t="inlineStr">
        <is>
          <t>https://apps.irs.gov/pub/epostcard/990/xml/2025/2025_TEOS_XML_04A.zip#202511039349201446_public.xml</t>
        </is>
      </c>
    </row>
    <row r="15">
      <c r="A15" s="23" t="inlineStr">
        <is>
          <t>FY2025</t>
        </is>
      </c>
      <c r="B15" s="8" t="inlineStr">
        <is>
          <t>2025-12-31</t>
        </is>
      </c>
      <c r="C15" s="8" t="inlineStr">
        <is>
          <t>990-EZ</t>
        </is>
      </c>
      <c r="D15" s="8" t="inlineStr">
        <is>
          <t>high</t>
        </is>
      </c>
      <c r="E15" s="8" t="inlineStr">
        <is>
          <t>37f868a2-df33-466c-ad0a-0890f86c331a</t>
        </is>
      </c>
      <c r="F15" s="8" t="inlineStr">
        <is>
          <t>202620539349200602</t>
        </is>
      </c>
      <c r="G15" s="8" t="inlineStr">
        <is>
          <t>claude-opus-5</t>
        </is>
      </c>
      <c r="H15" s="8" t="inlineStr">
        <is>
          <t>2026-09-23T17:59:36+00:00</t>
        </is>
      </c>
      <c r="I15" s="8" t="inlineStr">
        <is>
          <t>https://apps.irs.gov/pub/epostcard/990/xml/2026/2026_TEOS_XML_03A.zip#202620539349200602_public.xml</t>
        </is>
      </c>
    </row>
    <row r="17">
      <c r="A17" s="16"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Form 990-EZ Parts I &amp; II</t>
        </is>
      </c>
      <c r="B19" s="8" t="inlineStr">
        <is>
          <t>B7</t>
        </is>
      </c>
      <c r="C19" s="8" t="inlineStr">
        <is>
          <t>1. Contributions, gifts, grants</t>
        </is>
      </c>
      <c r="D19" s="8" t="inlineStr">
        <is>
          <t>Part I line 1</t>
        </is>
      </c>
      <c r="E19" s="8" t="inlineStr">
        <is>
          <t>part_i_revenue_expenses.contributions_grants</t>
        </is>
      </c>
      <c r="F19" s="8" t="inlineStr">
        <is>
          <t>high</t>
        </is>
      </c>
      <c r="G19" s="9" t="n">
        <v>11886</v>
      </c>
    </row>
    <row r="20">
      <c r="A20" s="8" t="inlineStr">
        <is>
          <t>Form 990-EZ Parts I &amp; II</t>
        </is>
      </c>
      <c r="B20" s="8" t="inlineStr">
        <is>
          <t>C7</t>
        </is>
      </c>
      <c r="C20" s="8" t="inlineStr">
        <is>
          <t>1. Contributions, gifts, grants</t>
        </is>
      </c>
      <c r="D20" s="8" t="inlineStr">
        <is>
          <t>Part I line 1</t>
        </is>
      </c>
      <c r="E20" s="8" t="inlineStr">
        <is>
          <t>part_i_revenue_expenses.contributions_grants</t>
        </is>
      </c>
      <c r="F20" s="8" t="inlineStr">
        <is>
          <t>high</t>
        </is>
      </c>
      <c r="G20" s="9" t="n">
        <v>16379</v>
      </c>
    </row>
    <row r="21">
      <c r="A21" s="8" t="inlineStr">
        <is>
          <t>Form 990-EZ Parts I &amp; II</t>
        </is>
      </c>
      <c r="B21" s="8" t="inlineStr">
        <is>
          <t>F7</t>
        </is>
      </c>
      <c r="C21" s="8" t="inlineStr">
        <is>
          <t>1. Contributions, gifts, grants</t>
        </is>
      </c>
      <c r="D21" s="8" t="inlineStr">
        <is>
          <t>Part I line 1</t>
        </is>
      </c>
      <c r="E21" s="8" t="inlineStr">
        <is>
          <t>part_i_revenue_expenses.contributions_grants</t>
        </is>
      </c>
      <c r="F21" s="8" t="inlineStr">
        <is>
          <t>high</t>
        </is>
      </c>
      <c r="G21" s="9" t="n">
        <v>100526</v>
      </c>
    </row>
    <row r="22">
      <c r="A22" s="8" t="inlineStr">
        <is>
          <t>Form 990-EZ Parts I &amp; II</t>
        </is>
      </c>
      <c r="B22" s="8" t="inlineStr">
        <is>
          <t>G7</t>
        </is>
      </c>
      <c r="C22" s="8" t="inlineStr">
        <is>
          <t>1. Contributions, gifts, grants</t>
        </is>
      </c>
      <c r="D22" s="8" t="inlineStr">
        <is>
          <t>Part I line 1</t>
        </is>
      </c>
      <c r="E22" s="8" t="inlineStr">
        <is>
          <t>part_i_revenue_expenses.contributions_grants</t>
        </is>
      </c>
      <c r="F22" s="8" t="inlineStr">
        <is>
          <t>high</t>
        </is>
      </c>
      <c r="G22" s="9" t="n">
        <v>91059</v>
      </c>
    </row>
    <row r="23">
      <c r="A23" s="8" t="inlineStr">
        <is>
          <t>Form 990-EZ Parts I &amp; II</t>
        </is>
      </c>
      <c r="B23" s="8" t="inlineStr">
        <is>
          <t>B8</t>
        </is>
      </c>
      <c r="C23" s="8" t="inlineStr">
        <is>
          <t>3. Membership dues and assessments</t>
        </is>
      </c>
      <c r="D23" s="8" t="inlineStr">
        <is>
          <t>Part I line 3</t>
        </is>
      </c>
      <c r="E23" s="8" t="inlineStr">
        <is>
          <t>part_i_revenue_expenses.membership_dues</t>
        </is>
      </c>
      <c r="F23" s="8" t="inlineStr">
        <is>
          <t>high</t>
        </is>
      </c>
      <c r="G23" s="9" t="n">
        <v>78329</v>
      </c>
    </row>
    <row r="24">
      <c r="A24" s="8" t="inlineStr">
        <is>
          <t>Form 990-EZ Parts I &amp; II</t>
        </is>
      </c>
      <c r="B24" s="8" t="inlineStr">
        <is>
          <t>C8</t>
        </is>
      </c>
      <c r="C24" s="8" t="inlineStr">
        <is>
          <t>3. Membership dues and assessments</t>
        </is>
      </c>
      <c r="D24" s="8" t="inlineStr">
        <is>
          <t>Part I line 3</t>
        </is>
      </c>
      <c r="E24" s="8" t="inlineStr">
        <is>
          <t>part_i_revenue_expenses.membership_dues</t>
        </is>
      </c>
      <c r="F24" s="8" t="inlineStr">
        <is>
          <t>high</t>
        </is>
      </c>
      <c r="G24" s="9" t="n">
        <v>48387</v>
      </c>
    </row>
    <row r="25">
      <c r="A25" s="8" t="inlineStr">
        <is>
          <t>Form 990-EZ Parts I &amp; II</t>
        </is>
      </c>
      <c r="B25" s="8" t="inlineStr">
        <is>
          <t>D8</t>
        </is>
      </c>
      <c r="C25" s="8" t="inlineStr">
        <is>
          <t>3. Membership dues and assessments</t>
        </is>
      </c>
      <c r="D25" s="8" t="inlineStr">
        <is>
          <t>Part I line 3</t>
        </is>
      </c>
      <c r="E25" s="8" t="inlineStr">
        <is>
          <t>part_i_revenue_expenses.membership_dues</t>
        </is>
      </c>
      <c r="F25" s="8" t="inlineStr">
        <is>
          <t>high</t>
        </is>
      </c>
      <c r="G25" s="9" t="n">
        <v>49165</v>
      </c>
    </row>
    <row r="26">
      <c r="A26" s="8" t="inlineStr">
        <is>
          <t>Form 990-EZ Parts I &amp; II</t>
        </is>
      </c>
      <c r="B26" s="8" t="inlineStr">
        <is>
          <t>E8</t>
        </is>
      </c>
      <c r="C26" s="8" t="inlineStr">
        <is>
          <t>3. Membership dues and assessments</t>
        </is>
      </c>
      <c r="D26" s="8" t="inlineStr">
        <is>
          <t>Part I line 3</t>
        </is>
      </c>
      <c r="E26" s="8" t="inlineStr">
        <is>
          <t>part_i_revenue_expenses.membership_dues</t>
        </is>
      </c>
      <c r="F26" s="8" t="inlineStr">
        <is>
          <t>high</t>
        </is>
      </c>
      <c r="G26" s="9" t="n">
        <v>49165</v>
      </c>
    </row>
    <row r="27">
      <c r="A27" s="8" t="inlineStr">
        <is>
          <t>Form 990-EZ Parts I &amp; II</t>
        </is>
      </c>
      <c r="B27" s="8" t="inlineStr">
        <is>
          <t>F8</t>
        </is>
      </c>
      <c r="C27" s="8" t="inlineStr">
        <is>
          <t>3. Membership dues and assessments</t>
        </is>
      </c>
      <c r="D27" s="8" t="inlineStr">
        <is>
          <t>Part I line 3</t>
        </is>
      </c>
      <c r="E27" s="8" t="inlineStr">
        <is>
          <t>part_i_revenue_expenses.membership_dues</t>
        </is>
      </c>
      <c r="F27" s="8" t="inlineStr">
        <is>
          <t>high</t>
        </is>
      </c>
      <c r="G27" s="9" t="n">
        <v>62902</v>
      </c>
    </row>
    <row r="28">
      <c r="A28" s="8" t="inlineStr">
        <is>
          <t>Form 990-EZ Parts I &amp; II</t>
        </is>
      </c>
      <c r="B28" s="8" t="inlineStr">
        <is>
          <t>G8</t>
        </is>
      </c>
      <c r="C28" s="8" t="inlineStr">
        <is>
          <t>3. Membership dues and assessments</t>
        </is>
      </c>
      <c r="D28" s="8" t="inlineStr">
        <is>
          <t>Part I line 3</t>
        </is>
      </c>
      <c r="E28" s="8" t="inlineStr">
        <is>
          <t>part_i_revenue_expenses.membership_dues</t>
        </is>
      </c>
      <c r="F28" s="8" t="inlineStr">
        <is>
          <t>high</t>
        </is>
      </c>
      <c r="G28" s="9" t="n">
        <v>37652</v>
      </c>
    </row>
    <row r="29">
      <c r="A29" s="8" t="inlineStr">
        <is>
          <t>Form 990-EZ Parts I &amp; II</t>
        </is>
      </c>
      <c r="B29" s="8" t="inlineStr">
        <is>
          <t>C9</t>
        </is>
      </c>
      <c r="C29" s="8" t="inlineStr">
        <is>
          <t>8. Other revenue</t>
        </is>
      </c>
      <c r="D29" s="8" t="inlineStr">
        <is>
          <t>Part I line 8</t>
        </is>
      </c>
      <c r="E29" s="8" t="inlineStr">
        <is>
          <t>part_i_revenue_expenses.other_revenue_total</t>
        </is>
      </c>
      <c r="F29" s="8" t="inlineStr">
        <is>
          <t>high</t>
        </is>
      </c>
      <c r="G29" s="9" t="n">
        <v>150</v>
      </c>
    </row>
    <row r="30">
      <c r="A30" s="8" t="inlineStr">
        <is>
          <t>Form 990-EZ Parts I &amp; II</t>
        </is>
      </c>
      <c r="B30" s="8" t="inlineStr">
        <is>
          <t>D9</t>
        </is>
      </c>
      <c r="C30" s="8" t="inlineStr">
        <is>
          <t>8. Other revenue</t>
        </is>
      </c>
      <c r="D30" s="8" t="inlineStr">
        <is>
          <t>Part I line 8</t>
        </is>
      </c>
      <c r="E30" s="8" t="inlineStr">
        <is>
          <t>part_i_revenue_expenses.other_revenue_total</t>
        </is>
      </c>
      <c r="F30" s="8" t="inlineStr">
        <is>
          <t>high</t>
        </is>
      </c>
      <c r="G30" s="9" t="n">
        <v>150</v>
      </c>
    </row>
    <row r="31">
      <c r="A31" s="8" t="inlineStr">
        <is>
          <t>Form 990-EZ Parts I &amp; II</t>
        </is>
      </c>
      <c r="B31" s="8" t="inlineStr">
        <is>
          <t>E9</t>
        </is>
      </c>
      <c r="C31" s="8" t="inlineStr">
        <is>
          <t>8. Other revenue</t>
        </is>
      </c>
      <c r="D31" s="8" t="inlineStr">
        <is>
          <t>Part I line 8</t>
        </is>
      </c>
      <c r="E31" s="8" t="inlineStr">
        <is>
          <t>part_i_revenue_expenses.other_revenue_total</t>
        </is>
      </c>
      <c r="F31" s="8" t="inlineStr">
        <is>
          <t>high</t>
        </is>
      </c>
      <c r="G31" s="9" t="n">
        <v>150</v>
      </c>
    </row>
    <row r="32">
      <c r="A32" s="8" t="inlineStr">
        <is>
          <t>Form 990-EZ Parts I &amp; II</t>
        </is>
      </c>
      <c r="B32" s="8" t="inlineStr">
        <is>
          <t>F9</t>
        </is>
      </c>
      <c r="C32" s="8" t="inlineStr">
        <is>
          <t>8. Other revenue</t>
        </is>
      </c>
      <c r="D32" s="8" t="inlineStr">
        <is>
          <t>Part I line 8</t>
        </is>
      </c>
      <c r="E32" s="8" t="inlineStr">
        <is>
          <t>part_i_revenue_expenses.other_revenue_total</t>
        </is>
      </c>
      <c r="F32" s="8" t="inlineStr">
        <is>
          <t>high</t>
        </is>
      </c>
      <c r="G32" s="9" t="n">
        <v>650</v>
      </c>
    </row>
    <row r="33">
      <c r="A33" s="8" t="inlineStr">
        <is>
          <t>Form 990-EZ Parts I &amp; II</t>
        </is>
      </c>
      <c r="B33" s="8" t="inlineStr">
        <is>
          <t>G9</t>
        </is>
      </c>
      <c r="C33" s="8" t="inlineStr">
        <is>
          <t>8. Other revenue</t>
        </is>
      </c>
      <c r="D33" s="8" t="inlineStr">
        <is>
          <t>Part I line 8</t>
        </is>
      </c>
      <c r="E33" s="8" t="inlineStr">
        <is>
          <t>part_i_revenue_expenses.other_revenue_total</t>
        </is>
      </c>
      <c r="F33" s="8" t="inlineStr">
        <is>
          <t>high</t>
        </is>
      </c>
      <c r="G33" s="9" t="n">
        <v>150</v>
      </c>
    </row>
    <row r="34">
      <c r="A34" s="8" t="inlineStr">
        <is>
          <t>Form 990-EZ Parts I &amp; II</t>
        </is>
      </c>
      <c r="B34" s="8" t="inlineStr">
        <is>
          <t>B10</t>
        </is>
      </c>
      <c r="C34" s="8" t="inlineStr">
        <is>
          <t>9. Total revenue</t>
        </is>
      </c>
      <c r="D34" s="8" t="inlineStr">
        <is>
          <t>Part I line 9</t>
        </is>
      </c>
      <c r="E34" s="8" t="inlineStr">
        <is>
          <t>part_i_revenue_expenses.total_revenue</t>
        </is>
      </c>
      <c r="F34" s="8" t="inlineStr">
        <is>
          <t>high</t>
        </is>
      </c>
      <c r="G34" s="9" t="n">
        <v>90215</v>
      </c>
    </row>
    <row r="35">
      <c r="A35" s="8" t="inlineStr">
        <is>
          <t>Form 990-EZ Parts I &amp; II</t>
        </is>
      </c>
      <c r="B35" s="8" t="inlineStr">
        <is>
          <t>C10</t>
        </is>
      </c>
      <c r="C35" s="8" t="inlineStr">
        <is>
          <t>9. Total revenue</t>
        </is>
      </c>
      <c r="D35" s="8" t="inlineStr">
        <is>
          <t>Part I line 9</t>
        </is>
      </c>
      <c r="E35" s="8" t="inlineStr">
        <is>
          <t>part_i_revenue_expenses.total_revenue</t>
        </is>
      </c>
      <c r="F35" s="8" t="inlineStr">
        <is>
          <t>high</t>
        </is>
      </c>
      <c r="G35" s="9" t="n">
        <v>64916</v>
      </c>
    </row>
    <row r="36">
      <c r="A36" s="8" t="inlineStr">
        <is>
          <t>Form 990-EZ Parts I &amp; II</t>
        </is>
      </c>
      <c r="B36" s="8" t="inlineStr">
        <is>
          <t>D10</t>
        </is>
      </c>
      <c r="C36" s="8" t="inlineStr">
        <is>
          <t>9. Total revenue</t>
        </is>
      </c>
      <c r="D36" s="8" t="inlineStr">
        <is>
          <t>Part I line 9</t>
        </is>
      </c>
      <c r="E36" s="8" t="inlineStr">
        <is>
          <t>part_i_revenue_expenses.total_revenue</t>
        </is>
      </c>
      <c r="F36" s="8" t="inlineStr">
        <is>
          <t>high</t>
        </is>
      </c>
      <c r="G36" s="9" t="n">
        <v>49315</v>
      </c>
    </row>
    <row r="37">
      <c r="A37" s="8" t="inlineStr">
        <is>
          <t>Form 990-EZ Parts I &amp; II</t>
        </is>
      </c>
      <c r="B37" s="8" t="inlineStr">
        <is>
          <t>E10</t>
        </is>
      </c>
      <c r="C37" s="8" t="inlineStr">
        <is>
          <t>9. Total revenue</t>
        </is>
      </c>
      <c r="D37" s="8" t="inlineStr">
        <is>
          <t>Part I line 9</t>
        </is>
      </c>
      <c r="E37" s="8" t="inlineStr">
        <is>
          <t>part_i_revenue_expenses.total_revenue</t>
        </is>
      </c>
      <c r="F37" s="8" t="inlineStr">
        <is>
          <t>high</t>
        </is>
      </c>
      <c r="G37" s="9" t="n">
        <v>49315</v>
      </c>
    </row>
    <row r="38">
      <c r="A38" s="8" t="inlineStr">
        <is>
          <t>Form 990-EZ Parts I &amp; II</t>
        </is>
      </c>
      <c r="B38" s="8" t="inlineStr">
        <is>
          <t>F10</t>
        </is>
      </c>
      <c r="C38" s="8" t="inlineStr">
        <is>
          <t>9. Total revenue</t>
        </is>
      </c>
      <c r="D38" s="8" t="inlineStr">
        <is>
          <t>Part I line 9</t>
        </is>
      </c>
      <c r="E38" s="8" t="inlineStr">
        <is>
          <t>part_i_revenue_expenses.total_revenue</t>
        </is>
      </c>
      <c r="F38" s="8" t="inlineStr">
        <is>
          <t>high</t>
        </is>
      </c>
      <c r="G38" s="9" t="n">
        <v>164078</v>
      </c>
    </row>
    <row r="39">
      <c r="A39" s="8" t="inlineStr">
        <is>
          <t>Form 990-EZ Parts I &amp; II</t>
        </is>
      </c>
      <c r="B39" s="8" t="inlineStr">
        <is>
          <t>G10</t>
        </is>
      </c>
      <c r="C39" s="8" t="inlineStr">
        <is>
          <t>9. Total revenue</t>
        </is>
      </c>
      <c r="D39" s="8" t="inlineStr">
        <is>
          <t>Part I line 9</t>
        </is>
      </c>
      <c r="E39" s="8" t="inlineStr">
        <is>
          <t>part_i_revenue_expenses.total_revenue</t>
        </is>
      </c>
      <c r="F39" s="8" t="inlineStr">
        <is>
          <t>high</t>
        </is>
      </c>
      <c r="G39" s="9" t="n">
        <v>128861</v>
      </c>
    </row>
    <row r="40">
      <c r="A40" s="8" t="inlineStr">
        <is>
          <t>Form 990-EZ Parts I &amp; II</t>
        </is>
      </c>
      <c r="B40" s="8" t="inlineStr">
        <is>
          <t>B13</t>
        </is>
      </c>
      <c r="C40" s="8" t="inlineStr">
        <is>
          <t>13. Fees for services (independent contractors)</t>
        </is>
      </c>
      <c r="D40" s="8" t="inlineStr">
        <is>
          <t>Part I line 13</t>
        </is>
      </c>
      <c r="E40" s="8" t="inlineStr">
        <is>
          <t>part_i_revenue_expenses.fees_ind_contractors</t>
        </is>
      </c>
      <c r="F40" s="8" t="inlineStr">
        <is>
          <t>high</t>
        </is>
      </c>
      <c r="G40" s="9" t="n">
        <v>5355</v>
      </c>
    </row>
    <row r="41">
      <c r="A41" s="8" t="inlineStr">
        <is>
          <t>Form 990-EZ Parts I &amp; II</t>
        </is>
      </c>
      <c r="B41" s="8" t="inlineStr">
        <is>
          <t>C13</t>
        </is>
      </c>
      <c r="C41" s="8" t="inlineStr">
        <is>
          <t>13. Fees for services (independent contractors)</t>
        </is>
      </c>
      <c r="D41" s="8" t="inlineStr">
        <is>
          <t>Part I line 13</t>
        </is>
      </c>
      <c r="E41" s="8" t="inlineStr">
        <is>
          <t>part_i_revenue_expenses.fees_ind_contractors</t>
        </is>
      </c>
      <c r="F41" s="8" t="inlineStr">
        <is>
          <t>high</t>
        </is>
      </c>
      <c r="G41" s="9" t="n">
        <v>6400</v>
      </c>
    </row>
    <row r="42">
      <c r="A42" s="8" t="inlineStr">
        <is>
          <t>Form 990-EZ Parts I &amp; II</t>
        </is>
      </c>
      <c r="B42" s="8" t="inlineStr">
        <is>
          <t>D13</t>
        </is>
      </c>
      <c r="C42" s="8" t="inlineStr">
        <is>
          <t>13. Fees for services (independent contractors)</t>
        </is>
      </c>
      <c r="D42" s="8" t="inlineStr">
        <is>
          <t>Part I line 13</t>
        </is>
      </c>
      <c r="E42" s="8" t="inlineStr">
        <is>
          <t>part_i_revenue_expenses.fees_ind_contractors</t>
        </is>
      </c>
      <c r="F42" s="8" t="inlineStr">
        <is>
          <t>high</t>
        </is>
      </c>
      <c r="G42" s="9" t="n">
        <v>6356</v>
      </c>
    </row>
    <row r="43">
      <c r="A43" s="8" t="inlineStr">
        <is>
          <t>Form 990-EZ Parts I &amp; II</t>
        </is>
      </c>
      <c r="B43" s="8" t="inlineStr">
        <is>
          <t>E13</t>
        </is>
      </c>
      <c r="C43" s="8" t="inlineStr">
        <is>
          <t>13. Fees for services (independent contractors)</t>
        </is>
      </c>
      <c r="D43" s="8" t="inlineStr">
        <is>
          <t>Part I line 13</t>
        </is>
      </c>
      <c r="E43" s="8" t="inlineStr">
        <is>
          <t>part_i_revenue_expenses.fees_ind_contractors</t>
        </is>
      </c>
      <c r="F43" s="8" t="inlineStr">
        <is>
          <t>high</t>
        </is>
      </c>
      <c r="G43" s="9" t="n">
        <v>6356</v>
      </c>
    </row>
    <row r="44">
      <c r="A44" s="8" t="inlineStr">
        <is>
          <t>Form 990-EZ Parts I &amp; II</t>
        </is>
      </c>
      <c r="B44" s="8" t="inlineStr">
        <is>
          <t>F13</t>
        </is>
      </c>
      <c r="C44" s="8" t="inlineStr">
        <is>
          <t>13. Fees for services (independent contractors)</t>
        </is>
      </c>
      <c r="D44" s="8" t="inlineStr">
        <is>
          <t>Part I line 13</t>
        </is>
      </c>
      <c r="E44" s="8" t="inlineStr">
        <is>
          <t>part_i_revenue_expenses.fees_ind_contractors</t>
        </is>
      </c>
      <c r="F44" s="8" t="inlineStr">
        <is>
          <t>high</t>
        </is>
      </c>
      <c r="G44" s="9" t="n">
        <v>107846</v>
      </c>
    </row>
    <row r="45">
      <c r="A45" s="8" t="inlineStr">
        <is>
          <t>Form 990-EZ Parts I &amp; II</t>
        </is>
      </c>
      <c r="B45" s="8" t="inlineStr">
        <is>
          <t>G13</t>
        </is>
      </c>
      <c r="C45" s="8" t="inlineStr">
        <is>
          <t>13. Fees for services (independent contractors)</t>
        </is>
      </c>
      <c r="D45" s="8" t="inlineStr">
        <is>
          <t>Part I line 13</t>
        </is>
      </c>
      <c r="E45" s="8" t="inlineStr">
        <is>
          <t>part_i_revenue_expenses.fees_ind_contractors</t>
        </is>
      </c>
      <c r="F45" s="8" t="inlineStr">
        <is>
          <t>high</t>
        </is>
      </c>
      <c r="G45" s="9" t="n">
        <v>100664</v>
      </c>
    </row>
    <row r="46">
      <c r="A46" s="8" t="inlineStr">
        <is>
          <t>Form 990-EZ Parts I &amp; II</t>
        </is>
      </c>
      <c r="B46" s="8" t="inlineStr">
        <is>
          <t>C14</t>
        </is>
      </c>
      <c r="C46" s="8" t="inlineStr">
        <is>
          <t>15. Printing, publications, postage</t>
        </is>
      </c>
      <c r="D46" s="8" t="inlineStr">
        <is>
          <t>Part I line 15</t>
        </is>
      </c>
      <c r="E46" s="8" t="inlineStr">
        <is>
          <t>part_i_revenue_expenses.printing_publications_postage</t>
        </is>
      </c>
      <c r="F46" s="8" t="inlineStr">
        <is>
          <t>high</t>
        </is>
      </c>
      <c r="G46" s="9" t="n">
        <v>62</v>
      </c>
    </row>
    <row r="47">
      <c r="A47" s="8" t="inlineStr">
        <is>
          <t>Form 990-EZ Parts I &amp; II</t>
        </is>
      </c>
      <c r="B47" s="8" t="inlineStr">
        <is>
          <t>D14</t>
        </is>
      </c>
      <c r="C47" s="8" t="inlineStr">
        <is>
          <t>15. Printing, publications, postage</t>
        </is>
      </c>
      <c r="D47" s="8" t="inlineStr">
        <is>
          <t>Part I line 15</t>
        </is>
      </c>
      <c r="E47" s="8" t="inlineStr">
        <is>
          <t>part_i_revenue_expenses.printing_publications_postage</t>
        </is>
      </c>
      <c r="F47" s="8" t="inlineStr">
        <is>
          <t>high</t>
        </is>
      </c>
      <c r="G47" s="9" t="n">
        <v>36</v>
      </c>
    </row>
    <row r="48">
      <c r="A48" s="8" t="inlineStr">
        <is>
          <t>Form 990-EZ Parts I &amp; II</t>
        </is>
      </c>
      <c r="B48" s="8" t="inlineStr">
        <is>
          <t>E14</t>
        </is>
      </c>
      <c r="C48" s="8" t="inlineStr">
        <is>
          <t>15. Printing, publications, postage</t>
        </is>
      </c>
      <c r="D48" s="8" t="inlineStr">
        <is>
          <t>Part I line 15</t>
        </is>
      </c>
      <c r="E48" s="8" t="inlineStr">
        <is>
          <t>part_i_revenue_expenses.printing_publications_postage</t>
        </is>
      </c>
      <c r="F48" s="8" t="inlineStr">
        <is>
          <t>high</t>
        </is>
      </c>
      <c r="G48" s="9" t="n">
        <v>36</v>
      </c>
    </row>
    <row r="49">
      <c r="A49" s="8" t="inlineStr">
        <is>
          <t>Form 990-EZ Parts I &amp; II</t>
        </is>
      </c>
      <c r="B49" s="8" t="inlineStr">
        <is>
          <t>F14</t>
        </is>
      </c>
      <c r="C49" s="8" t="inlineStr">
        <is>
          <t>15. Printing, publications, postage</t>
        </is>
      </c>
      <c r="D49" s="8" t="inlineStr">
        <is>
          <t>Part I line 15</t>
        </is>
      </c>
      <c r="E49" s="8" t="inlineStr">
        <is>
          <t>part_i_revenue_expenses.printing_publications_postage</t>
        </is>
      </c>
      <c r="F49" s="8" t="inlineStr">
        <is>
          <t>high</t>
        </is>
      </c>
      <c r="G49" s="9" t="n">
        <v>73</v>
      </c>
    </row>
    <row r="50">
      <c r="A50" s="8" t="inlineStr">
        <is>
          <t>Form 990-EZ Parts I &amp; II</t>
        </is>
      </c>
      <c r="B50" s="8" t="inlineStr">
        <is>
          <t>B15</t>
        </is>
      </c>
      <c r="C50" s="8" t="inlineStr">
        <is>
          <t>16. Other expenses</t>
        </is>
      </c>
      <c r="D50" s="8" t="inlineStr">
        <is>
          <t>Part I line 16</t>
        </is>
      </c>
      <c r="E50" s="8" t="inlineStr">
        <is>
          <t>part_i_revenue_expenses.other_expenses_total</t>
        </is>
      </c>
      <c r="F50" s="8" t="inlineStr">
        <is>
          <t>high</t>
        </is>
      </c>
      <c r="G50" s="9" t="n">
        <v>43979</v>
      </c>
    </row>
    <row r="51">
      <c r="A51" s="8" t="inlineStr">
        <is>
          <t>Form 990-EZ Parts I &amp; II</t>
        </is>
      </c>
      <c r="B51" s="8" t="inlineStr">
        <is>
          <t>C15</t>
        </is>
      </c>
      <c r="C51" s="8" t="inlineStr">
        <is>
          <t>16. Other expenses</t>
        </is>
      </c>
      <c r="D51" s="8" t="inlineStr">
        <is>
          <t>Part I line 16</t>
        </is>
      </c>
      <c r="E51" s="8" t="inlineStr">
        <is>
          <t>part_i_revenue_expenses.other_expenses_total</t>
        </is>
      </c>
      <c r="F51" s="8" t="inlineStr">
        <is>
          <t>high</t>
        </is>
      </c>
      <c r="G51" s="9" t="n">
        <v>56108</v>
      </c>
    </row>
    <row r="52">
      <c r="A52" s="8" t="inlineStr">
        <is>
          <t>Form 990-EZ Parts I &amp; II</t>
        </is>
      </c>
      <c r="B52" s="8" t="inlineStr">
        <is>
          <t>D15</t>
        </is>
      </c>
      <c r="C52" s="8" t="inlineStr">
        <is>
          <t>16. Other expenses</t>
        </is>
      </c>
      <c r="D52" s="8" t="inlineStr">
        <is>
          <t>Part I line 16</t>
        </is>
      </c>
      <c r="E52" s="8" t="inlineStr">
        <is>
          <t>part_i_revenue_expenses.other_expenses_total</t>
        </is>
      </c>
      <c r="F52" s="8" t="inlineStr">
        <is>
          <t>high</t>
        </is>
      </c>
      <c r="G52" s="9" t="n">
        <v>34833</v>
      </c>
    </row>
    <row r="53">
      <c r="A53" s="8" t="inlineStr">
        <is>
          <t>Form 990-EZ Parts I &amp; II</t>
        </is>
      </c>
      <c r="B53" s="8" t="inlineStr">
        <is>
          <t>E15</t>
        </is>
      </c>
      <c r="C53" s="8" t="inlineStr">
        <is>
          <t>16. Other expenses</t>
        </is>
      </c>
      <c r="D53" s="8" t="inlineStr">
        <is>
          <t>Part I line 16</t>
        </is>
      </c>
      <c r="E53" s="8" t="inlineStr">
        <is>
          <t>part_i_revenue_expenses.other_expenses_total</t>
        </is>
      </c>
      <c r="F53" s="8" t="inlineStr">
        <is>
          <t>high</t>
        </is>
      </c>
      <c r="G53" s="9" t="n">
        <v>34833</v>
      </c>
    </row>
    <row r="54">
      <c r="A54" s="8" t="inlineStr">
        <is>
          <t>Form 990-EZ Parts I &amp; II</t>
        </is>
      </c>
      <c r="B54" s="8" t="inlineStr">
        <is>
          <t>F15</t>
        </is>
      </c>
      <c r="C54" s="8" t="inlineStr">
        <is>
          <t>16. Other expenses</t>
        </is>
      </c>
      <c r="D54" s="8" t="inlineStr">
        <is>
          <t>Part I line 16</t>
        </is>
      </c>
      <c r="E54" s="8" t="inlineStr">
        <is>
          <t>part_i_revenue_expenses.other_expenses_total</t>
        </is>
      </c>
      <c r="F54" s="8" t="inlineStr">
        <is>
          <t>high</t>
        </is>
      </c>
      <c r="G54" s="9" t="n">
        <v>46081</v>
      </c>
    </row>
    <row r="55">
      <c r="A55" s="8" t="inlineStr">
        <is>
          <t>Form 990-EZ Parts I &amp; II</t>
        </is>
      </c>
      <c r="B55" s="8" t="inlineStr">
        <is>
          <t>G15</t>
        </is>
      </c>
      <c r="C55" s="8" t="inlineStr">
        <is>
          <t>16. Other expenses</t>
        </is>
      </c>
      <c r="D55" s="8" t="inlineStr">
        <is>
          <t>Part I line 16</t>
        </is>
      </c>
      <c r="E55" s="8" t="inlineStr">
        <is>
          <t>part_i_revenue_expenses.other_expenses_total</t>
        </is>
      </c>
      <c r="F55" s="8" t="inlineStr">
        <is>
          <t>high</t>
        </is>
      </c>
      <c r="G55" s="9" t="n">
        <v>34612</v>
      </c>
    </row>
    <row r="56">
      <c r="A56" s="8" t="inlineStr">
        <is>
          <t>Form 990-EZ Parts I &amp; II</t>
        </is>
      </c>
      <c r="B56" s="8" t="inlineStr">
        <is>
          <t>B19</t>
        </is>
      </c>
      <c r="C56" s="8" t="inlineStr">
        <is>
          <t>19. Net assets or fund balances, beginning of year</t>
        </is>
      </c>
      <c r="D56" s="8" t="inlineStr">
        <is>
          <t>Part I line 19</t>
        </is>
      </c>
      <c r="E56" s="8" t="inlineStr">
        <is>
          <t>part_i_revenue_expenses.net_assets_boy</t>
        </is>
      </c>
      <c r="F56" s="8" t="inlineStr">
        <is>
          <t>high</t>
        </is>
      </c>
      <c r="G56" s="9" t="n">
        <v>237934</v>
      </c>
    </row>
    <row r="57">
      <c r="A57" s="8" t="inlineStr">
        <is>
          <t>Form 990-EZ Parts I &amp; II</t>
        </is>
      </c>
      <c r="B57" s="8" t="inlineStr">
        <is>
          <t>C19</t>
        </is>
      </c>
      <c r="C57" s="8" t="inlineStr">
        <is>
          <t>19. Net assets or fund balances, beginning of year</t>
        </is>
      </c>
      <c r="D57" s="8" t="inlineStr">
        <is>
          <t>Part I line 19</t>
        </is>
      </c>
      <c r="E57" s="8" t="inlineStr">
        <is>
          <t>part_i_revenue_expenses.net_assets_boy</t>
        </is>
      </c>
      <c r="F57" s="8" t="inlineStr">
        <is>
          <t>high</t>
        </is>
      </c>
      <c r="G57" s="9" t="n">
        <v>294238</v>
      </c>
    </row>
    <row r="58">
      <c r="A58" s="8" t="inlineStr">
        <is>
          <t>Form 990-EZ Parts I &amp; II</t>
        </is>
      </c>
      <c r="B58" s="8" t="inlineStr">
        <is>
          <t>D19</t>
        </is>
      </c>
      <c r="C58" s="8" t="inlineStr">
        <is>
          <t>19. Net assets or fund balances, beginning of year</t>
        </is>
      </c>
      <c r="D58" s="8" t="inlineStr">
        <is>
          <t>Part I line 19</t>
        </is>
      </c>
      <c r="E58" s="8" t="inlineStr">
        <is>
          <t>part_i_revenue_expenses.net_assets_boy</t>
        </is>
      </c>
      <c r="F58" s="8" t="inlineStr">
        <is>
          <t>high</t>
        </is>
      </c>
      <c r="G58" s="9" t="n">
        <v>305017</v>
      </c>
    </row>
    <row r="59">
      <c r="A59" s="8" t="inlineStr">
        <is>
          <t>Form 990-EZ Parts I &amp; II</t>
        </is>
      </c>
      <c r="B59" s="8" t="inlineStr">
        <is>
          <t>E19</t>
        </is>
      </c>
      <c r="C59" s="8" t="inlineStr">
        <is>
          <t>19. Net assets or fund balances, beginning of year</t>
        </is>
      </c>
      <c r="D59" s="8" t="inlineStr">
        <is>
          <t>Part I line 19</t>
        </is>
      </c>
      <c r="E59" s="8" t="inlineStr">
        <is>
          <t>part_i_revenue_expenses.net_assets_boy</t>
        </is>
      </c>
      <c r="F59" s="8" t="inlineStr">
        <is>
          <t>high</t>
        </is>
      </c>
      <c r="G59" s="9" t="n">
        <v>305017</v>
      </c>
    </row>
    <row r="60">
      <c r="A60" s="8" t="inlineStr">
        <is>
          <t>Form 990-EZ Parts I &amp; II</t>
        </is>
      </c>
      <c r="B60" s="8" t="inlineStr">
        <is>
          <t>F19</t>
        </is>
      </c>
      <c r="C60" s="8" t="inlineStr">
        <is>
          <t>19. Net assets or fund balances, beginning of year</t>
        </is>
      </c>
      <c r="D60" s="8" t="inlineStr">
        <is>
          <t>Part I line 19</t>
        </is>
      </c>
      <c r="E60" s="8" t="inlineStr">
        <is>
          <t>part_i_revenue_expenses.net_assets_boy</t>
        </is>
      </c>
      <c r="F60" s="8" t="inlineStr">
        <is>
          <t>high</t>
        </is>
      </c>
      <c r="G60" s="9" t="n">
        <v>240166</v>
      </c>
    </row>
    <row r="61">
      <c r="A61" s="8" t="inlineStr">
        <is>
          <t>Form 990-EZ Parts I &amp; II</t>
        </is>
      </c>
      <c r="B61" s="8" t="inlineStr">
        <is>
          <t>G19</t>
        </is>
      </c>
      <c r="C61" s="8" t="inlineStr">
        <is>
          <t>19. Net assets or fund balances, beginning of year</t>
        </is>
      </c>
      <c r="D61" s="8" t="inlineStr">
        <is>
          <t>Part I line 19</t>
        </is>
      </c>
      <c r="E61" s="8" t="inlineStr">
        <is>
          <t>part_i_revenue_expenses.net_assets_boy</t>
        </is>
      </c>
      <c r="F61" s="8" t="inlineStr">
        <is>
          <t>high</t>
        </is>
      </c>
      <c r="G61" s="9" t="n">
        <v>253421</v>
      </c>
    </row>
    <row r="62">
      <c r="A62" s="8" t="inlineStr">
        <is>
          <t>Form 990-EZ Parts I &amp; II</t>
        </is>
      </c>
      <c r="B62" s="8" t="inlineStr">
        <is>
          <t>B20</t>
        </is>
      </c>
      <c r="C62" s="8" t="inlineStr">
        <is>
          <t>18. Excess or (deficit) for the year</t>
        </is>
      </c>
      <c r="D62" s="8" t="inlineStr">
        <is>
          <t>Part I line 18</t>
        </is>
      </c>
      <c r="E62" s="8" t="inlineStr">
        <is>
          <t>part_i_revenue_expenses.excess_or_deficit</t>
        </is>
      </c>
      <c r="F62" s="8" t="inlineStr">
        <is>
          <t>high</t>
        </is>
      </c>
      <c r="G62" s="9" t="n">
        <v>40881</v>
      </c>
    </row>
    <row r="63">
      <c r="A63" s="8" t="inlineStr">
        <is>
          <t>Form 990-EZ Parts I &amp; II</t>
        </is>
      </c>
      <c r="B63" s="8" t="inlineStr">
        <is>
          <t>C20</t>
        </is>
      </c>
      <c r="C63" s="8" t="inlineStr">
        <is>
          <t>18. Excess or (deficit) for the year</t>
        </is>
      </c>
      <c r="D63" s="8" t="inlineStr">
        <is>
          <t>Part I line 18</t>
        </is>
      </c>
      <c r="E63" s="8" t="inlineStr">
        <is>
          <t>part_i_revenue_expenses.excess_or_deficit</t>
        </is>
      </c>
      <c r="F63" s="8" t="inlineStr">
        <is>
          <t>high</t>
        </is>
      </c>
      <c r="G63" s="9" t="n">
        <v>2346</v>
      </c>
    </row>
    <row r="64">
      <c r="A64" s="8" t="inlineStr">
        <is>
          <t>Form 990-EZ Parts I &amp; II</t>
        </is>
      </c>
      <c r="B64" s="8" t="inlineStr">
        <is>
          <t>D20</t>
        </is>
      </c>
      <c r="C64" s="8" t="inlineStr">
        <is>
          <t>18. Excess or (deficit) for the year</t>
        </is>
      </c>
      <c r="D64" s="8" t="inlineStr">
        <is>
          <t>Part I line 18</t>
        </is>
      </c>
      <c r="E64" s="8" t="inlineStr">
        <is>
          <t>part_i_revenue_expenses.excess_or_deficit</t>
        </is>
      </c>
      <c r="F64" s="8" t="inlineStr">
        <is>
          <t>high</t>
        </is>
      </c>
      <c r="G64" s="9" t="n">
        <v>8090</v>
      </c>
    </row>
    <row r="65">
      <c r="A65" s="8" t="inlineStr">
        <is>
          <t>Form 990-EZ Parts I &amp; II</t>
        </is>
      </c>
      <c r="B65" s="8" t="inlineStr">
        <is>
          <t>E20</t>
        </is>
      </c>
      <c r="C65" s="8" t="inlineStr">
        <is>
          <t>18. Excess or (deficit) for the year</t>
        </is>
      </c>
      <c r="D65" s="8" t="inlineStr">
        <is>
          <t>Part I line 18</t>
        </is>
      </c>
      <c r="E65" s="8" t="inlineStr">
        <is>
          <t>part_i_revenue_expenses.excess_or_deficit</t>
        </is>
      </c>
      <c r="F65" s="8" t="inlineStr">
        <is>
          <t>high</t>
        </is>
      </c>
      <c r="G65" s="9" t="n">
        <v>8090</v>
      </c>
    </row>
    <row r="66">
      <c r="A66" s="8" t="inlineStr">
        <is>
          <t>Form 990-EZ Parts I &amp; II</t>
        </is>
      </c>
      <c r="B66" s="8" t="inlineStr">
        <is>
          <t>F20</t>
        </is>
      </c>
      <c r="C66" s="8" t="inlineStr">
        <is>
          <t>18. Excess or (deficit) for the year</t>
        </is>
      </c>
      <c r="D66" s="8" t="inlineStr">
        <is>
          <t>Part I line 18</t>
        </is>
      </c>
      <c r="E66" s="8" t="inlineStr">
        <is>
          <t>part_i_revenue_expenses.excess_or_deficit</t>
        </is>
      </c>
      <c r="F66" s="8" t="inlineStr">
        <is>
          <t>high</t>
        </is>
      </c>
      <c r="G66" s="9" t="n">
        <v>10078</v>
      </c>
    </row>
    <row r="67">
      <c r="A67" s="8" t="inlineStr">
        <is>
          <t>Form 990-EZ Parts I &amp; II</t>
        </is>
      </c>
      <c r="B67" s="8" t="inlineStr">
        <is>
          <t>G20</t>
        </is>
      </c>
      <c r="C67" s="8" t="inlineStr">
        <is>
          <t>18. Excess or (deficit) for the year</t>
        </is>
      </c>
      <c r="D67" s="8" t="inlineStr">
        <is>
          <t>Part I line 18</t>
        </is>
      </c>
      <c r="E67" s="8" t="inlineStr">
        <is>
          <t>part_i_revenue_expenses.excess_or_deficit</t>
        </is>
      </c>
      <c r="F67" s="8" t="inlineStr">
        <is>
          <t>high</t>
        </is>
      </c>
      <c r="G67" s="9" t="n">
        <v>-6415</v>
      </c>
    </row>
    <row r="68">
      <c r="A68" s="8" t="inlineStr">
        <is>
          <t>Form 990-EZ Parts I &amp; II</t>
        </is>
      </c>
      <c r="B68" s="8" t="inlineStr">
        <is>
          <t>B24</t>
        </is>
      </c>
      <c r="C68" s="8" t="inlineStr">
        <is>
          <t>22. Cash, savings, and investments</t>
        </is>
      </c>
      <c r="D68" s="8" t="inlineStr">
        <is>
          <t>Part II line 22 col B</t>
        </is>
      </c>
      <c r="E68" s="8" t="inlineStr">
        <is>
          <t>part_ii_balance_sheet.cash_savings_investments_eoy</t>
        </is>
      </c>
      <c r="F68" s="8" t="inlineStr">
        <is>
          <t>high</t>
        </is>
      </c>
      <c r="G68" s="9" t="n">
        <v>84838</v>
      </c>
    </row>
    <row r="69">
      <c r="A69" s="8" t="inlineStr">
        <is>
          <t>Form 990-EZ Parts I &amp; II</t>
        </is>
      </c>
      <c r="B69" s="8" t="inlineStr">
        <is>
          <t>C24</t>
        </is>
      </c>
      <c r="C69" s="8" t="inlineStr">
        <is>
          <t>22. Cash, savings, and investments</t>
        </is>
      </c>
      <c r="D69" s="8" t="inlineStr">
        <is>
          <t>Part II line 22 col B</t>
        </is>
      </c>
      <c r="E69" s="8" t="inlineStr">
        <is>
          <t>part_ii_balance_sheet.cash_savings_investments_eoy</t>
        </is>
      </c>
      <c r="F69" s="8" t="inlineStr">
        <is>
          <t>high</t>
        </is>
      </c>
      <c r="G69" s="9" t="n">
        <v>64680</v>
      </c>
    </row>
    <row r="70">
      <c r="A70" s="8" t="inlineStr">
        <is>
          <t>Form 990-EZ Parts I &amp; II</t>
        </is>
      </c>
      <c r="B70" s="8" t="inlineStr">
        <is>
          <t>D24</t>
        </is>
      </c>
      <c r="C70" s="8" t="inlineStr">
        <is>
          <t>22. Cash, savings, and investments</t>
        </is>
      </c>
      <c r="D70" s="8" t="inlineStr">
        <is>
          <t>Part II line 22 col B</t>
        </is>
      </c>
      <c r="E70" s="8" t="inlineStr">
        <is>
          <t>part_ii_balance_sheet.cash_savings_investments_eoy</t>
        </is>
      </c>
      <c r="F70" s="8" t="inlineStr">
        <is>
          <t>high</t>
        </is>
      </c>
      <c r="G70" s="9" t="n">
        <v>64143</v>
      </c>
    </row>
    <row r="71">
      <c r="A71" s="8" t="inlineStr">
        <is>
          <t>Form 990-EZ Parts I &amp; II</t>
        </is>
      </c>
      <c r="B71" s="8" t="inlineStr">
        <is>
          <t>E24</t>
        </is>
      </c>
      <c r="C71" s="8" t="inlineStr">
        <is>
          <t>22. Cash, savings, and investments</t>
        </is>
      </c>
      <c r="D71" s="8" t="inlineStr">
        <is>
          <t>Part II line 22 col B</t>
        </is>
      </c>
      <c r="E71" s="8" t="inlineStr">
        <is>
          <t>part_ii_balance_sheet.cash_savings_investments_eoy</t>
        </is>
      </c>
      <c r="F71" s="8" t="inlineStr">
        <is>
          <t>high</t>
        </is>
      </c>
      <c r="G71" s="9" t="n">
        <v>64143</v>
      </c>
    </row>
    <row r="72">
      <c r="A72" s="8" t="inlineStr">
        <is>
          <t>Form 990-EZ Parts I &amp; II</t>
        </is>
      </c>
      <c r="B72" s="8" t="inlineStr">
        <is>
          <t>F24</t>
        </is>
      </c>
      <c r="C72" s="8" t="inlineStr">
        <is>
          <t>22. Cash, savings, and investments</t>
        </is>
      </c>
      <c r="D72" s="8" t="inlineStr">
        <is>
          <t>Part II line 22 col B</t>
        </is>
      </c>
      <c r="E72" s="8" t="inlineStr">
        <is>
          <t>part_ii_balance_sheet.cash_savings_investments_eoy</t>
        </is>
      </c>
      <c r="F72" s="8" t="inlineStr">
        <is>
          <t>high</t>
        </is>
      </c>
      <c r="G72" s="9" t="n">
        <v>18504</v>
      </c>
    </row>
    <row r="73">
      <c r="A73" s="8" t="inlineStr">
        <is>
          <t>Form 990-EZ Parts I &amp; II</t>
        </is>
      </c>
      <c r="B73" s="8" t="inlineStr">
        <is>
          <t>G24</t>
        </is>
      </c>
      <c r="C73" s="8" t="inlineStr">
        <is>
          <t>22. Cash, savings, and investments</t>
        </is>
      </c>
      <c r="D73" s="8" t="inlineStr">
        <is>
          <t>Part II line 22 col B</t>
        </is>
      </c>
      <c r="E73" s="8" t="inlineStr">
        <is>
          <t>part_ii_balance_sheet.cash_savings_investments_eoy</t>
        </is>
      </c>
      <c r="F73" s="8" t="inlineStr">
        <is>
          <t>high</t>
        </is>
      </c>
      <c r="G73" s="9" t="n">
        <v>10379</v>
      </c>
    </row>
    <row r="74">
      <c r="A74" s="8" t="inlineStr">
        <is>
          <t>Form 990-EZ Parts I &amp; II</t>
        </is>
      </c>
      <c r="B74" s="8" t="inlineStr">
        <is>
          <t>B25</t>
        </is>
      </c>
      <c r="C74" s="8" t="inlineStr">
        <is>
          <t>23. Land and buildings</t>
        </is>
      </c>
      <c r="D74" s="8" t="inlineStr">
        <is>
          <t>Part II line 23 col B</t>
        </is>
      </c>
      <c r="E74" s="8" t="inlineStr">
        <is>
          <t>part_ii_balance_sheet.land_and_buildings_eoy</t>
        </is>
      </c>
      <c r="F74" s="8" t="inlineStr">
        <is>
          <t>high</t>
        </is>
      </c>
      <c r="G74" s="9" t="n">
        <v>98140</v>
      </c>
    </row>
    <row r="75">
      <c r="A75" s="8" t="inlineStr">
        <is>
          <t>Form 990-EZ Parts I &amp; II</t>
        </is>
      </c>
      <c r="B75" s="8" t="inlineStr">
        <is>
          <t>C25</t>
        </is>
      </c>
      <c r="C75" s="8" t="inlineStr">
        <is>
          <t>23. Land and buildings</t>
        </is>
      </c>
      <c r="D75" s="8" t="inlineStr">
        <is>
          <t>Part II line 23 col B</t>
        </is>
      </c>
      <c r="E75" s="8" t="inlineStr">
        <is>
          <t>part_ii_balance_sheet.land_and_buildings_eoy</t>
        </is>
      </c>
      <c r="F75" s="8" t="inlineStr">
        <is>
          <t>high</t>
        </is>
      </c>
      <c r="G75" s="9" t="n">
        <v>98140</v>
      </c>
    </row>
    <row r="76">
      <c r="A76" s="8" t="inlineStr">
        <is>
          <t>Form 990-EZ Parts I &amp; II</t>
        </is>
      </c>
      <c r="B76" s="8" t="inlineStr">
        <is>
          <t>D25</t>
        </is>
      </c>
      <c r="C76" s="8" t="inlineStr">
        <is>
          <t>23. Land and buildings</t>
        </is>
      </c>
      <c r="D76" s="8" t="inlineStr">
        <is>
          <t>Part II line 23 col B</t>
        </is>
      </c>
      <c r="E76" s="8" t="inlineStr">
        <is>
          <t>part_ii_balance_sheet.land_and_buildings_eoy</t>
        </is>
      </c>
      <c r="F76" s="8" t="inlineStr">
        <is>
          <t>high</t>
        </is>
      </c>
      <c r="G76" s="9" t="n">
        <v>98140</v>
      </c>
    </row>
    <row r="77">
      <c r="A77" s="8" t="inlineStr">
        <is>
          <t>Form 990-EZ Parts I &amp; II</t>
        </is>
      </c>
      <c r="B77" s="8" t="inlineStr">
        <is>
          <t>E25</t>
        </is>
      </c>
      <c r="C77" s="8" t="inlineStr">
        <is>
          <t>23. Land and buildings</t>
        </is>
      </c>
      <c r="D77" s="8" t="inlineStr">
        <is>
          <t>Part II line 23 col B</t>
        </is>
      </c>
      <c r="E77" s="8" t="inlineStr">
        <is>
          <t>part_ii_balance_sheet.land_and_buildings_eoy</t>
        </is>
      </c>
      <c r="F77" s="8" t="inlineStr">
        <is>
          <t>high</t>
        </is>
      </c>
      <c r="G77" s="9" t="n">
        <v>98140</v>
      </c>
    </row>
    <row r="78">
      <c r="A78" s="8" t="inlineStr">
        <is>
          <t>Form 990-EZ Parts I &amp; II</t>
        </is>
      </c>
      <c r="B78" s="8" t="inlineStr">
        <is>
          <t>F25</t>
        </is>
      </c>
      <c r="C78" s="8" t="inlineStr">
        <is>
          <t>23. Land and buildings</t>
        </is>
      </c>
      <c r="D78" s="8" t="inlineStr">
        <is>
          <t>Part II line 23 col B</t>
        </is>
      </c>
      <c r="E78" s="8" t="inlineStr">
        <is>
          <t>part_ii_balance_sheet.land_and_buildings_eoy</t>
        </is>
      </c>
      <c r="F78" s="8" t="inlineStr">
        <is>
          <t>high</t>
        </is>
      </c>
      <c r="G78" s="9" t="n">
        <v>98140</v>
      </c>
    </row>
    <row r="79">
      <c r="A79" s="8" t="inlineStr">
        <is>
          <t>Form 990-EZ Parts I &amp; II</t>
        </is>
      </c>
      <c r="B79" s="8" t="inlineStr">
        <is>
          <t>G25</t>
        </is>
      </c>
      <c r="C79" s="8" t="inlineStr">
        <is>
          <t>23. Land and buildings</t>
        </is>
      </c>
      <c r="D79" s="8" t="inlineStr">
        <is>
          <t>Part II line 23 col B</t>
        </is>
      </c>
      <c r="E79" s="8" t="inlineStr">
        <is>
          <t>part_ii_balance_sheet.land_and_buildings_eoy</t>
        </is>
      </c>
      <c r="F79" s="8" t="inlineStr">
        <is>
          <t>high</t>
        </is>
      </c>
      <c r="G79" s="9" t="n">
        <v>98140</v>
      </c>
    </row>
    <row r="80">
      <c r="A80" s="8" t="inlineStr">
        <is>
          <t>Form 990-EZ Parts I &amp; II</t>
        </is>
      </c>
      <c r="B80" s="8" t="inlineStr">
        <is>
          <t>B26</t>
        </is>
      </c>
      <c r="C80" s="8" t="inlineStr">
        <is>
          <t>24. Other assets</t>
        </is>
      </c>
      <c r="D80" s="8" t="inlineStr">
        <is>
          <t>Part II line 24 col B</t>
        </is>
      </c>
      <c r="E80" s="8" t="inlineStr">
        <is>
          <t>part_ii_balance_sheet.other_assets_eoy</t>
        </is>
      </c>
      <c r="F80" s="8" t="inlineStr">
        <is>
          <t>high</t>
        </is>
      </c>
      <c r="G80" s="9" t="n">
        <v>234488</v>
      </c>
    </row>
    <row r="81">
      <c r="A81" s="8" t="inlineStr">
        <is>
          <t>Form 990-EZ Parts I &amp; II</t>
        </is>
      </c>
      <c r="B81" s="8" t="inlineStr">
        <is>
          <t>C26</t>
        </is>
      </c>
      <c r="C81" s="8" t="inlineStr">
        <is>
          <t>24. Other assets</t>
        </is>
      </c>
      <c r="D81" s="8" t="inlineStr">
        <is>
          <t>Part II line 24 col B</t>
        </is>
      </c>
      <c r="E81" s="8" t="inlineStr">
        <is>
          <t>part_ii_balance_sheet.other_assets_eoy</t>
        </is>
      </c>
      <c r="F81" s="8" t="inlineStr">
        <is>
          <t>high</t>
        </is>
      </c>
      <c r="G81" s="9" t="n">
        <v>251273</v>
      </c>
    </row>
    <row r="82">
      <c r="A82" s="8" t="inlineStr">
        <is>
          <t>Form 990-EZ Parts I &amp; II</t>
        </is>
      </c>
      <c r="B82" s="8" t="inlineStr">
        <is>
          <t>D26</t>
        </is>
      </c>
      <c r="C82" s="8" t="inlineStr">
        <is>
          <t>24. Other assets</t>
        </is>
      </c>
      <c r="D82" s="8" t="inlineStr">
        <is>
          <t>Part II line 24 col B</t>
        </is>
      </c>
      <c r="E82" s="8" t="inlineStr">
        <is>
          <t>part_ii_balance_sheet.other_assets_eoy</t>
        </is>
      </c>
      <c r="F82" s="8" t="inlineStr">
        <is>
          <t>high</t>
        </is>
      </c>
      <c r="G82" s="9" t="n">
        <v>201982</v>
      </c>
    </row>
    <row r="83">
      <c r="A83" s="8" t="inlineStr">
        <is>
          <t>Form 990-EZ Parts I &amp; II</t>
        </is>
      </c>
      <c r="B83" s="8" t="inlineStr">
        <is>
          <t>E26</t>
        </is>
      </c>
      <c r="C83" s="8" t="inlineStr">
        <is>
          <t>24. Other assets</t>
        </is>
      </c>
      <c r="D83" s="8" t="inlineStr">
        <is>
          <t>Part II line 24 col B</t>
        </is>
      </c>
      <c r="E83" s="8" t="inlineStr">
        <is>
          <t>part_ii_balance_sheet.other_assets_eoy</t>
        </is>
      </c>
      <c r="F83" s="8" t="inlineStr">
        <is>
          <t>high</t>
        </is>
      </c>
      <c r="G83" s="9" t="n">
        <v>201982</v>
      </c>
    </row>
    <row r="84">
      <c r="A84" s="8" t="inlineStr">
        <is>
          <t>Form 990-EZ Parts I &amp; II</t>
        </is>
      </c>
      <c r="B84" s="8" t="inlineStr">
        <is>
          <t>F26</t>
        </is>
      </c>
      <c r="C84" s="8" t="inlineStr">
        <is>
          <t>24. Other assets</t>
        </is>
      </c>
      <c r="D84" s="8" t="inlineStr">
        <is>
          <t>Part II line 24 col B</t>
        </is>
      </c>
      <c r="E84" s="8" t="inlineStr">
        <is>
          <t>part_ii_balance_sheet.other_assets_eoy</t>
        </is>
      </c>
      <c r="F84" s="8" t="inlineStr">
        <is>
          <t>high</t>
        </is>
      </c>
      <c r="G84" s="9" t="n">
        <v>192295</v>
      </c>
    </row>
    <row r="85">
      <c r="A85" s="8" t="inlineStr">
        <is>
          <t>Form 990-EZ Parts I &amp; II</t>
        </is>
      </c>
      <c r="B85" s="8" t="inlineStr">
        <is>
          <t>G26</t>
        </is>
      </c>
      <c r="C85" s="8" t="inlineStr">
        <is>
          <t>24. Other assets</t>
        </is>
      </c>
      <c r="D85" s="8" t="inlineStr">
        <is>
          <t>Part II line 24 col B</t>
        </is>
      </c>
      <c r="E85" s="8" t="inlineStr">
        <is>
          <t>part_ii_balance_sheet.other_assets_eoy</t>
        </is>
      </c>
      <c r="F85" s="8" t="inlineStr">
        <is>
          <t>high</t>
        </is>
      </c>
      <c r="G85" s="9" t="n">
        <v>168116</v>
      </c>
    </row>
    <row r="86">
      <c r="A86" s="8" t="inlineStr">
        <is>
          <t>Form 990-EZ Parts I &amp; II</t>
        </is>
      </c>
      <c r="B86" s="8" t="inlineStr">
        <is>
          <t>B28</t>
        </is>
      </c>
      <c r="C86" s="8" t="inlineStr">
        <is>
          <t>26. Total liabilities</t>
        </is>
      </c>
      <c r="D86" s="8" t="inlineStr">
        <is>
          <t>Part II line 26 col B</t>
        </is>
      </c>
      <c r="E86" s="8" t="inlineStr">
        <is>
          <t>part_ii_balance_sheet.total_liabilities_eoy</t>
        </is>
      </c>
      <c r="F86" s="8" t="inlineStr">
        <is>
          <t>high</t>
        </is>
      </c>
      <c r="G86" s="9" t="n">
        <v>123228</v>
      </c>
    </row>
    <row r="87">
      <c r="A87" s="8" t="inlineStr">
        <is>
          <t>Form 990-EZ Parts I &amp; II</t>
        </is>
      </c>
      <c r="B87" s="8" t="inlineStr">
        <is>
          <t>C28</t>
        </is>
      </c>
      <c r="C87" s="8" t="inlineStr">
        <is>
          <t>26. Total liabilities</t>
        </is>
      </c>
      <c r="D87" s="8" t="inlineStr">
        <is>
          <t>Part II line 26 col B</t>
        </is>
      </c>
      <c r="E87" s="8" t="inlineStr">
        <is>
          <t>part_ii_balance_sheet.total_liabilities_eoy</t>
        </is>
      </c>
      <c r="F87" s="8" t="inlineStr">
        <is>
          <t>high</t>
        </is>
      </c>
      <c r="G87" s="9" t="n">
        <v>109076</v>
      </c>
    </row>
    <row r="88">
      <c r="A88" s="8" t="inlineStr">
        <is>
          <t>Form 990-EZ Parts I &amp; II</t>
        </is>
      </c>
      <c r="B88" s="8" t="inlineStr">
        <is>
          <t>D28</t>
        </is>
      </c>
      <c r="C88" s="8" t="inlineStr">
        <is>
          <t>26. Total liabilities</t>
        </is>
      </c>
      <c r="D88" s="8" t="inlineStr">
        <is>
          <t>Part II line 26 col B</t>
        </is>
      </c>
      <c r="E88" s="8" t="inlineStr">
        <is>
          <t>part_ii_balance_sheet.total_liabilities_eoy</t>
        </is>
      </c>
      <c r="F88" s="8" t="inlineStr">
        <is>
          <t>high</t>
        </is>
      </c>
      <c r="G88" s="9" t="n">
        <v>89026</v>
      </c>
    </row>
    <row r="89">
      <c r="A89" s="8" t="inlineStr">
        <is>
          <t>Form 990-EZ Parts I &amp; II</t>
        </is>
      </c>
      <c r="B89" s="8" t="inlineStr">
        <is>
          <t>E28</t>
        </is>
      </c>
      <c r="C89" s="8" t="inlineStr">
        <is>
          <t>26. Total liabilities</t>
        </is>
      </c>
      <c r="D89" s="8" t="inlineStr">
        <is>
          <t>Part II line 26 col B</t>
        </is>
      </c>
      <c r="E89" s="8" t="inlineStr">
        <is>
          <t>part_ii_balance_sheet.total_liabilities_eoy</t>
        </is>
      </c>
      <c r="F89" s="8" t="inlineStr">
        <is>
          <t>high</t>
        </is>
      </c>
      <c r="G89" s="9" t="n">
        <v>89026</v>
      </c>
    </row>
    <row r="90">
      <c r="A90" s="8" t="inlineStr">
        <is>
          <t>Form 990-EZ Parts I &amp; II</t>
        </is>
      </c>
      <c r="B90" s="8" t="inlineStr">
        <is>
          <t>F28</t>
        </is>
      </c>
      <c r="C90" s="8" t="inlineStr">
        <is>
          <t>26. Total liabilities</t>
        </is>
      </c>
      <c r="D90" s="8" t="inlineStr">
        <is>
          <t>Part II line 26 col B</t>
        </is>
      </c>
      <c r="E90" s="8" t="inlineStr">
        <is>
          <t>part_ii_balance_sheet.total_liabilities_eoy</t>
        </is>
      </c>
      <c r="F90" s="8" t="inlineStr">
        <is>
          <t>high</t>
        </is>
      </c>
      <c r="G90" s="9" t="n">
        <v>55518</v>
      </c>
    </row>
    <row r="91">
      <c r="A91" s="8" t="inlineStr">
        <is>
          <t>Form 990-EZ Parts I &amp; II</t>
        </is>
      </c>
      <c r="B91" s="8" t="inlineStr">
        <is>
          <t>G28</t>
        </is>
      </c>
      <c r="C91" s="8" t="inlineStr">
        <is>
          <t>26. Total liabilities</t>
        </is>
      </c>
      <c r="D91" s="8" t="inlineStr">
        <is>
          <t>Part II line 26 col B</t>
        </is>
      </c>
      <c r="E91" s="8" t="inlineStr">
        <is>
          <t>part_ii_balance_sheet.total_liabilities_eoy</t>
        </is>
      </c>
      <c r="F91" s="8" t="inlineStr">
        <is>
          <t>high</t>
        </is>
      </c>
      <c r="G91" s="9" t="n">
        <v>33109</v>
      </c>
    </row>
    <row r="92">
      <c r="A92" s="8" t="inlineStr">
        <is>
          <t>Form 990-EZ Parts I &amp; II</t>
        </is>
      </c>
      <c r="B92" s="8" t="inlineStr">
        <is>
          <t>B29</t>
        </is>
      </c>
      <c r="C92" s="8" t="inlineStr">
        <is>
          <t>27. Net assets or fund balances</t>
        </is>
      </c>
      <c r="D92" s="8" t="inlineStr">
        <is>
          <t>Part II line 27 col B</t>
        </is>
      </c>
      <c r="E92" s="8" t="inlineStr">
        <is>
          <t>part_ii_balance_sheet.net_assets_eoy</t>
        </is>
      </c>
      <c r="F92" s="8" t="inlineStr">
        <is>
          <t>high</t>
        </is>
      </c>
      <c r="G92" s="9" t="n">
        <v>294238</v>
      </c>
    </row>
    <row r="93">
      <c r="A93" s="8" t="inlineStr">
        <is>
          <t>Form 990-EZ Parts I &amp; II</t>
        </is>
      </c>
      <c r="B93" s="8" t="inlineStr">
        <is>
          <t>C29</t>
        </is>
      </c>
      <c r="C93" s="8" t="inlineStr">
        <is>
          <t>27. Net assets or fund balances</t>
        </is>
      </c>
      <c r="D93" s="8" t="inlineStr">
        <is>
          <t>Part II line 27 col B</t>
        </is>
      </c>
      <c r="E93" s="8" t="inlineStr">
        <is>
          <t>part_ii_balance_sheet.net_assets_eoy</t>
        </is>
      </c>
      <c r="F93" s="8" t="inlineStr">
        <is>
          <t>high</t>
        </is>
      </c>
      <c r="G93" s="9" t="n">
        <v>305017</v>
      </c>
    </row>
    <row r="94">
      <c r="A94" s="8" t="inlineStr">
        <is>
          <t>Form 990-EZ Parts I &amp; II</t>
        </is>
      </c>
      <c r="B94" s="8" t="inlineStr">
        <is>
          <t>D29</t>
        </is>
      </c>
      <c r="C94" s="8" t="inlineStr">
        <is>
          <t>27. Net assets or fund balances</t>
        </is>
      </c>
      <c r="D94" s="8" t="inlineStr">
        <is>
          <t>Part II line 27 col B</t>
        </is>
      </c>
      <c r="E94" s="8" t="inlineStr">
        <is>
          <t>part_ii_balance_sheet.net_assets_eoy</t>
        </is>
      </c>
      <c r="F94" s="8" t="inlineStr">
        <is>
          <t>high</t>
        </is>
      </c>
      <c r="G94" s="9" t="n">
        <v>275239</v>
      </c>
    </row>
    <row r="95">
      <c r="A95" s="8" t="inlineStr">
        <is>
          <t>Form 990-EZ Parts I &amp; II</t>
        </is>
      </c>
      <c r="B95" s="8" t="inlineStr">
        <is>
          <t>E29</t>
        </is>
      </c>
      <c r="C95" s="8" t="inlineStr">
        <is>
          <t>27. Net assets or fund balances</t>
        </is>
      </c>
      <c r="D95" s="8" t="inlineStr">
        <is>
          <t>Part II line 27 col B</t>
        </is>
      </c>
      <c r="E95" s="8" t="inlineStr">
        <is>
          <t>part_ii_balance_sheet.net_assets_eoy</t>
        </is>
      </c>
      <c r="F95" s="8" t="inlineStr">
        <is>
          <t>high</t>
        </is>
      </c>
      <c r="G95" s="9" t="n">
        <v>275239</v>
      </c>
    </row>
    <row r="96">
      <c r="A96" s="8" t="inlineStr">
        <is>
          <t>Form 990-EZ Parts I &amp; II</t>
        </is>
      </c>
      <c r="B96" s="8" t="inlineStr">
        <is>
          <t>F29</t>
        </is>
      </c>
      <c r="C96" s="8" t="inlineStr">
        <is>
          <t>27. Net assets or fund balances</t>
        </is>
      </c>
      <c r="D96" s="8" t="inlineStr">
        <is>
          <t>Part II line 27 col B</t>
        </is>
      </c>
      <c r="E96" s="8" t="inlineStr">
        <is>
          <t>part_ii_balance_sheet.net_assets_eoy</t>
        </is>
      </c>
      <c r="F96" s="8" t="inlineStr">
        <is>
          <t>high</t>
        </is>
      </c>
      <c r="G96" s="9" t="n">
        <v>253421</v>
      </c>
    </row>
    <row r="97">
      <c r="A97" s="8" t="inlineStr">
        <is>
          <t>Form 990-EZ Parts I &amp; II</t>
        </is>
      </c>
      <c r="B97" s="8" t="inlineStr">
        <is>
          <t>G29</t>
        </is>
      </c>
      <c r="C97" s="8" t="inlineStr">
        <is>
          <t>27. Net assets or fund balances</t>
        </is>
      </c>
      <c r="D97" s="8" t="inlineStr">
        <is>
          <t>Part II line 27 col B</t>
        </is>
      </c>
      <c r="E97" s="8" t="inlineStr">
        <is>
          <t>part_ii_balance_sheet.net_assets_eoy</t>
        </is>
      </c>
      <c r="F97" s="8" t="inlineStr">
        <is>
          <t>high</t>
        </is>
      </c>
      <c r="G97" s="9" t="n">
        <v>243526</v>
      </c>
    </row>
    <row r="99">
      <c r="A99" s="16" t="inlineStr">
        <is>
          <t>C. Tie-out checks (filed vs computed; any nonzero variance is flagged red)</t>
        </is>
      </c>
      <c r="B99" s="7" t="n"/>
      <c r="C99" s="7" t="n"/>
      <c r="D99" s="7" t="n"/>
      <c r="E99" s="7" t="n"/>
      <c r="F99" s="7" t="n"/>
      <c r="G99" s="7" t="n"/>
      <c r="H99" s="7" t="n"/>
      <c r="I99" s="7" t="n"/>
      <c r="J99" s="7" t="n"/>
      <c r="K99" s="7" t="n"/>
    </row>
    <row r="100">
      <c r="A100" s="5" t="inlineStr">
        <is>
          <t>Tab</t>
        </is>
      </c>
      <c r="B100" s="5" t="inlineStr">
        <is>
          <t>Check</t>
        </is>
      </c>
      <c r="C100" s="5" t="inlineStr">
        <is>
          <t>Fiscal year</t>
        </is>
      </c>
      <c r="D100" s="5" t="inlineStr">
        <is>
          <t>Filed</t>
        </is>
      </c>
      <c r="E100" s="5" t="inlineStr">
        <is>
          <t>Computed</t>
        </is>
      </c>
      <c r="F100" s="5" t="inlineStr">
        <is>
          <t>Variance (computed - filed)</t>
        </is>
      </c>
    </row>
    <row r="101">
      <c r="A101" s="26" t="inlineStr">
        <is>
          <t>Form 990-EZ Parts I &amp; II</t>
        </is>
      </c>
      <c r="B101" s="26" t="inlineStr">
        <is>
          <t>17. Total expenses</t>
        </is>
      </c>
      <c r="C101" s="26" t="inlineStr">
        <is>
          <t>FY2021</t>
        </is>
      </c>
      <c r="D101" s="9" t="n">
        <v>49334</v>
      </c>
      <c r="E101" s="9">
        <f>'Form 990-EZ Parts I &amp; II'!B16</f>
        <v/>
      </c>
      <c r="F101" s="9">
        <f>E101-D101</f>
        <v/>
      </c>
    </row>
    <row r="102">
      <c r="A102" s="26" t="inlineStr">
        <is>
          <t>Form 990-EZ Parts I &amp; II</t>
        </is>
      </c>
      <c r="B102" s="26" t="inlineStr">
        <is>
          <t>17. Total expenses</t>
        </is>
      </c>
      <c r="C102" s="26" t="inlineStr">
        <is>
          <t>FY2022</t>
        </is>
      </c>
      <c r="D102" s="9" t="n">
        <v>62570</v>
      </c>
      <c r="E102" s="9">
        <f>'Form 990-EZ Parts I &amp; II'!C16</f>
        <v/>
      </c>
      <c r="F102" s="9">
        <f>E102-D102</f>
        <v/>
      </c>
    </row>
    <row r="103">
      <c r="A103" s="26" t="inlineStr">
        <is>
          <t>Form 990-EZ Parts I &amp; II</t>
        </is>
      </c>
      <c r="B103" s="26" t="inlineStr">
        <is>
          <t>17. Total expenses</t>
        </is>
      </c>
      <c r="C103" s="26" t="inlineStr">
        <is>
          <t>FY2023</t>
        </is>
      </c>
      <c r="D103" s="9" t="n">
        <v>41225</v>
      </c>
      <c r="E103" s="9">
        <f>'Form 990-EZ Parts I &amp; II'!E16</f>
        <v/>
      </c>
      <c r="F103" s="9">
        <f>E103-D103</f>
        <v/>
      </c>
    </row>
    <row r="104">
      <c r="A104" s="26" t="inlineStr">
        <is>
          <t>Form 990-EZ Parts I &amp; II</t>
        </is>
      </c>
      <c r="B104" s="26" t="inlineStr">
        <is>
          <t>17. Total expenses</t>
        </is>
      </c>
      <c r="C104" s="26" t="inlineStr">
        <is>
          <t>FY2023</t>
        </is>
      </c>
      <c r="D104" s="9" t="n">
        <v>41225</v>
      </c>
      <c r="E104" s="9">
        <f>'Form 990-EZ Parts I &amp; II'!E16</f>
        <v/>
      </c>
      <c r="F104" s="9">
        <f>E104-D104</f>
        <v/>
      </c>
    </row>
    <row r="105">
      <c r="A105" s="26" t="inlineStr">
        <is>
          <t>Form 990-EZ Parts I &amp; II</t>
        </is>
      </c>
      <c r="B105" s="26" t="inlineStr">
        <is>
          <t>17. Total expenses</t>
        </is>
      </c>
      <c r="C105" s="26" t="inlineStr">
        <is>
          <t>FY2024</t>
        </is>
      </c>
      <c r="D105" s="9" t="n">
        <v>154000</v>
      </c>
      <c r="E105" s="9">
        <f>'Form 990-EZ Parts I &amp; II'!F16</f>
        <v/>
      </c>
      <c r="F105" s="9">
        <f>E105-D105</f>
        <v/>
      </c>
    </row>
    <row r="106">
      <c r="A106" s="26" t="inlineStr">
        <is>
          <t>Form 990-EZ Parts I &amp; II</t>
        </is>
      </c>
      <c r="B106" s="26" t="inlineStr">
        <is>
          <t>17. Total expenses</t>
        </is>
      </c>
      <c r="C106" s="26" t="inlineStr">
        <is>
          <t>FY2025</t>
        </is>
      </c>
      <c r="D106" s="9" t="n">
        <v>135276</v>
      </c>
      <c r="E106" s="9">
        <f>'Form 990-EZ Parts I &amp; II'!G16</f>
        <v/>
      </c>
      <c r="F106" s="9">
        <f>E106-D106</f>
        <v/>
      </c>
    </row>
    <row r="107">
      <c r="A107" s="26" t="inlineStr">
        <is>
          <t>Form 990-EZ Parts I &amp; II</t>
        </is>
      </c>
      <c r="B107" s="26" t="inlineStr">
        <is>
          <t>21. Net assets or fund balances, end of year</t>
        </is>
      </c>
      <c r="C107" s="26" t="inlineStr">
        <is>
          <t>FY2021</t>
        </is>
      </c>
      <c r="D107" s="9" t="n">
        <v>294238</v>
      </c>
      <c r="E107" s="9">
        <f>'Form 990-EZ Parts I &amp; II'!B21</f>
        <v/>
      </c>
      <c r="F107" s="9">
        <f>E107-D107</f>
        <v/>
      </c>
    </row>
    <row r="108">
      <c r="A108" s="26" t="inlineStr">
        <is>
          <t>Form 990-EZ Parts I &amp; II</t>
        </is>
      </c>
      <c r="B108" s="26" t="inlineStr">
        <is>
          <t>21. Net assets or fund balances, end of year</t>
        </is>
      </c>
      <c r="C108" s="26" t="inlineStr">
        <is>
          <t>FY2022</t>
        </is>
      </c>
      <c r="D108" s="9" t="n">
        <v>305017</v>
      </c>
      <c r="E108" s="9">
        <f>'Form 990-EZ Parts I &amp; II'!C21</f>
        <v/>
      </c>
      <c r="F108" s="9">
        <f>E108-D108</f>
        <v/>
      </c>
    </row>
    <row r="109">
      <c r="A109" s="26" t="inlineStr">
        <is>
          <t>Form 990-EZ Parts I &amp; II</t>
        </is>
      </c>
      <c r="B109" s="26" t="inlineStr">
        <is>
          <t>21. Net assets or fund balances, end of year</t>
        </is>
      </c>
      <c r="C109" s="26" t="inlineStr">
        <is>
          <t>FY2023</t>
        </is>
      </c>
      <c r="D109" s="9" t="n">
        <v>275239</v>
      </c>
      <c r="E109" s="9">
        <f>'Form 990-EZ Parts I &amp; II'!E21</f>
        <v/>
      </c>
      <c r="F109" s="9">
        <f>E109-D109</f>
        <v/>
      </c>
    </row>
    <row r="110">
      <c r="A110" s="26" t="inlineStr">
        <is>
          <t>Form 990-EZ Parts I &amp; II</t>
        </is>
      </c>
      <c r="B110" s="26" t="inlineStr">
        <is>
          <t>21. Net assets or fund balances, end of year</t>
        </is>
      </c>
      <c r="C110" s="26" t="inlineStr">
        <is>
          <t>FY2023</t>
        </is>
      </c>
      <c r="D110" s="9" t="n">
        <v>275239</v>
      </c>
      <c r="E110" s="9">
        <f>'Form 990-EZ Parts I &amp; II'!E21</f>
        <v/>
      </c>
      <c r="F110" s="9">
        <f>E110-D110</f>
        <v/>
      </c>
    </row>
    <row r="111">
      <c r="A111" s="26" t="inlineStr">
        <is>
          <t>Form 990-EZ Parts I &amp; II</t>
        </is>
      </c>
      <c r="B111" s="26" t="inlineStr">
        <is>
          <t>21. Net assets or fund balances, end of year</t>
        </is>
      </c>
      <c r="C111" s="26" t="inlineStr">
        <is>
          <t>FY2024</t>
        </is>
      </c>
      <c r="D111" s="9" t="n">
        <v>253421</v>
      </c>
      <c r="E111" s="9">
        <f>'Form 990-EZ Parts I &amp; II'!F21</f>
        <v/>
      </c>
      <c r="F111" s="9">
        <f>E111-D111</f>
        <v/>
      </c>
    </row>
    <row r="112">
      <c r="A112" s="26" t="inlineStr">
        <is>
          <t>Form 990-EZ Parts I &amp; II</t>
        </is>
      </c>
      <c r="B112" s="26" t="inlineStr">
        <is>
          <t>21. Net assets or fund balances, end of year</t>
        </is>
      </c>
      <c r="C112" s="26" t="inlineStr">
        <is>
          <t>FY2025</t>
        </is>
      </c>
      <c r="D112" s="9" t="n">
        <v>243526</v>
      </c>
      <c r="E112" s="9">
        <f>'Form 990-EZ Parts I &amp; II'!G21</f>
        <v/>
      </c>
      <c r="F112" s="9">
        <f>E112-D112</f>
        <v/>
      </c>
    </row>
    <row r="113">
      <c r="A113" s="26" t="inlineStr">
        <is>
          <t>Form 990-EZ Parts I &amp; II</t>
        </is>
      </c>
      <c r="B113" s="26" t="inlineStr">
        <is>
          <t>25. Total assets</t>
        </is>
      </c>
      <c r="C113" s="26" t="inlineStr">
        <is>
          <t>FY2021</t>
        </is>
      </c>
      <c r="D113" s="9" t="n">
        <v>417466</v>
      </c>
      <c r="E113" s="9">
        <f>'Form 990-EZ Parts I &amp; II'!B27</f>
        <v/>
      </c>
      <c r="F113" s="9">
        <f>E113-D113</f>
        <v/>
      </c>
    </row>
    <row r="114">
      <c r="A114" s="26" t="inlineStr">
        <is>
          <t>Form 990-EZ Parts I &amp; II</t>
        </is>
      </c>
      <c r="B114" s="26" t="inlineStr">
        <is>
          <t>25. Total assets</t>
        </is>
      </c>
      <c r="C114" s="26" t="inlineStr">
        <is>
          <t>FY2022</t>
        </is>
      </c>
      <c r="D114" s="9" t="n">
        <v>414093</v>
      </c>
      <c r="E114" s="9">
        <f>'Form 990-EZ Parts I &amp; II'!C27</f>
        <v/>
      </c>
      <c r="F114" s="9">
        <f>E114-D114</f>
        <v/>
      </c>
    </row>
    <row r="115">
      <c r="A115" s="26" t="inlineStr">
        <is>
          <t>Form 990-EZ Parts I &amp; II</t>
        </is>
      </c>
      <c r="B115" s="26" t="inlineStr">
        <is>
          <t>25. Total assets</t>
        </is>
      </c>
      <c r="C115" s="26" t="inlineStr">
        <is>
          <t>FY2023</t>
        </is>
      </c>
      <c r="D115" s="9" t="n">
        <v>364265</v>
      </c>
      <c r="E115" s="9">
        <f>'Form 990-EZ Parts I &amp; II'!E27</f>
        <v/>
      </c>
      <c r="F115" s="9">
        <f>E115-D115</f>
        <v/>
      </c>
    </row>
    <row r="116">
      <c r="A116" s="26" t="inlineStr">
        <is>
          <t>Form 990-EZ Parts I &amp; II</t>
        </is>
      </c>
      <c r="B116" s="26" t="inlineStr">
        <is>
          <t>25. Total assets</t>
        </is>
      </c>
      <c r="C116" s="26" t="inlineStr">
        <is>
          <t>FY2023</t>
        </is>
      </c>
      <c r="D116" s="9" t="n">
        <v>364265</v>
      </c>
      <c r="E116" s="9">
        <f>'Form 990-EZ Parts I &amp; II'!E27</f>
        <v/>
      </c>
      <c r="F116" s="9">
        <f>E116-D116</f>
        <v/>
      </c>
    </row>
    <row r="117">
      <c r="A117" s="26" t="inlineStr">
        <is>
          <t>Form 990-EZ Parts I &amp; II</t>
        </is>
      </c>
      <c r="B117" s="26" t="inlineStr">
        <is>
          <t>25. Total assets</t>
        </is>
      </c>
      <c r="C117" s="26" t="inlineStr">
        <is>
          <t>FY2024</t>
        </is>
      </c>
      <c r="D117" s="9" t="n">
        <v>308939</v>
      </c>
      <c r="E117" s="9">
        <f>'Form 990-EZ Parts I &amp; II'!F27</f>
        <v/>
      </c>
      <c r="F117" s="9">
        <f>E117-D117</f>
        <v/>
      </c>
    </row>
    <row r="118">
      <c r="A118" s="26" t="inlineStr">
        <is>
          <t>Form 990-EZ Parts I &amp; II</t>
        </is>
      </c>
      <c r="B118" s="26" t="inlineStr">
        <is>
          <t>25. Total assets</t>
        </is>
      </c>
      <c r="C118" s="26" t="inlineStr">
        <is>
          <t>FY2025</t>
        </is>
      </c>
      <c r="D118" s="9" t="n">
        <v>276635</v>
      </c>
      <c r="E118" s="9">
        <f>'Form 990-EZ Parts I &amp; II'!G27</f>
        <v/>
      </c>
      <c r="F118" s="9">
        <f>E118-D118</f>
        <v/>
      </c>
    </row>
    <row r="119">
      <c r="A119" s="26" t="inlineStr">
        <is>
          <t>Form 990-EZ Parts I &amp; II</t>
        </is>
      </c>
      <c r="B119" s="26" t="inlineStr">
        <is>
          <t>Balance sheet identity: line 25 = line 26 + line 27 (EOY)</t>
        </is>
      </c>
      <c r="C119" s="26" t="inlineStr">
        <is>
          <t>FY2021</t>
        </is>
      </c>
      <c r="D119" s="9">
        <f>'Form 990-EZ Parts I &amp; II'!B27</f>
        <v/>
      </c>
      <c r="E119" s="9">
        <f>SUM('Form 990-EZ Parts I &amp; II'!B28,'Form 990-EZ Parts I &amp; II'!B29)</f>
        <v/>
      </c>
      <c r="F119" s="9">
        <f>E119-D119</f>
        <v/>
      </c>
    </row>
    <row r="120">
      <c r="A120" s="26" t="inlineStr">
        <is>
          <t>Form 990-EZ Parts I &amp; II</t>
        </is>
      </c>
      <c r="B120" s="26" t="inlineStr">
        <is>
          <t>Balance sheet identity: line 25 = line 26 + line 27 (EOY)</t>
        </is>
      </c>
      <c r="C120" s="26" t="inlineStr">
        <is>
          <t>FY2022</t>
        </is>
      </c>
      <c r="D120" s="9">
        <f>'Form 990-EZ Parts I &amp; II'!C27</f>
        <v/>
      </c>
      <c r="E120" s="9">
        <f>SUM('Form 990-EZ Parts I &amp; II'!C28,'Form 990-EZ Parts I &amp; II'!C29)</f>
        <v/>
      </c>
      <c r="F120" s="9">
        <f>E120-D120</f>
        <v/>
      </c>
    </row>
    <row r="121">
      <c r="A121" s="26" t="inlineStr">
        <is>
          <t>Form 990-EZ Parts I &amp; II</t>
        </is>
      </c>
      <c r="B121" s="26" t="inlineStr">
        <is>
          <t>Balance sheet identity: line 25 = line 26 + line 27 (EOY)</t>
        </is>
      </c>
      <c r="C121" s="26" t="inlineStr">
        <is>
          <t>FY2023</t>
        </is>
      </c>
      <c r="D121" s="9">
        <f>'Form 990-EZ Parts I &amp; II'!E27</f>
        <v/>
      </c>
      <c r="E121" s="9">
        <f>SUM('Form 990-EZ Parts I &amp; II'!E28,'Form 990-EZ Parts I &amp; II'!E29)</f>
        <v/>
      </c>
      <c r="F121" s="9">
        <f>E121-D121</f>
        <v/>
      </c>
    </row>
    <row r="122">
      <c r="A122" s="26" t="inlineStr">
        <is>
          <t>Form 990-EZ Parts I &amp; II</t>
        </is>
      </c>
      <c r="B122" s="26" t="inlineStr">
        <is>
          <t>Balance sheet identity: line 25 = line 26 + line 27 (EOY)</t>
        </is>
      </c>
      <c r="C122" s="26" t="inlineStr">
        <is>
          <t>FY2023</t>
        </is>
      </c>
      <c r="D122" s="9">
        <f>'Form 990-EZ Parts I &amp; II'!E27</f>
        <v/>
      </c>
      <c r="E122" s="9">
        <f>SUM('Form 990-EZ Parts I &amp; II'!E28,'Form 990-EZ Parts I &amp; II'!E29)</f>
        <v/>
      </c>
      <c r="F122" s="9">
        <f>E122-D122</f>
        <v/>
      </c>
    </row>
    <row r="123">
      <c r="A123" s="26" t="inlineStr">
        <is>
          <t>Form 990-EZ Parts I &amp; II</t>
        </is>
      </c>
      <c r="B123" s="26" t="inlineStr">
        <is>
          <t>Balance sheet identity: line 25 = line 26 + line 27 (EOY)</t>
        </is>
      </c>
      <c r="C123" s="26" t="inlineStr">
        <is>
          <t>FY2024</t>
        </is>
      </c>
      <c r="D123" s="9">
        <f>'Form 990-EZ Parts I &amp; II'!F27</f>
        <v/>
      </c>
      <c r="E123" s="9">
        <f>SUM('Form 990-EZ Parts I &amp; II'!F28,'Form 990-EZ Parts I &amp; II'!F29)</f>
        <v/>
      </c>
      <c r="F123" s="9">
        <f>E123-D123</f>
        <v/>
      </c>
    </row>
    <row r="124">
      <c r="A124" s="26" t="inlineStr">
        <is>
          <t>Form 990-EZ Parts I &amp; II</t>
        </is>
      </c>
      <c r="B124" s="26" t="inlineStr">
        <is>
          <t>Balance sheet identity: line 25 = line 26 + line 27 (EOY)</t>
        </is>
      </c>
      <c r="C124" s="26" t="inlineStr">
        <is>
          <t>FY2025</t>
        </is>
      </c>
      <c r="D124" s="9">
        <f>'Form 990-EZ Parts I &amp; II'!G27</f>
        <v/>
      </c>
      <c r="E124" s="9">
        <f>SUM('Form 990-EZ Parts I &amp; II'!G28,'Form 990-EZ Parts I &amp; II'!G29)</f>
        <v/>
      </c>
      <c r="F124" s="9">
        <f>E124-D124</f>
        <v/>
      </c>
    </row>
    <row r="126">
      <c r="A126" s="16" t="inlineStr">
        <is>
          <t>D. Preparer / auditor trail (one row per fiscal year, as filed)</t>
        </is>
      </c>
      <c r="B126" s="7" t="n"/>
      <c r="C126" s="7" t="n"/>
      <c r="D126" s="7" t="n"/>
      <c r="E126" s="7" t="n"/>
      <c r="F126" s="7" t="n"/>
      <c r="G126" s="7" t="n"/>
      <c r="H126" s="7" t="n"/>
      <c r="I126" s="7" t="n"/>
      <c r="J126" s="7" t="n"/>
      <c r="K126" s="7" t="n"/>
    </row>
    <row r="127">
      <c r="A127" s="5" t="inlineStr">
        <is>
          <t>Fiscal year</t>
        </is>
      </c>
      <c r="B127" s="5" t="inlineStr">
        <is>
          <t>Paid preparer</t>
        </is>
      </c>
      <c r="C127" s="5" t="inlineStr">
        <is>
          <t>Preparer firm</t>
        </is>
      </c>
      <c r="D127" s="5" t="inlineStr">
        <is>
          <t>Independent auditor</t>
        </is>
      </c>
      <c r="E127" s="5" t="inlineStr">
        <is>
          <t>Citation</t>
        </is>
      </c>
    </row>
    <row r="128" ht="42" customHeight="1">
      <c r="A128" s="23" t="inlineStr">
        <is>
          <t>FY2021</t>
        </is>
      </c>
      <c r="B128" s="8" t="inlineStr">
        <is>
          <t>Douglas W Regalia</t>
        </is>
      </c>
      <c r="C128" s="8" t="inlineStr">
        <is>
          <t>REGALIA &amp; ASSOCIATES CPAS</t>
        </is>
      </c>
      <c r="D128" s="27" t="inlineStr">
        <is>
          <t>not reported</t>
        </is>
      </c>
      <c r="E128" s="17" t="inlineStr">
        <is>
          <t>Form 990 Return Header, Paid Preparer block (return_header.preparer_person_name / preparer_firm_name); auditor: Part XII line 2 reports audited financial statements but does not name the firm.</t>
        </is>
      </c>
    </row>
    <row r="129" ht="42" customHeight="1">
      <c r="A129" s="23" t="inlineStr">
        <is>
          <t>FY2022</t>
        </is>
      </c>
      <c r="B129" s="8" t="inlineStr">
        <is>
          <t>Douglas W Regalia</t>
        </is>
      </c>
      <c r="C129" s="8" t="inlineStr">
        <is>
          <t>REGALIA &amp; ASSOCIATES CPAS</t>
        </is>
      </c>
      <c r="D129" s="27" t="inlineStr">
        <is>
          <t>not reported</t>
        </is>
      </c>
      <c r="E129" s="17" t="inlineStr">
        <is>
          <t>Form 990 Return Header, Paid Preparer block (return_header.preparer_person_name / preparer_firm_name); auditor: Part XII line 2 reports audited financial statements but does not name the firm.</t>
        </is>
      </c>
    </row>
    <row r="130" ht="42" customHeight="1">
      <c r="A130" s="23" t="inlineStr">
        <is>
          <t>FY2023</t>
        </is>
      </c>
      <c r="B130" s="8" t="inlineStr">
        <is>
          <t>Douglas W Regalia</t>
        </is>
      </c>
      <c r="C130" s="8" t="inlineStr">
        <is>
          <t>REGALIA &amp; ASSOCIATES CPAS</t>
        </is>
      </c>
      <c r="D130" s="27" t="inlineStr">
        <is>
          <t>not reported</t>
        </is>
      </c>
      <c r="E130" s="17" t="inlineStr">
        <is>
          <t>Form 990 Return Header, Paid Preparer block (return_header.preparer_person_name / preparer_firm_name); auditor: Part XII line 2 reports audited financial statements but does not name the firm.</t>
        </is>
      </c>
    </row>
    <row r="131" ht="42" customHeight="1">
      <c r="A131" s="23" t="inlineStr">
        <is>
          <t>FY2023</t>
        </is>
      </c>
      <c r="B131" s="8" t="inlineStr">
        <is>
          <t>Douglas W Regalia</t>
        </is>
      </c>
      <c r="C131" s="8" t="inlineStr">
        <is>
          <t>REGALIA &amp; ASSOCIATES CPAS</t>
        </is>
      </c>
      <c r="D131" s="27" t="inlineStr">
        <is>
          <t>not reported</t>
        </is>
      </c>
      <c r="E131" s="17" t="inlineStr">
        <is>
          <t>Form 990 Return Header, Paid Preparer block (return_header.preparer_person_name / preparer_firm_name); auditor: Part XII line 2 reports audited financial statements but does not name the firm.</t>
        </is>
      </c>
    </row>
    <row r="132" ht="42" customHeight="1">
      <c r="A132" s="23" t="inlineStr">
        <is>
          <t>FY2024</t>
        </is>
      </c>
      <c r="B132" s="8" t="inlineStr">
        <is>
          <t>Douglas W Regalia</t>
        </is>
      </c>
      <c r="C132" s="8" t="inlineStr">
        <is>
          <t>Regalia &amp; Associates CPAS</t>
        </is>
      </c>
      <c r="D132" s="27" t="inlineStr">
        <is>
          <t>not reported</t>
        </is>
      </c>
      <c r="E132" s="17" t="inlineStr">
        <is>
          <t>Form 990 Return Header, Paid Preparer block (return_header.preparer_person_name / preparer_firm_name); auditor: Part XII line 2 reports audited financial statements but does not name the firm.</t>
        </is>
      </c>
    </row>
    <row r="133" ht="42" customHeight="1">
      <c r="A133" s="23" t="inlineStr">
        <is>
          <t>FY2025</t>
        </is>
      </c>
      <c r="B133" s="8" t="inlineStr">
        <is>
          <t>Douglas W Regalia</t>
        </is>
      </c>
      <c r="C133" s="8" t="inlineStr">
        <is>
          <t>REGALIA BERGER &amp; BERGER CPAS</t>
        </is>
      </c>
      <c r="D133" s="27" t="inlineStr">
        <is>
          <t>not reported</t>
        </is>
      </c>
      <c r="E133" s="17" t="inlineStr">
        <is>
          <t>Form 990 Return Header, Paid Preparer block (return_header.preparer_person_name / preparer_firm_name); auditor: Part XII line 2 reports audited financial statements but does not name the firm.</t>
        </is>
      </c>
    </row>
    <row r="135" ht="42" customHeight="1">
      <c r="A135"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135:K135"/>
    <mergeCell ref="A3:K3"/>
    <mergeCell ref="A2:K2"/>
    <mergeCell ref="A5:K5"/>
    <mergeCell ref="A1:K1"/>
  </mergeCells>
  <conditionalFormatting sqref="F101:F124">
    <cfRule type="cellIs" priority="1" operator="notEqual" dxfId="0">
      <formula>0</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