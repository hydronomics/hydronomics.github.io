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Anomaly Flags" sheetId="17" state="visible" r:id="rId17"/>
    <sheet name="Sources &amp; audit" sheetId="18" state="visible" r:id="rId18"/>
    <sheet name="Provenance" sheetId="19" state="visible" r:id="rId19"/>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2">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b val="1"/>
      <color rgb="001F3864"/>
      <sz val="10"/>
    </font>
    <font>
      <name val="Calibri"/>
      <b val="1"/>
      <color rgb="00833C00"/>
      <sz val="10"/>
    </font>
    <font>
      <name val="Calibri"/>
      <i val="1"/>
      <color rgb="00A6A6A6"/>
      <sz val="10"/>
    </font>
    <font>
      <name val="Calibri"/>
      <i val="1"/>
      <color rgb="007F4F00"/>
      <sz val="10"/>
    </font>
  </fonts>
  <fills count="8">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CE4D6"/>
      </patternFill>
    </fill>
    <fill>
      <patternFill patternType="solid">
        <fgColor rgb="00FDF2D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6" fillId="0" borderId="1" applyAlignment="1" pivotButton="0" quotePrefix="0" xfId="0">
      <alignment horizontal="left" vertical="top" wrapText="1"/>
    </xf>
    <xf numFmtId="0" fontId="8" fillId="5" borderId="1" applyAlignment="1" pivotButton="0" quotePrefix="0" xfId="0">
      <alignment horizontal="left" vertical="center"/>
    </xf>
    <xf numFmtId="164" fontId="8" fillId="5" borderId="1" applyAlignment="1" pivotButton="0" quotePrefix="0" xfId="0">
      <alignment horizontal="right"/>
    </xf>
    <xf numFmtId="165" fontId="8" fillId="5" borderId="1" applyAlignment="1" pivotButton="0" quotePrefix="0" xfId="0">
      <alignment horizontal="right"/>
    </xf>
    <xf numFmtId="0" fontId="9" fillId="6" borderId="1" applyAlignment="1" pivotButton="0" quotePrefix="0" xfId="0">
      <alignment horizontal="left" vertical="center"/>
    </xf>
    <xf numFmtId="164" fontId="9" fillId="6" borderId="1" applyAlignment="1" pivotButton="0" quotePrefix="0" xfId="0">
      <alignment horizontal="right"/>
    </xf>
    <xf numFmtId="0" fontId="10" fillId="0" borderId="1" applyAlignment="1" pivotButton="0" quotePrefix="0" xfId="0">
      <alignment horizontal="right"/>
    </xf>
    <xf numFmtId="2" fontId="6" fillId="0" borderId="1" applyAlignment="1" pivotButton="0" quotePrefix="0" xfId="0">
      <alignment horizontal="right"/>
    </xf>
    <xf numFmtId="0" fontId="6" fillId="0" borderId="1" applyAlignment="1" pivotButton="0" quotePrefix="0" xfId="0">
      <alignment horizontal="left" vertical="top"/>
    </xf>
    <xf numFmtId="0" fontId="3" fillId="0" borderId="1" applyAlignment="1" pivotButton="0" quotePrefix="0" xfId="0">
      <alignment horizontal="left" vertical="top" wrapText="1"/>
    </xf>
    <xf numFmtId="0" fontId="8"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pivotButton="0" quotePrefix="0" xfId="0"/>
    <xf numFmtId="0" fontId="6" fillId="0" borderId="1" applyAlignment="1" pivotButton="0" quotePrefix="0" xfId="0">
      <alignment horizontal="center" vertical="center"/>
    </xf>
    <xf numFmtId="0" fontId="10" fillId="0" borderId="1" applyAlignment="1" pivotButton="0" quotePrefix="0" xfId="0">
      <alignment horizontal="center" vertical="center"/>
    </xf>
    <xf numFmtId="0" fontId="11" fillId="7" borderId="1" applyAlignment="1" pivotButton="0" quotePrefix="0" xfId="0">
      <alignment horizontal="left" vertical="top" wrapText="1"/>
    </xf>
    <xf numFmtId="0" fontId="5" fillId="3" borderId="0" applyAlignment="1" pivotButton="0" quotePrefix="0" xfId="0">
      <alignment horizontal="left" vertical="center"/>
    </xf>
    <xf numFmtId="0" fontId="10"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peak weekly category over Jul 2020-Jun 2021 (extreme)</t>
      </text>
    </comment>
    <comment ref="C9" authorId="0" shapeId="0">
      <text>
        <t>peak weekly category over Jul 2021-Jun 2022 (extreme)</t>
      </text>
    </comment>
    <comment ref="D9" authorId="0" shapeId="0">
      <text>
        <t>peak weekly category over Jul 2022-Jun 2023 (extreme)</t>
      </text>
    </comment>
    <comment ref="E9" authorId="0" shapeId="0">
      <text>
        <t>peak weekly category over Jul 2023-Jun 2024 (abnormally dry)</t>
      </text>
    </comment>
    <comment ref="F9" authorId="0" shapeId="0">
      <text>
        <t>peak weekly category over Jul 2024-Jun 2025 (abnormally dry)</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Markleeville Water Company</t>
        </is>
      </c>
    </row>
    <row r="2">
      <c r="A2" s="2" t="inlineStr">
        <is>
          <t>Financial Summary - multi-year overview (USD)</t>
        </is>
      </c>
    </row>
    <row r="3">
      <c r="A3" s="2" t="inlineStr">
        <is>
          <t>Entity ID: cawc_0050   |   Fiscal year ends June 30.</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224021</v>
      </c>
      <c r="C10" s="9" t="n">
        <v>577618</v>
      </c>
      <c r="D10" s="9" t="n">
        <v>217874</v>
      </c>
      <c r="E10" s="9" t="n">
        <v>181164</v>
      </c>
      <c r="F10" s="9" t="n">
        <v>659047</v>
      </c>
      <c r="G10" s="9" t="n">
        <v>3152090</v>
      </c>
    </row>
    <row r="11">
      <c r="A11" s="8" t="inlineStr">
        <is>
          <t xml:space="preserve">    Total expenses</t>
        </is>
      </c>
      <c r="B11" s="9" t="n">
        <v>195428</v>
      </c>
      <c r="C11" s="9" t="n">
        <v>433901</v>
      </c>
      <c r="D11" s="9" t="n">
        <v>246934</v>
      </c>
      <c r="E11" s="9" t="n">
        <v>184145</v>
      </c>
      <c r="F11" s="9" t="n">
        <v>178796</v>
      </c>
      <c r="G11" s="9" t="n">
        <v>168981</v>
      </c>
    </row>
    <row r="12">
      <c r="A12" s="10" t="inlineStr">
        <is>
          <t xml:space="preserve">    Net income</t>
        </is>
      </c>
      <c r="B12" s="11" t="n">
        <v>28593</v>
      </c>
      <c r="C12" s="11" t="n">
        <v>143717</v>
      </c>
      <c r="D12" s="11" t="n">
        <v>-29060</v>
      </c>
      <c r="E12" s="11" t="n">
        <v>-2981</v>
      </c>
      <c r="F12" s="11" t="n">
        <v>480251</v>
      </c>
      <c r="G12" s="11" t="n">
        <v>2983109</v>
      </c>
    </row>
    <row r="14">
      <c r="A14" s="6" t="inlineStr">
        <is>
          <t>Financial position (USD, end of year)</t>
        </is>
      </c>
      <c r="B14" s="7" t="n"/>
      <c r="C14" s="7" t="n"/>
      <c r="D14" s="7" t="n"/>
      <c r="E14" s="7" t="n"/>
      <c r="F14" s="7" t="n"/>
      <c r="G14" s="7" t="n"/>
    </row>
    <row r="15">
      <c r="A15" s="8" t="inlineStr">
        <is>
          <t xml:space="preserve">    Total assets</t>
        </is>
      </c>
      <c r="B15" s="9" t="n">
        <v>400231</v>
      </c>
      <c r="C15" s="9" t="n">
        <v>540139</v>
      </c>
      <c r="D15" s="9" t="n">
        <v>511079</v>
      </c>
      <c r="E15" s="9" t="n">
        <v>509602</v>
      </c>
      <c r="F15" s="9" t="n">
        <v>988349</v>
      </c>
      <c r="G15" s="9" t="n">
        <v>3974874</v>
      </c>
    </row>
    <row r="16">
      <c r="A16" s="8" t="inlineStr">
        <is>
          <t xml:space="preserve">    Total liabilities</t>
        </is>
      </c>
      <c r="B16" s="9" t="n">
        <v>3809</v>
      </c>
      <c r="C16" s="9" t="n">
        <v>0</v>
      </c>
      <c r="D16" s="9" t="n">
        <v>0</v>
      </c>
      <c r="E16" s="9" t="n">
        <v>1504</v>
      </c>
      <c r="F16" s="9" t="n">
        <v>0</v>
      </c>
      <c r="G16" s="9" t="n">
        <v>3416</v>
      </c>
    </row>
    <row r="17">
      <c r="A17" s="10" t="inlineStr">
        <is>
          <t xml:space="preserve">    Net assets</t>
        </is>
      </c>
      <c r="B17" s="11" t="n">
        <v>396422</v>
      </c>
      <c r="C17" s="11" t="n">
        <v>540139</v>
      </c>
      <c r="D17" s="11" t="n">
        <v>511079</v>
      </c>
      <c r="E17" s="11" t="n">
        <v>508098</v>
      </c>
      <c r="F17" s="11" t="n">
        <v>988349</v>
      </c>
      <c r="G17" s="11" t="n">
        <v>3971458</v>
      </c>
    </row>
    <row r="19">
      <c r="A19" s="6" t="inlineStr">
        <is>
          <t>Headline ratios</t>
        </is>
      </c>
      <c r="B19" s="7" t="n"/>
      <c r="C19" s="7" t="n"/>
      <c r="D19" s="7" t="n"/>
      <c r="E19" s="7" t="n"/>
      <c r="F19" s="7" t="n"/>
      <c r="G19" s="7" t="n"/>
    </row>
    <row r="20">
      <c r="A20" s="8" t="inlineStr">
        <is>
          <t xml:space="preserve">    Operating margin</t>
        </is>
      </c>
      <c r="B20" s="12" t="n">
        <v>0.1276353556139826</v>
      </c>
      <c r="C20" s="12" t="n">
        <v>0.2488097670086458</v>
      </c>
      <c r="D20" s="12" t="n">
        <v>-0.1333798433957241</v>
      </c>
      <c r="E20" s="12" t="n">
        <v>-0.01645470402508225</v>
      </c>
      <c r="F20" s="12" t="n">
        <v>0.7287052365005834</v>
      </c>
      <c r="G20" s="12" t="n">
        <v>0.9463908073690789</v>
      </c>
    </row>
    <row r="21">
      <c r="A21" s="8" t="inlineStr">
        <is>
          <t xml:space="preserve">    Revenue growth (YoY)</t>
        </is>
      </c>
      <c r="B21" s="12" t="n">
        <v>0.314260738967698</v>
      </c>
      <c r="C21" s="12" t="n">
        <v>1.578410059771182</v>
      </c>
      <c r="D21" s="12" t="n">
        <v>-0.6228060759879367</v>
      </c>
      <c r="E21" s="12" t="n">
        <v>-0.168491880628253</v>
      </c>
      <c r="F21" s="12" t="n">
        <v>2.637847475215827</v>
      </c>
      <c r="G21" s="12" t="n">
        <v>3.782800012745677</v>
      </c>
    </row>
    <row r="22">
      <c r="A22" s="8" t="inlineStr">
        <is>
          <t xml:space="preserve">    Return on assets</t>
        </is>
      </c>
      <c r="B22" s="12" t="n">
        <v>0.07144124268235094</v>
      </c>
      <c r="C22" s="12" t="n">
        <v>0.2660741031475231</v>
      </c>
      <c r="D22" s="12" t="n">
        <v>-0.05686009403634272</v>
      </c>
      <c r="E22" s="12" t="n">
        <v>-0.005849663070396113</v>
      </c>
      <c r="F22" s="12" t="n">
        <v>0.4859123649641979</v>
      </c>
      <c r="G22" s="12" t="n">
        <v>0.7504914621193024</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8" t="inlineStr">
        <is>
          <t>2026-08-31</t>
        </is>
      </c>
      <c r="B5" s="8" t="inlineStr">
        <is>
          <t>conflict</t>
        </is>
      </c>
      <c r="C5" s="8" t="inlineStr">
        <is>
          <t>Claude</t>
        </is>
      </c>
      <c r="D5" s="13" t="inlineStr">
        <is>
          <t>The State publishes 167 service connections against a served population of 25, fewer people than connections, which no retail distribution system produces. Both figures are carried exactly as SDWIS publishes them. Any per-connection or per-capita figure derived from this pair will be an extreme and is not smoothed, adjusted or excluded.</t>
        </is>
      </c>
    </row>
  </sheetData>
  <mergeCells count="2">
    <mergeCell ref="A1:D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Markleeville Water Company</t>
        </is>
      </c>
    </row>
    <row r="2">
      <c r="A2" s="2" t="inlineStr">
        <is>
          <t>Financial Statements - income statement, balance sheet, cash flow, member income test (USD)</t>
        </is>
      </c>
    </row>
    <row r="3">
      <c r="A3" s="2" t="inlineStr">
        <is>
          <t>Entity ID: cawc_0050   |   Fiscal year ends June 30.</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v>175707</v>
      </c>
      <c r="C8" s="9" t="n">
        <v>263321</v>
      </c>
      <c r="D8" s="9" t="n">
        <v>141899</v>
      </c>
      <c r="E8" s="9" t="n">
        <v>181146</v>
      </c>
      <c r="F8" s="9" t="n">
        <v>191253</v>
      </c>
      <c r="G8" s="9" t="n">
        <v>180603</v>
      </c>
    </row>
    <row r="9">
      <c r="A9" s="8" t="inlineStr">
        <is>
          <t xml:space="preserve">    Investment income</t>
        </is>
      </c>
      <c r="B9" s="9" t="n">
        <v>35</v>
      </c>
      <c r="C9" s="9" t="n">
        <v>12</v>
      </c>
      <c r="D9" s="9" t="n">
        <v>12</v>
      </c>
      <c r="E9" s="9" t="n">
        <v>18</v>
      </c>
      <c r="F9" s="9" t="n">
        <v>47</v>
      </c>
      <c r="G9" s="9" t="n">
        <v>46</v>
      </c>
    </row>
    <row r="10">
      <c r="A10" s="8" t="inlineStr">
        <is>
          <t xml:space="preserve">    Net rental income</t>
        </is>
      </c>
      <c r="B10" s="9" t="n"/>
      <c r="C10" s="9" t="n"/>
      <c r="D10" s="9" t="n"/>
      <c r="E10" s="9" t="n"/>
      <c r="F10" s="9" t="n"/>
      <c r="G10" s="9" t="n"/>
    </row>
    <row r="11">
      <c r="A11" s="8" t="inlineStr">
        <is>
          <t xml:space="preserve">    Net gain/(loss) on investment sales</t>
        </is>
      </c>
      <c r="B11" s="9" t="n"/>
      <c r="C11" s="9" t="n"/>
      <c r="D11" s="9" t="n"/>
      <c r="E11" s="9" t="n"/>
      <c r="F11" s="9" t="n"/>
      <c r="G11" s="9" t="n"/>
    </row>
    <row r="12">
      <c r="A12" s="8" t="inlineStr">
        <is>
          <t xml:space="preserve">    Other revenue</t>
        </is>
      </c>
      <c r="B12" s="9" t="n"/>
      <c r="C12" s="9" t="n"/>
      <c r="D12" s="9" t="n"/>
      <c r="E12" s="9" t="n"/>
      <c r="F12" s="9" t="n"/>
      <c r="G12" s="9" t="n"/>
    </row>
    <row r="13">
      <c r="A13" s="8" t="inlineStr">
        <is>
          <t xml:space="preserve">    Contributions &amp; grants</t>
        </is>
      </c>
      <c r="B13" s="9" t="n">
        <v>48279</v>
      </c>
      <c r="C13" s="9" t="n">
        <v>314285</v>
      </c>
      <c r="D13" s="9" t="n">
        <v>75963</v>
      </c>
      <c r="E13" s="9" t="n"/>
      <c r="F13" s="9" t="n">
        <v>467747</v>
      </c>
      <c r="G13" s="9" t="n">
        <v>2971441</v>
      </c>
    </row>
    <row r="14">
      <c r="A14" s="10" t="inlineStr">
        <is>
          <t>Total revenue</t>
        </is>
      </c>
      <c r="B14" s="11" t="n">
        <v>224021</v>
      </c>
      <c r="C14" s="11" t="n">
        <v>577618</v>
      </c>
      <c r="D14" s="11" t="n">
        <v>217874</v>
      </c>
      <c r="E14" s="11" t="n">
        <v>181164</v>
      </c>
      <c r="F14" s="11" t="n">
        <v>659047</v>
      </c>
      <c r="G14" s="11" t="n">
        <v>3152090</v>
      </c>
    </row>
    <row r="16">
      <c r="A16" s="6" t="inlineStr">
        <is>
          <t>Expenses</t>
        </is>
      </c>
      <c r="B16" s="7" t="n"/>
      <c r="C16" s="7" t="n"/>
      <c r="D16" s="7" t="n"/>
      <c r="E16" s="7" t="n"/>
      <c r="F16" s="7" t="n"/>
      <c r="G16" s="7" t="n"/>
    </row>
    <row r="17">
      <c r="A17" s="8" t="inlineStr">
        <is>
          <t xml:space="preserve">    Depreciation</t>
        </is>
      </c>
      <c r="B17" s="9" t="n">
        <v>7576</v>
      </c>
      <c r="C17" s="9" t="n">
        <v>7576</v>
      </c>
      <c r="D17" s="9" t="n">
        <v>7576</v>
      </c>
      <c r="E17" s="9" t="n">
        <v>7576</v>
      </c>
      <c r="F17" s="9" t="n">
        <v>7576</v>
      </c>
      <c r="G17" s="9" t="n">
        <v>7576</v>
      </c>
    </row>
    <row r="18">
      <c r="A18" s="8" t="inlineStr">
        <is>
          <t xml:space="preserve">    Interest expense</t>
        </is>
      </c>
      <c r="B18" s="9" t="n"/>
      <c r="C18" s="9" t="n"/>
      <c r="D18" s="9" t="n"/>
      <c r="E18" s="9" t="n"/>
      <c r="F18" s="9" t="n"/>
      <c r="G18" s="9" t="n"/>
    </row>
    <row r="19">
      <c r="A19" s="10" t="inlineStr">
        <is>
          <t>Total expenses</t>
        </is>
      </c>
      <c r="B19" s="11" t="n">
        <v>195428</v>
      </c>
      <c r="C19" s="11" t="n">
        <v>433901</v>
      </c>
      <c r="D19" s="11" t="n">
        <v>246934</v>
      </c>
      <c r="E19" s="11" t="n">
        <v>184145</v>
      </c>
      <c r="F19" s="11" t="n">
        <v>178796</v>
      </c>
      <c r="G19" s="11" t="n">
        <v>168981</v>
      </c>
    </row>
    <row r="21">
      <c r="A21" s="10" t="inlineStr">
        <is>
          <t>Net income</t>
        </is>
      </c>
      <c r="B21" s="11" t="n">
        <v>28593</v>
      </c>
      <c r="C21" s="11" t="n">
        <v>143717</v>
      </c>
      <c r="D21" s="11" t="n">
        <v>-29060</v>
      </c>
      <c r="E21" s="11" t="n">
        <v>-2981</v>
      </c>
      <c r="F21" s="11" t="n">
        <v>480251</v>
      </c>
      <c r="G21" s="11" t="n">
        <v>2983109</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226155</v>
      </c>
      <c r="C27" s="9" t="n">
        <v>288508</v>
      </c>
      <c r="D27" s="9" t="n">
        <v>341205</v>
      </c>
      <c r="E27" s="9" t="n">
        <v>357025</v>
      </c>
      <c r="F27" s="9" t="n">
        <v>365152</v>
      </c>
      <c r="G27" s="9" t="n">
        <v>359674</v>
      </c>
    </row>
    <row r="28">
      <c r="A28" s="8" t="inlineStr">
        <is>
          <t xml:space="preserve">    Savings &amp; temporary investments</t>
        </is>
      </c>
      <c r="B28" s="9" t="n"/>
      <c r="C28" s="9" t="n"/>
      <c r="D28" s="9" t="n"/>
      <c r="E28" s="9" t="n"/>
      <c r="F28" s="9" t="n"/>
      <c r="G28" s="9" t="n"/>
    </row>
    <row r="29">
      <c r="A29" s="8" t="inlineStr">
        <is>
          <t xml:space="preserve">    Accounts receivable</t>
        </is>
      </c>
      <c r="B29" s="9" t="n">
        <v>99</v>
      </c>
      <c r="C29" s="9" t="n">
        <v>84664</v>
      </c>
      <c r="D29" s="9" t="n">
        <v>10082</v>
      </c>
      <c r="E29" s="9" t="n"/>
      <c r="F29" s="9" t="n">
        <v>7740</v>
      </c>
      <c r="G29" s="9" t="n"/>
    </row>
    <row r="30">
      <c r="A30" s="8" t="inlineStr">
        <is>
          <t xml:space="preserve">    Inventories</t>
        </is>
      </c>
      <c r="B30" s="9" t="n"/>
      <c r="C30" s="9" t="n"/>
      <c r="D30" s="9" t="n"/>
      <c r="E30" s="9" t="n"/>
      <c r="F30" s="9" t="n"/>
      <c r="G30" s="9" t="n"/>
    </row>
    <row r="31">
      <c r="A31" s="8" t="inlineStr">
        <is>
          <t xml:space="preserve">    Prepaid expenses</t>
        </is>
      </c>
      <c r="B31" s="9" t="n">
        <v>2956</v>
      </c>
      <c r="C31" s="9" t="n">
        <v>3522</v>
      </c>
      <c r="D31" s="9" t="n">
        <v>3923</v>
      </c>
      <c r="E31" s="9" t="n">
        <v>4284</v>
      </c>
      <c r="F31" s="9" t="n">
        <v>3942</v>
      </c>
      <c r="G31" s="9" t="n">
        <v>5678</v>
      </c>
    </row>
    <row r="32">
      <c r="A32" s="8" t="inlineStr">
        <is>
          <t xml:space="preserve">    Property, plant &amp; equipment (gross)</t>
        </is>
      </c>
      <c r="B32" s="9" t="n">
        <v>483581</v>
      </c>
      <c r="C32" s="9" t="n">
        <v>483581</v>
      </c>
      <c r="D32" s="9" t="n">
        <v>483581</v>
      </c>
      <c r="E32" s="9" t="n">
        <v>483581</v>
      </c>
      <c r="F32" s="9" t="n">
        <v>954379</v>
      </c>
      <c r="G32" s="9" t="n">
        <v>3959962</v>
      </c>
    </row>
    <row r="33">
      <c r="A33" s="8" t="inlineStr">
        <is>
          <t xml:space="preserve">    Less: accumulated depreciation</t>
        </is>
      </c>
      <c r="B33" s="9" t="n">
        <v>-312560</v>
      </c>
      <c r="C33" s="9" t="n">
        <v>-320136</v>
      </c>
      <c r="D33" s="9" t="n">
        <v>-327712</v>
      </c>
      <c r="E33" s="9" t="n">
        <v>-335288</v>
      </c>
      <c r="F33" s="9" t="n">
        <v>-342864</v>
      </c>
      <c r="G33" s="9" t="n">
        <v>-350440</v>
      </c>
    </row>
    <row r="34">
      <c r="A34" s="10" t="inlineStr">
        <is>
          <t xml:space="preserve">    Net property, plant &amp; equipment</t>
        </is>
      </c>
      <c r="B34" s="11" t="n">
        <v>171021</v>
      </c>
      <c r="C34" s="11" t="n">
        <v>163445</v>
      </c>
      <c r="D34" s="11" t="n">
        <v>155869</v>
      </c>
      <c r="E34" s="11" t="n">
        <v>148293</v>
      </c>
      <c r="F34" s="11" t="n">
        <v>611515</v>
      </c>
      <c r="G34" s="11" t="n">
        <v>3609522</v>
      </c>
    </row>
    <row r="35">
      <c r="A35" s="10" t="inlineStr">
        <is>
          <t>Total assets</t>
        </is>
      </c>
      <c r="B35" s="11" t="n">
        <v>400231</v>
      </c>
      <c r="C35" s="11" t="n">
        <v>540139</v>
      </c>
      <c r="D35" s="11" t="n">
        <v>511079</v>
      </c>
      <c r="E35" s="11" t="n">
        <v>509602</v>
      </c>
      <c r="F35" s="11" t="n">
        <v>988349</v>
      </c>
      <c r="G35" s="11" t="n">
        <v>3974874</v>
      </c>
    </row>
    <row r="37">
      <c r="A37" s="6" t="inlineStr">
        <is>
          <t>Liabilities</t>
        </is>
      </c>
      <c r="B37" s="7" t="n"/>
      <c r="C37" s="7" t="n"/>
      <c r="D37" s="7" t="n"/>
      <c r="E37" s="7" t="n"/>
      <c r="F37" s="7" t="n"/>
      <c r="G37" s="7" t="n"/>
    </row>
    <row r="38">
      <c r="A38" s="8" t="inlineStr">
        <is>
          <t xml:space="preserve">    Accounts payable</t>
        </is>
      </c>
      <c r="B38" s="9" t="n">
        <v>3809</v>
      </c>
      <c r="C38" s="9" t="n">
        <v>0</v>
      </c>
      <c r="D38" s="9" t="n"/>
      <c r="E38" s="9" t="n">
        <v>1504</v>
      </c>
      <c r="F38" s="9" t="n"/>
      <c r="G38" s="9" t="n">
        <v>3416</v>
      </c>
    </row>
    <row r="39">
      <c r="A39" s="8" t="inlineStr">
        <is>
          <t xml:space="preserve">    Mortgages &amp; notes payable</t>
        </is>
      </c>
      <c r="B39" s="9" t="n"/>
      <c r="C39" s="9" t="n"/>
      <c r="D39" s="9" t="n"/>
      <c r="E39" s="9" t="n"/>
      <c r="F39" s="9" t="n"/>
      <c r="G39" s="9" t="n"/>
    </row>
    <row r="40">
      <c r="A40" s="10" t="inlineStr">
        <is>
          <t>Total liabilities</t>
        </is>
      </c>
      <c r="B40" s="11" t="n">
        <v>3809</v>
      </c>
      <c r="C40" s="11" t="n">
        <v>0</v>
      </c>
      <c r="D40" s="11" t="n">
        <v>0</v>
      </c>
      <c r="E40" s="11" t="n">
        <v>1504</v>
      </c>
      <c r="F40" s="11" t="n">
        <v>0</v>
      </c>
      <c r="G40" s="11" t="n">
        <v>3416</v>
      </c>
    </row>
    <row r="42">
      <c r="A42" s="6" t="inlineStr">
        <is>
          <t>Net Assets / Equity</t>
        </is>
      </c>
      <c r="B42" s="7" t="n"/>
      <c r="C42" s="7" t="n"/>
      <c r="D42" s="7" t="n"/>
      <c r="E42" s="7" t="n"/>
      <c r="F42" s="7" t="n"/>
      <c r="G42" s="7" t="n"/>
    </row>
    <row r="43">
      <c r="A43" s="8" t="inlineStr">
        <is>
          <t xml:space="preserve">    Capital stock</t>
        </is>
      </c>
      <c r="B43" s="9" t="n">
        <v>0</v>
      </c>
      <c r="C43" s="9" t="n">
        <v>0</v>
      </c>
      <c r="D43" s="9" t="n">
        <v>0</v>
      </c>
      <c r="E43" s="9" t="n">
        <v>0</v>
      </c>
      <c r="F43" s="9" t="n">
        <v>0</v>
      </c>
      <c r="G43" s="9" t="n">
        <v>0</v>
      </c>
    </row>
    <row r="44">
      <c r="A44" s="8" t="inlineStr">
        <is>
          <t xml:space="preserve">    Paid-in capital</t>
        </is>
      </c>
      <c r="B44" s="9" t="n">
        <v>0</v>
      </c>
      <c r="C44" s="9" t="n">
        <v>0</v>
      </c>
      <c r="D44" s="9" t="n">
        <v>0</v>
      </c>
      <c r="E44" s="9" t="n">
        <v>0</v>
      </c>
      <c r="F44" s="9" t="n">
        <v>0</v>
      </c>
      <c r="G44" s="9" t="n">
        <v>0</v>
      </c>
    </row>
    <row r="45">
      <c r="A45" s="8" t="inlineStr">
        <is>
          <t xml:space="preserve">    Retained earnings</t>
        </is>
      </c>
      <c r="B45" s="9" t="n">
        <v>396422</v>
      </c>
      <c r="C45" s="9" t="n">
        <v>540139</v>
      </c>
      <c r="D45" s="9" t="n">
        <v>511079</v>
      </c>
      <c r="E45" s="9" t="n">
        <v>508098</v>
      </c>
      <c r="F45" s="9" t="n">
        <v>988349</v>
      </c>
      <c r="G45" s="9" t="n">
        <v>3971458</v>
      </c>
    </row>
    <row r="46">
      <c r="A46" s="10" t="inlineStr">
        <is>
          <t>Net assets</t>
        </is>
      </c>
      <c r="B46" s="11" t="n">
        <v>396422</v>
      </c>
      <c r="C46" s="11" t="n">
        <v>540139</v>
      </c>
      <c r="D46" s="11" t="n">
        <v>511079</v>
      </c>
      <c r="E46" s="11" t="n">
        <v>508098</v>
      </c>
      <c r="F46" s="11" t="n">
        <v>988349</v>
      </c>
      <c r="G46" s="11" t="n">
        <v>3971458</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28593</v>
      </c>
      <c r="C52" s="9" t="n">
        <v>143717</v>
      </c>
      <c r="D52" s="9" t="n">
        <v>-29060</v>
      </c>
      <c r="E52" s="9" t="n">
        <v>-2981</v>
      </c>
      <c r="F52" s="9" t="n">
        <v>480251</v>
      </c>
      <c r="G52" s="9" t="n">
        <v>2983109</v>
      </c>
    </row>
    <row r="53">
      <c r="A53" s="8" t="inlineStr">
        <is>
          <t xml:space="preserve">    + Depreciation (reported)</t>
        </is>
      </c>
      <c r="B53" s="9" t="n">
        <v>7576</v>
      </c>
      <c r="C53" s="9" t="n">
        <v>7576</v>
      </c>
      <c r="D53" s="9" t="n">
        <v>7576</v>
      </c>
      <c r="E53" s="9" t="n">
        <v>7576</v>
      </c>
      <c r="F53" s="9" t="n">
        <v>7576</v>
      </c>
      <c r="G53" s="9" t="n">
        <v>7576</v>
      </c>
    </row>
    <row r="54">
      <c r="A54" s="8" t="inlineStr">
        <is>
          <t xml:space="preserve">    − Δ Accounts receivable</t>
        </is>
      </c>
      <c r="B54" s="9" t="n"/>
      <c r="C54" s="9" t="n">
        <v>-84565</v>
      </c>
      <c r="D54" s="9" t="n">
        <v>74582</v>
      </c>
      <c r="E54" s="9" t="n"/>
      <c r="F54" s="9" t="n"/>
      <c r="G54" s="9" t="n"/>
    </row>
    <row r="55">
      <c r="A55" s="8" t="inlineStr">
        <is>
          <t xml:space="preserve">    − Δ Inventories</t>
        </is>
      </c>
      <c r="B55" s="9" t="n"/>
      <c r="C55" s="9" t="n"/>
      <c r="D55" s="9" t="n"/>
      <c r="E55" s="9" t="n"/>
      <c r="F55" s="9" t="n"/>
      <c r="G55" s="9" t="n"/>
    </row>
    <row r="56">
      <c r="A56" s="8" t="inlineStr">
        <is>
          <t xml:space="preserve">    − Δ Prepaid expenses</t>
        </is>
      </c>
      <c r="B56" s="9" t="n"/>
      <c r="C56" s="9" t="n">
        <v>-566</v>
      </c>
      <c r="D56" s="9" t="n">
        <v>-401</v>
      </c>
      <c r="E56" s="9" t="n">
        <v>-361</v>
      </c>
      <c r="F56" s="9" t="n">
        <v>342</v>
      </c>
      <c r="G56" s="9" t="n">
        <v>-1736</v>
      </c>
    </row>
    <row r="57">
      <c r="A57" s="8" t="inlineStr">
        <is>
          <t xml:space="preserve">    + Δ Accounts payable</t>
        </is>
      </c>
      <c r="B57" s="9" t="n"/>
      <c r="C57" s="9" t="n">
        <v>-3809</v>
      </c>
      <c r="D57" s="9" t="n"/>
      <c r="E57" s="9" t="n"/>
      <c r="F57" s="9" t="n"/>
      <c r="G57" s="9" t="n"/>
    </row>
    <row r="58">
      <c r="A58" s="10" t="inlineStr">
        <is>
          <t xml:space="preserve">    Operating cash flow proxy</t>
        </is>
      </c>
      <c r="B58" s="11" t="n"/>
      <c r="C58" s="11" t="n">
        <v>62353</v>
      </c>
      <c r="D58" s="11" t="n">
        <v>52697</v>
      </c>
      <c r="E58" s="11" t="n">
        <v>4234</v>
      </c>
      <c r="F58" s="11" t="n">
        <v>488169</v>
      </c>
      <c r="G58" s="11" t="n">
        <v>2988949</v>
      </c>
    </row>
    <row r="60">
      <c r="A60" s="6" t="inlineStr">
        <is>
          <t>Investing</t>
        </is>
      </c>
      <c r="B60" s="7" t="n"/>
      <c r="C60" s="7" t="n"/>
      <c r="D60" s="7" t="n"/>
      <c r="E60" s="7" t="n"/>
      <c r="F60" s="7" t="n"/>
      <c r="G60" s="7" t="n"/>
    </row>
    <row r="61">
      <c r="A61" s="8" t="inlineStr">
        <is>
          <t xml:space="preserve">    − Δ PP&amp;E gross (capex proxy)</t>
        </is>
      </c>
      <c r="B61" s="9" t="n"/>
      <c r="C61" s="9" t="n">
        <v>0</v>
      </c>
      <c r="D61" s="9" t="n">
        <v>0</v>
      </c>
      <c r="E61" s="9" t="n">
        <v>0</v>
      </c>
      <c r="F61" s="9" t="n">
        <v>-470798</v>
      </c>
      <c r="G61" s="9" t="n">
        <v>-3005583</v>
      </c>
    </row>
    <row r="63">
      <c r="A63" s="6" t="inlineStr">
        <is>
          <t>Financing</t>
        </is>
      </c>
      <c r="B63" s="7" t="n"/>
      <c r="C63" s="7" t="n"/>
      <c r="D63" s="7" t="n"/>
      <c r="E63" s="7" t="n"/>
      <c r="F63" s="7" t="n"/>
      <c r="G63" s="7" t="n"/>
    </row>
    <row r="64">
      <c r="A64" s="8" t="inlineStr">
        <is>
          <t xml:space="preserve">    Δ Mortgages &amp; notes payable</t>
        </is>
      </c>
      <c r="B64" s="9" t="n"/>
      <c r="C64" s="9" t="n"/>
      <c r="D64" s="9" t="n"/>
      <c r="E64" s="9" t="n"/>
      <c r="F64" s="9" t="n"/>
      <c r="G64" s="9" t="n"/>
    </row>
    <row r="66">
      <c r="A66" s="6" t="inlineStr">
        <is>
          <t>Reconciliation</t>
        </is>
      </c>
      <c r="B66" s="7" t="n"/>
      <c r="C66" s="7" t="n"/>
      <c r="D66" s="7" t="n"/>
      <c r="E66" s="7" t="n"/>
      <c r="F66" s="7" t="n"/>
      <c r="G66" s="7" t="n"/>
    </row>
    <row r="67">
      <c r="A67" s="10" t="inlineStr">
        <is>
          <t xml:space="preserve">    Δ Cash + temp. investments (actual)</t>
        </is>
      </c>
      <c r="B67" s="11" t="n"/>
      <c r="C67" s="11" t="n">
        <v>62353</v>
      </c>
      <c r="D67" s="11" t="n">
        <v>52697</v>
      </c>
      <c r="E67" s="11" t="n">
        <v>15820</v>
      </c>
      <c r="F67" s="11" t="n">
        <v>8127</v>
      </c>
      <c r="G67" s="11" t="n">
        <v>-5478</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c r="G71" s="7" t="n"/>
    </row>
    <row r="72">
      <c r="A72" s="4" t="inlineStr">
        <is>
          <t>Part V line 11</t>
        </is>
      </c>
      <c r="B72" s="5" t="inlineStr">
        <is>
          <t>FY2020</t>
        </is>
      </c>
      <c r="C72" s="5" t="inlineStr">
        <is>
          <t>FY2021</t>
        </is>
      </c>
      <c r="D72" s="5" t="inlineStr">
        <is>
          <t>FY2022</t>
        </is>
      </c>
      <c r="E72" s="5" t="inlineStr">
        <is>
          <t>FY2023</t>
        </is>
      </c>
      <c r="F72" s="5" t="inlineStr">
        <is>
          <t>FY2024</t>
        </is>
      </c>
      <c r="G72" s="5" t="inlineStr">
        <is>
          <t>FY2025</t>
        </is>
      </c>
    </row>
    <row r="73">
      <c r="A73" s="8" t="inlineStr">
        <is>
          <t xml:space="preserve">    11a. Gross income from members or shareholders</t>
        </is>
      </c>
      <c r="B73" s="9" t="n">
        <v>175707</v>
      </c>
      <c r="C73" s="9" t="n">
        <v>263321</v>
      </c>
      <c r="D73" s="9" t="n">
        <v>141899</v>
      </c>
      <c r="E73" s="9" t="n">
        <v>181146</v>
      </c>
      <c r="F73" s="9" t="n">
        <v>191253</v>
      </c>
      <c r="G73" s="9" t="n">
        <v>180603</v>
      </c>
    </row>
    <row r="74">
      <c r="A74" s="8" t="inlineStr">
        <is>
          <t xml:space="preserve">    11b. Gross income from other sources</t>
        </is>
      </c>
      <c r="B74" s="9" t="n">
        <v>48314</v>
      </c>
      <c r="C74" s="9" t="n">
        <v>314285</v>
      </c>
      <c r="D74" s="9" t="n">
        <v>75974</v>
      </c>
      <c r="E74" s="9" t="n">
        <v>18</v>
      </c>
      <c r="F74" s="9" t="n">
        <v>467794</v>
      </c>
      <c r="G74" s="9" t="n">
        <v>2971441</v>
      </c>
    </row>
    <row r="75">
      <c r="A75" s="14" t="inlineStr">
        <is>
          <t>Total gross income (11a + 11b)</t>
        </is>
      </c>
      <c r="B75" s="15">
        <f>SUM(B73,B74)</f>
        <v/>
      </c>
      <c r="C75" s="15">
        <f>SUM(C73,C74)</f>
        <v/>
      </c>
      <c r="D75" s="15">
        <f>SUM(D73,D74)</f>
        <v/>
      </c>
      <c r="E75" s="15">
        <f>SUM(E73,E74)</f>
        <v/>
      </c>
      <c r="F75" s="15">
        <f>SUM(F73,F74)</f>
        <v/>
      </c>
      <c r="G75" s="15">
        <f>SUM(G73,G74)</f>
        <v/>
      </c>
    </row>
    <row r="76">
      <c r="A76" s="14" t="inlineStr">
        <is>
          <t>Member income share (11a / total)</t>
        </is>
      </c>
      <c r="B76" s="16">
        <f>IF(B75=0,"",B73/B75)</f>
        <v/>
      </c>
      <c r="C76" s="16">
        <f>IF(C75=0,"",C73/C75)</f>
        <v/>
      </c>
      <c r="D76" s="16">
        <f>IF(D75=0,"",D73/D75)</f>
        <v/>
      </c>
      <c r="E76" s="16">
        <f>IF(E75=0,"",E73/E75)</f>
        <v/>
      </c>
      <c r="F76" s="16">
        <f>IF(F75=0,"",F73/F75)</f>
        <v/>
      </c>
      <c r="G76" s="16">
        <f>IF(G75=0,"",G73/G75)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1:G1"/>
    <mergeCell ref="A3:G3"/>
    <mergeCell ref="A69:G69"/>
    <mergeCell ref="A78:G78"/>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Markleeville Water Company</t>
        </is>
      </c>
    </row>
    <row r="2">
      <c r="A2" s="2" t="inlineStr">
        <is>
          <t>Balance Sheet - as reported (USD, end of year)</t>
        </is>
      </c>
    </row>
    <row r="3">
      <c r="A3" s="2" t="inlineStr">
        <is>
          <t>Entity ID: cawc_0050   |   Fiscal year ends June 30.</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226155</v>
      </c>
      <c r="C7" s="9" t="n">
        <v>288508</v>
      </c>
      <c r="D7" s="9" t="n">
        <v>341205</v>
      </c>
      <c r="E7" s="9" t="n">
        <v>357025</v>
      </c>
      <c r="F7" s="9" t="n">
        <v>365152</v>
      </c>
      <c r="G7" s="9" t="n">
        <v>359674</v>
      </c>
    </row>
    <row r="8">
      <c r="A8" s="8" t="inlineStr">
        <is>
          <t xml:space="preserve">    Savings &amp; temporary investments</t>
        </is>
      </c>
      <c r="B8" s="9" t="n"/>
      <c r="C8" s="9" t="n"/>
      <c r="D8" s="9" t="n"/>
      <c r="E8" s="9" t="n"/>
      <c r="F8" s="9" t="n"/>
      <c r="G8" s="9" t="n"/>
    </row>
    <row r="9">
      <c r="A9" s="8" t="inlineStr">
        <is>
          <t xml:space="preserve">    Accounts receivable</t>
        </is>
      </c>
      <c r="B9" s="9" t="n">
        <v>99</v>
      </c>
      <c r="C9" s="9" t="n">
        <v>84664</v>
      </c>
      <c r="D9" s="9" t="n">
        <v>10082</v>
      </c>
      <c r="E9" s="9" t="n"/>
      <c r="F9" s="9" t="n">
        <v>7740</v>
      </c>
      <c r="G9" s="9" t="n"/>
    </row>
    <row r="10">
      <c r="A10" s="8" t="inlineStr">
        <is>
          <t xml:space="preserve">    Inventories</t>
        </is>
      </c>
      <c r="B10" s="9" t="n"/>
      <c r="C10" s="9" t="n"/>
      <c r="D10" s="9" t="n"/>
      <c r="E10" s="9" t="n"/>
      <c r="F10" s="9" t="n"/>
      <c r="G10" s="9" t="n"/>
    </row>
    <row r="11">
      <c r="A11" s="8" t="inlineStr">
        <is>
          <t xml:space="preserve">    Prepaid expenses</t>
        </is>
      </c>
      <c r="B11" s="9" t="n">
        <v>2956</v>
      </c>
      <c r="C11" s="9" t="n">
        <v>3522</v>
      </c>
      <c r="D11" s="9" t="n">
        <v>3923</v>
      </c>
      <c r="E11" s="9" t="n">
        <v>4284</v>
      </c>
      <c r="F11" s="9" t="n">
        <v>3942</v>
      </c>
      <c r="G11" s="9" t="n">
        <v>5678</v>
      </c>
    </row>
    <row r="12">
      <c r="A12" s="8" t="inlineStr">
        <is>
          <t xml:space="preserve">    Property, plant &amp; equipment (gross)</t>
        </is>
      </c>
      <c r="B12" s="9" t="n">
        <v>483581</v>
      </c>
      <c r="C12" s="9" t="n">
        <v>483581</v>
      </c>
      <c r="D12" s="9" t="n">
        <v>483581</v>
      </c>
      <c r="E12" s="9" t="n">
        <v>483581</v>
      </c>
      <c r="F12" s="9" t="n">
        <v>954379</v>
      </c>
      <c r="G12" s="9" t="n">
        <v>3959962</v>
      </c>
    </row>
    <row r="13">
      <c r="A13" s="8" t="inlineStr">
        <is>
          <t xml:space="preserve">    Less: accumulated depreciation</t>
        </is>
      </c>
      <c r="B13" s="9" t="n">
        <v>-312560</v>
      </c>
      <c r="C13" s="9" t="n">
        <v>-320136</v>
      </c>
      <c r="D13" s="9" t="n">
        <v>-327712</v>
      </c>
      <c r="E13" s="9" t="n">
        <v>-335288</v>
      </c>
      <c r="F13" s="9" t="n">
        <v>-342864</v>
      </c>
      <c r="G13" s="9" t="n">
        <v>-350440</v>
      </c>
    </row>
    <row r="14">
      <c r="A14" s="10" t="inlineStr">
        <is>
          <t xml:space="preserve">    Net property, plant &amp; equipment</t>
        </is>
      </c>
      <c r="B14" s="11" t="n">
        <v>171021</v>
      </c>
      <c r="C14" s="11" t="n">
        <v>163445</v>
      </c>
      <c r="D14" s="11" t="n">
        <v>155869</v>
      </c>
      <c r="E14" s="11" t="n">
        <v>148293</v>
      </c>
      <c r="F14" s="11" t="n">
        <v>611515</v>
      </c>
      <c r="G14" s="11" t="n">
        <v>3609522</v>
      </c>
    </row>
    <row r="15">
      <c r="A15" s="10" t="inlineStr">
        <is>
          <t>Total assets</t>
        </is>
      </c>
      <c r="B15" s="11" t="n">
        <v>400231</v>
      </c>
      <c r="C15" s="11" t="n">
        <v>540139</v>
      </c>
      <c r="D15" s="11" t="n">
        <v>511079</v>
      </c>
      <c r="E15" s="11" t="n">
        <v>509602</v>
      </c>
      <c r="F15" s="11" t="n">
        <v>988349</v>
      </c>
      <c r="G15" s="11" t="n">
        <v>3974874</v>
      </c>
    </row>
    <row r="17">
      <c r="A17" s="6" t="inlineStr">
        <is>
          <t>Liabilities</t>
        </is>
      </c>
      <c r="B17" s="7" t="n"/>
      <c r="C17" s="7" t="n"/>
      <c r="D17" s="7" t="n"/>
      <c r="E17" s="7" t="n"/>
      <c r="F17" s="7" t="n"/>
      <c r="G17" s="7" t="n"/>
    </row>
    <row r="18">
      <c r="A18" s="8" t="inlineStr">
        <is>
          <t xml:space="preserve">    Accounts payable</t>
        </is>
      </c>
      <c r="B18" s="9" t="n">
        <v>3809</v>
      </c>
      <c r="C18" s="9" t="n">
        <v>0</v>
      </c>
      <c r="D18" s="9" t="n"/>
      <c r="E18" s="9" t="n">
        <v>1504</v>
      </c>
      <c r="F18" s="9" t="n"/>
      <c r="G18" s="9" t="n">
        <v>3416</v>
      </c>
    </row>
    <row r="19">
      <c r="A19" s="8" t="inlineStr">
        <is>
          <t xml:space="preserve">    Mortgages &amp; notes payable</t>
        </is>
      </c>
      <c r="B19" s="9" t="n"/>
      <c r="C19" s="9" t="n"/>
      <c r="D19" s="9" t="n"/>
      <c r="E19" s="9" t="n"/>
      <c r="F19" s="9" t="n"/>
      <c r="G19" s="9" t="n"/>
    </row>
    <row r="20">
      <c r="A20" s="10" t="inlineStr">
        <is>
          <t>Total liabilities</t>
        </is>
      </c>
      <c r="B20" s="11" t="n">
        <v>3809</v>
      </c>
      <c r="C20" s="11" t="n">
        <v>0</v>
      </c>
      <c r="D20" s="11" t="n">
        <v>0</v>
      </c>
      <c r="E20" s="11" t="n">
        <v>1504</v>
      </c>
      <c r="F20" s="11" t="n">
        <v>0</v>
      </c>
      <c r="G20" s="11" t="n">
        <v>3416</v>
      </c>
    </row>
    <row r="22">
      <c r="A22" s="6" t="inlineStr">
        <is>
          <t>Net Assets / Equity</t>
        </is>
      </c>
      <c r="B22" s="7" t="n"/>
      <c r="C22" s="7" t="n"/>
      <c r="D22" s="7" t="n"/>
      <c r="E22" s="7" t="n"/>
      <c r="F22" s="7" t="n"/>
      <c r="G22" s="7" t="n"/>
    </row>
    <row r="23">
      <c r="A23" s="8" t="inlineStr">
        <is>
          <t xml:space="preserve">    Capital stock</t>
        </is>
      </c>
      <c r="B23" s="9" t="n">
        <v>0</v>
      </c>
      <c r="C23" s="9" t="n">
        <v>0</v>
      </c>
      <c r="D23" s="9" t="n">
        <v>0</v>
      </c>
      <c r="E23" s="9" t="n">
        <v>0</v>
      </c>
      <c r="F23" s="9" t="n">
        <v>0</v>
      </c>
      <c r="G23" s="9" t="n">
        <v>0</v>
      </c>
    </row>
    <row r="24">
      <c r="A24" s="8" t="inlineStr">
        <is>
          <t xml:space="preserve">    Paid-in capital</t>
        </is>
      </c>
      <c r="B24" s="9" t="n">
        <v>0</v>
      </c>
      <c r="C24" s="9" t="n">
        <v>0</v>
      </c>
      <c r="D24" s="9" t="n">
        <v>0</v>
      </c>
      <c r="E24" s="9" t="n">
        <v>0</v>
      </c>
      <c r="F24" s="9" t="n">
        <v>0</v>
      </c>
      <c r="G24" s="9" t="n">
        <v>0</v>
      </c>
    </row>
    <row r="25">
      <c r="A25" s="8" t="inlineStr">
        <is>
          <t xml:space="preserve">    Retained earnings</t>
        </is>
      </c>
      <c r="B25" s="9" t="n">
        <v>396422</v>
      </c>
      <c r="C25" s="9" t="n">
        <v>540139</v>
      </c>
      <c r="D25" s="9" t="n">
        <v>511079</v>
      </c>
      <c r="E25" s="9" t="n">
        <v>508098</v>
      </c>
      <c r="F25" s="9" t="n">
        <v>988349</v>
      </c>
      <c r="G25" s="9" t="n">
        <v>3971458</v>
      </c>
    </row>
    <row r="26">
      <c r="A26" s="10" t="inlineStr">
        <is>
          <t>Net assets</t>
        </is>
      </c>
      <c r="B26" s="11" t="n">
        <v>396422</v>
      </c>
      <c r="C26" s="11" t="n">
        <v>540139</v>
      </c>
      <c r="D26" s="11" t="n">
        <v>511079</v>
      </c>
      <c r="E26" s="11" t="n">
        <v>508098</v>
      </c>
      <c r="F26" s="11" t="n">
        <v>988349</v>
      </c>
      <c r="G26" s="11" t="n">
        <v>3971458</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7"/>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Markleeville Water Company</t>
        </is>
      </c>
    </row>
    <row r="2">
      <c r="A2" s="2" t="inlineStr">
        <is>
          <t>Officers, Directors &amp; Contractors - Form 990 Part VII (FY2025; USD)</t>
        </is>
      </c>
    </row>
    <row r="3">
      <c r="A3" s="2" t="inlineStr">
        <is>
          <t>Entity ID: cawc_0050   |   Fiscal year ends June 30.</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MARY YOUNG</t>
        </is>
      </c>
      <c r="B7" s="8" t="inlineStr">
        <is>
          <t>PRESIDENT</t>
        </is>
      </c>
      <c r="C7" s="9" t="n">
        <v>0</v>
      </c>
      <c r="D7" s="9" t="n">
        <v>0</v>
      </c>
      <c r="E7" s="9" t="n">
        <v>0</v>
      </c>
      <c r="F7" s="9" t="n">
        <v>0</v>
      </c>
    </row>
    <row r="8">
      <c r="A8" s="8" t="inlineStr">
        <is>
          <t>BECKY THORNBURG</t>
        </is>
      </c>
      <c r="B8" s="8" t="inlineStr">
        <is>
          <t>VICE PRESIDENT</t>
        </is>
      </c>
      <c r="C8" s="9" t="n">
        <v>0</v>
      </c>
      <c r="D8" s="9" t="n">
        <v>0</v>
      </c>
      <c r="E8" s="9" t="n">
        <v>0</v>
      </c>
      <c r="F8" s="9" t="n">
        <v>0</v>
      </c>
    </row>
    <row r="9">
      <c r="A9" s="8" t="inlineStr">
        <is>
          <t>RICHARD HARVEY</t>
        </is>
      </c>
      <c r="B9" s="8" t="inlineStr">
        <is>
          <t>DIRECTOR</t>
        </is>
      </c>
      <c r="C9" s="9" t="n">
        <v>0</v>
      </c>
      <c r="D9" s="9" t="n">
        <v>0</v>
      </c>
      <c r="E9" s="9" t="n">
        <v>0</v>
      </c>
      <c r="F9" s="9" t="n">
        <v>0</v>
      </c>
    </row>
    <row r="10">
      <c r="A10" s="17" t="inlineStr">
        <is>
          <t>KRIS HARTNETT</t>
        </is>
      </c>
      <c r="B10" s="17" t="inlineStr">
        <is>
          <t>DIRECTOR</t>
        </is>
      </c>
      <c r="C10" s="18" t="n">
        <v>12827</v>
      </c>
      <c r="D10" s="18" t="n">
        <v>0</v>
      </c>
      <c r="E10" s="18" t="n">
        <v>0</v>
      </c>
      <c r="F10" s="18" t="n">
        <v>12827</v>
      </c>
    </row>
    <row r="11">
      <c r="A11" s="8" t="inlineStr">
        <is>
          <t>MARK SCHWARTZ</t>
        </is>
      </c>
      <c r="B11" s="8" t="inlineStr">
        <is>
          <t>DIRECTOR</t>
        </is>
      </c>
      <c r="C11" s="9" t="n">
        <v>0</v>
      </c>
      <c r="D11" s="9" t="n">
        <v>0</v>
      </c>
      <c r="E11" s="9" t="n">
        <v>0</v>
      </c>
      <c r="F11" s="9" t="n">
        <v>0</v>
      </c>
    </row>
    <row r="12">
      <c r="A12" s="17" t="inlineStr">
        <is>
          <t>JOANNE OEHLERKING</t>
        </is>
      </c>
      <c r="B12" s="17" t="inlineStr">
        <is>
          <t>TREASURER/SECRETARY</t>
        </is>
      </c>
      <c r="C12" s="18" t="n">
        <v>12285</v>
      </c>
      <c r="D12" s="18" t="n">
        <v>0</v>
      </c>
      <c r="E12" s="18" t="n">
        <v>0</v>
      </c>
      <c r="F12" s="18" t="n">
        <v>12285</v>
      </c>
    </row>
    <row r="14">
      <c r="A14" s="6" t="inlineStr">
        <is>
          <t>Section B - Independent contractors (over $100,000)</t>
        </is>
      </c>
      <c r="B14" s="7" t="n"/>
      <c r="C14" s="7" t="n"/>
      <c r="D14" s="7" t="n"/>
      <c r="E14" s="7" t="n"/>
      <c r="F14" s="7" t="n"/>
    </row>
    <row r="15">
      <c r="A15" s="5" t="inlineStr">
        <is>
          <t>Contractor</t>
        </is>
      </c>
      <c r="B15" s="5" t="inlineStr">
        <is>
          <t>Services</t>
        </is>
      </c>
      <c r="C15" s="5" t="inlineStr">
        <is>
          <t>Compensation</t>
        </is>
      </c>
    </row>
    <row r="17" ht="42" customHeight="1">
      <c r="A17"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F1"/>
    <mergeCell ref="A17:F1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Markleeville Water Company</t>
        </is>
      </c>
    </row>
    <row r="2">
      <c r="A2" s="2" t="inlineStr">
        <is>
          <t>Revenue - Form 990 Part VIII (USD)</t>
        </is>
      </c>
    </row>
    <row r="3">
      <c r="A3" s="2" t="inlineStr">
        <is>
          <t>Entity ID: cawc_0050   |   Fiscal year ends June 30.</t>
        </is>
      </c>
    </row>
    <row r="5">
      <c r="A5" s="4" t="inlineStr">
        <is>
          <t>Part VIII line</t>
        </is>
      </c>
      <c r="B5" s="5" t="inlineStr">
        <is>
          <t>FY2020</t>
        </is>
      </c>
      <c r="C5" s="5" t="inlineStr">
        <is>
          <t>FY2021</t>
        </is>
      </c>
      <c r="D5" s="5" t="inlineStr">
        <is>
          <t>FY2022</t>
        </is>
      </c>
      <c r="E5" s="5" t="inlineStr">
        <is>
          <t>FY2023</t>
        </is>
      </c>
      <c r="F5" s="5" t="inlineStr">
        <is>
          <t>FY2024</t>
        </is>
      </c>
      <c r="G5" s="5" t="inlineStr">
        <is>
          <t>FY2025</t>
        </is>
      </c>
    </row>
    <row r="6">
      <c r="A6" s="6" t="inlineStr">
        <is>
          <t>Revenue by category</t>
        </is>
      </c>
      <c r="B6" s="7" t="n"/>
      <c r="C6" s="7" t="n"/>
      <c r="D6" s="7" t="n"/>
      <c r="E6" s="7" t="n"/>
      <c r="F6" s="7" t="n"/>
      <c r="G6" s="7" t="n"/>
    </row>
    <row r="7">
      <c r="A7" s="8" t="inlineStr">
        <is>
          <t xml:space="preserve">    1h. Total contributions, gifts, grants</t>
        </is>
      </c>
      <c r="B7" s="9" t="n">
        <v>48279</v>
      </c>
      <c r="C7" s="9" t="n">
        <v>314285</v>
      </c>
      <c r="D7" s="9" t="n">
        <v>75963</v>
      </c>
      <c r="E7" s="19" t="inlineStr">
        <is>
          <t>not reported</t>
        </is>
      </c>
      <c r="F7" s="9" t="n">
        <v>467747</v>
      </c>
      <c r="G7" s="9" t="n">
        <v>2971441</v>
      </c>
    </row>
    <row r="8">
      <c r="A8" s="8" t="inlineStr">
        <is>
          <t xml:space="preserve">    2g. Total program service revenue</t>
        </is>
      </c>
      <c r="B8" s="9" t="n">
        <v>175707</v>
      </c>
      <c r="C8" s="9" t="n">
        <v>263321</v>
      </c>
      <c r="D8" s="9" t="n">
        <v>141899</v>
      </c>
      <c r="E8" s="9" t="n">
        <v>181146</v>
      </c>
      <c r="F8" s="9" t="n">
        <v>191253</v>
      </c>
      <c r="G8" s="9" t="n">
        <v>180603</v>
      </c>
    </row>
    <row r="9">
      <c r="A9" s="8" t="inlineStr">
        <is>
          <t xml:space="preserve">    3. Investment income</t>
        </is>
      </c>
      <c r="B9" s="9" t="n">
        <v>35</v>
      </c>
      <c r="C9" s="9" t="n">
        <v>12</v>
      </c>
      <c r="D9" s="9" t="n">
        <v>12</v>
      </c>
      <c r="E9" s="9" t="n">
        <v>18</v>
      </c>
      <c r="F9" s="9" t="n">
        <v>47</v>
      </c>
      <c r="G9" s="9" t="n">
        <v>46</v>
      </c>
    </row>
    <row r="10">
      <c r="A10" s="8" t="inlineStr">
        <is>
          <t xml:space="preserve">    6d. Net rental income</t>
        </is>
      </c>
      <c r="B10" s="19" t="inlineStr">
        <is>
          <t>not reported</t>
        </is>
      </c>
      <c r="C10" s="19" t="inlineStr">
        <is>
          <t>not reported</t>
        </is>
      </c>
      <c r="D10" s="19" t="inlineStr">
        <is>
          <t>not reported</t>
        </is>
      </c>
      <c r="E10" s="19" t="inlineStr">
        <is>
          <t>not reported</t>
        </is>
      </c>
      <c r="F10" s="19" t="inlineStr">
        <is>
          <t>not reported</t>
        </is>
      </c>
      <c r="G10" s="19" t="inlineStr">
        <is>
          <t>not reported</t>
        </is>
      </c>
    </row>
    <row r="11">
      <c r="A11" s="8" t="inlineStr">
        <is>
          <t xml:space="preserve">    7d. Net gain/(loss) from investment sales</t>
        </is>
      </c>
      <c r="B11" s="19" t="inlineStr">
        <is>
          <t>not reported</t>
        </is>
      </c>
      <c r="C11" s="19" t="inlineStr">
        <is>
          <t>not reported</t>
        </is>
      </c>
      <c r="D11" s="19" t="inlineStr">
        <is>
          <t>not reported</t>
        </is>
      </c>
      <c r="E11" s="19" t="inlineStr">
        <is>
          <t>not reported</t>
        </is>
      </c>
      <c r="F11" s="19" t="inlineStr">
        <is>
          <t>not reported</t>
        </is>
      </c>
      <c r="G11" s="19" t="inlineStr">
        <is>
          <t>not reported</t>
        </is>
      </c>
    </row>
    <row r="12">
      <c r="A12" s="8" t="inlineStr">
        <is>
          <t xml:space="preserve">    11e. Other revenue</t>
        </is>
      </c>
      <c r="B12" s="19" t="inlineStr">
        <is>
          <t>not reported</t>
        </is>
      </c>
      <c r="C12" s="19" t="inlineStr">
        <is>
          <t>not reported</t>
        </is>
      </c>
      <c r="D12" s="19" t="inlineStr">
        <is>
          <t>not reported</t>
        </is>
      </c>
      <c r="E12" s="19" t="inlineStr">
        <is>
          <t>not reported</t>
        </is>
      </c>
      <c r="F12" s="19" t="inlineStr">
        <is>
          <t>not reported</t>
        </is>
      </c>
      <c r="G12" s="19" t="inlineStr">
        <is>
          <t>not reported</t>
        </is>
      </c>
    </row>
    <row r="13">
      <c r="A13" s="10" t="inlineStr">
        <is>
          <t>12. Total revenue</t>
        </is>
      </c>
      <c r="B13" s="11">
        <f>SUM(B7:B12)</f>
        <v/>
      </c>
      <c r="C13" s="11">
        <f>SUM(C7:C12)</f>
        <v/>
      </c>
      <c r="D13" s="11">
        <f>SUM(D7:D12)</f>
        <v/>
      </c>
      <c r="E13" s="11">
        <f>SUM(E7:E12)</f>
        <v/>
      </c>
      <c r="F13" s="11">
        <f>SUM(F7:F12)</f>
        <v/>
      </c>
      <c r="G13" s="11">
        <f>SUM(G7:G12)</f>
        <v/>
      </c>
    </row>
    <row r="15">
      <c r="A15" s="6" t="inlineStr">
        <is>
          <t>Program service revenue detail - FY2025 (lines 2a-2f)</t>
        </is>
      </c>
      <c r="B15" s="7" t="n"/>
      <c r="C15" s="7" t="n"/>
      <c r="D15" s="7" t="n"/>
      <c r="E15" s="7" t="n"/>
      <c r="F15" s="7" t="n"/>
      <c r="G15" s="7" t="n"/>
    </row>
    <row r="16">
      <c r="A16" s="5" t="inlineStr">
        <is>
          <t>Description</t>
        </is>
      </c>
      <c r="B16" s="5" t="inlineStr">
        <is>
          <t>Business code</t>
        </is>
      </c>
      <c r="C16" s="5" t="inlineStr">
        <is>
          <t>Total revenue</t>
        </is>
      </c>
    </row>
    <row r="17">
      <c r="A17" s="8" t="inlineStr">
        <is>
          <t>MEMBER REVENUE</t>
        </is>
      </c>
      <c r="B17" s="8" t="inlineStr">
        <is>
          <t>541900</t>
        </is>
      </c>
      <c r="C17" s="9" t="n">
        <v>180603</v>
      </c>
    </row>
    <row r="18" ht="42" customHeight="1">
      <c r="A18"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G3"/>
    <mergeCell ref="A2:G2"/>
    <mergeCell ref="A1:G1"/>
    <mergeCell ref="A18:G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Markleeville Water Company</t>
        </is>
      </c>
    </row>
    <row r="2">
      <c r="A2" s="2" t="inlineStr">
        <is>
          <t>Statement of Functional Expenses - Form 990 Part IX (USD)</t>
        </is>
      </c>
    </row>
    <row r="3">
      <c r="A3" s="2" t="inlineStr">
        <is>
          <t>Entity ID: cawc_0050   |   Fiscal year ends June 30.</t>
        </is>
      </c>
    </row>
    <row r="5">
      <c r="A5" s="4" t="inlineStr">
        <is>
          <t>Part IX line (column A Total)</t>
        </is>
      </c>
      <c r="B5" s="5" t="inlineStr">
        <is>
          <t>FY2020</t>
        </is>
      </c>
      <c r="C5" s="5" t="inlineStr">
        <is>
          <t>FY2021</t>
        </is>
      </c>
      <c r="D5" s="5" t="inlineStr">
        <is>
          <t>FY2022</t>
        </is>
      </c>
      <c r="E5" s="5" t="inlineStr">
        <is>
          <t>FY2023</t>
        </is>
      </c>
      <c r="F5" s="5" t="inlineStr">
        <is>
          <t>FY2024</t>
        </is>
      </c>
      <c r="G5" s="5" t="inlineStr">
        <is>
          <t>FY2025</t>
        </is>
      </c>
    </row>
    <row r="6">
      <c r="A6" s="6" t="inlineStr">
        <is>
          <t>Functional expenses, column A Total - by year</t>
        </is>
      </c>
      <c r="B6" s="7" t="n"/>
      <c r="C6" s="7" t="n"/>
      <c r="D6" s="7" t="n"/>
      <c r="E6" s="7" t="n"/>
      <c r="F6" s="7" t="n"/>
      <c r="G6" s="7" t="n"/>
    </row>
    <row r="7">
      <c r="A7" s="8" t="inlineStr">
        <is>
          <t xml:space="preserve">    5. Compensation of current officers, directors, trustees</t>
        </is>
      </c>
      <c r="B7" s="9" t="n">
        <v>13500</v>
      </c>
      <c r="C7" s="9" t="n">
        <v>26059</v>
      </c>
      <c r="D7" s="9" t="n">
        <v>13365</v>
      </c>
      <c r="E7" s="9" t="n">
        <v>22370</v>
      </c>
      <c r="F7" s="9" t="n">
        <v>24968</v>
      </c>
      <c r="G7" s="9" t="n">
        <v>27319</v>
      </c>
    </row>
    <row r="8">
      <c r="A8" s="8" t="inlineStr">
        <is>
          <t xml:space="preserve">    7. Other salaries and wages</t>
        </is>
      </c>
      <c r="B8" s="9" t="n">
        <v>36379</v>
      </c>
      <c r="C8" s="9" t="n">
        <v>15466</v>
      </c>
      <c r="D8" s="9" t="n">
        <v>12105</v>
      </c>
      <c r="E8" s="19" t="inlineStr">
        <is>
          <t>not reported</t>
        </is>
      </c>
      <c r="F8" s="19" t="inlineStr">
        <is>
          <t>not reported</t>
        </is>
      </c>
      <c r="G8" s="19" t="inlineStr">
        <is>
          <t>not reported</t>
        </is>
      </c>
    </row>
    <row r="9">
      <c r="A9" s="8" t="inlineStr">
        <is>
          <t xml:space="preserve">    10. Payroll taxes</t>
        </is>
      </c>
      <c r="B9" s="9" t="n">
        <v>4438</v>
      </c>
      <c r="C9" s="9" t="n">
        <v>4261</v>
      </c>
      <c r="D9" s="9" t="n">
        <v>2713</v>
      </c>
      <c r="E9" s="9" t="n">
        <v>1966</v>
      </c>
      <c r="F9" s="9" t="n">
        <v>2313</v>
      </c>
      <c r="G9" s="9" t="n">
        <v>2527</v>
      </c>
    </row>
    <row r="10">
      <c r="A10" s="8" t="inlineStr">
        <is>
          <t xml:space="preserve">    11b. Fees for services: legal</t>
        </is>
      </c>
      <c r="B10" s="9" t="n">
        <v>3273</v>
      </c>
      <c r="C10" s="9" t="n">
        <v>2635</v>
      </c>
      <c r="D10" s="19" t="inlineStr">
        <is>
          <t>not reported</t>
        </is>
      </c>
      <c r="E10" s="19" t="inlineStr">
        <is>
          <t>not reported</t>
        </is>
      </c>
      <c r="F10" s="9" t="n">
        <v>1000</v>
      </c>
      <c r="G10" s="19" t="inlineStr">
        <is>
          <t>not reported</t>
        </is>
      </c>
    </row>
    <row r="11">
      <c r="A11" s="8" t="inlineStr">
        <is>
          <t xml:space="preserve">    11c. Fees for services: accounting</t>
        </is>
      </c>
      <c r="B11" s="9" t="n">
        <v>2100</v>
      </c>
      <c r="C11" s="9" t="n">
        <v>2100</v>
      </c>
      <c r="D11" s="9" t="n">
        <v>2258</v>
      </c>
      <c r="E11" s="9" t="n">
        <v>2678</v>
      </c>
      <c r="F11" s="9" t="n">
        <v>3413</v>
      </c>
      <c r="G11" s="9" t="n">
        <v>3654</v>
      </c>
    </row>
    <row r="12">
      <c r="A12" s="8" t="inlineStr">
        <is>
          <t xml:space="preserve">    13. Office expenses</t>
        </is>
      </c>
      <c r="B12" s="9" t="n">
        <v>1927</v>
      </c>
      <c r="C12" s="9" t="n">
        <v>5910</v>
      </c>
      <c r="D12" s="9" t="n">
        <v>3525</v>
      </c>
      <c r="E12" s="9" t="n">
        <v>3160</v>
      </c>
      <c r="F12" s="9" t="n">
        <v>3282</v>
      </c>
      <c r="G12" s="9" t="n">
        <v>4115</v>
      </c>
    </row>
    <row r="13">
      <c r="A13" s="8" t="inlineStr">
        <is>
          <t xml:space="preserve">    16. Occupancy</t>
        </is>
      </c>
      <c r="B13" s="9" t="n">
        <v>52339</v>
      </c>
      <c r="C13" s="9" t="n">
        <v>25816</v>
      </c>
      <c r="D13" s="9" t="n">
        <v>55663</v>
      </c>
      <c r="E13" s="9" t="n">
        <v>38966</v>
      </c>
      <c r="F13" s="9" t="n">
        <v>68415</v>
      </c>
      <c r="G13" s="9" t="n">
        <v>70506</v>
      </c>
    </row>
    <row r="14">
      <c r="A14" s="8" t="inlineStr">
        <is>
          <t xml:space="preserve">    17. Travel</t>
        </is>
      </c>
      <c r="B14" s="9" t="n">
        <v>1519</v>
      </c>
      <c r="C14" s="9" t="n">
        <v>1001</v>
      </c>
      <c r="D14" s="9" t="n">
        <v>752</v>
      </c>
      <c r="E14" s="9" t="n">
        <v>286</v>
      </c>
      <c r="F14" s="9" t="n">
        <v>658</v>
      </c>
      <c r="G14" s="9" t="n">
        <v>705</v>
      </c>
    </row>
    <row r="15">
      <c r="A15" s="8" t="inlineStr">
        <is>
          <t xml:space="preserve">    22. Depreciation, depletion, and amortization</t>
        </is>
      </c>
      <c r="B15" s="9" t="n">
        <v>7576</v>
      </c>
      <c r="C15" s="9" t="n">
        <v>7576</v>
      </c>
      <c r="D15" s="9" t="n">
        <v>7576</v>
      </c>
      <c r="E15" s="9" t="n">
        <v>7576</v>
      </c>
      <c r="F15" s="9" t="n">
        <v>7576</v>
      </c>
      <c r="G15" s="9" t="n">
        <v>7576</v>
      </c>
    </row>
    <row r="16">
      <c r="A16" s="8" t="inlineStr">
        <is>
          <t xml:space="preserve">    23. Insurance</t>
        </is>
      </c>
      <c r="B16" s="9" t="n">
        <v>3952</v>
      </c>
      <c r="C16" s="9" t="n">
        <v>1989</v>
      </c>
      <c r="D16" s="9" t="n">
        <v>6802</v>
      </c>
      <c r="E16" s="9" t="n">
        <v>7261</v>
      </c>
      <c r="F16" s="9" t="n">
        <v>6525</v>
      </c>
      <c r="G16" s="9" t="n">
        <v>6997</v>
      </c>
    </row>
    <row r="17">
      <c r="A17" s="8" t="inlineStr">
        <is>
          <t xml:space="preserve">    24. GRANT FUNDED WATER SYST</t>
        </is>
      </c>
      <c r="B17" s="9" t="n">
        <v>48279</v>
      </c>
      <c r="C17" s="9" t="n">
        <v>314284</v>
      </c>
      <c r="D17" s="9" t="n">
        <v>70963</v>
      </c>
      <c r="E17" s="19" t="inlineStr">
        <is>
          <t>not reported</t>
        </is>
      </c>
      <c r="F17" s="19" t="inlineStr">
        <is>
          <t>not reported</t>
        </is>
      </c>
      <c r="G17" s="19" t="inlineStr">
        <is>
          <t>not reported</t>
        </is>
      </c>
    </row>
    <row r="18">
      <c r="A18" s="8" t="inlineStr">
        <is>
          <t xml:space="preserve">    24. OPERATING SUPPLIES</t>
        </is>
      </c>
      <c r="B18" s="9" t="n">
        <v>9889</v>
      </c>
      <c r="C18" s="9" t="n">
        <v>7290</v>
      </c>
      <c r="D18" s="9" t="n">
        <v>6060</v>
      </c>
      <c r="E18" s="9" t="n">
        <v>5779</v>
      </c>
      <c r="F18" s="9" t="n">
        <v>10258</v>
      </c>
      <c r="G18" s="9" t="n">
        <v>3911</v>
      </c>
    </row>
    <row r="19">
      <c r="A19" s="8" t="inlineStr">
        <is>
          <t xml:space="preserve">    24. WATER ANALYSIS FEE</t>
        </is>
      </c>
      <c r="B19" s="9" t="n">
        <v>4810</v>
      </c>
      <c r="C19" s="9" t="n">
        <v>5880</v>
      </c>
      <c r="D19" s="19" t="inlineStr">
        <is>
          <t>not reported</t>
        </is>
      </c>
      <c r="E19" s="9" t="n">
        <v>4176</v>
      </c>
      <c r="F19" s="9" t="n">
        <v>14044</v>
      </c>
      <c r="G19" s="9" t="n">
        <v>4718</v>
      </c>
    </row>
    <row r="20">
      <c r="A20" s="8" t="inlineStr">
        <is>
          <t xml:space="preserve">    24. LICENSE, PERMITS, FEES</t>
        </is>
      </c>
      <c r="B20" s="9" t="n">
        <v>2870</v>
      </c>
      <c r="C20" s="19" t="inlineStr">
        <is>
          <t>not reported</t>
        </is>
      </c>
      <c r="D20" s="19" t="inlineStr">
        <is>
          <t>not reported</t>
        </is>
      </c>
      <c r="E20" s="19" t="inlineStr">
        <is>
          <t>not reported</t>
        </is>
      </c>
      <c r="F20" s="19" t="inlineStr">
        <is>
          <t>not reported</t>
        </is>
      </c>
      <c r="G20" s="19" t="inlineStr">
        <is>
          <t>not reported</t>
        </is>
      </c>
    </row>
    <row r="21">
      <c r="A21" s="8" t="inlineStr">
        <is>
          <t xml:space="preserve">    24. MISCELLANEOUS</t>
        </is>
      </c>
      <c r="B21" s="19" t="inlineStr">
        <is>
          <t>not reported</t>
        </is>
      </c>
      <c r="C21" s="9" t="n">
        <v>6652</v>
      </c>
      <c r="D21" s="19" t="inlineStr">
        <is>
          <t>not reported</t>
        </is>
      </c>
      <c r="E21" s="19" t="inlineStr">
        <is>
          <t>not reported</t>
        </is>
      </c>
      <c r="F21" s="19" t="inlineStr">
        <is>
          <t>not reported</t>
        </is>
      </c>
      <c r="G21" s="19" t="inlineStr">
        <is>
          <t>not reported</t>
        </is>
      </c>
    </row>
    <row r="22">
      <c r="A22" s="8" t="inlineStr">
        <is>
          <t xml:space="preserve">    24. SIERRA WATER OPERATORS</t>
        </is>
      </c>
      <c r="B22" s="19" t="inlineStr">
        <is>
          <t>not reported</t>
        </is>
      </c>
      <c r="C22" s="19" t="inlineStr">
        <is>
          <t>not reported</t>
        </is>
      </c>
      <c r="D22" s="9" t="n">
        <v>34359</v>
      </c>
      <c r="E22" s="9" t="n">
        <v>30586</v>
      </c>
      <c r="F22" s="9" t="n">
        <v>30543</v>
      </c>
      <c r="G22" s="9" t="n">
        <v>27900</v>
      </c>
    </row>
    <row r="23">
      <c r="A23" s="8" t="inlineStr">
        <is>
          <t xml:space="preserve">    24. SUBMAIN PIPELINE PROJEC</t>
        </is>
      </c>
      <c r="B23" s="19" t="inlineStr">
        <is>
          <t>not reported</t>
        </is>
      </c>
      <c r="C23" s="19" t="inlineStr">
        <is>
          <t>not reported</t>
        </is>
      </c>
      <c r="D23" s="9" t="n">
        <v>20795</v>
      </c>
      <c r="E23" s="9" t="n">
        <v>54600</v>
      </c>
      <c r="F23" s="19" t="inlineStr">
        <is>
          <t>not reported</t>
        </is>
      </c>
      <c r="G23" s="19" t="inlineStr">
        <is>
          <t>not reported</t>
        </is>
      </c>
    </row>
    <row r="24">
      <c r="A24" s="8" t="inlineStr">
        <is>
          <t xml:space="preserve">    24. LICENSES, PERMITS, FEES</t>
        </is>
      </c>
      <c r="B24" s="19" t="inlineStr">
        <is>
          <t>not reported</t>
        </is>
      </c>
      <c r="C24" s="19" t="inlineStr">
        <is>
          <t>not reported</t>
        </is>
      </c>
      <c r="D24" s="19" t="inlineStr">
        <is>
          <t>not reported</t>
        </is>
      </c>
      <c r="E24" s="19" t="inlineStr">
        <is>
          <t>not reported</t>
        </is>
      </c>
      <c r="F24" s="9" t="n">
        <v>3812</v>
      </c>
      <c r="G24" s="9" t="n">
        <v>4925</v>
      </c>
    </row>
    <row r="25">
      <c r="A25" s="8" t="inlineStr">
        <is>
          <t xml:space="preserve">    24e. All other expenses</t>
        </is>
      </c>
      <c r="B25" s="9" t="n">
        <v>2577</v>
      </c>
      <c r="C25" s="9" t="n">
        <v>6982</v>
      </c>
      <c r="D25" s="9" t="n">
        <v>9998</v>
      </c>
      <c r="E25" s="9" t="n">
        <v>4741</v>
      </c>
      <c r="F25" s="9" t="n">
        <v>1989</v>
      </c>
      <c r="G25" s="9" t="n">
        <v>4128</v>
      </c>
    </row>
    <row r="26">
      <c r="A26" s="10" t="inlineStr">
        <is>
          <t>25. Total functional expenses</t>
        </is>
      </c>
      <c r="B26" s="11">
        <f>SUM(B7:B25)</f>
        <v/>
      </c>
      <c r="C26" s="11">
        <f>SUM(C7:C25)</f>
        <v/>
      </c>
      <c r="D26" s="11">
        <f>SUM(D7:D25)</f>
        <v/>
      </c>
      <c r="E26" s="11">
        <f>SUM(E7:E25)</f>
        <v/>
      </c>
      <c r="F26" s="11">
        <f>SUM(F7:F25)</f>
        <v/>
      </c>
      <c r="G26" s="11">
        <f>SUM(G7:G25)</f>
        <v/>
      </c>
    </row>
    <row r="28">
      <c r="A28" s="6" t="inlineStr">
        <is>
          <t>Functional column split - FY2025</t>
        </is>
      </c>
      <c r="B28" s="7" t="n"/>
      <c r="C28" s="7" t="n"/>
      <c r="D28" s="7" t="n"/>
      <c r="E28" s="7" t="n"/>
      <c r="F28" s="7" t="n"/>
      <c r="G28" s="7" t="n"/>
    </row>
    <row r="29" ht="42" customHeight="1">
      <c r="A29" s="3" t="inlineStr">
        <is>
          <t>Not reported. This filer reports only column A (Total) of Part IX; the program / management / fundraising split (columns B-D) is not filed, so it is left as not reported rather than shown empty or inferred.</t>
        </is>
      </c>
    </row>
    <row r="30" ht="42" customHeight="1">
      <c r="A30"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This filer reports only column A (Total); the program / management / fundraising split (columns B-D) is not reported. Lines this filer does not report are omitted rather than shown empty.</t>
        </is>
      </c>
    </row>
  </sheetData>
  <mergeCells count="5">
    <mergeCell ref="A1:G1"/>
    <mergeCell ref="A3:G3"/>
    <mergeCell ref="A30:G30"/>
    <mergeCell ref="A2:G2"/>
    <mergeCell ref="A29:G2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Markleeville Water Company</t>
        </is>
      </c>
    </row>
    <row r="2">
      <c r="A2" s="2" t="inlineStr">
        <is>
          <t>Balance Sheet - Form 990 Part X (end of year, USD)</t>
        </is>
      </c>
    </row>
    <row r="3">
      <c r="A3" s="2" t="inlineStr">
        <is>
          <t>Entity ID: cawc_0050   |   Fiscal year ends June 30.</t>
        </is>
      </c>
    </row>
    <row r="5">
      <c r="A5" s="4" t="inlineStr">
        <is>
          <t>Part X line (column B, EOY)</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1. Cash - non-interest-bearing</t>
        </is>
      </c>
      <c r="B7" s="9" t="n">
        <v>226155</v>
      </c>
      <c r="C7" s="9" t="n">
        <v>288508</v>
      </c>
      <c r="D7" s="9" t="n">
        <v>341205</v>
      </c>
      <c r="E7" s="9" t="n">
        <v>357025</v>
      </c>
      <c r="F7" s="9" t="n">
        <v>365152</v>
      </c>
      <c r="G7" s="9" t="n">
        <v>359674</v>
      </c>
    </row>
    <row r="8">
      <c r="A8" s="8" t="inlineStr">
        <is>
          <t xml:space="preserve">    4. Accounts receivable, net</t>
        </is>
      </c>
      <c r="B8" s="9" t="n">
        <v>99</v>
      </c>
      <c r="C8" s="9" t="n">
        <v>84664</v>
      </c>
      <c r="D8" s="9" t="n">
        <v>10082</v>
      </c>
      <c r="E8" s="19" t="inlineStr">
        <is>
          <t>not reported</t>
        </is>
      </c>
      <c r="F8" s="9" t="n">
        <v>7740</v>
      </c>
      <c r="G8" s="19" t="inlineStr">
        <is>
          <t>not reported</t>
        </is>
      </c>
    </row>
    <row r="9">
      <c r="A9" s="8" t="inlineStr">
        <is>
          <t xml:space="preserve">    9. Prepaid expenses and deferred charges</t>
        </is>
      </c>
      <c r="B9" s="9" t="n">
        <v>2956</v>
      </c>
      <c r="C9" s="9" t="n">
        <v>3522</v>
      </c>
      <c r="D9" s="9" t="n">
        <v>3923</v>
      </c>
      <c r="E9" s="9" t="n">
        <v>4284</v>
      </c>
      <c r="F9" s="9" t="n">
        <v>3942</v>
      </c>
      <c r="G9" s="9" t="n">
        <v>5678</v>
      </c>
    </row>
    <row r="10">
      <c r="A10" s="8" t="inlineStr">
        <is>
          <t xml:space="preserve">    10c. Land, buildings, and equipment, net</t>
        </is>
      </c>
      <c r="B10" s="9" t="n">
        <v>171021</v>
      </c>
      <c r="C10" s="9" t="n">
        <v>163445</v>
      </c>
      <c r="D10" s="9" t="n">
        <v>155869</v>
      </c>
      <c r="E10" s="9" t="n">
        <v>148293</v>
      </c>
      <c r="F10" s="9" t="n">
        <v>611515</v>
      </c>
      <c r="G10" s="9" t="n">
        <v>3609522</v>
      </c>
    </row>
    <row r="11">
      <c r="A11" s="10" t="inlineStr">
        <is>
          <t>16. Total assets</t>
        </is>
      </c>
      <c r="B11" s="11">
        <f>SUM(B7:B10)</f>
        <v/>
      </c>
      <c r="C11" s="11">
        <f>SUM(C7:C10)</f>
        <v/>
      </c>
      <c r="D11" s="11">
        <f>SUM(D7:D10)</f>
        <v/>
      </c>
      <c r="E11" s="11">
        <f>SUM(E7:E10)</f>
        <v/>
      </c>
      <c r="F11" s="11">
        <f>SUM(F7:F10)</f>
        <v/>
      </c>
      <c r="G11" s="11">
        <f>SUM(G7:G10)</f>
        <v/>
      </c>
    </row>
    <row r="13">
      <c r="A13" s="6" t="inlineStr">
        <is>
          <t>Liabilities</t>
        </is>
      </c>
      <c r="B13" s="7" t="n"/>
      <c r="C13" s="7" t="n"/>
      <c r="D13" s="7" t="n"/>
      <c r="E13" s="7" t="n"/>
      <c r="F13" s="7" t="n"/>
      <c r="G13" s="7" t="n"/>
    </row>
    <row r="14">
      <c r="A14" s="8" t="inlineStr">
        <is>
          <t xml:space="preserve">    17. Accounts payable and accrued expenses</t>
        </is>
      </c>
      <c r="B14" s="9" t="n">
        <v>3809</v>
      </c>
      <c r="C14" s="9" t="n">
        <v>0</v>
      </c>
      <c r="D14" s="19" t="inlineStr">
        <is>
          <t>not reported</t>
        </is>
      </c>
      <c r="E14" s="9" t="n">
        <v>1504</v>
      </c>
      <c r="F14" s="19" t="inlineStr">
        <is>
          <t>not reported</t>
        </is>
      </c>
      <c r="G14" s="9" t="n">
        <v>3416</v>
      </c>
    </row>
    <row r="15">
      <c r="A15" s="10" t="inlineStr">
        <is>
          <t>26. Total liabilities</t>
        </is>
      </c>
      <c r="B15" s="11">
        <f>SUM(B14:B14)</f>
        <v/>
      </c>
      <c r="C15" s="11">
        <f>SUM(C14:C14)</f>
        <v/>
      </c>
      <c r="D15" s="11">
        <f>SUM(D14:D14)</f>
        <v/>
      </c>
      <c r="E15" s="11">
        <f>SUM(E14:E14)</f>
        <v/>
      </c>
      <c r="F15" s="11">
        <f>SUM(F14:F14)</f>
        <v/>
      </c>
      <c r="G15" s="11">
        <f>SUM(G14:G14)</f>
        <v/>
      </c>
    </row>
    <row r="17">
      <c r="A17" s="6" t="inlineStr">
        <is>
          <t>Net assets / fund balances</t>
        </is>
      </c>
      <c r="B17" s="7" t="n"/>
      <c r="C17" s="7" t="n"/>
      <c r="D17" s="7" t="n"/>
      <c r="E17" s="7" t="n"/>
      <c r="F17" s="7" t="n"/>
      <c r="G17" s="7" t="n"/>
    </row>
    <row r="18">
      <c r="A18" s="8" t="inlineStr">
        <is>
          <t xml:space="preserve">    29. Capital stock or trust principal</t>
        </is>
      </c>
      <c r="B18" s="9" t="n">
        <v>0</v>
      </c>
      <c r="C18" s="9" t="n">
        <v>0</v>
      </c>
      <c r="D18" s="9" t="n">
        <v>0</v>
      </c>
      <c r="E18" s="9" t="n">
        <v>0</v>
      </c>
      <c r="F18" s="9" t="n">
        <v>0</v>
      </c>
      <c r="G18" s="9" t="n">
        <v>0</v>
      </c>
    </row>
    <row r="19">
      <c r="A19" s="8" t="inlineStr">
        <is>
          <t xml:space="preserve">    30. Paid-in or capital surplus</t>
        </is>
      </c>
      <c r="B19" s="9" t="n">
        <v>0</v>
      </c>
      <c r="C19" s="9" t="n">
        <v>0</v>
      </c>
      <c r="D19" s="9" t="n">
        <v>0</v>
      </c>
      <c r="E19" s="9" t="n">
        <v>0</v>
      </c>
      <c r="F19" s="9" t="n">
        <v>0</v>
      </c>
      <c r="G19" s="9" t="n">
        <v>0</v>
      </c>
    </row>
    <row r="20">
      <c r="A20" s="8" t="inlineStr">
        <is>
          <t xml:space="preserve">    31. Retained earnings / accumulated funds</t>
        </is>
      </c>
      <c r="B20" s="9" t="n">
        <v>396422</v>
      </c>
      <c r="C20" s="9" t="n">
        <v>540139</v>
      </c>
      <c r="D20" s="9" t="n">
        <v>511079</v>
      </c>
      <c r="E20" s="9" t="n">
        <v>508098</v>
      </c>
      <c r="F20" s="9" t="n">
        <v>988349</v>
      </c>
      <c r="G20" s="9" t="n">
        <v>3971458</v>
      </c>
    </row>
    <row r="21">
      <c r="A21" s="10" t="inlineStr">
        <is>
          <t>32. Total net assets / fund balances</t>
        </is>
      </c>
      <c r="B21" s="11">
        <f>SUM(B18:B20)</f>
        <v/>
      </c>
      <c r="C21" s="11">
        <f>SUM(C18:C20)</f>
        <v/>
      </c>
      <c r="D21" s="11">
        <f>SUM(D18:D20)</f>
        <v/>
      </c>
      <c r="E21" s="11">
        <f>SUM(E18:E20)</f>
        <v/>
      </c>
      <c r="F21" s="11">
        <f>SUM(F18:F20)</f>
        <v/>
      </c>
      <c r="G21" s="11">
        <f>SUM(G18:G20)</f>
        <v/>
      </c>
    </row>
    <row r="23" ht="42" customHeight="1">
      <c r="A23"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G3"/>
    <mergeCell ref="A2:G2"/>
    <mergeCell ref="A1:G1"/>
    <mergeCell ref="A23:G2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Markleeville Water Company</t>
        </is>
      </c>
    </row>
    <row r="2">
      <c r="A2" s="2" t="inlineStr">
        <is>
          <t>Reconciliation of Net Assets - Form 990 Part XI (USD)</t>
        </is>
      </c>
    </row>
    <row r="3">
      <c r="A3" s="2" t="inlineStr">
        <is>
          <t>Entity ID: cawc_0050   |   Fiscal year ends June 30.</t>
        </is>
      </c>
    </row>
    <row r="5">
      <c r="A5" s="4" t="inlineStr">
        <is>
          <t>Part XI line</t>
        </is>
      </c>
      <c r="B5" s="5" t="inlineStr">
        <is>
          <t>FY2020</t>
        </is>
      </c>
      <c r="C5" s="5" t="inlineStr">
        <is>
          <t>FY2021</t>
        </is>
      </c>
      <c r="D5" s="5" t="inlineStr">
        <is>
          <t>FY2022</t>
        </is>
      </c>
      <c r="E5" s="5" t="inlineStr">
        <is>
          <t>FY2023</t>
        </is>
      </c>
      <c r="F5" s="5" t="inlineStr">
        <is>
          <t>FY2024</t>
        </is>
      </c>
      <c r="G5" s="5" t="inlineStr">
        <is>
          <t>FY2025</t>
        </is>
      </c>
    </row>
    <row r="6">
      <c r="A6" s="6" t="inlineStr">
        <is>
          <t>Reconciliation</t>
        </is>
      </c>
      <c r="B6" s="7" t="n"/>
      <c r="C6" s="7" t="n"/>
      <c r="D6" s="7" t="n"/>
      <c r="E6" s="7" t="n"/>
      <c r="F6" s="7" t="n"/>
      <c r="G6" s="7" t="n"/>
    </row>
    <row r="7">
      <c r="A7" s="8" t="inlineStr">
        <is>
          <t xml:space="preserve">    4. Net assets, beginning of year</t>
        </is>
      </c>
      <c r="B7" s="9" t="n">
        <v>367829</v>
      </c>
      <c r="C7" s="9" t="n">
        <v>396422</v>
      </c>
      <c r="D7" s="9" t="n">
        <v>540139</v>
      </c>
      <c r="E7" s="9" t="n">
        <v>511079</v>
      </c>
      <c r="F7" s="9" t="n">
        <v>508098</v>
      </c>
      <c r="G7" s="9" t="n">
        <v>988349</v>
      </c>
    </row>
    <row r="8">
      <c r="A8" s="8" t="inlineStr">
        <is>
          <t xml:space="preserve">    3. Revenue less expenses</t>
        </is>
      </c>
      <c r="B8" s="9" t="n">
        <v>28593</v>
      </c>
      <c r="C8" s="9" t="n">
        <v>143717</v>
      </c>
      <c r="D8" s="9" t="n">
        <v>-29060</v>
      </c>
      <c r="E8" s="9" t="n">
        <v>-2981</v>
      </c>
      <c r="F8" s="9" t="n">
        <v>480251</v>
      </c>
      <c r="G8" s="9" t="n">
        <v>2983109</v>
      </c>
    </row>
    <row r="9">
      <c r="A9" s="8" t="inlineStr">
        <is>
          <t xml:space="preserve">    8. Prior period adjustments</t>
        </is>
      </c>
      <c r="B9" s="19" t="inlineStr">
        <is>
          <t>not reported</t>
        </is>
      </c>
      <c r="C9" s="19" t="inlineStr">
        <is>
          <t>not reported</t>
        </is>
      </c>
      <c r="D9" s="19" t="inlineStr">
        <is>
          <t>not reported</t>
        </is>
      </c>
      <c r="E9" s="19" t="inlineStr">
        <is>
          <t>not reported</t>
        </is>
      </c>
      <c r="F9" s="19" t="inlineStr">
        <is>
          <t>not reported</t>
        </is>
      </c>
      <c r="G9" s="19" t="inlineStr">
        <is>
          <t>not reported</t>
        </is>
      </c>
    </row>
    <row r="10">
      <c r="A10" s="8" t="inlineStr">
        <is>
          <t xml:space="preserve">    9. Other changes in net assets</t>
        </is>
      </c>
      <c r="B10" s="9" t="n">
        <v>0</v>
      </c>
      <c r="C10" s="9" t="n">
        <v>0</v>
      </c>
      <c r="D10" s="9" t="n">
        <v>0</v>
      </c>
      <c r="E10" s="9" t="n">
        <v>0</v>
      </c>
      <c r="F10" s="9" t="n">
        <v>0</v>
      </c>
      <c r="G10" s="9" t="n">
        <v>0</v>
      </c>
    </row>
    <row r="11">
      <c r="A11" s="10" t="inlineStr">
        <is>
          <t>10. Net assets, end of year</t>
        </is>
      </c>
      <c r="B11" s="11">
        <f>SUM(B7,B8,B9,B10)</f>
        <v/>
      </c>
      <c r="C11" s="11">
        <f>SUM(C7,C8,C9,C10)</f>
        <v/>
      </c>
      <c r="D11" s="11">
        <f>SUM(D7,D8,D9,D10)</f>
        <v/>
      </c>
      <c r="E11" s="11">
        <f>SUM(E7,E8,E9,E10)</f>
        <v/>
      </c>
      <c r="F11" s="11">
        <f>SUM(F7,F8,F9,F10)</f>
        <v/>
      </c>
      <c r="G11" s="11">
        <f>SUM(G7,G8,G9,G10)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13:G13"/>
    <mergeCell ref="A3:G3"/>
    <mergeCell ref="A2:G2"/>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Markleeville Water Company</t>
        </is>
      </c>
    </row>
    <row r="2">
      <c r="A2" s="2" t="inlineStr">
        <is>
          <t>Cash Flow Proxies - derived (USD)</t>
        </is>
      </c>
    </row>
    <row r="3">
      <c r="A3" s="2" t="inlineStr">
        <is>
          <t>Entity ID: cawc_0050   |   Fiscal year ends June 30.</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28593</v>
      </c>
      <c r="C9" s="9" t="n">
        <v>143717</v>
      </c>
      <c r="D9" s="9" t="n">
        <v>-29060</v>
      </c>
      <c r="E9" s="9" t="n">
        <v>-2981</v>
      </c>
      <c r="F9" s="9" t="n">
        <v>480251</v>
      </c>
      <c r="G9" s="9" t="n">
        <v>2983109</v>
      </c>
    </row>
    <row r="10">
      <c r="A10" s="8" t="inlineStr">
        <is>
          <t xml:space="preserve">    + Depreciation (reported)</t>
        </is>
      </c>
      <c r="B10" s="9" t="n">
        <v>7576</v>
      </c>
      <c r="C10" s="9" t="n">
        <v>7576</v>
      </c>
      <c r="D10" s="9" t="n">
        <v>7576</v>
      </c>
      <c r="E10" s="9" t="n">
        <v>7576</v>
      </c>
      <c r="F10" s="9" t="n">
        <v>7576</v>
      </c>
      <c r="G10" s="9" t="n">
        <v>7576</v>
      </c>
    </row>
    <row r="11">
      <c r="A11" s="8" t="inlineStr">
        <is>
          <t xml:space="preserve">    − Δ Accounts receivable</t>
        </is>
      </c>
      <c r="B11" s="9" t="n"/>
      <c r="C11" s="9" t="n">
        <v>-84565</v>
      </c>
      <c r="D11" s="9" t="n">
        <v>74582</v>
      </c>
      <c r="E11" s="9" t="n"/>
      <c r="F11" s="9" t="n"/>
      <c r="G11" s="9" t="n"/>
    </row>
    <row r="12">
      <c r="A12" s="8" t="inlineStr">
        <is>
          <t xml:space="preserve">    − Δ Inventories</t>
        </is>
      </c>
      <c r="B12" s="9" t="n"/>
      <c r="C12" s="9" t="n"/>
      <c r="D12" s="9" t="n"/>
      <c r="E12" s="9" t="n"/>
      <c r="F12" s="9" t="n"/>
      <c r="G12" s="9" t="n"/>
    </row>
    <row r="13">
      <c r="A13" s="8" t="inlineStr">
        <is>
          <t xml:space="preserve">    − Δ Prepaid expenses</t>
        </is>
      </c>
      <c r="B13" s="9" t="n"/>
      <c r="C13" s="9" t="n">
        <v>-566</v>
      </c>
      <c r="D13" s="9" t="n">
        <v>-401</v>
      </c>
      <c r="E13" s="9" t="n">
        <v>-361</v>
      </c>
      <c r="F13" s="9" t="n">
        <v>342</v>
      </c>
      <c r="G13" s="9" t="n">
        <v>-1736</v>
      </c>
    </row>
    <row r="14">
      <c r="A14" s="8" t="inlineStr">
        <is>
          <t xml:space="preserve">    + Δ Accounts payable</t>
        </is>
      </c>
      <c r="B14" s="9" t="n"/>
      <c r="C14" s="9" t="n">
        <v>-3809</v>
      </c>
      <c r="D14" s="9" t="n"/>
      <c r="E14" s="9" t="n"/>
      <c r="F14" s="9" t="n"/>
      <c r="G14" s="9" t="n"/>
    </row>
    <row r="15">
      <c r="A15" s="10" t="inlineStr">
        <is>
          <t xml:space="preserve">    Operating cash flow proxy</t>
        </is>
      </c>
      <c r="B15" s="11" t="n"/>
      <c r="C15" s="11" t="n">
        <v>62353</v>
      </c>
      <c r="D15" s="11" t="n">
        <v>52697</v>
      </c>
      <c r="E15" s="11" t="n">
        <v>4234</v>
      </c>
      <c r="F15" s="11" t="n">
        <v>488169</v>
      </c>
      <c r="G15" s="11" t="n">
        <v>2988949</v>
      </c>
    </row>
    <row r="17">
      <c r="A17" s="6" t="inlineStr">
        <is>
          <t>Investing</t>
        </is>
      </c>
      <c r="B17" s="7" t="n"/>
      <c r="C17" s="7" t="n"/>
      <c r="D17" s="7" t="n"/>
      <c r="E17" s="7" t="n"/>
      <c r="F17" s="7" t="n"/>
      <c r="G17" s="7" t="n"/>
    </row>
    <row r="18">
      <c r="A18" s="8" t="inlineStr">
        <is>
          <t xml:space="preserve">    − Δ PP&amp;E gross (capex proxy)</t>
        </is>
      </c>
      <c r="B18" s="9" t="n"/>
      <c r="C18" s="9" t="n">
        <v>0</v>
      </c>
      <c r="D18" s="9" t="n">
        <v>0</v>
      </c>
      <c r="E18" s="9" t="n">
        <v>0</v>
      </c>
      <c r="F18" s="9" t="n">
        <v>-470798</v>
      </c>
      <c r="G18" s="9" t="n">
        <v>-3005583</v>
      </c>
    </row>
    <row r="20">
      <c r="A20" s="6" t="inlineStr">
        <is>
          <t>Financing</t>
        </is>
      </c>
      <c r="B20" s="7" t="n"/>
      <c r="C20" s="7" t="n"/>
      <c r="D20" s="7" t="n"/>
      <c r="E20" s="7" t="n"/>
      <c r="F20" s="7" t="n"/>
      <c r="G20" s="7" t="n"/>
    </row>
    <row r="21">
      <c r="A21" s="8" t="inlineStr">
        <is>
          <t xml:space="preserve">    Δ Mortgages &amp; notes payable</t>
        </is>
      </c>
      <c r="B21" s="9" t="n"/>
      <c r="C21" s="9" t="n"/>
      <c r="D21" s="9" t="n"/>
      <c r="E21" s="9" t="n"/>
      <c r="F21" s="9" t="n"/>
      <c r="G21" s="9" t="n"/>
    </row>
    <row r="23">
      <c r="A23" s="6" t="inlineStr">
        <is>
          <t>Reconciliation</t>
        </is>
      </c>
      <c r="B23" s="7" t="n"/>
      <c r="C23" s="7" t="n"/>
      <c r="D23" s="7" t="n"/>
      <c r="E23" s="7" t="n"/>
      <c r="F23" s="7" t="n"/>
      <c r="G23" s="7" t="n"/>
    </row>
    <row r="24">
      <c r="A24" s="10" t="inlineStr">
        <is>
          <t xml:space="preserve">    Δ Cash + temp. investments (actual)</t>
        </is>
      </c>
      <c r="B24" s="11" t="n"/>
      <c r="C24" s="11" t="n">
        <v>62353</v>
      </c>
      <c r="D24" s="11" t="n">
        <v>52697</v>
      </c>
      <c r="E24" s="11" t="n">
        <v>15820</v>
      </c>
      <c r="F24" s="11" t="n">
        <v>8127</v>
      </c>
      <c r="G24" s="11" t="n">
        <v>-5478</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Markleeville Water Company</t>
        </is>
      </c>
    </row>
    <row r="2">
      <c r="A2" s="2" t="inlineStr">
        <is>
          <t>Financial Ratios</t>
        </is>
      </c>
    </row>
    <row r="3">
      <c r="A3" s="2" t="inlineStr">
        <is>
          <t>Entity ID: cawc_0050   |   Fiscal year ends June 30.</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0.1276353556139826</v>
      </c>
      <c r="C7" s="12" t="n">
        <v>0.2488097670086458</v>
      </c>
      <c r="D7" s="12" t="n">
        <v>-0.1333798433957241</v>
      </c>
      <c r="E7" s="12" t="n">
        <v>-0.01645470402508225</v>
      </c>
      <c r="F7" s="12" t="n">
        <v>0.7287052365005834</v>
      </c>
      <c r="G7" s="12" t="n">
        <v>0.9463908073690789</v>
      </c>
    </row>
    <row r="8">
      <c r="A8" s="8" t="inlineStr">
        <is>
          <t xml:space="preserve">    Expense ratio (expenses / revenue)</t>
        </is>
      </c>
      <c r="B8" s="12" t="n">
        <v>0.8723646443860174</v>
      </c>
      <c r="C8" s="12" t="n">
        <v>0.7511902329913541</v>
      </c>
      <c r="D8" s="12" t="n">
        <v>1.133379843395724</v>
      </c>
      <c r="E8" s="12" t="n">
        <v>1.016454704025082</v>
      </c>
      <c r="F8" s="12" t="n">
        <v>0.2712947634994166</v>
      </c>
      <c r="G8" s="12" t="n">
        <v>0.05360919263092107</v>
      </c>
    </row>
    <row r="9">
      <c r="A9" s="8" t="inlineStr">
        <is>
          <t xml:space="preserve">    Return on assets (NI / assets)</t>
        </is>
      </c>
      <c r="B9" s="12" t="n">
        <v>0.07144124268235094</v>
      </c>
      <c r="C9" s="12" t="n">
        <v>0.2660741031475231</v>
      </c>
      <c r="D9" s="12" t="n">
        <v>-0.05686009403634272</v>
      </c>
      <c r="E9" s="12" t="n">
        <v>-0.005849663070396113</v>
      </c>
      <c r="F9" s="12" t="n">
        <v>0.4859123649641979</v>
      </c>
      <c r="G9" s="12" t="n">
        <v>0.7504914621193024</v>
      </c>
    </row>
    <row r="10">
      <c r="A10" s="8" t="inlineStr">
        <is>
          <t xml:space="preserve">    Revenue growth (YoY)</t>
        </is>
      </c>
      <c r="B10" s="12" t="n">
        <v>0.314260738967698</v>
      </c>
      <c r="C10" s="12" t="n">
        <v>1.578410059771182</v>
      </c>
      <c r="D10" s="12" t="n">
        <v>-0.6228060759879367</v>
      </c>
      <c r="E10" s="12" t="n">
        <v>-0.168491880628253</v>
      </c>
      <c r="F10" s="12" t="n">
        <v>2.637847475215827</v>
      </c>
      <c r="G10" s="12" t="n">
        <v>3.782800012745677</v>
      </c>
    </row>
    <row r="12">
      <c r="A12" s="6" t="inlineStr">
        <is>
          <t>Leverage &amp; solvency</t>
        </is>
      </c>
      <c r="B12" s="7" t="n"/>
      <c r="C12" s="7" t="n"/>
      <c r="D12" s="7" t="n"/>
      <c r="E12" s="7" t="n"/>
      <c r="F12" s="7" t="n"/>
      <c r="G12" s="7" t="n"/>
    </row>
    <row r="13">
      <c r="A13" s="8" t="inlineStr">
        <is>
          <t xml:space="preserve">    Debt-to-assets (liab. / assets)</t>
        </is>
      </c>
      <c r="B13" s="12" t="n">
        <v>0.009517003930230292</v>
      </c>
      <c r="C13" s="12" t="n">
        <v>0</v>
      </c>
      <c r="D13" s="12" t="n">
        <v>0</v>
      </c>
      <c r="E13" s="12" t="n">
        <v>0.002951322797006291</v>
      </c>
      <c r="F13" s="12" t="n">
        <v>0</v>
      </c>
      <c r="G13" s="12" t="n">
        <v>0.0008593983104873261</v>
      </c>
    </row>
    <row r="14">
      <c r="A14" s="8" t="inlineStr">
        <is>
          <t xml:space="preserve">    Equity ratio (net assets / assets)</t>
        </is>
      </c>
      <c r="B14" s="12" t="n">
        <v>0.9904829960697697</v>
      </c>
      <c r="C14" s="12" t="n">
        <v>1</v>
      </c>
      <c r="D14" s="12" t="n">
        <v>1</v>
      </c>
      <c r="E14" s="12" t="n">
        <v>0.9970486772029937</v>
      </c>
      <c r="F14" s="12" t="n">
        <v>1</v>
      </c>
      <c r="G14" s="12" t="n">
        <v>0.9991406016895127</v>
      </c>
    </row>
    <row r="16">
      <c r="A16" s="6" t="inlineStr">
        <is>
          <t>Liquidity &amp; asset profile (derived here)</t>
        </is>
      </c>
      <c r="B16" s="7" t="n"/>
      <c r="C16" s="7" t="n"/>
      <c r="D16" s="7" t="n"/>
      <c r="E16" s="7" t="n"/>
      <c r="F16" s="7" t="n"/>
      <c r="G16" s="7" t="n"/>
    </row>
    <row r="17">
      <c r="A17" s="8" t="inlineStr">
        <is>
          <t xml:space="preserve">    Current ratio (current assets / AP)</t>
        </is>
      </c>
      <c r="B17" s="20" t="n">
        <v>60.1758991861381</v>
      </c>
      <c r="C17" s="20" t="n"/>
      <c r="D17" s="20" t="n"/>
      <c r="E17" s="20" t="n">
        <v>240.2320478723404</v>
      </c>
      <c r="F17" s="20" t="n"/>
      <c r="G17" s="20" t="n">
        <v>106.9531615925059</v>
      </c>
    </row>
    <row r="18">
      <c r="A18" s="8" t="inlineStr">
        <is>
          <t xml:space="preserve">    Cash ratio ((cash+temp inv.) / total liab.)</t>
        </is>
      </c>
      <c r="B18" s="20" t="n">
        <v>59.37385140456813</v>
      </c>
      <c r="C18" s="20" t="n"/>
      <c r="D18" s="20" t="n"/>
      <c r="E18" s="20" t="n">
        <v>237.3836436170213</v>
      </c>
      <c r="F18" s="20" t="n"/>
      <c r="G18" s="20" t="n">
        <v>105.2909836065574</v>
      </c>
    </row>
    <row r="19">
      <c r="A19" s="8" t="inlineStr">
        <is>
          <t xml:space="preserve">    Asset age proxy (accum. deprec. / gross PP&amp;E)</t>
        </is>
      </c>
      <c r="B19" s="12" t="n">
        <v>0.646344666146933</v>
      </c>
      <c r="C19" s="12" t="n">
        <v>0.6620111211978965</v>
      </c>
      <c r="D19" s="12" t="n">
        <v>0.67767757624886</v>
      </c>
      <c r="E19" s="12" t="n">
        <v>0.6933440312998236</v>
      </c>
      <c r="F19" s="12" t="n">
        <v>0.3592535041110502</v>
      </c>
      <c r="G19" s="12" t="n">
        <v>0.0884957986970582</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Markleeville Water Company</t>
        </is>
      </c>
    </row>
    <row r="2">
      <c r="A2" s="2" t="inlineStr">
        <is>
          <t>Unit economics - per-customer revenue by category (USD)</t>
        </is>
      </c>
    </row>
    <row r="3">
      <c r="A3" s="2" t="inlineStr">
        <is>
          <t>Entity ID: cawc_0050   |   Fiscal year ends June 30.</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1" t="inlineStr">
        <is>
          <t>Per-customer denominator (service connections)</t>
        </is>
      </c>
      <c r="B6" s="13" t="n"/>
      <c r="C6" s="22" t="inlineStr">
        <is>
          <t>State Water Board eAR Section 4</t>
        </is>
      </c>
    </row>
    <row r="7">
      <c r="A7" s="21" t="inlineStr">
        <is>
          <t>Total annual revenue (eAR Section 8b B1.8)</t>
        </is>
      </c>
      <c r="B7" s="13" t="n"/>
      <c r="C7" s="22" t="inlineStr">
        <is>
          <t>eAR Section 8b total annual revenue not reported for this system.</t>
        </is>
      </c>
    </row>
    <row r="8">
      <c r="A8" s="21" t="inlineStr">
        <is>
          <t>Primary source</t>
        </is>
      </c>
      <c r="B8" s="13" t="inlineStr"/>
      <c r="C8" s="22"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3" t="inlineStr">
        <is>
          <t>not reported</t>
        </is>
      </c>
      <c r="C12" s="24" t="inlineStr">
        <is>
          <t>not reported</t>
        </is>
      </c>
      <c r="D12" s="24" t="inlineStr">
        <is>
          <t>not reported</t>
        </is>
      </c>
      <c r="E12" s="24" t="inlineStr">
        <is>
          <t>not reported</t>
        </is>
      </c>
    </row>
    <row r="13">
      <c r="A13" s="8" t="inlineStr">
        <is>
          <t>Assessment revenue (990 program-service revenue not matched to eAR water-rate revenue)</t>
        </is>
      </c>
      <c r="B13" s="23" t="inlineStr">
        <is>
          <t>IMPOSSIBLE</t>
        </is>
      </c>
      <c r="C13" s="24" t="inlineStr">
        <is>
          <t>IMPOSSIBLE</t>
        </is>
      </c>
      <c r="D13" s="24" t="inlineStr">
        <is>
          <t>IMPOSSIBLE</t>
        </is>
      </c>
      <c r="E13" s="24" t="inlineStr">
        <is>
          <t>IMPOSSIBLE</t>
        </is>
      </c>
    </row>
    <row r="14">
      <c r="A14" s="8" t="inlineStr">
        <is>
          <t>Meter revenue</t>
        </is>
      </c>
      <c r="B14" s="23" t="inlineStr">
        <is>
          <t>not reported</t>
        </is>
      </c>
      <c r="C14" s="24" t="inlineStr">
        <is>
          <t>not reported</t>
        </is>
      </c>
      <c r="D14" s="24" t="inlineStr">
        <is>
          <t>not reported</t>
        </is>
      </c>
      <c r="E14" s="24" t="inlineStr">
        <is>
          <t>not reported</t>
        </is>
      </c>
    </row>
    <row r="15">
      <c r="A15" s="8" t="inlineStr">
        <is>
          <t>Overage or tiered penalty revenue</t>
        </is>
      </c>
      <c r="B15" s="23" t="inlineStr">
        <is>
          <t>not reported</t>
        </is>
      </c>
      <c r="C15" s="24" t="inlineStr">
        <is>
          <t>not reported</t>
        </is>
      </c>
      <c r="D15" s="24" t="inlineStr">
        <is>
          <t>not reported</t>
        </is>
      </c>
      <c r="E15" s="24"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Markleeville Water Company</t>
        </is>
      </c>
    </row>
    <row r="2">
      <c r="A2" s="2" t="inlineStr">
        <is>
          <t>Rate structure and representative bill - eAR Section 8a</t>
        </is>
      </c>
    </row>
    <row r="3">
      <c r="A3" s="2" t="inlineStr">
        <is>
          <t>Entity ID: cawc_0050   |   Fiscal year ends June 30.</t>
        </is>
      </c>
    </row>
    <row r="5" ht="81" customHeight="1">
      <c r="A5" s="25"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Markleeville Water Company</t>
        </is>
      </c>
    </row>
    <row r="2">
      <c r="A2" s="2" t="inlineStr">
        <is>
          <t>Operational metrics - plant per acre, density, terrain</t>
        </is>
      </c>
    </row>
    <row r="3">
      <c r="A3" s="2" t="inlineStr">
        <is>
          <t>Entity ID: cawc_0050   |   Fiscal year ends June 30.</t>
        </is>
      </c>
    </row>
    <row r="5">
      <c r="A5" s="6" t="inlineStr">
        <is>
          <t>Plant assets per acre</t>
        </is>
      </c>
      <c r="B5" s="7" t="n"/>
      <c r="C5" s="7" t="n"/>
    </row>
    <row r="6">
      <c r="A6" s="21" t="inlineStr">
        <is>
          <t>Service-area acres</t>
        </is>
      </c>
      <c r="B6" s="26" t="n">
        <v>27.5</v>
      </c>
      <c r="C6" s="22" t="inlineStr">
        <is>
          <t>Geodesic area (WGS84 spherical excess) of the SABL service-area polygon.</t>
        </is>
      </c>
    </row>
    <row r="7">
      <c r="A7" s="5" t="inlineStr">
        <is>
          <t>Fiscal year</t>
        </is>
      </c>
      <c r="B7" s="5" t="inlineStr">
        <is>
          <t>Gross plant per acre (primary)</t>
        </is>
      </c>
      <c r="C7" s="5" t="inlineStr">
        <is>
          <t>Net plant per acre</t>
        </is>
      </c>
    </row>
    <row r="8">
      <c r="A8" s="27" t="inlineStr">
        <is>
          <t>FY2021</t>
        </is>
      </c>
      <c r="B8" s="9" t="n">
        <v>17584.7636</v>
      </c>
      <c r="C8" s="9" t="n">
        <v>5943.4545</v>
      </c>
    </row>
    <row r="9">
      <c r="A9" s="27" t="inlineStr">
        <is>
          <t>FY2022</t>
        </is>
      </c>
      <c r="B9" s="9" t="n">
        <v>17584.7636</v>
      </c>
      <c r="C9" s="9" t="n">
        <v>5667.9636</v>
      </c>
    </row>
    <row r="10">
      <c r="A10" s="27" t="inlineStr">
        <is>
          <t>FY2023</t>
        </is>
      </c>
      <c r="B10" s="9" t="n">
        <v>17584.7636</v>
      </c>
      <c r="C10" s="9" t="n">
        <v>5392.4727</v>
      </c>
    </row>
    <row r="11">
      <c r="A11" s="27" t="inlineStr">
        <is>
          <t>FY2024</t>
        </is>
      </c>
      <c r="B11" s="9" t="n">
        <v>34704.6909</v>
      </c>
      <c r="C11" s="9" t="n">
        <v>22236.9091</v>
      </c>
    </row>
    <row r="12">
      <c r="A12" s="27" t="inlineStr">
        <is>
          <t>FY2025</t>
        </is>
      </c>
      <c r="B12" s="9" t="n">
        <v>143998.6182</v>
      </c>
      <c r="C12" s="9" t="n">
        <v>131255.3455</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1" t="inlineStr">
        <is>
          <t>Connections per acre</t>
        </is>
      </c>
      <c r="B19" s="20" t="n">
        <v>6.07</v>
      </c>
      <c r="C19" s="22" t="inlineStr">
        <is>
          <t>167 connections / 27.5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Markleeville Water Company</t>
        </is>
      </c>
    </row>
    <row r="2">
      <c r="A2" s="2" t="inlineStr">
        <is>
          <t>Supply and weather indicators (DWR water year)</t>
        </is>
      </c>
    </row>
    <row r="3">
      <c r="A3" s="2" t="inlineStr">
        <is>
          <t>Entity ID: cawc_0050   |   Fiscal year ends June 30.</t>
        </is>
      </c>
    </row>
    <row r="5" ht="96" customHeight="1">
      <c r="A5" s="3" t="inlineStr">
        <is>
          <t>Reporting calendar: Different reporting periods. The DWR water year runs October 1 to September 30; this system's fiscal year ends June 30,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8" t="inlineStr">
        <is>
          <t>Critical</t>
        </is>
      </c>
      <c r="C8" s="28" t="inlineStr">
        <is>
          <t>Critical</t>
        </is>
      </c>
      <c r="D8" s="28" t="inlineStr">
        <is>
          <t>Wet</t>
        </is>
      </c>
      <c r="E8" s="28" t="inlineStr">
        <is>
          <t>Above Normal</t>
        </is>
      </c>
      <c r="F8" s="29" t="inlineStr">
        <is>
          <t>not reported</t>
        </is>
      </c>
    </row>
    <row r="9">
      <c r="A9" s="8" t="inlineStr">
        <is>
          <t>Peak drought, Alpine County</t>
        </is>
      </c>
      <c r="B9" s="28" t="inlineStr">
        <is>
          <t>D3</t>
        </is>
      </c>
      <c r="C9" s="28" t="inlineStr">
        <is>
          <t>D3</t>
        </is>
      </c>
      <c r="D9" s="28" t="inlineStr">
        <is>
          <t>D3</t>
        </is>
      </c>
      <c r="E9" s="28" t="inlineStr">
        <is>
          <t>D0</t>
        </is>
      </c>
      <c r="F9" s="28" t="inlineStr">
        <is>
          <t>D0</t>
        </is>
      </c>
    </row>
    <row r="10">
      <c r="A10" s="8" t="inlineStr">
        <is>
          <t>Precip, percent of normal (8-Station Index)</t>
        </is>
      </c>
      <c r="B10" s="28" t="inlineStr">
        <is>
          <t>48</t>
        </is>
      </c>
      <c r="C10" s="28" t="inlineStr">
        <is>
          <t>86</t>
        </is>
      </c>
      <c r="D10" s="28" t="inlineStr">
        <is>
          <t>133</t>
        </is>
      </c>
      <c r="E10" s="28" t="inlineStr">
        <is>
          <t>96</t>
        </is>
      </c>
      <c r="F10" s="28" t="inlineStr">
        <is>
          <t>113</t>
        </is>
      </c>
    </row>
    <row r="11">
      <c r="A11" s="8" t="inlineStr">
        <is>
          <t>Snowpack, April 1 percent of average</t>
        </is>
      </c>
      <c r="B11" s="28" t="inlineStr">
        <is>
          <t>59%</t>
        </is>
      </c>
      <c r="C11" s="28" t="inlineStr">
        <is>
          <t>38%</t>
        </is>
      </c>
      <c r="D11" s="28" t="inlineStr">
        <is>
          <t>237%</t>
        </is>
      </c>
      <c r="E11" s="28" t="inlineStr">
        <is>
          <t>110%</t>
        </is>
      </c>
      <c r="F11" s="28" t="inlineStr">
        <is>
          <t>96%</t>
        </is>
      </c>
    </row>
    <row r="12">
      <c r="A12" s="8" t="inlineStr">
        <is>
          <t>State Water Project allocation</t>
        </is>
      </c>
      <c r="B12" s="28" t="inlineStr">
        <is>
          <t>5%</t>
        </is>
      </c>
      <c r="C12" s="28" t="inlineStr">
        <is>
          <t>5%</t>
        </is>
      </c>
      <c r="D12" s="28" t="inlineStr">
        <is>
          <t>100%</t>
        </is>
      </c>
      <c r="E12" s="28" t="inlineStr">
        <is>
          <t>40%</t>
        </is>
      </c>
      <c r="F12" s="28"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Markleeville Water Company</t>
        </is>
      </c>
    </row>
    <row r="2">
      <c r="A2" s="2" t="inlineStr">
        <is>
          <t>How this was built - forensic lineage</t>
        </is>
      </c>
    </row>
    <row r="3">
      <c r="A3" s="2" t="inlineStr">
        <is>
          <t>Entity ID: cawc_0050   |   Fiscal year ends June 30.</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1" t="inlineStr">
        <is>
          <t>Sources checked</t>
        </is>
      </c>
      <c r="B8" s="22" t="inlineStr">
        <is>
          <t>State Water Board eAR Section 8b (water-rate revenue B1.1/B1.2); State Water Board eAR Section 4 (connection count, same reporting year); audited financial statement (secondary cross-check, where published)</t>
        </is>
      </c>
    </row>
    <row r="9" ht="72" customHeight="1">
      <c r="A9" s="21" t="inlineStr">
        <is>
          <t>What was found</t>
        </is>
      </c>
      <c r="B9" s="22"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1" t="inlineStr">
        <is>
          <t>Sources checked</t>
        </is>
      </c>
      <c r="B12" s="22" t="inlineStr">
        <is>
          <t>Form 990 Part VIII line 2 (program-service revenue); State Water Board eAR Section 8b (water-rate revenue B1.1/B1.2); eAR Section 8b filer comment (WRRevenueComments)</t>
        </is>
      </c>
    </row>
    <row r="13" ht="72" customHeight="1">
      <c r="A13" s="21" t="inlineStr">
        <is>
          <t>What was found</t>
        </is>
      </c>
      <c r="B13" s="22" t="inlineStr">
        <is>
          <t>A period-aligned residual cannot be computed for this filer, so the metric is rendered IMPOSSIBLE rather than guessed.</t>
        </is>
      </c>
    </row>
    <row r="14" ht="72" customHeight="1">
      <c r="A14" s="21" t="inlineStr">
        <is>
          <t>Caveat</t>
        </is>
      </c>
      <c r="B14" s="22"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1" t="inlineStr">
        <is>
          <t>Sources checked</t>
        </is>
      </c>
      <c r="B17" s="22" t="inlineStr">
        <is>
          <t>State Water Board eAR Section 8a (rate prices); State Water Board eAR Section 8b (revenue lines); audited financial statement</t>
        </is>
      </c>
    </row>
    <row r="18" ht="72" customHeight="1">
      <c r="A18" s="21" t="inlineStr">
        <is>
          <t>What was found</t>
        </is>
      </c>
      <c r="B18" s="22" t="inlineStr">
        <is>
          <t>The rate price exists in Section 8a but no revenue or tier volume is reported, and the base charge is already inside water sales.</t>
        </is>
      </c>
    </row>
    <row r="19" ht="72" customHeight="1">
      <c r="A19" s="21" t="inlineStr">
        <is>
          <t>Caveat</t>
        </is>
      </c>
      <c r="B19" s="22"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1" t="inlineStr">
        <is>
          <t>Sources checked</t>
        </is>
      </c>
      <c r="B22" s="22" t="inlineStr">
        <is>
          <t>State Water Board eAR Section 8a (rate prices); State Water Board eAR Section 8b (revenue lines); audited financial statement</t>
        </is>
      </c>
    </row>
    <row r="23" ht="72" customHeight="1">
      <c r="A23" s="21" t="inlineStr">
        <is>
          <t>What was found</t>
        </is>
      </c>
      <c r="B23" s="22" t="inlineStr">
        <is>
          <t>The rate price exists in Section 8a but no revenue or tier volume is reported, and the base charge is already inside water sales.</t>
        </is>
      </c>
    </row>
    <row r="24" ht="72" customHeight="1">
      <c r="A24" s="21" t="inlineStr">
        <is>
          <t>Caveat</t>
        </is>
      </c>
      <c r="B24" s="22"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1" t="inlineStr">
        <is>
          <t>Sources checked</t>
        </is>
      </c>
      <c r="B27" s="22" t="inlineStr">
        <is>
          <t>eAR Section 8b B0.1 (WRFinancialReportingPeriod); eAR Section 8b B0.2 (WRFiscalYearStartDate)</t>
        </is>
      </c>
    </row>
    <row r="28" ht="72" customHeight="1">
      <c r="A28" s="21" t="inlineStr">
        <is>
          <t>What was found</t>
        </is>
      </c>
      <c r="B28" s="22"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1" t="inlineStr">
        <is>
          <t>Sources checked</t>
        </is>
      </c>
      <c r="B31" s="22" t="inlineStr">
        <is>
          <t>Form 990 (no member count stated); company website</t>
        </is>
      </c>
    </row>
    <row r="32" ht="72" customHeight="1">
      <c r="A32" s="21" t="inlineStr">
        <is>
          <t>What was found</t>
        </is>
      </c>
      <c r="B32" s="22"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1" t="inlineStr">
        <is>
          <t>Sources checked</t>
        </is>
      </c>
      <c r="B35" s="22" t="inlineStr">
        <is>
          <t>Form 990 (not in the filing); Consumer Confidence Report; eAR Section 6 (PRA-gated)</t>
        </is>
      </c>
    </row>
    <row r="36" ht="72" customHeight="1">
      <c r="A36" s="21" t="inlineStr">
        <is>
          <t>What was found</t>
        </is>
      </c>
      <c r="B36" s="22"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4"/>
  <sheetViews>
    <sheetView workbookViewId="0">
      <pane ySplit="4" topLeftCell="A5" activePane="bottomLeft" state="frozen"/>
      <selection pane="bottomLeft" activeCell="A1" sqref="A1"/>
    </sheetView>
  </sheetViews>
  <sheetFormatPr baseColWidth="8" defaultRowHeight="15"/>
  <cols>
    <col width="32" customWidth="1" min="1" max="1"/>
    <col width="96" customWidth="1" min="2" max="2"/>
  </cols>
  <sheetData>
    <row r="1">
      <c r="A1" s="1" t="inlineStr">
        <is>
          <t>Markleeville Water Company</t>
        </is>
      </c>
    </row>
    <row r="2">
      <c r="A2" s="2" t="inlineStr">
        <is>
          <t>Anomaly Flags (automated; kept separate from the clean statements)</t>
        </is>
      </c>
    </row>
    <row r="3">
      <c r="A3" s="2" t="inlineStr">
        <is>
          <t>Entity ID: cawc_0050   |   Fiscal year ends June 30.</t>
        </is>
      </c>
    </row>
    <row r="5" ht="42" customHeight="1">
      <c r="A5" s="3" t="inlineStr">
        <is>
          <t>Material irregularities found automatically in the filed financials by the Hydronomics anomaly flagger. Each flag has two clearly separated layers. WHAT is mechanical, certain, and sourced: the exact filed lines, years, and amounts, carried as filed and never reconciled. WHY is attempted: the filing's own narrative is checked first, and when it states no reason a single best-guess hypothesis is shown, clearly labelled as a guess that is not in the filing and is not a verified figure.</t>
        </is>
      </c>
    </row>
    <row r="7">
      <c r="A7" s="6" t="inlineStr">
        <is>
          <t>Flag: FY2025 total revenue swing</t>
        </is>
      </c>
      <c r="B7" s="7" t="n"/>
    </row>
    <row r="8">
      <c r="A8" s="21" t="inlineStr">
        <is>
          <t>Affected figure</t>
        </is>
      </c>
      <c r="B8" s="22" t="inlineStr">
        <is>
          <t>Operating revenue FY2025</t>
        </is>
      </c>
    </row>
    <row r="9">
      <c r="A9" s="21" t="inlineStr">
        <is>
          <t>Confidence</t>
        </is>
      </c>
      <c r="B9" s="22" t="inlineStr">
        <is>
          <t>high</t>
        </is>
      </c>
    </row>
    <row r="10" ht="72" customHeight="1">
      <c r="A10" s="21" t="inlineStr">
        <is>
          <t>What happened (filed, sourced)</t>
        </is>
      </c>
      <c r="B10" s="22" t="inlineStr">
        <is>
          <t>FY2025 total revenue rose to $3,152,090 from $659,047 in FY2024, a 378 percent move ($2,493,043 in absolute terms). Carried as filed and flagged as a documented anomaly, not smoothed.</t>
        </is>
      </c>
    </row>
    <row r="11" ht="22" customHeight="1">
      <c r="A11" s="21" t="inlineStr">
        <is>
          <t>Source lines</t>
        </is>
      </c>
      <c r="B11" s="22" t="inlineStr">
        <is>
          <t>- total revenue: $659,047 FY2024, $3,152,090 FY2025</t>
        </is>
      </c>
    </row>
    <row r="12" ht="72" customHeight="1">
      <c r="A12" s="21" t="inlineStr">
        <is>
          <t>Confidence reasoning</t>
        </is>
      </c>
      <c r="B12" s="22" t="inlineStr">
        <is>
          <t>A year-over-year move in a filed headline total that exceeds both the percentage and the dollar threshold; carried as filed.</t>
        </is>
      </c>
    </row>
    <row r="13">
      <c r="A13" s="21" t="inlineStr">
        <is>
          <t>Why (not stated in the filing)</t>
        </is>
      </c>
      <c r="B13" s="22" t="inlineStr">
        <is>
          <t>The filing does not state a reason.</t>
        </is>
      </c>
    </row>
    <row r="14" ht="60" customHeight="1">
      <c r="A14" s="21" t="inlineStr">
        <is>
          <t>Possible explanation (guess)</t>
        </is>
      </c>
      <c r="B14" s="30" t="inlineStr">
        <is>
          <t>Possible explanation, not stated in filing: a large one-year move in total revenue may reflect a one-time item or a change in how it was recorded. This is an educated guess, not something the filing actually says.</t>
        </is>
      </c>
    </row>
  </sheetData>
  <mergeCells count="4">
    <mergeCell ref="A3:B3"/>
    <mergeCell ref="A2:B2"/>
    <mergeCell ref="A1:B1"/>
    <mergeCell ref="A5:B5"/>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226"/>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Markleeville Water Company</t>
        </is>
      </c>
    </row>
    <row r="2">
      <c r="A2" s="2" t="inlineStr">
        <is>
          <t>Sources &amp; audit - full provenance and tie-outs (kept off the statements so they read clean)</t>
        </is>
      </c>
    </row>
    <row r="3">
      <c r="A3" s="2" t="inlineStr">
        <is>
          <t>Entity ID: cawc_0050   |   Fiscal year ends June 30.</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31"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8" t="inlineStr">
        <is>
          <t>FY2020</t>
        </is>
      </c>
      <c r="B10" s="8" t="inlineStr">
        <is>
          <t>2020-06-30</t>
        </is>
      </c>
      <c r="C10" s="8" t="inlineStr">
        <is>
          <t>990</t>
        </is>
      </c>
      <c r="D10" s="8" t="inlineStr">
        <is>
          <t>high</t>
        </is>
      </c>
      <c r="E10" s="8" t="inlineStr">
        <is>
          <t>5d7c3dfe-e723-4c9d-8cea-0f8f21134787</t>
        </is>
      </c>
      <c r="F10" s="8" t="inlineStr">
        <is>
          <t>202110509349301606</t>
        </is>
      </c>
      <c r="G10" s="8" t="inlineStr">
        <is>
          <t>claude-opus-5</t>
        </is>
      </c>
      <c r="H10" s="8" t="inlineStr">
        <is>
          <t>2026-09-14T20:40:27+00:00</t>
        </is>
      </c>
      <c r="I10" s="8" t="inlineStr">
        <is>
          <t>https://apps.irs.gov/pub/epostcard/990/xml/2021/2021_TEOS_XML_01A.zip#202110509349301606_public.xml</t>
        </is>
      </c>
    </row>
    <row r="11">
      <c r="A11" s="28" t="inlineStr">
        <is>
          <t>FY2021</t>
        </is>
      </c>
      <c r="B11" s="8" t="inlineStr">
        <is>
          <t>2021-06-30</t>
        </is>
      </c>
      <c r="C11" s="8" t="inlineStr">
        <is>
          <t>990</t>
        </is>
      </c>
      <c r="D11" s="8" t="inlineStr">
        <is>
          <t>high</t>
        </is>
      </c>
      <c r="E11" s="8" t="inlineStr">
        <is>
          <t>5feed0d8-6de4-4be5-ab7a-1c4ae553c2c4</t>
        </is>
      </c>
      <c r="F11" s="8" t="inlineStr">
        <is>
          <t>202123199349308122</t>
        </is>
      </c>
      <c r="G11" s="8" t="inlineStr">
        <is>
          <t>claude-opus-5</t>
        </is>
      </c>
      <c r="H11" s="8" t="inlineStr">
        <is>
          <t>2026-09-14T20:40:27+00:00</t>
        </is>
      </c>
      <c r="I11" s="8" t="inlineStr">
        <is>
          <t>https://apps.irs.gov/pub/epostcard/990/xml/2021/2021_TEOS_XML_01A.zip#202123199349308122_public.xml</t>
        </is>
      </c>
    </row>
    <row r="12">
      <c r="A12" s="28" t="inlineStr">
        <is>
          <t>FY2022</t>
        </is>
      </c>
      <c r="B12" s="8" t="inlineStr">
        <is>
          <t>2022-06-30</t>
        </is>
      </c>
      <c r="C12" s="8" t="inlineStr">
        <is>
          <t>990</t>
        </is>
      </c>
      <c r="D12" s="8" t="inlineStr">
        <is>
          <t>high</t>
        </is>
      </c>
      <c r="E12" s="8" t="inlineStr">
        <is>
          <t>bebf469d-51d5-46d9-aa71-216659373237</t>
        </is>
      </c>
      <c r="F12" s="8" t="inlineStr">
        <is>
          <t>202202699349301405</t>
        </is>
      </c>
      <c r="G12" s="8" t="inlineStr">
        <is>
          <t>claude-opus-5</t>
        </is>
      </c>
      <c r="H12" s="8" t="inlineStr">
        <is>
          <t>2026-09-14T20:40:27+00:00</t>
        </is>
      </c>
      <c r="I12" s="8" t="inlineStr">
        <is>
          <t>https://apps.irs.gov/pub/epostcard/990/xml/2022/2022_TEOS_XML_01A.zip#202202699349301405_public.xml</t>
        </is>
      </c>
    </row>
    <row r="13">
      <c r="A13" s="28" t="inlineStr">
        <is>
          <t>FY2023</t>
        </is>
      </c>
      <c r="B13" s="8" t="inlineStr">
        <is>
          <t>2023-06-30</t>
        </is>
      </c>
      <c r="C13" s="8" t="inlineStr">
        <is>
          <t>990</t>
        </is>
      </c>
      <c r="D13" s="8" t="inlineStr">
        <is>
          <t>high</t>
        </is>
      </c>
      <c r="E13" s="8" t="inlineStr">
        <is>
          <t>060aac89-9584-4be4-b9b4-3dca3cbd0958</t>
        </is>
      </c>
      <c r="F13" s="8" t="inlineStr">
        <is>
          <t>202342829349301264</t>
        </is>
      </c>
      <c r="G13" s="8" t="inlineStr">
        <is>
          <t>claude-opus-5</t>
        </is>
      </c>
      <c r="H13" s="8" t="inlineStr">
        <is>
          <t>2026-09-14T20:40:27+00:00</t>
        </is>
      </c>
      <c r="I13" s="8" t="inlineStr">
        <is>
          <t>https://apps.irs.gov/pub/epostcard/990/xml/2023/2023_TEOS_XML_10A.zip#202342829349301264_public.xml</t>
        </is>
      </c>
    </row>
    <row r="14">
      <c r="A14" s="28" t="inlineStr">
        <is>
          <t>FY2024</t>
        </is>
      </c>
      <c r="B14" s="8" t="inlineStr">
        <is>
          <t>2024-06-30</t>
        </is>
      </c>
      <c r="C14" s="8" t="inlineStr">
        <is>
          <t>990</t>
        </is>
      </c>
      <c r="D14" s="8" t="inlineStr">
        <is>
          <t>high</t>
        </is>
      </c>
      <c r="E14" s="8" t="inlineStr">
        <is>
          <t>cc16819b-ea4a-4cec-ae3c-35095d0612e8</t>
        </is>
      </c>
      <c r="F14" s="8" t="inlineStr">
        <is>
          <t>202403239349301300</t>
        </is>
      </c>
      <c r="G14" s="8" t="inlineStr">
        <is>
          <t>claude-opus-5</t>
        </is>
      </c>
      <c r="H14" s="8" t="inlineStr">
        <is>
          <t>2026-09-14T20:40:27+00:00</t>
        </is>
      </c>
      <c r="I14" s="8" t="inlineStr">
        <is>
          <t>https://apps.irs.gov/pub/epostcard/990/xml/2024/2024_TEOS_XML_11A.zip#202403239349301300_public.xml</t>
        </is>
      </c>
    </row>
    <row r="15">
      <c r="A15" s="28" t="inlineStr">
        <is>
          <t>FY2025</t>
        </is>
      </c>
      <c r="B15" s="8" t="inlineStr">
        <is>
          <t>2025-06-30</t>
        </is>
      </c>
      <c r="C15" s="8" t="inlineStr">
        <is>
          <t>990</t>
        </is>
      </c>
      <c r="D15" s="8" t="inlineStr">
        <is>
          <t>high</t>
        </is>
      </c>
      <c r="E15" s="8" t="inlineStr">
        <is>
          <t>00562668-0800-45fe-9c57-a5731b1afc7e</t>
        </is>
      </c>
      <c r="F15" s="8" t="inlineStr">
        <is>
          <t>202503179349306750</t>
        </is>
      </c>
      <c r="G15" s="8" t="inlineStr">
        <is>
          <t>claude-opus-5</t>
        </is>
      </c>
      <c r="H15" s="8" t="inlineStr">
        <is>
          <t>2026-09-14T20:40:27+00:00</t>
        </is>
      </c>
      <c r="I15" s="8" t="inlineStr">
        <is>
          <t>https://apps.irs.gov/pub/epostcard/990/xml/2025/2025_TEOS_XML_11A.zip#202503179349306750_public.xml</t>
        </is>
      </c>
    </row>
    <row r="17">
      <c r="A17" s="31"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Financial Statements</t>
        </is>
      </c>
      <c r="B19" s="8" t="inlineStr">
        <is>
          <t>B73</t>
        </is>
      </c>
      <c r="C19" s="8" t="inlineStr">
        <is>
          <t>11a. Gross income from members or shareholders</t>
        </is>
      </c>
      <c r="D19" s="8" t="inlineStr">
        <is>
          <t>11a</t>
        </is>
      </c>
      <c r="E19" s="8" t="inlineStr">
        <is>
          <t>part_v_other_irs_filings.members_and_shareholders_gross_income</t>
        </is>
      </c>
      <c r="F19" s="8" t="inlineStr">
        <is>
          <t>high</t>
        </is>
      </c>
      <c r="G19" s="9" t="n">
        <v>175707</v>
      </c>
    </row>
    <row r="20">
      <c r="A20" s="8" t="inlineStr">
        <is>
          <t>Financial Statements</t>
        </is>
      </c>
      <c r="B20" s="8" t="inlineStr">
        <is>
          <t>C73</t>
        </is>
      </c>
      <c r="C20" s="8" t="inlineStr">
        <is>
          <t>11a. Gross income from members or shareholders</t>
        </is>
      </c>
      <c r="D20" s="8" t="inlineStr">
        <is>
          <t>11a</t>
        </is>
      </c>
      <c r="E20" s="8" t="inlineStr">
        <is>
          <t>part_v_other_irs_filings.members_and_shareholders_gross_income</t>
        </is>
      </c>
      <c r="F20" s="8" t="inlineStr">
        <is>
          <t>high</t>
        </is>
      </c>
      <c r="G20" s="9" t="n">
        <v>263321</v>
      </c>
    </row>
    <row r="21">
      <c r="A21" s="8" t="inlineStr">
        <is>
          <t>Financial Statements</t>
        </is>
      </c>
      <c r="B21" s="8" t="inlineStr">
        <is>
          <t>D73</t>
        </is>
      </c>
      <c r="C21" s="8" t="inlineStr">
        <is>
          <t>11a. Gross income from members or shareholders</t>
        </is>
      </c>
      <c r="D21" s="8" t="inlineStr">
        <is>
          <t>11a</t>
        </is>
      </c>
      <c r="E21" s="8" t="inlineStr">
        <is>
          <t>part_v_other_irs_filings.members_and_shareholders_gross_income</t>
        </is>
      </c>
      <c r="F21" s="8" t="inlineStr">
        <is>
          <t>high</t>
        </is>
      </c>
      <c r="G21" s="9" t="n">
        <v>141899</v>
      </c>
    </row>
    <row r="22">
      <c r="A22" s="8" t="inlineStr">
        <is>
          <t>Financial Statements</t>
        </is>
      </c>
      <c r="B22" s="8" t="inlineStr">
        <is>
          <t>E73</t>
        </is>
      </c>
      <c r="C22" s="8" t="inlineStr">
        <is>
          <t>11a. Gross income from members or shareholders</t>
        </is>
      </c>
      <c r="D22" s="8" t="inlineStr">
        <is>
          <t>11a</t>
        </is>
      </c>
      <c r="E22" s="8" t="inlineStr">
        <is>
          <t>part_v_other_irs_filings.members_and_shareholders_gross_income</t>
        </is>
      </c>
      <c r="F22" s="8" t="inlineStr">
        <is>
          <t>high</t>
        </is>
      </c>
      <c r="G22" s="9" t="n">
        <v>181146</v>
      </c>
    </row>
    <row r="23">
      <c r="A23" s="8" t="inlineStr">
        <is>
          <t>Financial Statements</t>
        </is>
      </c>
      <c r="B23" s="8" t="inlineStr">
        <is>
          <t>F73</t>
        </is>
      </c>
      <c r="C23" s="8" t="inlineStr">
        <is>
          <t>11a. Gross income from members or shareholders</t>
        </is>
      </c>
      <c r="D23" s="8" t="inlineStr">
        <is>
          <t>11a</t>
        </is>
      </c>
      <c r="E23" s="8" t="inlineStr">
        <is>
          <t>part_v_other_irs_filings.members_and_shareholders_gross_income</t>
        </is>
      </c>
      <c r="F23" s="8" t="inlineStr">
        <is>
          <t>high</t>
        </is>
      </c>
      <c r="G23" s="9" t="n">
        <v>191253</v>
      </c>
    </row>
    <row r="24">
      <c r="A24" s="8" t="inlineStr">
        <is>
          <t>Financial Statements</t>
        </is>
      </c>
      <c r="B24" s="8" t="inlineStr">
        <is>
          <t>G73</t>
        </is>
      </c>
      <c r="C24" s="8" t="inlineStr">
        <is>
          <t>11a. Gross income from members or shareholders</t>
        </is>
      </c>
      <c r="D24" s="8" t="inlineStr">
        <is>
          <t>11a</t>
        </is>
      </c>
      <c r="E24" s="8" t="inlineStr">
        <is>
          <t>part_v_other_irs_filings.members_and_shareholders_gross_income</t>
        </is>
      </c>
      <c r="F24" s="8" t="inlineStr">
        <is>
          <t>high</t>
        </is>
      </c>
      <c r="G24" s="9" t="n">
        <v>180603</v>
      </c>
    </row>
    <row r="25">
      <c r="A25" s="8" t="inlineStr">
        <is>
          <t>Financial Statements</t>
        </is>
      </c>
      <c r="B25" s="8" t="inlineStr">
        <is>
          <t>B74</t>
        </is>
      </c>
      <c r="C25" s="8" t="inlineStr">
        <is>
          <t>11b. Gross income from other sources</t>
        </is>
      </c>
      <c r="D25" s="8" t="inlineStr">
        <is>
          <t>11b</t>
        </is>
      </c>
      <c r="E25" s="8" t="inlineStr">
        <is>
          <t>part_v_other_irs_filings.other_sources_gross_income</t>
        </is>
      </c>
      <c r="F25" s="8" t="inlineStr">
        <is>
          <t>high</t>
        </is>
      </c>
      <c r="G25" s="9" t="n">
        <v>48314</v>
      </c>
    </row>
    <row r="26">
      <c r="A26" s="8" t="inlineStr">
        <is>
          <t>Financial Statements</t>
        </is>
      </c>
      <c r="B26" s="8" t="inlineStr">
        <is>
          <t>C74</t>
        </is>
      </c>
      <c r="C26" s="8" t="inlineStr">
        <is>
          <t>11b. Gross income from other sources</t>
        </is>
      </c>
      <c r="D26" s="8" t="inlineStr">
        <is>
          <t>11b</t>
        </is>
      </c>
      <c r="E26" s="8" t="inlineStr">
        <is>
          <t>part_v_other_irs_filings.other_sources_gross_income</t>
        </is>
      </c>
      <c r="F26" s="8" t="inlineStr">
        <is>
          <t>high</t>
        </is>
      </c>
      <c r="G26" s="9" t="n">
        <v>314285</v>
      </c>
    </row>
    <row r="27">
      <c r="A27" s="8" t="inlineStr">
        <is>
          <t>Financial Statements</t>
        </is>
      </c>
      <c r="B27" s="8" t="inlineStr">
        <is>
          <t>D74</t>
        </is>
      </c>
      <c r="C27" s="8" t="inlineStr">
        <is>
          <t>11b. Gross income from other sources</t>
        </is>
      </c>
      <c r="D27" s="8" t="inlineStr">
        <is>
          <t>11b</t>
        </is>
      </c>
      <c r="E27" s="8" t="inlineStr">
        <is>
          <t>part_v_other_irs_filings.other_sources_gross_income</t>
        </is>
      </c>
      <c r="F27" s="8" t="inlineStr">
        <is>
          <t>high</t>
        </is>
      </c>
      <c r="G27" s="9" t="n">
        <v>75974</v>
      </c>
    </row>
    <row r="28">
      <c r="A28" s="8" t="inlineStr">
        <is>
          <t>Financial Statements</t>
        </is>
      </c>
      <c r="B28" s="8" t="inlineStr">
        <is>
          <t>E74</t>
        </is>
      </c>
      <c r="C28" s="8" t="inlineStr">
        <is>
          <t>11b. Gross income from other sources</t>
        </is>
      </c>
      <c r="D28" s="8" t="inlineStr">
        <is>
          <t>11b</t>
        </is>
      </c>
      <c r="E28" s="8" t="inlineStr">
        <is>
          <t>part_v_other_irs_filings.other_sources_gross_income</t>
        </is>
      </c>
      <c r="F28" s="8" t="inlineStr">
        <is>
          <t>high</t>
        </is>
      </c>
      <c r="G28" s="9" t="n">
        <v>18</v>
      </c>
    </row>
    <row r="29">
      <c r="A29" s="8" t="inlineStr">
        <is>
          <t>Financial Statements</t>
        </is>
      </c>
      <c r="B29" s="8" t="inlineStr">
        <is>
          <t>F74</t>
        </is>
      </c>
      <c r="C29" s="8" t="inlineStr">
        <is>
          <t>11b. Gross income from other sources</t>
        </is>
      </c>
      <c r="D29" s="8" t="inlineStr">
        <is>
          <t>11b</t>
        </is>
      </c>
      <c r="E29" s="8" t="inlineStr">
        <is>
          <t>part_v_other_irs_filings.other_sources_gross_income</t>
        </is>
      </c>
      <c r="F29" s="8" t="inlineStr">
        <is>
          <t>high</t>
        </is>
      </c>
      <c r="G29" s="9" t="n">
        <v>467794</v>
      </c>
    </row>
    <row r="30">
      <c r="A30" s="8" t="inlineStr">
        <is>
          <t>Financial Statements</t>
        </is>
      </c>
      <c r="B30" s="8" t="inlineStr">
        <is>
          <t>G74</t>
        </is>
      </c>
      <c r="C30" s="8" t="inlineStr">
        <is>
          <t>11b. Gross income from other sources</t>
        </is>
      </c>
      <c r="D30" s="8" t="inlineStr">
        <is>
          <t>11b</t>
        </is>
      </c>
      <c r="E30" s="8" t="inlineStr">
        <is>
          <t>part_v_other_irs_filings.other_sources_gross_income</t>
        </is>
      </c>
      <c r="F30" s="8" t="inlineStr">
        <is>
          <t>high</t>
        </is>
      </c>
      <c r="G30" s="9" t="n">
        <v>2971441</v>
      </c>
    </row>
    <row r="31">
      <c r="A31" s="8" t="inlineStr">
        <is>
          <t>Revenue (detail)</t>
        </is>
      </c>
      <c r="B31" s="8" t="inlineStr">
        <is>
          <t>B7</t>
        </is>
      </c>
      <c r="C31" s="8" t="inlineStr">
        <is>
          <t>1h. Total contributions, gifts, grants</t>
        </is>
      </c>
      <c r="D31" s="8" t="inlineStr">
        <is>
          <t>1h</t>
        </is>
      </c>
      <c r="E31" s="8" t="inlineStr">
        <is>
          <t>part_viii_revenue.total_contributions</t>
        </is>
      </c>
      <c r="F31" s="8" t="inlineStr">
        <is>
          <t>high</t>
        </is>
      </c>
      <c r="G31" s="9" t="n">
        <v>48279</v>
      </c>
    </row>
    <row r="32">
      <c r="A32" s="8" t="inlineStr">
        <is>
          <t>Revenue (detail)</t>
        </is>
      </c>
      <c r="B32" s="8" t="inlineStr">
        <is>
          <t>C7</t>
        </is>
      </c>
      <c r="C32" s="8" t="inlineStr">
        <is>
          <t>1h. Total contributions, gifts, grants</t>
        </is>
      </c>
      <c r="D32" s="8" t="inlineStr">
        <is>
          <t>1h</t>
        </is>
      </c>
      <c r="E32" s="8" t="inlineStr">
        <is>
          <t>part_viii_revenue.total_contributions</t>
        </is>
      </c>
      <c r="F32" s="8" t="inlineStr">
        <is>
          <t>high</t>
        </is>
      </c>
      <c r="G32" s="9" t="n">
        <v>314285</v>
      </c>
    </row>
    <row r="33">
      <c r="A33" s="8" t="inlineStr">
        <is>
          <t>Revenue (detail)</t>
        </is>
      </c>
      <c r="B33" s="8" t="inlineStr">
        <is>
          <t>D7</t>
        </is>
      </c>
      <c r="C33" s="8" t="inlineStr">
        <is>
          <t>1h. Total contributions, gifts, grants</t>
        </is>
      </c>
      <c r="D33" s="8" t="inlineStr">
        <is>
          <t>1h</t>
        </is>
      </c>
      <c r="E33" s="8" t="inlineStr">
        <is>
          <t>part_viii_revenue.total_contributions</t>
        </is>
      </c>
      <c r="F33" s="8" t="inlineStr">
        <is>
          <t>high</t>
        </is>
      </c>
      <c r="G33" s="9" t="n">
        <v>75963</v>
      </c>
    </row>
    <row r="34">
      <c r="A34" s="8" t="inlineStr">
        <is>
          <t>Revenue (detail)</t>
        </is>
      </c>
      <c r="B34" s="8" t="inlineStr">
        <is>
          <t>F7</t>
        </is>
      </c>
      <c r="C34" s="8" t="inlineStr">
        <is>
          <t>1h. Total contributions, gifts, grants</t>
        </is>
      </c>
      <c r="D34" s="8" t="inlineStr">
        <is>
          <t>1h</t>
        </is>
      </c>
      <c r="E34" s="8" t="inlineStr">
        <is>
          <t>part_viii_revenue.total_contributions</t>
        </is>
      </c>
      <c r="F34" s="8" t="inlineStr">
        <is>
          <t>high</t>
        </is>
      </c>
      <c r="G34" s="9" t="n">
        <v>467747</v>
      </c>
    </row>
    <row r="35">
      <c r="A35" s="8" t="inlineStr">
        <is>
          <t>Revenue (detail)</t>
        </is>
      </c>
      <c r="B35" s="8" t="inlineStr">
        <is>
          <t>G7</t>
        </is>
      </c>
      <c r="C35" s="8" t="inlineStr">
        <is>
          <t>1h. Total contributions, gifts, grants</t>
        </is>
      </c>
      <c r="D35" s="8" t="inlineStr">
        <is>
          <t>1h</t>
        </is>
      </c>
      <c r="E35" s="8" t="inlineStr">
        <is>
          <t>part_viii_revenue.total_contributions</t>
        </is>
      </c>
      <c r="F35" s="8" t="inlineStr">
        <is>
          <t>high</t>
        </is>
      </c>
      <c r="G35" s="9" t="n">
        <v>2971441</v>
      </c>
    </row>
    <row r="36">
      <c r="A36" s="8" t="inlineStr">
        <is>
          <t>Revenue (detail)</t>
        </is>
      </c>
      <c r="B36" s="8" t="inlineStr">
        <is>
          <t>B8</t>
        </is>
      </c>
      <c r="C36" s="8" t="inlineStr">
        <is>
          <t>2g. Total program service revenue</t>
        </is>
      </c>
      <c r="D36" s="8" t="inlineStr">
        <is>
          <t>2g</t>
        </is>
      </c>
      <c r="E36" s="8" t="inlineStr">
        <is>
          <t>part_viii_revenue.total_program_service_revenue</t>
        </is>
      </c>
      <c r="F36" s="8" t="inlineStr">
        <is>
          <t>high</t>
        </is>
      </c>
      <c r="G36" s="9" t="n">
        <v>175707</v>
      </c>
    </row>
    <row r="37">
      <c r="A37" s="8" t="inlineStr">
        <is>
          <t>Revenue (detail)</t>
        </is>
      </c>
      <c r="B37" s="8" t="inlineStr">
        <is>
          <t>C8</t>
        </is>
      </c>
      <c r="C37" s="8" t="inlineStr">
        <is>
          <t>2g. Total program service revenue</t>
        </is>
      </c>
      <c r="D37" s="8" t="inlineStr">
        <is>
          <t>2g</t>
        </is>
      </c>
      <c r="E37" s="8" t="inlineStr">
        <is>
          <t>part_viii_revenue.total_program_service_revenue</t>
        </is>
      </c>
      <c r="F37" s="8" t="inlineStr">
        <is>
          <t>high</t>
        </is>
      </c>
      <c r="G37" s="9" t="n">
        <v>263321</v>
      </c>
    </row>
    <row r="38">
      <c r="A38" s="8" t="inlineStr">
        <is>
          <t>Revenue (detail)</t>
        </is>
      </c>
      <c r="B38" s="8" t="inlineStr">
        <is>
          <t>D8</t>
        </is>
      </c>
      <c r="C38" s="8" t="inlineStr">
        <is>
          <t>2g. Total program service revenue</t>
        </is>
      </c>
      <c r="D38" s="8" t="inlineStr">
        <is>
          <t>2g</t>
        </is>
      </c>
      <c r="E38" s="8" t="inlineStr">
        <is>
          <t>part_viii_revenue.total_program_service_revenue</t>
        </is>
      </c>
      <c r="F38" s="8" t="inlineStr">
        <is>
          <t>high</t>
        </is>
      </c>
      <c r="G38" s="9" t="n">
        <v>141899</v>
      </c>
    </row>
    <row r="39">
      <c r="A39" s="8" t="inlineStr">
        <is>
          <t>Revenue (detail)</t>
        </is>
      </c>
      <c r="B39" s="8" t="inlineStr">
        <is>
          <t>E8</t>
        </is>
      </c>
      <c r="C39" s="8" t="inlineStr">
        <is>
          <t>2g. Total program service revenue</t>
        </is>
      </c>
      <c r="D39" s="8" t="inlineStr">
        <is>
          <t>2g</t>
        </is>
      </c>
      <c r="E39" s="8" t="inlineStr">
        <is>
          <t>part_viii_revenue.total_program_service_revenue</t>
        </is>
      </c>
      <c r="F39" s="8" t="inlineStr">
        <is>
          <t>high</t>
        </is>
      </c>
      <c r="G39" s="9" t="n">
        <v>181146</v>
      </c>
    </row>
    <row r="40">
      <c r="A40" s="8" t="inlineStr">
        <is>
          <t>Revenue (detail)</t>
        </is>
      </c>
      <c r="B40" s="8" t="inlineStr">
        <is>
          <t>F8</t>
        </is>
      </c>
      <c r="C40" s="8" t="inlineStr">
        <is>
          <t>2g. Total program service revenue</t>
        </is>
      </c>
      <c r="D40" s="8" t="inlineStr">
        <is>
          <t>2g</t>
        </is>
      </c>
      <c r="E40" s="8" t="inlineStr">
        <is>
          <t>part_viii_revenue.total_program_service_revenue</t>
        </is>
      </c>
      <c r="F40" s="8" t="inlineStr">
        <is>
          <t>high</t>
        </is>
      </c>
      <c r="G40" s="9" t="n">
        <v>191253</v>
      </c>
    </row>
    <row r="41">
      <c r="A41" s="8" t="inlineStr">
        <is>
          <t>Revenue (detail)</t>
        </is>
      </c>
      <c r="B41" s="8" t="inlineStr">
        <is>
          <t>G8</t>
        </is>
      </c>
      <c r="C41" s="8" t="inlineStr">
        <is>
          <t>2g. Total program service revenue</t>
        </is>
      </c>
      <c r="D41" s="8" t="inlineStr">
        <is>
          <t>2g</t>
        </is>
      </c>
      <c r="E41" s="8" t="inlineStr">
        <is>
          <t>part_viii_revenue.total_program_service_revenue</t>
        </is>
      </c>
      <c r="F41" s="8" t="inlineStr">
        <is>
          <t>high</t>
        </is>
      </c>
      <c r="G41" s="9" t="n">
        <v>180603</v>
      </c>
    </row>
    <row r="42">
      <c r="A42" s="8" t="inlineStr">
        <is>
          <t>Revenue (detail)</t>
        </is>
      </c>
      <c r="B42" s="8" t="inlineStr">
        <is>
          <t>B9</t>
        </is>
      </c>
      <c r="C42" s="8" t="inlineStr">
        <is>
          <t>3. Investment income</t>
        </is>
      </c>
      <c r="D42" s="8" t="inlineStr">
        <is>
          <t>3</t>
        </is>
      </c>
      <c r="E42" s="8" t="inlineStr">
        <is>
          <t>part_viii_revenue.investment_income</t>
        </is>
      </c>
      <c r="F42" s="8" t="inlineStr">
        <is>
          <t>high</t>
        </is>
      </c>
      <c r="G42" s="9" t="n">
        <v>35</v>
      </c>
    </row>
    <row r="43">
      <c r="A43" s="8" t="inlineStr">
        <is>
          <t>Revenue (detail)</t>
        </is>
      </c>
      <c r="B43" s="8" t="inlineStr">
        <is>
          <t>C9</t>
        </is>
      </c>
      <c r="C43" s="8" t="inlineStr">
        <is>
          <t>3. Investment income</t>
        </is>
      </c>
      <c r="D43" s="8" t="inlineStr">
        <is>
          <t>3</t>
        </is>
      </c>
      <c r="E43" s="8" t="inlineStr">
        <is>
          <t>part_viii_revenue.investment_income</t>
        </is>
      </c>
      <c r="F43" s="8" t="inlineStr">
        <is>
          <t>high</t>
        </is>
      </c>
      <c r="G43" s="9" t="n">
        <v>12</v>
      </c>
    </row>
    <row r="44">
      <c r="A44" s="8" t="inlineStr">
        <is>
          <t>Revenue (detail)</t>
        </is>
      </c>
      <c r="B44" s="8" t="inlineStr">
        <is>
          <t>D9</t>
        </is>
      </c>
      <c r="C44" s="8" t="inlineStr">
        <is>
          <t>3. Investment income</t>
        </is>
      </c>
      <c r="D44" s="8" t="inlineStr">
        <is>
          <t>3</t>
        </is>
      </c>
      <c r="E44" s="8" t="inlineStr">
        <is>
          <t>part_viii_revenue.investment_income</t>
        </is>
      </c>
      <c r="F44" s="8" t="inlineStr">
        <is>
          <t>high</t>
        </is>
      </c>
      <c r="G44" s="9" t="n">
        <v>12</v>
      </c>
    </row>
    <row r="45">
      <c r="A45" s="8" t="inlineStr">
        <is>
          <t>Revenue (detail)</t>
        </is>
      </c>
      <c r="B45" s="8" t="inlineStr">
        <is>
          <t>E9</t>
        </is>
      </c>
      <c r="C45" s="8" t="inlineStr">
        <is>
          <t>3. Investment income</t>
        </is>
      </c>
      <c r="D45" s="8" t="inlineStr">
        <is>
          <t>3</t>
        </is>
      </c>
      <c r="E45" s="8" t="inlineStr">
        <is>
          <t>part_viii_revenue.investment_income</t>
        </is>
      </c>
      <c r="F45" s="8" t="inlineStr">
        <is>
          <t>high</t>
        </is>
      </c>
      <c r="G45" s="9" t="n">
        <v>18</v>
      </c>
    </row>
    <row r="46">
      <c r="A46" s="8" t="inlineStr">
        <is>
          <t>Revenue (detail)</t>
        </is>
      </c>
      <c r="B46" s="8" t="inlineStr">
        <is>
          <t>F9</t>
        </is>
      </c>
      <c r="C46" s="8" t="inlineStr">
        <is>
          <t>3. Investment income</t>
        </is>
      </c>
      <c r="D46" s="8" t="inlineStr">
        <is>
          <t>3</t>
        </is>
      </c>
      <c r="E46" s="8" t="inlineStr">
        <is>
          <t>part_viii_revenue.investment_income</t>
        </is>
      </c>
      <c r="F46" s="8" t="inlineStr">
        <is>
          <t>high</t>
        </is>
      </c>
      <c r="G46" s="9" t="n">
        <v>47</v>
      </c>
    </row>
    <row r="47">
      <c r="A47" s="8" t="inlineStr">
        <is>
          <t>Revenue (detail)</t>
        </is>
      </c>
      <c r="B47" s="8" t="inlineStr">
        <is>
          <t>G9</t>
        </is>
      </c>
      <c r="C47" s="8" t="inlineStr">
        <is>
          <t>3. Investment income</t>
        </is>
      </c>
      <c r="D47" s="8" t="inlineStr">
        <is>
          <t>3</t>
        </is>
      </c>
      <c r="E47" s="8" t="inlineStr">
        <is>
          <t>part_viii_revenue.investment_income</t>
        </is>
      </c>
      <c r="F47" s="8" t="inlineStr">
        <is>
          <t>high</t>
        </is>
      </c>
      <c r="G47" s="9" t="n">
        <v>46</v>
      </c>
    </row>
    <row r="48">
      <c r="A48" s="8" t="inlineStr">
        <is>
          <t>Operating expenses (detail)</t>
        </is>
      </c>
      <c r="B48" s="8" t="inlineStr">
        <is>
          <t>B7</t>
        </is>
      </c>
      <c r="C48" s="8" t="inlineStr">
        <is>
          <t>5. Compensation of current officers, directors, trustees</t>
        </is>
      </c>
      <c r="D48" s="8" t="inlineStr">
        <is>
          <t>5</t>
        </is>
      </c>
      <c r="E48" s="8" t="inlineStr">
        <is>
          <t>part_ix_expenses.comp_current_officers</t>
        </is>
      </c>
      <c r="F48" s="8" t="inlineStr">
        <is>
          <t>high</t>
        </is>
      </c>
      <c r="G48" s="9" t="n">
        <v>13500</v>
      </c>
    </row>
    <row r="49">
      <c r="A49" s="8" t="inlineStr">
        <is>
          <t>Operating expenses (detail)</t>
        </is>
      </c>
      <c r="B49" s="8" t="inlineStr">
        <is>
          <t>C7</t>
        </is>
      </c>
      <c r="C49" s="8" t="inlineStr">
        <is>
          <t>5. Compensation of current officers, directors, trustees</t>
        </is>
      </c>
      <c r="D49" s="8" t="inlineStr">
        <is>
          <t>5</t>
        </is>
      </c>
      <c r="E49" s="8" t="inlineStr">
        <is>
          <t>part_ix_expenses.comp_current_officers</t>
        </is>
      </c>
      <c r="F49" s="8" t="inlineStr">
        <is>
          <t>high</t>
        </is>
      </c>
      <c r="G49" s="9" t="n">
        <v>26059</v>
      </c>
    </row>
    <row r="50">
      <c r="A50" s="8" t="inlineStr">
        <is>
          <t>Operating expenses (detail)</t>
        </is>
      </c>
      <c r="B50" s="8" t="inlineStr">
        <is>
          <t>D7</t>
        </is>
      </c>
      <c r="C50" s="8" t="inlineStr">
        <is>
          <t>5. Compensation of current officers, directors, trustees</t>
        </is>
      </c>
      <c r="D50" s="8" t="inlineStr">
        <is>
          <t>5</t>
        </is>
      </c>
      <c r="E50" s="8" t="inlineStr">
        <is>
          <t>part_ix_expenses.comp_current_officers</t>
        </is>
      </c>
      <c r="F50" s="8" t="inlineStr">
        <is>
          <t>high</t>
        </is>
      </c>
      <c r="G50" s="9" t="n">
        <v>13365</v>
      </c>
    </row>
    <row r="51">
      <c r="A51" s="8" t="inlineStr">
        <is>
          <t>Operating expenses (detail)</t>
        </is>
      </c>
      <c r="B51" s="8" t="inlineStr">
        <is>
          <t>E7</t>
        </is>
      </c>
      <c r="C51" s="8" t="inlineStr">
        <is>
          <t>5. Compensation of current officers, directors, trustees</t>
        </is>
      </c>
      <c r="D51" s="8" t="inlineStr">
        <is>
          <t>5</t>
        </is>
      </c>
      <c r="E51" s="8" t="inlineStr">
        <is>
          <t>part_ix_expenses.comp_current_officers</t>
        </is>
      </c>
      <c r="F51" s="8" t="inlineStr">
        <is>
          <t>high</t>
        </is>
      </c>
      <c r="G51" s="9" t="n">
        <v>22370</v>
      </c>
    </row>
    <row r="52">
      <c r="A52" s="8" t="inlineStr">
        <is>
          <t>Operating expenses (detail)</t>
        </is>
      </c>
      <c r="B52" s="8" t="inlineStr">
        <is>
          <t>F7</t>
        </is>
      </c>
      <c r="C52" s="8" t="inlineStr">
        <is>
          <t>5. Compensation of current officers, directors, trustees</t>
        </is>
      </c>
      <c r="D52" s="8" t="inlineStr">
        <is>
          <t>5</t>
        </is>
      </c>
      <c r="E52" s="8" t="inlineStr">
        <is>
          <t>part_ix_expenses.comp_current_officers</t>
        </is>
      </c>
      <c r="F52" s="8" t="inlineStr">
        <is>
          <t>high</t>
        </is>
      </c>
      <c r="G52" s="9" t="n">
        <v>24968</v>
      </c>
    </row>
    <row r="53">
      <c r="A53" s="8" t="inlineStr">
        <is>
          <t>Operating expenses (detail)</t>
        </is>
      </c>
      <c r="B53" s="8" t="inlineStr">
        <is>
          <t>G7</t>
        </is>
      </c>
      <c r="C53" s="8" t="inlineStr">
        <is>
          <t>5. Compensation of current officers, directors, trustees</t>
        </is>
      </c>
      <c r="D53" s="8" t="inlineStr">
        <is>
          <t>5</t>
        </is>
      </c>
      <c r="E53" s="8" t="inlineStr">
        <is>
          <t>part_ix_expenses.comp_current_officers</t>
        </is>
      </c>
      <c r="F53" s="8" t="inlineStr">
        <is>
          <t>high</t>
        </is>
      </c>
      <c r="G53" s="9" t="n">
        <v>27319</v>
      </c>
    </row>
    <row r="54">
      <c r="A54" s="8" t="inlineStr">
        <is>
          <t>Operating expenses (detail)</t>
        </is>
      </c>
      <c r="B54" s="8" t="inlineStr">
        <is>
          <t>B8</t>
        </is>
      </c>
      <c r="C54" s="8" t="inlineStr">
        <is>
          <t>7. Other salaries and wages</t>
        </is>
      </c>
      <c r="D54" s="8" t="inlineStr">
        <is>
          <t>7</t>
        </is>
      </c>
      <c r="E54" s="8" t="inlineStr">
        <is>
          <t>part_ix_expenses.other_salaries_and_wages</t>
        </is>
      </c>
      <c r="F54" s="8" t="inlineStr">
        <is>
          <t>high</t>
        </is>
      </c>
      <c r="G54" s="9" t="n">
        <v>36379</v>
      </c>
    </row>
    <row r="55">
      <c r="A55" s="8" t="inlineStr">
        <is>
          <t>Operating expenses (detail)</t>
        </is>
      </c>
      <c r="B55" s="8" t="inlineStr">
        <is>
          <t>C8</t>
        </is>
      </c>
      <c r="C55" s="8" t="inlineStr">
        <is>
          <t>7. Other salaries and wages</t>
        </is>
      </c>
      <c r="D55" s="8" t="inlineStr">
        <is>
          <t>7</t>
        </is>
      </c>
      <c r="E55" s="8" t="inlineStr">
        <is>
          <t>part_ix_expenses.other_salaries_and_wages</t>
        </is>
      </c>
      <c r="F55" s="8" t="inlineStr">
        <is>
          <t>high</t>
        </is>
      </c>
      <c r="G55" s="9" t="n">
        <v>15466</v>
      </c>
    </row>
    <row r="56">
      <c r="A56" s="8" t="inlineStr">
        <is>
          <t>Operating expenses (detail)</t>
        </is>
      </c>
      <c r="B56" s="8" t="inlineStr">
        <is>
          <t>D8</t>
        </is>
      </c>
      <c r="C56" s="8" t="inlineStr">
        <is>
          <t>7. Other salaries and wages</t>
        </is>
      </c>
      <c r="D56" s="8" t="inlineStr">
        <is>
          <t>7</t>
        </is>
      </c>
      <c r="E56" s="8" t="inlineStr">
        <is>
          <t>part_ix_expenses.other_salaries_and_wages</t>
        </is>
      </c>
      <c r="F56" s="8" t="inlineStr">
        <is>
          <t>high</t>
        </is>
      </c>
      <c r="G56" s="9" t="n">
        <v>12105</v>
      </c>
    </row>
    <row r="57">
      <c r="A57" s="8" t="inlineStr">
        <is>
          <t>Operating expenses (detail)</t>
        </is>
      </c>
      <c r="B57" s="8" t="inlineStr">
        <is>
          <t>B9</t>
        </is>
      </c>
      <c r="C57" s="8" t="inlineStr">
        <is>
          <t>10. Payroll taxes</t>
        </is>
      </c>
      <c r="D57" s="8" t="inlineStr">
        <is>
          <t>10</t>
        </is>
      </c>
      <c r="E57" s="8" t="inlineStr">
        <is>
          <t>part_ix_expenses.payroll_taxes</t>
        </is>
      </c>
      <c r="F57" s="8" t="inlineStr">
        <is>
          <t>high</t>
        </is>
      </c>
      <c r="G57" s="9" t="n">
        <v>4438</v>
      </c>
    </row>
    <row r="58">
      <c r="A58" s="8" t="inlineStr">
        <is>
          <t>Operating expenses (detail)</t>
        </is>
      </c>
      <c r="B58" s="8" t="inlineStr">
        <is>
          <t>C9</t>
        </is>
      </c>
      <c r="C58" s="8" t="inlineStr">
        <is>
          <t>10. Payroll taxes</t>
        </is>
      </c>
      <c r="D58" s="8" t="inlineStr">
        <is>
          <t>10</t>
        </is>
      </c>
      <c r="E58" s="8" t="inlineStr">
        <is>
          <t>part_ix_expenses.payroll_taxes</t>
        </is>
      </c>
      <c r="F58" s="8" t="inlineStr">
        <is>
          <t>high</t>
        </is>
      </c>
      <c r="G58" s="9" t="n">
        <v>4261</v>
      </c>
    </row>
    <row r="59">
      <c r="A59" s="8" t="inlineStr">
        <is>
          <t>Operating expenses (detail)</t>
        </is>
      </c>
      <c r="B59" s="8" t="inlineStr">
        <is>
          <t>D9</t>
        </is>
      </c>
      <c r="C59" s="8" t="inlineStr">
        <is>
          <t>10. Payroll taxes</t>
        </is>
      </c>
      <c r="D59" s="8" t="inlineStr">
        <is>
          <t>10</t>
        </is>
      </c>
      <c r="E59" s="8" t="inlineStr">
        <is>
          <t>part_ix_expenses.payroll_taxes</t>
        </is>
      </c>
      <c r="F59" s="8" t="inlineStr">
        <is>
          <t>high</t>
        </is>
      </c>
      <c r="G59" s="9" t="n">
        <v>2713</v>
      </c>
    </row>
    <row r="60">
      <c r="A60" s="8" t="inlineStr">
        <is>
          <t>Operating expenses (detail)</t>
        </is>
      </c>
      <c r="B60" s="8" t="inlineStr">
        <is>
          <t>E9</t>
        </is>
      </c>
      <c r="C60" s="8" t="inlineStr">
        <is>
          <t>10. Payroll taxes</t>
        </is>
      </c>
      <c r="D60" s="8" t="inlineStr">
        <is>
          <t>10</t>
        </is>
      </c>
      <c r="E60" s="8" t="inlineStr">
        <is>
          <t>part_ix_expenses.payroll_taxes</t>
        </is>
      </c>
      <c r="F60" s="8" t="inlineStr">
        <is>
          <t>high</t>
        </is>
      </c>
      <c r="G60" s="9" t="n">
        <v>1966</v>
      </c>
    </row>
    <row r="61">
      <c r="A61" s="8" t="inlineStr">
        <is>
          <t>Operating expenses (detail)</t>
        </is>
      </c>
      <c r="B61" s="8" t="inlineStr">
        <is>
          <t>F9</t>
        </is>
      </c>
      <c r="C61" s="8" t="inlineStr">
        <is>
          <t>10. Payroll taxes</t>
        </is>
      </c>
      <c r="D61" s="8" t="inlineStr">
        <is>
          <t>10</t>
        </is>
      </c>
      <c r="E61" s="8" t="inlineStr">
        <is>
          <t>part_ix_expenses.payroll_taxes</t>
        </is>
      </c>
      <c r="F61" s="8" t="inlineStr">
        <is>
          <t>high</t>
        </is>
      </c>
      <c r="G61" s="9" t="n">
        <v>2313</v>
      </c>
    </row>
    <row r="62">
      <c r="A62" s="8" t="inlineStr">
        <is>
          <t>Operating expenses (detail)</t>
        </is>
      </c>
      <c r="B62" s="8" t="inlineStr">
        <is>
          <t>G9</t>
        </is>
      </c>
      <c r="C62" s="8" t="inlineStr">
        <is>
          <t>10. Payroll taxes</t>
        </is>
      </c>
      <c r="D62" s="8" t="inlineStr">
        <is>
          <t>10</t>
        </is>
      </c>
      <c r="E62" s="8" t="inlineStr">
        <is>
          <t>part_ix_expenses.payroll_taxes</t>
        </is>
      </c>
      <c r="F62" s="8" t="inlineStr">
        <is>
          <t>high</t>
        </is>
      </c>
      <c r="G62" s="9" t="n">
        <v>2527</v>
      </c>
    </row>
    <row r="63">
      <c r="A63" s="8" t="inlineStr">
        <is>
          <t>Operating expenses (detail)</t>
        </is>
      </c>
      <c r="B63" s="8" t="inlineStr">
        <is>
          <t>B10</t>
        </is>
      </c>
      <c r="C63" s="8" t="inlineStr">
        <is>
          <t>11b. Fees for services: legal</t>
        </is>
      </c>
      <c r="D63" s="8" t="inlineStr">
        <is>
          <t>11b</t>
        </is>
      </c>
      <c r="E63" s="8" t="inlineStr">
        <is>
          <t>part_ix_expenses.fees_legal</t>
        </is>
      </c>
      <c r="F63" s="8" t="inlineStr">
        <is>
          <t>high</t>
        </is>
      </c>
      <c r="G63" s="9" t="n">
        <v>3273</v>
      </c>
    </row>
    <row r="64">
      <c r="A64" s="8" t="inlineStr">
        <is>
          <t>Operating expenses (detail)</t>
        </is>
      </c>
      <c r="B64" s="8" t="inlineStr">
        <is>
          <t>C10</t>
        </is>
      </c>
      <c r="C64" s="8" t="inlineStr">
        <is>
          <t>11b. Fees for services: legal</t>
        </is>
      </c>
      <c r="D64" s="8" t="inlineStr">
        <is>
          <t>11b</t>
        </is>
      </c>
      <c r="E64" s="8" t="inlineStr">
        <is>
          <t>part_ix_expenses.fees_legal</t>
        </is>
      </c>
      <c r="F64" s="8" t="inlineStr">
        <is>
          <t>high</t>
        </is>
      </c>
      <c r="G64" s="9" t="n">
        <v>2635</v>
      </c>
    </row>
    <row r="65">
      <c r="A65" s="8" t="inlineStr">
        <is>
          <t>Operating expenses (detail)</t>
        </is>
      </c>
      <c r="B65" s="8" t="inlineStr">
        <is>
          <t>F10</t>
        </is>
      </c>
      <c r="C65" s="8" t="inlineStr">
        <is>
          <t>11b. Fees for services: legal</t>
        </is>
      </c>
      <c r="D65" s="8" t="inlineStr">
        <is>
          <t>11b</t>
        </is>
      </c>
      <c r="E65" s="8" t="inlineStr">
        <is>
          <t>part_ix_expenses.fees_legal</t>
        </is>
      </c>
      <c r="F65" s="8" t="inlineStr">
        <is>
          <t>high</t>
        </is>
      </c>
      <c r="G65" s="9" t="n">
        <v>1000</v>
      </c>
    </row>
    <row r="66">
      <c r="A66" s="8" t="inlineStr">
        <is>
          <t>Operating expenses (detail)</t>
        </is>
      </c>
      <c r="B66" s="8" t="inlineStr">
        <is>
          <t>B11</t>
        </is>
      </c>
      <c r="C66" s="8" t="inlineStr">
        <is>
          <t>11c. Fees for services: accounting</t>
        </is>
      </c>
      <c r="D66" s="8" t="inlineStr">
        <is>
          <t>11c</t>
        </is>
      </c>
      <c r="E66" s="8" t="inlineStr">
        <is>
          <t>part_ix_expenses.fees_accounting</t>
        </is>
      </c>
      <c r="F66" s="8" t="inlineStr">
        <is>
          <t>high</t>
        </is>
      </c>
      <c r="G66" s="9" t="n">
        <v>2100</v>
      </c>
    </row>
    <row r="67">
      <c r="A67" s="8" t="inlineStr">
        <is>
          <t>Operating expenses (detail)</t>
        </is>
      </c>
      <c r="B67" s="8" t="inlineStr">
        <is>
          <t>C11</t>
        </is>
      </c>
      <c r="C67" s="8" t="inlineStr">
        <is>
          <t>11c. Fees for services: accounting</t>
        </is>
      </c>
      <c r="D67" s="8" t="inlineStr">
        <is>
          <t>11c</t>
        </is>
      </c>
      <c r="E67" s="8" t="inlineStr">
        <is>
          <t>part_ix_expenses.fees_accounting</t>
        </is>
      </c>
      <c r="F67" s="8" t="inlineStr">
        <is>
          <t>high</t>
        </is>
      </c>
      <c r="G67" s="9" t="n">
        <v>2100</v>
      </c>
    </row>
    <row r="68">
      <c r="A68" s="8" t="inlineStr">
        <is>
          <t>Operating expenses (detail)</t>
        </is>
      </c>
      <c r="B68" s="8" t="inlineStr">
        <is>
          <t>D11</t>
        </is>
      </c>
      <c r="C68" s="8" t="inlineStr">
        <is>
          <t>11c. Fees for services: accounting</t>
        </is>
      </c>
      <c r="D68" s="8" t="inlineStr">
        <is>
          <t>11c</t>
        </is>
      </c>
      <c r="E68" s="8" t="inlineStr">
        <is>
          <t>part_ix_expenses.fees_accounting</t>
        </is>
      </c>
      <c r="F68" s="8" t="inlineStr">
        <is>
          <t>high</t>
        </is>
      </c>
      <c r="G68" s="9" t="n">
        <v>2258</v>
      </c>
    </row>
    <row r="69">
      <c r="A69" s="8" t="inlineStr">
        <is>
          <t>Operating expenses (detail)</t>
        </is>
      </c>
      <c r="B69" s="8" t="inlineStr">
        <is>
          <t>E11</t>
        </is>
      </c>
      <c r="C69" s="8" t="inlineStr">
        <is>
          <t>11c. Fees for services: accounting</t>
        </is>
      </c>
      <c r="D69" s="8" t="inlineStr">
        <is>
          <t>11c</t>
        </is>
      </c>
      <c r="E69" s="8" t="inlineStr">
        <is>
          <t>part_ix_expenses.fees_accounting</t>
        </is>
      </c>
      <c r="F69" s="8" t="inlineStr">
        <is>
          <t>high</t>
        </is>
      </c>
      <c r="G69" s="9" t="n">
        <v>2678</v>
      </c>
    </row>
    <row r="70">
      <c r="A70" s="8" t="inlineStr">
        <is>
          <t>Operating expenses (detail)</t>
        </is>
      </c>
      <c r="B70" s="8" t="inlineStr">
        <is>
          <t>F11</t>
        </is>
      </c>
      <c r="C70" s="8" t="inlineStr">
        <is>
          <t>11c. Fees for services: accounting</t>
        </is>
      </c>
      <c r="D70" s="8" t="inlineStr">
        <is>
          <t>11c</t>
        </is>
      </c>
      <c r="E70" s="8" t="inlineStr">
        <is>
          <t>part_ix_expenses.fees_accounting</t>
        </is>
      </c>
      <c r="F70" s="8" t="inlineStr">
        <is>
          <t>high</t>
        </is>
      </c>
      <c r="G70" s="9" t="n">
        <v>3413</v>
      </c>
    </row>
    <row r="71">
      <c r="A71" s="8" t="inlineStr">
        <is>
          <t>Operating expenses (detail)</t>
        </is>
      </c>
      <c r="B71" s="8" t="inlineStr">
        <is>
          <t>G11</t>
        </is>
      </c>
      <c r="C71" s="8" t="inlineStr">
        <is>
          <t>11c. Fees for services: accounting</t>
        </is>
      </c>
      <c r="D71" s="8" t="inlineStr">
        <is>
          <t>11c</t>
        </is>
      </c>
      <c r="E71" s="8" t="inlineStr">
        <is>
          <t>part_ix_expenses.fees_accounting</t>
        </is>
      </c>
      <c r="F71" s="8" t="inlineStr">
        <is>
          <t>high</t>
        </is>
      </c>
      <c r="G71" s="9" t="n">
        <v>3654</v>
      </c>
    </row>
    <row r="72">
      <c r="A72" s="8" t="inlineStr">
        <is>
          <t>Operating expenses (detail)</t>
        </is>
      </c>
      <c r="B72" s="8" t="inlineStr">
        <is>
          <t>B12</t>
        </is>
      </c>
      <c r="C72" s="8" t="inlineStr">
        <is>
          <t>13. Office expenses</t>
        </is>
      </c>
      <c r="D72" s="8" t="inlineStr">
        <is>
          <t>13</t>
        </is>
      </c>
      <c r="E72" s="8" t="inlineStr">
        <is>
          <t>part_ix_expenses.office_expenses</t>
        </is>
      </c>
      <c r="F72" s="8" t="inlineStr">
        <is>
          <t>high</t>
        </is>
      </c>
      <c r="G72" s="9" t="n">
        <v>1927</v>
      </c>
    </row>
    <row r="73">
      <c r="A73" s="8" t="inlineStr">
        <is>
          <t>Operating expenses (detail)</t>
        </is>
      </c>
      <c r="B73" s="8" t="inlineStr">
        <is>
          <t>C12</t>
        </is>
      </c>
      <c r="C73" s="8" t="inlineStr">
        <is>
          <t>13. Office expenses</t>
        </is>
      </c>
      <c r="D73" s="8" t="inlineStr">
        <is>
          <t>13</t>
        </is>
      </c>
      <c r="E73" s="8" t="inlineStr">
        <is>
          <t>part_ix_expenses.office_expenses</t>
        </is>
      </c>
      <c r="F73" s="8" t="inlineStr">
        <is>
          <t>high</t>
        </is>
      </c>
      <c r="G73" s="9" t="n">
        <v>5910</v>
      </c>
    </row>
    <row r="74">
      <c r="A74" s="8" t="inlineStr">
        <is>
          <t>Operating expenses (detail)</t>
        </is>
      </c>
      <c r="B74" s="8" t="inlineStr">
        <is>
          <t>D12</t>
        </is>
      </c>
      <c r="C74" s="8" t="inlineStr">
        <is>
          <t>13. Office expenses</t>
        </is>
      </c>
      <c r="D74" s="8" t="inlineStr">
        <is>
          <t>13</t>
        </is>
      </c>
      <c r="E74" s="8" t="inlineStr">
        <is>
          <t>part_ix_expenses.office_expenses</t>
        </is>
      </c>
      <c r="F74" s="8" t="inlineStr">
        <is>
          <t>high</t>
        </is>
      </c>
      <c r="G74" s="9" t="n">
        <v>3525</v>
      </c>
    </row>
    <row r="75">
      <c r="A75" s="8" t="inlineStr">
        <is>
          <t>Operating expenses (detail)</t>
        </is>
      </c>
      <c r="B75" s="8" t="inlineStr">
        <is>
          <t>E12</t>
        </is>
      </c>
      <c r="C75" s="8" t="inlineStr">
        <is>
          <t>13. Office expenses</t>
        </is>
      </c>
      <c r="D75" s="8" t="inlineStr">
        <is>
          <t>13</t>
        </is>
      </c>
      <c r="E75" s="8" t="inlineStr">
        <is>
          <t>part_ix_expenses.office_expenses</t>
        </is>
      </c>
      <c r="F75" s="8" t="inlineStr">
        <is>
          <t>high</t>
        </is>
      </c>
      <c r="G75" s="9" t="n">
        <v>3160</v>
      </c>
    </row>
    <row r="76">
      <c r="A76" s="8" t="inlineStr">
        <is>
          <t>Operating expenses (detail)</t>
        </is>
      </c>
      <c r="B76" s="8" t="inlineStr">
        <is>
          <t>F12</t>
        </is>
      </c>
      <c r="C76" s="8" t="inlineStr">
        <is>
          <t>13. Office expenses</t>
        </is>
      </c>
      <c r="D76" s="8" t="inlineStr">
        <is>
          <t>13</t>
        </is>
      </c>
      <c r="E76" s="8" t="inlineStr">
        <is>
          <t>part_ix_expenses.office_expenses</t>
        </is>
      </c>
      <c r="F76" s="8" t="inlineStr">
        <is>
          <t>high</t>
        </is>
      </c>
      <c r="G76" s="9" t="n">
        <v>3282</v>
      </c>
    </row>
    <row r="77">
      <c r="A77" s="8" t="inlineStr">
        <is>
          <t>Operating expenses (detail)</t>
        </is>
      </c>
      <c r="B77" s="8" t="inlineStr">
        <is>
          <t>G12</t>
        </is>
      </c>
      <c r="C77" s="8" t="inlineStr">
        <is>
          <t>13. Office expenses</t>
        </is>
      </c>
      <c r="D77" s="8" t="inlineStr">
        <is>
          <t>13</t>
        </is>
      </c>
      <c r="E77" s="8" t="inlineStr">
        <is>
          <t>part_ix_expenses.office_expenses</t>
        </is>
      </c>
      <c r="F77" s="8" t="inlineStr">
        <is>
          <t>high</t>
        </is>
      </c>
      <c r="G77" s="9" t="n">
        <v>4115</v>
      </c>
    </row>
    <row r="78">
      <c r="A78" s="8" t="inlineStr">
        <is>
          <t>Operating expenses (detail)</t>
        </is>
      </c>
      <c r="B78" s="8" t="inlineStr">
        <is>
          <t>B13</t>
        </is>
      </c>
      <c r="C78" s="8" t="inlineStr">
        <is>
          <t>16. Occupancy</t>
        </is>
      </c>
      <c r="D78" s="8" t="inlineStr">
        <is>
          <t>16</t>
        </is>
      </c>
      <c r="E78" s="8" t="inlineStr">
        <is>
          <t>part_ix_expenses.occupancy</t>
        </is>
      </c>
      <c r="F78" s="8" t="inlineStr">
        <is>
          <t>high</t>
        </is>
      </c>
      <c r="G78" s="9" t="n">
        <v>52339</v>
      </c>
    </row>
    <row r="79">
      <c r="A79" s="8" t="inlineStr">
        <is>
          <t>Operating expenses (detail)</t>
        </is>
      </c>
      <c r="B79" s="8" t="inlineStr">
        <is>
          <t>C13</t>
        </is>
      </c>
      <c r="C79" s="8" t="inlineStr">
        <is>
          <t>16. Occupancy</t>
        </is>
      </c>
      <c r="D79" s="8" t="inlineStr">
        <is>
          <t>16</t>
        </is>
      </c>
      <c r="E79" s="8" t="inlineStr">
        <is>
          <t>part_ix_expenses.occupancy</t>
        </is>
      </c>
      <c r="F79" s="8" t="inlineStr">
        <is>
          <t>high</t>
        </is>
      </c>
      <c r="G79" s="9" t="n">
        <v>25816</v>
      </c>
    </row>
    <row r="80">
      <c r="A80" s="8" t="inlineStr">
        <is>
          <t>Operating expenses (detail)</t>
        </is>
      </c>
      <c r="B80" s="8" t="inlineStr">
        <is>
          <t>D13</t>
        </is>
      </c>
      <c r="C80" s="8" t="inlineStr">
        <is>
          <t>16. Occupancy</t>
        </is>
      </c>
      <c r="D80" s="8" t="inlineStr">
        <is>
          <t>16</t>
        </is>
      </c>
      <c r="E80" s="8" t="inlineStr">
        <is>
          <t>part_ix_expenses.occupancy</t>
        </is>
      </c>
      <c r="F80" s="8" t="inlineStr">
        <is>
          <t>high</t>
        </is>
      </c>
      <c r="G80" s="9" t="n">
        <v>55663</v>
      </c>
    </row>
    <row r="81">
      <c r="A81" s="8" t="inlineStr">
        <is>
          <t>Operating expenses (detail)</t>
        </is>
      </c>
      <c r="B81" s="8" t="inlineStr">
        <is>
          <t>E13</t>
        </is>
      </c>
      <c r="C81" s="8" t="inlineStr">
        <is>
          <t>16. Occupancy</t>
        </is>
      </c>
      <c r="D81" s="8" t="inlineStr">
        <is>
          <t>16</t>
        </is>
      </c>
      <c r="E81" s="8" t="inlineStr">
        <is>
          <t>part_ix_expenses.occupancy</t>
        </is>
      </c>
      <c r="F81" s="8" t="inlineStr">
        <is>
          <t>high</t>
        </is>
      </c>
      <c r="G81" s="9" t="n">
        <v>38966</v>
      </c>
    </row>
    <row r="82">
      <c r="A82" s="8" t="inlineStr">
        <is>
          <t>Operating expenses (detail)</t>
        </is>
      </c>
      <c r="B82" s="8" t="inlineStr">
        <is>
          <t>F13</t>
        </is>
      </c>
      <c r="C82" s="8" t="inlineStr">
        <is>
          <t>16. Occupancy</t>
        </is>
      </c>
      <c r="D82" s="8" t="inlineStr">
        <is>
          <t>16</t>
        </is>
      </c>
      <c r="E82" s="8" t="inlineStr">
        <is>
          <t>part_ix_expenses.occupancy</t>
        </is>
      </c>
      <c r="F82" s="8" t="inlineStr">
        <is>
          <t>high</t>
        </is>
      </c>
      <c r="G82" s="9" t="n">
        <v>68415</v>
      </c>
    </row>
    <row r="83">
      <c r="A83" s="8" t="inlineStr">
        <is>
          <t>Operating expenses (detail)</t>
        </is>
      </c>
      <c r="B83" s="8" t="inlineStr">
        <is>
          <t>G13</t>
        </is>
      </c>
      <c r="C83" s="8" t="inlineStr">
        <is>
          <t>16. Occupancy</t>
        </is>
      </c>
      <c r="D83" s="8" t="inlineStr">
        <is>
          <t>16</t>
        </is>
      </c>
      <c r="E83" s="8" t="inlineStr">
        <is>
          <t>part_ix_expenses.occupancy</t>
        </is>
      </c>
      <c r="F83" s="8" t="inlineStr">
        <is>
          <t>high</t>
        </is>
      </c>
      <c r="G83" s="9" t="n">
        <v>70506</v>
      </c>
    </row>
    <row r="84">
      <c r="A84" s="8" t="inlineStr">
        <is>
          <t>Operating expenses (detail)</t>
        </is>
      </c>
      <c r="B84" s="8" t="inlineStr">
        <is>
          <t>B14</t>
        </is>
      </c>
      <c r="C84" s="8" t="inlineStr">
        <is>
          <t>17. Travel</t>
        </is>
      </c>
      <c r="D84" s="8" t="inlineStr">
        <is>
          <t>17</t>
        </is>
      </c>
      <c r="E84" s="8" t="inlineStr">
        <is>
          <t>part_ix_expenses.travel</t>
        </is>
      </c>
      <c r="F84" s="8" t="inlineStr">
        <is>
          <t>high</t>
        </is>
      </c>
      <c r="G84" s="9" t="n">
        <v>1519</v>
      </c>
    </row>
    <row r="85">
      <c r="A85" s="8" t="inlineStr">
        <is>
          <t>Operating expenses (detail)</t>
        </is>
      </c>
      <c r="B85" s="8" t="inlineStr">
        <is>
          <t>C14</t>
        </is>
      </c>
      <c r="C85" s="8" t="inlineStr">
        <is>
          <t>17. Travel</t>
        </is>
      </c>
      <c r="D85" s="8" t="inlineStr">
        <is>
          <t>17</t>
        </is>
      </c>
      <c r="E85" s="8" t="inlineStr">
        <is>
          <t>part_ix_expenses.travel</t>
        </is>
      </c>
      <c r="F85" s="8" t="inlineStr">
        <is>
          <t>high</t>
        </is>
      </c>
      <c r="G85" s="9" t="n">
        <v>1001</v>
      </c>
    </row>
    <row r="86">
      <c r="A86" s="8" t="inlineStr">
        <is>
          <t>Operating expenses (detail)</t>
        </is>
      </c>
      <c r="B86" s="8" t="inlineStr">
        <is>
          <t>D14</t>
        </is>
      </c>
      <c r="C86" s="8" t="inlineStr">
        <is>
          <t>17. Travel</t>
        </is>
      </c>
      <c r="D86" s="8" t="inlineStr">
        <is>
          <t>17</t>
        </is>
      </c>
      <c r="E86" s="8" t="inlineStr">
        <is>
          <t>part_ix_expenses.travel</t>
        </is>
      </c>
      <c r="F86" s="8" t="inlineStr">
        <is>
          <t>high</t>
        </is>
      </c>
      <c r="G86" s="9" t="n">
        <v>752</v>
      </c>
    </row>
    <row r="87">
      <c r="A87" s="8" t="inlineStr">
        <is>
          <t>Operating expenses (detail)</t>
        </is>
      </c>
      <c r="B87" s="8" t="inlineStr">
        <is>
          <t>E14</t>
        </is>
      </c>
      <c r="C87" s="8" t="inlineStr">
        <is>
          <t>17. Travel</t>
        </is>
      </c>
      <c r="D87" s="8" t="inlineStr">
        <is>
          <t>17</t>
        </is>
      </c>
      <c r="E87" s="8" t="inlineStr">
        <is>
          <t>part_ix_expenses.travel</t>
        </is>
      </c>
      <c r="F87" s="8" t="inlineStr">
        <is>
          <t>high</t>
        </is>
      </c>
      <c r="G87" s="9" t="n">
        <v>286</v>
      </c>
    </row>
    <row r="88">
      <c r="A88" s="8" t="inlineStr">
        <is>
          <t>Operating expenses (detail)</t>
        </is>
      </c>
      <c r="B88" s="8" t="inlineStr">
        <is>
          <t>F14</t>
        </is>
      </c>
      <c r="C88" s="8" t="inlineStr">
        <is>
          <t>17. Travel</t>
        </is>
      </c>
      <c r="D88" s="8" t="inlineStr">
        <is>
          <t>17</t>
        </is>
      </c>
      <c r="E88" s="8" t="inlineStr">
        <is>
          <t>part_ix_expenses.travel</t>
        </is>
      </c>
      <c r="F88" s="8" t="inlineStr">
        <is>
          <t>high</t>
        </is>
      </c>
      <c r="G88" s="9" t="n">
        <v>658</v>
      </c>
    </row>
    <row r="89">
      <c r="A89" s="8" t="inlineStr">
        <is>
          <t>Operating expenses (detail)</t>
        </is>
      </c>
      <c r="B89" s="8" t="inlineStr">
        <is>
          <t>G14</t>
        </is>
      </c>
      <c r="C89" s="8" t="inlineStr">
        <is>
          <t>17. Travel</t>
        </is>
      </c>
      <c r="D89" s="8" t="inlineStr">
        <is>
          <t>17</t>
        </is>
      </c>
      <c r="E89" s="8" t="inlineStr">
        <is>
          <t>part_ix_expenses.travel</t>
        </is>
      </c>
      <c r="F89" s="8" t="inlineStr">
        <is>
          <t>high</t>
        </is>
      </c>
      <c r="G89" s="9" t="n">
        <v>705</v>
      </c>
    </row>
    <row r="90">
      <c r="A90" s="8" t="inlineStr">
        <is>
          <t>Operating expenses (detail)</t>
        </is>
      </c>
      <c r="B90" s="8" t="inlineStr">
        <is>
          <t>B15</t>
        </is>
      </c>
      <c r="C90" s="8" t="inlineStr">
        <is>
          <t>22. Depreciation, depletion, and amortization</t>
        </is>
      </c>
      <c r="D90" s="8" t="inlineStr">
        <is>
          <t>22</t>
        </is>
      </c>
      <c r="E90" s="8" t="inlineStr">
        <is>
          <t>part_ix_expenses.depreciation</t>
        </is>
      </c>
      <c r="F90" s="8" t="inlineStr">
        <is>
          <t>high</t>
        </is>
      </c>
      <c r="G90" s="9" t="n">
        <v>7576</v>
      </c>
    </row>
    <row r="91">
      <c r="A91" s="8" t="inlineStr">
        <is>
          <t>Operating expenses (detail)</t>
        </is>
      </c>
      <c r="B91" s="8" t="inlineStr">
        <is>
          <t>C15</t>
        </is>
      </c>
      <c r="C91" s="8" t="inlineStr">
        <is>
          <t>22. Depreciation, depletion, and amortization</t>
        </is>
      </c>
      <c r="D91" s="8" t="inlineStr">
        <is>
          <t>22</t>
        </is>
      </c>
      <c r="E91" s="8" t="inlineStr">
        <is>
          <t>part_ix_expenses.depreciation</t>
        </is>
      </c>
      <c r="F91" s="8" t="inlineStr">
        <is>
          <t>high</t>
        </is>
      </c>
      <c r="G91" s="9" t="n">
        <v>7576</v>
      </c>
    </row>
    <row r="92">
      <c r="A92" s="8" t="inlineStr">
        <is>
          <t>Operating expenses (detail)</t>
        </is>
      </c>
      <c r="B92" s="8" t="inlineStr">
        <is>
          <t>D15</t>
        </is>
      </c>
      <c r="C92" s="8" t="inlineStr">
        <is>
          <t>22. Depreciation, depletion, and amortization</t>
        </is>
      </c>
      <c r="D92" s="8" t="inlineStr">
        <is>
          <t>22</t>
        </is>
      </c>
      <c r="E92" s="8" t="inlineStr">
        <is>
          <t>part_ix_expenses.depreciation</t>
        </is>
      </c>
      <c r="F92" s="8" t="inlineStr">
        <is>
          <t>high</t>
        </is>
      </c>
      <c r="G92" s="9" t="n">
        <v>7576</v>
      </c>
    </row>
    <row r="93">
      <c r="A93" s="8" t="inlineStr">
        <is>
          <t>Operating expenses (detail)</t>
        </is>
      </c>
      <c r="B93" s="8" t="inlineStr">
        <is>
          <t>E15</t>
        </is>
      </c>
      <c r="C93" s="8" t="inlineStr">
        <is>
          <t>22. Depreciation, depletion, and amortization</t>
        </is>
      </c>
      <c r="D93" s="8" t="inlineStr">
        <is>
          <t>22</t>
        </is>
      </c>
      <c r="E93" s="8" t="inlineStr">
        <is>
          <t>part_ix_expenses.depreciation</t>
        </is>
      </c>
      <c r="F93" s="8" t="inlineStr">
        <is>
          <t>high</t>
        </is>
      </c>
      <c r="G93" s="9" t="n">
        <v>7576</v>
      </c>
    </row>
    <row r="94">
      <c r="A94" s="8" t="inlineStr">
        <is>
          <t>Operating expenses (detail)</t>
        </is>
      </c>
      <c r="B94" s="8" t="inlineStr">
        <is>
          <t>F15</t>
        </is>
      </c>
      <c r="C94" s="8" t="inlineStr">
        <is>
          <t>22. Depreciation, depletion, and amortization</t>
        </is>
      </c>
      <c r="D94" s="8" t="inlineStr">
        <is>
          <t>22</t>
        </is>
      </c>
      <c r="E94" s="8" t="inlineStr">
        <is>
          <t>part_ix_expenses.depreciation</t>
        </is>
      </c>
      <c r="F94" s="8" t="inlineStr">
        <is>
          <t>high</t>
        </is>
      </c>
      <c r="G94" s="9" t="n">
        <v>7576</v>
      </c>
    </row>
    <row r="95">
      <c r="A95" s="8" t="inlineStr">
        <is>
          <t>Operating expenses (detail)</t>
        </is>
      </c>
      <c r="B95" s="8" t="inlineStr">
        <is>
          <t>G15</t>
        </is>
      </c>
      <c r="C95" s="8" t="inlineStr">
        <is>
          <t>22. Depreciation, depletion, and amortization</t>
        </is>
      </c>
      <c r="D95" s="8" t="inlineStr">
        <is>
          <t>22</t>
        </is>
      </c>
      <c r="E95" s="8" t="inlineStr">
        <is>
          <t>part_ix_expenses.depreciation</t>
        </is>
      </c>
      <c r="F95" s="8" t="inlineStr">
        <is>
          <t>high</t>
        </is>
      </c>
      <c r="G95" s="9" t="n">
        <v>7576</v>
      </c>
    </row>
    <row r="96">
      <c r="A96" s="8" t="inlineStr">
        <is>
          <t>Operating expenses (detail)</t>
        </is>
      </c>
      <c r="B96" s="8" t="inlineStr">
        <is>
          <t>B16</t>
        </is>
      </c>
      <c r="C96" s="8" t="inlineStr">
        <is>
          <t>23. Insurance</t>
        </is>
      </c>
      <c r="D96" s="8" t="inlineStr">
        <is>
          <t>23</t>
        </is>
      </c>
      <c r="E96" s="8" t="inlineStr">
        <is>
          <t>part_ix_expenses.insurance</t>
        </is>
      </c>
      <c r="F96" s="8" t="inlineStr">
        <is>
          <t>high</t>
        </is>
      </c>
      <c r="G96" s="9" t="n">
        <v>3952</v>
      </c>
    </row>
    <row r="97">
      <c r="A97" s="8" t="inlineStr">
        <is>
          <t>Operating expenses (detail)</t>
        </is>
      </c>
      <c r="B97" s="8" t="inlineStr">
        <is>
          <t>C16</t>
        </is>
      </c>
      <c r="C97" s="8" t="inlineStr">
        <is>
          <t>23. Insurance</t>
        </is>
      </c>
      <c r="D97" s="8" t="inlineStr">
        <is>
          <t>23</t>
        </is>
      </c>
      <c r="E97" s="8" t="inlineStr">
        <is>
          <t>part_ix_expenses.insurance</t>
        </is>
      </c>
      <c r="F97" s="8" t="inlineStr">
        <is>
          <t>high</t>
        </is>
      </c>
      <c r="G97" s="9" t="n">
        <v>1989</v>
      </c>
    </row>
    <row r="98">
      <c r="A98" s="8" t="inlineStr">
        <is>
          <t>Operating expenses (detail)</t>
        </is>
      </c>
      <c r="B98" s="8" t="inlineStr">
        <is>
          <t>D16</t>
        </is>
      </c>
      <c r="C98" s="8" t="inlineStr">
        <is>
          <t>23. Insurance</t>
        </is>
      </c>
      <c r="D98" s="8" t="inlineStr">
        <is>
          <t>23</t>
        </is>
      </c>
      <c r="E98" s="8" t="inlineStr">
        <is>
          <t>part_ix_expenses.insurance</t>
        </is>
      </c>
      <c r="F98" s="8" t="inlineStr">
        <is>
          <t>high</t>
        </is>
      </c>
      <c r="G98" s="9" t="n">
        <v>6802</v>
      </c>
    </row>
    <row r="99">
      <c r="A99" s="8" t="inlineStr">
        <is>
          <t>Operating expenses (detail)</t>
        </is>
      </c>
      <c r="B99" s="8" t="inlineStr">
        <is>
          <t>E16</t>
        </is>
      </c>
      <c r="C99" s="8" t="inlineStr">
        <is>
          <t>23. Insurance</t>
        </is>
      </c>
      <c r="D99" s="8" t="inlineStr">
        <is>
          <t>23</t>
        </is>
      </c>
      <c r="E99" s="8" t="inlineStr">
        <is>
          <t>part_ix_expenses.insurance</t>
        </is>
      </c>
      <c r="F99" s="8" t="inlineStr">
        <is>
          <t>high</t>
        </is>
      </c>
      <c r="G99" s="9" t="n">
        <v>7261</v>
      </c>
    </row>
    <row r="100">
      <c r="A100" s="8" t="inlineStr">
        <is>
          <t>Operating expenses (detail)</t>
        </is>
      </c>
      <c r="B100" s="8" t="inlineStr">
        <is>
          <t>F16</t>
        </is>
      </c>
      <c r="C100" s="8" t="inlineStr">
        <is>
          <t>23. Insurance</t>
        </is>
      </c>
      <c r="D100" s="8" t="inlineStr">
        <is>
          <t>23</t>
        </is>
      </c>
      <c r="E100" s="8" t="inlineStr">
        <is>
          <t>part_ix_expenses.insurance</t>
        </is>
      </c>
      <c r="F100" s="8" t="inlineStr">
        <is>
          <t>high</t>
        </is>
      </c>
      <c r="G100" s="9" t="n">
        <v>6525</v>
      </c>
    </row>
    <row r="101">
      <c r="A101" s="8" t="inlineStr">
        <is>
          <t>Operating expenses (detail)</t>
        </is>
      </c>
      <c r="B101" s="8" t="inlineStr">
        <is>
          <t>G16</t>
        </is>
      </c>
      <c r="C101" s="8" t="inlineStr">
        <is>
          <t>23. Insurance</t>
        </is>
      </c>
      <c r="D101" s="8" t="inlineStr">
        <is>
          <t>23</t>
        </is>
      </c>
      <c r="E101" s="8" t="inlineStr">
        <is>
          <t>part_ix_expenses.insurance</t>
        </is>
      </c>
      <c r="F101" s="8" t="inlineStr">
        <is>
          <t>high</t>
        </is>
      </c>
      <c r="G101" s="9" t="n">
        <v>6997</v>
      </c>
    </row>
    <row r="102">
      <c r="A102" s="8" t="inlineStr">
        <is>
          <t>Operating expenses (detail)</t>
        </is>
      </c>
      <c r="B102" s="8" t="inlineStr">
        <is>
          <t>B25</t>
        </is>
      </c>
      <c r="C102" s="8" t="inlineStr">
        <is>
          <t>24e. All other expenses</t>
        </is>
      </c>
      <c r="D102" s="8" t="inlineStr">
        <is>
          <t>24e</t>
        </is>
      </c>
      <c r="E102" s="8" t="inlineStr">
        <is>
          <t>part_ix_expenses.all_other_expenses</t>
        </is>
      </c>
      <c r="F102" s="8" t="inlineStr">
        <is>
          <t>high</t>
        </is>
      </c>
      <c r="G102" s="9" t="n">
        <v>2577</v>
      </c>
    </row>
    <row r="103">
      <c r="A103" s="8" t="inlineStr">
        <is>
          <t>Operating expenses (detail)</t>
        </is>
      </c>
      <c r="B103" s="8" t="inlineStr">
        <is>
          <t>C25</t>
        </is>
      </c>
      <c r="C103" s="8" t="inlineStr">
        <is>
          <t>24e. All other expenses</t>
        </is>
      </c>
      <c r="D103" s="8" t="inlineStr">
        <is>
          <t>24e</t>
        </is>
      </c>
      <c r="E103" s="8" t="inlineStr">
        <is>
          <t>part_ix_expenses.all_other_expenses</t>
        </is>
      </c>
      <c r="F103" s="8" t="inlineStr">
        <is>
          <t>high</t>
        </is>
      </c>
      <c r="G103" s="9" t="n">
        <v>6982</v>
      </c>
    </row>
    <row r="104">
      <c r="A104" s="8" t="inlineStr">
        <is>
          <t>Operating expenses (detail)</t>
        </is>
      </c>
      <c r="B104" s="8" t="inlineStr">
        <is>
          <t>D25</t>
        </is>
      </c>
      <c r="C104" s="8" t="inlineStr">
        <is>
          <t>24e. All other expenses</t>
        </is>
      </c>
      <c r="D104" s="8" t="inlineStr">
        <is>
          <t>24e</t>
        </is>
      </c>
      <c r="E104" s="8" t="inlineStr">
        <is>
          <t>part_ix_expenses.all_other_expenses</t>
        </is>
      </c>
      <c r="F104" s="8" t="inlineStr">
        <is>
          <t>high</t>
        </is>
      </c>
      <c r="G104" s="9" t="n">
        <v>9998</v>
      </c>
    </row>
    <row r="105">
      <c r="A105" s="8" t="inlineStr">
        <is>
          <t>Operating expenses (detail)</t>
        </is>
      </c>
      <c r="B105" s="8" t="inlineStr">
        <is>
          <t>E25</t>
        </is>
      </c>
      <c r="C105" s="8" t="inlineStr">
        <is>
          <t>24e. All other expenses</t>
        </is>
      </c>
      <c r="D105" s="8" t="inlineStr">
        <is>
          <t>24e</t>
        </is>
      </c>
      <c r="E105" s="8" t="inlineStr">
        <is>
          <t>part_ix_expenses.all_other_expenses</t>
        </is>
      </c>
      <c r="F105" s="8" t="inlineStr">
        <is>
          <t>high</t>
        </is>
      </c>
      <c r="G105" s="9" t="n">
        <v>4741</v>
      </c>
    </row>
    <row r="106">
      <c r="A106" s="8" t="inlineStr">
        <is>
          <t>Operating expenses (detail)</t>
        </is>
      </c>
      <c r="B106" s="8" t="inlineStr">
        <is>
          <t>F25</t>
        </is>
      </c>
      <c r="C106" s="8" t="inlineStr">
        <is>
          <t>24e. All other expenses</t>
        </is>
      </c>
      <c r="D106" s="8" t="inlineStr">
        <is>
          <t>24e</t>
        </is>
      </c>
      <c r="E106" s="8" t="inlineStr">
        <is>
          <t>part_ix_expenses.all_other_expenses</t>
        </is>
      </c>
      <c r="F106" s="8" t="inlineStr">
        <is>
          <t>high</t>
        </is>
      </c>
      <c r="G106" s="9" t="n">
        <v>1989</v>
      </c>
    </row>
    <row r="107">
      <c r="A107" s="8" t="inlineStr">
        <is>
          <t>Operating expenses (detail)</t>
        </is>
      </c>
      <c r="B107" s="8" t="inlineStr">
        <is>
          <t>G25</t>
        </is>
      </c>
      <c r="C107" s="8" t="inlineStr">
        <is>
          <t>24e. All other expenses</t>
        </is>
      </c>
      <c r="D107" s="8" t="inlineStr">
        <is>
          <t>24e</t>
        </is>
      </c>
      <c r="E107" s="8" t="inlineStr">
        <is>
          <t>part_ix_expenses.all_other_expenses</t>
        </is>
      </c>
      <c r="F107" s="8" t="inlineStr">
        <is>
          <t>high</t>
        </is>
      </c>
      <c r="G107" s="9" t="n">
        <v>4128</v>
      </c>
    </row>
    <row r="108">
      <c r="A108" s="8" t="inlineStr">
        <is>
          <t>Balance sheet (detail)</t>
        </is>
      </c>
      <c r="B108" s="8" t="inlineStr">
        <is>
          <t>B7</t>
        </is>
      </c>
      <c r="C108" s="8" t="inlineStr">
        <is>
          <t>1. Cash - non-interest-bearing</t>
        </is>
      </c>
      <c r="D108" s="8" t="inlineStr">
        <is>
          <t>1E</t>
        </is>
      </c>
      <c r="E108" s="8" t="inlineStr">
        <is>
          <t>part_x_balance_sheet.cash_noninterest_eoy</t>
        </is>
      </c>
      <c r="F108" s="8" t="inlineStr">
        <is>
          <t>high</t>
        </is>
      </c>
      <c r="G108" s="9" t="n">
        <v>226155</v>
      </c>
    </row>
    <row r="109">
      <c r="A109" s="8" t="inlineStr">
        <is>
          <t>Balance sheet (detail)</t>
        </is>
      </c>
      <c r="B109" s="8" t="inlineStr">
        <is>
          <t>C7</t>
        </is>
      </c>
      <c r="C109" s="8" t="inlineStr">
        <is>
          <t>1. Cash - non-interest-bearing</t>
        </is>
      </c>
      <c r="D109" s="8" t="inlineStr">
        <is>
          <t>1E</t>
        </is>
      </c>
      <c r="E109" s="8" t="inlineStr">
        <is>
          <t>part_x_balance_sheet.cash_noninterest_eoy</t>
        </is>
      </c>
      <c r="F109" s="8" t="inlineStr">
        <is>
          <t>high</t>
        </is>
      </c>
      <c r="G109" s="9" t="n">
        <v>288508</v>
      </c>
    </row>
    <row r="110">
      <c r="A110" s="8" t="inlineStr">
        <is>
          <t>Balance sheet (detail)</t>
        </is>
      </c>
      <c r="B110" s="8" t="inlineStr">
        <is>
          <t>D7</t>
        </is>
      </c>
      <c r="C110" s="8" t="inlineStr">
        <is>
          <t>1. Cash - non-interest-bearing</t>
        </is>
      </c>
      <c r="D110" s="8" t="inlineStr">
        <is>
          <t>1E</t>
        </is>
      </c>
      <c r="E110" s="8" t="inlineStr">
        <is>
          <t>part_x_balance_sheet.cash_noninterest_eoy</t>
        </is>
      </c>
      <c r="F110" s="8" t="inlineStr">
        <is>
          <t>high</t>
        </is>
      </c>
      <c r="G110" s="9" t="n">
        <v>341205</v>
      </c>
    </row>
    <row r="111">
      <c r="A111" s="8" t="inlineStr">
        <is>
          <t>Balance sheet (detail)</t>
        </is>
      </c>
      <c r="B111" s="8" t="inlineStr">
        <is>
          <t>E7</t>
        </is>
      </c>
      <c r="C111" s="8" t="inlineStr">
        <is>
          <t>1. Cash - non-interest-bearing</t>
        </is>
      </c>
      <c r="D111" s="8" t="inlineStr">
        <is>
          <t>1E</t>
        </is>
      </c>
      <c r="E111" s="8" t="inlineStr">
        <is>
          <t>part_x_balance_sheet.cash_noninterest_eoy</t>
        </is>
      </c>
      <c r="F111" s="8" t="inlineStr">
        <is>
          <t>high</t>
        </is>
      </c>
      <c r="G111" s="9" t="n">
        <v>357025</v>
      </c>
    </row>
    <row r="112">
      <c r="A112" s="8" t="inlineStr">
        <is>
          <t>Balance sheet (detail)</t>
        </is>
      </c>
      <c r="B112" s="8" t="inlineStr">
        <is>
          <t>F7</t>
        </is>
      </c>
      <c r="C112" s="8" t="inlineStr">
        <is>
          <t>1. Cash - non-interest-bearing</t>
        </is>
      </c>
      <c r="D112" s="8" t="inlineStr">
        <is>
          <t>1E</t>
        </is>
      </c>
      <c r="E112" s="8" t="inlineStr">
        <is>
          <t>part_x_balance_sheet.cash_noninterest_eoy</t>
        </is>
      </c>
      <c r="F112" s="8" t="inlineStr">
        <is>
          <t>high</t>
        </is>
      </c>
      <c r="G112" s="9" t="n">
        <v>365152</v>
      </c>
    </row>
    <row r="113">
      <c r="A113" s="8" t="inlineStr">
        <is>
          <t>Balance sheet (detail)</t>
        </is>
      </c>
      <c r="B113" s="8" t="inlineStr">
        <is>
          <t>G7</t>
        </is>
      </c>
      <c r="C113" s="8" t="inlineStr">
        <is>
          <t>1. Cash - non-interest-bearing</t>
        </is>
      </c>
      <c r="D113" s="8" t="inlineStr">
        <is>
          <t>1E</t>
        </is>
      </c>
      <c r="E113" s="8" t="inlineStr">
        <is>
          <t>part_x_balance_sheet.cash_noninterest_eoy</t>
        </is>
      </c>
      <c r="F113" s="8" t="inlineStr">
        <is>
          <t>high</t>
        </is>
      </c>
      <c r="G113" s="9" t="n">
        <v>359674</v>
      </c>
    </row>
    <row r="114">
      <c r="A114" s="8" t="inlineStr">
        <is>
          <t>Balance sheet (detail)</t>
        </is>
      </c>
      <c r="B114" s="8" t="inlineStr">
        <is>
          <t>B8</t>
        </is>
      </c>
      <c r="C114" s="8" t="inlineStr">
        <is>
          <t>4. Accounts receivable, net</t>
        </is>
      </c>
      <c r="D114" s="8" t="inlineStr">
        <is>
          <t>4E</t>
        </is>
      </c>
      <c r="E114" s="8" t="inlineStr">
        <is>
          <t>part_x_balance_sheet.accounts_receivable_eoy</t>
        </is>
      </c>
      <c r="F114" s="8" t="inlineStr">
        <is>
          <t>high</t>
        </is>
      </c>
      <c r="G114" s="9" t="n">
        <v>99</v>
      </c>
    </row>
    <row r="115">
      <c r="A115" s="8" t="inlineStr">
        <is>
          <t>Balance sheet (detail)</t>
        </is>
      </c>
      <c r="B115" s="8" t="inlineStr">
        <is>
          <t>C8</t>
        </is>
      </c>
      <c r="C115" s="8" t="inlineStr">
        <is>
          <t>4. Accounts receivable, net</t>
        </is>
      </c>
      <c r="D115" s="8" t="inlineStr">
        <is>
          <t>4E</t>
        </is>
      </c>
      <c r="E115" s="8" t="inlineStr">
        <is>
          <t>part_x_balance_sheet.accounts_receivable_eoy</t>
        </is>
      </c>
      <c r="F115" s="8" t="inlineStr">
        <is>
          <t>high</t>
        </is>
      </c>
      <c r="G115" s="9" t="n">
        <v>84664</v>
      </c>
    </row>
    <row r="116">
      <c r="A116" s="8" t="inlineStr">
        <is>
          <t>Balance sheet (detail)</t>
        </is>
      </c>
      <c r="B116" s="8" t="inlineStr">
        <is>
          <t>D8</t>
        </is>
      </c>
      <c r="C116" s="8" t="inlineStr">
        <is>
          <t>4. Accounts receivable, net</t>
        </is>
      </c>
      <c r="D116" s="8" t="inlineStr">
        <is>
          <t>4E</t>
        </is>
      </c>
      <c r="E116" s="8" t="inlineStr">
        <is>
          <t>part_x_balance_sheet.accounts_receivable_eoy</t>
        </is>
      </c>
      <c r="F116" s="8" t="inlineStr">
        <is>
          <t>high</t>
        </is>
      </c>
      <c r="G116" s="9" t="n">
        <v>10082</v>
      </c>
    </row>
    <row r="117">
      <c r="A117" s="8" t="inlineStr">
        <is>
          <t>Balance sheet (detail)</t>
        </is>
      </c>
      <c r="B117" s="8" t="inlineStr">
        <is>
          <t>F8</t>
        </is>
      </c>
      <c r="C117" s="8" t="inlineStr">
        <is>
          <t>4. Accounts receivable, net</t>
        </is>
      </c>
      <c r="D117" s="8" t="inlineStr">
        <is>
          <t>4E</t>
        </is>
      </c>
      <c r="E117" s="8" t="inlineStr">
        <is>
          <t>part_x_balance_sheet.accounts_receivable_eoy</t>
        </is>
      </c>
      <c r="F117" s="8" t="inlineStr">
        <is>
          <t>high</t>
        </is>
      </c>
      <c r="G117" s="9" t="n">
        <v>7740</v>
      </c>
    </row>
    <row r="118">
      <c r="A118" s="8" t="inlineStr">
        <is>
          <t>Balance sheet (detail)</t>
        </is>
      </c>
      <c r="B118" s="8" t="inlineStr">
        <is>
          <t>B9</t>
        </is>
      </c>
      <c r="C118" s="8" t="inlineStr">
        <is>
          <t>9. Prepaid expenses and deferred charges</t>
        </is>
      </c>
      <c r="D118" s="8" t="inlineStr">
        <is>
          <t>9E</t>
        </is>
      </c>
      <c r="E118" s="8" t="inlineStr">
        <is>
          <t>part_x_balance_sheet.prepaid_expenses_eoy</t>
        </is>
      </c>
      <c r="F118" s="8" t="inlineStr">
        <is>
          <t>high</t>
        </is>
      </c>
      <c r="G118" s="9" t="n">
        <v>2956</v>
      </c>
    </row>
    <row r="119">
      <c r="A119" s="8" t="inlineStr">
        <is>
          <t>Balance sheet (detail)</t>
        </is>
      </c>
      <c r="B119" s="8" t="inlineStr">
        <is>
          <t>C9</t>
        </is>
      </c>
      <c r="C119" s="8" t="inlineStr">
        <is>
          <t>9. Prepaid expenses and deferred charges</t>
        </is>
      </c>
      <c r="D119" s="8" t="inlineStr">
        <is>
          <t>9E</t>
        </is>
      </c>
      <c r="E119" s="8" t="inlineStr">
        <is>
          <t>part_x_balance_sheet.prepaid_expenses_eoy</t>
        </is>
      </c>
      <c r="F119" s="8" t="inlineStr">
        <is>
          <t>high</t>
        </is>
      </c>
      <c r="G119" s="9" t="n">
        <v>3522</v>
      </c>
    </row>
    <row r="120">
      <c r="A120" s="8" t="inlineStr">
        <is>
          <t>Balance sheet (detail)</t>
        </is>
      </c>
      <c r="B120" s="8" t="inlineStr">
        <is>
          <t>D9</t>
        </is>
      </c>
      <c r="C120" s="8" t="inlineStr">
        <is>
          <t>9. Prepaid expenses and deferred charges</t>
        </is>
      </c>
      <c r="D120" s="8" t="inlineStr">
        <is>
          <t>9E</t>
        </is>
      </c>
      <c r="E120" s="8" t="inlineStr">
        <is>
          <t>part_x_balance_sheet.prepaid_expenses_eoy</t>
        </is>
      </c>
      <c r="F120" s="8" t="inlineStr">
        <is>
          <t>high</t>
        </is>
      </c>
      <c r="G120" s="9" t="n">
        <v>3923</v>
      </c>
    </row>
    <row r="121">
      <c r="A121" s="8" t="inlineStr">
        <is>
          <t>Balance sheet (detail)</t>
        </is>
      </c>
      <c r="B121" s="8" t="inlineStr">
        <is>
          <t>E9</t>
        </is>
      </c>
      <c r="C121" s="8" t="inlineStr">
        <is>
          <t>9. Prepaid expenses and deferred charges</t>
        </is>
      </c>
      <c r="D121" s="8" t="inlineStr">
        <is>
          <t>9E</t>
        </is>
      </c>
      <c r="E121" s="8" t="inlineStr">
        <is>
          <t>part_x_balance_sheet.prepaid_expenses_eoy</t>
        </is>
      </c>
      <c r="F121" s="8" t="inlineStr">
        <is>
          <t>high</t>
        </is>
      </c>
      <c r="G121" s="9" t="n">
        <v>4284</v>
      </c>
    </row>
    <row r="122">
      <c r="A122" s="8" t="inlineStr">
        <is>
          <t>Balance sheet (detail)</t>
        </is>
      </c>
      <c r="B122" s="8" t="inlineStr">
        <is>
          <t>F9</t>
        </is>
      </c>
      <c r="C122" s="8" t="inlineStr">
        <is>
          <t>9. Prepaid expenses and deferred charges</t>
        </is>
      </c>
      <c r="D122" s="8" t="inlineStr">
        <is>
          <t>9E</t>
        </is>
      </c>
      <c r="E122" s="8" t="inlineStr">
        <is>
          <t>part_x_balance_sheet.prepaid_expenses_eoy</t>
        </is>
      </c>
      <c r="F122" s="8" t="inlineStr">
        <is>
          <t>high</t>
        </is>
      </c>
      <c r="G122" s="9" t="n">
        <v>3942</v>
      </c>
    </row>
    <row r="123">
      <c r="A123" s="8" t="inlineStr">
        <is>
          <t>Balance sheet (detail)</t>
        </is>
      </c>
      <c r="B123" s="8" t="inlineStr">
        <is>
          <t>G9</t>
        </is>
      </c>
      <c r="C123" s="8" t="inlineStr">
        <is>
          <t>9. Prepaid expenses and deferred charges</t>
        </is>
      </c>
      <c r="D123" s="8" t="inlineStr">
        <is>
          <t>9E</t>
        </is>
      </c>
      <c r="E123" s="8" t="inlineStr">
        <is>
          <t>part_x_balance_sheet.prepaid_expenses_eoy</t>
        </is>
      </c>
      <c r="F123" s="8" t="inlineStr">
        <is>
          <t>high</t>
        </is>
      </c>
      <c r="G123" s="9" t="n">
        <v>5678</v>
      </c>
    </row>
    <row r="124">
      <c r="A124" s="8" t="inlineStr">
        <is>
          <t>Balance sheet (detail)</t>
        </is>
      </c>
      <c r="B124" s="8" t="inlineStr">
        <is>
          <t>B10</t>
        </is>
      </c>
      <c r="C124" s="8" t="inlineStr">
        <is>
          <t>10c. Land, buildings, and equipment, net</t>
        </is>
      </c>
      <c r="D124" s="8" t="inlineStr">
        <is>
          <t>10cE</t>
        </is>
      </c>
      <c r="E124" s="8" t="inlineStr">
        <is>
          <t>part_x_balance_sheet.land_bldg_equip_net_eoy</t>
        </is>
      </c>
      <c r="F124" s="8" t="inlineStr">
        <is>
          <t>high</t>
        </is>
      </c>
      <c r="G124" s="9" t="n">
        <v>171021</v>
      </c>
    </row>
    <row r="125">
      <c r="A125" s="8" t="inlineStr">
        <is>
          <t>Balance sheet (detail)</t>
        </is>
      </c>
      <c r="B125" s="8" t="inlineStr">
        <is>
          <t>C10</t>
        </is>
      </c>
      <c r="C125" s="8" t="inlineStr">
        <is>
          <t>10c. Land, buildings, and equipment, net</t>
        </is>
      </c>
      <c r="D125" s="8" t="inlineStr">
        <is>
          <t>10cE</t>
        </is>
      </c>
      <c r="E125" s="8" t="inlineStr">
        <is>
          <t>part_x_balance_sheet.land_bldg_equip_net_eoy</t>
        </is>
      </c>
      <c r="F125" s="8" t="inlineStr">
        <is>
          <t>high</t>
        </is>
      </c>
      <c r="G125" s="9" t="n">
        <v>163445</v>
      </c>
    </row>
    <row r="126">
      <c r="A126" s="8" t="inlineStr">
        <is>
          <t>Balance sheet (detail)</t>
        </is>
      </c>
      <c r="B126" s="8" t="inlineStr">
        <is>
          <t>D10</t>
        </is>
      </c>
      <c r="C126" s="8" t="inlineStr">
        <is>
          <t>10c. Land, buildings, and equipment, net</t>
        </is>
      </c>
      <c r="D126" s="8" t="inlineStr">
        <is>
          <t>10cE</t>
        </is>
      </c>
      <c r="E126" s="8" t="inlineStr">
        <is>
          <t>part_x_balance_sheet.land_bldg_equip_net_eoy</t>
        </is>
      </c>
      <c r="F126" s="8" t="inlineStr">
        <is>
          <t>high</t>
        </is>
      </c>
      <c r="G126" s="9" t="n">
        <v>155869</v>
      </c>
    </row>
    <row r="127">
      <c r="A127" s="8" t="inlineStr">
        <is>
          <t>Balance sheet (detail)</t>
        </is>
      </c>
      <c r="B127" s="8" t="inlineStr">
        <is>
          <t>E10</t>
        </is>
      </c>
      <c r="C127" s="8" t="inlineStr">
        <is>
          <t>10c. Land, buildings, and equipment, net</t>
        </is>
      </c>
      <c r="D127" s="8" t="inlineStr">
        <is>
          <t>10cE</t>
        </is>
      </c>
      <c r="E127" s="8" t="inlineStr">
        <is>
          <t>part_x_balance_sheet.land_bldg_equip_net_eoy</t>
        </is>
      </c>
      <c r="F127" s="8" t="inlineStr">
        <is>
          <t>high</t>
        </is>
      </c>
      <c r="G127" s="9" t="n">
        <v>148293</v>
      </c>
    </row>
    <row r="128">
      <c r="A128" s="8" t="inlineStr">
        <is>
          <t>Balance sheet (detail)</t>
        </is>
      </c>
      <c r="B128" s="8" t="inlineStr">
        <is>
          <t>F10</t>
        </is>
      </c>
      <c r="C128" s="8" t="inlineStr">
        <is>
          <t>10c. Land, buildings, and equipment, net</t>
        </is>
      </c>
      <c r="D128" s="8" t="inlineStr">
        <is>
          <t>10cE</t>
        </is>
      </c>
      <c r="E128" s="8" t="inlineStr">
        <is>
          <t>part_x_balance_sheet.land_bldg_equip_net_eoy</t>
        </is>
      </c>
      <c r="F128" s="8" t="inlineStr">
        <is>
          <t>high</t>
        </is>
      </c>
      <c r="G128" s="9" t="n">
        <v>611515</v>
      </c>
    </row>
    <row r="129">
      <c r="A129" s="8" t="inlineStr">
        <is>
          <t>Balance sheet (detail)</t>
        </is>
      </c>
      <c r="B129" s="8" t="inlineStr">
        <is>
          <t>G10</t>
        </is>
      </c>
      <c r="C129" s="8" t="inlineStr">
        <is>
          <t>10c. Land, buildings, and equipment, net</t>
        </is>
      </c>
      <c r="D129" s="8" t="inlineStr">
        <is>
          <t>10cE</t>
        </is>
      </c>
      <c r="E129" s="8" t="inlineStr">
        <is>
          <t>part_x_balance_sheet.land_bldg_equip_net_eoy</t>
        </is>
      </c>
      <c r="F129" s="8" t="inlineStr">
        <is>
          <t>high</t>
        </is>
      </c>
      <c r="G129" s="9" t="n">
        <v>3609522</v>
      </c>
    </row>
    <row r="130">
      <c r="A130" s="8" t="inlineStr">
        <is>
          <t>Balance sheet (detail)</t>
        </is>
      </c>
      <c r="B130" s="8" t="inlineStr">
        <is>
          <t>B14</t>
        </is>
      </c>
      <c r="C130" s="8" t="inlineStr">
        <is>
          <t>17. Accounts payable and accrued expenses</t>
        </is>
      </c>
      <c r="D130" s="8" t="inlineStr">
        <is>
          <t>17E</t>
        </is>
      </c>
      <c r="E130" s="8" t="inlineStr">
        <is>
          <t>part_x_balance_sheet.accounts_payable_eoy</t>
        </is>
      </c>
      <c r="F130" s="8" t="inlineStr">
        <is>
          <t>high</t>
        </is>
      </c>
      <c r="G130" s="9" t="n">
        <v>3809</v>
      </c>
    </row>
    <row r="131">
      <c r="A131" s="8" t="inlineStr">
        <is>
          <t>Balance sheet (detail)</t>
        </is>
      </c>
      <c r="B131" s="8" t="inlineStr">
        <is>
          <t>C14</t>
        </is>
      </c>
      <c r="C131" s="8" t="inlineStr">
        <is>
          <t>17. Accounts payable and accrued expenses</t>
        </is>
      </c>
      <c r="D131" s="8" t="inlineStr">
        <is>
          <t>17E</t>
        </is>
      </c>
      <c r="E131" s="8" t="inlineStr">
        <is>
          <t>part_x_balance_sheet.accounts_payable_eoy</t>
        </is>
      </c>
      <c r="F131" s="8" t="inlineStr">
        <is>
          <t>high</t>
        </is>
      </c>
      <c r="G131" s="9" t="n">
        <v>0</v>
      </c>
    </row>
    <row r="132">
      <c r="A132" s="8" t="inlineStr">
        <is>
          <t>Balance sheet (detail)</t>
        </is>
      </c>
      <c r="B132" s="8" t="inlineStr">
        <is>
          <t>E14</t>
        </is>
      </c>
      <c r="C132" s="8" t="inlineStr">
        <is>
          <t>17. Accounts payable and accrued expenses</t>
        </is>
      </c>
      <c r="D132" s="8" t="inlineStr">
        <is>
          <t>17E</t>
        </is>
      </c>
      <c r="E132" s="8" t="inlineStr">
        <is>
          <t>part_x_balance_sheet.accounts_payable_eoy</t>
        </is>
      </c>
      <c r="F132" s="8" t="inlineStr">
        <is>
          <t>high</t>
        </is>
      </c>
      <c r="G132" s="9" t="n">
        <v>1504</v>
      </c>
    </row>
    <row r="133">
      <c r="A133" s="8" t="inlineStr">
        <is>
          <t>Balance sheet (detail)</t>
        </is>
      </c>
      <c r="B133" s="8" t="inlineStr">
        <is>
          <t>G14</t>
        </is>
      </c>
      <c r="C133" s="8" t="inlineStr">
        <is>
          <t>17. Accounts payable and accrued expenses</t>
        </is>
      </c>
      <c r="D133" s="8" t="inlineStr">
        <is>
          <t>17E</t>
        </is>
      </c>
      <c r="E133" s="8" t="inlineStr">
        <is>
          <t>part_x_balance_sheet.accounts_payable_eoy</t>
        </is>
      </c>
      <c r="F133" s="8" t="inlineStr">
        <is>
          <t>high</t>
        </is>
      </c>
      <c r="G133" s="9" t="n">
        <v>3416</v>
      </c>
    </row>
    <row r="134">
      <c r="A134" s="8" t="inlineStr">
        <is>
          <t>Balance sheet (detail)</t>
        </is>
      </c>
      <c r="B134" s="8" t="inlineStr">
        <is>
          <t>B18</t>
        </is>
      </c>
      <c r="C134" s="8" t="inlineStr">
        <is>
          <t>29. Capital stock or trust principal</t>
        </is>
      </c>
      <c r="D134" s="8" t="inlineStr">
        <is>
          <t>29E</t>
        </is>
      </c>
      <c r="E134" s="8" t="inlineStr">
        <is>
          <t>part_x_balance_sheet.cap_stock_eoy</t>
        </is>
      </c>
      <c r="F134" s="8" t="inlineStr">
        <is>
          <t>high</t>
        </is>
      </c>
      <c r="G134" s="9" t="n">
        <v>0</v>
      </c>
    </row>
    <row r="135">
      <c r="A135" s="8" t="inlineStr">
        <is>
          <t>Balance sheet (detail)</t>
        </is>
      </c>
      <c r="B135" s="8" t="inlineStr">
        <is>
          <t>C18</t>
        </is>
      </c>
      <c r="C135" s="8" t="inlineStr">
        <is>
          <t>29. Capital stock or trust principal</t>
        </is>
      </c>
      <c r="D135" s="8" t="inlineStr">
        <is>
          <t>29E</t>
        </is>
      </c>
      <c r="E135" s="8" t="inlineStr">
        <is>
          <t>part_x_balance_sheet.cap_stock_eoy</t>
        </is>
      </c>
      <c r="F135" s="8" t="inlineStr">
        <is>
          <t>high</t>
        </is>
      </c>
      <c r="G135" s="9" t="n">
        <v>0</v>
      </c>
    </row>
    <row r="136">
      <c r="A136" s="8" t="inlineStr">
        <is>
          <t>Balance sheet (detail)</t>
        </is>
      </c>
      <c r="B136" s="8" t="inlineStr">
        <is>
          <t>D18</t>
        </is>
      </c>
      <c r="C136" s="8" t="inlineStr">
        <is>
          <t>29. Capital stock or trust principal</t>
        </is>
      </c>
      <c r="D136" s="8" t="inlineStr">
        <is>
          <t>29E</t>
        </is>
      </c>
      <c r="E136" s="8" t="inlineStr">
        <is>
          <t>part_x_balance_sheet.cap_stock_eoy</t>
        </is>
      </c>
      <c r="F136" s="8" t="inlineStr">
        <is>
          <t>high</t>
        </is>
      </c>
      <c r="G136" s="9" t="n">
        <v>0</v>
      </c>
    </row>
    <row r="137">
      <c r="A137" s="8" t="inlineStr">
        <is>
          <t>Balance sheet (detail)</t>
        </is>
      </c>
      <c r="B137" s="8" t="inlineStr">
        <is>
          <t>E18</t>
        </is>
      </c>
      <c r="C137" s="8" t="inlineStr">
        <is>
          <t>29. Capital stock or trust principal</t>
        </is>
      </c>
      <c r="D137" s="8" t="inlineStr">
        <is>
          <t>29E</t>
        </is>
      </c>
      <c r="E137" s="8" t="inlineStr">
        <is>
          <t>part_x_balance_sheet.cap_stock_eoy</t>
        </is>
      </c>
      <c r="F137" s="8" t="inlineStr">
        <is>
          <t>high</t>
        </is>
      </c>
      <c r="G137" s="9" t="n">
        <v>0</v>
      </c>
    </row>
    <row r="138">
      <c r="A138" s="8" t="inlineStr">
        <is>
          <t>Balance sheet (detail)</t>
        </is>
      </c>
      <c r="B138" s="8" t="inlineStr">
        <is>
          <t>F18</t>
        </is>
      </c>
      <c r="C138" s="8" t="inlineStr">
        <is>
          <t>29. Capital stock or trust principal</t>
        </is>
      </c>
      <c r="D138" s="8" t="inlineStr">
        <is>
          <t>29E</t>
        </is>
      </c>
      <c r="E138" s="8" t="inlineStr">
        <is>
          <t>part_x_balance_sheet.cap_stock_eoy</t>
        </is>
      </c>
      <c r="F138" s="8" t="inlineStr">
        <is>
          <t>high</t>
        </is>
      </c>
      <c r="G138" s="9" t="n">
        <v>0</v>
      </c>
    </row>
    <row r="139">
      <c r="A139" s="8" t="inlineStr">
        <is>
          <t>Balance sheet (detail)</t>
        </is>
      </c>
      <c r="B139" s="8" t="inlineStr">
        <is>
          <t>G18</t>
        </is>
      </c>
      <c r="C139" s="8" t="inlineStr">
        <is>
          <t>29. Capital stock or trust principal</t>
        </is>
      </c>
      <c r="D139" s="8" t="inlineStr">
        <is>
          <t>29E</t>
        </is>
      </c>
      <c r="E139" s="8" t="inlineStr">
        <is>
          <t>part_x_balance_sheet.cap_stock_eoy</t>
        </is>
      </c>
      <c r="F139" s="8" t="inlineStr">
        <is>
          <t>high</t>
        </is>
      </c>
      <c r="G139" s="9" t="n">
        <v>0</v>
      </c>
    </row>
    <row r="140">
      <c r="A140" s="8" t="inlineStr">
        <is>
          <t>Balance sheet (detail)</t>
        </is>
      </c>
      <c r="B140" s="8" t="inlineStr">
        <is>
          <t>B19</t>
        </is>
      </c>
      <c r="C140" s="8" t="inlineStr">
        <is>
          <t>30. Paid-in or capital surplus</t>
        </is>
      </c>
      <c r="D140" s="8" t="inlineStr">
        <is>
          <t>30E</t>
        </is>
      </c>
      <c r="E140" s="8" t="inlineStr">
        <is>
          <t>part_x_balance_sheet.paid_in_capital_eoy</t>
        </is>
      </c>
      <c r="F140" s="8" t="inlineStr">
        <is>
          <t>high</t>
        </is>
      </c>
      <c r="G140" s="9" t="n">
        <v>0</v>
      </c>
    </row>
    <row r="141">
      <c r="A141" s="8" t="inlineStr">
        <is>
          <t>Balance sheet (detail)</t>
        </is>
      </c>
      <c r="B141" s="8" t="inlineStr">
        <is>
          <t>C19</t>
        </is>
      </c>
      <c r="C141" s="8" t="inlineStr">
        <is>
          <t>30. Paid-in or capital surplus</t>
        </is>
      </c>
      <c r="D141" s="8" t="inlineStr">
        <is>
          <t>30E</t>
        </is>
      </c>
      <c r="E141" s="8" t="inlineStr">
        <is>
          <t>part_x_balance_sheet.paid_in_capital_eoy</t>
        </is>
      </c>
      <c r="F141" s="8" t="inlineStr">
        <is>
          <t>high</t>
        </is>
      </c>
      <c r="G141" s="9" t="n">
        <v>0</v>
      </c>
    </row>
    <row r="142">
      <c r="A142" s="8" t="inlineStr">
        <is>
          <t>Balance sheet (detail)</t>
        </is>
      </c>
      <c r="B142" s="8" t="inlineStr">
        <is>
          <t>D19</t>
        </is>
      </c>
      <c r="C142" s="8" t="inlineStr">
        <is>
          <t>30. Paid-in or capital surplus</t>
        </is>
      </c>
      <c r="D142" s="8" t="inlineStr">
        <is>
          <t>30E</t>
        </is>
      </c>
      <c r="E142" s="8" t="inlineStr">
        <is>
          <t>part_x_balance_sheet.paid_in_capital_eoy</t>
        </is>
      </c>
      <c r="F142" s="8" t="inlineStr">
        <is>
          <t>high</t>
        </is>
      </c>
      <c r="G142" s="9" t="n">
        <v>0</v>
      </c>
    </row>
    <row r="143">
      <c r="A143" s="8" t="inlineStr">
        <is>
          <t>Balance sheet (detail)</t>
        </is>
      </c>
      <c r="B143" s="8" t="inlineStr">
        <is>
          <t>E19</t>
        </is>
      </c>
      <c r="C143" s="8" t="inlineStr">
        <is>
          <t>30. Paid-in or capital surplus</t>
        </is>
      </c>
      <c r="D143" s="8" t="inlineStr">
        <is>
          <t>30E</t>
        </is>
      </c>
      <c r="E143" s="8" t="inlineStr">
        <is>
          <t>part_x_balance_sheet.paid_in_capital_eoy</t>
        </is>
      </c>
      <c r="F143" s="8" t="inlineStr">
        <is>
          <t>high</t>
        </is>
      </c>
      <c r="G143" s="9" t="n">
        <v>0</v>
      </c>
    </row>
    <row r="144">
      <c r="A144" s="8" t="inlineStr">
        <is>
          <t>Balance sheet (detail)</t>
        </is>
      </c>
      <c r="B144" s="8" t="inlineStr">
        <is>
          <t>F19</t>
        </is>
      </c>
      <c r="C144" s="8" t="inlineStr">
        <is>
          <t>30. Paid-in or capital surplus</t>
        </is>
      </c>
      <c r="D144" s="8" t="inlineStr">
        <is>
          <t>30E</t>
        </is>
      </c>
      <c r="E144" s="8" t="inlineStr">
        <is>
          <t>part_x_balance_sheet.paid_in_capital_eoy</t>
        </is>
      </c>
      <c r="F144" s="8" t="inlineStr">
        <is>
          <t>high</t>
        </is>
      </c>
      <c r="G144" s="9" t="n">
        <v>0</v>
      </c>
    </row>
    <row r="145">
      <c r="A145" s="8" t="inlineStr">
        <is>
          <t>Balance sheet (detail)</t>
        </is>
      </c>
      <c r="B145" s="8" t="inlineStr">
        <is>
          <t>G19</t>
        </is>
      </c>
      <c r="C145" s="8" t="inlineStr">
        <is>
          <t>30. Paid-in or capital surplus</t>
        </is>
      </c>
      <c r="D145" s="8" t="inlineStr">
        <is>
          <t>30E</t>
        </is>
      </c>
      <c r="E145" s="8" t="inlineStr">
        <is>
          <t>part_x_balance_sheet.paid_in_capital_eoy</t>
        </is>
      </c>
      <c r="F145" s="8" t="inlineStr">
        <is>
          <t>high</t>
        </is>
      </c>
      <c r="G145" s="9" t="n">
        <v>0</v>
      </c>
    </row>
    <row r="146">
      <c r="A146" s="8" t="inlineStr">
        <is>
          <t>Balance sheet (detail)</t>
        </is>
      </c>
      <c r="B146" s="8" t="inlineStr">
        <is>
          <t>B20</t>
        </is>
      </c>
      <c r="C146" s="8" t="inlineStr">
        <is>
          <t>31. Retained earnings / accumulated funds</t>
        </is>
      </c>
      <c r="D146" s="8" t="inlineStr">
        <is>
          <t>31E</t>
        </is>
      </c>
      <c r="E146" s="8" t="inlineStr">
        <is>
          <t>part_x_balance_sheet.retained_earnings_eoy</t>
        </is>
      </c>
      <c r="F146" s="8" t="inlineStr">
        <is>
          <t>high</t>
        </is>
      </c>
      <c r="G146" s="9" t="n">
        <v>396422</v>
      </c>
    </row>
    <row r="147">
      <c r="A147" s="8" t="inlineStr">
        <is>
          <t>Balance sheet (detail)</t>
        </is>
      </c>
      <c r="B147" s="8" t="inlineStr">
        <is>
          <t>C20</t>
        </is>
      </c>
      <c r="C147" s="8" t="inlineStr">
        <is>
          <t>31. Retained earnings / accumulated funds</t>
        </is>
      </c>
      <c r="D147" s="8" t="inlineStr">
        <is>
          <t>31E</t>
        </is>
      </c>
      <c r="E147" s="8" t="inlineStr">
        <is>
          <t>part_x_balance_sheet.retained_earnings_eoy</t>
        </is>
      </c>
      <c r="F147" s="8" t="inlineStr">
        <is>
          <t>high</t>
        </is>
      </c>
      <c r="G147" s="9" t="n">
        <v>540139</v>
      </c>
    </row>
    <row r="148">
      <c r="A148" s="8" t="inlineStr">
        <is>
          <t>Balance sheet (detail)</t>
        </is>
      </c>
      <c r="B148" s="8" t="inlineStr">
        <is>
          <t>D20</t>
        </is>
      </c>
      <c r="C148" s="8" t="inlineStr">
        <is>
          <t>31. Retained earnings / accumulated funds</t>
        </is>
      </c>
      <c r="D148" s="8" t="inlineStr">
        <is>
          <t>31E</t>
        </is>
      </c>
      <c r="E148" s="8" t="inlineStr">
        <is>
          <t>part_x_balance_sheet.retained_earnings_eoy</t>
        </is>
      </c>
      <c r="F148" s="8" t="inlineStr">
        <is>
          <t>high</t>
        </is>
      </c>
      <c r="G148" s="9" t="n">
        <v>511079</v>
      </c>
    </row>
    <row r="149">
      <c r="A149" s="8" t="inlineStr">
        <is>
          <t>Balance sheet (detail)</t>
        </is>
      </c>
      <c r="B149" s="8" t="inlineStr">
        <is>
          <t>E20</t>
        </is>
      </c>
      <c r="C149" s="8" t="inlineStr">
        <is>
          <t>31. Retained earnings / accumulated funds</t>
        </is>
      </c>
      <c r="D149" s="8" t="inlineStr">
        <is>
          <t>31E</t>
        </is>
      </c>
      <c r="E149" s="8" t="inlineStr">
        <is>
          <t>part_x_balance_sheet.retained_earnings_eoy</t>
        </is>
      </c>
      <c r="F149" s="8" t="inlineStr">
        <is>
          <t>high</t>
        </is>
      </c>
      <c r="G149" s="9" t="n">
        <v>508098</v>
      </c>
    </row>
    <row r="150">
      <c r="A150" s="8" t="inlineStr">
        <is>
          <t>Balance sheet (detail)</t>
        </is>
      </c>
      <c r="B150" s="8" t="inlineStr">
        <is>
          <t>F20</t>
        </is>
      </c>
      <c r="C150" s="8" t="inlineStr">
        <is>
          <t>31. Retained earnings / accumulated funds</t>
        </is>
      </c>
      <c r="D150" s="8" t="inlineStr">
        <is>
          <t>31E</t>
        </is>
      </c>
      <c r="E150" s="8" t="inlineStr">
        <is>
          <t>part_x_balance_sheet.retained_earnings_eoy</t>
        </is>
      </c>
      <c r="F150" s="8" t="inlineStr">
        <is>
          <t>high</t>
        </is>
      </c>
      <c r="G150" s="9" t="n">
        <v>988349</v>
      </c>
    </row>
    <row r="151">
      <c r="A151" s="8" t="inlineStr">
        <is>
          <t>Balance sheet (detail)</t>
        </is>
      </c>
      <c r="B151" s="8" t="inlineStr">
        <is>
          <t>G20</t>
        </is>
      </c>
      <c r="C151" s="8" t="inlineStr">
        <is>
          <t>31. Retained earnings / accumulated funds</t>
        </is>
      </c>
      <c r="D151" s="8" t="inlineStr">
        <is>
          <t>31E</t>
        </is>
      </c>
      <c r="E151" s="8" t="inlineStr">
        <is>
          <t>part_x_balance_sheet.retained_earnings_eoy</t>
        </is>
      </c>
      <c r="F151" s="8" t="inlineStr">
        <is>
          <t>high</t>
        </is>
      </c>
      <c r="G151" s="9" t="n">
        <v>3971458</v>
      </c>
    </row>
    <row r="152">
      <c r="A152" s="8" t="inlineStr">
        <is>
          <t>Net-assets reconciliation</t>
        </is>
      </c>
      <c r="B152" s="8" t="inlineStr">
        <is>
          <t>B7</t>
        </is>
      </c>
      <c r="C152" s="8" t="inlineStr">
        <is>
          <t>4. Net assets, beginning of year</t>
        </is>
      </c>
      <c r="D152" s="8" t="inlineStr">
        <is>
          <t>Part XI line 4</t>
        </is>
      </c>
      <c r="E152" s="8" t="inlineStr">
        <is>
          <t>part_xi_reconciliation.net_assets_boy</t>
        </is>
      </c>
      <c r="F152" s="8" t="inlineStr">
        <is>
          <t>high</t>
        </is>
      </c>
      <c r="G152" s="9" t="n">
        <v>367829</v>
      </c>
    </row>
    <row r="153">
      <c r="A153" s="8" t="inlineStr">
        <is>
          <t>Net-assets reconciliation</t>
        </is>
      </c>
      <c r="B153" s="8" t="inlineStr">
        <is>
          <t>C7</t>
        </is>
      </c>
      <c r="C153" s="8" t="inlineStr">
        <is>
          <t>4. Net assets, beginning of year</t>
        </is>
      </c>
      <c r="D153" s="8" t="inlineStr">
        <is>
          <t>Part XI line 4</t>
        </is>
      </c>
      <c r="E153" s="8" t="inlineStr">
        <is>
          <t>part_xi_reconciliation.net_assets_boy</t>
        </is>
      </c>
      <c r="F153" s="8" t="inlineStr">
        <is>
          <t>high</t>
        </is>
      </c>
      <c r="G153" s="9" t="n">
        <v>396422</v>
      </c>
    </row>
    <row r="154">
      <c r="A154" s="8" t="inlineStr">
        <is>
          <t>Net-assets reconciliation</t>
        </is>
      </c>
      <c r="B154" s="8" t="inlineStr">
        <is>
          <t>D7</t>
        </is>
      </c>
      <c r="C154" s="8" t="inlineStr">
        <is>
          <t>4. Net assets, beginning of year</t>
        </is>
      </c>
      <c r="D154" s="8" t="inlineStr">
        <is>
          <t>Part XI line 4</t>
        </is>
      </c>
      <c r="E154" s="8" t="inlineStr">
        <is>
          <t>part_xi_reconciliation.net_assets_boy</t>
        </is>
      </c>
      <c r="F154" s="8" t="inlineStr">
        <is>
          <t>high</t>
        </is>
      </c>
      <c r="G154" s="9" t="n">
        <v>540139</v>
      </c>
    </row>
    <row r="155">
      <c r="A155" s="8" t="inlineStr">
        <is>
          <t>Net-assets reconciliation</t>
        </is>
      </c>
      <c r="B155" s="8" t="inlineStr">
        <is>
          <t>E7</t>
        </is>
      </c>
      <c r="C155" s="8" t="inlineStr">
        <is>
          <t>4. Net assets, beginning of year</t>
        </is>
      </c>
      <c r="D155" s="8" t="inlineStr">
        <is>
          <t>Part XI line 4</t>
        </is>
      </c>
      <c r="E155" s="8" t="inlineStr">
        <is>
          <t>part_xi_reconciliation.net_assets_boy</t>
        </is>
      </c>
      <c r="F155" s="8" t="inlineStr">
        <is>
          <t>high</t>
        </is>
      </c>
      <c r="G155" s="9" t="n">
        <v>511079</v>
      </c>
    </row>
    <row r="156">
      <c r="A156" s="8" t="inlineStr">
        <is>
          <t>Net-assets reconciliation</t>
        </is>
      </c>
      <c r="B156" s="8" t="inlineStr">
        <is>
          <t>F7</t>
        </is>
      </c>
      <c r="C156" s="8" t="inlineStr">
        <is>
          <t>4. Net assets, beginning of year</t>
        </is>
      </c>
      <c r="D156" s="8" t="inlineStr">
        <is>
          <t>Part XI line 4</t>
        </is>
      </c>
      <c r="E156" s="8" t="inlineStr">
        <is>
          <t>part_xi_reconciliation.net_assets_boy</t>
        </is>
      </c>
      <c r="F156" s="8" t="inlineStr">
        <is>
          <t>high</t>
        </is>
      </c>
      <c r="G156" s="9" t="n">
        <v>508098</v>
      </c>
    </row>
    <row r="157">
      <c r="A157" s="8" t="inlineStr">
        <is>
          <t>Net-assets reconciliation</t>
        </is>
      </c>
      <c r="B157" s="8" t="inlineStr">
        <is>
          <t>G7</t>
        </is>
      </c>
      <c r="C157" s="8" t="inlineStr">
        <is>
          <t>4. Net assets, beginning of year</t>
        </is>
      </c>
      <c r="D157" s="8" t="inlineStr">
        <is>
          <t>Part XI line 4</t>
        </is>
      </c>
      <c r="E157" s="8" t="inlineStr">
        <is>
          <t>part_xi_reconciliation.net_assets_boy</t>
        </is>
      </c>
      <c r="F157" s="8" t="inlineStr">
        <is>
          <t>high</t>
        </is>
      </c>
      <c r="G157" s="9" t="n">
        <v>988349</v>
      </c>
    </row>
    <row r="158">
      <c r="A158" s="8" t="inlineStr">
        <is>
          <t>Net-assets reconciliation</t>
        </is>
      </c>
      <c r="B158" s="8" t="inlineStr">
        <is>
          <t>B8</t>
        </is>
      </c>
      <c r="C158" s="8" t="inlineStr">
        <is>
          <t>3. Revenue less expenses</t>
        </is>
      </c>
      <c r="D158" s="8" t="inlineStr">
        <is>
          <t>Part XI line 3</t>
        </is>
      </c>
      <c r="E158" s="8" t="inlineStr">
        <is>
          <t>part_xi_reconciliation.reconciliation_revenue_expenses</t>
        </is>
      </c>
      <c r="F158" s="8" t="inlineStr">
        <is>
          <t>high</t>
        </is>
      </c>
      <c r="G158" s="9" t="n">
        <v>28593</v>
      </c>
    </row>
    <row r="159">
      <c r="A159" s="8" t="inlineStr">
        <is>
          <t>Net-assets reconciliation</t>
        </is>
      </c>
      <c r="B159" s="8" t="inlineStr">
        <is>
          <t>C8</t>
        </is>
      </c>
      <c r="C159" s="8" t="inlineStr">
        <is>
          <t>3. Revenue less expenses</t>
        </is>
      </c>
      <c r="D159" s="8" t="inlineStr">
        <is>
          <t>Part XI line 3</t>
        </is>
      </c>
      <c r="E159" s="8" t="inlineStr">
        <is>
          <t>part_xi_reconciliation.reconciliation_revenue_expenses</t>
        </is>
      </c>
      <c r="F159" s="8" t="inlineStr">
        <is>
          <t>high</t>
        </is>
      </c>
      <c r="G159" s="9" t="n">
        <v>143717</v>
      </c>
    </row>
    <row r="160">
      <c r="A160" s="8" t="inlineStr">
        <is>
          <t>Net-assets reconciliation</t>
        </is>
      </c>
      <c r="B160" s="8" t="inlineStr">
        <is>
          <t>D8</t>
        </is>
      </c>
      <c r="C160" s="8" t="inlineStr">
        <is>
          <t>3. Revenue less expenses</t>
        </is>
      </c>
      <c r="D160" s="8" t="inlineStr">
        <is>
          <t>Part XI line 3</t>
        </is>
      </c>
      <c r="E160" s="8" t="inlineStr">
        <is>
          <t>part_xi_reconciliation.reconciliation_revenue_expenses</t>
        </is>
      </c>
      <c r="F160" s="8" t="inlineStr">
        <is>
          <t>high</t>
        </is>
      </c>
      <c r="G160" s="9" t="n">
        <v>-29060</v>
      </c>
    </row>
    <row r="161">
      <c r="A161" s="8" t="inlineStr">
        <is>
          <t>Net-assets reconciliation</t>
        </is>
      </c>
      <c r="B161" s="8" t="inlineStr">
        <is>
          <t>E8</t>
        </is>
      </c>
      <c r="C161" s="8" t="inlineStr">
        <is>
          <t>3. Revenue less expenses</t>
        </is>
      </c>
      <c r="D161" s="8" t="inlineStr">
        <is>
          <t>Part XI line 3</t>
        </is>
      </c>
      <c r="E161" s="8" t="inlineStr">
        <is>
          <t>part_xi_reconciliation.reconciliation_revenue_expenses</t>
        </is>
      </c>
      <c r="F161" s="8" t="inlineStr">
        <is>
          <t>high</t>
        </is>
      </c>
      <c r="G161" s="9" t="n">
        <v>-2981</v>
      </c>
    </row>
    <row r="162">
      <c r="A162" s="8" t="inlineStr">
        <is>
          <t>Net-assets reconciliation</t>
        </is>
      </c>
      <c r="B162" s="8" t="inlineStr">
        <is>
          <t>F8</t>
        </is>
      </c>
      <c r="C162" s="8" t="inlineStr">
        <is>
          <t>3. Revenue less expenses</t>
        </is>
      </c>
      <c r="D162" s="8" t="inlineStr">
        <is>
          <t>Part XI line 3</t>
        </is>
      </c>
      <c r="E162" s="8" t="inlineStr">
        <is>
          <t>part_xi_reconciliation.reconciliation_revenue_expenses</t>
        </is>
      </c>
      <c r="F162" s="8" t="inlineStr">
        <is>
          <t>high</t>
        </is>
      </c>
      <c r="G162" s="9" t="n">
        <v>480251</v>
      </c>
    </row>
    <row r="163">
      <c r="A163" s="8" t="inlineStr">
        <is>
          <t>Net-assets reconciliation</t>
        </is>
      </c>
      <c r="B163" s="8" t="inlineStr">
        <is>
          <t>G8</t>
        </is>
      </c>
      <c r="C163" s="8" t="inlineStr">
        <is>
          <t>3. Revenue less expenses</t>
        </is>
      </c>
      <c r="D163" s="8" t="inlineStr">
        <is>
          <t>Part XI line 3</t>
        </is>
      </c>
      <c r="E163" s="8" t="inlineStr">
        <is>
          <t>part_xi_reconciliation.reconciliation_revenue_expenses</t>
        </is>
      </c>
      <c r="F163" s="8" t="inlineStr">
        <is>
          <t>high</t>
        </is>
      </c>
      <c r="G163" s="9" t="n">
        <v>2983109</v>
      </c>
    </row>
    <row r="164">
      <c r="A164" s="8" t="inlineStr">
        <is>
          <t>Net-assets reconciliation</t>
        </is>
      </c>
      <c r="B164" s="8" t="inlineStr">
        <is>
          <t>B10</t>
        </is>
      </c>
      <c r="C164" s="8" t="inlineStr">
        <is>
          <t>9. Other changes in net assets</t>
        </is>
      </c>
      <c r="D164" s="8" t="inlineStr">
        <is>
          <t>Part XI line 9</t>
        </is>
      </c>
      <c r="E164" s="8" t="inlineStr">
        <is>
          <t>part_xi_reconciliation.other_changes_net_assets</t>
        </is>
      </c>
      <c r="F164" s="8" t="inlineStr">
        <is>
          <t>high</t>
        </is>
      </c>
      <c r="G164" s="9" t="n">
        <v>0</v>
      </c>
    </row>
    <row r="165">
      <c r="A165" s="8" t="inlineStr">
        <is>
          <t>Net-assets reconciliation</t>
        </is>
      </c>
      <c r="B165" s="8" t="inlineStr">
        <is>
          <t>C10</t>
        </is>
      </c>
      <c r="C165" s="8" t="inlineStr">
        <is>
          <t>9. Other changes in net assets</t>
        </is>
      </c>
      <c r="D165" s="8" t="inlineStr">
        <is>
          <t>Part XI line 9</t>
        </is>
      </c>
      <c r="E165" s="8" t="inlineStr">
        <is>
          <t>part_xi_reconciliation.other_changes_net_assets</t>
        </is>
      </c>
      <c r="F165" s="8" t="inlineStr">
        <is>
          <t>high</t>
        </is>
      </c>
      <c r="G165" s="9" t="n">
        <v>0</v>
      </c>
    </row>
    <row r="166">
      <c r="A166" s="8" t="inlineStr">
        <is>
          <t>Net-assets reconciliation</t>
        </is>
      </c>
      <c r="B166" s="8" t="inlineStr">
        <is>
          <t>D10</t>
        </is>
      </c>
      <c r="C166" s="8" t="inlineStr">
        <is>
          <t>9. Other changes in net assets</t>
        </is>
      </c>
      <c r="D166" s="8" t="inlineStr">
        <is>
          <t>Part XI line 9</t>
        </is>
      </c>
      <c r="E166" s="8" t="inlineStr">
        <is>
          <t>part_xi_reconciliation.other_changes_net_assets</t>
        </is>
      </c>
      <c r="F166" s="8" t="inlineStr">
        <is>
          <t>high</t>
        </is>
      </c>
      <c r="G166" s="9" t="n">
        <v>0</v>
      </c>
    </row>
    <row r="167">
      <c r="A167" s="8" t="inlineStr">
        <is>
          <t>Net-assets reconciliation</t>
        </is>
      </c>
      <c r="B167" s="8" t="inlineStr">
        <is>
          <t>E10</t>
        </is>
      </c>
      <c r="C167" s="8" t="inlineStr">
        <is>
          <t>9. Other changes in net assets</t>
        </is>
      </c>
      <c r="D167" s="8" t="inlineStr">
        <is>
          <t>Part XI line 9</t>
        </is>
      </c>
      <c r="E167" s="8" t="inlineStr">
        <is>
          <t>part_xi_reconciliation.other_changes_net_assets</t>
        </is>
      </c>
      <c r="F167" s="8" t="inlineStr">
        <is>
          <t>high</t>
        </is>
      </c>
      <c r="G167" s="9" t="n">
        <v>0</v>
      </c>
    </row>
    <row r="168">
      <c r="A168" s="8" t="inlineStr">
        <is>
          <t>Net-assets reconciliation</t>
        </is>
      </c>
      <c r="B168" s="8" t="inlineStr">
        <is>
          <t>F10</t>
        </is>
      </c>
      <c r="C168" s="8" t="inlineStr">
        <is>
          <t>9. Other changes in net assets</t>
        </is>
      </c>
      <c r="D168" s="8" t="inlineStr">
        <is>
          <t>Part XI line 9</t>
        </is>
      </c>
      <c r="E168" s="8" t="inlineStr">
        <is>
          <t>part_xi_reconciliation.other_changes_net_assets</t>
        </is>
      </c>
      <c r="F168" s="8" t="inlineStr">
        <is>
          <t>high</t>
        </is>
      </c>
      <c r="G168" s="9" t="n">
        <v>0</v>
      </c>
    </row>
    <row r="169">
      <c r="A169" s="8" t="inlineStr">
        <is>
          <t>Net-assets reconciliation</t>
        </is>
      </c>
      <c r="B169" s="8" t="inlineStr">
        <is>
          <t>G10</t>
        </is>
      </c>
      <c r="C169" s="8" t="inlineStr">
        <is>
          <t>9. Other changes in net assets</t>
        </is>
      </c>
      <c r="D169" s="8" t="inlineStr">
        <is>
          <t>Part XI line 9</t>
        </is>
      </c>
      <c r="E169" s="8" t="inlineStr">
        <is>
          <t>part_xi_reconciliation.other_changes_net_assets</t>
        </is>
      </c>
      <c r="F169" s="8" t="inlineStr">
        <is>
          <t>high</t>
        </is>
      </c>
      <c r="G169" s="9" t="n">
        <v>0</v>
      </c>
    </row>
    <row r="171">
      <c r="A171" s="31" t="inlineStr">
        <is>
          <t>C. Tie-out checks (filed vs computed; any nonzero variance is flagged red)</t>
        </is>
      </c>
      <c r="B171" s="7" t="n"/>
      <c r="C171" s="7" t="n"/>
      <c r="D171" s="7" t="n"/>
      <c r="E171" s="7" t="n"/>
      <c r="F171" s="7" t="n"/>
      <c r="G171" s="7" t="n"/>
      <c r="H171" s="7" t="n"/>
      <c r="I171" s="7" t="n"/>
      <c r="J171" s="7" t="n"/>
      <c r="K171" s="7" t="n"/>
    </row>
    <row r="172">
      <c r="A172" s="5" t="inlineStr">
        <is>
          <t>Tab</t>
        </is>
      </c>
      <c r="B172" s="5" t="inlineStr">
        <is>
          <t>Check</t>
        </is>
      </c>
      <c r="C172" s="5" t="inlineStr">
        <is>
          <t>Fiscal year</t>
        </is>
      </c>
      <c r="D172" s="5" t="inlineStr">
        <is>
          <t>Filed</t>
        </is>
      </c>
      <c r="E172" s="5" t="inlineStr">
        <is>
          <t>Computed</t>
        </is>
      </c>
      <c r="F172" s="5" t="inlineStr">
        <is>
          <t>Variance (computed - filed)</t>
        </is>
      </c>
    </row>
    <row r="173">
      <c r="A173" s="27" t="inlineStr">
        <is>
          <t>Revenue (detail)</t>
        </is>
      </c>
      <c r="B173" s="27" t="inlineStr">
        <is>
          <t>12. Total revenue</t>
        </is>
      </c>
      <c r="C173" s="27" t="inlineStr">
        <is>
          <t>FY2020</t>
        </is>
      </c>
      <c r="D173" s="9" t="n">
        <v>224021</v>
      </c>
      <c r="E173" s="9">
        <f>'Revenue (detail)'!B13</f>
        <v/>
      </c>
      <c r="F173" s="9">
        <f>E173-D173</f>
        <v/>
      </c>
    </row>
    <row r="174">
      <c r="A174" s="27" t="inlineStr">
        <is>
          <t>Revenue (detail)</t>
        </is>
      </c>
      <c r="B174" s="27" t="inlineStr">
        <is>
          <t>12. Total revenue</t>
        </is>
      </c>
      <c r="C174" s="27" t="inlineStr">
        <is>
          <t>FY2021</t>
        </is>
      </c>
      <c r="D174" s="9" t="n">
        <v>577618</v>
      </c>
      <c r="E174" s="9">
        <f>'Revenue (detail)'!C13</f>
        <v/>
      </c>
      <c r="F174" s="9">
        <f>E174-D174</f>
        <v/>
      </c>
    </row>
    <row r="175">
      <c r="A175" s="27" t="inlineStr">
        <is>
          <t>Revenue (detail)</t>
        </is>
      </c>
      <c r="B175" s="27" t="inlineStr">
        <is>
          <t>12. Total revenue</t>
        </is>
      </c>
      <c r="C175" s="27" t="inlineStr">
        <is>
          <t>FY2022</t>
        </is>
      </c>
      <c r="D175" s="9" t="n">
        <v>217874</v>
      </c>
      <c r="E175" s="9">
        <f>'Revenue (detail)'!D13</f>
        <v/>
      </c>
      <c r="F175" s="9">
        <f>E175-D175</f>
        <v/>
      </c>
    </row>
    <row r="176">
      <c r="A176" s="27" t="inlineStr">
        <is>
          <t>Revenue (detail)</t>
        </is>
      </c>
      <c r="B176" s="27" t="inlineStr">
        <is>
          <t>12. Total revenue</t>
        </is>
      </c>
      <c r="C176" s="27" t="inlineStr">
        <is>
          <t>FY2023</t>
        </is>
      </c>
      <c r="D176" s="9" t="n">
        <v>181164</v>
      </c>
      <c r="E176" s="9">
        <f>'Revenue (detail)'!E13</f>
        <v/>
      </c>
      <c r="F176" s="9">
        <f>E176-D176</f>
        <v/>
      </c>
    </row>
    <row r="177">
      <c r="A177" s="27" t="inlineStr">
        <is>
          <t>Revenue (detail)</t>
        </is>
      </c>
      <c r="B177" s="27" t="inlineStr">
        <is>
          <t>12. Total revenue</t>
        </is>
      </c>
      <c r="C177" s="27" t="inlineStr">
        <is>
          <t>FY2024</t>
        </is>
      </c>
      <c r="D177" s="9" t="n">
        <v>659047</v>
      </c>
      <c r="E177" s="9">
        <f>'Revenue (detail)'!F13</f>
        <v/>
      </c>
      <c r="F177" s="9">
        <f>E177-D177</f>
        <v/>
      </c>
    </row>
    <row r="178">
      <c r="A178" s="27" t="inlineStr">
        <is>
          <t>Revenue (detail)</t>
        </is>
      </c>
      <c r="B178" s="27" t="inlineStr">
        <is>
          <t>12. Total revenue</t>
        </is>
      </c>
      <c r="C178" s="27" t="inlineStr">
        <is>
          <t>FY2025</t>
        </is>
      </c>
      <c r="D178" s="9" t="n">
        <v>3152090</v>
      </c>
      <c r="E178" s="9">
        <f>'Revenue (detail)'!G13</f>
        <v/>
      </c>
      <c r="F178" s="9">
        <f>E178-D178</f>
        <v/>
      </c>
    </row>
    <row r="179">
      <c r="A179" s="27" t="inlineStr">
        <is>
          <t>Revenue (detail)</t>
        </is>
      </c>
      <c r="B179" s="27" t="inlineStr">
        <is>
          <t>2g program service revenue = sum of lines 2a-2f (FY2025)</t>
        </is>
      </c>
      <c r="C179" s="27" t="inlineStr">
        <is>
          <t>FY2025</t>
        </is>
      </c>
      <c r="D179" s="9" t="n">
        <v>180603</v>
      </c>
      <c r="E179" s="9">
        <f>SUM('Revenue (detail)'!C17:C17)</f>
        <v/>
      </c>
      <c r="F179" s="9">
        <f>E179-D179</f>
        <v/>
      </c>
    </row>
    <row r="180">
      <c r="A180" s="27" t="inlineStr">
        <is>
          <t>Operating expenses (detail)</t>
        </is>
      </c>
      <c r="B180" s="27" t="inlineStr">
        <is>
          <t>25. Total functional expenses</t>
        </is>
      </c>
      <c r="C180" s="27" t="inlineStr">
        <is>
          <t>FY2020</t>
        </is>
      </c>
      <c r="D180" s="9" t="n">
        <v>195428</v>
      </c>
      <c r="E180" s="9">
        <f>'Operating expenses (detail)'!B26</f>
        <v/>
      </c>
      <c r="F180" s="9">
        <f>E180-D180</f>
        <v/>
      </c>
    </row>
    <row r="181">
      <c r="A181" s="27" t="inlineStr">
        <is>
          <t>Operating expenses (detail)</t>
        </is>
      </c>
      <c r="B181" s="27" t="inlineStr">
        <is>
          <t>25. Total functional expenses</t>
        </is>
      </c>
      <c r="C181" s="27" t="inlineStr">
        <is>
          <t>FY2021</t>
        </is>
      </c>
      <c r="D181" s="9" t="n">
        <v>433901</v>
      </c>
      <c r="E181" s="9">
        <f>'Operating expenses (detail)'!C26</f>
        <v/>
      </c>
      <c r="F181" s="9">
        <f>E181-D181</f>
        <v/>
      </c>
    </row>
    <row r="182">
      <c r="A182" s="27" t="inlineStr">
        <is>
          <t>Operating expenses (detail)</t>
        </is>
      </c>
      <c r="B182" s="27" t="inlineStr">
        <is>
          <t>25. Total functional expenses</t>
        </is>
      </c>
      <c r="C182" s="27" t="inlineStr">
        <is>
          <t>FY2022</t>
        </is>
      </c>
      <c r="D182" s="9" t="n">
        <v>246934</v>
      </c>
      <c r="E182" s="9">
        <f>'Operating expenses (detail)'!D26</f>
        <v/>
      </c>
      <c r="F182" s="9">
        <f>E182-D182</f>
        <v/>
      </c>
    </row>
    <row r="183">
      <c r="A183" s="27" t="inlineStr">
        <is>
          <t>Operating expenses (detail)</t>
        </is>
      </c>
      <c r="B183" s="27" t="inlineStr">
        <is>
          <t>25. Total functional expenses</t>
        </is>
      </c>
      <c r="C183" s="27" t="inlineStr">
        <is>
          <t>FY2023</t>
        </is>
      </c>
      <c r="D183" s="9" t="n">
        <v>184145</v>
      </c>
      <c r="E183" s="9">
        <f>'Operating expenses (detail)'!E26</f>
        <v/>
      </c>
      <c r="F183" s="9">
        <f>E183-D183</f>
        <v/>
      </c>
    </row>
    <row r="184">
      <c r="A184" s="27" t="inlineStr">
        <is>
          <t>Operating expenses (detail)</t>
        </is>
      </c>
      <c r="B184" s="27" t="inlineStr">
        <is>
          <t>25. Total functional expenses</t>
        </is>
      </c>
      <c r="C184" s="27" t="inlineStr">
        <is>
          <t>FY2024</t>
        </is>
      </c>
      <c r="D184" s="9" t="n">
        <v>178796</v>
      </c>
      <c r="E184" s="9">
        <f>'Operating expenses (detail)'!F26</f>
        <v/>
      </c>
      <c r="F184" s="9">
        <f>E184-D184</f>
        <v/>
      </c>
    </row>
    <row r="185">
      <c r="A185" s="27" t="inlineStr">
        <is>
          <t>Operating expenses (detail)</t>
        </is>
      </c>
      <c r="B185" s="27" t="inlineStr">
        <is>
          <t>25. Total functional expenses</t>
        </is>
      </c>
      <c r="C185" s="27" t="inlineStr">
        <is>
          <t>FY2025</t>
        </is>
      </c>
      <c r="D185" s="9" t="n">
        <v>168981</v>
      </c>
      <c r="E185" s="9">
        <f>'Operating expenses (detail)'!G26</f>
        <v/>
      </c>
      <c r="F185" s="9">
        <f>E185-D185</f>
        <v/>
      </c>
    </row>
    <row r="186">
      <c r="A186" s="27" t="inlineStr">
        <is>
          <t>Balance sheet (detail)</t>
        </is>
      </c>
      <c r="B186" s="27" t="inlineStr">
        <is>
          <t>16. Total assets</t>
        </is>
      </c>
      <c r="C186" s="27" t="inlineStr">
        <is>
          <t>FY2020</t>
        </is>
      </c>
      <c r="D186" s="9" t="n">
        <v>400231</v>
      </c>
      <c r="E186" s="9">
        <f>'Balance sheet (detail)'!B11</f>
        <v/>
      </c>
      <c r="F186" s="9">
        <f>E186-D186</f>
        <v/>
      </c>
    </row>
    <row r="187">
      <c r="A187" s="27" t="inlineStr">
        <is>
          <t>Balance sheet (detail)</t>
        </is>
      </c>
      <c r="B187" s="27" t="inlineStr">
        <is>
          <t>16. Total assets</t>
        </is>
      </c>
      <c r="C187" s="27" t="inlineStr">
        <is>
          <t>FY2021</t>
        </is>
      </c>
      <c r="D187" s="9" t="n">
        <v>540139</v>
      </c>
      <c r="E187" s="9">
        <f>'Balance sheet (detail)'!C11</f>
        <v/>
      </c>
      <c r="F187" s="9">
        <f>E187-D187</f>
        <v/>
      </c>
    </row>
    <row r="188">
      <c r="A188" s="27" t="inlineStr">
        <is>
          <t>Balance sheet (detail)</t>
        </is>
      </c>
      <c r="B188" s="27" t="inlineStr">
        <is>
          <t>16. Total assets</t>
        </is>
      </c>
      <c r="C188" s="27" t="inlineStr">
        <is>
          <t>FY2022</t>
        </is>
      </c>
      <c r="D188" s="9" t="n">
        <v>511079</v>
      </c>
      <c r="E188" s="9">
        <f>'Balance sheet (detail)'!D11</f>
        <v/>
      </c>
      <c r="F188" s="9">
        <f>E188-D188</f>
        <v/>
      </c>
    </row>
    <row r="189">
      <c r="A189" s="27" t="inlineStr">
        <is>
          <t>Balance sheet (detail)</t>
        </is>
      </c>
      <c r="B189" s="27" t="inlineStr">
        <is>
          <t>16. Total assets</t>
        </is>
      </c>
      <c r="C189" s="27" t="inlineStr">
        <is>
          <t>FY2023</t>
        </is>
      </c>
      <c r="D189" s="9" t="n">
        <v>509602</v>
      </c>
      <c r="E189" s="9">
        <f>'Balance sheet (detail)'!E11</f>
        <v/>
      </c>
      <c r="F189" s="9">
        <f>E189-D189</f>
        <v/>
      </c>
    </row>
    <row r="190">
      <c r="A190" s="27" t="inlineStr">
        <is>
          <t>Balance sheet (detail)</t>
        </is>
      </c>
      <c r="B190" s="27" t="inlineStr">
        <is>
          <t>16. Total assets</t>
        </is>
      </c>
      <c r="C190" s="27" t="inlineStr">
        <is>
          <t>FY2024</t>
        </is>
      </c>
      <c r="D190" s="9" t="n">
        <v>988349</v>
      </c>
      <c r="E190" s="9">
        <f>'Balance sheet (detail)'!F11</f>
        <v/>
      </c>
      <c r="F190" s="9">
        <f>E190-D190</f>
        <v/>
      </c>
    </row>
    <row r="191">
      <c r="A191" s="27" t="inlineStr">
        <is>
          <t>Balance sheet (detail)</t>
        </is>
      </c>
      <c r="B191" s="27" t="inlineStr">
        <is>
          <t>16. Total assets</t>
        </is>
      </c>
      <c r="C191" s="27" t="inlineStr">
        <is>
          <t>FY2025</t>
        </is>
      </c>
      <c r="D191" s="9" t="n">
        <v>3974874</v>
      </c>
      <c r="E191" s="9">
        <f>'Balance sheet (detail)'!G11</f>
        <v/>
      </c>
      <c r="F191" s="9">
        <f>E191-D191</f>
        <v/>
      </c>
    </row>
    <row r="192">
      <c r="A192" s="27" t="inlineStr">
        <is>
          <t>Balance sheet (detail)</t>
        </is>
      </c>
      <c r="B192" s="27" t="inlineStr">
        <is>
          <t>26. Total liabilities</t>
        </is>
      </c>
      <c r="C192" s="27" t="inlineStr">
        <is>
          <t>FY2020</t>
        </is>
      </c>
      <c r="D192" s="9" t="n">
        <v>3809</v>
      </c>
      <c r="E192" s="9">
        <f>'Balance sheet (detail)'!B15</f>
        <v/>
      </c>
      <c r="F192" s="9">
        <f>E192-D192</f>
        <v/>
      </c>
    </row>
    <row r="193">
      <c r="A193" s="27" t="inlineStr">
        <is>
          <t>Balance sheet (detail)</t>
        </is>
      </c>
      <c r="B193" s="27" t="inlineStr">
        <is>
          <t>26. Total liabilities</t>
        </is>
      </c>
      <c r="C193" s="27" t="inlineStr">
        <is>
          <t>FY2021</t>
        </is>
      </c>
      <c r="D193" s="9" t="n">
        <v>0</v>
      </c>
      <c r="E193" s="9">
        <f>'Balance sheet (detail)'!C15</f>
        <v/>
      </c>
      <c r="F193" s="9">
        <f>E193-D193</f>
        <v/>
      </c>
    </row>
    <row r="194">
      <c r="A194" s="27" t="inlineStr">
        <is>
          <t>Balance sheet (detail)</t>
        </is>
      </c>
      <c r="B194" s="27" t="inlineStr">
        <is>
          <t>26. Total liabilities</t>
        </is>
      </c>
      <c r="C194" s="27" t="inlineStr">
        <is>
          <t>FY2022</t>
        </is>
      </c>
      <c r="D194" s="9" t="n">
        <v>0</v>
      </c>
      <c r="E194" s="9">
        <f>'Balance sheet (detail)'!D15</f>
        <v/>
      </c>
      <c r="F194" s="9">
        <f>E194-D194</f>
        <v/>
      </c>
    </row>
    <row r="195">
      <c r="A195" s="27" t="inlineStr">
        <is>
          <t>Balance sheet (detail)</t>
        </is>
      </c>
      <c r="B195" s="27" t="inlineStr">
        <is>
          <t>26. Total liabilities</t>
        </is>
      </c>
      <c r="C195" s="27" t="inlineStr">
        <is>
          <t>FY2023</t>
        </is>
      </c>
      <c r="D195" s="9" t="n">
        <v>1504</v>
      </c>
      <c r="E195" s="9">
        <f>'Balance sheet (detail)'!E15</f>
        <v/>
      </c>
      <c r="F195" s="9">
        <f>E195-D195</f>
        <v/>
      </c>
    </row>
    <row r="196">
      <c r="A196" s="27" t="inlineStr">
        <is>
          <t>Balance sheet (detail)</t>
        </is>
      </c>
      <c r="B196" s="27" t="inlineStr">
        <is>
          <t>26. Total liabilities</t>
        </is>
      </c>
      <c r="C196" s="27" t="inlineStr">
        <is>
          <t>FY2024</t>
        </is>
      </c>
      <c r="D196" s="9" t="n">
        <v>0</v>
      </c>
      <c r="E196" s="9">
        <f>'Balance sheet (detail)'!F15</f>
        <v/>
      </c>
      <c r="F196" s="9">
        <f>E196-D196</f>
        <v/>
      </c>
    </row>
    <row r="197">
      <c r="A197" s="27" t="inlineStr">
        <is>
          <t>Balance sheet (detail)</t>
        </is>
      </c>
      <c r="B197" s="27" t="inlineStr">
        <is>
          <t>26. Total liabilities</t>
        </is>
      </c>
      <c r="C197" s="27" t="inlineStr">
        <is>
          <t>FY2025</t>
        </is>
      </c>
      <c r="D197" s="9" t="n">
        <v>3416</v>
      </c>
      <c r="E197" s="9">
        <f>'Balance sheet (detail)'!G15</f>
        <v/>
      </c>
      <c r="F197" s="9">
        <f>E197-D197</f>
        <v/>
      </c>
    </row>
    <row r="198">
      <c r="A198" s="27" t="inlineStr">
        <is>
          <t>Balance sheet (detail)</t>
        </is>
      </c>
      <c r="B198" s="27" t="inlineStr">
        <is>
          <t>32. Total net assets / fund balances</t>
        </is>
      </c>
      <c r="C198" s="27" t="inlineStr">
        <is>
          <t>FY2020</t>
        </is>
      </c>
      <c r="D198" s="9" t="n">
        <v>396422</v>
      </c>
      <c r="E198" s="9">
        <f>'Balance sheet (detail)'!B21</f>
        <v/>
      </c>
      <c r="F198" s="9">
        <f>E198-D198</f>
        <v/>
      </c>
    </row>
    <row r="199">
      <c r="A199" s="27" t="inlineStr">
        <is>
          <t>Balance sheet (detail)</t>
        </is>
      </c>
      <c r="B199" s="27" t="inlineStr">
        <is>
          <t>32. Total net assets / fund balances</t>
        </is>
      </c>
      <c r="C199" s="27" t="inlineStr">
        <is>
          <t>FY2021</t>
        </is>
      </c>
      <c r="D199" s="9" t="n">
        <v>540139</v>
      </c>
      <c r="E199" s="9">
        <f>'Balance sheet (detail)'!C21</f>
        <v/>
      </c>
      <c r="F199" s="9">
        <f>E199-D199</f>
        <v/>
      </c>
    </row>
    <row r="200">
      <c r="A200" s="27" t="inlineStr">
        <is>
          <t>Balance sheet (detail)</t>
        </is>
      </c>
      <c r="B200" s="27" t="inlineStr">
        <is>
          <t>32. Total net assets / fund balances</t>
        </is>
      </c>
      <c r="C200" s="27" t="inlineStr">
        <is>
          <t>FY2022</t>
        </is>
      </c>
      <c r="D200" s="9" t="n">
        <v>511079</v>
      </c>
      <c r="E200" s="9">
        <f>'Balance sheet (detail)'!D21</f>
        <v/>
      </c>
      <c r="F200" s="9">
        <f>E200-D200</f>
        <v/>
      </c>
    </row>
    <row r="201">
      <c r="A201" s="27" t="inlineStr">
        <is>
          <t>Balance sheet (detail)</t>
        </is>
      </c>
      <c r="B201" s="27" t="inlineStr">
        <is>
          <t>32. Total net assets / fund balances</t>
        </is>
      </c>
      <c r="C201" s="27" t="inlineStr">
        <is>
          <t>FY2023</t>
        </is>
      </c>
      <c r="D201" s="9" t="n">
        <v>508098</v>
      </c>
      <c r="E201" s="9">
        <f>'Balance sheet (detail)'!E21</f>
        <v/>
      </c>
      <c r="F201" s="9">
        <f>E201-D201</f>
        <v/>
      </c>
    </row>
    <row r="202">
      <c r="A202" s="27" t="inlineStr">
        <is>
          <t>Balance sheet (detail)</t>
        </is>
      </c>
      <c r="B202" s="27" t="inlineStr">
        <is>
          <t>32. Total net assets / fund balances</t>
        </is>
      </c>
      <c r="C202" s="27" t="inlineStr">
        <is>
          <t>FY2024</t>
        </is>
      </c>
      <c r="D202" s="9" t="n">
        <v>988349</v>
      </c>
      <c r="E202" s="9">
        <f>'Balance sheet (detail)'!F21</f>
        <v/>
      </c>
      <c r="F202" s="9">
        <f>E202-D202</f>
        <v/>
      </c>
    </row>
    <row r="203">
      <c r="A203" s="27" t="inlineStr">
        <is>
          <t>Balance sheet (detail)</t>
        </is>
      </c>
      <c r="B203" s="27" t="inlineStr">
        <is>
          <t>32. Total net assets / fund balances</t>
        </is>
      </c>
      <c r="C203" s="27" t="inlineStr">
        <is>
          <t>FY2025</t>
        </is>
      </c>
      <c r="D203" s="9" t="n">
        <v>3971458</v>
      </c>
      <c r="E203" s="9">
        <f>'Balance sheet (detail)'!G21</f>
        <v/>
      </c>
      <c r="F203" s="9">
        <f>E203-D203</f>
        <v/>
      </c>
    </row>
    <row r="204">
      <c r="A204" s="27" t="inlineStr">
        <is>
          <t>Balance sheet (detail)</t>
        </is>
      </c>
      <c r="B204" s="27" t="inlineStr">
        <is>
          <t>Balance sheet identity: line 16 = line 26 + line 32 (EOY)</t>
        </is>
      </c>
      <c r="C204" s="27" t="inlineStr">
        <is>
          <t>FY2020</t>
        </is>
      </c>
      <c r="D204" s="9">
        <f>'Balance sheet (detail)'!B11</f>
        <v/>
      </c>
      <c r="E204" s="9">
        <f>SUM('Balance sheet (detail)'!B15,'Balance sheet (detail)'!B21)</f>
        <v/>
      </c>
      <c r="F204" s="9">
        <f>E204-D204</f>
        <v/>
      </c>
    </row>
    <row r="205">
      <c r="A205" s="27" t="inlineStr">
        <is>
          <t>Balance sheet (detail)</t>
        </is>
      </c>
      <c r="B205" s="27" t="inlineStr">
        <is>
          <t>Balance sheet identity: line 16 = line 26 + line 32 (EOY)</t>
        </is>
      </c>
      <c r="C205" s="27" t="inlineStr">
        <is>
          <t>FY2021</t>
        </is>
      </c>
      <c r="D205" s="9">
        <f>'Balance sheet (detail)'!C11</f>
        <v/>
      </c>
      <c r="E205" s="9">
        <f>SUM('Balance sheet (detail)'!C15,'Balance sheet (detail)'!C21)</f>
        <v/>
      </c>
      <c r="F205" s="9">
        <f>E205-D205</f>
        <v/>
      </c>
    </row>
    <row r="206">
      <c r="A206" s="27" t="inlineStr">
        <is>
          <t>Balance sheet (detail)</t>
        </is>
      </c>
      <c r="B206" s="27" t="inlineStr">
        <is>
          <t>Balance sheet identity: line 16 = line 26 + line 32 (EOY)</t>
        </is>
      </c>
      <c r="C206" s="27" t="inlineStr">
        <is>
          <t>FY2022</t>
        </is>
      </c>
      <c r="D206" s="9">
        <f>'Balance sheet (detail)'!D11</f>
        <v/>
      </c>
      <c r="E206" s="9">
        <f>SUM('Balance sheet (detail)'!D15,'Balance sheet (detail)'!D21)</f>
        <v/>
      </c>
      <c r="F206" s="9">
        <f>E206-D206</f>
        <v/>
      </c>
    </row>
    <row r="207">
      <c r="A207" s="27" t="inlineStr">
        <is>
          <t>Balance sheet (detail)</t>
        </is>
      </c>
      <c r="B207" s="27" t="inlineStr">
        <is>
          <t>Balance sheet identity: line 16 = line 26 + line 32 (EOY)</t>
        </is>
      </c>
      <c r="C207" s="27" t="inlineStr">
        <is>
          <t>FY2023</t>
        </is>
      </c>
      <c r="D207" s="9">
        <f>'Balance sheet (detail)'!E11</f>
        <v/>
      </c>
      <c r="E207" s="9">
        <f>SUM('Balance sheet (detail)'!E15,'Balance sheet (detail)'!E21)</f>
        <v/>
      </c>
      <c r="F207" s="9">
        <f>E207-D207</f>
        <v/>
      </c>
    </row>
    <row r="208">
      <c r="A208" s="27" t="inlineStr">
        <is>
          <t>Balance sheet (detail)</t>
        </is>
      </c>
      <c r="B208" s="27" t="inlineStr">
        <is>
          <t>Balance sheet identity: line 16 = line 26 + line 32 (EOY)</t>
        </is>
      </c>
      <c r="C208" s="27" t="inlineStr">
        <is>
          <t>FY2024</t>
        </is>
      </c>
      <c r="D208" s="9">
        <f>'Balance sheet (detail)'!F11</f>
        <v/>
      </c>
      <c r="E208" s="9">
        <f>SUM('Balance sheet (detail)'!F15,'Balance sheet (detail)'!F21)</f>
        <v/>
      </c>
      <c r="F208" s="9">
        <f>E208-D208</f>
        <v/>
      </c>
    </row>
    <row r="209">
      <c r="A209" s="27" t="inlineStr">
        <is>
          <t>Balance sheet (detail)</t>
        </is>
      </c>
      <c r="B209" s="27" t="inlineStr">
        <is>
          <t>Balance sheet identity: line 16 = line 26 + line 32 (EOY)</t>
        </is>
      </c>
      <c r="C209" s="27" t="inlineStr">
        <is>
          <t>FY2025</t>
        </is>
      </c>
      <c r="D209" s="9">
        <f>'Balance sheet (detail)'!G11</f>
        <v/>
      </c>
      <c r="E209" s="9">
        <f>SUM('Balance sheet (detail)'!G15,'Balance sheet (detail)'!G21)</f>
        <v/>
      </c>
      <c r="F209" s="9">
        <f>E209-D209</f>
        <v/>
      </c>
    </row>
    <row r="210">
      <c r="A210" s="27" t="inlineStr">
        <is>
          <t>Net-assets reconciliation</t>
        </is>
      </c>
      <c r="B210" s="27" t="inlineStr">
        <is>
          <t>10. Net assets, end of year</t>
        </is>
      </c>
      <c r="C210" s="27" t="inlineStr">
        <is>
          <t>FY2020</t>
        </is>
      </c>
      <c r="D210" s="9" t="n">
        <v>396422</v>
      </c>
      <c r="E210" s="9">
        <f>'Net-assets reconciliation'!B11</f>
        <v/>
      </c>
      <c r="F210" s="9">
        <f>E210-D210</f>
        <v/>
      </c>
    </row>
    <row r="211">
      <c r="A211" s="27" t="inlineStr">
        <is>
          <t>Net-assets reconciliation</t>
        </is>
      </c>
      <c r="B211" s="27" t="inlineStr">
        <is>
          <t>10. Net assets, end of year</t>
        </is>
      </c>
      <c r="C211" s="27" t="inlineStr">
        <is>
          <t>FY2021</t>
        </is>
      </c>
      <c r="D211" s="9" t="n">
        <v>540139</v>
      </c>
      <c r="E211" s="9">
        <f>'Net-assets reconciliation'!C11</f>
        <v/>
      </c>
      <c r="F211" s="9">
        <f>E211-D211</f>
        <v/>
      </c>
    </row>
    <row r="212">
      <c r="A212" s="27" t="inlineStr">
        <is>
          <t>Net-assets reconciliation</t>
        </is>
      </c>
      <c r="B212" s="27" t="inlineStr">
        <is>
          <t>10. Net assets, end of year</t>
        </is>
      </c>
      <c r="C212" s="27" t="inlineStr">
        <is>
          <t>FY2022</t>
        </is>
      </c>
      <c r="D212" s="9" t="n">
        <v>511079</v>
      </c>
      <c r="E212" s="9">
        <f>'Net-assets reconciliation'!D11</f>
        <v/>
      </c>
      <c r="F212" s="9">
        <f>E212-D212</f>
        <v/>
      </c>
    </row>
    <row r="213">
      <c r="A213" s="27" t="inlineStr">
        <is>
          <t>Net-assets reconciliation</t>
        </is>
      </c>
      <c r="B213" s="27" t="inlineStr">
        <is>
          <t>10. Net assets, end of year</t>
        </is>
      </c>
      <c r="C213" s="27" t="inlineStr">
        <is>
          <t>FY2023</t>
        </is>
      </c>
      <c r="D213" s="9" t="n">
        <v>508098</v>
      </c>
      <c r="E213" s="9">
        <f>'Net-assets reconciliation'!E11</f>
        <v/>
      </c>
      <c r="F213" s="9">
        <f>E213-D213</f>
        <v/>
      </c>
    </row>
    <row r="214">
      <c r="A214" s="27" t="inlineStr">
        <is>
          <t>Net-assets reconciliation</t>
        </is>
      </c>
      <c r="B214" s="27" t="inlineStr">
        <is>
          <t>10. Net assets, end of year</t>
        </is>
      </c>
      <c r="C214" s="27" t="inlineStr">
        <is>
          <t>FY2024</t>
        </is>
      </c>
      <c r="D214" s="9" t="n">
        <v>988349</v>
      </c>
      <c r="E214" s="9">
        <f>'Net-assets reconciliation'!F11</f>
        <v/>
      </c>
      <c r="F214" s="9">
        <f>E214-D214</f>
        <v/>
      </c>
    </row>
    <row r="215">
      <c r="A215" s="27" t="inlineStr">
        <is>
          <t>Net-assets reconciliation</t>
        </is>
      </c>
      <c r="B215" s="27" t="inlineStr">
        <is>
          <t>10. Net assets, end of year</t>
        </is>
      </c>
      <c r="C215" s="27" t="inlineStr">
        <is>
          <t>FY2025</t>
        </is>
      </c>
      <c r="D215" s="9" t="n">
        <v>3971458</v>
      </c>
      <c r="E215" s="9">
        <f>'Net-assets reconciliation'!G11</f>
        <v/>
      </c>
      <c r="F215" s="9">
        <f>E215-D215</f>
        <v/>
      </c>
    </row>
    <row r="217">
      <c r="A217" s="31" t="inlineStr">
        <is>
          <t>D. Preparer / auditor trail (one row per fiscal year, as filed)</t>
        </is>
      </c>
      <c r="B217" s="7" t="n"/>
      <c r="C217" s="7" t="n"/>
      <c r="D217" s="7" t="n"/>
      <c r="E217" s="7" t="n"/>
      <c r="F217" s="7" t="n"/>
      <c r="G217" s="7" t="n"/>
      <c r="H217" s="7" t="n"/>
      <c r="I217" s="7" t="n"/>
      <c r="J217" s="7" t="n"/>
      <c r="K217" s="7" t="n"/>
    </row>
    <row r="218">
      <c r="A218" s="5" t="inlineStr">
        <is>
          <t>Fiscal year</t>
        </is>
      </c>
      <c r="B218" s="5" t="inlineStr">
        <is>
          <t>Paid preparer</t>
        </is>
      </c>
      <c r="C218" s="5" t="inlineStr">
        <is>
          <t>Preparer firm</t>
        </is>
      </c>
      <c r="D218" s="5" t="inlineStr">
        <is>
          <t>Independent auditor</t>
        </is>
      </c>
      <c r="E218" s="5" t="inlineStr">
        <is>
          <t>Citation</t>
        </is>
      </c>
    </row>
    <row r="219" ht="42" customHeight="1">
      <c r="A219" s="28" t="inlineStr">
        <is>
          <t>FY2020</t>
        </is>
      </c>
      <c r="B219" s="8" t="inlineStr">
        <is>
          <t>RODGER SHULAR</t>
        </is>
      </c>
      <c r="C219" s="8" t="inlineStr">
        <is>
          <t>CLIFTONLARSONALLEN LLP</t>
        </is>
      </c>
      <c r="D219" s="32" t="inlineStr">
        <is>
          <t>not reported</t>
        </is>
      </c>
      <c r="E219" s="13" t="inlineStr">
        <is>
          <t>Form 990 Return Header, Paid Preparer block (return_header.preparer_person_name / preparer_firm_name); auditor: Part XII line 2 reports audited financial statements but does not name the firm.</t>
        </is>
      </c>
    </row>
    <row r="220" ht="42" customHeight="1">
      <c r="A220" s="28" t="inlineStr">
        <is>
          <t>FY2021</t>
        </is>
      </c>
      <c r="B220" s="8" t="inlineStr">
        <is>
          <t>RODGER SHULAR</t>
        </is>
      </c>
      <c r="C220" s="8" t="inlineStr">
        <is>
          <t>CLIFTONLARSONALLEN LLP</t>
        </is>
      </c>
      <c r="D220" s="32" t="inlineStr">
        <is>
          <t>not reported</t>
        </is>
      </c>
      <c r="E220" s="13" t="inlineStr">
        <is>
          <t>Form 990 Return Header, Paid Preparer block (return_header.preparer_person_name / preparer_firm_name); auditor: Part XII line 2 reports audited financial statements but does not name the firm.</t>
        </is>
      </c>
    </row>
    <row r="221" ht="42" customHeight="1">
      <c r="A221" s="28" t="inlineStr">
        <is>
          <t>FY2022</t>
        </is>
      </c>
      <c r="B221" s="8" t="inlineStr">
        <is>
          <t>RODGER SHULAR</t>
        </is>
      </c>
      <c r="C221" s="8" t="inlineStr">
        <is>
          <t>CLIFTONLARSONALLEN LLP</t>
        </is>
      </c>
      <c r="D221" s="32" t="inlineStr">
        <is>
          <t>not reported</t>
        </is>
      </c>
      <c r="E221" s="13" t="inlineStr">
        <is>
          <t>Form 990 Return Header, Paid Preparer block (return_header.preparer_person_name / preparer_firm_name); auditor: Part XII line 2 reports audited financial statements but does not name the firm.</t>
        </is>
      </c>
    </row>
    <row r="222" ht="42" customHeight="1">
      <c r="A222" s="28" t="inlineStr">
        <is>
          <t>FY2023</t>
        </is>
      </c>
      <c r="B222" s="8" t="inlineStr">
        <is>
          <t>JENNA BERTUCCELLI</t>
        </is>
      </c>
      <c r="C222" s="8" t="inlineStr">
        <is>
          <t>CLIFTONLARSONALLEN LLP</t>
        </is>
      </c>
      <c r="D222" s="32" t="inlineStr">
        <is>
          <t>not reported</t>
        </is>
      </c>
      <c r="E222" s="13" t="inlineStr">
        <is>
          <t>Form 990 Return Header, Paid Preparer block (return_header.preparer_person_name / preparer_firm_name); auditor: Part XII line 2 reports audited financial statements but does not name the firm.</t>
        </is>
      </c>
    </row>
    <row r="223" ht="42" customHeight="1">
      <c r="A223" s="28" t="inlineStr">
        <is>
          <t>FY2024</t>
        </is>
      </c>
      <c r="B223" s="8" t="inlineStr">
        <is>
          <t>JENNA BERTUCCELLI</t>
        </is>
      </c>
      <c r="C223" s="8" t="inlineStr">
        <is>
          <t>CLIFTONLARSONALLEN LLP</t>
        </is>
      </c>
      <c r="D223" s="32" t="inlineStr">
        <is>
          <t>not reported</t>
        </is>
      </c>
      <c r="E223" s="13" t="inlineStr">
        <is>
          <t>Form 990 Return Header, Paid Preparer block (return_header.preparer_person_name / preparer_firm_name); auditor: Part XII line 2 reports audited financial statements but does not name the firm.</t>
        </is>
      </c>
    </row>
    <row r="224" ht="42" customHeight="1">
      <c r="A224" s="28" t="inlineStr">
        <is>
          <t>FY2025</t>
        </is>
      </c>
      <c r="B224" s="8" t="inlineStr">
        <is>
          <t>DYLAN VALENTINE</t>
        </is>
      </c>
      <c r="C224" s="8" t="inlineStr">
        <is>
          <t>CLIFTONLARSONALLEN LLP</t>
        </is>
      </c>
      <c r="D224" s="32" t="inlineStr">
        <is>
          <t>not reported</t>
        </is>
      </c>
      <c r="E224" s="13" t="inlineStr">
        <is>
          <t>Form 990 Return Header, Paid Preparer block (return_header.preparer_person_name / preparer_firm_name); auditor: Part XII line 2 reports audited financial statements but does not name the firm.</t>
        </is>
      </c>
    </row>
    <row r="226" ht="42" customHeight="1">
      <c r="A226"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26:K226"/>
    <mergeCell ref="A2:K2"/>
    <mergeCell ref="A5:K5"/>
    <mergeCell ref="A1:K1"/>
  </mergeCells>
  <conditionalFormatting sqref="F173:F215">
    <cfRule type="cellIs" priority="1" operator="notEqual" dxfId="0">
      <formula>0</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